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ustomProperty3.bin" ContentType="application/vnd.openxmlformats-officedocument.spreadsheetml.customProperty"/>
  <Override PartName="/xl/customProperty4.bin" ContentType="application/vnd.openxmlformats-officedocument.spreadsheetml.customProperty"/>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customProperty5.bin" ContentType="application/vnd.openxmlformats-officedocument.spreadsheetml.customProperty"/>
  <Override PartName="/xl/customProperty6.bin" ContentType="application/vnd.openxmlformats-officedocument.spreadsheetml.customProperty"/>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f_kanellos\Downloads\Personal\Fantasy\NBArrwstoi\"/>
    </mc:Choice>
  </mc:AlternateContent>
  <xr:revisionPtr revIDLastSave="0" documentId="13_ncr:1_{10F5F97D-B887-4802-915A-78910D07EDDC}" xr6:coauthVersionLast="47" xr6:coauthVersionMax="47" xr10:uidLastSave="{00000000-0000-0000-0000-000000000000}"/>
  <bookViews>
    <workbookView xWindow="-120" yWindow="-120" windowWidth="38640" windowHeight="21120" tabRatio="830" activeTab="2" xr2:uid="{BB32E046-BEA6-42C0-8DC3-406C0DF12B79}"/>
  </bookViews>
  <sheets>
    <sheet name="Playoffs" sheetId="10" r:id="rId1"/>
    <sheet name="Regular" sheetId="12" r:id="rId2"/>
    <sheet name="Total" sheetId="11" r:id="rId3"/>
    <sheet name="VsHistory" sheetId="13" r:id="rId4"/>
    <sheet name="VsHistoryMatrix" sheetId="18" r:id="rId5"/>
    <sheet name="Records" sheetId="15" r:id="rId6"/>
    <sheet name="Data" sheetId="8" r:id="rId7"/>
    <sheet name="Clean data" sheetId="17" r:id="rId8"/>
    <sheet name="Raw data" sheetId="16" r:id="rId9"/>
  </sheets>
  <definedNames>
    <definedName name="_xlnm._FilterDatabase" localSheetId="7" hidden="1">'Clean data'!$A$1:$Y$383</definedName>
    <definedName name="_xlnm._FilterDatabase" localSheetId="6" hidden="1">Data!$A$1:$Y$3451</definedName>
    <definedName name="_xlnm._FilterDatabase" localSheetId="5" hidden="1">Records!$K$112:$L$112</definedName>
    <definedName name="Picks">#REF!</definedName>
    <definedName name="Slicer_Period">#N/A</definedName>
    <definedName name="Slicer_Period11">#N/A</definedName>
    <definedName name="Slicer_Regular__Playoffs">#N/A</definedName>
    <definedName name="Slicer_Regular__Playoffs1">#N/A</definedName>
    <definedName name="Slicer_Team">#N/A</definedName>
    <definedName name="Slicer_Team1">#N/A</definedName>
    <definedName name="Slicer_Team11">#N/A</definedName>
    <definedName name="Slicer_Team12">#N/A</definedName>
    <definedName name="Slicer_vs_Opponent1">#N/A</definedName>
    <definedName name="Slicer_vs_Opponent11">#N/A</definedName>
    <definedName name="Slicer_vs_Opponent12">#N/A</definedName>
    <definedName name="Slicer_Year">#N/A</definedName>
    <definedName name="Slicer_Year1">#N/A</definedName>
    <definedName name="Slicer_Year11">#N/A</definedName>
    <definedName name="Slicer_Year2">#N/A</definedName>
  </definedNames>
  <calcPr calcId="191029"/>
  <pivotCaches>
    <pivotCache cacheId="8"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9" i="15" l="1"/>
  <c r="G209" i="15" a="1"/>
  <c r="G209" i="15" s="1"/>
  <c r="E209" i="15" a="1"/>
  <c r="E209" i="15" s="1"/>
  <c r="D209" i="15" a="1"/>
  <c r="D209" i="15" s="1"/>
  <c r="C209" i="15"/>
  <c r="B209" i="15"/>
  <c r="I208" i="15"/>
  <c r="G208" i="15" a="1"/>
  <c r="G208" i="15" s="1"/>
  <c r="D208" i="15" a="1"/>
  <c r="D208" i="15" s="1"/>
  <c r="C208" i="15"/>
  <c r="B208" i="15"/>
  <c r="I207" i="15"/>
  <c r="G207" i="15" a="1"/>
  <c r="G207" i="15" s="1"/>
  <c r="D207" i="15" a="1"/>
  <c r="D207" i="15" s="1"/>
  <c r="C207" i="15"/>
  <c r="B207" i="15"/>
  <c r="I206" i="15"/>
  <c r="G206" i="15" a="1"/>
  <c r="G206" i="15" s="1"/>
  <c r="E206" i="15" a="1"/>
  <c r="E206" i="15" s="1"/>
  <c r="D206" i="15" a="1"/>
  <c r="D206" i="15" s="1"/>
  <c r="B206" i="15"/>
  <c r="I205" i="15"/>
  <c r="G205" i="15" a="1"/>
  <c r="G205" i="15" s="1"/>
  <c r="D205" i="15" a="1"/>
  <c r="D205" i="15" s="1"/>
  <c r="B205" i="15"/>
  <c r="I204" i="15"/>
  <c r="G204" i="15" a="1"/>
  <c r="G204" i="15" s="1"/>
  <c r="D204" i="15" a="1"/>
  <c r="D204" i="15" s="1"/>
  <c r="B204" i="15"/>
  <c r="G203" i="15"/>
  <c r="G203" i="15" a="1"/>
  <c r="E203" i="15" a="1"/>
  <c r="E203" i="15" s="1"/>
  <c r="D203" i="15" a="1"/>
  <c r="D203" i="15" s="1"/>
  <c r="B203" i="15"/>
  <c r="I203" i="15" s="1"/>
  <c r="I202" i="15"/>
  <c r="G202" i="15"/>
  <c r="G202" i="15" a="1"/>
  <c r="E202" i="15" a="1"/>
  <c r="E202" i="15" s="1"/>
  <c r="D202" i="15" a="1"/>
  <c r="D202" i="15" s="1"/>
  <c r="B202" i="15"/>
  <c r="E201" i="15" a="1"/>
  <c r="E201" i="15" s="1"/>
  <c r="C201" i="15"/>
  <c r="B201" i="15"/>
  <c r="G201" i="15" s="1" a="1"/>
  <c r="G201" i="15" s="1"/>
  <c r="C200" i="15"/>
  <c r="B200" i="15"/>
  <c r="G200" i="15" s="1" a="1"/>
  <c r="G200" i="15" s="1"/>
  <c r="G199" i="15" a="1"/>
  <c r="G199" i="15" s="1"/>
  <c r="E199" i="15" a="1"/>
  <c r="E199" i="15" s="1"/>
  <c r="D199" i="15" a="1"/>
  <c r="D199" i="15" s="1"/>
  <c r="B199" i="15"/>
  <c r="I199" i="15" s="1"/>
  <c r="G198" i="15" a="1"/>
  <c r="G198" i="15" s="1"/>
  <c r="E198" i="15" a="1"/>
  <c r="E198" i="15" s="1"/>
  <c r="D198" i="15" a="1"/>
  <c r="D198" i="15" s="1"/>
  <c r="C198" i="15"/>
  <c r="B198" i="15"/>
  <c r="I198" i="15" s="1"/>
  <c r="D197" i="15" a="1"/>
  <c r="D197" i="15" s="1"/>
  <c r="B197" i="15"/>
  <c r="I197" i="15" s="1"/>
  <c r="G193" i="15" a="1"/>
  <c r="G193" i="15" s="1"/>
  <c r="C193" i="15"/>
  <c r="B193" i="15"/>
  <c r="I193" i="15" s="1"/>
  <c r="L3451" i="8"/>
  <c r="K3451" i="8"/>
  <c r="L3450" i="8"/>
  <c r="K3450" i="8"/>
  <c r="L3449" i="8"/>
  <c r="K3449" i="8"/>
  <c r="L3448" i="8"/>
  <c r="K3448" i="8"/>
  <c r="L3447" i="8"/>
  <c r="K3447" i="8"/>
  <c r="L3446" i="8"/>
  <c r="K3446" i="8"/>
  <c r="L3445" i="8"/>
  <c r="K3445" i="8"/>
  <c r="L3444" i="8"/>
  <c r="K3444" i="8"/>
  <c r="L3443" i="8"/>
  <c r="K3443" i="8"/>
  <c r="L3442" i="8"/>
  <c r="K3442" i="8"/>
  <c r="L3441" i="8"/>
  <c r="K3441" i="8"/>
  <c r="L3440" i="8"/>
  <c r="K3440" i="8"/>
  <c r="L3439" i="8"/>
  <c r="K3439" i="8"/>
  <c r="L3438" i="8"/>
  <c r="K3438" i="8"/>
  <c r="L3437" i="8"/>
  <c r="K3437" i="8"/>
  <c r="L3436" i="8"/>
  <c r="K3436" i="8"/>
  <c r="L3435" i="8"/>
  <c r="K3435" i="8"/>
  <c r="L3434" i="8"/>
  <c r="K3434" i="8"/>
  <c r="L3433" i="8"/>
  <c r="K3433" i="8"/>
  <c r="L3432" i="8"/>
  <c r="K3432" i="8"/>
  <c r="L3431" i="8"/>
  <c r="K3431" i="8"/>
  <c r="L3430" i="8"/>
  <c r="K3430" i="8"/>
  <c r="L3429" i="8"/>
  <c r="K3429" i="8"/>
  <c r="L3428" i="8"/>
  <c r="K3428" i="8"/>
  <c r="L3427" i="8"/>
  <c r="K3427" i="8"/>
  <c r="L3426" i="8"/>
  <c r="K3426" i="8"/>
  <c r="L3425" i="8"/>
  <c r="K3425" i="8"/>
  <c r="L3424" i="8"/>
  <c r="K3424" i="8"/>
  <c r="L3423" i="8"/>
  <c r="K3423" i="8"/>
  <c r="L3422" i="8"/>
  <c r="K3422" i="8"/>
  <c r="L3421" i="8"/>
  <c r="K3421" i="8"/>
  <c r="L3420" i="8"/>
  <c r="K3420" i="8"/>
  <c r="L3419" i="8"/>
  <c r="K3419" i="8"/>
  <c r="L3418" i="8"/>
  <c r="K3418" i="8"/>
  <c r="L3417" i="8"/>
  <c r="K3417" i="8"/>
  <c r="L3416" i="8"/>
  <c r="K3416" i="8"/>
  <c r="L3415" i="8"/>
  <c r="K3415" i="8"/>
  <c r="L3414" i="8"/>
  <c r="K3414" i="8"/>
  <c r="L3413" i="8"/>
  <c r="K3413" i="8"/>
  <c r="L3412" i="8"/>
  <c r="K3412" i="8"/>
  <c r="L3411" i="8"/>
  <c r="K3411" i="8"/>
  <c r="L3410" i="8"/>
  <c r="K3410" i="8"/>
  <c r="L3409" i="8"/>
  <c r="K3409" i="8"/>
  <c r="L3408" i="8"/>
  <c r="K3408" i="8"/>
  <c r="L3407" i="8"/>
  <c r="K3407" i="8"/>
  <c r="L3406" i="8"/>
  <c r="K3406" i="8"/>
  <c r="L3405" i="8"/>
  <c r="K3405" i="8"/>
  <c r="L3404" i="8"/>
  <c r="K3404" i="8"/>
  <c r="L3403" i="8"/>
  <c r="K3403" i="8"/>
  <c r="L3402" i="8"/>
  <c r="K3402" i="8"/>
  <c r="L3401" i="8"/>
  <c r="K3401" i="8"/>
  <c r="L3400" i="8"/>
  <c r="K3400" i="8"/>
  <c r="L3399" i="8"/>
  <c r="K3399" i="8"/>
  <c r="L3398" i="8"/>
  <c r="K3398" i="8"/>
  <c r="L3397" i="8"/>
  <c r="K3397" i="8"/>
  <c r="L3396" i="8"/>
  <c r="K3396" i="8"/>
  <c r="E205" i="15" s="1" a="1"/>
  <c r="E205" i="15" s="1"/>
  <c r="L3395" i="8"/>
  <c r="K3395" i="8"/>
  <c r="L3394" i="8"/>
  <c r="K3394" i="8"/>
  <c r="L3393" i="8"/>
  <c r="K3393" i="8"/>
  <c r="L3392" i="8"/>
  <c r="K3392" i="8"/>
  <c r="L3391" i="8"/>
  <c r="K3391" i="8"/>
  <c r="L3390" i="8"/>
  <c r="K3390" i="8"/>
  <c r="L3389" i="8"/>
  <c r="K3389" i="8"/>
  <c r="L3388" i="8"/>
  <c r="K3388" i="8"/>
  <c r="L3387" i="8"/>
  <c r="K3387" i="8"/>
  <c r="L3386" i="8"/>
  <c r="K3386" i="8"/>
  <c r="L3385" i="8"/>
  <c r="K3385" i="8"/>
  <c r="L3384" i="8"/>
  <c r="K3384" i="8"/>
  <c r="L3383" i="8"/>
  <c r="K3383" i="8"/>
  <c r="L3382" i="8"/>
  <c r="K3382" i="8"/>
  <c r="L3381" i="8"/>
  <c r="K3381" i="8"/>
  <c r="L3380" i="8"/>
  <c r="K3380" i="8"/>
  <c r="L3379" i="8"/>
  <c r="K3379" i="8"/>
  <c r="L3378" i="8"/>
  <c r="K3378" i="8"/>
  <c r="L3377" i="8"/>
  <c r="K3377" i="8"/>
  <c r="L3376" i="8"/>
  <c r="K3376" i="8"/>
  <c r="L3375" i="8"/>
  <c r="K3375" i="8"/>
  <c r="L3374" i="8"/>
  <c r="K3374" i="8"/>
  <c r="L3373" i="8"/>
  <c r="K3373" i="8"/>
  <c r="L3372" i="8"/>
  <c r="K3372" i="8"/>
  <c r="L3371" i="8"/>
  <c r="K3371" i="8"/>
  <c r="L3370" i="8"/>
  <c r="K3370" i="8"/>
  <c r="L3369" i="8"/>
  <c r="K3369" i="8"/>
  <c r="L3368" i="8"/>
  <c r="K3368" i="8"/>
  <c r="L3367" i="8"/>
  <c r="K3367" i="8"/>
  <c r="L3366" i="8"/>
  <c r="K3366" i="8"/>
  <c r="L3365" i="8"/>
  <c r="K3365" i="8"/>
  <c r="L3364" i="8"/>
  <c r="K3364" i="8"/>
  <c r="L3363" i="8"/>
  <c r="K3363" i="8"/>
  <c r="L3362" i="8"/>
  <c r="K3362" i="8"/>
  <c r="L3361" i="8"/>
  <c r="K3361" i="8"/>
  <c r="L3360" i="8"/>
  <c r="K3360" i="8"/>
  <c r="L3359" i="8"/>
  <c r="K3359" i="8"/>
  <c r="L3358" i="8"/>
  <c r="K3358" i="8"/>
  <c r="L3357" i="8"/>
  <c r="K3357" i="8"/>
  <c r="L3356" i="8"/>
  <c r="K3356" i="8"/>
  <c r="L3355" i="8"/>
  <c r="K3355" i="8"/>
  <c r="L3354" i="8"/>
  <c r="K3354" i="8"/>
  <c r="L3353" i="8"/>
  <c r="K3353" i="8"/>
  <c r="L3352" i="8"/>
  <c r="K3352" i="8"/>
  <c r="L3351" i="8"/>
  <c r="K3351" i="8"/>
  <c r="L3350" i="8"/>
  <c r="K3350" i="8"/>
  <c r="L3349" i="8"/>
  <c r="K3349" i="8"/>
  <c r="L3348" i="8"/>
  <c r="K3348" i="8"/>
  <c r="L3347" i="8"/>
  <c r="K3347" i="8"/>
  <c r="L3346" i="8"/>
  <c r="K3346" i="8"/>
  <c r="L3345" i="8"/>
  <c r="K3345" i="8"/>
  <c r="L3344" i="8"/>
  <c r="K3344" i="8"/>
  <c r="L3343" i="8"/>
  <c r="K3343" i="8"/>
  <c r="L3342" i="8"/>
  <c r="K3342" i="8"/>
  <c r="L3341" i="8"/>
  <c r="K3341" i="8"/>
  <c r="L3340" i="8"/>
  <c r="K3340" i="8"/>
  <c r="L3339" i="8"/>
  <c r="K3339" i="8"/>
  <c r="L3338" i="8"/>
  <c r="K3338" i="8"/>
  <c r="L3337" i="8"/>
  <c r="K3337" i="8"/>
  <c r="L3336" i="8"/>
  <c r="K3336" i="8"/>
  <c r="L3335" i="8"/>
  <c r="K3335" i="8"/>
  <c r="L3334" i="8"/>
  <c r="K3334" i="8"/>
  <c r="L3333" i="8"/>
  <c r="K3333" i="8"/>
  <c r="L3332" i="8"/>
  <c r="K3332" i="8"/>
  <c r="L3331" i="8"/>
  <c r="K3331" i="8"/>
  <c r="L3330" i="8"/>
  <c r="K3330" i="8"/>
  <c r="L3329" i="8"/>
  <c r="K3329" i="8"/>
  <c r="L3328" i="8"/>
  <c r="K3328" i="8"/>
  <c r="L3327" i="8"/>
  <c r="K3327" i="8"/>
  <c r="L3326" i="8"/>
  <c r="K3326" i="8"/>
  <c r="L3325" i="8"/>
  <c r="K3325" i="8"/>
  <c r="L3324" i="8"/>
  <c r="K3324" i="8"/>
  <c r="L3323" i="8"/>
  <c r="K3323" i="8"/>
  <c r="L3322" i="8"/>
  <c r="K3322" i="8"/>
  <c r="L3321" i="8"/>
  <c r="K3321" i="8"/>
  <c r="L3320" i="8"/>
  <c r="K3320" i="8"/>
  <c r="L3319" i="8"/>
  <c r="K3319" i="8"/>
  <c r="L3318" i="8"/>
  <c r="K3318" i="8"/>
  <c r="L3317" i="8"/>
  <c r="K3317" i="8"/>
  <c r="L3316" i="8"/>
  <c r="K3316" i="8"/>
  <c r="L3315" i="8"/>
  <c r="K3315" i="8"/>
  <c r="L3314" i="8"/>
  <c r="K3314" i="8"/>
  <c r="L3313" i="8"/>
  <c r="K3313" i="8"/>
  <c r="L3312" i="8"/>
  <c r="K3312" i="8"/>
  <c r="L3311" i="8"/>
  <c r="K3311" i="8"/>
  <c r="L3310" i="8"/>
  <c r="K3310" i="8"/>
  <c r="L3309" i="8"/>
  <c r="K3309" i="8"/>
  <c r="L3308" i="8"/>
  <c r="K3308" i="8"/>
  <c r="L3307" i="8"/>
  <c r="K3307" i="8"/>
  <c r="L3306" i="8"/>
  <c r="K3306" i="8"/>
  <c r="L3305" i="8"/>
  <c r="K3305" i="8"/>
  <c r="L3304" i="8"/>
  <c r="K3304" i="8"/>
  <c r="L3303" i="8"/>
  <c r="K3303" i="8"/>
  <c r="L3302" i="8"/>
  <c r="K3302" i="8"/>
  <c r="L3301" i="8"/>
  <c r="K3301" i="8"/>
  <c r="L3300" i="8"/>
  <c r="K3300" i="8"/>
  <c r="L3299" i="8"/>
  <c r="K3299" i="8"/>
  <c r="L3298" i="8"/>
  <c r="K3298" i="8"/>
  <c r="L3297" i="8"/>
  <c r="K3297" i="8"/>
  <c r="L3296" i="8"/>
  <c r="K3296" i="8"/>
  <c r="L3295" i="8"/>
  <c r="K3295" i="8"/>
  <c r="L3294" i="8"/>
  <c r="K3294" i="8"/>
  <c r="L3293" i="8"/>
  <c r="K3293" i="8"/>
  <c r="L3292" i="8"/>
  <c r="K3292" i="8"/>
  <c r="L3291" i="8"/>
  <c r="K3291" i="8"/>
  <c r="L3290" i="8"/>
  <c r="K3290" i="8"/>
  <c r="L3289" i="8"/>
  <c r="K3289" i="8"/>
  <c r="L3288" i="8"/>
  <c r="K3288" i="8"/>
  <c r="L3287" i="8"/>
  <c r="K3287" i="8"/>
  <c r="L3286" i="8"/>
  <c r="K3286" i="8"/>
  <c r="L3285" i="8"/>
  <c r="K3285" i="8"/>
  <c r="L3284" i="8"/>
  <c r="K3284" i="8"/>
  <c r="L3283" i="8"/>
  <c r="K3283" i="8"/>
  <c r="L3282" i="8"/>
  <c r="K3282" i="8"/>
  <c r="L3281" i="8"/>
  <c r="K3281" i="8"/>
  <c r="L3280" i="8"/>
  <c r="K3280" i="8"/>
  <c r="L3279" i="8"/>
  <c r="K3279" i="8"/>
  <c r="L3278" i="8"/>
  <c r="K3278" i="8"/>
  <c r="L3277" i="8"/>
  <c r="K3277" i="8"/>
  <c r="L3276" i="8"/>
  <c r="K3276" i="8"/>
  <c r="L3275" i="8"/>
  <c r="K3275" i="8"/>
  <c r="L3274" i="8"/>
  <c r="K3274" i="8"/>
  <c r="L3273" i="8"/>
  <c r="K3273" i="8"/>
  <c r="L3272" i="8"/>
  <c r="K3272" i="8"/>
  <c r="L3271" i="8"/>
  <c r="K3271" i="8"/>
  <c r="L3270" i="8"/>
  <c r="K3270" i="8"/>
  <c r="L3269" i="8"/>
  <c r="K3269" i="8"/>
  <c r="L3268" i="8"/>
  <c r="K3268" i="8"/>
  <c r="L3267" i="8"/>
  <c r="K3267" i="8"/>
  <c r="L3266" i="8"/>
  <c r="K3266" i="8"/>
  <c r="L3265" i="8"/>
  <c r="K3265" i="8"/>
  <c r="L3264" i="8"/>
  <c r="K3264" i="8"/>
  <c r="L3263" i="8"/>
  <c r="K3263" i="8"/>
  <c r="L3262" i="8"/>
  <c r="K3262" i="8"/>
  <c r="L3261" i="8"/>
  <c r="K3261" i="8"/>
  <c r="L3260" i="8"/>
  <c r="K3260" i="8"/>
  <c r="L3259" i="8"/>
  <c r="K3259" i="8"/>
  <c r="L3258" i="8"/>
  <c r="K3258" i="8"/>
  <c r="L3257" i="8"/>
  <c r="K3257" i="8"/>
  <c r="L3256" i="8"/>
  <c r="K3256" i="8"/>
  <c r="L3255" i="8"/>
  <c r="K3255" i="8"/>
  <c r="L3254" i="8"/>
  <c r="K3254" i="8"/>
  <c r="L3253" i="8"/>
  <c r="K3253" i="8"/>
  <c r="L3252" i="8"/>
  <c r="K3252" i="8"/>
  <c r="L3251" i="8"/>
  <c r="K3251" i="8"/>
  <c r="L3250" i="8"/>
  <c r="K3250" i="8"/>
  <c r="L3249" i="8"/>
  <c r="K3249" i="8"/>
  <c r="L3248" i="8"/>
  <c r="K3248" i="8"/>
  <c r="L3247" i="8"/>
  <c r="K3247" i="8"/>
  <c r="L3246" i="8"/>
  <c r="K3246" i="8"/>
  <c r="L3245" i="8"/>
  <c r="K3245" i="8"/>
  <c r="L3244" i="8"/>
  <c r="K3244" i="8"/>
  <c r="L3243" i="8"/>
  <c r="K3243" i="8"/>
  <c r="L3242" i="8"/>
  <c r="K3242" i="8"/>
  <c r="L3241" i="8"/>
  <c r="K3241" i="8"/>
  <c r="L3240" i="8"/>
  <c r="K3240" i="8"/>
  <c r="L3239" i="8"/>
  <c r="K3239" i="8"/>
  <c r="L3238" i="8"/>
  <c r="K3238" i="8"/>
  <c r="L3237" i="8"/>
  <c r="K3237" i="8"/>
  <c r="L3236" i="8"/>
  <c r="K3236" i="8"/>
  <c r="L3235" i="8"/>
  <c r="K3235" i="8"/>
  <c r="L3234" i="8"/>
  <c r="K3234" i="8"/>
  <c r="L3233" i="8"/>
  <c r="K3233" i="8"/>
  <c r="L3232" i="8"/>
  <c r="K3232" i="8"/>
  <c r="L3231" i="8"/>
  <c r="K3231" i="8"/>
  <c r="L3230" i="8"/>
  <c r="K3230" i="8"/>
  <c r="L3229" i="8"/>
  <c r="K3229" i="8"/>
  <c r="L3228" i="8"/>
  <c r="K3228" i="8"/>
  <c r="L3227" i="8"/>
  <c r="K3227" i="8"/>
  <c r="L3226" i="8"/>
  <c r="K3226" i="8"/>
  <c r="L3225" i="8"/>
  <c r="K3225" i="8"/>
  <c r="L3224" i="8"/>
  <c r="K3224" i="8"/>
  <c r="L3223" i="8"/>
  <c r="K3223" i="8"/>
  <c r="L3222" i="8"/>
  <c r="K3222" i="8"/>
  <c r="L3221" i="8"/>
  <c r="K3221" i="8"/>
  <c r="L3220" i="8"/>
  <c r="K3220" i="8"/>
  <c r="L3219" i="8"/>
  <c r="K3219" i="8"/>
  <c r="L3218" i="8"/>
  <c r="K3218" i="8"/>
  <c r="E204" i="15" s="1" a="1"/>
  <c r="E204" i="15" s="1"/>
  <c r="L3217" i="8"/>
  <c r="K3217" i="8"/>
  <c r="L3216" i="8"/>
  <c r="K3216" i="8"/>
  <c r="L3215" i="8"/>
  <c r="K3215" i="8"/>
  <c r="L3214" i="8"/>
  <c r="K3214" i="8"/>
  <c r="L3213" i="8"/>
  <c r="K3213" i="8"/>
  <c r="L3212" i="8"/>
  <c r="K3212" i="8"/>
  <c r="L3211" i="8"/>
  <c r="K3211" i="8"/>
  <c r="L3210" i="8"/>
  <c r="K3210" i="8"/>
  <c r="L3209" i="8"/>
  <c r="K3209" i="8"/>
  <c r="L3208" i="8"/>
  <c r="K3208" i="8"/>
  <c r="L3207" i="8"/>
  <c r="K3207" i="8"/>
  <c r="L3206" i="8"/>
  <c r="K3206" i="8"/>
  <c r="L3205" i="8"/>
  <c r="K3205" i="8"/>
  <c r="L3204" i="8"/>
  <c r="K3204" i="8"/>
  <c r="L3203" i="8"/>
  <c r="K3203" i="8"/>
  <c r="L3202" i="8"/>
  <c r="K3202" i="8"/>
  <c r="L3201" i="8"/>
  <c r="K3201" i="8"/>
  <c r="L3200" i="8"/>
  <c r="K3200" i="8"/>
  <c r="L3199" i="8"/>
  <c r="K3199" i="8"/>
  <c r="L3198" i="8"/>
  <c r="K3198" i="8"/>
  <c r="L3197" i="8"/>
  <c r="K3197" i="8"/>
  <c r="L3196" i="8"/>
  <c r="K3196" i="8"/>
  <c r="L3195" i="8"/>
  <c r="K3195" i="8"/>
  <c r="L3194" i="8"/>
  <c r="K3194" i="8"/>
  <c r="L3193" i="8"/>
  <c r="K3193" i="8"/>
  <c r="L3192" i="8"/>
  <c r="K3192" i="8"/>
  <c r="L3191" i="8"/>
  <c r="K3191" i="8"/>
  <c r="L3190" i="8"/>
  <c r="K3190" i="8"/>
  <c r="L3189" i="8"/>
  <c r="K3189" i="8"/>
  <c r="L3188" i="8"/>
  <c r="K3188" i="8"/>
  <c r="L3187" i="8"/>
  <c r="K3187" i="8"/>
  <c r="L3186" i="8"/>
  <c r="K3186" i="8"/>
  <c r="L3185" i="8"/>
  <c r="K3185" i="8"/>
  <c r="L3184" i="8"/>
  <c r="K3184" i="8"/>
  <c r="L3183" i="8"/>
  <c r="K3183" i="8"/>
  <c r="L3182" i="8"/>
  <c r="K3182" i="8"/>
  <c r="L3181" i="8"/>
  <c r="K3181" i="8"/>
  <c r="L3180" i="8"/>
  <c r="K3180" i="8"/>
  <c r="L3179" i="8"/>
  <c r="K3179" i="8"/>
  <c r="L3178" i="8"/>
  <c r="K3178" i="8"/>
  <c r="L3177" i="8"/>
  <c r="K3177" i="8"/>
  <c r="L3176" i="8"/>
  <c r="K3176" i="8"/>
  <c r="L3175" i="8"/>
  <c r="K3175" i="8"/>
  <c r="L3174" i="8"/>
  <c r="K3174" i="8"/>
  <c r="L3173" i="8"/>
  <c r="K3173" i="8"/>
  <c r="L3172" i="8"/>
  <c r="K3172" i="8"/>
  <c r="L3171" i="8"/>
  <c r="K3171" i="8"/>
  <c r="L3170" i="8"/>
  <c r="K3170" i="8"/>
  <c r="L3169" i="8"/>
  <c r="K3169" i="8"/>
  <c r="L3168" i="8"/>
  <c r="K3168" i="8"/>
  <c r="L3167" i="8"/>
  <c r="K3167" i="8"/>
  <c r="L3166" i="8"/>
  <c r="K3166" i="8"/>
  <c r="L3165" i="8"/>
  <c r="K3165" i="8"/>
  <c r="L3164" i="8"/>
  <c r="K3164" i="8"/>
  <c r="L3163" i="8"/>
  <c r="K3163" i="8"/>
  <c r="L3162" i="8"/>
  <c r="K3162" i="8"/>
  <c r="L3161" i="8"/>
  <c r="K3161" i="8"/>
  <c r="L3160" i="8"/>
  <c r="K3160" i="8"/>
  <c r="L3159" i="8"/>
  <c r="K3159" i="8"/>
  <c r="L3158" i="8"/>
  <c r="K3158" i="8"/>
  <c r="L3157" i="8"/>
  <c r="K3157" i="8"/>
  <c r="L3156" i="8"/>
  <c r="K3156" i="8"/>
  <c r="L3155" i="8"/>
  <c r="K3155" i="8"/>
  <c r="L3154" i="8"/>
  <c r="K3154" i="8"/>
  <c r="L3153" i="8"/>
  <c r="K3153" i="8"/>
  <c r="L3152" i="8"/>
  <c r="K3152" i="8"/>
  <c r="L3151" i="8"/>
  <c r="K3151" i="8"/>
  <c r="L3150" i="8"/>
  <c r="K3150" i="8"/>
  <c r="L3149" i="8"/>
  <c r="K3149" i="8"/>
  <c r="L3148" i="8"/>
  <c r="K3148" i="8"/>
  <c r="L3147" i="8"/>
  <c r="K3147" i="8"/>
  <c r="L3146" i="8"/>
  <c r="K3146" i="8"/>
  <c r="L3145" i="8"/>
  <c r="K3145" i="8"/>
  <c r="L3144" i="8"/>
  <c r="K3144" i="8"/>
  <c r="L3143" i="8"/>
  <c r="K3143" i="8"/>
  <c r="L3142" i="8"/>
  <c r="K3142" i="8"/>
  <c r="L3141" i="8"/>
  <c r="K3141" i="8"/>
  <c r="L3140" i="8"/>
  <c r="K3140" i="8"/>
  <c r="L3139" i="8"/>
  <c r="K3139" i="8"/>
  <c r="L3138" i="8"/>
  <c r="K3138" i="8"/>
  <c r="L3137" i="8"/>
  <c r="K3137" i="8"/>
  <c r="L3136" i="8"/>
  <c r="K3136" i="8"/>
  <c r="L3135" i="8"/>
  <c r="K3135" i="8"/>
  <c r="L3134" i="8"/>
  <c r="K3134" i="8"/>
  <c r="L3133" i="8"/>
  <c r="K3133" i="8"/>
  <c r="L3132" i="8"/>
  <c r="K3132" i="8"/>
  <c r="L3131" i="8"/>
  <c r="K3131" i="8"/>
  <c r="L3130" i="8"/>
  <c r="K3130" i="8"/>
  <c r="L3129" i="8"/>
  <c r="K3129" i="8"/>
  <c r="L3128" i="8"/>
  <c r="K3128" i="8"/>
  <c r="L3127" i="8"/>
  <c r="K3127" i="8"/>
  <c r="L3126" i="8"/>
  <c r="K3126" i="8"/>
  <c r="L3125" i="8"/>
  <c r="K3125" i="8"/>
  <c r="L3124" i="8"/>
  <c r="K3124" i="8"/>
  <c r="L3123" i="8"/>
  <c r="K3123" i="8"/>
  <c r="L3122" i="8"/>
  <c r="K3122" i="8"/>
  <c r="L3121" i="8"/>
  <c r="K3121" i="8"/>
  <c r="L3120" i="8"/>
  <c r="K3120" i="8"/>
  <c r="L3119" i="8"/>
  <c r="K3119" i="8"/>
  <c r="L3118" i="8"/>
  <c r="K3118" i="8"/>
  <c r="E207" i="15" s="1" a="1"/>
  <c r="E207" i="15" s="1"/>
  <c r="L3117" i="8"/>
  <c r="K3117" i="8"/>
  <c r="L3116" i="8"/>
  <c r="K3116" i="8"/>
  <c r="L3115" i="8"/>
  <c r="K3115" i="8"/>
  <c r="L3114" i="8"/>
  <c r="K3114" i="8"/>
  <c r="L3113" i="8"/>
  <c r="K3113" i="8"/>
  <c r="L3112" i="8"/>
  <c r="K3112" i="8"/>
  <c r="L3111" i="8"/>
  <c r="K3111" i="8"/>
  <c r="L3110" i="8"/>
  <c r="K3110" i="8"/>
  <c r="L3109" i="8"/>
  <c r="K3109" i="8"/>
  <c r="L3108" i="8"/>
  <c r="K3108" i="8"/>
  <c r="L3107" i="8"/>
  <c r="K3107" i="8"/>
  <c r="L3106" i="8"/>
  <c r="K3106" i="8"/>
  <c r="L3105" i="8"/>
  <c r="K3105" i="8"/>
  <c r="L3104" i="8"/>
  <c r="K3104" i="8"/>
  <c r="L3103" i="8"/>
  <c r="K3103" i="8"/>
  <c r="L3102" i="8"/>
  <c r="K3102" i="8"/>
  <c r="L3101" i="8"/>
  <c r="K3101" i="8"/>
  <c r="L3100" i="8"/>
  <c r="K3100" i="8"/>
  <c r="L3099" i="8"/>
  <c r="K3099" i="8"/>
  <c r="L3098" i="8"/>
  <c r="K3098" i="8"/>
  <c r="L3097" i="8"/>
  <c r="K3097" i="8"/>
  <c r="L3096" i="8"/>
  <c r="K3096" i="8"/>
  <c r="E208" i="15" s="1" a="1"/>
  <c r="E208" i="15" s="1"/>
  <c r="L3095" i="8"/>
  <c r="K3095" i="8"/>
  <c r="L3094" i="8"/>
  <c r="K3094" i="8"/>
  <c r="L3093" i="8"/>
  <c r="K3093" i="8"/>
  <c r="L3092" i="8"/>
  <c r="K3092" i="8"/>
  <c r="L3091" i="8"/>
  <c r="K3091" i="8"/>
  <c r="L3090" i="8"/>
  <c r="K3090" i="8"/>
  <c r="L3089" i="8"/>
  <c r="K3089" i="8"/>
  <c r="L3088" i="8"/>
  <c r="K3088" i="8"/>
  <c r="L3087" i="8"/>
  <c r="K3087" i="8"/>
  <c r="L3086" i="8"/>
  <c r="K3086" i="8"/>
  <c r="L3085" i="8"/>
  <c r="K3085" i="8"/>
  <c r="L3084" i="8"/>
  <c r="K3084" i="8"/>
  <c r="L3083" i="8"/>
  <c r="K3083" i="8"/>
  <c r="L3082" i="8"/>
  <c r="K3082" i="8"/>
  <c r="L3081" i="8"/>
  <c r="K3081" i="8"/>
  <c r="L3080" i="8"/>
  <c r="K3080" i="8"/>
  <c r="L3079" i="8"/>
  <c r="K3079" i="8"/>
  <c r="L3078" i="8"/>
  <c r="K3078" i="8"/>
  <c r="L3077" i="8"/>
  <c r="K3077" i="8"/>
  <c r="L3076" i="8"/>
  <c r="K3076" i="8"/>
  <c r="L3075" i="8"/>
  <c r="K3075" i="8"/>
  <c r="L3074" i="8"/>
  <c r="K3074" i="8"/>
  <c r="L3073" i="8"/>
  <c r="K3073" i="8"/>
  <c r="L3072" i="8"/>
  <c r="K3072" i="8"/>
  <c r="L3071" i="8"/>
  <c r="K3071" i="8"/>
  <c r="L3070" i="8"/>
  <c r="K3070" i="8"/>
  <c r="G3451" i="8"/>
  <c r="G3450" i="8"/>
  <c r="G3449" i="8"/>
  <c r="G3448" i="8"/>
  <c r="G3447" i="8"/>
  <c r="G3446" i="8"/>
  <c r="G3445" i="8"/>
  <c r="G3444" i="8"/>
  <c r="G3443" i="8"/>
  <c r="G3442" i="8"/>
  <c r="G3441" i="8"/>
  <c r="G3440" i="8"/>
  <c r="G3439" i="8"/>
  <c r="G3438" i="8"/>
  <c r="G3437" i="8"/>
  <c r="G3436" i="8"/>
  <c r="G3435" i="8"/>
  <c r="G3434" i="8"/>
  <c r="G3433" i="8"/>
  <c r="G3432" i="8"/>
  <c r="G3431" i="8"/>
  <c r="G3430" i="8"/>
  <c r="G3429" i="8"/>
  <c r="G3428" i="8"/>
  <c r="G3427" i="8"/>
  <c r="G3426" i="8"/>
  <c r="G3425" i="8"/>
  <c r="G3424" i="8"/>
  <c r="G3423" i="8"/>
  <c r="G3422" i="8"/>
  <c r="G3421" i="8"/>
  <c r="G3420" i="8"/>
  <c r="G3419" i="8"/>
  <c r="G3418" i="8"/>
  <c r="G3417" i="8"/>
  <c r="G3416" i="8"/>
  <c r="G3415" i="8"/>
  <c r="G3414" i="8"/>
  <c r="G3413" i="8"/>
  <c r="G3412" i="8"/>
  <c r="G3411" i="8"/>
  <c r="G3410" i="8"/>
  <c r="G3409" i="8"/>
  <c r="G3408" i="8"/>
  <c r="G3407" i="8"/>
  <c r="G3406" i="8"/>
  <c r="G3405" i="8"/>
  <c r="G3404" i="8"/>
  <c r="G3403" i="8"/>
  <c r="G3402" i="8"/>
  <c r="G3401" i="8"/>
  <c r="G3400" i="8"/>
  <c r="G3399" i="8"/>
  <c r="G3398" i="8"/>
  <c r="G3397" i="8"/>
  <c r="G3396" i="8"/>
  <c r="G3395" i="8"/>
  <c r="G3394" i="8"/>
  <c r="G3393" i="8"/>
  <c r="G3392" i="8"/>
  <c r="G3391" i="8"/>
  <c r="G3390" i="8"/>
  <c r="G3389" i="8"/>
  <c r="G3388" i="8"/>
  <c r="G3387" i="8"/>
  <c r="G3386" i="8"/>
  <c r="G3385" i="8"/>
  <c r="G3384" i="8"/>
  <c r="G3383" i="8"/>
  <c r="G3382" i="8"/>
  <c r="G3381" i="8"/>
  <c r="G3380" i="8"/>
  <c r="G3379" i="8"/>
  <c r="G3378" i="8"/>
  <c r="G3377" i="8"/>
  <c r="G3376" i="8"/>
  <c r="G3375" i="8"/>
  <c r="G3374" i="8"/>
  <c r="G3373" i="8"/>
  <c r="G3372" i="8"/>
  <c r="G3371" i="8"/>
  <c r="G3370" i="8"/>
  <c r="G3369" i="8"/>
  <c r="G3368" i="8"/>
  <c r="G3367" i="8"/>
  <c r="G3366" i="8"/>
  <c r="G3365" i="8"/>
  <c r="G3364" i="8"/>
  <c r="G3363" i="8"/>
  <c r="G3362" i="8"/>
  <c r="G3361" i="8"/>
  <c r="G3360" i="8"/>
  <c r="G3359" i="8"/>
  <c r="G3358" i="8"/>
  <c r="G3357" i="8"/>
  <c r="G3356" i="8"/>
  <c r="G3355" i="8"/>
  <c r="G3354" i="8"/>
  <c r="G3353" i="8"/>
  <c r="G3352" i="8"/>
  <c r="G3351" i="8"/>
  <c r="G3350" i="8"/>
  <c r="G3349" i="8"/>
  <c r="G3348" i="8"/>
  <c r="G3347" i="8"/>
  <c r="G3346" i="8"/>
  <c r="G3345" i="8"/>
  <c r="G3344" i="8"/>
  <c r="G3343" i="8"/>
  <c r="G3342" i="8"/>
  <c r="G3341" i="8"/>
  <c r="G3340" i="8"/>
  <c r="G3339" i="8"/>
  <c r="G3338" i="8"/>
  <c r="G3337" i="8"/>
  <c r="G3336" i="8"/>
  <c r="G3335" i="8"/>
  <c r="G3334" i="8"/>
  <c r="G3333" i="8"/>
  <c r="G3332" i="8"/>
  <c r="G3331" i="8"/>
  <c r="G3330" i="8"/>
  <c r="G3329" i="8"/>
  <c r="G3328" i="8"/>
  <c r="G3327" i="8"/>
  <c r="G3326" i="8"/>
  <c r="G3325" i="8"/>
  <c r="G3324" i="8"/>
  <c r="G3323" i="8"/>
  <c r="G3322" i="8"/>
  <c r="G3321" i="8"/>
  <c r="G3320" i="8"/>
  <c r="G3319" i="8"/>
  <c r="G3318" i="8"/>
  <c r="G3317" i="8"/>
  <c r="G3316" i="8"/>
  <c r="G3315" i="8"/>
  <c r="G3314" i="8"/>
  <c r="G3313" i="8"/>
  <c r="G3312" i="8"/>
  <c r="G3311" i="8"/>
  <c r="G3310" i="8"/>
  <c r="G3309" i="8"/>
  <c r="G3308" i="8"/>
  <c r="G3307" i="8"/>
  <c r="G3306" i="8"/>
  <c r="G3305" i="8"/>
  <c r="G3304" i="8"/>
  <c r="G3303" i="8"/>
  <c r="G3302" i="8"/>
  <c r="G3301" i="8"/>
  <c r="G3300" i="8"/>
  <c r="G3299" i="8"/>
  <c r="G3298" i="8"/>
  <c r="G3297" i="8"/>
  <c r="G3296" i="8"/>
  <c r="G3295" i="8"/>
  <c r="G3294" i="8"/>
  <c r="G3293" i="8"/>
  <c r="G3292" i="8"/>
  <c r="G3291" i="8"/>
  <c r="G3290" i="8"/>
  <c r="G3289" i="8"/>
  <c r="G3288" i="8"/>
  <c r="G3287" i="8"/>
  <c r="G3286" i="8"/>
  <c r="G3285" i="8"/>
  <c r="G3284" i="8"/>
  <c r="G3283" i="8"/>
  <c r="G3282" i="8"/>
  <c r="G3281" i="8"/>
  <c r="G3280" i="8"/>
  <c r="G3279" i="8"/>
  <c r="G3278" i="8"/>
  <c r="G3277" i="8"/>
  <c r="G3276" i="8"/>
  <c r="G3275" i="8"/>
  <c r="G3274" i="8"/>
  <c r="G3273" i="8"/>
  <c r="G3272" i="8"/>
  <c r="G3271" i="8"/>
  <c r="G3270" i="8"/>
  <c r="G3269" i="8"/>
  <c r="G3268" i="8"/>
  <c r="G3267" i="8"/>
  <c r="G3266" i="8"/>
  <c r="G3265" i="8"/>
  <c r="G3264" i="8"/>
  <c r="G3263" i="8"/>
  <c r="G3262" i="8"/>
  <c r="G3261" i="8"/>
  <c r="G3260" i="8"/>
  <c r="G3259" i="8"/>
  <c r="G3258" i="8"/>
  <c r="G3257" i="8"/>
  <c r="G3256" i="8"/>
  <c r="G3255" i="8"/>
  <c r="G3254" i="8"/>
  <c r="G3253" i="8"/>
  <c r="G3252" i="8"/>
  <c r="G3251" i="8"/>
  <c r="G3250" i="8"/>
  <c r="G3249" i="8"/>
  <c r="G3248" i="8"/>
  <c r="G3247" i="8"/>
  <c r="G3246" i="8"/>
  <c r="G3245" i="8"/>
  <c r="G3244" i="8"/>
  <c r="G3243" i="8"/>
  <c r="G3242" i="8"/>
  <c r="G3241" i="8"/>
  <c r="G3240" i="8"/>
  <c r="G3239" i="8"/>
  <c r="G3238" i="8"/>
  <c r="G3237" i="8"/>
  <c r="G3236" i="8"/>
  <c r="G3235" i="8"/>
  <c r="G3234" i="8"/>
  <c r="G3233" i="8"/>
  <c r="G3232" i="8"/>
  <c r="G3231" i="8"/>
  <c r="G3230" i="8"/>
  <c r="G3229" i="8"/>
  <c r="G3228" i="8"/>
  <c r="G3227" i="8"/>
  <c r="G3226" i="8"/>
  <c r="G3225" i="8"/>
  <c r="G3224" i="8"/>
  <c r="G3223" i="8"/>
  <c r="G3222" i="8"/>
  <c r="G3221" i="8"/>
  <c r="G3220" i="8"/>
  <c r="G3219" i="8"/>
  <c r="G3218" i="8"/>
  <c r="G3217" i="8"/>
  <c r="G3216" i="8"/>
  <c r="G3215" i="8"/>
  <c r="G3214" i="8"/>
  <c r="G3213" i="8"/>
  <c r="G3212" i="8"/>
  <c r="G3211" i="8"/>
  <c r="G3210" i="8"/>
  <c r="G3209" i="8"/>
  <c r="G3208" i="8"/>
  <c r="G3207" i="8"/>
  <c r="G3206" i="8"/>
  <c r="G3205" i="8"/>
  <c r="G3204" i="8"/>
  <c r="G3203" i="8"/>
  <c r="G3202" i="8"/>
  <c r="G3201" i="8"/>
  <c r="G3200" i="8"/>
  <c r="G3199" i="8"/>
  <c r="G3198" i="8"/>
  <c r="G3197" i="8"/>
  <c r="G3196" i="8"/>
  <c r="G3195" i="8"/>
  <c r="G3194" i="8"/>
  <c r="G3193" i="8"/>
  <c r="G3192" i="8"/>
  <c r="G3191" i="8"/>
  <c r="G3190" i="8"/>
  <c r="G3189" i="8"/>
  <c r="G3188" i="8"/>
  <c r="G3187" i="8"/>
  <c r="G3186" i="8"/>
  <c r="G3185" i="8"/>
  <c r="G3184" i="8"/>
  <c r="G3183" i="8"/>
  <c r="G3182" i="8"/>
  <c r="G3181" i="8"/>
  <c r="G3180" i="8"/>
  <c r="G3179" i="8"/>
  <c r="G3178" i="8"/>
  <c r="G3177" i="8"/>
  <c r="G3176" i="8"/>
  <c r="G3175" i="8"/>
  <c r="G3174" i="8"/>
  <c r="G3173" i="8"/>
  <c r="G3172" i="8"/>
  <c r="G3171" i="8"/>
  <c r="G3170" i="8"/>
  <c r="G3169" i="8"/>
  <c r="G3168" i="8"/>
  <c r="G3167" i="8"/>
  <c r="G3166" i="8"/>
  <c r="G3165" i="8"/>
  <c r="G3164" i="8"/>
  <c r="G3163" i="8"/>
  <c r="G3162" i="8"/>
  <c r="G3161" i="8"/>
  <c r="G3160" i="8"/>
  <c r="G3159" i="8"/>
  <c r="G3158" i="8"/>
  <c r="G3157" i="8"/>
  <c r="G3156" i="8"/>
  <c r="G3155" i="8"/>
  <c r="G3154" i="8"/>
  <c r="G3153" i="8"/>
  <c r="G3152" i="8"/>
  <c r="G3151" i="8"/>
  <c r="G3150" i="8"/>
  <c r="G3149" i="8"/>
  <c r="G3148" i="8"/>
  <c r="G3147" i="8"/>
  <c r="G3146" i="8"/>
  <c r="G3145" i="8"/>
  <c r="G3144" i="8"/>
  <c r="G3143" i="8"/>
  <c r="G3142" i="8"/>
  <c r="G3141" i="8"/>
  <c r="G3140" i="8"/>
  <c r="G3139" i="8"/>
  <c r="G3138" i="8"/>
  <c r="G3137" i="8"/>
  <c r="G3136" i="8"/>
  <c r="G3135" i="8"/>
  <c r="G3134" i="8"/>
  <c r="G3133" i="8"/>
  <c r="G3132" i="8"/>
  <c r="G3131" i="8"/>
  <c r="G3130" i="8"/>
  <c r="G3129" i="8"/>
  <c r="G3128" i="8"/>
  <c r="G3127" i="8"/>
  <c r="G3126" i="8"/>
  <c r="G3125" i="8"/>
  <c r="G3124" i="8"/>
  <c r="G3123" i="8"/>
  <c r="G3122" i="8"/>
  <c r="G3121" i="8"/>
  <c r="G3120" i="8"/>
  <c r="G3119" i="8"/>
  <c r="G3118" i="8"/>
  <c r="G3117" i="8"/>
  <c r="G3116" i="8"/>
  <c r="G3115" i="8"/>
  <c r="G3114" i="8"/>
  <c r="G3113" i="8"/>
  <c r="G3112" i="8"/>
  <c r="G3111" i="8"/>
  <c r="G3110" i="8"/>
  <c r="G3109" i="8"/>
  <c r="G3108" i="8"/>
  <c r="G3107" i="8"/>
  <c r="G3106" i="8"/>
  <c r="G3105" i="8"/>
  <c r="G3104" i="8"/>
  <c r="G3103" i="8"/>
  <c r="G3102" i="8"/>
  <c r="G3101" i="8"/>
  <c r="G3100" i="8"/>
  <c r="G3099" i="8"/>
  <c r="G3098" i="8"/>
  <c r="G3097" i="8"/>
  <c r="G3096" i="8"/>
  <c r="G3095" i="8"/>
  <c r="G3094" i="8"/>
  <c r="G3093" i="8"/>
  <c r="G3092" i="8"/>
  <c r="G3091" i="8"/>
  <c r="G3090" i="8"/>
  <c r="G3089" i="8"/>
  <c r="G3088" i="8"/>
  <c r="G3087" i="8"/>
  <c r="G3086" i="8"/>
  <c r="G3085" i="8"/>
  <c r="G3084" i="8"/>
  <c r="G3083" i="8"/>
  <c r="G3082" i="8"/>
  <c r="G3081" i="8"/>
  <c r="G3080" i="8"/>
  <c r="G3079" i="8"/>
  <c r="G3078" i="8"/>
  <c r="G3077" i="8"/>
  <c r="G3076" i="8"/>
  <c r="G3075" i="8"/>
  <c r="G3074" i="8"/>
  <c r="G3073" i="8"/>
  <c r="G3072" i="8"/>
  <c r="G3071" i="8"/>
  <c r="G3070" i="8"/>
  <c r="Y369" i="17"/>
  <c r="X369" i="17"/>
  <c r="W369" i="17"/>
  <c r="V369" i="17"/>
  <c r="U369" i="17"/>
  <c r="T369" i="17"/>
  <c r="S369" i="17"/>
  <c r="R369" i="17"/>
  <c r="Q369" i="17"/>
  <c r="P369" i="17"/>
  <c r="O369" i="17"/>
  <c r="N369" i="17"/>
  <c r="M369" i="17"/>
  <c r="J369" i="17"/>
  <c r="I369" i="17"/>
  <c r="H369" i="17"/>
  <c r="E369" i="17"/>
  <c r="F369" i="17" s="1"/>
  <c r="Y368" i="17"/>
  <c r="X368" i="17"/>
  <c r="W368" i="17"/>
  <c r="V368" i="17"/>
  <c r="U368" i="17"/>
  <c r="T368" i="17"/>
  <c r="S368" i="17"/>
  <c r="R368" i="17"/>
  <c r="Q368" i="17"/>
  <c r="P368" i="17"/>
  <c r="O368" i="17"/>
  <c r="N368" i="17"/>
  <c r="M368" i="17"/>
  <c r="J368" i="17"/>
  <c r="I368" i="17"/>
  <c r="H368" i="17"/>
  <c r="E368" i="17"/>
  <c r="F368" i="17" s="1"/>
  <c r="Y367" i="17"/>
  <c r="X367" i="17"/>
  <c r="W367" i="17"/>
  <c r="V367" i="17"/>
  <c r="U367" i="17"/>
  <c r="T367" i="17"/>
  <c r="S367" i="17"/>
  <c r="R367" i="17"/>
  <c r="Q367" i="17"/>
  <c r="P367" i="17"/>
  <c r="O367" i="17"/>
  <c r="N367" i="17"/>
  <c r="M367" i="17"/>
  <c r="J367" i="17"/>
  <c r="I367" i="17"/>
  <c r="H367" i="17"/>
  <c r="E367" i="17"/>
  <c r="F367" i="17" s="1"/>
  <c r="Y366" i="17"/>
  <c r="X366" i="17"/>
  <c r="W366" i="17"/>
  <c r="V366" i="17"/>
  <c r="U366" i="17"/>
  <c r="T366" i="17"/>
  <c r="S366" i="17"/>
  <c r="R366" i="17"/>
  <c r="Q366" i="17"/>
  <c r="P366" i="17"/>
  <c r="O366" i="17"/>
  <c r="N366" i="17"/>
  <c r="M366" i="17"/>
  <c r="J366" i="17"/>
  <c r="I366" i="17"/>
  <c r="H366" i="17"/>
  <c r="E366" i="17"/>
  <c r="F366" i="17" s="1"/>
  <c r="Y365" i="17"/>
  <c r="X365" i="17"/>
  <c r="W365" i="17"/>
  <c r="V365" i="17"/>
  <c r="U365" i="17"/>
  <c r="T365" i="17"/>
  <c r="S365" i="17"/>
  <c r="R365" i="17"/>
  <c r="Q365" i="17"/>
  <c r="P365" i="17"/>
  <c r="O365" i="17"/>
  <c r="N365" i="17"/>
  <c r="M365" i="17"/>
  <c r="J365" i="17"/>
  <c r="I365" i="17"/>
  <c r="H365" i="17"/>
  <c r="E365" i="17"/>
  <c r="F365" i="17" s="1"/>
  <c r="Y364" i="17"/>
  <c r="X364" i="17"/>
  <c r="W364" i="17"/>
  <c r="V364" i="17"/>
  <c r="U364" i="17"/>
  <c r="T364" i="17"/>
  <c r="S364" i="17"/>
  <c r="R364" i="17"/>
  <c r="Q364" i="17"/>
  <c r="P364" i="17"/>
  <c r="O364" i="17"/>
  <c r="N364" i="17"/>
  <c r="M364" i="17"/>
  <c r="J364" i="17"/>
  <c r="I364" i="17"/>
  <c r="H364" i="17"/>
  <c r="F364" i="17"/>
  <c r="E364" i="17"/>
  <c r="Y363" i="17"/>
  <c r="X363" i="17"/>
  <c r="W363" i="17"/>
  <c r="V363" i="17"/>
  <c r="U363" i="17"/>
  <c r="T363" i="17"/>
  <c r="S363" i="17"/>
  <c r="R363" i="17"/>
  <c r="Q363" i="17"/>
  <c r="P363" i="17"/>
  <c r="O363" i="17"/>
  <c r="N363" i="17"/>
  <c r="M363" i="17"/>
  <c r="J363" i="17"/>
  <c r="I363" i="17"/>
  <c r="H363" i="17"/>
  <c r="E363" i="17"/>
  <c r="F363" i="17" s="1"/>
  <c r="Y362" i="17"/>
  <c r="X362" i="17"/>
  <c r="W362" i="17"/>
  <c r="V362" i="17"/>
  <c r="U362" i="17"/>
  <c r="T362" i="17"/>
  <c r="S362" i="17"/>
  <c r="R362" i="17"/>
  <c r="Q362" i="17"/>
  <c r="P362" i="17"/>
  <c r="O362" i="17"/>
  <c r="N362" i="17"/>
  <c r="M362" i="17"/>
  <c r="J362" i="17"/>
  <c r="I362" i="17"/>
  <c r="H362" i="17"/>
  <c r="D362" i="17"/>
  <c r="D364" i="17" s="1"/>
  <c r="D366" i="17" s="1"/>
  <c r="D368" i="17" s="1"/>
  <c r="D370" i="17" s="1"/>
  <c r="D372" i="17" s="1"/>
  <c r="D374" i="17" s="1"/>
  <c r="D376" i="17" s="1"/>
  <c r="D378" i="17" s="1"/>
  <c r="D380" i="17" s="1"/>
  <c r="D382" i="17" s="1"/>
  <c r="D361" i="17"/>
  <c r="D363" i="17" s="1"/>
  <c r="D365" i="17" s="1"/>
  <c r="D367" i="17" s="1"/>
  <c r="D369" i="17" s="1"/>
  <c r="D371" i="17" s="1"/>
  <c r="D373" i="17" s="1"/>
  <c r="D375" i="17" s="1"/>
  <c r="D377" i="17" s="1"/>
  <c r="D379" i="17" s="1"/>
  <c r="D381" i="17" s="1"/>
  <c r="D383" i="17" s="1"/>
  <c r="E361" i="17"/>
  <c r="F361" i="17" s="1"/>
  <c r="E360" i="17"/>
  <c r="F360" i="17" s="1"/>
  <c r="E359" i="17"/>
  <c r="F359" i="17" s="1"/>
  <c r="E358" i="17"/>
  <c r="F358" i="17" s="1"/>
  <c r="E357" i="17"/>
  <c r="F357" i="17" s="1"/>
  <c r="E356" i="17"/>
  <c r="F356" i="17" s="1"/>
  <c r="E355" i="17"/>
  <c r="F355" i="17" s="1"/>
  <c r="E354" i="17"/>
  <c r="F354" i="17" s="1"/>
  <c r="E353" i="17"/>
  <c r="F353" i="17" s="1"/>
  <c r="E352" i="17"/>
  <c r="F352" i="17" s="1"/>
  <c r="E351" i="17"/>
  <c r="F351" i="17" s="1"/>
  <c r="E350" i="17"/>
  <c r="F350" i="17" s="1"/>
  <c r="E349" i="17"/>
  <c r="F349" i="17" s="1"/>
  <c r="E348" i="17"/>
  <c r="F348" i="17" s="1"/>
  <c r="E347" i="17"/>
  <c r="F347" i="17" s="1"/>
  <c r="E346" i="17"/>
  <c r="F346" i="17" s="1"/>
  <c r="E345" i="17"/>
  <c r="F345" i="17" s="1"/>
  <c r="E344" i="17"/>
  <c r="F344" i="17" s="1"/>
  <c r="E343" i="17"/>
  <c r="F343" i="17" s="1"/>
  <c r="E342" i="17"/>
  <c r="F342" i="17" s="1"/>
  <c r="E341" i="17"/>
  <c r="F341" i="17" s="1"/>
  <c r="E340" i="17"/>
  <c r="F340" i="17" s="1"/>
  <c r="E339" i="17"/>
  <c r="F339" i="17" s="1"/>
  <c r="E338" i="17"/>
  <c r="F338" i="17" s="1"/>
  <c r="E337" i="17"/>
  <c r="F337" i="17" s="1"/>
  <c r="E336" i="17"/>
  <c r="F336" i="17" s="1"/>
  <c r="E335" i="17"/>
  <c r="F335" i="17" s="1"/>
  <c r="E334" i="17"/>
  <c r="F334" i="17" s="1"/>
  <c r="E333" i="17"/>
  <c r="F333" i="17" s="1"/>
  <c r="E332" i="17"/>
  <c r="F332" i="17" s="1"/>
  <c r="E331" i="17"/>
  <c r="F331" i="17" s="1"/>
  <c r="E330" i="17"/>
  <c r="F330" i="17" s="1"/>
  <c r="E329" i="17"/>
  <c r="F329" i="17" s="1"/>
  <c r="E328" i="17"/>
  <c r="F328" i="17" s="1"/>
  <c r="E327" i="17"/>
  <c r="F327" i="17" s="1"/>
  <c r="E326" i="17"/>
  <c r="F326" i="17" s="1"/>
  <c r="E325" i="17"/>
  <c r="F325" i="17" s="1"/>
  <c r="E324" i="17"/>
  <c r="F324" i="17" s="1"/>
  <c r="E323" i="17"/>
  <c r="F323" i="17" s="1"/>
  <c r="Y361" i="17"/>
  <c r="X361" i="17"/>
  <c r="W361" i="17"/>
  <c r="V361" i="17"/>
  <c r="U361" i="17"/>
  <c r="T361" i="17"/>
  <c r="S361" i="17"/>
  <c r="R361" i="17"/>
  <c r="Q361" i="17"/>
  <c r="P361" i="17"/>
  <c r="O361" i="17"/>
  <c r="N361" i="17"/>
  <c r="M361" i="17"/>
  <c r="J361" i="17"/>
  <c r="I361" i="17"/>
  <c r="H361" i="17"/>
  <c r="Y360" i="17"/>
  <c r="X360" i="17"/>
  <c r="W360" i="17"/>
  <c r="V360" i="17"/>
  <c r="U360" i="17"/>
  <c r="T360" i="17"/>
  <c r="S360" i="17"/>
  <c r="R360" i="17"/>
  <c r="Q360" i="17"/>
  <c r="P360" i="17"/>
  <c r="O360" i="17"/>
  <c r="N360" i="17"/>
  <c r="M360" i="17"/>
  <c r="J360" i="17"/>
  <c r="I360" i="17"/>
  <c r="H360" i="17"/>
  <c r="Y359" i="17"/>
  <c r="X359" i="17"/>
  <c r="W359" i="17"/>
  <c r="V359" i="17"/>
  <c r="U359" i="17"/>
  <c r="T359" i="17"/>
  <c r="S359" i="17"/>
  <c r="R359" i="17"/>
  <c r="Q359" i="17"/>
  <c r="P359" i="17"/>
  <c r="O359" i="17"/>
  <c r="N359" i="17"/>
  <c r="M359" i="17"/>
  <c r="J359" i="17"/>
  <c r="I359" i="17"/>
  <c r="H359" i="17"/>
  <c r="Y358" i="17"/>
  <c r="X358" i="17"/>
  <c r="W358" i="17"/>
  <c r="V358" i="17"/>
  <c r="U358" i="17"/>
  <c r="T358" i="17"/>
  <c r="S358" i="17"/>
  <c r="R358" i="17"/>
  <c r="Q358" i="17"/>
  <c r="P358" i="17"/>
  <c r="O358" i="17"/>
  <c r="N358" i="17"/>
  <c r="M358" i="17"/>
  <c r="J358" i="17"/>
  <c r="I358" i="17"/>
  <c r="H358" i="17"/>
  <c r="Y357" i="17"/>
  <c r="X357" i="17"/>
  <c r="W357" i="17"/>
  <c r="V357" i="17"/>
  <c r="U357" i="17"/>
  <c r="T357" i="17"/>
  <c r="S357" i="17"/>
  <c r="R357" i="17"/>
  <c r="Q357" i="17"/>
  <c r="P357" i="17"/>
  <c r="O357" i="17"/>
  <c r="N357" i="17"/>
  <c r="M357" i="17"/>
  <c r="J357" i="17"/>
  <c r="I357" i="17"/>
  <c r="H357" i="17"/>
  <c r="Y356" i="17"/>
  <c r="X356" i="17"/>
  <c r="W356" i="17"/>
  <c r="V356" i="17"/>
  <c r="U356" i="17"/>
  <c r="T356" i="17"/>
  <c r="S356" i="17"/>
  <c r="R356" i="17"/>
  <c r="Q356" i="17"/>
  <c r="P356" i="17"/>
  <c r="O356" i="17"/>
  <c r="N356" i="17"/>
  <c r="M356" i="17"/>
  <c r="J356" i="17"/>
  <c r="I356" i="17"/>
  <c r="H356" i="17"/>
  <c r="Y355" i="17"/>
  <c r="X355" i="17"/>
  <c r="W355" i="17"/>
  <c r="V355" i="17"/>
  <c r="U355" i="17"/>
  <c r="T355" i="17"/>
  <c r="S355" i="17"/>
  <c r="R355" i="17"/>
  <c r="Q355" i="17"/>
  <c r="P355" i="17"/>
  <c r="O355" i="17"/>
  <c r="N355" i="17"/>
  <c r="M355" i="17"/>
  <c r="J355" i="17"/>
  <c r="I355" i="17"/>
  <c r="H355" i="17"/>
  <c r="Y354" i="17"/>
  <c r="X354" i="17"/>
  <c r="W354" i="17"/>
  <c r="V354" i="17"/>
  <c r="U354" i="17"/>
  <c r="T354" i="17"/>
  <c r="S354" i="17"/>
  <c r="R354" i="17"/>
  <c r="Q354" i="17"/>
  <c r="P354" i="17"/>
  <c r="O354" i="17"/>
  <c r="N354" i="17"/>
  <c r="M354" i="17"/>
  <c r="J354" i="17"/>
  <c r="I354" i="17"/>
  <c r="H354" i="17"/>
  <c r="Y353" i="17"/>
  <c r="X353" i="17"/>
  <c r="W353" i="17"/>
  <c r="V353" i="17"/>
  <c r="U353" i="17"/>
  <c r="T353" i="17"/>
  <c r="S353" i="17"/>
  <c r="R353" i="17"/>
  <c r="Q353" i="17"/>
  <c r="P353" i="17"/>
  <c r="O353" i="17"/>
  <c r="N353" i="17"/>
  <c r="M353" i="17"/>
  <c r="J353" i="17"/>
  <c r="I353" i="17"/>
  <c r="H353" i="17"/>
  <c r="Y352" i="17"/>
  <c r="X352" i="17"/>
  <c r="W352" i="17"/>
  <c r="V352" i="17"/>
  <c r="U352" i="17"/>
  <c r="T352" i="17"/>
  <c r="S352" i="17"/>
  <c r="R352" i="17"/>
  <c r="Q352" i="17"/>
  <c r="P352" i="17"/>
  <c r="O352" i="17"/>
  <c r="N352" i="17"/>
  <c r="M352" i="17"/>
  <c r="J352" i="17"/>
  <c r="I352" i="17"/>
  <c r="H352" i="17"/>
  <c r="Y351" i="17"/>
  <c r="X351" i="17"/>
  <c r="W351" i="17"/>
  <c r="V351" i="17"/>
  <c r="U351" i="17"/>
  <c r="T351" i="17"/>
  <c r="S351" i="17"/>
  <c r="R351" i="17"/>
  <c r="Q351" i="17"/>
  <c r="P351" i="17"/>
  <c r="O351" i="17"/>
  <c r="N351" i="17"/>
  <c r="M351" i="17"/>
  <c r="J351" i="17"/>
  <c r="I351" i="17"/>
  <c r="H351" i="17"/>
  <c r="Y350" i="17"/>
  <c r="X350" i="17"/>
  <c r="W350" i="17"/>
  <c r="V350" i="17"/>
  <c r="U350" i="17"/>
  <c r="T350" i="17"/>
  <c r="S350" i="17"/>
  <c r="R350" i="17"/>
  <c r="Q350" i="17"/>
  <c r="P350" i="17"/>
  <c r="O350" i="17"/>
  <c r="N350" i="17"/>
  <c r="M350" i="17"/>
  <c r="J350" i="17"/>
  <c r="I350" i="17"/>
  <c r="H350" i="17"/>
  <c r="Y349" i="17"/>
  <c r="X349" i="17"/>
  <c r="W349" i="17"/>
  <c r="V349" i="17"/>
  <c r="U349" i="17"/>
  <c r="T349" i="17"/>
  <c r="S349" i="17"/>
  <c r="R349" i="17"/>
  <c r="Q349" i="17"/>
  <c r="P349" i="17"/>
  <c r="O349" i="17"/>
  <c r="N349" i="17"/>
  <c r="M349" i="17"/>
  <c r="J349" i="17"/>
  <c r="I349" i="17"/>
  <c r="H349" i="17"/>
  <c r="Y348" i="17"/>
  <c r="X348" i="17"/>
  <c r="W348" i="17"/>
  <c r="V348" i="17"/>
  <c r="U348" i="17"/>
  <c r="T348" i="17"/>
  <c r="S348" i="17"/>
  <c r="R348" i="17"/>
  <c r="Q348" i="17"/>
  <c r="P348" i="17"/>
  <c r="O348" i="17"/>
  <c r="N348" i="17"/>
  <c r="M348" i="17"/>
  <c r="J348" i="17"/>
  <c r="I348" i="17"/>
  <c r="H348" i="17"/>
  <c r="Y347" i="17"/>
  <c r="X347" i="17"/>
  <c r="W347" i="17"/>
  <c r="V347" i="17"/>
  <c r="U347" i="17"/>
  <c r="T347" i="17"/>
  <c r="S347" i="17"/>
  <c r="R347" i="17"/>
  <c r="Q347" i="17"/>
  <c r="P347" i="17"/>
  <c r="O347" i="17"/>
  <c r="N347" i="17"/>
  <c r="M347" i="17"/>
  <c r="J347" i="17"/>
  <c r="I347" i="17"/>
  <c r="H347" i="17"/>
  <c r="Y346" i="17"/>
  <c r="X346" i="17"/>
  <c r="W346" i="17"/>
  <c r="V346" i="17"/>
  <c r="U346" i="17"/>
  <c r="T346" i="17"/>
  <c r="S346" i="17"/>
  <c r="R346" i="17"/>
  <c r="Q346" i="17"/>
  <c r="P346" i="17"/>
  <c r="O346" i="17"/>
  <c r="N346" i="17"/>
  <c r="M346" i="17"/>
  <c r="J346" i="17"/>
  <c r="I346" i="17"/>
  <c r="H346" i="17"/>
  <c r="Y345" i="17"/>
  <c r="X345" i="17"/>
  <c r="W345" i="17"/>
  <c r="V345" i="17"/>
  <c r="U345" i="17"/>
  <c r="T345" i="17"/>
  <c r="S345" i="17"/>
  <c r="R345" i="17"/>
  <c r="Q345" i="17"/>
  <c r="P345" i="17"/>
  <c r="O345" i="17"/>
  <c r="N345" i="17"/>
  <c r="M345" i="17"/>
  <c r="J345" i="17"/>
  <c r="I345" i="17"/>
  <c r="H345" i="17"/>
  <c r="Y344" i="17"/>
  <c r="X344" i="17"/>
  <c r="W344" i="17"/>
  <c r="V344" i="17"/>
  <c r="U344" i="17"/>
  <c r="T344" i="17"/>
  <c r="S344" i="17"/>
  <c r="R344" i="17"/>
  <c r="Q344" i="17"/>
  <c r="P344" i="17"/>
  <c r="O344" i="17"/>
  <c r="N344" i="17"/>
  <c r="M344" i="17"/>
  <c r="J344" i="17"/>
  <c r="I344" i="17"/>
  <c r="H344" i="17"/>
  <c r="Y343" i="17"/>
  <c r="X343" i="17"/>
  <c r="W343" i="17"/>
  <c r="V343" i="17"/>
  <c r="U343" i="17"/>
  <c r="T343" i="17"/>
  <c r="S343" i="17"/>
  <c r="R343" i="17"/>
  <c r="Q343" i="17"/>
  <c r="P343" i="17"/>
  <c r="O343" i="17"/>
  <c r="N343" i="17"/>
  <c r="M343" i="17"/>
  <c r="J343" i="17"/>
  <c r="I343" i="17"/>
  <c r="H343" i="17"/>
  <c r="Y342" i="17"/>
  <c r="X342" i="17"/>
  <c r="W342" i="17"/>
  <c r="V342" i="17"/>
  <c r="U342" i="17"/>
  <c r="T342" i="17"/>
  <c r="S342" i="17"/>
  <c r="R342" i="17"/>
  <c r="Q342" i="17"/>
  <c r="P342" i="17"/>
  <c r="O342" i="17"/>
  <c r="N342" i="17"/>
  <c r="M342" i="17"/>
  <c r="J342" i="17"/>
  <c r="I342" i="17"/>
  <c r="H342" i="17"/>
  <c r="Y341" i="17"/>
  <c r="X341" i="17"/>
  <c r="W341" i="17"/>
  <c r="V341" i="17"/>
  <c r="U341" i="17"/>
  <c r="T341" i="17"/>
  <c r="S341" i="17"/>
  <c r="R341" i="17"/>
  <c r="Q341" i="17"/>
  <c r="P341" i="17"/>
  <c r="O341" i="17"/>
  <c r="N341" i="17"/>
  <c r="M341" i="17"/>
  <c r="J341" i="17"/>
  <c r="I341" i="17"/>
  <c r="H341" i="17"/>
  <c r="Y340" i="17"/>
  <c r="X340" i="17"/>
  <c r="W340" i="17"/>
  <c r="V340" i="17"/>
  <c r="U340" i="17"/>
  <c r="T340" i="17"/>
  <c r="S340" i="17"/>
  <c r="R340" i="17"/>
  <c r="Q340" i="17"/>
  <c r="P340" i="17"/>
  <c r="O340" i="17"/>
  <c r="N340" i="17"/>
  <c r="M340" i="17"/>
  <c r="J340" i="17"/>
  <c r="I340" i="17"/>
  <c r="H340" i="17"/>
  <c r="Y339" i="17"/>
  <c r="X339" i="17"/>
  <c r="W339" i="17"/>
  <c r="V339" i="17"/>
  <c r="U339" i="17"/>
  <c r="T339" i="17"/>
  <c r="S339" i="17"/>
  <c r="R339" i="17"/>
  <c r="Q339" i="17"/>
  <c r="P339" i="17"/>
  <c r="O339" i="17"/>
  <c r="N339" i="17"/>
  <c r="M339" i="17"/>
  <c r="J339" i="17"/>
  <c r="I339" i="17"/>
  <c r="H339" i="17"/>
  <c r="Y338" i="17"/>
  <c r="X338" i="17"/>
  <c r="W338" i="17"/>
  <c r="V338" i="17"/>
  <c r="U338" i="17"/>
  <c r="T338" i="17"/>
  <c r="S338" i="17"/>
  <c r="R338" i="17"/>
  <c r="Q338" i="17"/>
  <c r="P338" i="17"/>
  <c r="O338" i="17"/>
  <c r="N338" i="17"/>
  <c r="M338" i="17"/>
  <c r="J338" i="17"/>
  <c r="I338" i="17"/>
  <c r="H338" i="17"/>
  <c r="Y337" i="17"/>
  <c r="X337" i="17"/>
  <c r="W337" i="17"/>
  <c r="V337" i="17"/>
  <c r="U337" i="17"/>
  <c r="T337" i="17"/>
  <c r="S337" i="17"/>
  <c r="R337" i="17"/>
  <c r="Q337" i="17"/>
  <c r="P337" i="17"/>
  <c r="O337" i="17"/>
  <c r="N337" i="17"/>
  <c r="M337" i="17"/>
  <c r="J337" i="17"/>
  <c r="I337" i="17"/>
  <c r="H337" i="17"/>
  <c r="Y336" i="17"/>
  <c r="X336" i="17"/>
  <c r="W336" i="17"/>
  <c r="V336" i="17"/>
  <c r="U336" i="17"/>
  <c r="T336" i="17"/>
  <c r="S336" i="17"/>
  <c r="R336" i="17"/>
  <c r="Q336" i="17"/>
  <c r="P336" i="17"/>
  <c r="O336" i="17"/>
  <c r="N336" i="17"/>
  <c r="M336" i="17"/>
  <c r="J336" i="17"/>
  <c r="I336" i="17"/>
  <c r="H336" i="17"/>
  <c r="Y335" i="17"/>
  <c r="X335" i="17"/>
  <c r="W335" i="17"/>
  <c r="V335" i="17"/>
  <c r="U335" i="17"/>
  <c r="T335" i="17"/>
  <c r="S335" i="17"/>
  <c r="R335" i="17"/>
  <c r="Q335" i="17"/>
  <c r="P335" i="17"/>
  <c r="O335" i="17"/>
  <c r="N335" i="17"/>
  <c r="M335" i="17"/>
  <c r="J335" i="17"/>
  <c r="I335" i="17"/>
  <c r="H335" i="17"/>
  <c r="Y334" i="17"/>
  <c r="X334" i="17"/>
  <c r="W334" i="17"/>
  <c r="V334" i="17"/>
  <c r="U334" i="17"/>
  <c r="T334" i="17"/>
  <c r="S334" i="17"/>
  <c r="R334" i="17"/>
  <c r="Q334" i="17"/>
  <c r="P334" i="17"/>
  <c r="O334" i="17"/>
  <c r="N334" i="17"/>
  <c r="M334" i="17"/>
  <c r="J334" i="17"/>
  <c r="I334" i="17"/>
  <c r="H334" i="17"/>
  <c r="Y333" i="17"/>
  <c r="X333" i="17"/>
  <c r="W333" i="17"/>
  <c r="V333" i="17"/>
  <c r="U333" i="17"/>
  <c r="T333" i="17"/>
  <c r="S333" i="17"/>
  <c r="R333" i="17"/>
  <c r="Q333" i="17"/>
  <c r="P333" i="17"/>
  <c r="O333" i="17"/>
  <c r="N333" i="17"/>
  <c r="M333" i="17"/>
  <c r="J333" i="17"/>
  <c r="I333" i="17"/>
  <c r="H333" i="17"/>
  <c r="Y332" i="17"/>
  <c r="X332" i="17"/>
  <c r="W332" i="17"/>
  <c r="V332" i="17"/>
  <c r="U332" i="17"/>
  <c r="T332" i="17"/>
  <c r="S332" i="17"/>
  <c r="R332" i="17"/>
  <c r="Q332" i="17"/>
  <c r="P332" i="17"/>
  <c r="O332" i="17"/>
  <c r="N332" i="17"/>
  <c r="M332" i="17"/>
  <c r="J332" i="17"/>
  <c r="I332" i="17"/>
  <c r="H332" i="17"/>
  <c r="Y331" i="17"/>
  <c r="X331" i="17"/>
  <c r="W331" i="17"/>
  <c r="V331" i="17"/>
  <c r="U331" i="17"/>
  <c r="T331" i="17"/>
  <c r="S331" i="17"/>
  <c r="R331" i="17"/>
  <c r="Q331" i="17"/>
  <c r="P331" i="17"/>
  <c r="O331" i="17"/>
  <c r="N331" i="17"/>
  <c r="M331" i="17"/>
  <c r="J331" i="17"/>
  <c r="I331" i="17"/>
  <c r="H331" i="17"/>
  <c r="Y330" i="17"/>
  <c r="X330" i="17"/>
  <c r="W330" i="17"/>
  <c r="V330" i="17"/>
  <c r="U330" i="17"/>
  <c r="T330" i="17"/>
  <c r="S330" i="17"/>
  <c r="R330" i="17"/>
  <c r="Q330" i="17"/>
  <c r="P330" i="17"/>
  <c r="O330" i="17"/>
  <c r="N330" i="17"/>
  <c r="M330" i="17"/>
  <c r="J330" i="17"/>
  <c r="I330" i="17"/>
  <c r="H330" i="17"/>
  <c r="Y329" i="17"/>
  <c r="X329" i="17"/>
  <c r="W329" i="17"/>
  <c r="V329" i="17"/>
  <c r="U329" i="17"/>
  <c r="T329" i="17"/>
  <c r="S329" i="17"/>
  <c r="R329" i="17"/>
  <c r="Q329" i="17"/>
  <c r="P329" i="17"/>
  <c r="O329" i="17"/>
  <c r="N329" i="17"/>
  <c r="M329" i="17"/>
  <c r="J329" i="17"/>
  <c r="I329" i="17"/>
  <c r="H329" i="17"/>
  <c r="Y328" i="17"/>
  <c r="X328" i="17"/>
  <c r="W328" i="17"/>
  <c r="V328" i="17"/>
  <c r="U328" i="17"/>
  <c r="T328" i="17"/>
  <c r="S328" i="17"/>
  <c r="R328" i="17"/>
  <c r="Q328" i="17"/>
  <c r="P328" i="17"/>
  <c r="O328" i="17"/>
  <c r="N328" i="17"/>
  <c r="M328" i="17"/>
  <c r="J328" i="17"/>
  <c r="I328" i="17"/>
  <c r="H328" i="17"/>
  <c r="Y327" i="17"/>
  <c r="X327" i="17"/>
  <c r="W327" i="17"/>
  <c r="V327" i="17"/>
  <c r="U327" i="17"/>
  <c r="T327" i="17"/>
  <c r="S327" i="17"/>
  <c r="R327" i="17"/>
  <c r="Q327" i="17"/>
  <c r="P327" i="17"/>
  <c r="O327" i="17"/>
  <c r="N327" i="17"/>
  <c r="M327" i="17"/>
  <c r="J327" i="17"/>
  <c r="I327" i="17"/>
  <c r="H327" i="17"/>
  <c r="Y326" i="17"/>
  <c r="X326" i="17"/>
  <c r="W326" i="17"/>
  <c r="V326" i="17"/>
  <c r="U326" i="17"/>
  <c r="T326" i="17"/>
  <c r="S326" i="17"/>
  <c r="R326" i="17"/>
  <c r="Q326" i="17"/>
  <c r="P326" i="17"/>
  <c r="O326" i="17"/>
  <c r="N326" i="17"/>
  <c r="M326" i="17"/>
  <c r="J326" i="17"/>
  <c r="I326" i="17"/>
  <c r="H326" i="17"/>
  <c r="Y325" i="17"/>
  <c r="X325" i="17"/>
  <c r="W325" i="17"/>
  <c r="V325" i="17"/>
  <c r="U325" i="17"/>
  <c r="T325" i="17"/>
  <c r="S325" i="17"/>
  <c r="R325" i="17"/>
  <c r="Q325" i="17"/>
  <c r="P325" i="17"/>
  <c r="O325" i="17"/>
  <c r="N325" i="17"/>
  <c r="M325" i="17"/>
  <c r="J325" i="17"/>
  <c r="I325" i="17"/>
  <c r="H325" i="17"/>
  <c r="Y324" i="17"/>
  <c r="X324" i="17"/>
  <c r="W324" i="17"/>
  <c r="V324" i="17"/>
  <c r="U324" i="17"/>
  <c r="T324" i="17"/>
  <c r="S324" i="17"/>
  <c r="R324" i="17"/>
  <c r="Q324" i="17"/>
  <c r="P324" i="17"/>
  <c r="O324" i="17"/>
  <c r="N324" i="17"/>
  <c r="M324" i="17"/>
  <c r="J324" i="17"/>
  <c r="I324" i="17"/>
  <c r="H324" i="17"/>
  <c r="Y323" i="17"/>
  <c r="X323" i="17"/>
  <c r="W323" i="17"/>
  <c r="V323" i="17"/>
  <c r="U323" i="17"/>
  <c r="T323" i="17"/>
  <c r="S323" i="17"/>
  <c r="R323" i="17"/>
  <c r="Q323" i="17"/>
  <c r="P323" i="17"/>
  <c r="O323" i="17"/>
  <c r="N323" i="17"/>
  <c r="M323" i="17"/>
  <c r="J323" i="17"/>
  <c r="I323" i="17"/>
  <c r="H323" i="17"/>
  <c r="Y322" i="17"/>
  <c r="X322" i="17"/>
  <c r="W322" i="17"/>
  <c r="V322" i="17"/>
  <c r="U322" i="17"/>
  <c r="T322" i="17"/>
  <c r="S322" i="17"/>
  <c r="R322" i="17"/>
  <c r="Q322" i="17"/>
  <c r="P322" i="17"/>
  <c r="O322" i="17"/>
  <c r="N322" i="17"/>
  <c r="M322" i="17"/>
  <c r="J322" i="17"/>
  <c r="I322" i="17"/>
  <c r="H322" i="17"/>
  <c r="E322" i="17"/>
  <c r="F322" i="17" s="1"/>
  <c r="Y321" i="17"/>
  <c r="X321" i="17"/>
  <c r="W321" i="17"/>
  <c r="V321" i="17"/>
  <c r="U321" i="17"/>
  <c r="T321" i="17"/>
  <c r="S321" i="17"/>
  <c r="R321" i="17"/>
  <c r="Q321" i="17"/>
  <c r="P321" i="17"/>
  <c r="O321" i="17"/>
  <c r="N321" i="17"/>
  <c r="M321" i="17"/>
  <c r="J321" i="17"/>
  <c r="I321" i="17"/>
  <c r="H321" i="17"/>
  <c r="E321" i="17"/>
  <c r="F321" i="17" s="1"/>
  <c r="Y320" i="17"/>
  <c r="X320" i="17"/>
  <c r="W320" i="17"/>
  <c r="V320" i="17"/>
  <c r="U320" i="17"/>
  <c r="T320" i="17"/>
  <c r="S320" i="17"/>
  <c r="R320" i="17"/>
  <c r="Q320" i="17"/>
  <c r="P320" i="17"/>
  <c r="O320" i="17"/>
  <c r="N320" i="17"/>
  <c r="M320" i="17"/>
  <c r="J320" i="17"/>
  <c r="I320" i="17"/>
  <c r="H320" i="17"/>
  <c r="E320" i="17"/>
  <c r="F320" i="17" s="1"/>
  <c r="Y319" i="17"/>
  <c r="X319" i="17"/>
  <c r="W319" i="17"/>
  <c r="V319" i="17"/>
  <c r="U319" i="17"/>
  <c r="T319" i="17"/>
  <c r="S319" i="17"/>
  <c r="R319" i="17"/>
  <c r="Q319" i="17"/>
  <c r="P319" i="17"/>
  <c r="O319" i="17"/>
  <c r="N319" i="17"/>
  <c r="M319" i="17"/>
  <c r="J319" i="17"/>
  <c r="I319" i="17"/>
  <c r="H319" i="17"/>
  <c r="E319" i="17"/>
  <c r="F319" i="17" s="1"/>
  <c r="Y318" i="17"/>
  <c r="X318" i="17"/>
  <c r="W318" i="17"/>
  <c r="V318" i="17"/>
  <c r="U318" i="17"/>
  <c r="T318" i="17"/>
  <c r="S318" i="17"/>
  <c r="R318" i="17"/>
  <c r="Q318" i="17"/>
  <c r="P318" i="17"/>
  <c r="O318" i="17"/>
  <c r="N318" i="17"/>
  <c r="M318" i="17"/>
  <c r="J318" i="17"/>
  <c r="I318" i="17"/>
  <c r="H318" i="17"/>
  <c r="E318" i="17"/>
  <c r="F318" i="17" s="1"/>
  <c r="Y317" i="17"/>
  <c r="X317" i="17"/>
  <c r="W317" i="17"/>
  <c r="V317" i="17"/>
  <c r="U317" i="17"/>
  <c r="T317" i="17"/>
  <c r="S317" i="17"/>
  <c r="R317" i="17"/>
  <c r="Q317" i="17"/>
  <c r="P317" i="17"/>
  <c r="O317" i="17"/>
  <c r="N317" i="17"/>
  <c r="M317" i="17"/>
  <c r="J317" i="17"/>
  <c r="I317" i="17"/>
  <c r="H317" i="17"/>
  <c r="E317" i="17"/>
  <c r="F317" i="17" s="1"/>
  <c r="Y316" i="17"/>
  <c r="X316" i="17"/>
  <c r="W316" i="17"/>
  <c r="V316" i="17"/>
  <c r="U316" i="17"/>
  <c r="T316" i="17"/>
  <c r="S316" i="17"/>
  <c r="R316" i="17"/>
  <c r="Q316" i="17"/>
  <c r="P316" i="17"/>
  <c r="O316" i="17"/>
  <c r="N316" i="17"/>
  <c r="M316" i="17"/>
  <c r="J316" i="17"/>
  <c r="I316" i="17"/>
  <c r="H316" i="17"/>
  <c r="E316" i="17"/>
  <c r="F316" i="17" s="1"/>
  <c r="Y315" i="17"/>
  <c r="X315" i="17"/>
  <c r="W315" i="17"/>
  <c r="V315" i="17"/>
  <c r="U315" i="17"/>
  <c r="T315" i="17"/>
  <c r="S315" i="17"/>
  <c r="R315" i="17"/>
  <c r="Q315" i="17"/>
  <c r="P315" i="17"/>
  <c r="O315" i="17"/>
  <c r="N315" i="17"/>
  <c r="M315" i="17"/>
  <c r="J315" i="17"/>
  <c r="I315" i="17"/>
  <c r="H315" i="17"/>
  <c r="E315" i="17"/>
  <c r="F315" i="17" s="1"/>
  <c r="Y314" i="17"/>
  <c r="X314" i="17"/>
  <c r="W314" i="17"/>
  <c r="V314" i="17"/>
  <c r="U314" i="17"/>
  <c r="T314" i="17"/>
  <c r="S314" i="17"/>
  <c r="R314" i="17"/>
  <c r="Q314" i="17"/>
  <c r="P314" i="17"/>
  <c r="O314" i="17"/>
  <c r="N314" i="17"/>
  <c r="M314" i="17"/>
  <c r="J314" i="17"/>
  <c r="I314" i="17"/>
  <c r="H314" i="17"/>
  <c r="E314" i="17"/>
  <c r="F314" i="17" s="1"/>
  <c r="Y313" i="17"/>
  <c r="X313" i="17"/>
  <c r="W313" i="17"/>
  <c r="V313" i="17"/>
  <c r="U313" i="17"/>
  <c r="T313" i="17"/>
  <c r="S313" i="17"/>
  <c r="R313" i="17"/>
  <c r="Q313" i="17"/>
  <c r="P313" i="17"/>
  <c r="O313" i="17"/>
  <c r="N313" i="17"/>
  <c r="M313" i="17"/>
  <c r="J313" i="17"/>
  <c r="I313" i="17"/>
  <c r="H313" i="17"/>
  <c r="E313" i="17"/>
  <c r="F313" i="17" s="1"/>
  <c r="Y312" i="17"/>
  <c r="X312" i="17"/>
  <c r="W312" i="17"/>
  <c r="V312" i="17"/>
  <c r="U312" i="17"/>
  <c r="T312" i="17"/>
  <c r="S312" i="17"/>
  <c r="R312" i="17"/>
  <c r="Q312" i="17"/>
  <c r="P312" i="17"/>
  <c r="O312" i="17"/>
  <c r="N312" i="17"/>
  <c r="M312" i="17"/>
  <c r="J312" i="17"/>
  <c r="I312" i="17"/>
  <c r="H312" i="17"/>
  <c r="E312" i="17"/>
  <c r="F312" i="17" s="1"/>
  <c r="Y311" i="17"/>
  <c r="X311" i="17"/>
  <c r="W311" i="17"/>
  <c r="V311" i="17"/>
  <c r="U311" i="17"/>
  <c r="T311" i="17"/>
  <c r="S311" i="17"/>
  <c r="R311" i="17"/>
  <c r="Q311" i="17"/>
  <c r="P311" i="17"/>
  <c r="O311" i="17"/>
  <c r="N311" i="17"/>
  <c r="M311" i="17"/>
  <c r="J311" i="17"/>
  <c r="I311" i="17"/>
  <c r="H311" i="17"/>
  <c r="E311" i="17"/>
  <c r="F311" i="17" s="1"/>
  <c r="Y310" i="17"/>
  <c r="X310" i="17"/>
  <c r="W310" i="17"/>
  <c r="V310" i="17"/>
  <c r="U310" i="17"/>
  <c r="T310" i="17"/>
  <c r="S310" i="17"/>
  <c r="R310" i="17"/>
  <c r="Q310" i="17"/>
  <c r="P310" i="17"/>
  <c r="O310" i="17"/>
  <c r="N310" i="17"/>
  <c r="M310" i="17"/>
  <c r="J310" i="17"/>
  <c r="I310" i="17"/>
  <c r="H310" i="17"/>
  <c r="E310" i="17"/>
  <c r="F310" i="17" s="1"/>
  <c r="Y309" i="17"/>
  <c r="X309" i="17"/>
  <c r="W309" i="17"/>
  <c r="V309" i="17"/>
  <c r="U309" i="17"/>
  <c r="T309" i="17"/>
  <c r="S309" i="17"/>
  <c r="R309" i="17"/>
  <c r="Q309" i="17"/>
  <c r="P309" i="17"/>
  <c r="O309" i="17"/>
  <c r="N309" i="17"/>
  <c r="M309" i="17"/>
  <c r="J309" i="17"/>
  <c r="I309" i="17"/>
  <c r="H309" i="17"/>
  <c r="E309" i="17"/>
  <c r="F309" i="17" s="1"/>
  <c r="Y308" i="17"/>
  <c r="X308" i="17"/>
  <c r="W308" i="17"/>
  <c r="V308" i="17"/>
  <c r="U308" i="17"/>
  <c r="T308" i="17"/>
  <c r="S308" i="17"/>
  <c r="R308" i="17"/>
  <c r="Q308" i="17"/>
  <c r="P308" i="17"/>
  <c r="O308" i="17"/>
  <c r="N308" i="17"/>
  <c r="M308" i="17"/>
  <c r="J308" i="17"/>
  <c r="I308" i="17"/>
  <c r="H308" i="17"/>
  <c r="E308" i="17"/>
  <c r="F308" i="17" s="1"/>
  <c r="Y307" i="17"/>
  <c r="X307" i="17"/>
  <c r="W307" i="17"/>
  <c r="V307" i="17"/>
  <c r="U307" i="17"/>
  <c r="T307" i="17"/>
  <c r="S307" i="17"/>
  <c r="R307" i="17"/>
  <c r="Q307" i="17"/>
  <c r="P307" i="17"/>
  <c r="O307" i="17"/>
  <c r="N307" i="17"/>
  <c r="M307" i="17"/>
  <c r="J307" i="17"/>
  <c r="I307" i="17"/>
  <c r="H307" i="17"/>
  <c r="E307" i="17"/>
  <c r="F307" i="17" s="1"/>
  <c r="Y306" i="17"/>
  <c r="X306" i="17"/>
  <c r="W306" i="17"/>
  <c r="V306" i="17"/>
  <c r="U306" i="17"/>
  <c r="T306" i="17"/>
  <c r="S306" i="17"/>
  <c r="R306" i="17"/>
  <c r="Q306" i="17"/>
  <c r="P306" i="17"/>
  <c r="O306" i="17"/>
  <c r="N306" i="17"/>
  <c r="M306" i="17"/>
  <c r="J306" i="17"/>
  <c r="I306" i="17"/>
  <c r="H306" i="17"/>
  <c r="E306" i="17"/>
  <c r="F306" i="17" s="1"/>
  <c r="Y305" i="17"/>
  <c r="X305" i="17"/>
  <c r="W305" i="17"/>
  <c r="V305" i="17"/>
  <c r="U305" i="17"/>
  <c r="T305" i="17"/>
  <c r="S305" i="17"/>
  <c r="R305" i="17"/>
  <c r="Q305" i="17"/>
  <c r="P305" i="17"/>
  <c r="O305" i="17"/>
  <c r="N305" i="17"/>
  <c r="M305" i="17"/>
  <c r="J305" i="17"/>
  <c r="I305" i="17"/>
  <c r="H305" i="17"/>
  <c r="E305" i="17"/>
  <c r="F305" i="17" s="1"/>
  <c r="Y304" i="17"/>
  <c r="X304" i="17"/>
  <c r="W304" i="17"/>
  <c r="V304" i="17"/>
  <c r="U304" i="17"/>
  <c r="T304" i="17"/>
  <c r="S304" i="17"/>
  <c r="R304" i="17"/>
  <c r="Q304" i="17"/>
  <c r="P304" i="17"/>
  <c r="O304" i="17"/>
  <c r="N304" i="17"/>
  <c r="M304" i="17"/>
  <c r="J304" i="17"/>
  <c r="I304" i="17"/>
  <c r="H304" i="17"/>
  <c r="E304" i="17"/>
  <c r="F304" i="17" s="1"/>
  <c r="Y302" i="17"/>
  <c r="X302" i="17"/>
  <c r="W302" i="17"/>
  <c r="V302" i="17"/>
  <c r="U302" i="17"/>
  <c r="T302" i="17"/>
  <c r="S302" i="17"/>
  <c r="R302" i="17"/>
  <c r="Q302" i="17"/>
  <c r="P302" i="17"/>
  <c r="O302" i="17"/>
  <c r="N302" i="17"/>
  <c r="M302" i="17"/>
  <c r="J302" i="17"/>
  <c r="I302" i="17"/>
  <c r="H302" i="17"/>
  <c r="E302" i="17"/>
  <c r="F302" i="17" s="1"/>
  <c r="Y301" i="17"/>
  <c r="X301" i="17"/>
  <c r="W301" i="17"/>
  <c r="V301" i="17"/>
  <c r="U301" i="17"/>
  <c r="T301" i="17"/>
  <c r="S301" i="17"/>
  <c r="R301" i="17"/>
  <c r="Q301" i="17"/>
  <c r="P301" i="17"/>
  <c r="O301" i="17"/>
  <c r="N301" i="17"/>
  <c r="M301" i="17"/>
  <c r="J301" i="17"/>
  <c r="I301" i="17"/>
  <c r="H301" i="17"/>
  <c r="E301" i="17"/>
  <c r="F301" i="17" s="1"/>
  <c r="Y300" i="17"/>
  <c r="X300" i="17"/>
  <c r="W300" i="17"/>
  <c r="V300" i="17"/>
  <c r="U300" i="17"/>
  <c r="T300" i="17"/>
  <c r="S300" i="17"/>
  <c r="R300" i="17"/>
  <c r="Q300" i="17"/>
  <c r="P300" i="17"/>
  <c r="O300" i="17"/>
  <c r="N300" i="17"/>
  <c r="M300" i="17"/>
  <c r="J300" i="17"/>
  <c r="I300" i="17"/>
  <c r="H300" i="17"/>
  <c r="E300" i="17"/>
  <c r="F300" i="17" s="1"/>
  <c r="Y299" i="17"/>
  <c r="X299" i="17"/>
  <c r="W299" i="17"/>
  <c r="V299" i="17"/>
  <c r="U299" i="17"/>
  <c r="T299" i="17"/>
  <c r="S299" i="17"/>
  <c r="R299" i="17"/>
  <c r="Q299" i="17"/>
  <c r="P299" i="17"/>
  <c r="O299" i="17"/>
  <c r="N299" i="17"/>
  <c r="M299" i="17"/>
  <c r="J299" i="17"/>
  <c r="I299" i="17"/>
  <c r="H299" i="17"/>
  <c r="E299" i="17"/>
  <c r="F299" i="17" s="1"/>
  <c r="Y298" i="17"/>
  <c r="X298" i="17"/>
  <c r="W298" i="17"/>
  <c r="V298" i="17"/>
  <c r="U298" i="17"/>
  <c r="T298" i="17"/>
  <c r="S298" i="17"/>
  <c r="R298" i="17"/>
  <c r="Q298" i="17"/>
  <c r="P298" i="17"/>
  <c r="O298" i="17"/>
  <c r="N298" i="17"/>
  <c r="M298" i="17"/>
  <c r="J298" i="17"/>
  <c r="I298" i="17"/>
  <c r="H298" i="17"/>
  <c r="E298" i="17"/>
  <c r="F298" i="17" s="1"/>
  <c r="Y297" i="17"/>
  <c r="X297" i="17"/>
  <c r="W297" i="17"/>
  <c r="V297" i="17"/>
  <c r="U297" i="17"/>
  <c r="T297" i="17"/>
  <c r="S297" i="17"/>
  <c r="R297" i="17"/>
  <c r="Q297" i="17"/>
  <c r="P297" i="17"/>
  <c r="O297" i="17"/>
  <c r="N297" i="17"/>
  <c r="M297" i="17"/>
  <c r="J297" i="17"/>
  <c r="I297" i="17"/>
  <c r="H297" i="17"/>
  <c r="E297" i="17"/>
  <c r="F297" i="17" s="1"/>
  <c r="Y296" i="17"/>
  <c r="X296" i="17"/>
  <c r="W296" i="17"/>
  <c r="V296" i="17"/>
  <c r="U296" i="17"/>
  <c r="T296" i="17"/>
  <c r="S296" i="17"/>
  <c r="R296" i="17"/>
  <c r="Q296" i="17"/>
  <c r="P296" i="17"/>
  <c r="O296" i="17"/>
  <c r="N296" i="17"/>
  <c r="M296" i="17"/>
  <c r="J296" i="17"/>
  <c r="I296" i="17"/>
  <c r="H296" i="17"/>
  <c r="E296" i="17"/>
  <c r="F296" i="17" s="1"/>
  <c r="Y295" i="17"/>
  <c r="X295" i="17"/>
  <c r="W295" i="17"/>
  <c r="V295" i="17"/>
  <c r="U295" i="17"/>
  <c r="T295" i="17"/>
  <c r="S295" i="17"/>
  <c r="R295" i="17"/>
  <c r="Q295" i="17"/>
  <c r="P295" i="17"/>
  <c r="O295" i="17"/>
  <c r="N295" i="17"/>
  <c r="M295" i="17"/>
  <c r="J295" i="17"/>
  <c r="I295" i="17"/>
  <c r="H295" i="17"/>
  <c r="E295" i="17"/>
  <c r="F295" i="17" s="1"/>
  <c r="Y294" i="17"/>
  <c r="X294" i="17"/>
  <c r="W294" i="17"/>
  <c r="V294" i="17"/>
  <c r="U294" i="17"/>
  <c r="T294" i="17"/>
  <c r="S294" i="17"/>
  <c r="R294" i="17"/>
  <c r="Q294" i="17"/>
  <c r="P294" i="17"/>
  <c r="O294" i="17"/>
  <c r="N294" i="17"/>
  <c r="M294" i="17"/>
  <c r="J294" i="17"/>
  <c r="I294" i="17"/>
  <c r="H294" i="17"/>
  <c r="E294" i="17"/>
  <c r="F294" i="17" s="1"/>
  <c r="Y293" i="17"/>
  <c r="X293" i="17"/>
  <c r="W293" i="17"/>
  <c r="V293" i="17"/>
  <c r="U293" i="17"/>
  <c r="T293" i="17"/>
  <c r="S293" i="17"/>
  <c r="R293" i="17"/>
  <c r="Q293" i="17"/>
  <c r="P293" i="17"/>
  <c r="O293" i="17"/>
  <c r="N293" i="17"/>
  <c r="M293" i="17"/>
  <c r="J293" i="17"/>
  <c r="I293" i="17"/>
  <c r="H293" i="17"/>
  <c r="E293" i="17"/>
  <c r="F293" i="17" s="1"/>
  <c r="Y292" i="17"/>
  <c r="X292" i="17"/>
  <c r="W292" i="17"/>
  <c r="V292" i="17"/>
  <c r="U292" i="17"/>
  <c r="T292" i="17"/>
  <c r="S292" i="17"/>
  <c r="R292" i="17"/>
  <c r="Q292" i="17"/>
  <c r="P292" i="17"/>
  <c r="O292" i="17"/>
  <c r="N292" i="17"/>
  <c r="M292" i="17"/>
  <c r="J292" i="17"/>
  <c r="I292" i="17"/>
  <c r="H292" i="17"/>
  <c r="E292" i="17"/>
  <c r="F292" i="17" s="1"/>
  <c r="Y291" i="17"/>
  <c r="X291" i="17"/>
  <c r="W291" i="17"/>
  <c r="V291" i="17"/>
  <c r="U291" i="17"/>
  <c r="T291" i="17"/>
  <c r="S291" i="17"/>
  <c r="R291" i="17"/>
  <c r="Q291" i="17"/>
  <c r="P291" i="17"/>
  <c r="O291" i="17"/>
  <c r="N291" i="17"/>
  <c r="M291" i="17"/>
  <c r="J291" i="17"/>
  <c r="I291" i="17"/>
  <c r="H291" i="17"/>
  <c r="E291" i="17"/>
  <c r="F291" i="17" s="1"/>
  <c r="Y290" i="17"/>
  <c r="X290" i="17"/>
  <c r="W290" i="17"/>
  <c r="V290" i="17"/>
  <c r="U290" i="17"/>
  <c r="T290" i="17"/>
  <c r="S290" i="17"/>
  <c r="R290" i="17"/>
  <c r="Q290" i="17"/>
  <c r="P290" i="17"/>
  <c r="O290" i="17"/>
  <c r="N290" i="17"/>
  <c r="M290" i="17"/>
  <c r="J290" i="17"/>
  <c r="I290" i="17"/>
  <c r="H290" i="17"/>
  <c r="E290" i="17"/>
  <c r="F290" i="17" s="1"/>
  <c r="Y289" i="17"/>
  <c r="X289" i="17"/>
  <c r="W289" i="17"/>
  <c r="V289" i="17"/>
  <c r="U289" i="17"/>
  <c r="T289" i="17"/>
  <c r="S289" i="17"/>
  <c r="R289" i="17"/>
  <c r="Q289" i="17"/>
  <c r="P289" i="17"/>
  <c r="O289" i="17"/>
  <c r="N289" i="17"/>
  <c r="M289" i="17"/>
  <c r="J289" i="17"/>
  <c r="I289" i="17"/>
  <c r="H289" i="17"/>
  <c r="E289" i="17"/>
  <c r="F289" i="17" s="1"/>
  <c r="Y288" i="17"/>
  <c r="X288" i="17"/>
  <c r="W288" i="17"/>
  <c r="V288" i="17"/>
  <c r="U288" i="17"/>
  <c r="T288" i="17"/>
  <c r="S288" i="17"/>
  <c r="R288" i="17"/>
  <c r="Q288" i="17"/>
  <c r="P288" i="17"/>
  <c r="O288" i="17"/>
  <c r="N288" i="17"/>
  <c r="M288" i="17"/>
  <c r="J288" i="17"/>
  <c r="I288" i="17"/>
  <c r="H288" i="17"/>
  <c r="E288" i="17"/>
  <c r="F288" i="17" s="1"/>
  <c r="Y287" i="17"/>
  <c r="X287" i="17"/>
  <c r="W287" i="17"/>
  <c r="V287" i="17"/>
  <c r="U287" i="17"/>
  <c r="T287" i="17"/>
  <c r="S287" i="17"/>
  <c r="R287" i="17"/>
  <c r="Q287" i="17"/>
  <c r="P287" i="17"/>
  <c r="O287" i="17"/>
  <c r="N287" i="17"/>
  <c r="M287" i="17"/>
  <c r="J287" i="17"/>
  <c r="I287" i="17"/>
  <c r="H287" i="17"/>
  <c r="E287" i="17"/>
  <c r="F287" i="17" s="1"/>
  <c r="Y286" i="17"/>
  <c r="X286" i="17"/>
  <c r="W286" i="17"/>
  <c r="V286" i="17"/>
  <c r="U286" i="17"/>
  <c r="T286" i="17"/>
  <c r="S286" i="17"/>
  <c r="R286" i="17"/>
  <c r="Q286" i="17"/>
  <c r="P286" i="17"/>
  <c r="O286" i="17"/>
  <c r="N286" i="17"/>
  <c r="M286" i="17"/>
  <c r="J286" i="17"/>
  <c r="I286" i="17"/>
  <c r="H286" i="17"/>
  <c r="E286" i="17"/>
  <c r="F286" i="17" s="1"/>
  <c r="Y285" i="17"/>
  <c r="X285" i="17"/>
  <c r="W285" i="17"/>
  <c r="V285" i="17"/>
  <c r="U285" i="17"/>
  <c r="T285" i="17"/>
  <c r="S285" i="17"/>
  <c r="R285" i="17"/>
  <c r="Q285" i="17"/>
  <c r="P285" i="17"/>
  <c r="O285" i="17"/>
  <c r="N285" i="17"/>
  <c r="M285" i="17"/>
  <c r="J285" i="17"/>
  <c r="I285" i="17"/>
  <c r="H285" i="17"/>
  <c r="E285" i="17"/>
  <c r="F285" i="17" s="1"/>
  <c r="Y284" i="17"/>
  <c r="X284" i="17"/>
  <c r="W284" i="17"/>
  <c r="V284" i="17"/>
  <c r="U284" i="17"/>
  <c r="T284" i="17"/>
  <c r="S284" i="17"/>
  <c r="R284" i="17"/>
  <c r="Q284" i="17"/>
  <c r="P284" i="17"/>
  <c r="O284" i="17"/>
  <c r="N284" i="17"/>
  <c r="M284" i="17"/>
  <c r="J284" i="17"/>
  <c r="I284" i="17"/>
  <c r="H284" i="17"/>
  <c r="E284" i="17"/>
  <c r="F284" i="17" s="1"/>
  <c r="Y282" i="17"/>
  <c r="X282" i="17"/>
  <c r="W282" i="17"/>
  <c r="V282" i="17"/>
  <c r="U282" i="17"/>
  <c r="T282" i="17"/>
  <c r="S282" i="17"/>
  <c r="R282" i="17"/>
  <c r="Q282" i="17"/>
  <c r="P282" i="17"/>
  <c r="O282" i="17"/>
  <c r="N282" i="17"/>
  <c r="M282" i="17"/>
  <c r="J282" i="17"/>
  <c r="I282" i="17"/>
  <c r="H282" i="17"/>
  <c r="E282" i="17"/>
  <c r="F282" i="17" s="1"/>
  <c r="Y281" i="17"/>
  <c r="X281" i="17"/>
  <c r="W281" i="17"/>
  <c r="V281" i="17"/>
  <c r="U281" i="17"/>
  <c r="T281" i="17"/>
  <c r="S281" i="17"/>
  <c r="R281" i="17"/>
  <c r="Q281" i="17"/>
  <c r="P281" i="17"/>
  <c r="O281" i="17"/>
  <c r="N281" i="17"/>
  <c r="M281" i="17"/>
  <c r="J281" i="17"/>
  <c r="I281" i="17"/>
  <c r="H281" i="17"/>
  <c r="E281" i="17"/>
  <c r="F281" i="17" s="1"/>
  <c r="Y280" i="17"/>
  <c r="X280" i="17"/>
  <c r="W280" i="17"/>
  <c r="V280" i="17"/>
  <c r="U280" i="17"/>
  <c r="T280" i="17"/>
  <c r="S280" i="17"/>
  <c r="R280" i="17"/>
  <c r="Q280" i="17"/>
  <c r="P280" i="17"/>
  <c r="O280" i="17"/>
  <c r="N280" i="17"/>
  <c r="M280" i="17"/>
  <c r="J280" i="17"/>
  <c r="I280" i="17"/>
  <c r="H280" i="17"/>
  <c r="E280" i="17"/>
  <c r="F280" i="17" s="1"/>
  <c r="Y279" i="17"/>
  <c r="X279" i="17"/>
  <c r="W279" i="17"/>
  <c r="V279" i="17"/>
  <c r="U279" i="17"/>
  <c r="T279" i="17"/>
  <c r="S279" i="17"/>
  <c r="R279" i="17"/>
  <c r="Q279" i="17"/>
  <c r="P279" i="17"/>
  <c r="O279" i="17"/>
  <c r="N279" i="17"/>
  <c r="M279" i="17"/>
  <c r="J279" i="17"/>
  <c r="I279" i="17"/>
  <c r="H279" i="17"/>
  <c r="E279" i="17"/>
  <c r="F279" i="17" s="1"/>
  <c r="Y278" i="17"/>
  <c r="X278" i="17"/>
  <c r="W278" i="17"/>
  <c r="V278" i="17"/>
  <c r="U278" i="17"/>
  <c r="T278" i="17"/>
  <c r="S278" i="17"/>
  <c r="R278" i="17"/>
  <c r="Q278" i="17"/>
  <c r="P278" i="17"/>
  <c r="O278" i="17"/>
  <c r="N278" i="17"/>
  <c r="M278" i="17"/>
  <c r="J278" i="17"/>
  <c r="I278" i="17"/>
  <c r="H278" i="17"/>
  <c r="E278" i="17"/>
  <c r="F278" i="17" s="1"/>
  <c r="Y277" i="17"/>
  <c r="X277" i="17"/>
  <c r="W277" i="17"/>
  <c r="V277" i="17"/>
  <c r="U277" i="17"/>
  <c r="T277" i="17"/>
  <c r="S277" i="17"/>
  <c r="R277" i="17"/>
  <c r="Q277" i="17"/>
  <c r="P277" i="17"/>
  <c r="O277" i="17"/>
  <c r="N277" i="17"/>
  <c r="M277" i="17"/>
  <c r="J277" i="17"/>
  <c r="I277" i="17"/>
  <c r="H277" i="17"/>
  <c r="E277" i="17"/>
  <c r="F277" i="17" s="1"/>
  <c r="Y276" i="17"/>
  <c r="X276" i="17"/>
  <c r="W276" i="17"/>
  <c r="V276" i="17"/>
  <c r="U276" i="17"/>
  <c r="T276" i="17"/>
  <c r="S276" i="17"/>
  <c r="R276" i="17"/>
  <c r="Q276" i="17"/>
  <c r="P276" i="17"/>
  <c r="O276" i="17"/>
  <c r="N276" i="17"/>
  <c r="M276" i="17"/>
  <c r="J276" i="17"/>
  <c r="I276" i="17"/>
  <c r="H276" i="17"/>
  <c r="E276" i="17"/>
  <c r="F276" i="17" s="1"/>
  <c r="Y275" i="17"/>
  <c r="X275" i="17"/>
  <c r="W275" i="17"/>
  <c r="V275" i="17"/>
  <c r="U275" i="17"/>
  <c r="T275" i="17"/>
  <c r="S275" i="17"/>
  <c r="R275" i="17"/>
  <c r="Q275" i="17"/>
  <c r="P275" i="17"/>
  <c r="O275" i="17"/>
  <c r="N275" i="17"/>
  <c r="M275" i="17"/>
  <c r="J275" i="17"/>
  <c r="I275" i="17"/>
  <c r="H275" i="17"/>
  <c r="E275" i="17"/>
  <c r="F275" i="17" s="1"/>
  <c r="Y274" i="17"/>
  <c r="X274" i="17"/>
  <c r="W274" i="17"/>
  <c r="V274" i="17"/>
  <c r="U274" i="17"/>
  <c r="T274" i="17"/>
  <c r="S274" i="17"/>
  <c r="R274" i="17"/>
  <c r="Q274" i="17"/>
  <c r="P274" i="17"/>
  <c r="O274" i="17"/>
  <c r="N274" i="17"/>
  <c r="M274" i="17"/>
  <c r="J274" i="17"/>
  <c r="I274" i="17"/>
  <c r="H274" i="17"/>
  <c r="E274" i="17"/>
  <c r="F274" i="17" s="1"/>
  <c r="Y273" i="17"/>
  <c r="X273" i="17"/>
  <c r="W273" i="17"/>
  <c r="V273" i="17"/>
  <c r="U273" i="17"/>
  <c r="T273" i="17"/>
  <c r="S273" i="17"/>
  <c r="R273" i="17"/>
  <c r="Q273" i="17"/>
  <c r="P273" i="17"/>
  <c r="O273" i="17"/>
  <c r="N273" i="17"/>
  <c r="M273" i="17"/>
  <c r="J273" i="17"/>
  <c r="I273" i="17"/>
  <c r="H273" i="17"/>
  <c r="E273" i="17"/>
  <c r="F273" i="17" s="1"/>
  <c r="Y272" i="17"/>
  <c r="X272" i="17"/>
  <c r="W272" i="17"/>
  <c r="V272" i="17"/>
  <c r="U272" i="17"/>
  <c r="T272" i="17"/>
  <c r="S272" i="17"/>
  <c r="R272" i="17"/>
  <c r="Q272" i="17"/>
  <c r="P272" i="17"/>
  <c r="O272" i="17"/>
  <c r="N272" i="17"/>
  <c r="M272" i="17"/>
  <c r="J272" i="17"/>
  <c r="I272" i="17"/>
  <c r="H272" i="17"/>
  <c r="E272" i="17"/>
  <c r="F272" i="17" s="1"/>
  <c r="Y271" i="17"/>
  <c r="X271" i="17"/>
  <c r="W271" i="17"/>
  <c r="V271" i="17"/>
  <c r="U271" i="17"/>
  <c r="T271" i="17"/>
  <c r="S271" i="17"/>
  <c r="R271" i="17"/>
  <c r="Q271" i="17"/>
  <c r="P271" i="17"/>
  <c r="O271" i="17"/>
  <c r="N271" i="17"/>
  <c r="M271" i="17"/>
  <c r="J271" i="17"/>
  <c r="I271" i="17"/>
  <c r="H271" i="17"/>
  <c r="E271" i="17"/>
  <c r="F271" i="17" s="1"/>
  <c r="Y270" i="17"/>
  <c r="X270" i="17"/>
  <c r="W270" i="17"/>
  <c r="V270" i="17"/>
  <c r="U270" i="17"/>
  <c r="T270" i="17"/>
  <c r="S270" i="17"/>
  <c r="R270" i="17"/>
  <c r="Q270" i="17"/>
  <c r="P270" i="17"/>
  <c r="O270" i="17"/>
  <c r="N270" i="17"/>
  <c r="M270" i="17"/>
  <c r="J270" i="17"/>
  <c r="I270" i="17"/>
  <c r="H270" i="17"/>
  <c r="E270" i="17"/>
  <c r="F270" i="17" s="1"/>
  <c r="Y269" i="17"/>
  <c r="X269" i="17"/>
  <c r="W269" i="17"/>
  <c r="V269" i="17"/>
  <c r="U269" i="17"/>
  <c r="T269" i="17"/>
  <c r="S269" i="17"/>
  <c r="R269" i="17"/>
  <c r="Q269" i="17"/>
  <c r="P269" i="17"/>
  <c r="O269" i="17"/>
  <c r="N269" i="17"/>
  <c r="M269" i="17"/>
  <c r="J269" i="17"/>
  <c r="I269" i="17"/>
  <c r="H269" i="17"/>
  <c r="E269" i="17"/>
  <c r="F269" i="17" s="1"/>
  <c r="Y268" i="17"/>
  <c r="X268" i="17"/>
  <c r="W268" i="17"/>
  <c r="V268" i="17"/>
  <c r="U268" i="17"/>
  <c r="T268" i="17"/>
  <c r="S268" i="17"/>
  <c r="R268" i="17"/>
  <c r="Q268" i="17"/>
  <c r="P268" i="17"/>
  <c r="O268" i="17"/>
  <c r="N268" i="17"/>
  <c r="M268" i="17"/>
  <c r="J268" i="17"/>
  <c r="I268" i="17"/>
  <c r="H268" i="17"/>
  <c r="E268" i="17"/>
  <c r="F268" i="17" s="1"/>
  <c r="Y267" i="17"/>
  <c r="X267" i="17"/>
  <c r="W267" i="17"/>
  <c r="V267" i="17"/>
  <c r="U267" i="17"/>
  <c r="T267" i="17"/>
  <c r="S267" i="17"/>
  <c r="R267" i="17"/>
  <c r="Q267" i="17"/>
  <c r="P267" i="17"/>
  <c r="O267" i="17"/>
  <c r="N267" i="17"/>
  <c r="M267" i="17"/>
  <c r="J267" i="17"/>
  <c r="I267" i="17"/>
  <c r="H267" i="17"/>
  <c r="E267" i="17"/>
  <c r="F267" i="17" s="1"/>
  <c r="Y266" i="17"/>
  <c r="X266" i="17"/>
  <c r="W266" i="17"/>
  <c r="V266" i="17"/>
  <c r="U266" i="17"/>
  <c r="T266" i="17"/>
  <c r="S266" i="17"/>
  <c r="R266" i="17"/>
  <c r="Q266" i="17"/>
  <c r="P266" i="17"/>
  <c r="O266" i="17"/>
  <c r="N266" i="17"/>
  <c r="M266" i="17"/>
  <c r="J266" i="17"/>
  <c r="I266" i="17"/>
  <c r="H266" i="17"/>
  <c r="E266" i="17"/>
  <c r="F266" i="17" s="1"/>
  <c r="Y265" i="17"/>
  <c r="X265" i="17"/>
  <c r="W265" i="17"/>
  <c r="V265" i="17"/>
  <c r="U265" i="17"/>
  <c r="T265" i="17"/>
  <c r="S265" i="17"/>
  <c r="R265" i="17"/>
  <c r="Q265" i="17"/>
  <c r="P265" i="17"/>
  <c r="O265" i="17"/>
  <c r="N265" i="17"/>
  <c r="M265" i="17"/>
  <c r="J265" i="17"/>
  <c r="I265" i="17"/>
  <c r="H265" i="17"/>
  <c r="E265" i="17"/>
  <c r="F265" i="17" s="1"/>
  <c r="Y264" i="17"/>
  <c r="X264" i="17"/>
  <c r="W264" i="17"/>
  <c r="V264" i="17"/>
  <c r="U264" i="17"/>
  <c r="T264" i="17"/>
  <c r="S264" i="17"/>
  <c r="R264" i="17"/>
  <c r="Q264" i="17"/>
  <c r="P264" i="17"/>
  <c r="O264" i="17"/>
  <c r="N264" i="17"/>
  <c r="M264" i="17"/>
  <c r="J264" i="17"/>
  <c r="I264" i="17"/>
  <c r="H264" i="17"/>
  <c r="E264" i="17"/>
  <c r="F264" i="17" s="1"/>
  <c r="Y262" i="17"/>
  <c r="X262" i="17"/>
  <c r="W262" i="17"/>
  <c r="V262" i="17"/>
  <c r="U262" i="17"/>
  <c r="T262" i="17"/>
  <c r="S262" i="17"/>
  <c r="R262" i="17"/>
  <c r="Q262" i="17"/>
  <c r="P262" i="17"/>
  <c r="O262" i="17"/>
  <c r="N262" i="17"/>
  <c r="M262" i="17"/>
  <c r="J262" i="17"/>
  <c r="I262" i="17"/>
  <c r="H262" i="17"/>
  <c r="E262" i="17"/>
  <c r="F262" i="17" s="1"/>
  <c r="Y261" i="17"/>
  <c r="X261" i="17"/>
  <c r="W261" i="17"/>
  <c r="V261" i="17"/>
  <c r="U261" i="17"/>
  <c r="T261" i="17"/>
  <c r="S261" i="17"/>
  <c r="R261" i="17"/>
  <c r="Q261" i="17"/>
  <c r="P261" i="17"/>
  <c r="O261" i="17"/>
  <c r="N261" i="17"/>
  <c r="M261" i="17"/>
  <c r="J261" i="17"/>
  <c r="I261" i="17"/>
  <c r="H261" i="17"/>
  <c r="E261" i="17"/>
  <c r="F261" i="17" s="1"/>
  <c r="Y260" i="17"/>
  <c r="X260" i="17"/>
  <c r="W260" i="17"/>
  <c r="V260" i="17"/>
  <c r="U260" i="17"/>
  <c r="T260" i="17"/>
  <c r="S260" i="17"/>
  <c r="R260" i="17"/>
  <c r="Q260" i="17"/>
  <c r="P260" i="17"/>
  <c r="O260" i="17"/>
  <c r="N260" i="17"/>
  <c r="M260" i="17"/>
  <c r="J260" i="17"/>
  <c r="I260" i="17"/>
  <c r="H260" i="17"/>
  <c r="E260" i="17"/>
  <c r="F260" i="17" s="1"/>
  <c r="Y259" i="17"/>
  <c r="X259" i="17"/>
  <c r="W259" i="17"/>
  <c r="V259" i="17"/>
  <c r="U259" i="17"/>
  <c r="T259" i="17"/>
  <c r="S259" i="17"/>
  <c r="R259" i="17"/>
  <c r="Q259" i="17"/>
  <c r="P259" i="17"/>
  <c r="O259" i="17"/>
  <c r="N259" i="17"/>
  <c r="M259" i="17"/>
  <c r="J259" i="17"/>
  <c r="I259" i="17"/>
  <c r="H259" i="17"/>
  <c r="E259" i="17"/>
  <c r="F259" i="17" s="1"/>
  <c r="Y258" i="17"/>
  <c r="X258" i="17"/>
  <c r="W258" i="17"/>
  <c r="V258" i="17"/>
  <c r="U258" i="17"/>
  <c r="T258" i="17"/>
  <c r="S258" i="17"/>
  <c r="R258" i="17"/>
  <c r="Q258" i="17"/>
  <c r="P258" i="17"/>
  <c r="O258" i="17"/>
  <c r="N258" i="17"/>
  <c r="M258" i="17"/>
  <c r="J258" i="17"/>
  <c r="I258" i="17"/>
  <c r="H258" i="17"/>
  <c r="E258" i="17"/>
  <c r="F258" i="17" s="1"/>
  <c r="Y257" i="17"/>
  <c r="X257" i="17"/>
  <c r="W257" i="17"/>
  <c r="V257" i="17"/>
  <c r="U257" i="17"/>
  <c r="T257" i="17"/>
  <c r="S257" i="17"/>
  <c r="R257" i="17"/>
  <c r="Q257" i="17"/>
  <c r="P257" i="17"/>
  <c r="O257" i="17"/>
  <c r="N257" i="17"/>
  <c r="M257" i="17"/>
  <c r="J257" i="17"/>
  <c r="I257" i="17"/>
  <c r="H257" i="17"/>
  <c r="E257" i="17"/>
  <c r="F257" i="17" s="1"/>
  <c r="Y256" i="17"/>
  <c r="X256" i="17"/>
  <c r="W256" i="17"/>
  <c r="V256" i="17"/>
  <c r="U256" i="17"/>
  <c r="T256" i="17"/>
  <c r="S256" i="17"/>
  <c r="R256" i="17"/>
  <c r="Q256" i="17"/>
  <c r="P256" i="17"/>
  <c r="O256" i="17"/>
  <c r="N256" i="17"/>
  <c r="M256" i="17"/>
  <c r="J256" i="17"/>
  <c r="I256" i="17"/>
  <c r="H256" i="17"/>
  <c r="E256" i="17"/>
  <c r="F256" i="17" s="1"/>
  <c r="Y255" i="17"/>
  <c r="X255" i="17"/>
  <c r="W255" i="17"/>
  <c r="V255" i="17"/>
  <c r="U255" i="17"/>
  <c r="T255" i="17"/>
  <c r="S255" i="17"/>
  <c r="R255" i="17"/>
  <c r="Q255" i="17"/>
  <c r="P255" i="17"/>
  <c r="O255" i="17"/>
  <c r="N255" i="17"/>
  <c r="M255" i="17"/>
  <c r="J255" i="17"/>
  <c r="I255" i="17"/>
  <c r="H255" i="17"/>
  <c r="E255" i="17"/>
  <c r="F255" i="17" s="1"/>
  <c r="Y254" i="17"/>
  <c r="X254" i="17"/>
  <c r="W254" i="17"/>
  <c r="V254" i="17"/>
  <c r="U254" i="17"/>
  <c r="T254" i="17"/>
  <c r="S254" i="17"/>
  <c r="R254" i="17"/>
  <c r="Q254" i="17"/>
  <c r="P254" i="17"/>
  <c r="O254" i="17"/>
  <c r="N254" i="17"/>
  <c r="M254" i="17"/>
  <c r="J254" i="17"/>
  <c r="I254" i="17"/>
  <c r="H254" i="17"/>
  <c r="E254" i="17"/>
  <c r="F254" i="17" s="1"/>
  <c r="Y253" i="17"/>
  <c r="X253" i="17"/>
  <c r="W253" i="17"/>
  <c r="V253" i="17"/>
  <c r="U253" i="17"/>
  <c r="T253" i="17"/>
  <c r="S253" i="17"/>
  <c r="R253" i="17"/>
  <c r="Q253" i="17"/>
  <c r="P253" i="17"/>
  <c r="O253" i="17"/>
  <c r="N253" i="17"/>
  <c r="M253" i="17"/>
  <c r="J253" i="17"/>
  <c r="I253" i="17"/>
  <c r="H253" i="17"/>
  <c r="E253" i="17"/>
  <c r="F253" i="17" s="1"/>
  <c r="Y252" i="17"/>
  <c r="X252" i="17"/>
  <c r="W252" i="17"/>
  <c r="V252" i="17"/>
  <c r="U252" i="17"/>
  <c r="T252" i="17"/>
  <c r="S252" i="17"/>
  <c r="R252" i="17"/>
  <c r="Q252" i="17"/>
  <c r="P252" i="17"/>
  <c r="O252" i="17"/>
  <c r="N252" i="17"/>
  <c r="M252" i="17"/>
  <c r="J252" i="17"/>
  <c r="I252" i="17"/>
  <c r="H252" i="17"/>
  <c r="E252" i="17"/>
  <c r="F252" i="17" s="1"/>
  <c r="Y251" i="17"/>
  <c r="X251" i="17"/>
  <c r="W251" i="17"/>
  <c r="V251" i="17"/>
  <c r="U251" i="17"/>
  <c r="T251" i="17"/>
  <c r="S251" i="17"/>
  <c r="R251" i="17"/>
  <c r="Q251" i="17"/>
  <c r="P251" i="17"/>
  <c r="O251" i="17"/>
  <c r="N251" i="17"/>
  <c r="M251" i="17"/>
  <c r="J251" i="17"/>
  <c r="I251" i="17"/>
  <c r="H251" i="17"/>
  <c r="E251" i="17"/>
  <c r="F251" i="17" s="1"/>
  <c r="Y250" i="17"/>
  <c r="X250" i="17"/>
  <c r="W250" i="17"/>
  <c r="V250" i="17"/>
  <c r="U250" i="17"/>
  <c r="T250" i="17"/>
  <c r="S250" i="17"/>
  <c r="R250" i="17"/>
  <c r="Q250" i="17"/>
  <c r="P250" i="17"/>
  <c r="O250" i="17"/>
  <c r="N250" i="17"/>
  <c r="M250" i="17"/>
  <c r="J250" i="17"/>
  <c r="I250" i="17"/>
  <c r="H250" i="17"/>
  <c r="E250" i="17"/>
  <c r="F250" i="17" s="1"/>
  <c r="Y249" i="17"/>
  <c r="X249" i="17"/>
  <c r="W249" i="17"/>
  <c r="V249" i="17"/>
  <c r="U249" i="17"/>
  <c r="T249" i="17"/>
  <c r="S249" i="17"/>
  <c r="R249" i="17"/>
  <c r="Q249" i="17"/>
  <c r="P249" i="17"/>
  <c r="O249" i="17"/>
  <c r="N249" i="17"/>
  <c r="M249" i="17"/>
  <c r="J249" i="17"/>
  <c r="I249" i="17"/>
  <c r="H249" i="17"/>
  <c r="E249" i="17"/>
  <c r="F249" i="17" s="1"/>
  <c r="Y248" i="17"/>
  <c r="X248" i="17"/>
  <c r="W248" i="17"/>
  <c r="V248" i="17"/>
  <c r="U248" i="17"/>
  <c r="T248" i="17"/>
  <c r="S248" i="17"/>
  <c r="R248" i="17"/>
  <c r="Q248" i="17"/>
  <c r="P248" i="17"/>
  <c r="O248" i="17"/>
  <c r="N248" i="17"/>
  <c r="M248" i="17"/>
  <c r="J248" i="17"/>
  <c r="I248" i="17"/>
  <c r="H248" i="17"/>
  <c r="E248" i="17"/>
  <c r="F248" i="17" s="1"/>
  <c r="Y247" i="17"/>
  <c r="X247" i="17"/>
  <c r="W247" i="17"/>
  <c r="V247" i="17"/>
  <c r="U247" i="17"/>
  <c r="T247" i="17"/>
  <c r="S247" i="17"/>
  <c r="R247" i="17"/>
  <c r="Q247" i="17"/>
  <c r="P247" i="17"/>
  <c r="O247" i="17"/>
  <c r="N247" i="17"/>
  <c r="M247" i="17"/>
  <c r="J247" i="17"/>
  <c r="I247" i="17"/>
  <c r="H247" i="17"/>
  <c r="E247" i="17"/>
  <c r="F247" i="17" s="1"/>
  <c r="Y246" i="17"/>
  <c r="X246" i="17"/>
  <c r="W246" i="17"/>
  <c r="V246" i="17"/>
  <c r="U246" i="17"/>
  <c r="T246" i="17"/>
  <c r="S246" i="17"/>
  <c r="R246" i="17"/>
  <c r="Q246" i="17"/>
  <c r="P246" i="17"/>
  <c r="O246" i="17"/>
  <c r="N246" i="17"/>
  <c r="M246" i="17"/>
  <c r="J246" i="17"/>
  <c r="I246" i="17"/>
  <c r="H246" i="17"/>
  <c r="E246" i="17"/>
  <c r="F246" i="17" s="1"/>
  <c r="Y245" i="17"/>
  <c r="X245" i="17"/>
  <c r="W245" i="17"/>
  <c r="V245" i="17"/>
  <c r="U245" i="17"/>
  <c r="T245" i="17"/>
  <c r="S245" i="17"/>
  <c r="R245" i="17"/>
  <c r="Q245" i="17"/>
  <c r="P245" i="17"/>
  <c r="O245" i="17"/>
  <c r="N245" i="17"/>
  <c r="M245" i="17"/>
  <c r="J245" i="17"/>
  <c r="I245" i="17"/>
  <c r="H245" i="17"/>
  <c r="E245" i="17"/>
  <c r="F245" i="17" s="1"/>
  <c r="Y244" i="17"/>
  <c r="X244" i="17"/>
  <c r="W244" i="17"/>
  <c r="V244" i="17"/>
  <c r="U244" i="17"/>
  <c r="T244" i="17"/>
  <c r="S244" i="17"/>
  <c r="R244" i="17"/>
  <c r="Q244" i="17"/>
  <c r="P244" i="17"/>
  <c r="O244" i="17"/>
  <c r="N244" i="17"/>
  <c r="M244" i="17"/>
  <c r="J244" i="17"/>
  <c r="I244" i="17"/>
  <c r="H244" i="17"/>
  <c r="E244" i="17"/>
  <c r="F244" i="17" s="1"/>
  <c r="Y242" i="17"/>
  <c r="X242" i="17"/>
  <c r="W242" i="17"/>
  <c r="V242" i="17"/>
  <c r="U242" i="17"/>
  <c r="T242" i="17"/>
  <c r="S242" i="17"/>
  <c r="R242" i="17"/>
  <c r="Q242" i="17"/>
  <c r="P242" i="17"/>
  <c r="O242" i="17"/>
  <c r="N242" i="17"/>
  <c r="M242" i="17"/>
  <c r="J242" i="17"/>
  <c r="I242" i="17"/>
  <c r="H242" i="17"/>
  <c r="E242" i="17"/>
  <c r="F242" i="17" s="1"/>
  <c r="Y241" i="17"/>
  <c r="X241" i="17"/>
  <c r="W241" i="17"/>
  <c r="V241" i="17"/>
  <c r="U241" i="17"/>
  <c r="T241" i="17"/>
  <c r="S241" i="17"/>
  <c r="R241" i="17"/>
  <c r="Q241" i="17"/>
  <c r="P241" i="17"/>
  <c r="O241" i="17"/>
  <c r="N241" i="17"/>
  <c r="M241" i="17"/>
  <c r="J241" i="17"/>
  <c r="I241" i="17"/>
  <c r="H241" i="17"/>
  <c r="E241" i="17"/>
  <c r="F241" i="17" s="1"/>
  <c r="Y240" i="17"/>
  <c r="X240" i="17"/>
  <c r="W240" i="17"/>
  <c r="V240" i="17"/>
  <c r="U240" i="17"/>
  <c r="T240" i="17"/>
  <c r="S240" i="17"/>
  <c r="R240" i="17"/>
  <c r="Q240" i="17"/>
  <c r="P240" i="17"/>
  <c r="O240" i="17"/>
  <c r="N240" i="17"/>
  <c r="M240" i="17"/>
  <c r="J240" i="17"/>
  <c r="I240" i="17"/>
  <c r="H240" i="17"/>
  <c r="E240" i="17"/>
  <c r="F240" i="17" s="1"/>
  <c r="Y239" i="17"/>
  <c r="X239" i="17"/>
  <c r="W239" i="17"/>
  <c r="V239" i="17"/>
  <c r="U239" i="17"/>
  <c r="T239" i="17"/>
  <c r="S239" i="17"/>
  <c r="R239" i="17"/>
  <c r="Q239" i="17"/>
  <c r="P239" i="17"/>
  <c r="O239" i="17"/>
  <c r="N239" i="17"/>
  <c r="M239" i="17"/>
  <c r="J239" i="17"/>
  <c r="I239" i="17"/>
  <c r="H239" i="17"/>
  <c r="E239" i="17"/>
  <c r="F239" i="17" s="1"/>
  <c r="Y238" i="17"/>
  <c r="X238" i="17"/>
  <c r="W238" i="17"/>
  <c r="V238" i="17"/>
  <c r="U238" i="17"/>
  <c r="T238" i="17"/>
  <c r="S238" i="17"/>
  <c r="R238" i="17"/>
  <c r="Q238" i="17"/>
  <c r="P238" i="17"/>
  <c r="O238" i="17"/>
  <c r="N238" i="17"/>
  <c r="M238" i="17"/>
  <c r="J238" i="17"/>
  <c r="I238" i="17"/>
  <c r="H238" i="17"/>
  <c r="E238" i="17"/>
  <c r="F238" i="17" s="1"/>
  <c r="Y237" i="17"/>
  <c r="X237" i="17"/>
  <c r="W237" i="17"/>
  <c r="V237" i="17"/>
  <c r="U237" i="17"/>
  <c r="T237" i="17"/>
  <c r="S237" i="17"/>
  <c r="R237" i="17"/>
  <c r="Q237" i="17"/>
  <c r="P237" i="17"/>
  <c r="O237" i="17"/>
  <c r="N237" i="17"/>
  <c r="M237" i="17"/>
  <c r="J237" i="17"/>
  <c r="I237" i="17"/>
  <c r="H237" i="17"/>
  <c r="E237" i="17"/>
  <c r="F237" i="17" s="1"/>
  <c r="Y236" i="17"/>
  <c r="X236" i="17"/>
  <c r="W236" i="17"/>
  <c r="V236" i="17"/>
  <c r="U236" i="17"/>
  <c r="T236" i="17"/>
  <c r="S236" i="17"/>
  <c r="R236" i="17"/>
  <c r="Q236" i="17"/>
  <c r="P236" i="17"/>
  <c r="O236" i="17"/>
  <c r="N236" i="17"/>
  <c r="M236" i="17"/>
  <c r="J236" i="17"/>
  <c r="I236" i="17"/>
  <c r="H236" i="17"/>
  <c r="E236" i="17"/>
  <c r="F236" i="17" s="1"/>
  <c r="Y235" i="17"/>
  <c r="X235" i="17"/>
  <c r="W235" i="17"/>
  <c r="V235" i="17"/>
  <c r="U235" i="17"/>
  <c r="T235" i="17"/>
  <c r="S235" i="17"/>
  <c r="R235" i="17"/>
  <c r="Q235" i="17"/>
  <c r="P235" i="17"/>
  <c r="O235" i="17"/>
  <c r="N235" i="17"/>
  <c r="M235" i="17"/>
  <c r="J235" i="17"/>
  <c r="I235" i="17"/>
  <c r="H235" i="17"/>
  <c r="E235" i="17"/>
  <c r="F235" i="17" s="1"/>
  <c r="Y234" i="17"/>
  <c r="X234" i="17"/>
  <c r="W234" i="17"/>
  <c r="V234" i="17"/>
  <c r="U234" i="17"/>
  <c r="T234" i="17"/>
  <c r="S234" i="17"/>
  <c r="R234" i="17"/>
  <c r="Q234" i="17"/>
  <c r="P234" i="17"/>
  <c r="O234" i="17"/>
  <c r="N234" i="17"/>
  <c r="M234" i="17"/>
  <c r="J234" i="17"/>
  <c r="I234" i="17"/>
  <c r="H234" i="17"/>
  <c r="E234" i="17"/>
  <c r="F234" i="17" s="1"/>
  <c r="Y233" i="17"/>
  <c r="X233" i="17"/>
  <c r="W233" i="17"/>
  <c r="V233" i="17"/>
  <c r="U233" i="17"/>
  <c r="T233" i="17"/>
  <c r="S233" i="17"/>
  <c r="R233" i="17"/>
  <c r="Q233" i="17"/>
  <c r="P233" i="17"/>
  <c r="O233" i="17"/>
  <c r="N233" i="17"/>
  <c r="M233" i="17"/>
  <c r="J233" i="17"/>
  <c r="I233" i="17"/>
  <c r="H233" i="17"/>
  <c r="E233" i="17"/>
  <c r="F233" i="17" s="1"/>
  <c r="Y232" i="17"/>
  <c r="X232" i="17"/>
  <c r="W232" i="17"/>
  <c r="V232" i="17"/>
  <c r="U232" i="17"/>
  <c r="T232" i="17"/>
  <c r="S232" i="17"/>
  <c r="R232" i="17"/>
  <c r="Q232" i="17"/>
  <c r="P232" i="17"/>
  <c r="O232" i="17"/>
  <c r="N232" i="17"/>
  <c r="M232" i="17"/>
  <c r="J232" i="17"/>
  <c r="I232" i="17"/>
  <c r="H232" i="17"/>
  <c r="E232" i="17"/>
  <c r="F232" i="17" s="1"/>
  <c r="Y231" i="17"/>
  <c r="X231" i="17"/>
  <c r="W231" i="17"/>
  <c r="V231" i="17"/>
  <c r="U231" i="17"/>
  <c r="T231" i="17"/>
  <c r="S231" i="17"/>
  <c r="R231" i="17"/>
  <c r="Q231" i="17"/>
  <c r="P231" i="17"/>
  <c r="O231" i="17"/>
  <c r="N231" i="17"/>
  <c r="M231" i="17"/>
  <c r="J231" i="17"/>
  <c r="I231" i="17"/>
  <c r="H231" i="17"/>
  <c r="E231" i="17"/>
  <c r="F231" i="17" s="1"/>
  <c r="Y230" i="17"/>
  <c r="X230" i="17"/>
  <c r="W230" i="17"/>
  <c r="V230" i="17"/>
  <c r="U230" i="17"/>
  <c r="T230" i="17"/>
  <c r="S230" i="17"/>
  <c r="R230" i="17"/>
  <c r="Q230" i="17"/>
  <c r="P230" i="17"/>
  <c r="O230" i="17"/>
  <c r="N230" i="17"/>
  <c r="M230" i="17"/>
  <c r="J230" i="17"/>
  <c r="I230" i="17"/>
  <c r="H230" i="17"/>
  <c r="E230" i="17"/>
  <c r="F230" i="17" s="1"/>
  <c r="Y229" i="17"/>
  <c r="X229" i="17"/>
  <c r="W229" i="17"/>
  <c r="V229" i="17"/>
  <c r="U229" i="17"/>
  <c r="T229" i="17"/>
  <c r="S229" i="17"/>
  <c r="R229" i="17"/>
  <c r="Q229" i="17"/>
  <c r="P229" i="17"/>
  <c r="O229" i="17"/>
  <c r="N229" i="17"/>
  <c r="M229" i="17"/>
  <c r="J229" i="17"/>
  <c r="I229" i="17"/>
  <c r="H229" i="17"/>
  <c r="E229" i="17"/>
  <c r="F229" i="17" s="1"/>
  <c r="Y228" i="17"/>
  <c r="X228" i="17"/>
  <c r="W228" i="17"/>
  <c r="V228" i="17"/>
  <c r="U228" i="17"/>
  <c r="T228" i="17"/>
  <c r="S228" i="17"/>
  <c r="R228" i="17"/>
  <c r="Q228" i="17"/>
  <c r="P228" i="17"/>
  <c r="O228" i="17"/>
  <c r="N228" i="17"/>
  <c r="M228" i="17"/>
  <c r="J228" i="17"/>
  <c r="I228" i="17"/>
  <c r="H228" i="17"/>
  <c r="E228" i="17"/>
  <c r="F228" i="17" s="1"/>
  <c r="Y227" i="17"/>
  <c r="X227" i="17"/>
  <c r="W227" i="17"/>
  <c r="V227" i="17"/>
  <c r="U227" i="17"/>
  <c r="T227" i="17"/>
  <c r="S227" i="17"/>
  <c r="R227" i="17"/>
  <c r="Q227" i="17"/>
  <c r="P227" i="17"/>
  <c r="O227" i="17"/>
  <c r="N227" i="17"/>
  <c r="M227" i="17"/>
  <c r="J227" i="17"/>
  <c r="I227" i="17"/>
  <c r="H227" i="17"/>
  <c r="E227" i="17"/>
  <c r="F227" i="17" s="1"/>
  <c r="Y226" i="17"/>
  <c r="X226" i="17"/>
  <c r="W226" i="17"/>
  <c r="V226" i="17"/>
  <c r="U226" i="17"/>
  <c r="T226" i="17"/>
  <c r="S226" i="17"/>
  <c r="R226" i="17"/>
  <c r="Q226" i="17"/>
  <c r="P226" i="17"/>
  <c r="O226" i="17"/>
  <c r="N226" i="17"/>
  <c r="M226" i="17"/>
  <c r="J226" i="17"/>
  <c r="I226" i="17"/>
  <c r="H226" i="17"/>
  <c r="E226" i="17"/>
  <c r="F226" i="17" s="1"/>
  <c r="Y225" i="17"/>
  <c r="X225" i="17"/>
  <c r="W225" i="17"/>
  <c r="V225" i="17"/>
  <c r="U225" i="17"/>
  <c r="T225" i="17"/>
  <c r="S225" i="17"/>
  <c r="R225" i="17"/>
  <c r="Q225" i="17"/>
  <c r="P225" i="17"/>
  <c r="O225" i="17"/>
  <c r="N225" i="17"/>
  <c r="M225" i="17"/>
  <c r="J225" i="17"/>
  <c r="I225" i="17"/>
  <c r="H225" i="17"/>
  <c r="E225" i="17"/>
  <c r="F225" i="17" s="1"/>
  <c r="Y224" i="17"/>
  <c r="X224" i="17"/>
  <c r="W224" i="17"/>
  <c r="V224" i="17"/>
  <c r="U224" i="17"/>
  <c r="T224" i="17"/>
  <c r="S224" i="17"/>
  <c r="R224" i="17"/>
  <c r="Q224" i="17"/>
  <c r="P224" i="17"/>
  <c r="O224" i="17"/>
  <c r="N224" i="17"/>
  <c r="M224" i="17"/>
  <c r="J224" i="17"/>
  <c r="I224" i="17"/>
  <c r="H224" i="17"/>
  <c r="E224" i="17"/>
  <c r="F224" i="17" s="1"/>
  <c r="Y222" i="17"/>
  <c r="X222" i="17"/>
  <c r="W222" i="17"/>
  <c r="V222" i="17"/>
  <c r="U222" i="17"/>
  <c r="T222" i="17"/>
  <c r="S222" i="17"/>
  <c r="R222" i="17"/>
  <c r="Q222" i="17"/>
  <c r="P222" i="17"/>
  <c r="O222" i="17"/>
  <c r="N222" i="17"/>
  <c r="M222" i="17"/>
  <c r="J222" i="17"/>
  <c r="I222" i="17"/>
  <c r="H222" i="17"/>
  <c r="E222" i="17"/>
  <c r="F222" i="17" s="1"/>
  <c r="Y221" i="17"/>
  <c r="X221" i="17"/>
  <c r="W221" i="17"/>
  <c r="V221" i="17"/>
  <c r="U221" i="17"/>
  <c r="T221" i="17"/>
  <c r="S221" i="17"/>
  <c r="R221" i="17"/>
  <c r="Q221" i="17"/>
  <c r="P221" i="17"/>
  <c r="O221" i="17"/>
  <c r="N221" i="17"/>
  <c r="M221" i="17"/>
  <c r="J221" i="17"/>
  <c r="I221" i="17"/>
  <c r="H221" i="17"/>
  <c r="E221" i="17"/>
  <c r="F221" i="17" s="1"/>
  <c r="Y220" i="17"/>
  <c r="X220" i="17"/>
  <c r="W220" i="17"/>
  <c r="V220" i="17"/>
  <c r="U220" i="17"/>
  <c r="T220" i="17"/>
  <c r="S220" i="17"/>
  <c r="R220" i="17"/>
  <c r="Q220" i="17"/>
  <c r="P220" i="17"/>
  <c r="O220" i="17"/>
  <c r="N220" i="17"/>
  <c r="M220" i="17"/>
  <c r="J220" i="17"/>
  <c r="I220" i="17"/>
  <c r="H220" i="17"/>
  <c r="E220" i="17"/>
  <c r="F220" i="17" s="1"/>
  <c r="Y219" i="17"/>
  <c r="X219" i="17"/>
  <c r="W219" i="17"/>
  <c r="V219" i="17"/>
  <c r="U219" i="17"/>
  <c r="T219" i="17"/>
  <c r="S219" i="17"/>
  <c r="R219" i="17"/>
  <c r="Q219" i="17"/>
  <c r="P219" i="17"/>
  <c r="O219" i="17"/>
  <c r="N219" i="17"/>
  <c r="M219" i="17"/>
  <c r="J219" i="17"/>
  <c r="I219" i="17"/>
  <c r="H219" i="17"/>
  <c r="E219" i="17"/>
  <c r="F219" i="17" s="1"/>
  <c r="Y218" i="17"/>
  <c r="X218" i="17"/>
  <c r="W218" i="17"/>
  <c r="V218" i="17"/>
  <c r="U218" i="17"/>
  <c r="T218" i="17"/>
  <c r="S218" i="17"/>
  <c r="R218" i="17"/>
  <c r="Q218" i="17"/>
  <c r="P218" i="17"/>
  <c r="O218" i="17"/>
  <c r="N218" i="17"/>
  <c r="M218" i="17"/>
  <c r="J218" i="17"/>
  <c r="I218" i="17"/>
  <c r="H218" i="17"/>
  <c r="E218" i="17"/>
  <c r="F218" i="17" s="1"/>
  <c r="Y217" i="17"/>
  <c r="X217" i="17"/>
  <c r="W217" i="17"/>
  <c r="V217" i="17"/>
  <c r="U217" i="17"/>
  <c r="T217" i="17"/>
  <c r="S217" i="17"/>
  <c r="R217" i="17"/>
  <c r="Q217" i="17"/>
  <c r="P217" i="17"/>
  <c r="O217" i="17"/>
  <c r="N217" i="17"/>
  <c r="M217" i="17"/>
  <c r="J217" i="17"/>
  <c r="I217" i="17"/>
  <c r="H217" i="17"/>
  <c r="E217" i="17"/>
  <c r="F217" i="17" s="1"/>
  <c r="Y216" i="17"/>
  <c r="X216" i="17"/>
  <c r="W216" i="17"/>
  <c r="V216" i="17"/>
  <c r="U216" i="17"/>
  <c r="T216" i="17"/>
  <c r="S216" i="17"/>
  <c r="R216" i="17"/>
  <c r="Q216" i="17"/>
  <c r="P216" i="17"/>
  <c r="O216" i="17"/>
  <c r="N216" i="17"/>
  <c r="M216" i="17"/>
  <c r="J216" i="17"/>
  <c r="I216" i="17"/>
  <c r="H216" i="17"/>
  <c r="E216" i="17"/>
  <c r="F216" i="17" s="1"/>
  <c r="Y215" i="17"/>
  <c r="X215" i="17"/>
  <c r="W215" i="17"/>
  <c r="V215" i="17"/>
  <c r="U215" i="17"/>
  <c r="T215" i="17"/>
  <c r="S215" i="17"/>
  <c r="R215" i="17"/>
  <c r="Q215" i="17"/>
  <c r="P215" i="17"/>
  <c r="O215" i="17"/>
  <c r="N215" i="17"/>
  <c r="M215" i="17"/>
  <c r="J215" i="17"/>
  <c r="I215" i="17"/>
  <c r="H215" i="17"/>
  <c r="E215" i="17"/>
  <c r="F215" i="17" s="1"/>
  <c r="Y214" i="17"/>
  <c r="X214" i="17"/>
  <c r="W214" i="17"/>
  <c r="V214" i="17"/>
  <c r="U214" i="17"/>
  <c r="T214" i="17"/>
  <c r="S214" i="17"/>
  <c r="R214" i="17"/>
  <c r="Q214" i="17"/>
  <c r="P214" i="17"/>
  <c r="O214" i="17"/>
  <c r="N214" i="17"/>
  <c r="M214" i="17"/>
  <c r="J214" i="17"/>
  <c r="I214" i="17"/>
  <c r="H214" i="17"/>
  <c r="E214" i="17"/>
  <c r="F214" i="17" s="1"/>
  <c r="Y213" i="17"/>
  <c r="X213" i="17"/>
  <c r="W213" i="17"/>
  <c r="V213" i="17"/>
  <c r="U213" i="17"/>
  <c r="T213" i="17"/>
  <c r="S213" i="17"/>
  <c r="R213" i="17"/>
  <c r="Q213" i="17"/>
  <c r="P213" i="17"/>
  <c r="O213" i="17"/>
  <c r="N213" i="17"/>
  <c r="M213" i="17"/>
  <c r="J213" i="17"/>
  <c r="I213" i="17"/>
  <c r="H213" i="17"/>
  <c r="E213" i="17"/>
  <c r="F213" i="17" s="1"/>
  <c r="Y212" i="17"/>
  <c r="X212" i="17"/>
  <c r="W212" i="17"/>
  <c r="V212" i="17"/>
  <c r="U212" i="17"/>
  <c r="T212" i="17"/>
  <c r="S212" i="17"/>
  <c r="R212" i="17"/>
  <c r="Q212" i="17"/>
  <c r="P212" i="17"/>
  <c r="O212" i="17"/>
  <c r="N212" i="17"/>
  <c r="M212" i="17"/>
  <c r="J212" i="17"/>
  <c r="I212" i="17"/>
  <c r="H212" i="17"/>
  <c r="E212" i="17"/>
  <c r="F212" i="17" s="1"/>
  <c r="Y211" i="17"/>
  <c r="X211" i="17"/>
  <c r="W211" i="17"/>
  <c r="V211" i="17"/>
  <c r="U211" i="17"/>
  <c r="T211" i="17"/>
  <c r="S211" i="17"/>
  <c r="R211" i="17"/>
  <c r="Q211" i="17"/>
  <c r="P211" i="17"/>
  <c r="O211" i="17"/>
  <c r="N211" i="17"/>
  <c r="M211" i="17"/>
  <c r="J211" i="17"/>
  <c r="I211" i="17"/>
  <c r="H211" i="17"/>
  <c r="E211" i="17"/>
  <c r="F211" i="17" s="1"/>
  <c r="Y210" i="17"/>
  <c r="X210" i="17"/>
  <c r="W210" i="17"/>
  <c r="V210" i="17"/>
  <c r="U210" i="17"/>
  <c r="T210" i="17"/>
  <c r="S210" i="17"/>
  <c r="R210" i="17"/>
  <c r="Q210" i="17"/>
  <c r="P210" i="17"/>
  <c r="O210" i="17"/>
  <c r="N210" i="17"/>
  <c r="M210" i="17"/>
  <c r="J210" i="17"/>
  <c r="I210" i="17"/>
  <c r="H210" i="17"/>
  <c r="E210" i="17"/>
  <c r="F210" i="17" s="1"/>
  <c r="Y209" i="17"/>
  <c r="X209" i="17"/>
  <c r="W209" i="17"/>
  <c r="V209" i="17"/>
  <c r="U209" i="17"/>
  <c r="T209" i="17"/>
  <c r="S209" i="17"/>
  <c r="R209" i="17"/>
  <c r="Q209" i="17"/>
  <c r="P209" i="17"/>
  <c r="O209" i="17"/>
  <c r="N209" i="17"/>
  <c r="M209" i="17"/>
  <c r="J209" i="17"/>
  <c r="I209" i="17"/>
  <c r="H209" i="17"/>
  <c r="E209" i="17"/>
  <c r="F209" i="17" s="1"/>
  <c r="Y208" i="17"/>
  <c r="X208" i="17"/>
  <c r="W208" i="17"/>
  <c r="V208" i="17"/>
  <c r="U208" i="17"/>
  <c r="T208" i="17"/>
  <c r="S208" i="17"/>
  <c r="R208" i="17"/>
  <c r="Q208" i="17"/>
  <c r="P208" i="17"/>
  <c r="O208" i="17"/>
  <c r="N208" i="17"/>
  <c r="M208" i="17"/>
  <c r="J208" i="17"/>
  <c r="I208" i="17"/>
  <c r="H208" i="17"/>
  <c r="E208" i="17"/>
  <c r="F208" i="17" s="1"/>
  <c r="Y207" i="17"/>
  <c r="X207" i="17"/>
  <c r="W207" i="17"/>
  <c r="V207" i="17"/>
  <c r="U207" i="17"/>
  <c r="T207" i="17"/>
  <c r="S207" i="17"/>
  <c r="R207" i="17"/>
  <c r="Q207" i="17"/>
  <c r="P207" i="17"/>
  <c r="O207" i="17"/>
  <c r="N207" i="17"/>
  <c r="M207" i="17"/>
  <c r="J207" i="17"/>
  <c r="I207" i="17"/>
  <c r="H207" i="17"/>
  <c r="E207" i="17"/>
  <c r="F207" i="17" s="1"/>
  <c r="Y206" i="17"/>
  <c r="X206" i="17"/>
  <c r="W206" i="17"/>
  <c r="V206" i="17"/>
  <c r="U206" i="17"/>
  <c r="T206" i="17"/>
  <c r="S206" i="17"/>
  <c r="R206" i="17"/>
  <c r="Q206" i="17"/>
  <c r="P206" i="17"/>
  <c r="O206" i="17"/>
  <c r="N206" i="17"/>
  <c r="M206" i="17"/>
  <c r="J206" i="17"/>
  <c r="I206" i="17"/>
  <c r="H206" i="17"/>
  <c r="E206" i="17"/>
  <c r="F206" i="17" s="1"/>
  <c r="Y205" i="17"/>
  <c r="X205" i="17"/>
  <c r="W205" i="17"/>
  <c r="V205" i="17"/>
  <c r="U205" i="17"/>
  <c r="T205" i="17"/>
  <c r="S205" i="17"/>
  <c r="R205" i="17"/>
  <c r="Q205" i="17"/>
  <c r="P205" i="17"/>
  <c r="O205" i="17"/>
  <c r="N205" i="17"/>
  <c r="M205" i="17"/>
  <c r="J205" i="17"/>
  <c r="I205" i="17"/>
  <c r="H205" i="17"/>
  <c r="E205" i="17"/>
  <c r="F205" i="17" s="1"/>
  <c r="Y204" i="17"/>
  <c r="X204" i="17"/>
  <c r="W204" i="17"/>
  <c r="V204" i="17"/>
  <c r="U204" i="17"/>
  <c r="T204" i="17"/>
  <c r="S204" i="17"/>
  <c r="R204" i="17"/>
  <c r="Q204" i="17"/>
  <c r="P204" i="17"/>
  <c r="O204" i="17"/>
  <c r="N204" i="17"/>
  <c r="M204" i="17"/>
  <c r="J204" i="17"/>
  <c r="I204" i="17"/>
  <c r="H204" i="17"/>
  <c r="E204" i="17"/>
  <c r="F204" i="17" s="1"/>
  <c r="Y203" i="17"/>
  <c r="X203" i="17"/>
  <c r="W203" i="17"/>
  <c r="V203" i="17"/>
  <c r="U203" i="17"/>
  <c r="T203" i="17"/>
  <c r="S203" i="17"/>
  <c r="R203" i="17"/>
  <c r="Q203" i="17"/>
  <c r="P203" i="17"/>
  <c r="O203" i="17"/>
  <c r="N203" i="17"/>
  <c r="M203" i="17"/>
  <c r="J203" i="17"/>
  <c r="I203" i="17"/>
  <c r="H203" i="17"/>
  <c r="E203" i="17"/>
  <c r="F203" i="17" s="1"/>
  <c r="Y202" i="17"/>
  <c r="X202" i="17"/>
  <c r="W202" i="17"/>
  <c r="V202" i="17"/>
  <c r="U202" i="17"/>
  <c r="T202" i="17"/>
  <c r="S202" i="17"/>
  <c r="R202" i="17"/>
  <c r="Q202" i="17"/>
  <c r="P202" i="17"/>
  <c r="O202" i="17"/>
  <c r="N202" i="17"/>
  <c r="M202" i="17"/>
  <c r="J202" i="17"/>
  <c r="I202" i="17"/>
  <c r="H202" i="17"/>
  <c r="E202" i="17"/>
  <c r="F202" i="17" s="1"/>
  <c r="Y201" i="17"/>
  <c r="X201" i="17"/>
  <c r="W201" i="17"/>
  <c r="V201" i="17"/>
  <c r="U201" i="17"/>
  <c r="T201" i="17"/>
  <c r="S201" i="17"/>
  <c r="R201" i="17"/>
  <c r="Q201" i="17"/>
  <c r="P201" i="17"/>
  <c r="O201" i="17"/>
  <c r="N201" i="17"/>
  <c r="M201" i="17"/>
  <c r="J201" i="17"/>
  <c r="I201" i="17"/>
  <c r="H201" i="17"/>
  <c r="E201" i="17"/>
  <c r="F201" i="17" s="1"/>
  <c r="Y200" i="17"/>
  <c r="X200" i="17"/>
  <c r="W200" i="17"/>
  <c r="V200" i="17"/>
  <c r="U200" i="17"/>
  <c r="T200" i="17"/>
  <c r="S200" i="17"/>
  <c r="R200" i="17"/>
  <c r="Q200" i="17"/>
  <c r="P200" i="17"/>
  <c r="O200" i="17"/>
  <c r="N200" i="17"/>
  <c r="M200" i="17"/>
  <c r="J200" i="17"/>
  <c r="I200" i="17"/>
  <c r="H200" i="17"/>
  <c r="E200" i="17"/>
  <c r="F200" i="17" s="1"/>
  <c r="Y199" i="17"/>
  <c r="X199" i="17"/>
  <c r="W199" i="17"/>
  <c r="V199" i="17"/>
  <c r="U199" i="17"/>
  <c r="T199" i="17"/>
  <c r="S199" i="17"/>
  <c r="R199" i="17"/>
  <c r="Q199" i="17"/>
  <c r="P199" i="17"/>
  <c r="O199" i="17"/>
  <c r="N199" i="17"/>
  <c r="M199" i="17"/>
  <c r="J199" i="17"/>
  <c r="I199" i="17"/>
  <c r="H199" i="17"/>
  <c r="E199" i="17"/>
  <c r="F199" i="17" s="1"/>
  <c r="Y198" i="17"/>
  <c r="X198" i="17"/>
  <c r="W198" i="17"/>
  <c r="V198" i="17"/>
  <c r="U198" i="17"/>
  <c r="T198" i="17"/>
  <c r="S198" i="17"/>
  <c r="R198" i="17"/>
  <c r="Q198" i="17"/>
  <c r="P198" i="17"/>
  <c r="O198" i="17"/>
  <c r="N198" i="17"/>
  <c r="M198" i="17"/>
  <c r="J198" i="17"/>
  <c r="I198" i="17"/>
  <c r="H198" i="17"/>
  <c r="E198" i="17"/>
  <c r="F198" i="17" s="1"/>
  <c r="Y197" i="17"/>
  <c r="X197" i="17"/>
  <c r="W197" i="17"/>
  <c r="V197" i="17"/>
  <c r="U197" i="17"/>
  <c r="T197" i="17"/>
  <c r="S197" i="17"/>
  <c r="R197" i="17"/>
  <c r="Q197" i="17"/>
  <c r="P197" i="17"/>
  <c r="O197" i="17"/>
  <c r="N197" i="17"/>
  <c r="M197" i="17"/>
  <c r="J197" i="17"/>
  <c r="I197" i="17"/>
  <c r="H197" i="17"/>
  <c r="E197" i="17"/>
  <c r="F197" i="17" s="1"/>
  <c r="Y196" i="17"/>
  <c r="X196" i="17"/>
  <c r="W196" i="17"/>
  <c r="V196" i="17"/>
  <c r="U196" i="17"/>
  <c r="T196" i="17"/>
  <c r="S196" i="17"/>
  <c r="R196" i="17"/>
  <c r="Q196" i="17"/>
  <c r="P196" i="17"/>
  <c r="O196" i="17"/>
  <c r="N196" i="17"/>
  <c r="M196" i="17"/>
  <c r="J196" i="17"/>
  <c r="I196" i="17"/>
  <c r="H196" i="17"/>
  <c r="E196" i="17"/>
  <c r="F196" i="17" s="1"/>
  <c r="Y195" i="17"/>
  <c r="X195" i="17"/>
  <c r="W195" i="17"/>
  <c r="V195" i="17"/>
  <c r="U195" i="17"/>
  <c r="T195" i="17"/>
  <c r="S195" i="17"/>
  <c r="R195" i="17"/>
  <c r="Q195" i="17"/>
  <c r="P195" i="17"/>
  <c r="O195" i="17"/>
  <c r="N195" i="17"/>
  <c r="M195" i="17"/>
  <c r="J195" i="17"/>
  <c r="I195" i="17"/>
  <c r="H195" i="17"/>
  <c r="E195" i="17"/>
  <c r="F195" i="17" s="1"/>
  <c r="Y194" i="17"/>
  <c r="X194" i="17"/>
  <c r="W194" i="17"/>
  <c r="V194" i="17"/>
  <c r="U194" i="17"/>
  <c r="T194" i="17"/>
  <c r="S194" i="17"/>
  <c r="R194" i="17"/>
  <c r="Q194" i="17"/>
  <c r="P194" i="17"/>
  <c r="O194" i="17"/>
  <c r="N194" i="17"/>
  <c r="M194" i="17"/>
  <c r="J194" i="17"/>
  <c r="I194" i="17"/>
  <c r="H194" i="17"/>
  <c r="E194" i="17"/>
  <c r="F194" i="17" s="1"/>
  <c r="Y193" i="17"/>
  <c r="X193" i="17"/>
  <c r="W193" i="17"/>
  <c r="V193" i="17"/>
  <c r="U193" i="17"/>
  <c r="T193" i="17"/>
  <c r="S193" i="17"/>
  <c r="R193" i="17"/>
  <c r="Q193" i="17"/>
  <c r="P193" i="17"/>
  <c r="O193" i="17"/>
  <c r="N193" i="17"/>
  <c r="M193" i="17"/>
  <c r="J193" i="17"/>
  <c r="I193" i="17"/>
  <c r="H193" i="17"/>
  <c r="E193" i="17"/>
  <c r="F193" i="17" s="1"/>
  <c r="Y192" i="17"/>
  <c r="X192" i="17"/>
  <c r="W192" i="17"/>
  <c r="V192" i="17"/>
  <c r="U192" i="17"/>
  <c r="T192" i="17"/>
  <c r="S192" i="17"/>
  <c r="R192" i="17"/>
  <c r="Q192" i="17"/>
  <c r="P192" i="17"/>
  <c r="O192" i="17"/>
  <c r="N192" i="17"/>
  <c r="M192" i="17"/>
  <c r="J192" i="17"/>
  <c r="I192" i="17"/>
  <c r="H192" i="17"/>
  <c r="E192" i="17"/>
  <c r="F192" i="17" s="1"/>
  <c r="Y191" i="17"/>
  <c r="X191" i="17"/>
  <c r="W191" i="17"/>
  <c r="V191" i="17"/>
  <c r="U191" i="17"/>
  <c r="T191" i="17"/>
  <c r="S191" i="17"/>
  <c r="R191" i="17"/>
  <c r="Q191" i="17"/>
  <c r="P191" i="17"/>
  <c r="O191" i="17"/>
  <c r="N191" i="17"/>
  <c r="M191" i="17"/>
  <c r="J191" i="17"/>
  <c r="I191" i="17"/>
  <c r="H191" i="17"/>
  <c r="E191" i="17"/>
  <c r="F191" i="17" s="1"/>
  <c r="Y190" i="17"/>
  <c r="X190" i="17"/>
  <c r="W190" i="17"/>
  <c r="V190" i="17"/>
  <c r="U190" i="17"/>
  <c r="T190" i="17"/>
  <c r="S190" i="17"/>
  <c r="R190" i="17"/>
  <c r="Q190" i="17"/>
  <c r="P190" i="17"/>
  <c r="O190" i="17"/>
  <c r="N190" i="17"/>
  <c r="M190" i="17"/>
  <c r="J190" i="17"/>
  <c r="I190" i="17"/>
  <c r="H190" i="17"/>
  <c r="E190" i="17"/>
  <c r="F190" i="17" s="1"/>
  <c r="Y189" i="17"/>
  <c r="X189" i="17"/>
  <c r="W189" i="17"/>
  <c r="V189" i="17"/>
  <c r="U189" i="17"/>
  <c r="T189" i="17"/>
  <c r="S189" i="17"/>
  <c r="R189" i="17"/>
  <c r="Q189" i="17"/>
  <c r="P189" i="17"/>
  <c r="O189" i="17"/>
  <c r="N189" i="17"/>
  <c r="M189" i="17"/>
  <c r="J189" i="17"/>
  <c r="I189" i="17"/>
  <c r="H189" i="17"/>
  <c r="E189" i="17"/>
  <c r="F189" i="17" s="1"/>
  <c r="Y188" i="17"/>
  <c r="X188" i="17"/>
  <c r="W188" i="17"/>
  <c r="V188" i="17"/>
  <c r="U188" i="17"/>
  <c r="T188" i="17"/>
  <c r="S188" i="17"/>
  <c r="R188" i="17"/>
  <c r="Q188" i="17"/>
  <c r="P188" i="17"/>
  <c r="O188" i="17"/>
  <c r="N188" i="17"/>
  <c r="M188" i="17"/>
  <c r="J188" i="17"/>
  <c r="I188" i="17"/>
  <c r="H188" i="17"/>
  <c r="E188" i="17"/>
  <c r="F188" i="17" s="1"/>
  <c r="Y187" i="17"/>
  <c r="X187" i="17"/>
  <c r="W187" i="17"/>
  <c r="V187" i="17"/>
  <c r="U187" i="17"/>
  <c r="T187" i="17"/>
  <c r="S187" i="17"/>
  <c r="R187" i="17"/>
  <c r="Q187" i="17"/>
  <c r="P187" i="17"/>
  <c r="O187" i="17"/>
  <c r="N187" i="17"/>
  <c r="M187" i="17"/>
  <c r="J187" i="17"/>
  <c r="I187" i="17"/>
  <c r="H187" i="17"/>
  <c r="E187" i="17"/>
  <c r="F187" i="17" s="1"/>
  <c r="Y186" i="17"/>
  <c r="X186" i="17"/>
  <c r="W186" i="17"/>
  <c r="V186" i="17"/>
  <c r="U186" i="17"/>
  <c r="T186" i="17"/>
  <c r="S186" i="17"/>
  <c r="R186" i="17"/>
  <c r="Q186" i="17"/>
  <c r="P186" i="17"/>
  <c r="O186" i="17"/>
  <c r="N186" i="17"/>
  <c r="M186" i="17"/>
  <c r="J186" i="17"/>
  <c r="I186" i="17"/>
  <c r="H186" i="17"/>
  <c r="E186" i="17"/>
  <c r="F186" i="17" s="1"/>
  <c r="Y185" i="17"/>
  <c r="X185" i="17"/>
  <c r="W185" i="17"/>
  <c r="V185" i="17"/>
  <c r="U185" i="17"/>
  <c r="T185" i="17"/>
  <c r="S185" i="17"/>
  <c r="R185" i="17"/>
  <c r="Q185" i="17"/>
  <c r="P185" i="17"/>
  <c r="O185" i="17"/>
  <c r="N185" i="17"/>
  <c r="M185" i="17"/>
  <c r="J185" i="17"/>
  <c r="I185" i="17"/>
  <c r="H185" i="17"/>
  <c r="E185" i="17"/>
  <c r="F185" i="17" s="1"/>
  <c r="Y184" i="17"/>
  <c r="X184" i="17"/>
  <c r="W184" i="17"/>
  <c r="V184" i="17"/>
  <c r="U184" i="17"/>
  <c r="T184" i="17"/>
  <c r="S184" i="17"/>
  <c r="R184" i="17"/>
  <c r="Q184" i="17"/>
  <c r="P184" i="17"/>
  <c r="O184" i="17"/>
  <c r="N184" i="17"/>
  <c r="M184" i="17"/>
  <c r="J184" i="17"/>
  <c r="I184" i="17"/>
  <c r="H184" i="17"/>
  <c r="E184" i="17"/>
  <c r="F184" i="17" s="1"/>
  <c r="Y183" i="17"/>
  <c r="X183" i="17"/>
  <c r="W183" i="17"/>
  <c r="V183" i="17"/>
  <c r="U183" i="17"/>
  <c r="T183" i="17"/>
  <c r="S183" i="17"/>
  <c r="R183" i="17"/>
  <c r="Q183" i="17"/>
  <c r="P183" i="17"/>
  <c r="O183" i="17"/>
  <c r="N183" i="17"/>
  <c r="M183" i="17"/>
  <c r="J183" i="17"/>
  <c r="I183" i="17"/>
  <c r="H183" i="17"/>
  <c r="E183" i="17"/>
  <c r="F183" i="17" s="1"/>
  <c r="Y182" i="17"/>
  <c r="X182" i="17"/>
  <c r="W182" i="17"/>
  <c r="V182" i="17"/>
  <c r="U182" i="17"/>
  <c r="T182" i="17"/>
  <c r="S182" i="17"/>
  <c r="R182" i="17"/>
  <c r="Q182" i="17"/>
  <c r="P182" i="17"/>
  <c r="O182" i="17"/>
  <c r="N182" i="17"/>
  <c r="M182" i="17"/>
  <c r="J182" i="17"/>
  <c r="I182" i="17"/>
  <c r="H182" i="17"/>
  <c r="E182" i="17"/>
  <c r="F182" i="17" s="1"/>
  <c r="Y181" i="17"/>
  <c r="X181" i="17"/>
  <c r="W181" i="17"/>
  <c r="V181" i="17"/>
  <c r="U181" i="17"/>
  <c r="T181" i="17"/>
  <c r="S181" i="17"/>
  <c r="R181" i="17"/>
  <c r="Q181" i="17"/>
  <c r="P181" i="17"/>
  <c r="O181" i="17"/>
  <c r="N181" i="17"/>
  <c r="M181" i="17"/>
  <c r="J181" i="17"/>
  <c r="I181" i="17"/>
  <c r="H181" i="17"/>
  <c r="Y180" i="17"/>
  <c r="X180" i="17"/>
  <c r="W180" i="17"/>
  <c r="V180" i="17"/>
  <c r="U180" i="17"/>
  <c r="T180" i="17"/>
  <c r="S180" i="17"/>
  <c r="R180" i="17"/>
  <c r="Q180" i="17"/>
  <c r="P180" i="17"/>
  <c r="O180" i="17"/>
  <c r="N180" i="17"/>
  <c r="M180" i="17"/>
  <c r="J180" i="17"/>
  <c r="I180" i="17"/>
  <c r="H180" i="17"/>
  <c r="Y179" i="17"/>
  <c r="X179" i="17"/>
  <c r="W179" i="17"/>
  <c r="V179" i="17"/>
  <c r="U179" i="17"/>
  <c r="T179" i="17"/>
  <c r="S179" i="17"/>
  <c r="R179" i="17"/>
  <c r="Q179" i="17"/>
  <c r="P179" i="17"/>
  <c r="O179" i="17"/>
  <c r="N179" i="17"/>
  <c r="M179" i="17"/>
  <c r="J179" i="17"/>
  <c r="I179" i="17"/>
  <c r="H179" i="17"/>
  <c r="Y178" i="17"/>
  <c r="X178" i="17"/>
  <c r="W178" i="17"/>
  <c r="V178" i="17"/>
  <c r="U178" i="17"/>
  <c r="T178" i="17"/>
  <c r="S178" i="17"/>
  <c r="R178" i="17"/>
  <c r="Q178" i="17"/>
  <c r="P178" i="17"/>
  <c r="O178" i="17"/>
  <c r="N178" i="17"/>
  <c r="M178" i="17"/>
  <c r="J178" i="17"/>
  <c r="I178" i="17"/>
  <c r="H178" i="17"/>
  <c r="Y177" i="17"/>
  <c r="X177" i="17"/>
  <c r="W177" i="17"/>
  <c r="V177" i="17"/>
  <c r="U177" i="17"/>
  <c r="T177" i="17"/>
  <c r="S177" i="17"/>
  <c r="R177" i="17"/>
  <c r="Q177" i="17"/>
  <c r="P177" i="17"/>
  <c r="O177" i="17"/>
  <c r="N177" i="17"/>
  <c r="M177" i="17"/>
  <c r="J177" i="17"/>
  <c r="I177" i="17"/>
  <c r="H177" i="17"/>
  <c r="Y176" i="17"/>
  <c r="X176" i="17"/>
  <c r="W176" i="17"/>
  <c r="V176" i="17"/>
  <c r="U176" i="17"/>
  <c r="T176" i="17"/>
  <c r="S176" i="17"/>
  <c r="R176" i="17"/>
  <c r="Q176" i="17"/>
  <c r="P176" i="17"/>
  <c r="O176" i="17"/>
  <c r="N176" i="17"/>
  <c r="M176" i="17"/>
  <c r="J176" i="17"/>
  <c r="I176" i="17"/>
  <c r="H176" i="17"/>
  <c r="Y175" i="17"/>
  <c r="X175" i="17"/>
  <c r="W175" i="17"/>
  <c r="V175" i="17"/>
  <c r="U175" i="17"/>
  <c r="T175" i="17"/>
  <c r="S175" i="17"/>
  <c r="R175" i="17"/>
  <c r="Q175" i="17"/>
  <c r="P175" i="17"/>
  <c r="O175" i="17"/>
  <c r="N175" i="17"/>
  <c r="M175" i="17"/>
  <c r="J175" i="17"/>
  <c r="I175" i="17"/>
  <c r="H175" i="17"/>
  <c r="Y174" i="17"/>
  <c r="X174" i="17"/>
  <c r="W174" i="17"/>
  <c r="V174" i="17"/>
  <c r="U174" i="17"/>
  <c r="T174" i="17"/>
  <c r="S174" i="17"/>
  <c r="R174" i="17"/>
  <c r="Q174" i="17"/>
  <c r="P174" i="17"/>
  <c r="O174" i="17"/>
  <c r="N174" i="17"/>
  <c r="M174" i="17"/>
  <c r="J174" i="17"/>
  <c r="I174" i="17"/>
  <c r="H174" i="17"/>
  <c r="Y173" i="17"/>
  <c r="X173" i="17"/>
  <c r="W173" i="17"/>
  <c r="V173" i="17"/>
  <c r="U173" i="17"/>
  <c r="T173" i="17"/>
  <c r="S173" i="17"/>
  <c r="R173" i="17"/>
  <c r="Q173" i="17"/>
  <c r="P173" i="17"/>
  <c r="O173" i="17"/>
  <c r="N173" i="17"/>
  <c r="M173" i="17"/>
  <c r="J173" i="17"/>
  <c r="I173" i="17"/>
  <c r="H173" i="17"/>
  <c r="Y172" i="17"/>
  <c r="X172" i="17"/>
  <c r="W172" i="17"/>
  <c r="V172" i="17"/>
  <c r="U172" i="17"/>
  <c r="T172" i="17"/>
  <c r="S172" i="17"/>
  <c r="R172" i="17"/>
  <c r="Q172" i="17"/>
  <c r="P172" i="17"/>
  <c r="O172" i="17"/>
  <c r="N172" i="17"/>
  <c r="M172" i="17"/>
  <c r="J172" i="17"/>
  <c r="I172" i="17"/>
  <c r="H172" i="17"/>
  <c r="Y171" i="17"/>
  <c r="X171" i="17"/>
  <c r="W171" i="17"/>
  <c r="V171" i="17"/>
  <c r="U171" i="17"/>
  <c r="T171" i="17"/>
  <c r="S171" i="17"/>
  <c r="R171" i="17"/>
  <c r="Q171" i="17"/>
  <c r="P171" i="17"/>
  <c r="O171" i="17"/>
  <c r="N171" i="17"/>
  <c r="M171" i="17"/>
  <c r="J171" i="17"/>
  <c r="I171" i="17"/>
  <c r="H171" i="17"/>
  <c r="Y170" i="17"/>
  <c r="X170" i="17"/>
  <c r="W170" i="17"/>
  <c r="V170" i="17"/>
  <c r="U170" i="17"/>
  <c r="T170" i="17"/>
  <c r="S170" i="17"/>
  <c r="R170" i="17"/>
  <c r="Q170" i="17"/>
  <c r="P170" i="17"/>
  <c r="O170" i="17"/>
  <c r="N170" i="17"/>
  <c r="M170" i="17"/>
  <c r="J170" i="17"/>
  <c r="I170" i="17"/>
  <c r="H170" i="17"/>
  <c r="Y169" i="17"/>
  <c r="X169" i="17"/>
  <c r="W169" i="17"/>
  <c r="V169" i="17"/>
  <c r="U169" i="17"/>
  <c r="T169" i="17"/>
  <c r="S169" i="17"/>
  <c r="R169" i="17"/>
  <c r="Q169" i="17"/>
  <c r="P169" i="17"/>
  <c r="O169" i="17"/>
  <c r="N169" i="17"/>
  <c r="M169" i="17"/>
  <c r="J169" i="17"/>
  <c r="I169" i="17"/>
  <c r="H169" i="17"/>
  <c r="Y168" i="17"/>
  <c r="X168" i="17"/>
  <c r="W168" i="17"/>
  <c r="V168" i="17"/>
  <c r="U168" i="17"/>
  <c r="T168" i="17"/>
  <c r="S168" i="17"/>
  <c r="R168" i="17"/>
  <c r="Q168" i="17"/>
  <c r="P168" i="17"/>
  <c r="O168" i="17"/>
  <c r="N168" i="17"/>
  <c r="M168" i="17"/>
  <c r="J168" i="17"/>
  <c r="I168" i="17"/>
  <c r="H168" i="17"/>
  <c r="Y167" i="17"/>
  <c r="X167" i="17"/>
  <c r="W167" i="17"/>
  <c r="V167" i="17"/>
  <c r="U167" i="17"/>
  <c r="T167" i="17"/>
  <c r="S167" i="17"/>
  <c r="R167" i="17"/>
  <c r="Q167" i="17"/>
  <c r="P167" i="17"/>
  <c r="O167" i="17"/>
  <c r="N167" i="17"/>
  <c r="M167" i="17"/>
  <c r="J167" i="17"/>
  <c r="I167" i="17"/>
  <c r="H167" i="17"/>
  <c r="Y166" i="17"/>
  <c r="X166" i="17"/>
  <c r="W166" i="17"/>
  <c r="V166" i="17"/>
  <c r="U166" i="17"/>
  <c r="T166" i="17"/>
  <c r="S166" i="17"/>
  <c r="R166" i="17"/>
  <c r="Q166" i="17"/>
  <c r="P166" i="17"/>
  <c r="O166" i="17"/>
  <c r="N166" i="17"/>
  <c r="M166" i="17"/>
  <c r="J166" i="17"/>
  <c r="I166" i="17"/>
  <c r="H166" i="17"/>
  <c r="Y165" i="17"/>
  <c r="X165" i="17"/>
  <c r="W165" i="17"/>
  <c r="V165" i="17"/>
  <c r="U165" i="17"/>
  <c r="T165" i="17"/>
  <c r="S165" i="17"/>
  <c r="R165" i="17"/>
  <c r="Q165" i="17"/>
  <c r="P165" i="17"/>
  <c r="O165" i="17"/>
  <c r="N165" i="17"/>
  <c r="M165" i="17"/>
  <c r="J165" i="17"/>
  <c r="I165" i="17"/>
  <c r="H165" i="17"/>
  <c r="Y164" i="17"/>
  <c r="X164" i="17"/>
  <c r="W164" i="17"/>
  <c r="V164" i="17"/>
  <c r="U164" i="17"/>
  <c r="T164" i="17"/>
  <c r="S164" i="17"/>
  <c r="R164" i="17"/>
  <c r="Q164" i="17"/>
  <c r="P164" i="17"/>
  <c r="O164" i="17"/>
  <c r="N164" i="17"/>
  <c r="M164" i="17"/>
  <c r="J164" i="17"/>
  <c r="I164" i="17"/>
  <c r="H164" i="17"/>
  <c r="Y163" i="17"/>
  <c r="X163" i="17"/>
  <c r="W163" i="17"/>
  <c r="V163" i="17"/>
  <c r="U163" i="17"/>
  <c r="T163" i="17"/>
  <c r="S163" i="17"/>
  <c r="R163" i="17"/>
  <c r="Q163" i="17"/>
  <c r="P163" i="17"/>
  <c r="O163" i="17"/>
  <c r="N163" i="17"/>
  <c r="M163" i="17"/>
  <c r="J163" i="17"/>
  <c r="I163" i="17"/>
  <c r="H163" i="17"/>
  <c r="Y162" i="17"/>
  <c r="X162" i="17"/>
  <c r="W162" i="17"/>
  <c r="V162" i="17"/>
  <c r="U162" i="17"/>
  <c r="T162" i="17"/>
  <c r="S162" i="17"/>
  <c r="R162" i="17"/>
  <c r="Q162" i="17"/>
  <c r="P162" i="17"/>
  <c r="O162" i="17"/>
  <c r="N162" i="17"/>
  <c r="M162" i="17"/>
  <c r="J162" i="17"/>
  <c r="I162" i="17"/>
  <c r="H162" i="17"/>
  <c r="Y161" i="17"/>
  <c r="X161" i="17"/>
  <c r="W161" i="17"/>
  <c r="V161" i="17"/>
  <c r="U161" i="17"/>
  <c r="T161" i="17"/>
  <c r="S161" i="17"/>
  <c r="R161" i="17"/>
  <c r="Q161" i="17"/>
  <c r="P161" i="17"/>
  <c r="O161" i="17"/>
  <c r="N161" i="17"/>
  <c r="M161" i="17"/>
  <c r="J161" i="17"/>
  <c r="I161" i="17"/>
  <c r="H161" i="17"/>
  <c r="Y160" i="17"/>
  <c r="X160" i="17"/>
  <c r="W160" i="17"/>
  <c r="V160" i="17"/>
  <c r="U160" i="17"/>
  <c r="T160" i="17"/>
  <c r="S160" i="17"/>
  <c r="R160" i="17"/>
  <c r="Q160" i="17"/>
  <c r="P160" i="17"/>
  <c r="O160" i="17"/>
  <c r="N160" i="17"/>
  <c r="M160" i="17"/>
  <c r="J160" i="17"/>
  <c r="I160" i="17"/>
  <c r="H160" i="17"/>
  <c r="Y159" i="17"/>
  <c r="X159" i="17"/>
  <c r="W159" i="17"/>
  <c r="V159" i="17"/>
  <c r="U159" i="17"/>
  <c r="T159" i="17"/>
  <c r="S159" i="17"/>
  <c r="R159" i="17"/>
  <c r="Q159" i="17"/>
  <c r="P159" i="17"/>
  <c r="O159" i="17"/>
  <c r="N159" i="17"/>
  <c r="M159" i="17"/>
  <c r="J159" i="17"/>
  <c r="I159" i="17"/>
  <c r="H159" i="17"/>
  <c r="Y158" i="17"/>
  <c r="X158" i="17"/>
  <c r="W158" i="17"/>
  <c r="V158" i="17"/>
  <c r="U158" i="17"/>
  <c r="T158" i="17"/>
  <c r="S158" i="17"/>
  <c r="R158" i="17"/>
  <c r="Q158" i="17"/>
  <c r="P158" i="17"/>
  <c r="O158" i="17"/>
  <c r="N158" i="17"/>
  <c r="M158" i="17"/>
  <c r="J158" i="17"/>
  <c r="I158" i="17"/>
  <c r="H158" i="17"/>
  <c r="Y157" i="17"/>
  <c r="X157" i="17"/>
  <c r="W157" i="17"/>
  <c r="V157" i="17"/>
  <c r="U157" i="17"/>
  <c r="T157" i="17"/>
  <c r="S157" i="17"/>
  <c r="R157" i="17"/>
  <c r="Q157" i="17"/>
  <c r="P157" i="17"/>
  <c r="O157" i="17"/>
  <c r="N157" i="17"/>
  <c r="M157" i="17"/>
  <c r="J157" i="17"/>
  <c r="I157" i="17"/>
  <c r="H157" i="17"/>
  <c r="Y156" i="17"/>
  <c r="X156" i="17"/>
  <c r="W156" i="17"/>
  <c r="V156" i="17"/>
  <c r="U156" i="17"/>
  <c r="T156" i="17"/>
  <c r="S156" i="17"/>
  <c r="R156" i="17"/>
  <c r="Q156" i="17"/>
  <c r="P156" i="17"/>
  <c r="O156" i="17"/>
  <c r="N156" i="17"/>
  <c r="M156" i="17"/>
  <c r="J156" i="17"/>
  <c r="I156" i="17"/>
  <c r="H156" i="17"/>
  <c r="Y155" i="17"/>
  <c r="X155" i="17"/>
  <c r="W155" i="17"/>
  <c r="V155" i="17"/>
  <c r="U155" i="17"/>
  <c r="T155" i="17"/>
  <c r="S155" i="17"/>
  <c r="R155" i="17"/>
  <c r="Q155" i="17"/>
  <c r="P155" i="17"/>
  <c r="O155" i="17"/>
  <c r="N155" i="17"/>
  <c r="M155" i="17"/>
  <c r="J155" i="17"/>
  <c r="I155" i="17"/>
  <c r="H155" i="17"/>
  <c r="Y154" i="17"/>
  <c r="X154" i="17"/>
  <c r="W154" i="17"/>
  <c r="V154" i="17"/>
  <c r="U154" i="17"/>
  <c r="T154" i="17"/>
  <c r="S154" i="17"/>
  <c r="R154" i="17"/>
  <c r="Q154" i="17"/>
  <c r="P154" i="17"/>
  <c r="O154" i="17"/>
  <c r="N154" i="17"/>
  <c r="M154" i="17"/>
  <c r="J154" i="17"/>
  <c r="I154" i="17"/>
  <c r="H154" i="17"/>
  <c r="Y153" i="17"/>
  <c r="X153" i="17"/>
  <c r="W153" i="17"/>
  <c r="V153" i="17"/>
  <c r="U153" i="17"/>
  <c r="T153" i="17"/>
  <c r="S153" i="17"/>
  <c r="R153" i="17"/>
  <c r="Q153" i="17"/>
  <c r="P153" i="17"/>
  <c r="O153" i="17"/>
  <c r="N153" i="17"/>
  <c r="M153" i="17"/>
  <c r="J153" i="17"/>
  <c r="I153" i="17"/>
  <c r="H153" i="17"/>
  <c r="Y152" i="17"/>
  <c r="X152" i="17"/>
  <c r="W152" i="17"/>
  <c r="V152" i="17"/>
  <c r="U152" i="17"/>
  <c r="T152" i="17"/>
  <c r="S152" i="17"/>
  <c r="R152" i="17"/>
  <c r="Q152" i="17"/>
  <c r="P152" i="17"/>
  <c r="O152" i="17"/>
  <c r="N152" i="17"/>
  <c r="M152" i="17"/>
  <c r="J152" i="17"/>
  <c r="I152" i="17"/>
  <c r="H152" i="17"/>
  <c r="Y151" i="17"/>
  <c r="X151" i="17"/>
  <c r="W151" i="17"/>
  <c r="V151" i="17"/>
  <c r="U151" i="17"/>
  <c r="T151" i="17"/>
  <c r="S151" i="17"/>
  <c r="R151" i="17"/>
  <c r="Q151" i="17"/>
  <c r="P151" i="17"/>
  <c r="O151" i="17"/>
  <c r="N151" i="17"/>
  <c r="M151" i="17"/>
  <c r="J151" i="17"/>
  <c r="I151" i="17"/>
  <c r="H151" i="17"/>
  <c r="Y150" i="17"/>
  <c r="X150" i="17"/>
  <c r="W150" i="17"/>
  <c r="V150" i="17"/>
  <c r="U150" i="17"/>
  <c r="T150" i="17"/>
  <c r="S150" i="17"/>
  <c r="R150" i="17"/>
  <c r="Q150" i="17"/>
  <c r="P150" i="17"/>
  <c r="O150" i="17"/>
  <c r="N150" i="17"/>
  <c r="M150" i="17"/>
  <c r="J150" i="17"/>
  <c r="I150" i="17"/>
  <c r="H150" i="17"/>
  <c r="Y149" i="17"/>
  <c r="X149" i="17"/>
  <c r="W149" i="17"/>
  <c r="V149" i="17"/>
  <c r="U149" i="17"/>
  <c r="T149" i="17"/>
  <c r="S149" i="17"/>
  <c r="R149" i="17"/>
  <c r="Q149" i="17"/>
  <c r="P149" i="17"/>
  <c r="O149" i="17"/>
  <c r="N149" i="17"/>
  <c r="M149" i="17"/>
  <c r="J149" i="17"/>
  <c r="I149" i="17"/>
  <c r="H149" i="17"/>
  <c r="Y148" i="17"/>
  <c r="X148" i="17"/>
  <c r="W148" i="17"/>
  <c r="V148" i="17"/>
  <c r="U148" i="17"/>
  <c r="T148" i="17"/>
  <c r="S148" i="17"/>
  <c r="R148" i="17"/>
  <c r="Q148" i="17"/>
  <c r="P148" i="17"/>
  <c r="O148" i="17"/>
  <c r="N148" i="17"/>
  <c r="M148" i="17"/>
  <c r="J148" i="17"/>
  <c r="I148" i="17"/>
  <c r="H148" i="17"/>
  <c r="Y147" i="17"/>
  <c r="X147" i="17"/>
  <c r="W147" i="17"/>
  <c r="V147" i="17"/>
  <c r="U147" i="17"/>
  <c r="T147" i="17"/>
  <c r="S147" i="17"/>
  <c r="R147" i="17"/>
  <c r="Q147" i="17"/>
  <c r="P147" i="17"/>
  <c r="O147" i="17"/>
  <c r="N147" i="17"/>
  <c r="M147" i="17"/>
  <c r="J147" i="17"/>
  <c r="I147" i="17"/>
  <c r="H147" i="17"/>
  <c r="Y146" i="17"/>
  <c r="X146" i="17"/>
  <c r="W146" i="17"/>
  <c r="V146" i="17"/>
  <c r="U146" i="17"/>
  <c r="T146" i="17"/>
  <c r="S146" i="17"/>
  <c r="R146" i="17"/>
  <c r="Q146" i="17"/>
  <c r="P146" i="17"/>
  <c r="O146" i="17"/>
  <c r="N146" i="17"/>
  <c r="M146" i="17"/>
  <c r="J146" i="17"/>
  <c r="I146" i="17"/>
  <c r="H146" i="17"/>
  <c r="Y145" i="17"/>
  <c r="X145" i="17"/>
  <c r="W145" i="17"/>
  <c r="V145" i="17"/>
  <c r="U145" i="17"/>
  <c r="T145" i="17"/>
  <c r="S145" i="17"/>
  <c r="R145" i="17"/>
  <c r="Q145" i="17"/>
  <c r="P145" i="17"/>
  <c r="O145" i="17"/>
  <c r="N145" i="17"/>
  <c r="M145" i="17"/>
  <c r="J145" i="17"/>
  <c r="I145" i="17"/>
  <c r="H145" i="17"/>
  <c r="Y144" i="17"/>
  <c r="X144" i="17"/>
  <c r="W144" i="17"/>
  <c r="V144" i="17"/>
  <c r="U144" i="17"/>
  <c r="T144" i="17"/>
  <c r="S144" i="17"/>
  <c r="R144" i="17"/>
  <c r="Q144" i="17"/>
  <c r="P144" i="17"/>
  <c r="O144" i="17"/>
  <c r="N144" i="17"/>
  <c r="M144" i="17"/>
  <c r="J144" i="17"/>
  <c r="I144" i="17"/>
  <c r="H144" i="17"/>
  <c r="Y143" i="17"/>
  <c r="X143" i="17"/>
  <c r="W143" i="17"/>
  <c r="V143" i="17"/>
  <c r="U143" i="17"/>
  <c r="T143" i="17"/>
  <c r="S143" i="17"/>
  <c r="R143" i="17"/>
  <c r="Q143" i="17"/>
  <c r="P143" i="17"/>
  <c r="O143" i="17"/>
  <c r="N143" i="17"/>
  <c r="M143" i="17"/>
  <c r="J143" i="17"/>
  <c r="I143" i="17"/>
  <c r="H143" i="17"/>
  <c r="Y142" i="17"/>
  <c r="X142" i="17"/>
  <c r="W142" i="17"/>
  <c r="V142" i="17"/>
  <c r="U142" i="17"/>
  <c r="T142" i="17"/>
  <c r="S142" i="17"/>
  <c r="R142" i="17"/>
  <c r="Q142" i="17"/>
  <c r="P142" i="17"/>
  <c r="O142" i="17"/>
  <c r="N142" i="17"/>
  <c r="M142" i="17"/>
  <c r="J142" i="17"/>
  <c r="I142" i="17"/>
  <c r="H142" i="17"/>
  <c r="E181" i="17"/>
  <c r="F181" i="17" s="1"/>
  <c r="E180" i="17"/>
  <c r="F180" i="17" s="1"/>
  <c r="E179" i="17"/>
  <c r="F179" i="17" s="1"/>
  <c r="E178" i="17"/>
  <c r="F178" i="17" s="1"/>
  <c r="E177" i="17"/>
  <c r="F177" i="17" s="1"/>
  <c r="E176" i="17"/>
  <c r="F176" i="17" s="1"/>
  <c r="E175" i="17"/>
  <c r="F175" i="17" s="1"/>
  <c r="E174" i="17"/>
  <c r="F174" i="17" s="1"/>
  <c r="E173" i="17"/>
  <c r="F173" i="17" s="1"/>
  <c r="E172" i="17"/>
  <c r="F172" i="17" s="1"/>
  <c r="E171" i="17"/>
  <c r="F171" i="17" s="1"/>
  <c r="E170" i="17"/>
  <c r="F170" i="17" s="1"/>
  <c r="E169" i="17"/>
  <c r="F169" i="17" s="1"/>
  <c r="E168" i="17"/>
  <c r="F168" i="17" s="1"/>
  <c r="E167" i="17"/>
  <c r="F167" i="17" s="1"/>
  <c r="E166" i="17"/>
  <c r="F166" i="17" s="1"/>
  <c r="E165" i="17"/>
  <c r="F165" i="17" s="1"/>
  <c r="E164" i="17"/>
  <c r="F164" i="17" s="1"/>
  <c r="E163" i="17"/>
  <c r="F163" i="17" s="1"/>
  <c r="E162" i="17"/>
  <c r="F162" i="17" s="1"/>
  <c r="C22" i="17"/>
  <c r="B188" i="15"/>
  <c r="I188" i="15" s="1"/>
  <c r="B187" i="15"/>
  <c r="C187" i="15" s="1"/>
  <c r="B186" i="15"/>
  <c r="I186" i="15" s="1"/>
  <c r="B185" i="15"/>
  <c r="I185" i="15" s="1"/>
  <c r="B184" i="15"/>
  <c r="D184" i="15" s="1" a="1"/>
  <c r="D184" i="15" s="1"/>
  <c r="B183" i="15"/>
  <c r="C183" i="15" s="1"/>
  <c r="B182" i="15"/>
  <c r="I182" i="15" s="1"/>
  <c r="B181" i="15"/>
  <c r="D181" i="15" s="1" a="1"/>
  <c r="D181" i="15" s="1"/>
  <c r="B180" i="15"/>
  <c r="B179" i="15"/>
  <c r="C179" i="15" s="1"/>
  <c r="B178" i="15"/>
  <c r="D178" i="15" s="1" a="1"/>
  <c r="D178" i="15" s="1"/>
  <c r="B177" i="15"/>
  <c r="I177" i="15" s="1"/>
  <c r="B176" i="15"/>
  <c r="D176" i="15" s="1" a="1"/>
  <c r="D176" i="15" s="1"/>
  <c r="B175" i="15"/>
  <c r="C175" i="15" s="1"/>
  <c r="L2265" i="8"/>
  <c r="K2265" i="8"/>
  <c r="G2265" i="8"/>
  <c r="L2264" i="8"/>
  <c r="K2264" i="8"/>
  <c r="G2264" i="8"/>
  <c r="L3069" i="8"/>
  <c r="K3069" i="8"/>
  <c r="L3068" i="8"/>
  <c r="K3068" i="8"/>
  <c r="L3067" i="8"/>
  <c r="K3067" i="8"/>
  <c r="L3066" i="8"/>
  <c r="K3066" i="8"/>
  <c r="L3065" i="8"/>
  <c r="K3065" i="8"/>
  <c r="L3064" i="8"/>
  <c r="K3064" i="8"/>
  <c r="L3063" i="8"/>
  <c r="K3063" i="8"/>
  <c r="L3062" i="8"/>
  <c r="K3062" i="8"/>
  <c r="L3061" i="8"/>
  <c r="K3061" i="8"/>
  <c r="L3060" i="8"/>
  <c r="K3060" i="8"/>
  <c r="L3059" i="8"/>
  <c r="K3059" i="8"/>
  <c r="L3058" i="8"/>
  <c r="K3058" i="8"/>
  <c r="L3057" i="8"/>
  <c r="K3057" i="8"/>
  <c r="L3056" i="8"/>
  <c r="K3056" i="8"/>
  <c r="L3055" i="8"/>
  <c r="K3055" i="8"/>
  <c r="L3054" i="8"/>
  <c r="K3054" i="8"/>
  <c r="L3053" i="8"/>
  <c r="K3053" i="8"/>
  <c r="L3052" i="8"/>
  <c r="K3052" i="8"/>
  <c r="L3051" i="8"/>
  <c r="K3051" i="8"/>
  <c r="L3050" i="8"/>
  <c r="K3050" i="8"/>
  <c r="L3049" i="8"/>
  <c r="K3049" i="8"/>
  <c r="L3048" i="8"/>
  <c r="K3048" i="8"/>
  <c r="L3047" i="8"/>
  <c r="K3047" i="8"/>
  <c r="L3046" i="8"/>
  <c r="K3046" i="8"/>
  <c r="L3045" i="8"/>
  <c r="K3045" i="8"/>
  <c r="L3044" i="8"/>
  <c r="K3044" i="8"/>
  <c r="L3043" i="8"/>
  <c r="K3043" i="8"/>
  <c r="L3042" i="8"/>
  <c r="K3042" i="8"/>
  <c r="L3041" i="8"/>
  <c r="K3041" i="8"/>
  <c r="L3040" i="8"/>
  <c r="K3040" i="8"/>
  <c r="L3039" i="8"/>
  <c r="K3039" i="8"/>
  <c r="L3038" i="8"/>
  <c r="K3038" i="8"/>
  <c r="L3037" i="8"/>
  <c r="K3037" i="8"/>
  <c r="L3036" i="8"/>
  <c r="K3036" i="8"/>
  <c r="L3035" i="8"/>
  <c r="K3035" i="8"/>
  <c r="L3034" i="8"/>
  <c r="K3034" i="8"/>
  <c r="L3033" i="8"/>
  <c r="K3033" i="8"/>
  <c r="L3032" i="8"/>
  <c r="K3032" i="8"/>
  <c r="L3031" i="8"/>
  <c r="K3031" i="8"/>
  <c r="L3030" i="8"/>
  <c r="K3030" i="8"/>
  <c r="L3029" i="8"/>
  <c r="K3029" i="8"/>
  <c r="L3028" i="8"/>
  <c r="K3028" i="8"/>
  <c r="L3027" i="8"/>
  <c r="K3027" i="8"/>
  <c r="L3026" i="8"/>
  <c r="K3026" i="8"/>
  <c r="L3025" i="8"/>
  <c r="K3025" i="8"/>
  <c r="L3024" i="8"/>
  <c r="K3024" i="8"/>
  <c r="L3023" i="8"/>
  <c r="K3023" i="8"/>
  <c r="L3022" i="8"/>
  <c r="K3022" i="8"/>
  <c r="L3021" i="8"/>
  <c r="K3021" i="8"/>
  <c r="L3020" i="8"/>
  <c r="K3020" i="8"/>
  <c r="L3019" i="8"/>
  <c r="K3019" i="8"/>
  <c r="L3018" i="8"/>
  <c r="K3018" i="8"/>
  <c r="L3017" i="8"/>
  <c r="K3017" i="8"/>
  <c r="L3016" i="8"/>
  <c r="K3016" i="8"/>
  <c r="L3015" i="8"/>
  <c r="K3015" i="8"/>
  <c r="L3014" i="8"/>
  <c r="K3014" i="8"/>
  <c r="L3013" i="8"/>
  <c r="K3013" i="8"/>
  <c r="L3012" i="8"/>
  <c r="K3012" i="8"/>
  <c r="L3011" i="8"/>
  <c r="K3011" i="8"/>
  <c r="L3010" i="8"/>
  <c r="K3010" i="8"/>
  <c r="L3009" i="8"/>
  <c r="K3009" i="8"/>
  <c r="L3008" i="8"/>
  <c r="K3008" i="8"/>
  <c r="L3007" i="8"/>
  <c r="K3007" i="8"/>
  <c r="L3006" i="8"/>
  <c r="K3006" i="8"/>
  <c r="L3005" i="8"/>
  <c r="K3005" i="8"/>
  <c r="L3004" i="8"/>
  <c r="K3004" i="8"/>
  <c r="L3003" i="8"/>
  <c r="K3003" i="8"/>
  <c r="L3002" i="8"/>
  <c r="K3002" i="8"/>
  <c r="L3001" i="8"/>
  <c r="K3001" i="8"/>
  <c r="L3000" i="8"/>
  <c r="K3000" i="8"/>
  <c r="L2999" i="8"/>
  <c r="K2999" i="8"/>
  <c r="L2998" i="8"/>
  <c r="K2998" i="8"/>
  <c r="L2997" i="8"/>
  <c r="K2997" i="8"/>
  <c r="L2996" i="8"/>
  <c r="K2996" i="8"/>
  <c r="L2995" i="8"/>
  <c r="K2995" i="8"/>
  <c r="L2994" i="8"/>
  <c r="K2994" i="8"/>
  <c r="L2993" i="8"/>
  <c r="K2993" i="8"/>
  <c r="L2992" i="8"/>
  <c r="K2992" i="8"/>
  <c r="L2991" i="8"/>
  <c r="K2991" i="8"/>
  <c r="L2990" i="8"/>
  <c r="K2990" i="8"/>
  <c r="L2989" i="8"/>
  <c r="K2989" i="8"/>
  <c r="L2988" i="8"/>
  <c r="K2988" i="8"/>
  <c r="L2987" i="8"/>
  <c r="K2987" i="8"/>
  <c r="L2986" i="8"/>
  <c r="K2986" i="8"/>
  <c r="L2985" i="8"/>
  <c r="K2985" i="8"/>
  <c r="L2984" i="8"/>
  <c r="K2984" i="8"/>
  <c r="L2983" i="8"/>
  <c r="K2983" i="8"/>
  <c r="L2982" i="8"/>
  <c r="K2982" i="8"/>
  <c r="L2981" i="8"/>
  <c r="K2981" i="8"/>
  <c r="L2980" i="8"/>
  <c r="K2980" i="8"/>
  <c r="L2979" i="8"/>
  <c r="K2979" i="8"/>
  <c r="L2978" i="8"/>
  <c r="K2978" i="8"/>
  <c r="L2977" i="8"/>
  <c r="K2977" i="8"/>
  <c r="L2976" i="8"/>
  <c r="K2976" i="8"/>
  <c r="L2975" i="8"/>
  <c r="K2975" i="8"/>
  <c r="L2974" i="8"/>
  <c r="K2974" i="8"/>
  <c r="L2973" i="8"/>
  <c r="K2973" i="8"/>
  <c r="L2972" i="8"/>
  <c r="K2972" i="8"/>
  <c r="L2971" i="8"/>
  <c r="K2971" i="8"/>
  <c r="L2970" i="8"/>
  <c r="K2970" i="8"/>
  <c r="L2969" i="8"/>
  <c r="K2969" i="8"/>
  <c r="L2968" i="8"/>
  <c r="K2968" i="8"/>
  <c r="L2967" i="8"/>
  <c r="K2967" i="8"/>
  <c r="L2966" i="8"/>
  <c r="K2966" i="8"/>
  <c r="L2965" i="8"/>
  <c r="K2965" i="8"/>
  <c r="L2964" i="8"/>
  <c r="K2964" i="8"/>
  <c r="L2963" i="8"/>
  <c r="K2963" i="8"/>
  <c r="L2962" i="8"/>
  <c r="K2962" i="8"/>
  <c r="L2961" i="8"/>
  <c r="K2961" i="8"/>
  <c r="L2960" i="8"/>
  <c r="K2960" i="8"/>
  <c r="L2959" i="8"/>
  <c r="K2959" i="8"/>
  <c r="L2958" i="8"/>
  <c r="K2958" i="8"/>
  <c r="L2957" i="8"/>
  <c r="K2957" i="8"/>
  <c r="L2956" i="8"/>
  <c r="K2956" i="8"/>
  <c r="L2955" i="8"/>
  <c r="K2955" i="8"/>
  <c r="L2954" i="8"/>
  <c r="K2954" i="8"/>
  <c r="L2953" i="8"/>
  <c r="K2953" i="8"/>
  <c r="L2952" i="8"/>
  <c r="K2952" i="8"/>
  <c r="L2951" i="8"/>
  <c r="K2951" i="8"/>
  <c r="L2950" i="8"/>
  <c r="K2950" i="8"/>
  <c r="L2949" i="8"/>
  <c r="K2949" i="8"/>
  <c r="L2948" i="8"/>
  <c r="K2948" i="8"/>
  <c r="L2947" i="8"/>
  <c r="K2947" i="8"/>
  <c r="L2946" i="8"/>
  <c r="K2946" i="8"/>
  <c r="L2945" i="8"/>
  <c r="K2945" i="8"/>
  <c r="L2944" i="8"/>
  <c r="K2944" i="8"/>
  <c r="L2943" i="8"/>
  <c r="K2943" i="8"/>
  <c r="L2942" i="8"/>
  <c r="K2942" i="8"/>
  <c r="L2941" i="8"/>
  <c r="K2941" i="8"/>
  <c r="L2940" i="8"/>
  <c r="K2940" i="8"/>
  <c r="L2939" i="8"/>
  <c r="K2939" i="8"/>
  <c r="L2938" i="8"/>
  <c r="K2938" i="8"/>
  <c r="L2937" i="8"/>
  <c r="K2937" i="8"/>
  <c r="L2936" i="8"/>
  <c r="K2936" i="8"/>
  <c r="L2935" i="8"/>
  <c r="K2935" i="8"/>
  <c r="L2934" i="8"/>
  <c r="K2934" i="8"/>
  <c r="L2933" i="8"/>
  <c r="K2933" i="8"/>
  <c r="L2932" i="8"/>
  <c r="K2932" i="8"/>
  <c r="L2931" i="8"/>
  <c r="K2931" i="8"/>
  <c r="L2930" i="8"/>
  <c r="K2930" i="8"/>
  <c r="L2929" i="8"/>
  <c r="K2929" i="8"/>
  <c r="L2928" i="8"/>
  <c r="K2928" i="8"/>
  <c r="L2927" i="8"/>
  <c r="K2927" i="8"/>
  <c r="L2926" i="8"/>
  <c r="K2926" i="8"/>
  <c r="L2925" i="8"/>
  <c r="K2925" i="8"/>
  <c r="L2924" i="8"/>
  <c r="K2924" i="8"/>
  <c r="L2923" i="8"/>
  <c r="K2923" i="8"/>
  <c r="L2922" i="8"/>
  <c r="K2922" i="8"/>
  <c r="L2921" i="8"/>
  <c r="K2921" i="8"/>
  <c r="L2920" i="8"/>
  <c r="K2920" i="8"/>
  <c r="L2919" i="8"/>
  <c r="K2919" i="8"/>
  <c r="L2918" i="8"/>
  <c r="K2918" i="8"/>
  <c r="L2917" i="8"/>
  <c r="K2917" i="8"/>
  <c r="L2916" i="8"/>
  <c r="K2916" i="8"/>
  <c r="L2915" i="8"/>
  <c r="K2915" i="8"/>
  <c r="L2914" i="8"/>
  <c r="K2914" i="8"/>
  <c r="L2913" i="8"/>
  <c r="K2913" i="8"/>
  <c r="L2912" i="8"/>
  <c r="K2912" i="8"/>
  <c r="L2911" i="8"/>
  <c r="K2911" i="8"/>
  <c r="L2910" i="8"/>
  <c r="K2910" i="8"/>
  <c r="L2909" i="8"/>
  <c r="K2909" i="8"/>
  <c r="L2908" i="8"/>
  <c r="K2908" i="8"/>
  <c r="L2907" i="8"/>
  <c r="K2907" i="8"/>
  <c r="L2906" i="8"/>
  <c r="K2906" i="8"/>
  <c r="L2905" i="8"/>
  <c r="K2905" i="8"/>
  <c r="L2904" i="8"/>
  <c r="K2904" i="8"/>
  <c r="L2903" i="8"/>
  <c r="K2903" i="8"/>
  <c r="L2902" i="8"/>
  <c r="K2902" i="8"/>
  <c r="L2901" i="8"/>
  <c r="K2901" i="8"/>
  <c r="L2900" i="8"/>
  <c r="K2900" i="8"/>
  <c r="L2899" i="8"/>
  <c r="K2899" i="8"/>
  <c r="L2898" i="8"/>
  <c r="K2898" i="8"/>
  <c r="L2897" i="8"/>
  <c r="K2897" i="8"/>
  <c r="L2896" i="8"/>
  <c r="K2896" i="8"/>
  <c r="L2895" i="8"/>
  <c r="K2895" i="8"/>
  <c r="L2894" i="8"/>
  <c r="K2894" i="8"/>
  <c r="L2893" i="8"/>
  <c r="K2893" i="8"/>
  <c r="L2892" i="8"/>
  <c r="K2892" i="8"/>
  <c r="L2891" i="8"/>
  <c r="K2891" i="8"/>
  <c r="L2890" i="8"/>
  <c r="K2890" i="8"/>
  <c r="L2889" i="8"/>
  <c r="K2889" i="8"/>
  <c r="L2888" i="8"/>
  <c r="K2888" i="8"/>
  <c r="L2887" i="8"/>
  <c r="K2887" i="8"/>
  <c r="L2886" i="8"/>
  <c r="K2886" i="8"/>
  <c r="L2885" i="8"/>
  <c r="K2885" i="8"/>
  <c r="L2884" i="8"/>
  <c r="K2884" i="8"/>
  <c r="L2883" i="8"/>
  <c r="K2883" i="8"/>
  <c r="L2882" i="8"/>
  <c r="K2882" i="8"/>
  <c r="L2881" i="8"/>
  <c r="K2881" i="8"/>
  <c r="L2880" i="8"/>
  <c r="K2880" i="8"/>
  <c r="L2879" i="8"/>
  <c r="K2879" i="8"/>
  <c r="L2878" i="8"/>
  <c r="K2878" i="8"/>
  <c r="L2877" i="8"/>
  <c r="K2877" i="8"/>
  <c r="L2876" i="8"/>
  <c r="K2876" i="8"/>
  <c r="L2875" i="8"/>
  <c r="K2875" i="8"/>
  <c r="L2874" i="8"/>
  <c r="K2874" i="8"/>
  <c r="L2873" i="8"/>
  <c r="K2873" i="8"/>
  <c r="L2872" i="8"/>
  <c r="K2872" i="8"/>
  <c r="L2871" i="8"/>
  <c r="K2871" i="8"/>
  <c r="L2870" i="8"/>
  <c r="K2870" i="8"/>
  <c r="L2869" i="8"/>
  <c r="K2869" i="8"/>
  <c r="L2868" i="8"/>
  <c r="K2868" i="8"/>
  <c r="L2867" i="8"/>
  <c r="K2867" i="8"/>
  <c r="L2866" i="8"/>
  <c r="K2866" i="8"/>
  <c r="L2865" i="8"/>
  <c r="K2865" i="8"/>
  <c r="L2864" i="8"/>
  <c r="K2864" i="8"/>
  <c r="L2863" i="8"/>
  <c r="K2863" i="8"/>
  <c r="L2862" i="8"/>
  <c r="K2862" i="8"/>
  <c r="L2861" i="8"/>
  <c r="K2861" i="8"/>
  <c r="L2860" i="8"/>
  <c r="K2860" i="8"/>
  <c r="L2859" i="8"/>
  <c r="K2859" i="8"/>
  <c r="L2858" i="8"/>
  <c r="K2858" i="8"/>
  <c r="L2857" i="8"/>
  <c r="K2857" i="8"/>
  <c r="L2856" i="8"/>
  <c r="K2856" i="8"/>
  <c r="L2855" i="8"/>
  <c r="K2855" i="8"/>
  <c r="L2854" i="8"/>
  <c r="K2854" i="8"/>
  <c r="L2853" i="8"/>
  <c r="K2853" i="8"/>
  <c r="L2852" i="8"/>
  <c r="K2852" i="8"/>
  <c r="L2851" i="8"/>
  <c r="K2851" i="8"/>
  <c r="L2850" i="8"/>
  <c r="K2850" i="8"/>
  <c r="L2849" i="8"/>
  <c r="K2849" i="8"/>
  <c r="L2848" i="8"/>
  <c r="K2848" i="8"/>
  <c r="L2847" i="8"/>
  <c r="K2847" i="8"/>
  <c r="L2846" i="8"/>
  <c r="K2846" i="8"/>
  <c r="L2845" i="8"/>
  <c r="K2845" i="8"/>
  <c r="L2844" i="8"/>
  <c r="K2844" i="8"/>
  <c r="L2843" i="8"/>
  <c r="K2843" i="8"/>
  <c r="L2842" i="8"/>
  <c r="K2842" i="8"/>
  <c r="L2841" i="8"/>
  <c r="K2841" i="8"/>
  <c r="L2840" i="8"/>
  <c r="K2840" i="8"/>
  <c r="L2839" i="8"/>
  <c r="K2839" i="8"/>
  <c r="L2838" i="8"/>
  <c r="K2838" i="8"/>
  <c r="L2837" i="8"/>
  <c r="K2837" i="8"/>
  <c r="L2836" i="8"/>
  <c r="K2836" i="8"/>
  <c r="L2835" i="8"/>
  <c r="K2835" i="8"/>
  <c r="L2834" i="8"/>
  <c r="K2834" i="8"/>
  <c r="L2833" i="8"/>
  <c r="K2833" i="8"/>
  <c r="L2832" i="8"/>
  <c r="K2832" i="8"/>
  <c r="L2831" i="8"/>
  <c r="K2831" i="8"/>
  <c r="L2830" i="8"/>
  <c r="K2830" i="8"/>
  <c r="L2829" i="8"/>
  <c r="K2829" i="8"/>
  <c r="L2828" i="8"/>
  <c r="K2828" i="8"/>
  <c r="L2827" i="8"/>
  <c r="K2827" i="8"/>
  <c r="L2826" i="8"/>
  <c r="K2826" i="8"/>
  <c r="L2825" i="8"/>
  <c r="K2825" i="8"/>
  <c r="L2824" i="8"/>
  <c r="K2824" i="8"/>
  <c r="L2823" i="8"/>
  <c r="K2823" i="8"/>
  <c r="L2822" i="8"/>
  <c r="K2822" i="8"/>
  <c r="L2821" i="8"/>
  <c r="K2821" i="8"/>
  <c r="L2820" i="8"/>
  <c r="K2820" i="8"/>
  <c r="L2819" i="8"/>
  <c r="K2819" i="8"/>
  <c r="L2818" i="8"/>
  <c r="K2818" i="8"/>
  <c r="L2817" i="8"/>
  <c r="K2817" i="8"/>
  <c r="L2816" i="8"/>
  <c r="K2816" i="8"/>
  <c r="L2815" i="8"/>
  <c r="K2815" i="8"/>
  <c r="L2814" i="8"/>
  <c r="K2814" i="8"/>
  <c r="L2813" i="8"/>
  <c r="K2813" i="8"/>
  <c r="L2812" i="8"/>
  <c r="K2812" i="8"/>
  <c r="L2811" i="8"/>
  <c r="K2811" i="8"/>
  <c r="L2810" i="8"/>
  <c r="K2810" i="8"/>
  <c r="L2809" i="8"/>
  <c r="K2809" i="8"/>
  <c r="L2808" i="8"/>
  <c r="K2808" i="8"/>
  <c r="L2807" i="8"/>
  <c r="K2807" i="8"/>
  <c r="L2806" i="8"/>
  <c r="K2806" i="8"/>
  <c r="L2805" i="8"/>
  <c r="K2805" i="8"/>
  <c r="L2804" i="8"/>
  <c r="K2804" i="8"/>
  <c r="L2803" i="8"/>
  <c r="K2803" i="8"/>
  <c r="L2802" i="8"/>
  <c r="K2802" i="8"/>
  <c r="L2801" i="8"/>
  <c r="K2801" i="8"/>
  <c r="L2800" i="8"/>
  <c r="K2800" i="8"/>
  <c r="L2799" i="8"/>
  <c r="K2799" i="8"/>
  <c r="L2798" i="8"/>
  <c r="K2798" i="8"/>
  <c r="L2797" i="8"/>
  <c r="K2797" i="8"/>
  <c r="L2796" i="8"/>
  <c r="K2796" i="8"/>
  <c r="L2795" i="8"/>
  <c r="K2795" i="8"/>
  <c r="L2794" i="8"/>
  <c r="K2794" i="8"/>
  <c r="L2793" i="8"/>
  <c r="K2793" i="8"/>
  <c r="L2792" i="8"/>
  <c r="K2792" i="8"/>
  <c r="L2791" i="8"/>
  <c r="K2791" i="8"/>
  <c r="L2790" i="8"/>
  <c r="K2790" i="8"/>
  <c r="L2789" i="8"/>
  <c r="K2789" i="8"/>
  <c r="L2788" i="8"/>
  <c r="K2788" i="8"/>
  <c r="L2787" i="8"/>
  <c r="K2787" i="8"/>
  <c r="L2786" i="8"/>
  <c r="K2786" i="8"/>
  <c r="L2785" i="8"/>
  <c r="K2785" i="8"/>
  <c r="L2784" i="8"/>
  <c r="K2784" i="8"/>
  <c r="L2783" i="8"/>
  <c r="K2783" i="8"/>
  <c r="L2782" i="8"/>
  <c r="K2782" i="8"/>
  <c r="L2781" i="8"/>
  <c r="K2781" i="8"/>
  <c r="L2780" i="8"/>
  <c r="K2780" i="8"/>
  <c r="L2779" i="8"/>
  <c r="K2779" i="8"/>
  <c r="L2778" i="8"/>
  <c r="K2778" i="8"/>
  <c r="L2777" i="8"/>
  <c r="K2777" i="8"/>
  <c r="L2776" i="8"/>
  <c r="K2776" i="8"/>
  <c r="L2775" i="8"/>
  <c r="K2775" i="8"/>
  <c r="L2774" i="8"/>
  <c r="K2774" i="8"/>
  <c r="L2773" i="8"/>
  <c r="K2773" i="8"/>
  <c r="L2772" i="8"/>
  <c r="K2772" i="8"/>
  <c r="L2771" i="8"/>
  <c r="K2771" i="8"/>
  <c r="L2770" i="8"/>
  <c r="K2770" i="8"/>
  <c r="L2769" i="8"/>
  <c r="K2769" i="8"/>
  <c r="L2768" i="8"/>
  <c r="K2768" i="8"/>
  <c r="L2767" i="8"/>
  <c r="K2767" i="8"/>
  <c r="L2766" i="8"/>
  <c r="K2766" i="8"/>
  <c r="L2765" i="8"/>
  <c r="K2765" i="8"/>
  <c r="L2764" i="8"/>
  <c r="K2764" i="8"/>
  <c r="L2763" i="8"/>
  <c r="K2763" i="8"/>
  <c r="L2762" i="8"/>
  <c r="K2762" i="8"/>
  <c r="L2761" i="8"/>
  <c r="K2761" i="8"/>
  <c r="L2760" i="8"/>
  <c r="K2760" i="8"/>
  <c r="L2759" i="8"/>
  <c r="K2759" i="8"/>
  <c r="L2758" i="8"/>
  <c r="K2758" i="8"/>
  <c r="L2757" i="8"/>
  <c r="K2757" i="8"/>
  <c r="L2756" i="8"/>
  <c r="K2756" i="8"/>
  <c r="L2755" i="8"/>
  <c r="K2755" i="8"/>
  <c r="L2754" i="8"/>
  <c r="K2754" i="8"/>
  <c r="L2753" i="8"/>
  <c r="K2753" i="8"/>
  <c r="L2752" i="8"/>
  <c r="K2752" i="8"/>
  <c r="L2751" i="8"/>
  <c r="K2751" i="8"/>
  <c r="L2750" i="8"/>
  <c r="K2750" i="8"/>
  <c r="L2749" i="8"/>
  <c r="K2749" i="8"/>
  <c r="L2748" i="8"/>
  <c r="K2748" i="8"/>
  <c r="L2747" i="8"/>
  <c r="K2747" i="8"/>
  <c r="L2746" i="8"/>
  <c r="K2746" i="8"/>
  <c r="L2745" i="8"/>
  <c r="K2745" i="8"/>
  <c r="L2744" i="8"/>
  <c r="K2744" i="8"/>
  <c r="L2743" i="8"/>
  <c r="K2743" i="8"/>
  <c r="L2742" i="8"/>
  <c r="K2742" i="8"/>
  <c r="L2741" i="8"/>
  <c r="K2741" i="8"/>
  <c r="L2740" i="8"/>
  <c r="K2740" i="8"/>
  <c r="L2739" i="8"/>
  <c r="K2739" i="8"/>
  <c r="L2738" i="8"/>
  <c r="K2738" i="8"/>
  <c r="L2737" i="8"/>
  <c r="K2737" i="8"/>
  <c r="L2736" i="8"/>
  <c r="K2736" i="8"/>
  <c r="L2735" i="8"/>
  <c r="K2735" i="8"/>
  <c r="L2734" i="8"/>
  <c r="K2734" i="8"/>
  <c r="L2733" i="8"/>
  <c r="K2733" i="8"/>
  <c r="L2732" i="8"/>
  <c r="K2732" i="8"/>
  <c r="L2731" i="8"/>
  <c r="K2731" i="8"/>
  <c r="L2730" i="8"/>
  <c r="K2730" i="8"/>
  <c r="L2729" i="8"/>
  <c r="K2729" i="8"/>
  <c r="L2728" i="8"/>
  <c r="K2728" i="8"/>
  <c r="L2727" i="8"/>
  <c r="K2727" i="8"/>
  <c r="L2726" i="8"/>
  <c r="K2726" i="8"/>
  <c r="L2725" i="8"/>
  <c r="K2725" i="8"/>
  <c r="L2724" i="8"/>
  <c r="K2724" i="8"/>
  <c r="L2723" i="8"/>
  <c r="K2723" i="8"/>
  <c r="L2722" i="8"/>
  <c r="K2722" i="8"/>
  <c r="L2721" i="8"/>
  <c r="K2721" i="8"/>
  <c r="L2720" i="8"/>
  <c r="K2720" i="8"/>
  <c r="L2719" i="8"/>
  <c r="K2719" i="8"/>
  <c r="L2718" i="8"/>
  <c r="K2718" i="8"/>
  <c r="L2717" i="8"/>
  <c r="K2717" i="8"/>
  <c r="L2716" i="8"/>
  <c r="K2716" i="8"/>
  <c r="L2715" i="8"/>
  <c r="K2715" i="8"/>
  <c r="L2714" i="8"/>
  <c r="K2714" i="8"/>
  <c r="L2713" i="8"/>
  <c r="K2713" i="8"/>
  <c r="L2712" i="8"/>
  <c r="K2712" i="8"/>
  <c r="L2711" i="8"/>
  <c r="K2711" i="8"/>
  <c r="L2710" i="8"/>
  <c r="K2710" i="8"/>
  <c r="L2709" i="8"/>
  <c r="K2709" i="8"/>
  <c r="L2708" i="8"/>
  <c r="K2708" i="8"/>
  <c r="L2707" i="8"/>
  <c r="K2707" i="8"/>
  <c r="L2706" i="8"/>
  <c r="K2706" i="8"/>
  <c r="L2705" i="8"/>
  <c r="K2705" i="8"/>
  <c r="L2704" i="8"/>
  <c r="K2704" i="8"/>
  <c r="L2703" i="8"/>
  <c r="K2703" i="8"/>
  <c r="L2702" i="8"/>
  <c r="K2702" i="8"/>
  <c r="L2701" i="8"/>
  <c r="K2701" i="8"/>
  <c r="L2700" i="8"/>
  <c r="K2700" i="8"/>
  <c r="L2699" i="8"/>
  <c r="K2699" i="8"/>
  <c r="L2698" i="8"/>
  <c r="K2698" i="8"/>
  <c r="L2697" i="8"/>
  <c r="K2697" i="8"/>
  <c r="L2696" i="8"/>
  <c r="K2696" i="8"/>
  <c r="L2695" i="8"/>
  <c r="K2695" i="8"/>
  <c r="L2694" i="8"/>
  <c r="K2694" i="8"/>
  <c r="L2693" i="8"/>
  <c r="K2693" i="8"/>
  <c r="L2692" i="8"/>
  <c r="K2692" i="8"/>
  <c r="L2691" i="8"/>
  <c r="K2691" i="8"/>
  <c r="L2690" i="8"/>
  <c r="K2690" i="8"/>
  <c r="L2689" i="8"/>
  <c r="K2689" i="8"/>
  <c r="L2688" i="8"/>
  <c r="K2688" i="8"/>
  <c r="L2687" i="8"/>
  <c r="K2687" i="8"/>
  <c r="L2686" i="8"/>
  <c r="K2686" i="8"/>
  <c r="L2685" i="8"/>
  <c r="K2685" i="8"/>
  <c r="L2684" i="8"/>
  <c r="K2684" i="8"/>
  <c r="L2683" i="8"/>
  <c r="K2683" i="8"/>
  <c r="L2682" i="8"/>
  <c r="K2682" i="8"/>
  <c r="L2681" i="8"/>
  <c r="K2681" i="8"/>
  <c r="L2680" i="8"/>
  <c r="K2680" i="8"/>
  <c r="L2679" i="8"/>
  <c r="K2679" i="8"/>
  <c r="L2678" i="8"/>
  <c r="K2678" i="8"/>
  <c r="L2677" i="8"/>
  <c r="K2677" i="8"/>
  <c r="L2676" i="8"/>
  <c r="K2676" i="8"/>
  <c r="L2675" i="8"/>
  <c r="K2675" i="8"/>
  <c r="L2674" i="8"/>
  <c r="K2674" i="8"/>
  <c r="L2673" i="8"/>
  <c r="K2673" i="8"/>
  <c r="L2672" i="8"/>
  <c r="K2672" i="8"/>
  <c r="L2671" i="8"/>
  <c r="K2671" i="8"/>
  <c r="L2670" i="8"/>
  <c r="K2670" i="8"/>
  <c r="L2669" i="8"/>
  <c r="K2669" i="8"/>
  <c r="L2668" i="8"/>
  <c r="K2668" i="8"/>
  <c r="G3069" i="8"/>
  <c r="G3068" i="8"/>
  <c r="G3067" i="8"/>
  <c r="G3066" i="8"/>
  <c r="G3065" i="8"/>
  <c r="G3064" i="8"/>
  <c r="G3063" i="8"/>
  <c r="G3062" i="8"/>
  <c r="G3061" i="8"/>
  <c r="G3060" i="8"/>
  <c r="G3059" i="8"/>
  <c r="G3058" i="8"/>
  <c r="G3057" i="8"/>
  <c r="G3056" i="8"/>
  <c r="G3055" i="8"/>
  <c r="G3054" i="8"/>
  <c r="G3053" i="8"/>
  <c r="G3052" i="8"/>
  <c r="G3051" i="8"/>
  <c r="G3050" i="8"/>
  <c r="G3049" i="8"/>
  <c r="G3048" i="8"/>
  <c r="G3047" i="8"/>
  <c r="G3046" i="8"/>
  <c r="G3045" i="8"/>
  <c r="G3044" i="8"/>
  <c r="G3043" i="8"/>
  <c r="G3042" i="8"/>
  <c r="G3041" i="8"/>
  <c r="G3040" i="8"/>
  <c r="G3039" i="8"/>
  <c r="G3038" i="8"/>
  <c r="G3037" i="8"/>
  <c r="G3036" i="8"/>
  <c r="G3035" i="8"/>
  <c r="G3034" i="8"/>
  <c r="G3033" i="8"/>
  <c r="G3032" i="8"/>
  <c r="G3031" i="8"/>
  <c r="G3030" i="8"/>
  <c r="G3029" i="8"/>
  <c r="G3028" i="8"/>
  <c r="G3027" i="8"/>
  <c r="G3026" i="8"/>
  <c r="G3025" i="8"/>
  <c r="G3024" i="8"/>
  <c r="G3023" i="8"/>
  <c r="G3022" i="8"/>
  <c r="G3021" i="8"/>
  <c r="G3020" i="8"/>
  <c r="G3019" i="8"/>
  <c r="G3018" i="8"/>
  <c r="G3017" i="8"/>
  <c r="G3016" i="8"/>
  <c r="G3015" i="8"/>
  <c r="G3014" i="8"/>
  <c r="G3013" i="8"/>
  <c r="G3012" i="8"/>
  <c r="G3011" i="8"/>
  <c r="G3010" i="8"/>
  <c r="G3009" i="8"/>
  <c r="G3008" i="8"/>
  <c r="G3007" i="8"/>
  <c r="G3006" i="8"/>
  <c r="G3005" i="8"/>
  <c r="G3004" i="8"/>
  <c r="G3003" i="8"/>
  <c r="G3002" i="8"/>
  <c r="G3001" i="8"/>
  <c r="G3000" i="8"/>
  <c r="G2999" i="8"/>
  <c r="G2998" i="8"/>
  <c r="G2997" i="8"/>
  <c r="G2996" i="8"/>
  <c r="G2995" i="8"/>
  <c r="G2994" i="8"/>
  <c r="G2993" i="8"/>
  <c r="G2992" i="8"/>
  <c r="G2991" i="8"/>
  <c r="G2990" i="8"/>
  <c r="G2989" i="8"/>
  <c r="G2988" i="8"/>
  <c r="G2987" i="8"/>
  <c r="G2986" i="8"/>
  <c r="G2985" i="8"/>
  <c r="G2984" i="8"/>
  <c r="G2983" i="8"/>
  <c r="G2982" i="8"/>
  <c r="G2981" i="8"/>
  <c r="G2980" i="8"/>
  <c r="G2979" i="8"/>
  <c r="G2978" i="8"/>
  <c r="G2977" i="8"/>
  <c r="G2976" i="8"/>
  <c r="G2975" i="8"/>
  <c r="G2974" i="8"/>
  <c r="G2973" i="8"/>
  <c r="G2972" i="8"/>
  <c r="G2971" i="8"/>
  <c r="G2970" i="8"/>
  <c r="G2969" i="8"/>
  <c r="G2968" i="8"/>
  <c r="G2967" i="8"/>
  <c r="G2966" i="8"/>
  <c r="G2965" i="8"/>
  <c r="G2964" i="8"/>
  <c r="G2963" i="8"/>
  <c r="G2962" i="8"/>
  <c r="G2961" i="8"/>
  <c r="G2960" i="8"/>
  <c r="G2959" i="8"/>
  <c r="G2958" i="8"/>
  <c r="G2957" i="8"/>
  <c r="G2956" i="8"/>
  <c r="G2955" i="8"/>
  <c r="G2954" i="8"/>
  <c r="G2953" i="8"/>
  <c r="G2952" i="8"/>
  <c r="G2951" i="8"/>
  <c r="G2950" i="8"/>
  <c r="G2949" i="8"/>
  <c r="G2948" i="8"/>
  <c r="G2947" i="8"/>
  <c r="G2946" i="8"/>
  <c r="G2945" i="8"/>
  <c r="G2944" i="8"/>
  <c r="G2943" i="8"/>
  <c r="G2942" i="8"/>
  <c r="G2941" i="8"/>
  <c r="G2940" i="8"/>
  <c r="G2939" i="8"/>
  <c r="G2938" i="8"/>
  <c r="G2937" i="8"/>
  <c r="G2936" i="8"/>
  <c r="G2935" i="8"/>
  <c r="G2934" i="8"/>
  <c r="G2933" i="8"/>
  <c r="G2932" i="8"/>
  <c r="G2931" i="8"/>
  <c r="G2930" i="8"/>
  <c r="G2929" i="8"/>
  <c r="G2928" i="8"/>
  <c r="G2927" i="8"/>
  <c r="G2926" i="8"/>
  <c r="G2925" i="8"/>
  <c r="G2924" i="8"/>
  <c r="G2923" i="8"/>
  <c r="G2922" i="8"/>
  <c r="G2921" i="8"/>
  <c r="G2920" i="8"/>
  <c r="G2919" i="8"/>
  <c r="G2918" i="8"/>
  <c r="G2917" i="8"/>
  <c r="G2916" i="8"/>
  <c r="G2915" i="8"/>
  <c r="G2914" i="8"/>
  <c r="G2913" i="8"/>
  <c r="G2912" i="8"/>
  <c r="G2911" i="8"/>
  <c r="G2910" i="8"/>
  <c r="G2909" i="8"/>
  <c r="G2908" i="8"/>
  <c r="G2907" i="8"/>
  <c r="G2906" i="8"/>
  <c r="G2905" i="8"/>
  <c r="G2904" i="8"/>
  <c r="G2903" i="8"/>
  <c r="G2902" i="8"/>
  <c r="G2901" i="8"/>
  <c r="G2900" i="8"/>
  <c r="G2899" i="8"/>
  <c r="G2898" i="8"/>
  <c r="G2897" i="8"/>
  <c r="G2896" i="8"/>
  <c r="G2895" i="8"/>
  <c r="G2894" i="8"/>
  <c r="G2893" i="8"/>
  <c r="G2892" i="8"/>
  <c r="G2891" i="8"/>
  <c r="G2890" i="8"/>
  <c r="G2889" i="8"/>
  <c r="G2888" i="8"/>
  <c r="G2887" i="8"/>
  <c r="G2886" i="8"/>
  <c r="G2885" i="8"/>
  <c r="G2884" i="8"/>
  <c r="G2883" i="8"/>
  <c r="G2882" i="8"/>
  <c r="G2881" i="8"/>
  <c r="G2880" i="8"/>
  <c r="G2879" i="8"/>
  <c r="G2878" i="8"/>
  <c r="G2877" i="8"/>
  <c r="G2876" i="8"/>
  <c r="G2875" i="8"/>
  <c r="G2874" i="8"/>
  <c r="G2873" i="8"/>
  <c r="G2872" i="8"/>
  <c r="G2871" i="8"/>
  <c r="G2870" i="8"/>
  <c r="G2869" i="8"/>
  <c r="G2868" i="8"/>
  <c r="G2867" i="8"/>
  <c r="G2866" i="8"/>
  <c r="G2865" i="8"/>
  <c r="G2864" i="8"/>
  <c r="G2863" i="8"/>
  <c r="G2862" i="8"/>
  <c r="G2861" i="8"/>
  <c r="G2860" i="8"/>
  <c r="G2859" i="8"/>
  <c r="G2858" i="8"/>
  <c r="G2857" i="8"/>
  <c r="G2856" i="8"/>
  <c r="G2855" i="8"/>
  <c r="G2854" i="8"/>
  <c r="G2853" i="8"/>
  <c r="G2852" i="8"/>
  <c r="G2851" i="8"/>
  <c r="G2850" i="8"/>
  <c r="G2849" i="8"/>
  <c r="G2848" i="8"/>
  <c r="G2847" i="8"/>
  <c r="G2846" i="8"/>
  <c r="G2845" i="8"/>
  <c r="G2844" i="8"/>
  <c r="G2843" i="8"/>
  <c r="G2842" i="8"/>
  <c r="G2841" i="8"/>
  <c r="G2840" i="8"/>
  <c r="G2839" i="8"/>
  <c r="G2838" i="8"/>
  <c r="G2837" i="8"/>
  <c r="G2836" i="8"/>
  <c r="G2835" i="8"/>
  <c r="G2834" i="8"/>
  <c r="G2833" i="8"/>
  <c r="G2832" i="8"/>
  <c r="G2831" i="8"/>
  <c r="G2830" i="8"/>
  <c r="G2829" i="8"/>
  <c r="G2828" i="8"/>
  <c r="G2827" i="8"/>
  <c r="G2826" i="8"/>
  <c r="G2825" i="8"/>
  <c r="G2824" i="8"/>
  <c r="G2823" i="8"/>
  <c r="G2822" i="8"/>
  <c r="G2821" i="8"/>
  <c r="G2820" i="8"/>
  <c r="G2819" i="8"/>
  <c r="G2818" i="8"/>
  <c r="G2817" i="8"/>
  <c r="G2816" i="8"/>
  <c r="G2815" i="8"/>
  <c r="G2814" i="8"/>
  <c r="G2813" i="8"/>
  <c r="G2812" i="8"/>
  <c r="G2811" i="8"/>
  <c r="G2810" i="8"/>
  <c r="G2809" i="8"/>
  <c r="G2808" i="8"/>
  <c r="G2807" i="8"/>
  <c r="G2806" i="8"/>
  <c r="G2805" i="8"/>
  <c r="G2804" i="8"/>
  <c r="G2803" i="8"/>
  <c r="G2802" i="8"/>
  <c r="G2801" i="8"/>
  <c r="G2800" i="8"/>
  <c r="G2799" i="8"/>
  <c r="G2798" i="8"/>
  <c r="G2797" i="8"/>
  <c r="G2796" i="8"/>
  <c r="G2795" i="8"/>
  <c r="G2794" i="8"/>
  <c r="G2793" i="8"/>
  <c r="G2792" i="8"/>
  <c r="G2791" i="8"/>
  <c r="G2790" i="8"/>
  <c r="G2789" i="8"/>
  <c r="G2788" i="8"/>
  <c r="G2787" i="8"/>
  <c r="G2786" i="8"/>
  <c r="G2785" i="8"/>
  <c r="G2784" i="8"/>
  <c r="G2783" i="8"/>
  <c r="G2782" i="8"/>
  <c r="G2781" i="8"/>
  <c r="G2780" i="8"/>
  <c r="G2779" i="8"/>
  <c r="G2778" i="8"/>
  <c r="G2777" i="8"/>
  <c r="G2776" i="8"/>
  <c r="G2775" i="8"/>
  <c r="G2774" i="8"/>
  <c r="G2773" i="8"/>
  <c r="G2772" i="8"/>
  <c r="G2771" i="8"/>
  <c r="G2770" i="8"/>
  <c r="G2769" i="8"/>
  <c r="G2768" i="8"/>
  <c r="G2767" i="8"/>
  <c r="G2766" i="8"/>
  <c r="G2765" i="8"/>
  <c r="G2764" i="8"/>
  <c r="G2763" i="8"/>
  <c r="G2762" i="8"/>
  <c r="G2761" i="8"/>
  <c r="G2760" i="8"/>
  <c r="G2759" i="8"/>
  <c r="G2758" i="8"/>
  <c r="G2757" i="8"/>
  <c r="G2756" i="8"/>
  <c r="G2755" i="8"/>
  <c r="G2754" i="8"/>
  <c r="G2753" i="8"/>
  <c r="G2752" i="8"/>
  <c r="G2751" i="8"/>
  <c r="G2750" i="8"/>
  <c r="G2749" i="8"/>
  <c r="G2748" i="8"/>
  <c r="G2747" i="8"/>
  <c r="G2746" i="8"/>
  <c r="G2745" i="8"/>
  <c r="G2744" i="8"/>
  <c r="G2743" i="8"/>
  <c r="G2742" i="8"/>
  <c r="G2741" i="8"/>
  <c r="G2740" i="8"/>
  <c r="G2739" i="8"/>
  <c r="G2738" i="8"/>
  <c r="G2737" i="8"/>
  <c r="G2736" i="8"/>
  <c r="G2735" i="8"/>
  <c r="G2734" i="8"/>
  <c r="G2733" i="8"/>
  <c r="G2732" i="8"/>
  <c r="G2731" i="8"/>
  <c r="G2730" i="8"/>
  <c r="G2729" i="8"/>
  <c r="G2728" i="8"/>
  <c r="G2727" i="8"/>
  <c r="G2726" i="8"/>
  <c r="G2725" i="8"/>
  <c r="G2724" i="8"/>
  <c r="G2723" i="8"/>
  <c r="G2722" i="8"/>
  <c r="G2721" i="8"/>
  <c r="G2720" i="8"/>
  <c r="G2719" i="8"/>
  <c r="G2718" i="8"/>
  <c r="G2717" i="8"/>
  <c r="G2716" i="8"/>
  <c r="G2715" i="8"/>
  <c r="G2714" i="8"/>
  <c r="G2713" i="8"/>
  <c r="G2712" i="8"/>
  <c r="G2711" i="8"/>
  <c r="G2710" i="8"/>
  <c r="G2709" i="8"/>
  <c r="G2708" i="8"/>
  <c r="G2707" i="8"/>
  <c r="G2706" i="8"/>
  <c r="G2705" i="8"/>
  <c r="G2704" i="8"/>
  <c r="G2703" i="8"/>
  <c r="G2702" i="8"/>
  <c r="G2701" i="8"/>
  <c r="G2700" i="8"/>
  <c r="G2699" i="8"/>
  <c r="G2698" i="8"/>
  <c r="G2697" i="8"/>
  <c r="G2696" i="8"/>
  <c r="G2695" i="8"/>
  <c r="G2694" i="8"/>
  <c r="G2693" i="8"/>
  <c r="G2692" i="8"/>
  <c r="G2691" i="8"/>
  <c r="G2690" i="8"/>
  <c r="G2689" i="8"/>
  <c r="G2688" i="8"/>
  <c r="G2687" i="8"/>
  <c r="G2686" i="8"/>
  <c r="G2685" i="8"/>
  <c r="G2684" i="8"/>
  <c r="G2683" i="8"/>
  <c r="G2682" i="8"/>
  <c r="G2681" i="8"/>
  <c r="G2680" i="8"/>
  <c r="G2679" i="8"/>
  <c r="G2678" i="8"/>
  <c r="G2677" i="8"/>
  <c r="G2676" i="8"/>
  <c r="G2675" i="8"/>
  <c r="G2674" i="8"/>
  <c r="G2673" i="8"/>
  <c r="G2672" i="8"/>
  <c r="G2671" i="8"/>
  <c r="G2670" i="8"/>
  <c r="G2669" i="8"/>
  <c r="G2668" i="8"/>
  <c r="Y383" i="17"/>
  <c r="X383" i="17"/>
  <c r="W383" i="17"/>
  <c r="V383" i="17"/>
  <c r="U383" i="17"/>
  <c r="T383" i="17"/>
  <c r="S383" i="17"/>
  <c r="R383" i="17"/>
  <c r="Q383" i="17"/>
  <c r="P383" i="17"/>
  <c r="O383" i="17"/>
  <c r="N383" i="17"/>
  <c r="M383" i="17"/>
  <c r="Y382" i="17"/>
  <c r="X382" i="17"/>
  <c r="W382" i="17"/>
  <c r="V382" i="17"/>
  <c r="U382" i="17"/>
  <c r="T382" i="17"/>
  <c r="S382" i="17"/>
  <c r="R382" i="17"/>
  <c r="Q382" i="17"/>
  <c r="P382" i="17"/>
  <c r="O382" i="17"/>
  <c r="N382" i="17"/>
  <c r="M382" i="17"/>
  <c r="J383" i="17"/>
  <c r="I383" i="17"/>
  <c r="H383" i="17"/>
  <c r="J382" i="17"/>
  <c r="I382" i="17"/>
  <c r="H382" i="17"/>
  <c r="E383" i="17"/>
  <c r="F383" i="17" s="1"/>
  <c r="E382" i="17"/>
  <c r="F382" i="17" s="1"/>
  <c r="Y381" i="17"/>
  <c r="X381" i="17"/>
  <c r="W381" i="17"/>
  <c r="V381" i="17"/>
  <c r="U381" i="17"/>
  <c r="T381" i="17"/>
  <c r="S381" i="17"/>
  <c r="R381" i="17"/>
  <c r="Q381" i="17"/>
  <c r="P381" i="17"/>
  <c r="O381" i="17"/>
  <c r="N381" i="17"/>
  <c r="M381" i="17"/>
  <c r="J381" i="17"/>
  <c r="I381" i="17"/>
  <c r="H381" i="17"/>
  <c r="E381" i="17"/>
  <c r="F381" i="17" s="1"/>
  <c r="Y380" i="17"/>
  <c r="X380" i="17"/>
  <c r="W380" i="17"/>
  <c r="V380" i="17"/>
  <c r="U380" i="17"/>
  <c r="T380" i="17"/>
  <c r="S380" i="17"/>
  <c r="R380" i="17"/>
  <c r="Q380" i="17"/>
  <c r="P380" i="17"/>
  <c r="O380" i="17"/>
  <c r="N380" i="17"/>
  <c r="M380" i="17"/>
  <c r="J380" i="17"/>
  <c r="I380" i="17"/>
  <c r="H380" i="17"/>
  <c r="E380" i="17"/>
  <c r="F380" i="17" s="1"/>
  <c r="Y379" i="17"/>
  <c r="X379" i="17"/>
  <c r="W379" i="17"/>
  <c r="V379" i="17"/>
  <c r="U379" i="17"/>
  <c r="T379" i="17"/>
  <c r="S379" i="17"/>
  <c r="R379" i="17"/>
  <c r="Q379" i="17"/>
  <c r="P379" i="17"/>
  <c r="O379" i="17"/>
  <c r="N379" i="17"/>
  <c r="M379" i="17"/>
  <c r="J379" i="17"/>
  <c r="I379" i="17"/>
  <c r="H379" i="17"/>
  <c r="E379" i="17"/>
  <c r="F379" i="17" s="1"/>
  <c r="Y378" i="17"/>
  <c r="X378" i="17"/>
  <c r="W378" i="17"/>
  <c r="V378" i="17"/>
  <c r="U378" i="17"/>
  <c r="T378" i="17"/>
  <c r="S378" i="17"/>
  <c r="R378" i="17"/>
  <c r="Q378" i="17"/>
  <c r="P378" i="17"/>
  <c r="O378" i="17"/>
  <c r="N378" i="17"/>
  <c r="M378" i="17"/>
  <c r="J378" i="17"/>
  <c r="I378" i="17"/>
  <c r="H378" i="17"/>
  <c r="E378" i="17"/>
  <c r="F378" i="17" s="1"/>
  <c r="Y377" i="17"/>
  <c r="X377" i="17"/>
  <c r="W377" i="17"/>
  <c r="V377" i="17"/>
  <c r="U377" i="17"/>
  <c r="T377" i="17"/>
  <c r="S377" i="17"/>
  <c r="R377" i="17"/>
  <c r="Q377" i="17"/>
  <c r="P377" i="17"/>
  <c r="O377" i="17"/>
  <c r="N377" i="17"/>
  <c r="M377" i="17"/>
  <c r="J377" i="17"/>
  <c r="I377" i="17"/>
  <c r="H377" i="17"/>
  <c r="E377" i="17"/>
  <c r="F377" i="17" s="1"/>
  <c r="Y376" i="17"/>
  <c r="X376" i="17"/>
  <c r="W376" i="17"/>
  <c r="V376" i="17"/>
  <c r="U376" i="17"/>
  <c r="T376" i="17"/>
  <c r="S376" i="17"/>
  <c r="R376" i="17"/>
  <c r="Q376" i="17"/>
  <c r="P376" i="17"/>
  <c r="O376" i="17"/>
  <c r="N376" i="17"/>
  <c r="M376" i="17"/>
  <c r="J376" i="17"/>
  <c r="I376" i="17"/>
  <c r="H376" i="17"/>
  <c r="E376" i="17"/>
  <c r="F376" i="17" s="1"/>
  <c r="Y375" i="17"/>
  <c r="X375" i="17"/>
  <c r="W375" i="17"/>
  <c r="V375" i="17"/>
  <c r="U375" i="17"/>
  <c r="T375" i="17"/>
  <c r="S375" i="17"/>
  <c r="R375" i="17"/>
  <c r="Q375" i="17"/>
  <c r="P375" i="17"/>
  <c r="O375" i="17"/>
  <c r="N375" i="17"/>
  <c r="M375" i="17"/>
  <c r="J375" i="17"/>
  <c r="I375" i="17"/>
  <c r="H375" i="17"/>
  <c r="E375" i="17"/>
  <c r="F375" i="17" s="1"/>
  <c r="Y374" i="17"/>
  <c r="X374" i="17"/>
  <c r="W374" i="17"/>
  <c r="V374" i="17"/>
  <c r="U374" i="17"/>
  <c r="T374" i="17"/>
  <c r="S374" i="17"/>
  <c r="R374" i="17"/>
  <c r="Q374" i="17"/>
  <c r="P374" i="17"/>
  <c r="O374" i="17"/>
  <c r="N374" i="17"/>
  <c r="M374" i="17"/>
  <c r="J374" i="17"/>
  <c r="I374" i="17"/>
  <c r="H374" i="17"/>
  <c r="E374" i="17"/>
  <c r="F374" i="17" s="1"/>
  <c r="Y373" i="17"/>
  <c r="X373" i="17"/>
  <c r="W373" i="17"/>
  <c r="V373" i="17"/>
  <c r="U373" i="17"/>
  <c r="T373" i="17"/>
  <c r="S373" i="17"/>
  <c r="R373" i="17"/>
  <c r="Q373" i="17"/>
  <c r="P373" i="17"/>
  <c r="O373" i="17"/>
  <c r="N373" i="17"/>
  <c r="M373" i="17"/>
  <c r="J373" i="17"/>
  <c r="I373" i="17"/>
  <c r="H373" i="17"/>
  <c r="E373" i="17"/>
  <c r="F373" i="17" s="1"/>
  <c r="Y372" i="17"/>
  <c r="X372" i="17"/>
  <c r="W372" i="17"/>
  <c r="V372" i="17"/>
  <c r="U372" i="17"/>
  <c r="T372" i="17"/>
  <c r="S372" i="17"/>
  <c r="R372" i="17"/>
  <c r="Q372" i="17"/>
  <c r="P372" i="17"/>
  <c r="O372" i="17"/>
  <c r="N372" i="17"/>
  <c r="M372" i="17"/>
  <c r="J372" i="17"/>
  <c r="I372" i="17"/>
  <c r="H372" i="17"/>
  <c r="E372" i="17"/>
  <c r="F372" i="17" s="1"/>
  <c r="Y371" i="17"/>
  <c r="X371" i="17"/>
  <c r="W371" i="17"/>
  <c r="V371" i="17"/>
  <c r="U371" i="17"/>
  <c r="T371" i="17"/>
  <c r="S371" i="17"/>
  <c r="R371" i="17"/>
  <c r="Q371" i="17"/>
  <c r="P371" i="17"/>
  <c r="O371" i="17"/>
  <c r="N371" i="17"/>
  <c r="M371" i="17"/>
  <c r="J371" i="17"/>
  <c r="I371" i="17"/>
  <c r="H371" i="17"/>
  <c r="E371" i="17"/>
  <c r="F371" i="17" s="1"/>
  <c r="Y370" i="17"/>
  <c r="X370" i="17"/>
  <c r="W370" i="17"/>
  <c r="V370" i="17"/>
  <c r="U370" i="17"/>
  <c r="T370" i="17"/>
  <c r="S370" i="17"/>
  <c r="R370" i="17"/>
  <c r="Q370" i="17"/>
  <c r="P370" i="17"/>
  <c r="O370" i="17"/>
  <c r="N370" i="17"/>
  <c r="M370" i="17"/>
  <c r="J370" i="17"/>
  <c r="I370" i="17"/>
  <c r="H370" i="17"/>
  <c r="E370" i="17"/>
  <c r="F370" i="17" s="1"/>
  <c r="E362" i="17"/>
  <c r="F362" i="17" s="1"/>
  <c r="B14" i="15"/>
  <c r="C14" i="15" s="1"/>
  <c r="B170" i="15"/>
  <c r="I170" i="15" s="1"/>
  <c r="B169" i="15"/>
  <c r="I169" i="15" s="1"/>
  <c r="B168" i="15"/>
  <c r="C168" i="15" s="1"/>
  <c r="B167" i="15"/>
  <c r="D167" i="15" s="1" a="1"/>
  <c r="D167" i="15" s="1"/>
  <c r="B166" i="15"/>
  <c r="I166" i="15" s="1"/>
  <c r="B165" i="15"/>
  <c r="C165" i="15" s="1"/>
  <c r="B164" i="15"/>
  <c r="D164" i="15" s="1" a="1"/>
  <c r="D164" i="15" s="1"/>
  <c r="B163" i="15"/>
  <c r="C163" i="15" s="1"/>
  <c r="B162" i="15"/>
  <c r="B161" i="15"/>
  <c r="C161" i="15" s="1"/>
  <c r="B160" i="15"/>
  <c r="I160" i="15" s="1"/>
  <c r="B159" i="15"/>
  <c r="D159" i="15" s="1" a="1"/>
  <c r="D159" i="15" s="1"/>
  <c r="B158" i="15"/>
  <c r="B157" i="15"/>
  <c r="C157" i="15" s="1"/>
  <c r="L2667" i="8"/>
  <c r="K2667" i="8"/>
  <c r="L2666" i="8"/>
  <c r="K2666" i="8"/>
  <c r="L2665" i="8"/>
  <c r="K2665" i="8"/>
  <c r="L2664" i="8"/>
  <c r="K2664" i="8"/>
  <c r="L2663" i="8"/>
  <c r="K2663" i="8"/>
  <c r="L2662" i="8"/>
  <c r="K2662" i="8"/>
  <c r="L2661" i="8"/>
  <c r="K2661" i="8"/>
  <c r="L2660" i="8"/>
  <c r="K2660" i="8"/>
  <c r="L2659" i="8"/>
  <c r="K2659" i="8"/>
  <c r="L2658" i="8"/>
  <c r="K2658" i="8"/>
  <c r="L2657" i="8"/>
  <c r="K2657" i="8"/>
  <c r="L2656" i="8"/>
  <c r="K2656" i="8"/>
  <c r="L2655" i="8"/>
  <c r="K2655" i="8"/>
  <c r="L2654" i="8"/>
  <c r="K2654" i="8"/>
  <c r="L2653" i="8"/>
  <c r="K2653" i="8"/>
  <c r="L2652" i="8"/>
  <c r="K2652" i="8"/>
  <c r="L2651" i="8"/>
  <c r="K2651" i="8"/>
  <c r="L2650" i="8"/>
  <c r="K2650" i="8"/>
  <c r="L2649" i="8"/>
  <c r="K2649" i="8"/>
  <c r="L2648" i="8"/>
  <c r="K2648" i="8"/>
  <c r="L2647" i="8"/>
  <c r="K2647" i="8"/>
  <c r="L2646" i="8"/>
  <c r="K2646" i="8"/>
  <c r="L2645" i="8"/>
  <c r="K2645" i="8"/>
  <c r="L2644" i="8"/>
  <c r="K2644" i="8"/>
  <c r="L2643" i="8"/>
  <c r="K2643" i="8"/>
  <c r="L2642" i="8"/>
  <c r="K2642" i="8"/>
  <c r="L2641" i="8"/>
  <c r="K2641" i="8"/>
  <c r="L2640" i="8"/>
  <c r="K2640" i="8"/>
  <c r="L2639" i="8"/>
  <c r="K2639" i="8"/>
  <c r="L2638" i="8"/>
  <c r="K2638" i="8"/>
  <c r="L2637" i="8"/>
  <c r="K2637" i="8"/>
  <c r="L2636" i="8"/>
  <c r="K2636" i="8"/>
  <c r="L2635" i="8"/>
  <c r="K2635" i="8"/>
  <c r="L2634" i="8"/>
  <c r="K2634" i="8"/>
  <c r="L2633" i="8"/>
  <c r="K2633" i="8"/>
  <c r="L2632" i="8"/>
  <c r="K2632" i="8"/>
  <c r="L2631" i="8"/>
  <c r="K2631" i="8"/>
  <c r="L2630" i="8"/>
  <c r="K2630" i="8"/>
  <c r="L2629" i="8"/>
  <c r="K2629" i="8"/>
  <c r="L2628" i="8"/>
  <c r="K2628" i="8"/>
  <c r="L2627" i="8"/>
  <c r="K2627" i="8"/>
  <c r="L2626" i="8"/>
  <c r="K2626" i="8"/>
  <c r="L2625" i="8"/>
  <c r="K2625" i="8"/>
  <c r="L2624" i="8"/>
  <c r="K2624" i="8"/>
  <c r="L2623" i="8"/>
  <c r="K2623" i="8"/>
  <c r="L2622" i="8"/>
  <c r="K2622" i="8"/>
  <c r="L2621" i="8"/>
  <c r="K2621" i="8"/>
  <c r="L2620" i="8"/>
  <c r="K2620" i="8"/>
  <c r="L2619" i="8"/>
  <c r="K2619" i="8"/>
  <c r="L2618" i="8"/>
  <c r="K2618" i="8"/>
  <c r="L2617" i="8"/>
  <c r="K2617" i="8"/>
  <c r="L2616" i="8"/>
  <c r="K2616" i="8"/>
  <c r="L2615" i="8"/>
  <c r="K2615" i="8"/>
  <c r="L2614" i="8"/>
  <c r="K2614" i="8"/>
  <c r="L2613" i="8"/>
  <c r="K2613" i="8"/>
  <c r="L2612" i="8"/>
  <c r="K2612" i="8"/>
  <c r="L2611" i="8"/>
  <c r="K2611" i="8"/>
  <c r="L2610" i="8"/>
  <c r="K2610" i="8"/>
  <c r="L2609" i="8"/>
  <c r="K2609" i="8"/>
  <c r="L2608" i="8"/>
  <c r="K2608" i="8"/>
  <c r="L2607" i="8"/>
  <c r="K2607" i="8"/>
  <c r="L2606" i="8"/>
  <c r="K2606" i="8"/>
  <c r="L2605" i="8"/>
  <c r="K2605" i="8"/>
  <c r="L2604" i="8"/>
  <c r="K2604" i="8"/>
  <c r="L2603" i="8"/>
  <c r="K2603" i="8"/>
  <c r="L2602" i="8"/>
  <c r="K2602" i="8"/>
  <c r="L2601" i="8"/>
  <c r="K2601" i="8"/>
  <c r="L2600" i="8"/>
  <c r="K2600" i="8"/>
  <c r="L2599" i="8"/>
  <c r="K2599" i="8"/>
  <c r="L2598" i="8"/>
  <c r="K2598" i="8"/>
  <c r="L2597" i="8"/>
  <c r="K2597" i="8"/>
  <c r="L2596" i="8"/>
  <c r="K2596" i="8"/>
  <c r="L2595" i="8"/>
  <c r="K2595" i="8"/>
  <c r="L2594" i="8"/>
  <c r="K2594" i="8"/>
  <c r="L2593" i="8"/>
  <c r="K2593" i="8"/>
  <c r="L2592" i="8"/>
  <c r="K2592" i="8"/>
  <c r="L2591" i="8"/>
  <c r="K2591" i="8"/>
  <c r="L2590" i="8"/>
  <c r="K2590" i="8"/>
  <c r="L2589" i="8"/>
  <c r="K2589" i="8"/>
  <c r="L2588" i="8"/>
  <c r="K2588" i="8"/>
  <c r="L2587" i="8"/>
  <c r="K2587" i="8"/>
  <c r="L2586" i="8"/>
  <c r="K2586" i="8"/>
  <c r="L2585" i="8"/>
  <c r="K2585" i="8"/>
  <c r="L2584" i="8"/>
  <c r="K2584" i="8"/>
  <c r="L2583" i="8"/>
  <c r="K2583" i="8"/>
  <c r="L2582" i="8"/>
  <c r="K2582" i="8"/>
  <c r="L2581" i="8"/>
  <c r="K2581" i="8"/>
  <c r="L2580" i="8"/>
  <c r="K2580" i="8"/>
  <c r="L2579" i="8"/>
  <c r="K2579" i="8"/>
  <c r="L2578" i="8"/>
  <c r="K2578" i="8"/>
  <c r="L2577" i="8"/>
  <c r="K2577" i="8"/>
  <c r="L2576" i="8"/>
  <c r="K2576" i="8"/>
  <c r="L2575" i="8"/>
  <c r="K2575" i="8"/>
  <c r="L2574" i="8"/>
  <c r="K2574" i="8"/>
  <c r="L2573" i="8"/>
  <c r="K2573" i="8"/>
  <c r="L2572" i="8"/>
  <c r="K2572" i="8"/>
  <c r="L2571" i="8"/>
  <c r="K2571" i="8"/>
  <c r="L2570" i="8"/>
  <c r="K2570" i="8"/>
  <c r="L2569" i="8"/>
  <c r="K2569" i="8"/>
  <c r="L2568" i="8"/>
  <c r="K2568" i="8"/>
  <c r="L2567" i="8"/>
  <c r="K2567" i="8"/>
  <c r="L2566" i="8"/>
  <c r="K2566" i="8"/>
  <c r="L2565" i="8"/>
  <c r="K2565" i="8"/>
  <c r="L2564" i="8"/>
  <c r="K2564" i="8"/>
  <c r="L2563" i="8"/>
  <c r="K2563" i="8"/>
  <c r="L2562" i="8"/>
  <c r="K2562" i="8"/>
  <c r="L2561" i="8"/>
  <c r="K2561" i="8"/>
  <c r="L2560" i="8"/>
  <c r="K2560" i="8"/>
  <c r="L2559" i="8"/>
  <c r="K2559" i="8"/>
  <c r="L2558" i="8"/>
  <c r="K2558" i="8"/>
  <c r="L2557" i="8"/>
  <c r="K2557" i="8"/>
  <c r="L2556" i="8"/>
  <c r="K2556" i="8"/>
  <c r="L2555" i="8"/>
  <c r="K2555" i="8"/>
  <c r="L2554" i="8"/>
  <c r="K2554" i="8"/>
  <c r="L2553" i="8"/>
  <c r="K2553" i="8"/>
  <c r="L2552" i="8"/>
  <c r="K2552" i="8"/>
  <c r="L2551" i="8"/>
  <c r="K2551" i="8"/>
  <c r="L2550" i="8"/>
  <c r="K2550" i="8"/>
  <c r="L2549" i="8"/>
  <c r="K2549" i="8"/>
  <c r="L2548" i="8"/>
  <c r="K2548" i="8"/>
  <c r="L2547" i="8"/>
  <c r="K2547" i="8"/>
  <c r="L2546" i="8"/>
  <c r="K2546" i="8"/>
  <c r="L2545" i="8"/>
  <c r="K2545" i="8"/>
  <c r="L2544" i="8"/>
  <c r="K2544" i="8"/>
  <c r="L2543" i="8"/>
  <c r="K2543" i="8"/>
  <c r="L2542" i="8"/>
  <c r="K2542" i="8"/>
  <c r="L2541" i="8"/>
  <c r="K2541" i="8"/>
  <c r="L2540" i="8"/>
  <c r="K2540" i="8"/>
  <c r="L2539" i="8"/>
  <c r="K2539" i="8"/>
  <c r="L2538" i="8"/>
  <c r="K2538" i="8"/>
  <c r="L2537" i="8"/>
  <c r="K2537" i="8"/>
  <c r="L2536" i="8"/>
  <c r="K2536" i="8"/>
  <c r="L2535" i="8"/>
  <c r="K2535" i="8"/>
  <c r="L2534" i="8"/>
  <c r="K2534" i="8"/>
  <c r="L2533" i="8"/>
  <c r="K2533" i="8"/>
  <c r="L2532" i="8"/>
  <c r="K2532" i="8"/>
  <c r="L2531" i="8"/>
  <c r="K2531" i="8"/>
  <c r="L2530" i="8"/>
  <c r="K2530" i="8"/>
  <c r="L2529" i="8"/>
  <c r="K2529" i="8"/>
  <c r="L2528" i="8"/>
  <c r="K2528" i="8"/>
  <c r="L2527" i="8"/>
  <c r="K2527" i="8"/>
  <c r="L2526" i="8"/>
  <c r="K2526" i="8"/>
  <c r="L2525" i="8"/>
  <c r="K2525" i="8"/>
  <c r="L2524" i="8"/>
  <c r="K2524" i="8"/>
  <c r="L2523" i="8"/>
  <c r="K2523" i="8"/>
  <c r="L2522" i="8"/>
  <c r="K2522" i="8"/>
  <c r="L2521" i="8"/>
  <c r="K2521" i="8"/>
  <c r="L2520" i="8"/>
  <c r="K2520" i="8"/>
  <c r="L2519" i="8"/>
  <c r="K2519" i="8"/>
  <c r="L2518" i="8"/>
  <c r="K2518" i="8"/>
  <c r="L2517" i="8"/>
  <c r="K2517" i="8"/>
  <c r="L2516" i="8"/>
  <c r="K2516" i="8"/>
  <c r="L2515" i="8"/>
  <c r="K2515" i="8"/>
  <c r="L2514" i="8"/>
  <c r="K2514" i="8"/>
  <c r="L2513" i="8"/>
  <c r="K2513" i="8"/>
  <c r="L2512" i="8"/>
  <c r="K2512" i="8"/>
  <c r="L2511" i="8"/>
  <c r="K2511" i="8"/>
  <c r="L2510" i="8"/>
  <c r="K2510" i="8"/>
  <c r="L2509" i="8"/>
  <c r="K2509" i="8"/>
  <c r="L2508" i="8"/>
  <c r="K2508" i="8"/>
  <c r="L2507" i="8"/>
  <c r="K2507" i="8"/>
  <c r="L2506" i="8"/>
  <c r="K2506" i="8"/>
  <c r="L2505" i="8"/>
  <c r="K2505" i="8"/>
  <c r="L2504" i="8"/>
  <c r="K2504" i="8"/>
  <c r="L2503" i="8"/>
  <c r="K2503" i="8"/>
  <c r="L2502" i="8"/>
  <c r="K2502" i="8"/>
  <c r="L2501" i="8"/>
  <c r="K2501" i="8"/>
  <c r="L2500" i="8"/>
  <c r="K2500" i="8"/>
  <c r="L2499" i="8"/>
  <c r="K2499" i="8"/>
  <c r="L2498" i="8"/>
  <c r="K2498" i="8"/>
  <c r="L2497" i="8"/>
  <c r="K2497" i="8"/>
  <c r="L2496" i="8"/>
  <c r="K2496" i="8"/>
  <c r="L2495" i="8"/>
  <c r="K2495" i="8"/>
  <c r="L2494" i="8"/>
  <c r="K2494" i="8"/>
  <c r="L2493" i="8"/>
  <c r="K2493" i="8"/>
  <c r="L2492" i="8"/>
  <c r="K2492" i="8"/>
  <c r="L2491" i="8"/>
  <c r="K2491" i="8"/>
  <c r="L2490" i="8"/>
  <c r="K2490" i="8"/>
  <c r="L2489" i="8"/>
  <c r="K2489" i="8"/>
  <c r="L2488" i="8"/>
  <c r="K2488" i="8"/>
  <c r="L2487" i="8"/>
  <c r="K2487" i="8"/>
  <c r="L2486" i="8"/>
  <c r="K2486" i="8"/>
  <c r="L2485" i="8"/>
  <c r="K2485" i="8"/>
  <c r="L2484" i="8"/>
  <c r="K2484" i="8"/>
  <c r="L2483" i="8"/>
  <c r="K2483" i="8"/>
  <c r="L2482" i="8"/>
  <c r="K2482" i="8"/>
  <c r="L2481" i="8"/>
  <c r="K2481" i="8"/>
  <c r="L2480" i="8"/>
  <c r="K2480" i="8"/>
  <c r="L2479" i="8"/>
  <c r="K2479" i="8"/>
  <c r="L2478" i="8"/>
  <c r="K2478" i="8"/>
  <c r="L2477" i="8"/>
  <c r="K2477" i="8"/>
  <c r="L2476" i="8"/>
  <c r="K2476" i="8"/>
  <c r="L2475" i="8"/>
  <c r="K2475" i="8"/>
  <c r="L2474" i="8"/>
  <c r="K2474" i="8"/>
  <c r="L2473" i="8"/>
  <c r="K2473" i="8"/>
  <c r="L2472" i="8"/>
  <c r="K2472" i="8"/>
  <c r="L2471" i="8"/>
  <c r="K2471" i="8"/>
  <c r="L2470" i="8"/>
  <c r="K2470" i="8"/>
  <c r="L2469" i="8"/>
  <c r="K2469" i="8"/>
  <c r="L2468" i="8"/>
  <c r="K2468" i="8"/>
  <c r="L2467" i="8"/>
  <c r="K2467" i="8"/>
  <c r="L2466" i="8"/>
  <c r="K2466" i="8"/>
  <c r="L2465" i="8"/>
  <c r="K2465" i="8"/>
  <c r="L2464" i="8"/>
  <c r="K2464" i="8"/>
  <c r="L2463" i="8"/>
  <c r="K2463" i="8"/>
  <c r="L2462" i="8"/>
  <c r="K2462" i="8"/>
  <c r="L2461" i="8"/>
  <c r="K2461" i="8"/>
  <c r="L2460" i="8"/>
  <c r="K2460" i="8"/>
  <c r="L2459" i="8"/>
  <c r="K2459" i="8"/>
  <c r="L2458" i="8"/>
  <c r="K2458" i="8"/>
  <c r="L2457" i="8"/>
  <c r="K2457" i="8"/>
  <c r="L2456" i="8"/>
  <c r="K2456" i="8"/>
  <c r="L2455" i="8"/>
  <c r="K2455" i="8"/>
  <c r="L2454" i="8"/>
  <c r="K2454" i="8"/>
  <c r="L2453" i="8"/>
  <c r="K2453" i="8"/>
  <c r="L2452" i="8"/>
  <c r="K2452" i="8"/>
  <c r="L2451" i="8"/>
  <c r="K2451" i="8"/>
  <c r="L2450" i="8"/>
  <c r="K2450" i="8"/>
  <c r="L2449" i="8"/>
  <c r="K2449" i="8"/>
  <c r="L2448" i="8"/>
  <c r="K2448" i="8"/>
  <c r="L2447" i="8"/>
  <c r="K2447" i="8"/>
  <c r="L2446" i="8"/>
  <c r="K2446" i="8"/>
  <c r="L2445" i="8"/>
  <c r="K2445" i="8"/>
  <c r="L2444" i="8"/>
  <c r="K2444" i="8"/>
  <c r="L2443" i="8"/>
  <c r="K2443" i="8"/>
  <c r="L2442" i="8"/>
  <c r="K2442" i="8"/>
  <c r="L2441" i="8"/>
  <c r="K2441" i="8"/>
  <c r="L2440" i="8"/>
  <c r="K2440" i="8"/>
  <c r="L2439" i="8"/>
  <c r="K2439" i="8"/>
  <c r="L2438" i="8"/>
  <c r="K2438" i="8"/>
  <c r="L2437" i="8"/>
  <c r="K2437" i="8"/>
  <c r="L2436" i="8"/>
  <c r="K2436" i="8"/>
  <c r="L2435" i="8"/>
  <c r="K2435" i="8"/>
  <c r="L2434" i="8"/>
  <c r="K2434" i="8"/>
  <c r="L2433" i="8"/>
  <c r="K2433" i="8"/>
  <c r="L2432" i="8"/>
  <c r="K2432" i="8"/>
  <c r="L2431" i="8"/>
  <c r="K2431" i="8"/>
  <c r="L2430" i="8"/>
  <c r="K2430" i="8"/>
  <c r="L2429" i="8"/>
  <c r="K2429" i="8"/>
  <c r="L2428" i="8"/>
  <c r="K2428" i="8"/>
  <c r="L2427" i="8"/>
  <c r="K2427" i="8"/>
  <c r="L2426" i="8"/>
  <c r="K2426" i="8"/>
  <c r="L2425" i="8"/>
  <c r="K2425" i="8"/>
  <c r="L2424" i="8"/>
  <c r="K2424" i="8"/>
  <c r="L2423" i="8"/>
  <c r="K2423" i="8"/>
  <c r="L2422" i="8"/>
  <c r="K2422" i="8"/>
  <c r="L2421" i="8"/>
  <c r="K2421" i="8"/>
  <c r="L2420" i="8"/>
  <c r="K2420" i="8"/>
  <c r="L2419" i="8"/>
  <c r="K2419" i="8"/>
  <c r="L2418" i="8"/>
  <c r="K2418" i="8"/>
  <c r="L2417" i="8"/>
  <c r="K2417" i="8"/>
  <c r="L2416" i="8"/>
  <c r="K2416" i="8"/>
  <c r="L2415" i="8"/>
  <c r="K2415" i="8"/>
  <c r="L2414" i="8"/>
  <c r="K2414" i="8"/>
  <c r="L2413" i="8"/>
  <c r="K2413" i="8"/>
  <c r="L2412" i="8"/>
  <c r="K2412" i="8"/>
  <c r="L2411" i="8"/>
  <c r="K2411" i="8"/>
  <c r="L2410" i="8"/>
  <c r="K2410" i="8"/>
  <c r="L2409" i="8"/>
  <c r="K2409" i="8"/>
  <c r="L2408" i="8"/>
  <c r="K2408" i="8"/>
  <c r="L2407" i="8"/>
  <c r="K2407" i="8"/>
  <c r="L2406" i="8"/>
  <c r="K2406" i="8"/>
  <c r="L2405" i="8"/>
  <c r="K2405" i="8"/>
  <c r="L2404" i="8"/>
  <c r="K2404" i="8"/>
  <c r="L2403" i="8"/>
  <c r="K2403" i="8"/>
  <c r="L2402" i="8"/>
  <c r="K2402" i="8"/>
  <c r="L2401" i="8"/>
  <c r="K2401" i="8"/>
  <c r="L2400" i="8"/>
  <c r="K2400" i="8"/>
  <c r="L2399" i="8"/>
  <c r="K2399" i="8"/>
  <c r="L2398" i="8"/>
  <c r="K2398" i="8"/>
  <c r="L2397" i="8"/>
  <c r="K2397" i="8"/>
  <c r="L2396" i="8"/>
  <c r="K2396" i="8"/>
  <c r="L2395" i="8"/>
  <c r="K2395" i="8"/>
  <c r="L2394" i="8"/>
  <c r="K2394" i="8"/>
  <c r="L2393" i="8"/>
  <c r="K2393" i="8"/>
  <c r="L2392" i="8"/>
  <c r="K2392" i="8"/>
  <c r="L2391" i="8"/>
  <c r="K2391" i="8"/>
  <c r="L2390" i="8"/>
  <c r="K2390" i="8"/>
  <c r="L2389" i="8"/>
  <c r="K2389" i="8"/>
  <c r="L2388" i="8"/>
  <c r="K2388" i="8"/>
  <c r="L2387" i="8"/>
  <c r="K2387" i="8"/>
  <c r="L2386" i="8"/>
  <c r="K2386" i="8"/>
  <c r="L2385" i="8"/>
  <c r="K2385" i="8"/>
  <c r="L2384" i="8"/>
  <c r="K2384" i="8"/>
  <c r="L2383" i="8"/>
  <c r="K2383" i="8"/>
  <c r="L2382" i="8"/>
  <c r="K2382" i="8"/>
  <c r="L2381" i="8"/>
  <c r="K2381" i="8"/>
  <c r="L2380" i="8"/>
  <c r="K2380" i="8"/>
  <c r="L2379" i="8"/>
  <c r="K2379" i="8"/>
  <c r="L2378" i="8"/>
  <c r="K2378" i="8"/>
  <c r="L2377" i="8"/>
  <c r="K2377" i="8"/>
  <c r="L2376" i="8"/>
  <c r="K2376" i="8"/>
  <c r="L2375" i="8"/>
  <c r="K2375" i="8"/>
  <c r="L2374" i="8"/>
  <c r="K2374" i="8"/>
  <c r="L2373" i="8"/>
  <c r="K2373" i="8"/>
  <c r="L2372" i="8"/>
  <c r="K2372" i="8"/>
  <c r="L2371" i="8"/>
  <c r="K2371" i="8"/>
  <c r="L2370" i="8"/>
  <c r="K2370" i="8"/>
  <c r="L2369" i="8"/>
  <c r="K2369" i="8"/>
  <c r="L2368" i="8"/>
  <c r="K2368" i="8"/>
  <c r="L2367" i="8"/>
  <c r="K2367" i="8"/>
  <c r="L2366" i="8"/>
  <c r="K2366" i="8"/>
  <c r="L2365" i="8"/>
  <c r="K2365" i="8"/>
  <c r="L2364" i="8"/>
  <c r="K2364" i="8"/>
  <c r="L2363" i="8"/>
  <c r="K2363" i="8"/>
  <c r="L2362" i="8"/>
  <c r="K2362" i="8"/>
  <c r="L2361" i="8"/>
  <c r="K2361" i="8"/>
  <c r="L2360" i="8"/>
  <c r="K2360" i="8"/>
  <c r="L2359" i="8"/>
  <c r="K2359" i="8"/>
  <c r="L2358" i="8"/>
  <c r="K2358" i="8"/>
  <c r="L2357" i="8"/>
  <c r="K2357" i="8"/>
  <c r="L2356" i="8"/>
  <c r="K2356" i="8"/>
  <c r="L2355" i="8"/>
  <c r="K2355" i="8"/>
  <c r="L2354" i="8"/>
  <c r="K2354" i="8"/>
  <c r="L2353" i="8"/>
  <c r="K2353" i="8"/>
  <c r="L2352" i="8"/>
  <c r="K2352" i="8"/>
  <c r="L2351" i="8"/>
  <c r="K2351" i="8"/>
  <c r="L2350" i="8"/>
  <c r="K2350" i="8"/>
  <c r="L2349" i="8"/>
  <c r="K2349" i="8"/>
  <c r="L2348" i="8"/>
  <c r="K2348" i="8"/>
  <c r="L2347" i="8"/>
  <c r="K2347" i="8"/>
  <c r="L2346" i="8"/>
  <c r="K2346" i="8"/>
  <c r="L2345" i="8"/>
  <c r="K2345" i="8"/>
  <c r="L2344" i="8"/>
  <c r="K2344" i="8"/>
  <c r="L2343" i="8"/>
  <c r="K2343" i="8"/>
  <c r="L2342" i="8"/>
  <c r="K2342" i="8"/>
  <c r="L2341" i="8"/>
  <c r="K2341" i="8"/>
  <c r="L2340" i="8"/>
  <c r="K2340" i="8"/>
  <c r="L2339" i="8"/>
  <c r="K2339" i="8"/>
  <c r="L2338" i="8"/>
  <c r="K2338" i="8"/>
  <c r="L2337" i="8"/>
  <c r="K2337" i="8"/>
  <c r="L2336" i="8"/>
  <c r="K2336" i="8"/>
  <c r="L2335" i="8"/>
  <c r="K2335" i="8"/>
  <c r="L2334" i="8"/>
  <c r="K2334" i="8"/>
  <c r="L2333" i="8"/>
  <c r="K2333" i="8"/>
  <c r="L2332" i="8"/>
  <c r="K2332" i="8"/>
  <c r="L2331" i="8"/>
  <c r="K2331" i="8"/>
  <c r="L2330" i="8"/>
  <c r="K2330" i="8"/>
  <c r="L2329" i="8"/>
  <c r="K2329" i="8"/>
  <c r="L2328" i="8"/>
  <c r="K2328" i="8"/>
  <c r="L2327" i="8"/>
  <c r="K2327" i="8"/>
  <c r="L2326" i="8"/>
  <c r="K2326" i="8"/>
  <c r="L2325" i="8"/>
  <c r="K2325" i="8"/>
  <c r="L2324" i="8"/>
  <c r="K2324" i="8"/>
  <c r="L2323" i="8"/>
  <c r="K2323" i="8"/>
  <c r="L2322" i="8"/>
  <c r="K2322" i="8"/>
  <c r="L2321" i="8"/>
  <c r="K2321" i="8"/>
  <c r="L2320" i="8"/>
  <c r="K2320" i="8"/>
  <c r="L2319" i="8"/>
  <c r="K2319" i="8"/>
  <c r="L2318" i="8"/>
  <c r="K2318" i="8"/>
  <c r="L2317" i="8"/>
  <c r="K2317" i="8"/>
  <c r="L2316" i="8"/>
  <c r="K2316" i="8"/>
  <c r="L2315" i="8"/>
  <c r="K2315" i="8"/>
  <c r="L2314" i="8"/>
  <c r="K2314" i="8"/>
  <c r="L2313" i="8"/>
  <c r="K2313" i="8"/>
  <c r="L2312" i="8"/>
  <c r="K2312" i="8"/>
  <c r="L2311" i="8"/>
  <c r="K2311" i="8"/>
  <c r="L2310" i="8"/>
  <c r="K2310" i="8"/>
  <c r="L2309" i="8"/>
  <c r="K2309" i="8"/>
  <c r="L2308" i="8"/>
  <c r="K2308" i="8"/>
  <c r="L2307" i="8"/>
  <c r="K2307" i="8"/>
  <c r="L2306" i="8"/>
  <c r="K2306" i="8"/>
  <c r="L2305" i="8"/>
  <c r="K2305" i="8"/>
  <c r="L2304" i="8"/>
  <c r="K2304" i="8"/>
  <c r="L2303" i="8"/>
  <c r="K2303" i="8"/>
  <c r="L2302" i="8"/>
  <c r="K2302" i="8"/>
  <c r="L2301" i="8"/>
  <c r="K2301" i="8"/>
  <c r="L2300" i="8"/>
  <c r="K2300" i="8"/>
  <c r="L2299" i="8"/>
  <c r="K2299" i="8"/>
  <c r="L2298" i="8"/>
  <c r="K2298" i="8"/>
  <c r="L2297" i="8"/>
  <c r="K2297" i="8"/>
  <c r="L2296" i="8"/>
  <c r="K2296" i="8"/>
  <c r="L2295" i="8"/>
  <c r="K2295" i="8"/>
  <c r="L2294" i="8"/>
  <c r="K2294" i="8"/>
  <c r="L2293" i="8"/>
  <c r="K2293" i="8"/>
  <c r="L2292" i="8"/>
  <c r="K2292" i="8"/>
  <c r="L2291" i="8"/>
  <c r="K2291" i="8"/>
  <c r="L2290" i="8"/>
  <c r="K2290" i="8"/>
  <c r="L2289" i="8"/>
  <c r="K2289" i="8"/>
  <c r="L2288" i="8"/>
  <c r="K2288" i="8"/>
  <c r="L2287" i="8"/>
  <c r="K2287" i="8"/>
  <c r="L2286" i="8"/>
  <c r="K2286" i="8"/>
  <c r="L2285" i="8"/>
  <c r="K2285" i="8"/>
  <c r="L2284" i="8"/>
  <c r="K2284" i="8"/>
  <c r="L2283" i="8"/>
  <c r="K2283" i="8"/>
  <c r="L2282" i="8"/>
  <c r="K2282" i="8"/>
  <c r="L2281" i="8"/>
  <c r="K2281" i="8"/>
  <c r="L2280" i="8"/>
  <c r="K2280" i="8"/>
  <c r="L2279" i="8"/>
  <c r="K2279" i="8"/>
  <c r="L2278" i="8"/>
  <c r="K2278" i="8"/>
  <c r="L2277" i="8"/>
  <c r="K2277" i="8"/>
  <c r="L2276" i="8"/>
  <c r="K2276" i="8"/>
  <c r="L2275" i="8"/>
  <c r="K2275" i="8"/>
  <c r="L2274" i="8"/>
  <c r="K2274" i="8"/>
  <c r="L2273" i="8"/>
  <c r="K2273" i="8"/>
  <c r="L2272" i="8"/>
  <c r="K2272" i="8"/>
  <c r="L2271" i="8"/>
  <c r="K2271" i="8"/>
  <c r="L2270" i="8"/>
  <c r="K2270" i="8"/>
  <c r="L2269" i="8"/>
  <c r="K2269" i="8"/>
  <c r="L2268" i="8"/>
  <c r="K2268" i="8"/>
  <c r="L2267" i="8"/>
  <c r="K2267" i="8"/>
  <c r="L2266" i="8"/>
  <c r="K2266" i="8"/>
  <c r="L2263" i="8"/>
  <c r="K2263" i="8"/>
  <c r="L2262" i="8"/>
  <c r="K2262" i="8"/>
  <c r="L2261" i="8"/>
  <c r="K2261" i="8"/>
  <c r="L2260" i="8"/>
  <c r="K2260" i="8"/>
  <c r="L2259" i="8"/>
  <c r="K2259" i="8"/>
  <c r="L2258" i="8"/>
  <c r="K2258" i="8"/>
  <c r="L2257" i="8"/>
  <c r="K2257" i="8"/>
  <c r="L2256" i="8"/>
  <c r="K2256" i="8"/>
  <c r="L2255" i="8"/>
  <c r="K2255" i="8"/>
  <c r="L2254" i="8"/>
  <c r="K2254" i="8"/>
  <c r="L2253" i="8"/>
  <c r="K2253" i="8"/>
  <c r="L2252" i="8"/>
  <c r="K2252" i="8"/>
  <c r="L2251" i="8"/>
  <c r="K2251" i="8"/>
  <c r="L2250" i="8"/>
  <c r="K2250" i="8"/>
  <c r="L2249" i="8"/>
  <c r="K2249" i="8"/>
  <c r="L2248" i="8"/>
  <c r="K2248" i="8"/>
  <c r="L2247" i="8"/>
  <c r="K2247" i="8"/>
  <c r="L2246" i="8"/>
  <c r="K2246" i="8"/>
  <c r="L2245" i="8"/>
  <c r="K2245" i="8"/>
  <c r="L2244" i="8"/>
  <c r="K2244" i="8"/>
  <c r="L2243" i="8"/>
  <c r="K2243" i="8"/>
  <c r="L2242" i="8"/>
  <c r="K2242" i="8"/>
  <c r="G2667" i="8"/>
  <c r="G2666" i="8"/>
  <c r="G2665" i="8"/>
  <c r="G2664" i="8"/>
  <c r="G2663" i="8"/>
  <c r="G2662" i="8"/>
  <c r="G2661" i="8"/>
  <c r="G2660" i="8"/>
  <c r="G2659" i="8"/>
  <c r="G2658" i="8"/>
  <c r="G2657" i="8"/>
  <c r="G2656" i="8"/>
  <c r="G2655" i="8"/>
  <c r="G2654" i="8"/>
  <c r="G2653" i="8"/>
  <c r="G2652" i="8"/>
  <c r="G2651" i="8"/>
  <c r="G2650" i="8"/>
  <c r="G2649" i="8"/>
  <c r="G2648" i="8"/>
  <c r="G2647" i="8"/>
  <c r="G2646" i="8"/>
  <c r="G2645" i="8"/>
  <c r="G2644" i="8"/>
  <c r="G2643" i="8"/>
  <c r="G2642" i="8"/>
  <c r="G2641" i="8"/>
  <c r="G2640" i="8"/>
  <c r="G2639" i="8"/>
  <c r="G2638" i="8"/>
  <c r="G2637" i="8"/>
  <c r="G2636" i="8"/>
  <c r="G2635" i="8"/>
  <c r="G2634" i="8"/>
  <c r="G2633" i="8"/>
  <c r="G2632" i="8"/>
  <c r="G2631" i="8"/>
  <c r="G2630" i="8"/>
  <c r="G2629" i="8"/>
  <c r="G2628" i="8"/>
  <c r="G2627" i="8"/>
  <c r="G2626" i="8"/>
  <c r="G2625" i="8"/>
  <c r="G2624" i="8"/>
  <c r="G2623" i="8"/>
  <c r="G2622" i="8"/>
  <c r="G2621" i="8"/>
  <c r="G2620" i="8"/>
  <c r="G2619" i="8"/>
  <c r="G2618" i="8"/>
  <c r="G2617" i="8"/>
  <c r="G2616" i="8"/>
  <c r="G2615" i="8"/>
  <c r="G2614" i="8"/>
  <c r="G2613" i="8"/>
  <c r="G2612" i="8"/>
  <c r="G2611" i="8"/>
  <c r="G2610" i="8"/>
  <c r="G2609" i="8"/>
  <c r="G2608" i="8"/>
  <c r="G2607" i="8"/>
  <c r="G2606" i="8"/>
  <c r="G2605" i="8"/>
  <c r="G2604" i="8"/>
  <c r="G2603" i="8"/>
  <c r="G2602" i="8"/>
  <c r="G2601" i="8"/>
  <c r="G2600" i="8"/>
  <c r="G2599" i="8"/>
  <c r="G2598" i="8"/>
  <c r="G2597" i="8"/>
  <c r="G2596" i="8"/>
  <c r="G2595" i="8"/>
  <c r="G2594" i="8"/>
  <c r="G2593" i="8"/>
  <c r="G2592" i="8"/>
  <c r="G2591" i="8"/>
  <c r="G2590" i="8"/>
  <c r="G2589" i="8"/>
  <c r="G2588" i="8"/>
  <c r="G2587" i="8"/>
  <c r="G2586" i="8"/>
  <c r="G2585" i="8"/>
  <c r="G2584" i="8"/>
  <c r="G2583" i="8"/>
  <c r="G2582" i="8"/>
  <c r="G2581" i="8"/>
  <c r="G2580" i="8"/>
  <c r="G2579" i="8"/>
  <c r="G2578" i="8"/>
  <c r="G2577" i="8"/>
  <c r="G2576" i="8"/>
  <c r="G2575" i="8"/>
  <c r="G2574" i="8"/>
  <c r="G2573" i="8"/>
  <c r="G2572" i="8"/>
  <c r="G2571" i="8"/>
  <c r="G2570" i="8"/>
  <c r="G2569" i="8"/>
  <c r="G2568" i="8"/>
  <c r="G2567" i="8"/>
  <c r="G2566" i="8"/>
  <c r="G2565" i="8"/>
  <c r="G2564" i="8"/>
  <c r="G2563" i="8"/>
  <c r="G2562" i="8"/>
  <c r="G2561" i="8"/>
  <c r="G2560" i="8"/>
  <c r="G2559" i="8"/>
  <c r="G2558" i="8"/>
  <c r="G2557" i="8"/>
  <c r="G2556" i="8"/>
  <c r="G2555" i="8"/>
  <c r="G2554" i="8"/>
  <c r="G2553" i="8"/>
  <c r="G2552" i="8"/>
  <c r="G2551" i="8"/>
  <c r="G2550" i="8"/>
  <c r="G2549" i="8"/>
  <c r="G2548" i="8"/>
  <c r="G2547" i="8"/>
  <c r="G2546" i="8"/>
  <c r="G2545" i="8"/>
  <c r="G2544" i="8"/>
  <c r="G2543" i="8"/>
  <c r="G2542" i="8"/>
  <c r="G2541" i="8"/>
  <c r="G2540" i="8"/>
  <c r="G2539" i="8"/>
  <c r="G2538" i="8"/>
  <c r="G2537" i="8"/>
  <c r="G2536" i="8"/>
  <c r="G2535" i="8"/>
  <c r="G2534" i="8"/>
  <c r="G2533" i="8"/>
  <c r="G2532" i="8"/>
  <c r="G2531" i="8"/>
  <c r="G2530" i="8"/>
  <c r="G2529" i="8"/>
  <c r="G2528" i="8"/>
  <c r="G2527" i="8"/>
  <c r="G2526" i="8"/>
  <c r="G2525" i="8"/>
  <c r="G2524" i="8"/>
  <c r="G2523" i="8"/>
  <c r="G2522" i="8"/>
  <c r="G2521" i="8"/>
  <c r="G2520" i="8"/>
  <c r="G2519" i="8"/>
  <c r="G2518" i="8"/>
  <c r="G2517" i="8"/>
  <c r="G2516" i="8"/>
  <c r="G2515" i="8"/>
  <c r="G2514" i="8"/>
  <c r="G2513" i="8"/>
  <c r="G2512" i="8"/>
  <c r="G2511" i="8"/>
  <c r="G2510" i="8"/>
  <c r="G2509" i="8"/>
  <c r="G2508" i="8"/>
  <c r="G2507" i="8"/>
  <c r="G2506" i="8"/>
  <c r="G2505" i="8"/>
  <c r="G2504" i="8"/>
  <c r="G2503" i="8"/>
  <c r="G2502" i="8"/>
  <c r="G2501" i="8"/>
  <c r="G2500" i="8"/>
  <c r="G2499" i="8"/>
  <c r="G2498" i="8"/>
  <c r="G2497" i="8"/>
  <c r="G2496" i="8"/>
  <c r="G2495" i="8"/>
  <c r="G2494" i="8"/>
  <c r="G2493" i="8"/>
  <c r="G2492" i="8"/>
  <c r="G2491" i="8"/>
  <c r="G2490" i="8"/>
  <c r="G2489" i="8"/>
  <c r="G2488" i="8"/>
  <c r="G2487" i="8"/>
  <c r="G2486" i="8"/>
  <c r="G2485" i="8"/>
  <c r="G2484" i="8"/>
  <c r="G2483" i="8"/>
  <c r="G2482" i="8"/>
  <c r="G2481" i="8"/>
  <c r="G2480" i="8"/>
  <c r="G2479" i="8"/>
  <c r="G2478" i="8"/>
  <c r="G2477" i="8"/>
  <c r="G2476" i="8"/>
  <c r="G2475" i="8"/>
  <c r="G2474" i="8"/>
  <c r="G2473" i="8"/>
  <c r="G2472" i="8"/>
  <c r="G2471" i="8"/>
  <c r="G2470" i="8"/>
  <c r="G2469" i="8"/>
  <c r="G2468" i="8"/>
  <c r="G2467" i="8"/>
  <c r="G2466" i="8"/>
  <c r="G2465" i="8"/>
  <c r="G2464" i="8"/>
  <c r="G2463" i="8"/>
  <c r="G2462" i="8"/>
  <c r="G2461" i="8"/>
  <c r="G2460" i="8"/>
  <c r="G2459" i="8"/>
  <c r="G2458" i="8"/>
  <c r="G2457" i="8"/>
  <c r="G2456" i="8"/>
  <c r="G2455" i="8"/>
  <c r="G2454" i="8"/>
  <c r="G2453" i="8"/>
  <c r="G2452" i="8"/>
  <c r="G2451" i="8"/>
  <c r="G2450" i="8"/>
  <c r="G2449" i="8"/>
  <c r="G2448" i="8"/>
  <c r="G2447" i="8"/>
  <c r="G2446" i="8"/>
  <c r="G2445" i="8"/>
  <c r="G2444" i="8"/>
  <c r="G2443" i="8"/>
  <c r="G2442" i="8"/>
  <c r="G2441" i="8"/>
  <c r="G2440" i="8"/>
  <c r="G2439" i="8"/>
  <c r="G2438" i="8"/>
  <c r="G2437" i="8"/>
  <c r="G2436" i="8"/>
  <c r="G2435" i="8"/>
  <c r="G2434" i="8"/>
  <c r="G2433" i="8"/>
  <c r="G2432" i="8"/>
  <c r="G2431" i="8"/>
  <c r="G2430" i="8"/>
  <c r="G2429" i="8"/>
  <c r="G2428" i="8"/>
  <c r="G2427" i="8"/>
  <c r="G2426" i="8"/>
  <c r="G2425" i="8"/>
  <c r="G2424" i="8"/>
  <c r="G2423" i="8"/>
  <c r="G2422" i="8"/>
  <c r="G2421" i="8"/>
  <c r="G2420" i="8"/>
  <c r="G2419" i="8"/>
  <c r="G2418" i="8"/>
  <c r="G2417" i="8"/>
  <c r="G2416" i="8"/>
  <c r="G2415" i="8"/>
  <c r="G2414" i="8"/>
  <c r="G2413" i="8"/>
  <c r="G2412" i="8"/>
  <c r="G2411" i="8"/>
  <c r="G2410" i="8"/>
  <c r="G2409" i="8"/>
  <c r="G2408" i="8"/>
  <c r="G2407" i="8"/>
  <c r="G2406" i="8"/>
  <c r="G2405" i="8"/>
  <c r="G2404" i="8"/>
  <c r="G2403" i="8"/>
  <c r="G2402" i="8"/>
  <c r="G2401" i="8"/>
  <c r="G2400" i="8"/>
  <c r="G2399" i="8"/>
  <c r="G2398" i="8"/>
  <c r="G2397" i="8"/>
  <c r="G2396" i="8"/>
  <c r="G2395" i="8"/>
  <c r="G2394" i="8"/>
  <c r="G2393" i="8"/>
  <c r="G2392" i="8"/>
  <c r="G2391" i="8"/>
  <c r="G2390" i="8"/>
  <c r="G2389" i="8"/>
  <c r="G2388" i="8"/>
  <c r="G2387" i="8"/>
  <c r="G2386" i="8"/>
  <c r="G2385" i="8"/>
  <c r="G2384" i="8"/>
  <c r="G2383" i="8"/>
  <c r="G2382" i="8"/>
  <c r="G2381" i="8"/>
  <c r="G2380" i="8"/>
  <c r="G2379" i="8"/>
  <c r="G2378" i="8"/>
  <c r="G2377" i="8"/>
  <c r="G2376" i="8"/>
  <c r="G2375" i="8"/>
  <c r="G2374" i="8"/>
  <c r="G2373" i="8"/>
  <c r="G2372" i="8"/>
  <c r="G2371" i="8"/>
  <c r="G2370" i="8"/>
  <c r="G2369" i="8"/>
  <c r="G2368" i="8"/>
  <c r="G2367" i="8"/>
  <c r="G2366" i="8"/>
  <c r="G2365" i="8"/>
  <c r="G2364" i="8"/>
  <c r="G2363" i="8"/>
  <c r="G2362" i="8"/>
  <c r="G2361" i="8"/>
  <c r="G2360" i="8"/>
  <c r="G2359" i="8"/>
  <c r="G2358" i="8"/>
  <c r="G2357" i="8"/>
  <c r="G2356" i="8"/>
  <c r="G2355" i="8"/>
  <c r="G2354" i="8"/>
  <c r="G2353" i="8"/>
  <c r="G2352" i="8"/>
  <c r="G2351" i="8"/>
  <c r="G2350" i="8"/>
  <c r="G2349" i="8"/>
  <c r="G2348" i="8"/>
  <c r="G2347" i="8"/>
  <c r="G2346" i="8"/>
  <c r="G2345" i="8"/>
  <c r="G2344" i="8"/>
  <c r="G2343" i="8"/>
  <c r="G2342" i="8"/>
  <c r="G2341" i="8"/>
  <c r="G2340" i="8"/>
  <c r="G2339" i="8"/>
  <c r="G2338" i="8"/>
  <c r="G2337" i="8"/>
  <c r="G2336" i="8"/>
  <c r="G2335" i="8"/>
  <c r="G2334" i="8"/>
  <c r="G2333" i="8"/>
  <c r="G2332" i="8"/>
  <c r="G2331" i="8"/>
  <c r="G2330" i="8"/>
  <c r="G2329" i="8"/>
  <c r="G2328" i="8"/>
  <c r="G2327" i="8"/>
  <c r="G2326" i="8"/>
  <c r="G2325" i="8"/>
  <c r="G2324" i="8"/>
  <c r="G2323" i="8"/>
  <c r="G2322" i="8"/>
  <c r="G2321" i="8"/>
  <c r="G2320" i="8"/>
  <c r="G2319" i="8"/>
  <c r="G2318" i="8"/>
  <c r="G2317" i="8"/>
  <c r="G2316" i="8"/>
  <c r="G2315" i="8"/>
  <c r="G2314" i="8"/>
  <c r="G2313" i="8"/>
  <c r="G2312" i="8"/>
  <c r="G2311" i="8"/>
  <c r="G2310" i="8"/>
  <c r="G2309" i="8"/>
  <c r="G2308" i="8"/>
  <c r="G2307" i="8"/>
  <c r="G2306" i="8"/>
  <c r="G2305" i="8"/>
  <c r="G2304" i="8"/>
  <c r="G2303" i="8"/>
  <c r="G2302" i="8"/>
  <c r="G2301" i="8"/>
  <c r="G2300" i="8"/>
  <c r="G2299" i="8"/>
  <c r="G2298" i="8"/>
  <c r="G2297" i="8"/>
  <c r="G2296" i="8"/>
  <c r="G2295" i="8"/>
  <c r="G2294" i="8"/>
  <c r="G2293" i="8"/>
  <c r="G2292" i="8"/>
  <c r="G2291" i="8"/>
  <c r="G2290" i="8"/>
  <c r="G2289" i="8"/>
  <c r="G2288" i="8"/>
  <c r="G2287" i="8"/>
  <c r="G2286" i="8"/>
  <c r="G2285" i="8"/>
  <c r="G2284" i="8"/>
  <c r="G2283" i="8"/>
  <c r="G2282" i="8"/>
  <c r="G2281" i="8"/>
  <c r="G2280" i="8"/>
  <c r="G2279" i="8"/>
  <c r="G2278" i="8"/>
  <c r="G2277" i="8"/>
  <c r="G2276" i="8"/>
  <c r="G2275" i="8"/>
  <c r="G2274" i="8"/>
  <c r="G2273" i="8"/>
  <c r="G2272" i="8"/>
  <c r="G2271" i="8"/>
  <c r="G2270" i="8"/>
  <c r="G2269" i="8"/>
  <c r="G2268" i="8"/>
  <c r="G2267" i="8"/>
  <c r="G2266" i="8"/>
  <c r="Y303" i="17"/>
  <c r="X303" i="17"/>
  <c r="W303" i="17"/>
  <c r="V303" i="17"/>
  <c r="U303" i="17"/>
  <c r="T303" i="17"/>
  <c r="S303" i="17"/>
  <c r="R303" i="17"/>
  <c r="Q303" i="17"/>
  <c r="P303" i="17"/>
  <c r="O303" i="17"/>
  <c r="N303" i="17"/>
  <c r="M303" i="17"/>
  <c r="J303" i="17"/>
  <c r="I303" i="17"/>
  <c r="H303" i="17"/>
  <c r="E303" i="17"/>
  <c r="F303" i="17" s="1"/>
  <c r="Y283" i="17"/>
  <c r="X283" i="17"/>
  <c r="W283" i="17"/>
  <c r="V283" i="17"/>
  <c r="U283" i="17"/>
  <c r="T283" i="17"/>
  <c r="S283" i="17"/>
  <c r="R283" i="17"/>
  <c r="Q283" i="17"/>
  <c r="P283" i="17"/>
  <c r="O283" i="17"/>
  <c r="N283" i="17"/>
  <c r="M283" i="17"/>
  <c r="J283" i="17"/>
  <c r="I283" i="17"/>
  <c r="H283" i="17"/>
  <c r="E283" i="17"/>
  <c r="F283" i="17" s="1"/>
  <c r="Y263" i="17"/>
  <c r="X263" i="17"/>
  <c r="W263" i="17"/>
  <c r="V263" i="17"/>
  <c r="U263" i="17"/>
  <c r="T263" i="17"/>
  <c r="S263" i="17"/>
  <c r="R263" i="17"/>
  <c r="Q263" i="17"/>
  <c r="P263" i="17"/>
  <c r="O263" i="17"/>
  <c r="N263" i="17"/>
  <c r="M263" i="17"/>
  <c r="J263" i="17"/>
  <c r="I263" i="17"/>
  <c r="H263" i="17"/>
  <c r="E263" i="17"/>
  <c r="F263" i="17" s="1"/>
  <c r="Y243" i="17"/>
  <c r="X243" i="17"/>
  <c r="W243" i="17"/>
  <c r="V243" i="17"/>
  <c r="U243" i="17"/>
  <c r="T243" i="17"/>
  <c r="S243" i="17"/>
  <c r="R243" i="17"/>
  <c r="Q243" i="17"/>
  <c r="P243" i="17"/>
  <c r="O243" i="17"/>
  <c r="N243" i="17"/>
  <c r="M243" i="17"/>
  <c r="J243" i="17"/>
  <c r="I243" i="17"/>
  <c r="H243" i="17"/>
  <c r="E243" i="17"/>
  <c r="F243" i="17" s="1"/>
  <c r="Y223" i="17"/>
  <c r="X223" i="17"/>
  <c r="W223" i="17"/>
  <c r="V223" i="17"/>
  <c r="U223" i="17"/>
  <c r="T223" i="17"/>
  <c r="S223" i="17"/>
  <c r="R223" i="17"/>
  <c r="Q223" i="17"/>
  <c r="P223" i="17"/>
  <c r="O223" i="17"/>
  <c r="N223" i="17"/>
  <c r="M223" i="17"/>
  <c r="J223" i="17"/>
  <c r="I223" i="17"/>
  <c r="H223" i="17"/>
  <c r="E223" i="17"/>
  <c r="F223" i="17" s="1"/>
  <c r="E161" i="17"/>
  <c r="F161" i="17" s="1"/>
  <c r="E160" i="17"/>
  <c r="F160" i="17" s="1"/>
  <c r="E159" i="17"/>
  <c r="F159" i="17" s="1"/>
  <c r="E158" i="17"/>
  <c r="F158" i="17" s="1"/>
  <c r="E157" i="17"/>
  <c r="F157" i="17" s="1"/>
  <c r="E156" i="17"/>
  <c r="F156" i="17" s="1"/>
  <c r="E155" i="17"/>
  <c r="F155" i="17" s="1"/>
  <c r="E154" i="17"/>
  <c r="F154" i="17" s="1"/>
  <c r="E153" i="17"/>
  <c r="F153" i="17" s="1"/>
  <c r="E152" i="17"/>
  <c r="F152" i="17" s="1"/>
  <c r="E151" i="17"/>
  <c r="F151" i="17" s="1"/>
  <c r="E150" i="17"/>
  <c r="F150" i="17" s="1"/>
  <c r="E149" i="17"/>
  <c r="F149" i="17" s="1"/>
  <c r="E148" i="17"/>
  <c r="F148" i="17" s="1"/>
  <c r="E147" i="17"/>
  <c r="F147" i="17" s="1"/>
  <c r="E146" i="17"/>
  <c r="F146" i="17" s="1"/>
  <c r="E145" i="17"/>
  <c r="F145" i="17" s="1"/>
  <c r="E144" i="17"/>
  <c r="F144" i="17" s="1"/>
  <c r="E143" i="17"/>
  <c r="F143" i="17" s="1"/>
  <c r="E142" i="17"/>
  <c r="F142" i="17" s="1"/>
  <c r="Y141" i="17"/>
  <c r="X141" i="17"/>
  <c r="W141" i="17"/>
  <c r="V141" i="17"/>
  <c r="U141" i="17"/>
  <c r="T141" i="17"/>
  <c r="S141" i="17"/>
  <c r="R141" i="17"/>
  <c r="Q141" i="17"/>
  <c r="P141" i="17"/>
  <c r="O141" i="17"/>
  <c r="N141" i="17"/>
  <c r="M141" i="17"/>
  <c r="J141" i="17"/>
  <c r="I141" i="17"/>
  <c r="H141" i="17"/>
  <c r="E141" i="17"/>
  <c r="F141" i="17" s="1"/>
  <c r="Y140" i="17"/>
  <c r="X140" i="17"/>
  <c r="W140" i="17"/>
  <c r="V140" i="17"/>
  <c r="U140" i="17"/>
  <c r="T140" i="17"/>
  <c r="S140" i="17"/>
  <c r="R140" i="17"/>
  <c r="Q140" i="17"/>
  <c r="P140" i="17"/>
  <c r="O140" i="17"/>
  <c r="N140" i="17"/>
  <c r="M140" i="17"/>
  <c r="J140" i="17"/>
  <c r="I140" i="17"/>
  <c r="H140" i="17"/>
  <c r="E140" i="17"/>
  <c r="F140" i="17" s="1"/>
  <c r="Y139" i="17"/>
  <c r="X139" i="17"/>
  <c r="W139" i="17"/>
  <c r="V139" i="17"/>
  <c r="U139" i="17"/>
  <c r="T139" i="17"/>
  <c r="S139" i="17"/>
  <c r="R139" i="17"/>
  <c r="Q139" i="17"/>
  <c r="P139" i="17"/>
  <c r="O139" i="17"/>
  <c r="N139" i="17"/>
  <c r="M139" i="17"/>
  <c r="J139" i="17"/>
  <c r="I139" i="17"/>
  <c r="H139" i="17"/>
  <c r="E139" i="17"/>
  <c r="F139" i="17" s="1"/>
  <c r="Y138" i="17"/>
  <c r="X138" i="17"/>
  <c r="W138" i="17"/>
  <c r="V138" i="17"/>
  <c r="U138" i="17"/>
  <c r="T138" i="17"/>
  <c r="S138" i="17"/>
  <c r="R138" i="17"/>
  <c r="Q138" i="17"/>
  <c r="P138" i="17"/>
  <c r="O138" i="17"/>
  <c r="N138" i="17"/>
  <c r="M138" i="17"/>
  <c r="J138" i="17"/>
  <c r="I138" i="17"/>
  <c r="H138" i="17"/>
  <c r="E138" i="17"/>
  <c r="F138" i="17" s="1"/>
  <c r="Y137" i="17"/>
  <c r="X137" i="17"/>
  <c r="W137" i="17"/>
  <c r="V137" i="17"/>
  <c r="U137" i="17"/>
  <c r="T137" i="17"/>
  <c r="S137" i="17"/>
  <c r="R137" i="17"/>
  <c r="Q137" i="17"/>
  <c r="P137" i="17"/>
  <c r="O137" i="17"/>
  <c r="N137" i="17"/>
  <c r="M137" i="17"/>
  <c r="J137" i="17"/>
  <c r="I137" i="17"/>
  <c r="H137" i="17"/>
  <c r="E137" i="17"/>
  <c r="F137" i="17" s="1"/>
  <c r="Y136" i="17"/>
  <c r="X136" i="17"/>
  <c r="W136" i="17"/>
  <c r="V136" i="17"/>
  <c r="U136" i="17"/>
  <c r="T136" i="17"/>
  <c r="S136" i="17"/>
  <c r="R136" i="17"/>
  <c r="Q136" i="17"/>
  <c r="P136" i="17"/>
  <c r="O136" i="17"/>
  <c r="N136" i="17"/>
  <c r="M136" i="17"/>
  <c r="J136" i="17"/>
  <c r="I136" i="17"/>
  <c r="H136" i="17"/>
  <c r="E136" i="17"/>
  <c r="F136" i="17" s="1"/>
  <c r="Y135" i="17"/>
  <c r="X135" i="17"/>
  <c r="W135" i="17"/>
  <c r="V135" i="17"/>
  <c r="U135" i="17"/>
  <c r="T135" i="17"/>
  <c r="S135" i="17"/>
  <c r="R135" i="17"/>
  <c r="Q135" i="17"/>
  <c r="P135" i="17"/>
  <c r="O135" i="17"/>
  <c r="N135" i="17"/>
  <c r="M135" i="17"/>
  <c r="J135" i="17"/>
  <c r="I135" i="17"/>
  <c r="H135" i="17"/>
  <c r="E135" i="17"/>
  <c r="F135" i="17" s="1"/>
  <c r="Y134" i="17"/>
  <c r="X134" i="17"/>
  <c r="W134" i="17"/>
  <c r="V134" i="17"/>
  <c r="U134" i="17"/>
  <c r="T134" i="17"/>
  <c r="S134" i="17"/>
  <c r="R134" i="17"/>
  <c r="Q134" i="17"/>
  <c r="P134" i="17"/>
  <c r="O134" i="17"/>
  <c r="N134" i="17"/>
  <c r="M134" i="17"/>
  <c r="J134" i="17"/>
  <c r="I134" i="17"/>
  <c r="H134" i="17"/>
  <c r="E134" i="17"/>
  <c r="F134" i="17" s="1"/>
  <c r="Y133" i="17"/>
  <c r="X133" i="17"/>
  <c r="W133" i="17"/>
  <c r="V133" i="17"/>
  <c r="U133" i="17"/>
  <c r="T133" i="17"/>
  <c r="S133" i="17"/>
  <c r="R133" i="17"/>
  <c r="Q133" i="17"/>
  <c r="P133" i="17"/>
  <c r="O133" i="17"/>
  <c r="N133" i="17"/>
  <c r="M133" i="17"/>
  <c r="J133" i="17"/>
  <c r="I133" i="17"/>
  <c r="H133" i="17"/>
  <c r="E133" i="17"/>
  <c r="F133" i="17" s="1"/>
  <c r="Y132" i="17"/>
  <c r="X132" i="17"/>
  <c r="W132" i="17"/>
  <c r="V132" i="17"/>
  <c r="U132" i="17"/>
  <c r="T132" i="17"/>
  <c r="S132" i="17"/>
  <c r="R132" i="17"/>
  <c r="Q132" i="17"/>
  <c r="P132" i="17"/>
  <c r="O132" i="17"/>
  <c r="N132" i="17"/>
  <c r="M132" i="17"/>
  <c r="J132" i="17"/>
  <c r="I132" i="17"/>
  <c r="H132" i="17"/>
  <c r="E132" i="17"/>
  <c r="F132" i="17" s="1"/>
  <c r="Y131" i="17"/>
  <c r="X131" i="17"/>
  <c r="W131" i="17"/>
  <c r="V131" i="17"/>
  <c r="U131" i="17"/>
  <c r="T131" i="17"/>
  <c r="S131" i="17"/>
  <c r="R131" i="17"/>
  <c r="Q131" i="17"/>
  <c r="P131" i="17"/>
  <c r="O131" i="17"/>
  <c r="N131" i="17"/>
  <c r="M131" i="17"/>
  <c r="J131" i="17"/>
  <c r="I131" i="17"/>
  <c r="H131" i="17"/>
  <c r="E131" i="17"/>
  <c r="F131" i="17" s="1"/>
  <c r="Y130" i="17"/>
  <c r="X130" i="17"/>
  <c r="W130" i="17"/>
  <c r="V130" i="17"/>
  <c r="U130" i="17"/>
  <c r="T130" i="17"/>
  <c r="S130" i="17"/>
  <c r="R130" i="17"/>
  <c r="Q130" i="17"/>
  <c r="P130" i="17"/>
  <c r="O130" i="17"/>
  <c r="N130" i="17"/>
  <c r="M130" i="17"/>
  <c r="J130" i="17"/>
  <c r="I130" i="17"/>
  <c r="H130" i="17"/>
  <c r="E130" i="17"/>
  <c r="F130" i="17" s="1"/>
  <c r="Y129" i="17"/>
  <c r="X129" i="17"/>
  <c r="W129" i="17"/>
  <c r="V129" i="17"/>
  <c r="U129" i="17"/>
  <c r="T129" i="17"/>
  <c r="S129" i="17"/>
  <c r="R129" i="17"/>
  <c r="Q129" i="17"/>
  <c r="P129" i="17"/>
  <c r="O129" i="17"/>
  <c r="N129" i="17"/>
  <c r="M129" i="17"/>
  <c r="J129" i="17"/>
  <c r="I129" i="17"/>
  <c r="H129" i="17"/>
  <c r="E129" i="17"/>
  <c r="F129" i="17" s="1"/>
  <c r="Y128" i="17"/>
  <c r="X128" i="17"/>
  <c r="W128" i="17"/>
  <c r="V128" i="17"/>
  <c r="U128" i="17"/>
  <c r="T128" i="17"/>
  <c r="S128" i="17"/>
  <c r="R128" i="17"/>
  <c r="Q128" i="17"/>
  <c r="P128" i="17"/>
  <c r="O128" i="17"/>
  <c r="N128" i="17"/>
  <c r="M128" i="17"/>
  <c r="J128" i="17"/>
  <c r="I128" i="17"/>
  <c r="H128" i="17"/>
  <c r="E128" i="17"/>
  <c r="F128" i="17" s="1"/>
  <c r="Y127" i="17"/>
  <c r="X127" i="17"/>
  <c r="W127" i="17"/>
  <c r="V127" i="17"/>
  <c r="U127" i="17"/>
  <c r="T127" i="17"/>
  <c r="S127" i="17"/>
  <c r="R127" i="17"/>
  <c r="Q127" i="17"/>
  <c r="P127" i="17"/>
  <c r="O127" i="17"/>
  <c r="N127" i="17"/>
  <c r="M127" i="17"/>
  <c r="J127" i="17"/>
  <c r="I127" i="17"/>
  <c r="H127" i="17"/>
  <c r="E127" i="17"/>
  <c r="F127" i="17" s="1"/>
  <c r="Y126" i="17"/>
  <c r="X126" i="17"/>
  <c r="W126" i="17"/>
  <c r="V126" i="17"/>
  <c r="U126" i="17"/>
  <c r="T126" i="17"/>
  <c r="S126" i="17"/>
  <c r="R126" i="17"/>
  <c r="Q126" i="17"/>
  <c r="P126" i="17"/>
  <c r="O126" i="17"/>
  <c r="N126" i="17"/>
  <c r="M126" i="17"/>
  <c r="J126" i="17"/>
  <c r="I126" i="17"/>
  <c r="H126" i="17"/>
  <c r="E126" i="17"/>
  <c r="F126" i="17" s="1"/>
  <c r="Y125" i="17"/>
  <c r="X125" i="17"/>
  <c r="W125" i="17"/>
  <c r="V125" i="17"/>
  <c r="U125" i="17"/>
  <c r="T125" i="17"/>
  <c r="S125" i="17"/>
  <c r="R125" i="17"/>
  <c r="Q125" i="17"/>
  <c r="P125" i="17"/>
  <c r="O125" i="17"/>
  <c r="N125" i="17"/>
  <c r="M125" i="17"/>
  <c r="J125" i="17"/>
  <c r="I125" i="17"/>
  <c r="H125" i="17"/>
  <c r="E125" i="17"/>
  <c r="F125" i="17" s="1"/>
  <c r="Y124" i="17"/>
  <c r="X124" i="17"/>
  <c r="W124" i="17"/>
  <c r="V124" i="17"/>
  <c r="U124" i="17"/>
  <c r="T124" i="17"/>
  <c r="S124" i="17"/>
  <c r="R124" i="17"/>
  <c r="Q124" i="17"/>
  <c r="P124" i="17"/>
  <c r="O124" i="17"/>
  <c r="N124" i="17"/>
  <c r="M124" i="17"/>
  <c r="J124" i="17"/>
  <c r="I124" i="17"/>
  <c r="H124" i="17"/>
  <c r="E124" i="17"/>
  <c r="F124" i="17" s="1"/>
  <c r="Y123" i="17"/>
  <c r="X123" i="17"/>
  <c r="W123" i="17"/>
  <c r="V123" i="17"/>
  <c r="U123" i="17"/>
  <c r="T123" i="17"/>
  <c r="S123" i="17"/>
  <c r="R123" i="17"/>
  <c r="Q123" i="17"/>
  <c r="P123" i="17"/>
  <c r="O123" i="17"/>
  <c r="N123" i="17"/>
  <c r="M123" i="17"/>
  <c r="J123" i="17"/>
  <c r="I123" i="17"/>
  <c r="H123" i="17"/>
  <c r="E123" i="17"/>
  <c r="F123" i="17" s="1"/>
  <c r="Y122" i="17"/>
  <c r="X122" i="17"/>
  <c r="W122" i="17"/>
  <c r="V122" i="17"/>
  <c r="U122" i="17"/>
  <c r="T122" i="17"/>
  <c r="S122" i="17"/>
  <c r="R122" i="17"/>
  <c r="Q122" i="17"/>
  <c r="P122" i="17"/>
  <c r="O122" i="17"/>
  <c r="N122" i="17"/>
  <c r="M122" i="17"/>
  <c r="J122" i="17"/>
  <c r="I122" i="17"/>
  <c r="H122" i="17"/>
  <c r="Y121" i="17"/>
  <c r="X121" i="17"/>
  <c r="W121" i="17"/>
  <c r="V121" i="17"/>
  <c r="U121" i="17"/>
  <c r="T121" i="17"/>
  <c r="S121" i="17"/>
  <c r="R121" i="17"/>
  <c r="Q121" i="17"/>
  <c r="P121" i="17"/>
  <c r="O121" i="17"/>
  <c r="N121" i="17"/>
  <c r="M121" i="17"/>
  <c r="J121" i="17"/>
  <c r="I121" i="17"/>
  <c r="H121" i="17"/>
  <c r="Y120" i="17"/>
  <c r="X120" i="17"/>
  <c r="W120" i="17"/>
  <c r="V120" i="17"/>
  <c r="U120" i="17"/>
  <c r="T120" i="17"/>
  <c r="S120" i="17"/>
  <c r="R120" i="17"/>
  <c r="Q120" i="17"/>
  <c r="P120" i="17"/>
  <c r="O120" i="17"/>
  <c r="N120" i="17"/>
  <c r="M120" i="17"/>
  <c r="J120" i="17"/>
  <c r="I120" i="17"/>
  <c r="H120" i="17"/>
  <c r="Y119" i="17"/>
  <c r="X119" i="17"/>
  <c r="W119" i="17"/>
  <c r="V119" i="17"/>
  <c r="U119" i="17"/>
  <c r="T119" i="17"/>
  <c r="S119" i="17"/>
  <c r="R119" i="17"/>
  <c r="Q119" i="17"/>
  <c r="P119" i="17"/>
  <c r="O119" i="17"/>
  <c r="N119" i="17"/>
  <c r="M119" i="17"/>
  <c r="J119" i="17"/>
  <c r="I119" i="17"/>
  <c r="H119" i="17"/>
  <c r="Y118" i="17"/>
  <c r="X118" i="17"/>
  <c r="W118" i="17"/>
  <c r="V118" i="17"/>
  <c r="U118" i="17"/>
  <c r="T118" i="17"/>
  <c r="S118" i="17"/>
  <c r="R118" i="17"/>
  <c r="Q118" i="17"/>
  <c r="P118" i="17"/>
  <c r="O118" i="17"/>
  <c r="N118" i="17"/>
  <c r="M118" i="17"/>
  <c r="J118" i="17"/>
  <c r="I118" i="17"/>
  <c r="H118" i="17"/>
  <c r="Y117" i="17"/>
  <c r="X117" i="17"/>
  <c r="W117" i="17"/>
  <c r="V117" i="17"/>
  <c r="U117" i="17"/>
  <c r="T117" i="17"/>
  <c r="S117" i="17"/>
  <c r="R117" i="17"/>
  <c r="Q117" i="17"/>
  <c r="P117" i="17"/>
  <c r="O117" i="17"/>
  <c r="N117" i="17"/>
  <c r="M117" i="17"/>
  <c r="J117" i="17"/>
  <c r="I117" i="17"/>
  <c r="H117" i="17"/>
  <c r="Y116" i="17"/>
  <c r="X116" i="17"/>
  <c r="W116" i="17"/>
  <c r="V116" i="17"/>
  <c r="U116" i="17"/>
  <c r="T116" i="17"/>
  <c r="S116" i="17"/>
  <c r="R116" i="17"/>
  <c r="Q116" i="17"/>
  <c r="P116" i="17"/>
  <c r="O116" i="17"/>
  <c r="N116" i="17"/>
  <c r="M116" i="17"/>
  <c r="J116" i="17"/>
  <c r="I116" i="17"/>
  <c r="H116" i="17"/>
  <c r="Y115" i="17"/>
  <c r="X115" i="17"/>
  <c r="W115" i="17"/>
  <c r="V115" i="17"/>
  <c r="U115" i="17"/>
  <c r="T115" i="17"/>
  <c r="S115" i="17"/>
  <c r="R115" i="17"/>
  <c r="Q115" i="17"/>
  <c r="P115" i="17"/>
  <c r="O115" i="17"/>
  <c r="N115" i="17"/>
  <c r="M115" i="17"/>
  <c r="J115" i="17"/>
  <c r="I115" i="17"/>
  <c r="H115" i="17"/>
  <c r="Y114" i="17"/>
  <c r="X114" i="17"/>
  <c r="W114" i="17"/>
  <c r="V114" i="17"/>
  <c r="U114" i="17"/>
  <c r="T114" i="17"/>
  <c r="S114" i="17"/>
  <c r="R114" i="17"/>
  <c r="Q114" i="17"/>
  <c r="P114" i="17"/>
  <c r="O114" i="17"/>
  <c r="N114" i="17"/>
  <c r="M114" i="17"/>
  <c r="J114" i="17"/>
  <c r="I114" i="17"/>
  <c r="H114" i="17"/>
  <c r="Y113" i="17"/>
  <c r="X113" i="17"/>
  <c r="W113" i="17"/>
  <c r="V113" i="17"/>
  <c r="U113" i="17"/>
  <c r="T113" i="17"/>
  <c r="S113" i="17"/>
  <c r="R113" i="17"/>
  <c r="Q113" i="17"/>
  <c r="P113" i="17"/>
  <c r="O113" i="17"/>
  <c r="N113" i="17"/>
  <c r="M113" i="17"/>
  <c r="J113" i="17"/>
  <c r="I113" i="17"/>
  <c r="H113" i="17"/>
  <c r="Y112" i="17"/>
  <c r="X112" i="17"/>
  <c r="W112" i="17"/>
  <c r="V112" i="17"/>
  <c r="U112" i="17"/>
  <c r="T112" i="17"/>
  <c r="S112" i="17"/>
  <c r="R112" i="17"/>
  <c r="Q112" i="17"/>
  <c r="P112" i="17"/>
  <c r="O112" i="17"/>
  <c r="N112" i="17"/>
  <c r="M112" i="17"/>
  <c r="J112" i="17"/>
  <c r="I112" i="17"/>
  <c r="H112" i="17"/>
  <c r="Y111" i="17"/>
  <c r="X111" i="17"/>
  <c r="W111" i="17"/>
  <c r="V111" i="17"/>
  <c r="U111" i="17"/>
  <c r="T111" i="17"/>
  <c r="S111" i="17"/>
  <c r="R111" i="17"/>
  <c r="Q111" i="17"/>
  <c r="P111" i="17"/>
  <c r="O111" i="17"/>
  <c r="N111" i="17"/>
  <c r="M111" i="17"/>
  <c r="J111" i="17"/>
  <c r="I111" i="17"/>
  <c r="H111" i="17"/>
  <c r="Y110" i="17"/>
  <c r="X110" i="17"/>
  <c r="W110" i="17"/>
  <c r="V110" i="17"/>
  <c r="U110" i="17"/>
  <c r="T110" i="17"/>
  <c r="S110" i="17"/>
  <c r="R110" i="17"/>
  <c r="Q110" i="17"/>
  <c r="P110" i="17"/>
  <c r="O110" i="17"/>
  <c r="N110" i="17"/>
  <c r="M110" i="17"/>
  <c r="J110" i="17"/>
  <c r="I110" i="17"/>
  <c r="H110" i="17"/>
  <c r="Y109" i="17"/>
  <c r="X109" i="17"/>
  <c r="W109" i="17"/>
  <c r="V109" i="17"/>
  <c r="U109" i="17"/>
  <c r="T109" i="17"/>
  <c r="S109" i="17"/>
  <c r="R109" i="17"/>
  <c r="Q109" i="17"/>
  <c r="P109" i="17"/>
  <c r="O109" i="17"/>
  <c r="N109" i="17"/>
  <c r="M109" i="17"/>
  <c r="J109" i="17"/>
  <c r="I109" i="17"/>
  <c r="H109" i="17"/>
  <c r="Y108" i="17"/>
  <c r="X108" i="17"/>
  <c r="W108" i="17"/>
  <c r="V108" i="17"/>
  <c r="U108" i="17"/>
  <c r="T108" i="17"/>
  <c r="S108" i="17"/>
  <c r="R108" i="17"/>
  <c r="Q108" i="17"/>
  <c r="P108" i="17"/>
  <c r="O108" i="17"/>
  <c r="N108" i="17"/>
  <c r="M108" i="17"/>
  <c r="J108" i="17"/>
  <c r="I108" i="17"/>
  <c r="H108" i="17"/>
  <c r="Y107" i="17"/>
  <c r="X107" i="17"/>
  <c r="W107" i="17"/>
  <c r="V107" i="17"/>
  <c r="U107" i="17"/>
  <c r="T107" i="17"/>
  <c r="S107" i="17"/>
  <c r="R107" i="17"/>
  <c r="Q107" i="17"/>
  <c r="P107" i="17"/>
  <c r="O107" i="17"/>
  <c r="N107" i="17"/>
  <c r="M107" i="17"/>
  <c r="J107" i="17"/>
  <c r="I107" i="17"/>
  <c r="H107" i="17"/>
  <c r="Y106" i="17"/>
  <c r="X106" i="17"/>
  <c r="W106" i="17"/>
  <c r="V106" i="17"/>
  <c r="U106" i="17"/>
  <c r="T106" i="17"/>
  <c r="S106" i="17"/>
  <c r="R106" i="17"/>
  <c r="Q106" i="17"/>
  <c r="P106" i="17"/>
  <c r="O106" i="17"/>
  <c r="N106" i="17"/>
  <c r="M106" i="17"/>
  <c r="J106" i="17"/>
  <c r="I106" i="17"/>
  <c r="H106" i="17"/>
  <c r="Y105" i="17"/>
  <c r="X105" i="17"/>
  <c r="W105" i="17"/>
  <c r="V105" i="17"/>
  <c r="U105" i="17"/>
  <c r="T105" i="17"/>
  <c r="S105" i="17"/>
  <c r="R105" i="17"/>
  <c r="Q105" i="17"/>
  <c r="P105" i="17"/>
  <c r="O105" i="17"/>
  <c r="N105" i="17"/>
  <c r="M105" i="17"/>
  <c r="J105" i="17"/>
  <c r="I105" i="17"/>
  <c r="H105" i="17"/>
  <c r="Y104" i="17"/>
  <c r="X104" i="17"/>
  <c r="W104" i="17"/>
  <c r="V104" i="17"/>
  <c r="U104" i="17"/>
  <c r="T104" i="17"/>
  <c r="S104" i="17"/>
  <c r="R104" i="17"/>
  <c r="Q104" i="17"/>
  <c r="P104" i="17"/>
  <c r="O104" i="17"/>
  <c r="N104" i="17"/>
  <c r="M104" i="17"/>
  <c r="J104" i="17"/>
  <c r="I104" i="17"/>
  <c r="H104" i="17"/>
  <c r="Y103" i="17"/>
  <c r="X103" i="17"/>
  <c r="W103" i="17"/>
  <c r="V103" i="17"/>
  <c r="U103" i="17"/>
  <c r="T103" i="17"/>
  <c r="S103" i="17"/>
  <c r="R103" i="17"/>
  <c r="Q103" i="17"/>
  <c r="P103" i="17"/>
  <c r="O103" i="17"/>
  <c r="N103" i="17"/>
  <c r="M103" i="17"/>
  <c r="J103" i="17"/>
  <c r="I103" i="17"/>
  <c r="H103" i="17"/>
  <c r="Y102" i="17"/>
  <c r="X102" i="17"/>
  <c r="W102" i="17"/>
  <c r="V102" i="17"/>
  <c r="U102" i="17"/>
  <c r="T102" i="17"/>
  <c r="S102" i="17"/>
  <c r="R102" i="17"/>
  <c r="Q102" i="17"/>
  <c r="P102" i="17"/>
  <c r="O102" i="17"/>
  <c r="N102" i="17"/>
  <c r="M102" i="17"/>
  <c r="J102" i="17"/>
  <c r="I102" i="17"/>
  <c r="H102" i="17"/>
  <c r="E122" i="17"/>
  <c r="F122" i="17" s="1"/>
  <c r="E121" i="17"/>
  <c r="F121" i="17" s="1"/>
  <c r="E120" i="17"/>
  <c r="F120" i="17" s="1"/>
  <c r="E119" i="17"/>
  <c r="F119" i="17" s="1"/>
  <c r="E118" i="17"/>
  <c r="F118" i="17" s="1"/>
  <c r="E117" i="17"/>
  <c r="F117" i="17" s="1"/>
  <c r="E116" i="17"/>
  <c r="F116" i="17" s="1"/>
  <c r="E115" i="17"/>
  <c r="F115" i="17" s="1"/>
  <c r="E114" i="17"/>
  <c r="F114" i="17" s="1"/>
  <c r="E113" i="17"/>
  <c r="F113" i="17" s="1"/>
  <c r="E112" i="17"/>
  <c r="F112" i="17" s="1"/>
  <c r="E111" i="17"/>
  <c r="F111" i="17" s="1"/>
  <c r="E110" i="17"/>
  <c r="F110" i="17" s="1"/>
  <c r="E109" i="17"/>
  <c r="F109" i="17" s="1"/>
  <c r="E108" i="17"/>
  <c r="F108" i="17" s="1"/>
  <c r="E107" i="17"/>
  <c r="F107" i="17" s="1"/>
  <c r="E106" i="17"/>
  <c r="F106" i="17" s="1"/>
  <c r="E105" i="17"/>
  <c r="F105" i="17" s="1"/>
  <c r="E104" i="17"/>
  <c r="F104" i="17" s="1"/>
  <c r="E103" i="17"/>
  <c r="F103" i="17" s="1"/>
  <c r="E102" i="17"/>
  <c r="F102" i="17" s="1"/>
  <c r="Y101" i="17"/>
  <c r="X101" i="17"/>
  <c r="W101" i="17"/>
  <c r="V101" i="17"/>
  <c r="U101" i="17"/>
  <c r="T101" i="17"/>
  <c r="S101" i="17"/>
  <c r="R101" i="17"/>
  <c r="Q101" i="17"/>
  <c r="P101" i="17"/>
  <c r="O101" i="17"/>
  <c r="N101" i="17"/>
  <c r="M101" i="17"/>
  <c r="J101" i="17"/>
  <c r="I101" i="17"/>
  <c r="H101" i="17"/>
  <c r="E101" i="17"/>
  <c r="F101" i="17" s="1"/>
  <c r="Y100" i="17"/>
  <c r="X100" i="17"/>
  <c r="W100" i="17"/>
  <c r="V100" i="17"/>
  <c r="U100" i="17"/>
  <c r="T100" i="17"/>
  <c r="S100" i="17"/>
  <c r="R100" i="17"/>
  <c r="Q100" i="17"/>
  <c r="P100" i="17"/>
  <c r="O100" i="17"/>
  <c r="N100" i="17"/>
  <c r="M100" i="17"/>
  <c r="J100" i="17"/>
  <c r="I100" i="17"/>
  <c r="H100" i="17"/>
  <c r="E100" i="17"/>
  <c r="F100" i="17" s="1"/>
  <c r="Y99" i="17"/>
  <c r="X99" i="17"/>
  <c r="W99" i="17"/>
  <c r="V99" i="17"/>
  <c r="U99" i="17"/>
  <c r="T99" i="17"/>
  <c r="S99" i="17"/>
  <c r="R99" i="17"/>
  <c r="Q99" i="17"/>
  <c r="P99" i="17"/>
  <c r="O99" i="17"/>
  <c r="N99" i="17"/>
  <c r="M99" i="17"/>
  <c r="J99" i="17"/>
  <c r="I99" i="17"/>
  <c r="H99" i="17"/>
  <c r="E99" i="17"/>
  <c r="F99" i="17" s="1"/>
  <c r="Y98" i="17"/>
  <c r="X98" i="17"/>
  <c r="W98" i="17"/>
  <c r="V98" i="17"/>
  <c r="U98" i="17"/>
  <c r="T98" i="17"/>
  <c r="S98" i="17"/>
  <c r="R98" i="17"/>
  <c r="Q98" i="17"/>
  <c r="P98" i="17"/>
  <c r="O98" i="17"/>
  <c r="N98" i="17"/>
  <c r="M98" i="17"/>
  <c r="J98" i="17"/>
  <c r="I98" i="17"/>
  <c r="H98" i="17"/>
  <c r="E98" i="17"/>
  <c r="F98" i="17" s="1"/>
  <c r="Y97" i="17"/>
  <c r="X97" i="17"/>
  <c r="W97" i="17"/>
  <c r="V97" i="17"/>
  <c r="U97" i="17"/>
  <c r="T97" i="17"/>
  <c r="S97" i="17"/>
  <c r="R97" i="17"/>
  <c r="Q97" i="17"/>
  <c r="P97" i="17"/>
  <c r="O97" i="17"/>
  <c r="N97" i="17"/>
  <c r="M97" i="17"/>
  <c r="J97" i="17"/>
  <c r="I97" i="17"/>
  <c r="H97" i="17"/>
  <c r="E97" i="17"/>
  <c r="F97" i="17" s="1"/>
  <c r="Y96" i="17"/>
  <c r="X96" i="17"/>
  <c r="W96" i="17"/>
  <c r="V96" i="17"/>
  <c r="U96" i="17"/>
  <c r="T96" i="17"/>
  <c r="S96" i="17"/>
  <c r="R96" i="17"/>
  <c r="Q96" i="17"/>
  <c r="P96" i="17"/>
  <c r="O96" i="17"/>
  <c r="N96" i="17"/>
  <c r="M96" i="17"/>
  <c r="J96" i="17"/>
  <c r="I96" i="17"/>
  <c r="H96" i="17"/>
  <c r="E96" i="17"/>
  <c r="F96" i="17" s="1"/>
  <c r="Y95" i="17"/>
  <c r="X95" i="17"/>
  <c r="W95" i="17"/>
  <c r="V95" i="17"/>
  <c r="U95" i="17"/>
  <c r="T95" i="17"/>
  <c r="S95" i="17"/>
  <c r="R95" i="17"/>
  <c r="Q95" i="17"/>
  <c r="P95" i="17"/>
  <c r="O95" i="17"/>
  <c r="N95" i="17"/>
  <c r="M95" i="17"/>
  <c r="J95" i="17"/>
  <c r="I95" i="17"/>
  <c r="H95" i="17"/>
  <c r="E95" i="17"/>
  <c r="F95" i="17" s="1"/>
  <c r="Y94" i="17"/>
  <c r="X94" i="17"/>
  <c r="W94" i="17"/>
  <c r="V94" i="17"/>
  <c r="U94" i="17"/>
  <c r="T94" i="17"/>
  <c r="S94" i="17"/>
  <c r="R94" i="17"/>
  <c r="Q94" i="17"/>
  <c r="P94" i="17"/>
  <c r="O94" i="17"/>
  <c r="N94" i="17"/>
  <c r="M94" i="17"/>
  <c r="J94" i="17"/>
  <c r="I94" i="17"/>
  <c r="H94" i="17"/>
  <c r="E94" i="17"/>
  <c r="F94" i="17" s="1"/>
  <c r="Y93" i="17"/>
  <c r="X93" i="17"/>
  <c r="W93" i="17"/>
  <c r="V93" i="17"/>
  <c r="U93" i="17"/>
  <c r="T93" i="17"/>
  <c r="S93" i="17"/>
  <c r="R93" i="17"/>
  <c r="Q93" i="17"/>
  <c r="P93" i="17"/>
  <c r="O93" i="17"/>
  <c r="N93" i="17"/>
  <c r="M93" i="17"/>
  <c r="J93" i="17"/>
  <c r="I93" i="17"/>
  <c r="H93" i="17"/>
  <c r="E93" i="17"/>
  <c r="F93" i="17" s="1"/>
  <c r="Y92" i="17"/>
  <c r="X92" i="17"/>
  <c r="W92" i="17"/>
  <c r="V92" i="17"/>
  <c r="U92" i="17"/>
  <c r="T92" i="17"/>
  <c r="S92" i="17"/>
  <c r="R92" i="17"/>
  <c r="Q92" i="17"/>
  <c r="P92" i="17"/>
  <c r="O92" i="17"/>
  <c r="N92" i="17"/>
  <c r="M92" i="17"/>
  <c r="J92" i="17"/>
  <c r="I92" i="17"/>
  <c r="H92" i="17"/>
  <c r="E92" i="17"/>
  <c r="F92" i="17" s="1"/>
  <c r="Y91" i="17"/>
  <c r="X91" i="17"/>
  <c r="W91" i="17"/>
  <c r="V91" i="17"/>
  <c r="U91" i="17"/>
  <c r="T91" i="17"/>
  <c r="S91" i="17"/>
  <c r="R91" i="17"/>
  <c r="Q91" i="17"/>
  <c r="P91" i="17"/>
  <c r="O91" i="17"/>
  <c r="N91" i="17"/>
  <c r="M91" i="17"/>
  <c r="J91" i="17"/>
  <c r="I91" i="17"/>
  <c r="H91" i="17"/>
  <c r="E91" i="17"/>
  <c r="F91" i="17" s="1"/>
  <c r="Y90" i="17"/>
  <c r="X90" i="17"/>
  <c r="W90" i="17"/>
  <c r="V90" i="17"/>
  <c r="U90" i="17"/>
  <c r="T90" i="17"/>
  <c r="S90" i="17"/>
  <c r="R90" i="17"/>
  <c r="Q90" i="17"/>
  <c r="P90" i="17"/>
  <c r="O90" i="17"/>
  <c r="N90" i="17"/>
  <c r="M90" i="17"/>
  <c r="J90" i="17"/>
  <c r="I90" i="17"/>
  <c r="H90" i="17"/>
  <c r="E90" i="17"/>
  <c r="F90" i="17" s="1"/>
  <c r="Y89" i="17"/>
  <c r="X89" i="17"/>
  <c r="W89" i="17"/>
  <c r="V89" i="17"/>
  <c r="U89" i="17"/>
  <c r="T89" i="17"/>
  <c r="S89" i="17"/>
  <c r="R89" i="17"/>
  <c r="Q89" i="17"/>
  <c r="P89" i="17"/>
  <c r="O89" i="17"/>
  <c r="N89" i="17"/>
  <c r="M89" i="17"/>
  <c r="J89" i="17"/>
  <c r="I89" i="17"/>
  <c r="H89" i="17"/>
  <c r="E89" i="17"/>
  <c r="F89" i="17" s="1"/>
  <c r="Y88" i="17"/>
  <c r="X88" i="17"/>
  <c r="W88" i="17"/>
  <c r="V88" i="17"/>
  <c r="U88" i="17"/>
  <c r="T88" i="17"/>
  <c r="S88" i="17"/>
  <c r="R88" i="17"/>
  <c r="Q88" i="17"/>
  <c r="P88" i="17"/>
  <c r="O88" i="17"/>
  <c r="N88" i="17"/>
  <c r="M88" i="17"/>
  <c r="J88" i="17"/>
  <c r="I88" i="17"/>
  <c r="H88" i="17"/>
  <c r="E88" i="17"/>
  <c r="F88" i="17" s="1"/>
  <c r="Y87" i="17"/>
  <c r="X87" i="17"/>
  <c r="W87" i="17"/>
  <c r="V87" i="17"/>
  <c r="U87" i="17"/>
  <c r="T87" i="17"/>
  <c r="S87" i="17"/>
  <c r="R87" i="17"/>
  <c r="Q87" i="17"/>
  <c r="P87" i="17"/>
  <c r="O87" i="17"/>
  <c r="N87" i="17"/>
  <c r="M87" i="17"/>
  <c r="J87" i="17"/>
  <c r="I87" i="17"/>
  <c r="H87" i="17"/>
  <c r="E87" i="17"/>
  <c r="F87" i="17" s="1"/>
  <c r="Y86" i="17"/>
  <c r="X86" i="17"/>
  <c r="W86" i="17"/>
  <c r="V86" i="17"/>
  <c r="U86" i="17"/>
  <c r="T86" i="17"/>
  <c r="S86" i="17"/>
  <c r="R86" i="17"/>
  <c r="Q86" i="17"/>
  <c r="P86" i="17"/>
  <c r="O86" i="17"/>
  <c r="N86" i="17"/>
  <c r="M86" i="17"/>
  <c r="J86" i="17"/>
  <c r="I86" i="17"/>
  <c r="H86" i="17"/>
  <c r="E86" i="17"/>
  <c r="F86" i="17" s="1"/>
  <c r="Y85" i="17"/>
  <c r="X85" i="17"/>
  <c r="W85" i="17"/>
  <c r="V85" i="17"/>
  <c r="U85" i="17"/>
  <c r="T85" i="17"/>
  <c r="S85" i="17"/>
  <c r="R85" i="17"/>
  <c r="Q85" i="17"/>
  <c r="P85" i="17"/>
  <c r="O85" i="17"/>
  <c r="N85" i="17"/>
  <c r="M85" i="17"/>
  <c r="J85" i="17"/>
  <c r="I85" i="17"/>
  <c r="H85" i="17"/>
  <c r="E85" i="17"/>
  <c r="F85" i="17" s="1"/>
  <c r="Y84" i="17"/>
  <c r="X84" i="17"/>
  <c r="W84" i="17"/>
  <c r="V84" i="17"/>
  <c r="U84" i="17"/>
  <c r="T84" i="17"/>
  <c r="S84" i="17"/>
  <c r="R84" i="17"/>
  <c r="Q84" i="17"/>
  <c r="P84" i="17"/>
  <c r="O84" i="17"/>
  <c r="N84" i="17"/>
  <c r="M84" i="17"/>
  <c r="J84" i="17"/>
  <c r="I84" i="17"/>
  <c r="H84" i="17"/>
  <c r="E84" i="17"/>
  <c r="F84" i="17" s="1"/>
  <c r="Y83" i="17"/>
  <c r="X83" i="17"/>
  <c r="W83" i="17"/>
  <c r="V83" i="17"/>
  <c r="U83" i="17"/>
  <c r="T83" i="17"/>
  <c r="S83" i="17"/>
  <c r="R83" i="17"/>
  <c r="Q83" i="17"/>
  <c r="P83" i="17"/>
  <c r="O83" i="17"/>
  <c r="N83" i="17"/>
  <c r="M83" i="17"/>
  <c r="J83" i="17"/>
  <c r="I83" i="17"/>
  <c r="H83" i="17"/>
  <c r="E83" i="17"/>
  <c r="F83" i="17" s="1"/>
  <c r="Y82" i="17"/>
  <c r="X82" i="17"/>
  <c r="W82" i="17"/>
  <c r="V82" i="17"/>
  <c r="U82" i="17"/>
  <c r="T82" i="17"/>
  <c r="S82" i="17"/>
  <c r="R82" i="17"/>
  <c r="Q82" i="17"/>
  <c r="P82" i="17"/>
  <c r="O82" i="17"/>
  <c r="N82" i="17"/>
  <c r="M82" i="17"/>
  <c r="J82" i="17"/>
  <c r="I82" i="17"/>
  <c r="H82" i="17"/>
  <c r="E82" i="17"/>
  <c r="F82" i="17" s="1"/>
  <c r="Y81" i="17"/>
  <c r="X81" i="17"/>
  <c r="W81" i="17"/>
  <c r="V81" i="17"/>
  <c r="U81" i="17"/>
  <c r="T81" i="17"/>
  <c r="S81" i="17"/>
  <c r="R81" i="17"/>
  <c r="Q81" i="17"/>
  <c r="P81" i="17"/>
  <c r="O81" i="17"/>
  <c r="N81" i="17"/>
  <c r="M81" i="17"/>
  <c r="J81" i="17"/>
  <c r="I81" i="17"/>
  <c r="H81" i="17"/>
  <c r="E81" i="17"/>
  <c r="F81" i="17" s="1"/>
  <c r="Y80" i="17"/>
  <c r="X80" i="17"/>
  <c r="W80" i="17"/>
  <c r="V80" i="17"/>
  <c r="U80" i="17"/>
  <c r="T80" i="17"/>
  <c r="S80" i="17"/>
  <c r="R80" i="17"/>
  <c r="Q80" i="17"/>
  <c r="P80" i="17"/>
  <c r="O80" i="17"/>
  <c r="N80" i="17"/>
  <c r="M80" i="17"/>
  <c r="J80" i="17"/>
  <c r="I80" i="17"/>
  <c r="H80" i="17"/>
  <c r="E80" i="17"/>
  <c r="F80" i="17" s="1"/>
  <c r="Y79" i="17"/>
  <c r="X79" i="17"/>
  <c r="W79" i="17"/>
  <c r="V79" i="17"/>
  <c r="U79" i="17"/>
  <c r="T79" i="17"/>
  <c r="S79" i="17"/>
  <c r="R79" i="17"/>
  <c r="Q79" i="17"/>
  <c r="P79" i="17"/>
  <c r="O79" i="17"/>
  <c r="N79" i="17"/>
  <c r="M79" i="17"/>
  <c r="J79" i="17"/>
  <c r="I79" i="17"/>
  <c r="H79" i="17"/>
  <c r="E79" i="17"/>
  <c r="F79" i="17" s="1"/>
  <c r="Y78" i="17"/>
  <c r="X78" i="17"/>
  <c r="W78" i="17"/>
  <c r="V78" i="17"/>
  <c r="U78" i="17"/>
  <c r="T78" i="17"/>
  <c r="S78" i="17"/>
  <c r="R78" i="17"/>
  <c r="Q78" i="17"/>
  <c r="P78" i="17"/>
  <c r="O78" i="17"/>
  <c r="N78" i="17"/>
  <c r="M78" i="17"/>
  <c r="J78" i="17"/>
  <c r="I78" i="17"/>
  <c r="H78" i="17"/>
  <c r="E78" i="17"/>
  <c r="F78" i="17" s="1"/>
  <c r="Y77" i="17"/>
  <c r="X77" i="17"/>
  <c r="W77" i="17"/>
  <c r="V77" i="17"/>
  <c r="U77" i="17"/>
  <c r="T77" i="17"/>
  <c r="S77" i="17"/>
  <c r="R77" i="17"/>
  <c r="Q77" i="17"/>
  <c r="P77" i="17"/>
  <c r="O77" i="17"/>
  <c r="N77" i="17"/>
  <c r="M77" i="17"/>
  <c r="J77" i="17"/>
  <c r="I77" i="17"/>
  <c r="H77" i="17"/>
  <c r="E77" i="17"/>
  <c r="F77" i="17" s="1"/>
  <c r="Y76" i="17"/>
  <c r="X76" i="17"/>
  <c r="W76" i="17"/>
  <c r="V76" i="17"/>
  <c r="U76" i="17"/>
  <c r="T76" i="17"/>
  <c r="S76" i="17"/>
  <c r="R76" i="17"/>
  <c r="Q76" i="17"/>
  <c r="P76" i="17"/>
  <c r="O76" i="17"/>
  <c r="N76" i="17"/>
  <c r="M76" i="17"/>
  <c r="J76" i="17"/>
  <c r="I76" i="17"/>
  <c r="H76" i="17"/>
  <c r="E76" i="17"/>
  <c r="F76" i="17" s="1"/>
  <c r="Y75" i="17"/>
  <c r="X75" i="17"/>
  <c r="W75" i="17"/>
  <c r="V75" i="17"/>
  <c r="U75" i="17"/>
  <c r="T75" i="17"/>
  <c r="S75" i="17"/>
  <c r="R75" i="17"/>
  <c r="Q75" i="17"/>
  <c r="P75" i="17"/>
  <c r="O75" i="17"/>
  <c r="N75" i="17"/>
  <c r="M75" i="17"/>
  <c r="J75" i="17"/>
  <c r="I75" i="17"/>
  <c r="H75" i="17"/>
  <c r="E75" i="17"/>
  <c r="F75" i="17" s="1"/>
  <c r="Y74" i="17"/>
  <c r="X74" i="17"/>
  <c r="W74" i="17"/>
  <c r="V74" i="17"/>
  <c r="U74" i="17"/>
  <c r="T74" i="17"/>
  <c r="S74" i="17"/>
  <c r="R74" i="17"/>
  <c r="Q74" i="17"/>
  <c r="P74" i="17"/>
  <c r="O74" i="17"/>
  <c r="N74" i="17"/>
  <c r="M74" i="17"/>
  <c r="J74" i="17"/>
  <c r="I74" i="17"/>
  <c r="H74" i="17"/>
  <c r="E74" i="17"/>
  <c r="F74" i="17" s="1"/>
  <c r="Y73" i="17"/>
  <c r="X73" i="17"/>
  <c r="W73" i="17"/>
  <c r="V73" i="17"/>
  <c r="U73" i="17"/>
  <c r="T73" i="17"/>
  <c r="S73" i="17"/>
  <c r="R73" i="17"/>
  <c r="Q73" i="17"/>
  <c r="P73" i="17"/>
  <c r="O73" i="17"/>
  <c r="N73" i="17"/>
  <c r="M73" i="17"/>
  <c r="J73" i="17"/>
  <c r="I73" i="17"/>
  <c r="H73" i="17"/>
  <c r="E73" i="17"/>
  <c r="F73" i="17" s="1"/>
  <c r="Y72" i="17"/>
  <c r="X72" i="17"/>
  <c r="W72" i="17"/>
  <c r="V72" i="17"/>
  <c r="U72" i="17"/>
  <c r="T72" i="17"/>
  <c r="S72" i="17"/>
  <c r="R72" i="17"/>
  <c r="Q72" i="17"/>
  <c r="P72" i="17"/>
  <c r="O72" i="17"/>
  <c r="N72" i="17"/>
  <c r="M72" i="17"/>
  <c r="J72" i="17"/>
  <c r="I72" i="17"/>
  <c r="H72" i="17"/>
  <c r="E72" i="17"/>
  <c r="F72" i="17" s="1"/>
  <c r="Y71" i="17"/>
  <c r="X71" i="17"/>
  <c r="W71" i="17"/>
  <c r="V71" i="17"/>
  <c r="U71" i="17"/>
  <c r="T71" i="17"/>
  <c r="S71" i="17"/>
  <c r="R71" i="17"/>
  <c r="Q71" i="17"/>
  <c r="P71" i="17"/>
  <c r="O71" i="17"/>
  <c r="N71" i="17"/>
  <c r="M71" i="17"/>
  <c r="J71" i="17"/>
  <c r="I71" i="17"/>
  <c r="H71" i="17"/>
  <c r="E71" i="17"/>
  <c r="F71" i="17" s="1"/>
  <c r="Y70" i="17"/>
  <c r="X70" i="17"/>
  <c r="W70" i="17"/>
  <c r="V70" i="17"/>
  <c r="U70" i="17"/>
  <c r="T70" i="17"/>
  <c r="S70" i="17"/>
  <c r="R70" i="17"/>
  <c r="Q70" i="17"/>
  <c r="P70" i="17"/>
  <c r="O70" i="17"/>
  <c r="N70" i="17"/>
  <c r="M70" i="17"/>
  <c r="J70" i="17"/>
  <c r="I70" i="17"/>
  <c r="H70" i="17"/>
  <c r="E70" i="17"/>
  <c r="F70" i="17" s="1"/>
  <c r="Y69" i="17"/>
  <c r="X69" i="17"/>
  <c r="W69" i="17"/>
  <c r="V69" i="17"/>
  <c r="U69" i="17"/>
  <c r="T69" i="17"/>
  <c r="S69" i="17"/>
  <c r="R69" i="17"/>
  <c r="Q69" i="17"/>
  <c r="P69" i="17"/>
  <c r="O69" i="17"/>
  <c r="N69" i="17"/>
  <c r="M69" i="17"/>
  <c r="J69" i="17"/>
  <c r="I69" i="17"/>
  <c r="H69" i="17"/>
  <c r="E69" i="17"/>
  <c r="F69" i="17" s="1"/>
  <c r="Y68" i="17"/>
  <c r="X68" i="17"/>
  <c r="W68" i="17"/>
  <c r="V68" i="17"/>
  <c r="U68" i="17"/>
  <c r="T68" i="17"/>
  <c r="S68" i="17"/>
  <c r="R68" i="17"/>
  <c r="Q68" i="17"/>
  <c r="P68" i="17"/>
  <c r="O68" i="17"/>
  <c r="N68" i="17"/>
  <c r="M68" i="17"/>
  <c r="J68" i="17"/>
  <c r="I68" i="17"/>
  <c r="H68" i="17"/>
  <c r="E68" i="17"/>
  <c r="F68" i="17" s="1"/>
  <c r="Y67" i="17"/>
  <c r="X67" i="17"/>
  <c r="W67" i="17"/>
  <c r="V67" i="17"/>
  <c r="U67" i="17"/>
  <c r="T67" i="17"/>
  <c r="S67" i="17"/>
  <c r="R67" i="17"/>
  <c r="Q67" i="17"/>
  <c r="P67" i="17"/>
  <c r="O67" i="17"/>
  <c r="N67" i="17"/>
  <c r="M67" i="17"/>
  <c r="J67" i="17"/>
  <c r="I67" i="17"/>
  <c r="H67" i="17"/>
  <c r="E67" i="17"/>
  <c r="F67" i="17" s="1"/>
  <c r="Y66" i="17"/>
  <c r="X66" i="17"/>
  <c r="W66" i="17"/>
  <c r="V66" i="17"/>
  <c r="U66" i="17"/>
  <c r="T66" i="17"/>
  <c r="S66" i="17"/>
  <c r="R66" i="17"/>
  <c r="Q66" i="17"/>
  <c r="P66" i="17"/>
  <c r="O66" i="17"/>
  <c r="N66" i="17"/>
  <c r="M66" i="17"/>
  <c r="J66" i="17"/>
  <c r="I66" i="17"/>
  <c r="H66" i="17"/>
  <c r="E66" i="17"/>
  <c r="F66" i="17" s="1"/>
  <c r="Y65" i="17"/>
  <c r="X65" i="17"/>
  <c r="W65" i="17"/>
  <c r="V65" i="17"/>
  <c r="U65" i="17"/>
  <c r="T65" i="17"/>
  <c r="S65" i="17"/>
  <c r="R65" i="17"/>
  <c r="Q65" i="17"/>
  <c r="P65" i="17"/>
  <c r="O65" i="17"/>
  <c r="N65" i="17"/>
  <c r="M65" i="17"/>
  <c r="J65" i="17"/>
  <c r="I65" i="17"/>
  <c r="H65" i="17"/>
  <c r="E65" i="17"/>
  <c r="F65" i="17" s="1"/>
  <c r="Y64" i="17"/>
  <c r="X64" i="17"/>
  <c r="W64" i="17"/>
  <c r="V64" i="17"/>
  <c r="U64" i="17"/>
  <c r="T64" i="17"/>
  <c r="S64" i="17"/>
  <c r="R64" i="17"/>
  <c r="Q64" i="17"/>
  <c r="P64" i="17"/>
  <c r="O64" i="17"/>
  <c r="N64" i="17"/>
  <c r="M64" i="17"/>
  <c r="J64" i="17"/>
  <c r="I64" i="17"/>
  <c r="H64" i="17"/>
  <c r="E64" i="17"/>
  <c r="F64" i="17" s="1"/>
  <c r="Y63" i="17"/>
  <c r="X63" i="17"/>
  <c r="W63" i="17"/>
  <c r="V63" i="17"/>
  <c r="U63" i="17"/>
  <c r="T63" i="17"/>
  <c r="S63" i="17"/>
  <c r="R63" i="17"/>
  <c r="Q63" i="17"/>
  <c r="P63" i="17"/>
  <c r="O63" i="17"/>
  <c r="N63" i="17"/>
  <c r="M63" i="17"/>
  <c r="J63" i="17"/>
  <c r="I63" i="17"/>
  <c r="H63" i="17"/>
  <c r="E63" i="17"/>
  <c r="F63" i="17" s="1"/>
  <c r="Y62" i="17"/>
  <c r="X62" i="17"/>
  <c r="W62" i="17"/>
  <c r="V62" i="17"/>
  <c r="U62" i="17"/>
  <c r="T62" i="17"/>
  <c r="S62" i="17"/>
  <c r="R62" i="17"/>
  <c r="Q62" i="17"/>
  <c r="P62" i="17"/>
  <c r="O62" i="17"/>
  <c r="N62" i="17"/>
  <c r="M62" i="17"/>
  <c r="J62" i="17"/>
  <c r="I62" i="17"/>
  <c r="H62" i="17"/>
  <c r="E62" i="17"/>
  <c r="F62" i="17" s="1"/>
  <c r="Y61" i="17"/>
  <c r="X61" i="17"/>
  <c r="W61" i="17"/>
  <c r="V61" i="17"/>
  <c r="U61" i="17"/>
  <c r="T61" i="17"/>
  <c r="S61" i="17"/>
  <c r="R61" i="17"/>
  <c r="Q61" i="17"/>
  <c r="P61" i="17"/>
  <c r="O61" i="17"/>
  <c r="N61" i="17"/>
  <c r="M61" i="17"/>
  <c r="J61" i="17"/>
  <c r="I61" i="17"/>
  <c r="H61" i="17"/>
  <c r="E61" i="17"/>
  <c r="F61" i="17" s="1"/>
  <c r="Y60" i="17"/>
  <c r="X60" i="17"/>
  <c r="W60" i="17"/>
  <c r="V60" i="17"/>
  <c r="U60" i="17"/>
  <c r="T60" i="17"/>
  <c r="S60" i="17"/>
  <c r="R60" i="17"/>
  <c r="Q60" i="17"/>
  <c r="P60" i="17"/>
  <c r="O60" i="17"/>
  <c r="N60" i="17"/>
  <c r="M60" i="17"/>
  <c r="J60" i="17"/>
  <c r="I60" i="17"/>
  <c r="H60" i="17"/>
  <c r="E60" i="17"/>
  <c r="F60" i="17" s="1"/>
  <c r="Y59" i="17"/>
  <c r="X59" i="17"/>
  <c r="W59" i="17"/>
  <c r="V59" i="17"/>
  <c r="U59" i="17"/>
  <c r="T59" i="17"/>
  <c r="S59" i="17"/>
  <c r="R59" i="17"/>
  <c r="Q59" i="17"/>
  <c r="P59" i="17"/>
  <c r="O59" i="17"/>
  <c r="N59" i="17"/>
  <c r="M59" i="17"/>
  <c r="J59" i="17"/>
  <c r="I59" i="17"/>
  <c r="H59" i="17"/>
  <c r="E59" i="17"/>
  <c r="F59" i="17" s="1"/>
  <c r="Y58" i="17"/>
  <c r="X58" i="17"/>
  <c r="W58" i="17"/>
  <c r="V58" i="17"/>
  <c r="U58" i="17"/>
  <c r="T58" i="17"/>
  <c r="S58" i="17"/>
  <c r="R58" i="17"/>
  <c r="Q58" i="17"/>
  <c r="P58" i="17"/>
  <c r="O58" i="17"/>
  <c r="N58" i="17"/>
  <c r="M58" i="17"/>
  <c r="J58" i="17"/>
  <c r="I58" i="17"/>
  <c r="H58" i="17"/>
  <c r="E58" i="17"/>
  <c r="F58" i="17" s="1"/>
  <c r="Y57" i="17"/>
  <c r="X57" i="17"/>
  <c r="W57" i="17"/>
  <c r="V57" i="17"/>
  <c r="U57" i="17"/>
  <c r="T57" i="17"/>
  <c r="S57" i="17"/>
  <c r="R57" i="17"/>
  <c r="Q57" i="17"/>
  <c r="P57" i="17"/>
  <c r="O57" i="17"/>
  <c r="N57" i="17"/>
  <c r="M57" i="17"/>
  <c r="J57" i="17"/>
  <c r="I57" i="17"/>
  <c r="H57" i="17"/>
  <c r="E57" i="17"/>
  <c r="F57" i="17" s="1"/>
  <c r="Y56" i="17"/>
  <c r="X56" i="17"/>
  <c r="W56" i="17"/>
  <c r="V56" i="17"/>
  <c r="U56" i="17"/>
  <c r="T56" i="17"/>
  <c r="S56" i="17"/>
  <c r="R56" i="17"/>
  <c r="Q56" i="17"/>
  <c r="P56" i="17"/>
  <c r="O56" i="17"/>
  <c r="N56" i="17"/>
  <c r="M56" i="17"/>
  <c r="J56" i="17"/>
  <c r="I56" i="17"/>
  <c r="H56" i="17"/>
  <c r="E56" i="17"/>
  <c r="F56" i="17" s="1"/>
  <c r="Y55" i="17"/>
  <c r="X55" i="17"/>
  <c r="W55" i="17"/>
  <c r="V55" i="17"/>
  <c r="U55" i="17"/>
  <c r="T55" i="17"/>
  <c r="S55" i="17"/>
  <c r="R55" i="17"/>
  <c r="Q55" i="17"/>
  <c r="P55" i="17"/>
  <c r="O55" i="17"/>
  <c r="N55" i="17"/>
  <c r="M55" i="17"/>
  <c r="J55" i="17"/>
  <c r="I55" i="17"/>
  <c r="H55" i="17"/>
  <c r="E55" i="17"/>
  <c r="F55" i="17" s="1"/>
  <c r="Y54" i="17"/>
  <c r="X54" i="17"/>
  <c r="W54" i="17"/>
  <c r="V54" i="17"/>
  <c r="U54" i="17"/>
  <c r="T54" i="17"/>
  <c r="S54" i="17"/>
  <c r="R54" i="17"/>
  <c r="Q54" i="17"/>
  <c r="P54" i="17"/>
  <c r="O54" i="17"/>
  <c r="N54" i="17"/>
  <c r="M54" i="17"/>
  <c r="J54" i="17"/>
  <c r="I54" i="17"/>
  <c r="H54" i="17"/>
  <c r="E54" i="17"/>
  <c r="F54" i="17" s="1"/>
  <c r="Y53" i="17"/>
  <c r="X53" i="17"/>
  <c r="W53" i="17"/>
  <c r="V53" i="17"/>
  <c r="U53" i="17"/>
  <c r="T53" i="17"/>
  <c r="S53" i="17"/>
  <c r="R53" i="17"/>
  <c r="Q53" i="17"/>
  <c r="P53" i="17"/>
  <c r="O53" i="17"/>
  <c r="N53" i="17"/>
  <c r="M53" i="17"/>
  <c r="J53" i="17"/>
  <c r="I53" i="17"/>
  <c r="H53" i="17"/>
  <c r="E53" i="17"/>
  <c r="F53" i="17" s="1"/>
  <c r="Y52" i="17"/>
  <c r="X52" i="17"/>
  <c r="W52" i="17"/>
  <c r="V52" i="17"/>
  <c r="U52" i="17"/>
  <c r="T52" i="17"/>
  <c r="S52" i="17"/>
  <c r="R52" i="17"/>
  <c r="Q52" i="17"/>
  <c r="P52" i="17"/>
  <c r="O52" i="17"/>
  <c r="N52" i="17"/>
  <c r="M52" i="17"/>
  <c r="J52" i="17"/>
  <c r="I52" i="17"/>
  <c r="H52" i="17"/>
  <c r="E52" i="17"/>
  <c r="F52" i="17" s="1"/>
  <c r="Y51" i="17"/>
  <c r="X51" i="17"/>
  <c r="W51" i="17"/>
  <c r="V51" i="17"/>
  <c r="U51" i="17"/>
  <c r="T51" i="17"/>
  <c r="S51" i="17"/>
  <c r="R51" i="17"/>
  <c r="Q51" i="17"/>
  <c r="P51" i="17"/>
  <c r="O51" i="17"/>
  <c r="N51" i="17"/>
  <c r="M51" i="17"/>
  <c r="J51" i="17"/>
  <c r="I51" i="17"/>
  <c r="H51" i="17"/>
  <c r="E51" i="17"/>
  <c r="F51" i="17" s="1"/>
  <c r="Y50" i="17"/>
  <c r="X50" i="17"/>
  <c r="W50" i="17"/>
  <c r="V50" i="17"/>
  <c r="U50" i="17"/>
  <c r="T50" i="17"/>
  <c r="S50" i="17"/>
  <c r="R50" i="17"/>
  <c r="Q50" i="17"/>
  <c r="P50" i="17"/>
  <c r="O50" i="17"/>
  <c r="N50" i="17"/>
  <c r="M50" i="17"/>
  <c r="J50" i="17"/>
  <c r="I50" i="17"/>
  <c r="H50" i="17"/>
  <c r="E50" i="17"/>
  <c r="F50" i="17" s="1"/>
  <c r="Y49" i="17"/>
  <c r="X49" i="17"/>
  <c r="W49" i="17"/>
  <c r="V49" i="17"/>
  <c r="U49" i="17"/>
  <c r="T49" i="17"/>
  <c r="S49" i="17"/>
  <c r="R49" i="17"/>
  <c r="Q49" i="17"/>
  <c r="P49" i="17"/>
  <c r="O49" i="17"/>
  <c r="N49" i="17"/>
  <c r="M49" i="17"/>
  <c r="J49" i="17"/>
  <c r="I49" i="17"/>
  <c r="H49" i="17"/>
  <c r="E49" i="17"/>
  <c r="F49" i="17" s="1"/>
  <c r="Y48" i="17"/>
  <c r="X48" i="17"/>
  <c r="W48" i="17"/>
  <c r="V48" i="17"/>
  <c r="U48" i="17"/>
  <c r="T48" i="17"/>
  <c r="S48" i="17"/>
  <c r="R48" i="17"/>
  <c r="Q48" i="17"/>
  <c r="P48" i="17"/>
  <c r="O48" i="17"/>
  <c r="N48" i="17"/>
  <c r="M48" i="17"/>
  <c r="J48" i="17"/>
  <c r="I48" i="17"/>
  <c r="H48" i="17"/>
  <c r="E48" i="17"/>
  <c r="F48" i="17" s="1"/>
  <c r="Y47" i="17"/>
  <c r="X47" i="17"/>
  <c r="W47" i="17"/>
  <c r="V47" i="17"/>
  <c r="U47" i="17"/>
  <c r="T47" i="17"/>
  <c r="S47" i="17"/>
  <c r="R47" i="17"/>
  <c r="Q47" i="17"/>
  <c r="P47" i="17"/>
  <c r="O47" i="17"/>
  <c r="N47" i="17"/>
  <c r="M47" i="17"/>
  <c r="J47" i="17"/>
  <c r="I47" i="17"/>
  <c r="H47" i="17"/>
  <c r="E47" i="17"/>
  <c r="F47" i="17" s="1"/>
  <c r="Y46" i="17"/>
  <c r="X46" i="17"/>
  <c r="W46" i="17"/>
  <c r="V46" i="17"/>
  <c r="U46" i="17"/>
  <c r="T46" i="17"/>
  <c r="S46" i="17"/>
  <c r="R46" i="17"/>
  <c r="Q46" i="17"/>
  <c r="P46" i="17"/>
  <c r="O46" i="17"/>
  <c r="N46" i="17"/>
  <c r="M46" i="17"/>
  <c r="J46" i="17"/>
  <c r="I46" i="17"/>
  <c r="H46" i="17"/>
  <c r="E46" i="17"/>
  <c r="F46" i="17" s="1"/>
  <c r="Y45" i="17"/>
  <c r="X45" i="17"/>
  <c r="W45" i="17"/>
  <c r="V45" i="17"/>
  <c r="U45" i="17"/>
  <c r="T45" i="17"/>
  <c r="S45" i="17"/>
  <c r="R45" i="17"/>
  <c r="Q45" i="17"/>
  <c r="P45" i="17"/>
  <c r="O45" i="17"/>
  <c r="N45" i="17"/>
  <c r="M45" i="17"/>
  <c r="J45" i="17"/>
  <c r="I45" i="17"/>
  <c r="H45" i="17"/>
  <c r="E45" i="17"/>
  <c r="F45" i="17" s="1"/>
  <c r="Y44" i="17"/>
  <c r="X44" i="17"/>
  <c r="W44" i="17"/>
  <c r="V44" i="17"/>
  <c r="U44" i="17"/>
  <c r="T44" i="17"/>
  <c r="S44" i="17"/>
  <c r="R44" i="17"/>
  <c r="Q44" i="17"/>
  <c r="P44" i="17"/>
  <c r="O44" i="17"/>
  <c r="N44" i="17"/>
  <c r="M44" i="17"/>
  <c r="J44" i="17"/>
  <c r="I44" i="17"/>
  <c r="H44" i="17"/>
  <c r="E44" i="17"/>
  <c r="F44" i="17" s="1"/>
  <c r="Y43" i="17"/>
  <c r="X43" i="17"/>
  <c r="W43" i="17"/>
  <c r="V43" i="17"/>
  <c r="U43" i="17"/>
  <c r="T43" i="17"/>
  <c r="S43" i="17"/>
  <c r="R43" i="17"/>
  <c r="Q43" i="17"/>
  <c r="P43" i="17"/>
  <c r="O43" i="17"/>
  <c r="N43" i="17"/>
  <c r="M43" i="17"/>
  <c r="J43" i="17"/>
  <c r="I43" i="17"/>
  <c r="H43" i="17"/>
  <c r="E43" i="17"/>
  <c r="F43" i="17" s="1"/>
  <c r="Y42" i="17"/>
  <c r="X42" i="17"/>
  <c r="W42" i="17"/>
  <c r="V42" i="17"/>
  <c r="U42" i="17"/>
  <c r="T42" i="17"/>
  <c r="S42" i="17"/>
  <c r="R42" i="17"/>
  <c r="Q42" i="17"/>
  <c r="P42" i="17"/>
  <c r="O42" i="17"/>
  <c r="N42" i="17"/>
  <c r="M42" i="17"/>
  <c r="J42" i="17"/>
  <c r="I42" i="17"/>
  <c r="H42" i="17"/>
  <c r="E42" i="17"/>
  <c r="F42" i="17" s="1"/>
  <c r="Y41" i="17"/>
  <c r="X41" i="17"/>
  <c r="W41" i="17"/>
  <c r="V41" i="17"/>
  <c r="U41" i="17"/>
  <c r="T41" i="17"/>
  <c r="S41" i="17"/>
  <c r="R41" i="17"/>
  <c r="Q41" i="17"/>
  <c r="P41" i="17"/>
  <c r="O41" i="17"/>
  <c r="N41" i="17"/>
  <c r="M41" i="17"/>
  <c r="J41" i="17"/>
  <c r="I41" i="17"/>
  <c r="H41" i="17"/>
  <c r="E41" i="17"/>
  <c r="F41" i="17" s="1"/>
  <c r="Y40" i="17"/>
  <c r="X40" i="17"/>
  <c r="W40" i="17"/>
  <c r="V40" i="17"/>
  <c r="U40" i="17"/>
  <c r="T40" i="17"/>
  <c r="S40" i="17"/>
  <c r="R40" i="17"/>
  <c r="Q40" i="17"/>
  <c r="P40" i="17"/>
  <c r="O40" i="17"/>
  <c r="N40" i="17"/>
  <c r="M40" i="17"/>
  <c r="J40" i="17"/>
  <c r="I40" i="17"/>
  <c r="H40" i="17"/>
  <c r="E40" i="17"/>
  <c r="F40" i="17" s="1"/>
  <c r="Y39" i="17"/>
  <c r="X39" i="17"/>
  <c r="W39" i="17"/>
  <c r="V39" i="17"/>
  <c r="U39" i="17"/>
  <c r="T39" i="17"/>
  <c r="S39" i="17"/>
  <c r="R39" i="17"/>
  <c r="Q39" i="17"/>
  <c r="P39" i="17"/>
  <c r="O39" i="17"/>
  <c r="N39" i="17"/>
  <c r="M39" i="17"/>
  <c r="J39" i="17"/>
  <c r="I39" i="17"/>
  <c r="H39" i="17"/>
  <c r="E39" i="17"/>
  <c r="F39" i="17" s="1"/>
  <c r="Y38" i="17"/>
  <c r="X38" i="17"/>
  <c r="W38" i="17"/>
  <c r="V38" i="17"/>
  <c r="U38" i="17"/>
  <c r="T38" i="17"/>
  <c r="S38" i="17"/>
  <c r="R38" i="17"/>
  <c r="Q38" i="17"/>
  <c r="P38" i="17"/>
  <c r="O38" i="17"/>
  <c r="N38" i="17"/>
  <c r="M38" i="17"/>
  <c r="J38" i="17"/>
  <c r="I38" i="17"/>
  <c r="H38" i="17"/>
  <c r="E38" i="17"/>
  <c r="F38" i="17" s="1"/>
  <c r="Y37" i="17"/>
  <c r="X37" i="17"/>
  <c r="W37" i="17"/>
  <c r="V37" i="17"/>
  <c r="U37" i="17"/>
  <c r="T37" i="17"/>
  <c r="S37" i="17"/>
  <c r="R37" i="17"/>
  <c r="Q37" i="17"/>
  <c r="P37" i="17"/>
  <c r="O37" i="17"/>
  <c r="N37" i="17"/>
  <c r="M37" i="17"/>
  <c r="J37" i="17"/>
  <c r="I37" i="17"/>
  <c r="H37" i="17"/>
  <c r="E37" i="17"/>
  <c r="F37" i="17" s="1"/>
  <c r="Y36" i="17"/>
  <c r="X36" i="17"/>
  <c r="W36" i="17"/>
  <c r="V36" i="17"/>
  <c r="U36" i="17"/>
  <c r="T36" i="17"/>
  <c r="S36" i="17"/>
  <c r="R36" i="17"/>
  <c r="Q36" i="17"/>
  <c r="P36" i="17"/>
  <c r="O36" i="17"/>
  <c r="N36" i="17"/>
  <c r="M36" i="17"/>
  <c r="J36" i="17"/>
  <c r="I36" i="17"/>
  <c r="H36" i="17"/>
  <c r="E36" i="17"/>
  <c r="F36" i="17" s="1"/>
  <c r="Y35" i="17"/>
  <c r="X35" i="17"/>
  <c r="W35" i="17"/>
  <c r="V35" i="17"/>
  <c r="U35" i="17"/>
  <c r="T35" i="17"/>
  <c r="S35" i="17"/>
  <c r="R35" i="17"/>
  <c r="Q35" i="17"/>
  <c r="P35" i="17"/>
  <c r="O35" i="17"/>
  <c r="N35" i="17"/>
  <c r="M35" i="17"/>
  <c r="J35" i="17"/>
  <c r="I35" i="17"/>
  <c r="H35" i="17"/>
  <c r="E35" i="17"/>
  <c r="F35" i="17" s="1"/>
  <c r="Y34" i="17"/>
  <c r="X34" i="17"/>
  <c r="W34" i="17"/>
  <c r="V34" i="17"/>
  <c r="U34" i="17"/>
  <c r="T34" i="17"/>
  <c r="S34" i="17"/>
  <c r="R34" i="17"/>
  <c r="Q34" i="17"/>
  <c r="P34" i="17"/>
  <c r="O34" i="17"/>
  <c r="N34" i="17"/>
  <c r="M34" i="17"/>
  <c r="J34" i="17"/>
  <c r="I34" i="17"/>
  <c r="H34" i="17"/>
  <c r="E34" i="17"/>
  <c r="F34" i="17" s="1"/>
  <c r="Y33" i="17"/>
  <c r="X33" i="17"/>
  <c r="W33" i="17"/>
  <c r="V33" i="17"/>
  <c r="U33" i="17"/>
  <c r="T33" i="17"/>
  <c r="S33" i="17"/>
  <c r="R33" i="17"/>
  <c r="Q33" i="17"/>
  <c r="P33" i="17"/>
  <c r="O33" i="17"/>
  <c r="N33" i="17"/>
  <c r="M33" i="17"/>
  <c r="J33" i="17"/>
  <c r="I33" i="17"/>
  <c r="H33" i="17"/>
  <c r="E33" i="17"/>
  <c r="F33" i="17" s="1"/>
  <c r="Y32" i="17"/>
  <c r="X32" i="17"/>
  <c r="W32" i="17"/>
  <c r="V32" i="17"/>
  <c r="U32" i="17"/>
  <c r="T32" i="17"/>
  <c r="S32" i="17"/>
  <c r="R32" i="17"/>
  <c r="Q32" i="17"/>
  <c r="P32" i="17"/>
  <c r="O32" i="17"/>
  <c r="N32" i="17"/>
  <c r="M32" i="17"/>
  <c r="J32" i="17"/>
  <c r="I32" i="17"/>
  <c r="H32" i="17"/>
  <c r="E32" i="17"/>
  <c r="F32" i="17" s="1"/>
  <c r="Y31" i="17"/>
  <c r="X31" i="17"/>
  <c r="W31" i="17"/>
  <c r="V31" i="17"/>
  <c r="U31" i="17"/>
  <c r="T31" i="17"/>
  <c r="S31" i="17"/>
  <c r="R31" i="17"/>
  <c r="Q31" i="17"/>
  <c r="P31" i="17"/>
  <c r="O31" i="17"/>
  <c r="N31" i="17"/>
  <c r="M31" i="17"/>
  <c r="J31" i="17"/>
  <c r="I31" i="17"/>
  <c r="H31" i="17"/>
  <c r="E31" i="17"/>
  <c r="F31" i="17" s="1"/>
  <c r="Y30" i="17"/>
  <c r="X30" i="17"/>
  <c r="W30" i="17"/>
  <c r="V30" i="17"/>
  <c r="U30" i="17"/>
  <c r="T30" i="17"/>
  <c r="S30" i="17"/>
  <c r="R30" i="17"/>
  <c r="Q30" i="17"/>
  <c r="P30" i="17"/>
  <c r="O30" i="17"/>
  <c r="N30" i="17"/>
  <c r="M30" i="17"/>
  <c r="J30" i="17"/>
  <c r="I30" i="17"/>
  <c r="H30" i="17"/>
  <c r="E30" i="17"/>
  <c r="F30" i="17" s="1"/>
  <c r="Y29" i="17"/>
  <c r="X29" i="17"/>
  <c r="W29" i="17"/>
  <c r="V29" i="17"/>
  <c r="U29" i="17"/>
  <c r="T29" i="17"/>
  <c r="S29" i="17"/>
  <c r="R29" i="17"/>
  <c r="Q29" i="17"/>
  <c r="P29" i="17"/>
  <c r="O29" i="17"/>
  <c r="N29" i="17"/>
  <c r="M29" i="17"/>
  <c r="J29" i="17"/>
  <c r="I29" i="17"/>
  <c r="H29" i="17"/>
  <c r="E29" i="17"/>
  <c r="F29" i="17" s="1"/>
  <c r="Y28" i="17"/>
  <c r="X28" i="17"/>
  <c r="W28" i="17"/>
  <c r="V28" i="17"/>
  <c r="U28" i="17"/>
  <c r="T28" i="17"/>
  <c r="S28" i="17"/>
  <c r="R28" i="17"/>
  <c r="Q28" i="17"/>
  <c r="P28" i="17"/>
  <c r="O28" i="17"/>
  <c r="N28" i="17"/>
  <c r="M28" i="17"/>
  <c r="J28" i="17"/>
  <c r="I28" i="17"/>
  <c r="H28" i="17"/>
  <c r="E28" i="17"/>
  <c r="F28" i="17" s="1"/>
  <c r="Y27" i="17"/>
  <c r="X27" i="17"/>
  <c r="W27" i="17"/>
  <c r="V27" i="17"/>
  <c r="U27" i="17"/>
  <c r="T27" i="17"/>
  <c r="S27" i="17"/>
  <c r="R27" i="17"/>
  <c r="Q27" i="17"/>
  <c r="P27" i="17"/>
  <c r="O27" i="17"/>
  <c r="N27" i="17"/>
  <c r="M27" i="17"/>
  <c r="J27" i="17"/>
  <c r="I27" i="17"/>
  <c r="H27" i="17"/>
  <c r="E27" i="17"/>
  <c r="F27" i="17" s="1"/>
  <c r="Y26" i="17"/>
  <c r="X26" i="17"/>
  <c r="W26" i="17"/>
  <c r="V26" i="17"/>
  <c r="U26" i="17"/>
  <c r="T26" i="17"/>
  <c r="S26" i="17"/>
  <c r="R26" i="17"/>
  <c r="Q26" i="17"/>
  <c r="P26" i="17"/>
  <c r="O26" i="17"/>
  <c r="N26" i="17"/>
  <c r="M26" i="17"/>
  <c r="J26" i="17"/>
  <c r="I26" i="17"/>
  <c r="H26" i="17"/>
  <c r="E26" i="17"/>
  <c r="F26" i="17" s="1"/>
  <c r="Y25" i="17"/>
  <c r="X25" i="17"/>
  <c r="W25" i="17"/>
  <c r="V25" i="17"/>
  <c r="U25" i="17"/>
  <c r="T25" i="17"/>
  <c r="S25" i="17"/>
  <c r="R25" i="17"/>
  <c r="Q25" i="17"/>
  <c r="P25" i="17"/>
  <c r="O25" i="17"/>
  <c r="N25" i="17"/>
  <c r="M25" i="17"/>
  <c r="J25" i="17"/>
  <c r="I25" i="17"/>
  <c r="H25" i="17"/>
  <c r="E25" i="17"/>
  <c r="F25" i="17" s="1"/>
  <c r="Y24" i="17"/>
  <c r="X24" i="17"/>
  <c r="W24" i="17"/>
  <c r="V24" i="17"/>
  <c r="U24" i="17"/>
  <c r="T24" i="17"/>
  <c r="S24" i="17"/>
  <c r="R24" i="17"/>
  <c r="Q24" i="17"/>
  <c r="P24" i="17"/>
  <c r="O24" i="17"/>
  <c r="N24" i="17"/>
  <c r="M24" i="17"/>
  <c r="J24" i="17"/>
  <c r="I24" i="17"/>
  <c r="H24" i="17"/>
  <c r="E24" i="17"/>
  <c r="F24" i="17" s="1"/>
  <c r="Y23" i="17"/>
  <c r="X23" i="17"/>
  <c r="W23" i="17"/>
  <c r="V23" i="17"/>
  <c r="U23" i="17"/>
  <c r="T23" i="17"/>
  <c r="S23" i="17"/>
  <c r="R23" i="17"/>
  <c r="Q23" i="17"/>
  <c r="P23" i="17"/>
  <c r="O23" i="17"/>
  <c r="N23" i="17"/>
  <c r="M23" i="17"/>
  <c r="J23" i="17"/>
  <c r="I23" i="17"/>
  <c r="H23" i="17"/>
  <c r="E23" i="17"/>
  <c r="F23" i="17" s="1"/>
  <c r="Y22" i="17"/>
  <c r="X22" i="17"/>
  <c r="W22" i="17"/>
  <c r="V22" i="17"/>
  <c r="U22" i="17"/>
  <c r="T22" i="17"/>
  <c r="S22" i="17"/>
  <c r="R22" i="17"/>
  <c r="Q22" i="17"/>
  <c r="P22" i="17"/>
  <c r="O22" i="17"/>
  <c r="N22" i="17"/>
  <c r="M22" i="17"/>
  <c r="J22" i="17"/>
  <c r="I22" i="17"/>
  <c r="H22" i="17"/>
  <c r="E22" i="17"/>
  <c r="F22" i="17" s="1"/>
  <c r="G2263" i="8"/>
  <c r="G2262" i="8"/>
  <c r="G2261" i="8"/>
  <c r="G2260" i="8"/>
  <c r="G2259" i="8"/>
  <c r="G2258" i="8"/>
  <c r="G2257" i="8"/>
  <c r="G2256" i="8"/>
  <c r="G2255" i="8"/>
  <c r="G2254" i="8"/>
  <c r="G2253" i="8"/>
  <c r="G2252" i="8"/>
  <c r="G2251" i="8"/>
  <c r="G2250" i="8"/>
  <c r="L2241" i="8"/>
  <c r="K2241" i="8"/>
  <c r="L2240" i="8"/>
  <c r="K2240" i="8"/>
  <c r="L2239" i="8"/>
  <c r="K2239" i="8"/>
  <c r="L2238" i="8"/>
  <c r="K2238" i="8"/>
  <c r="L2237" i="8"/>
  <c r="K2237" i="8"/>
  <c r="L2236" i="8"/>
  <c r="K2236" i="8"/>
  <c r="L2235" i="8"/>
  <c r="K2235" i="8"/>
  <c r="L2234" i="8"/>
  <c r="K2234" i="8"/>
  <c r="L2233" i="8"/>
  <c r="K2233" i="8"/>
  <c r="L2232" i="8"/>
  <c r="K2232" i="8"/>
  <c r="L2231" i="8"/>
  <c r="K2231" i="8"/>
  <c r="L2230" i="8"/>
  <c r="K2230" i="8"/>
  <c r="L2229" i="8"/>
  <c r="K2229" i="8"/>
  <c r="L2228" i="8"/>
  <c r="K2228" i="8"/>
  <c r="L2227" i="8"/>
  <c r="K2227" i="8"/>
  <c r="L2226" i="8"/>
  <c r="K2226" i="8"/>
  <c r="L2225" i="8"/>
  <c r="K2225" i="8"/>
  <c r="L2224" i="8"/>
  <c r="K2224" i="8"/>
  <c r="L2223" i="8"/>
  <c r="K2223" i="8"/>
  <c r="L2222" i="8"/>
  <c r="K2222" i="8"/>
  <c r="L2221" i="8"/>
  <c r="K2221" i="8"/>
  <c r="L2220" i="8"/>
  <c r="K2220" i="8"/>
  <c r="L2219" i="8"/>
  <c r="K2219" i="8"/>
  <c r="L2218" i="8"/>
  <c r="K2218" i="8"/>
  <c r="L2217" i="8"/>
  <c r="K2217" i="8"/>
  <c r="L2216" i="8"/>
  <c r="K2216" i="8"/>
  <c r="L2215" i="8"/>
  <c r="K2215" i="8"/>
  <c r="L2214" i="8"/>
  <c r="K2214" i="8"/>
  <c r="L2213" i="8"/>
  <c r="K2213" i="8"/>
  <c r="L2212" i="8"/>
  <c r="K2212" i="8"/>
  <c r="L2211" i="8"/>
  <c r="K2211" i="8"/>
  <c r="L2210" i="8"/>
  <c r="K2210" i="8"/>
  <c r="L2209" i="8"/>
  <c r="K2209" i="8"/>
  <c r="L2208" i="8"/>
  <c r="K2208" i="8"/>
  <c r="L2207" i="8"/>
  <c r="K2207" i="8"/>
  <c r="L2206" i="8"/>
  <c r="K2206" i="8"/>
  <c r="L2205" i="8"/>
  <c r="K2205" i="8"/>
  <c r="L2204" i="8"/>
  <c r="K2204" i="8"/>
  <c r="L2203" i="8"/>
  <c r="K2203" i="8"/>
  <c r="L2202" i="8"/>
  <c r="K2202" i="8"/>
  <c r="L2201" i="8"/>
  <c r="K2201" i="8"/>
  <c r="L2200" i="8"/>
  <c r="K2200" i="8"/>
  <c r="L2199" i="8"/>
  <c r="K2199" i="8"/>
  <c r="L2198" i="8"/>
  <c r="K2198" i="8"/>
  <c r="L2197" i="8"/>
  <c r="K2197" i="8"/>
  <c r="L2196" i="8"/>
  <c r="K2196" i="8"/>
  <c r="L2195" i="8"/>
  <c r="K2195" i="8"/>
  <c r="L2194" i="8"/>
  <c r="K2194" i="8"/>
  <c r="L2193" i="8"/>
  <c r="K2193" i="8"/>
  <c r="L2192" i="8"/>
  <c r="K2192" i="8"/>
  <c r="L2191" i="8"/>
  <c r="K2191" i="8"/>
  <c r="L2190" i="8"/>
  <c r="K2190" i="8"/>
  <c r="L2189" i="8"/>
  <c r="K2189" i="8"/>
  <c r="L2188" i="8"/>
  <c r="K2188" i="8"/>
  <c r="L2187" i="8"/>
  <c r="K2187" i="8"/>
  <c r="L2186" i="8"/>
  <c r="K2186" i="8"/>
  <c r="L2185" i="8"/>
  <c r="K2185" i="8"/>
  <c r="L2184" i="8"/>
  <c r="K2184" i="8"/>
  <c r="L2183" i="8"/>
  <c r="K2183" i="8"/>
  <c r="L2182" i="8"/>
  <c r="K2182" i="8"/>
  <c r="L2181" i="8"/>
  <c r="K2181" i="8"/>
  <c r="L2180" i="8"/>
  <c r="K2180" i="8"/>
  <c r="L2179" i="8"/>
  <c r="K2179" i="8"/>
  <c r="L2178" i="8"/>
  <c r="K2178" i="8"/>
  <c r="L2177" i="8"/>
  <c r="K2177" i="8"/>
  <c r="L2176" i="8"/>
  <c r="K2176" i="8"/>
  <c r="L2175" i="8"/>
  <c r="K2175" i="8"/>
  <c r="L2174" i="8"/>
  <c r="K2174" i="8"/>
  <c r="L2173" i="8"/>
  <c r="K2173" i="8"/>
  <c r="L2172" i="8"/>
  <c r="K2172" i="8"/>
  <c r="L2171" i="8"/>
  <c r="K2171" i="8"/>
  <c r="L2170" i="8"/>
  <c r="K2170" i="8"/>
  <c r="L2169" i="8"/>
  <c r="K2169" i="8"/>
  <c r="L2168" i="8"/>
  <c r="K2168" i="8"/>
  <c r="L2167" i="8"/>
  <c r="K2167" i="8"/>
  <c r="L2166" i="8"/>
  <c r="K2166" i="8"/>
  <c r="L2165" i="8"/>
  <c r="K2165" i="8"/>
  <c r="L2164" i="8"/>
  <c r="K2164" i="8"/>
  <c r="L2163" i="8"/>
  <c r="K2163" i="8"/>
  <c r="L2162" i="8"/>
  <c r="K2162" i="8"/>
  <c r="L2161" i="8"/>
  <c r="K2161" i="8"/>
  <c r="L2160" i="8"/>
  <c r="K2160" i="8"/>
  <c r="L2159" i="8"/>
  <c r="K2159" i="8"/>
  <c r="L2158" i="8"/>
  <c r="K2158" i="8"/>
  <c r="L2157" i="8"/>
  <c r="K2157" i="8"/>
  <c r="L2156" i="8"/>
  <c r="K2156" i="8"/>
  <c r="L2155" i="8"/>
  <c r="K2155" i="8"/>
  <c r="L2154" i="8"/>
  <c r="K2154" i="8"/>
  <c r="L2153" i="8"/>
  <c r="K2153" i="8"/>
  <c r="L2152" i="8"/>
  <c r="K2152" i="8"/>
  <c r="L2151" i="8"/>
  <c r="K2151" i="8"/>
  <c r="L2150" i="8"/>
  <c r="K2150" i="8"/>
  <c r="L2149" i="8"/>
  <c r="K2149" i="8"/>
  <c r="L2148" i="8"/>
  <c r="K2148" i="8"/>
  <c r="L2147" i="8"/>
  <c r="K2147" i="8"/>
  <c r="L2146" i="8"/>
  <c r="K2146" i="8"/>
  <c r="L2145" i="8"/>
  <c r="K2145" i="8"/>
  <c r="L2144" i="8"/>
  <c r="K2144" i="8"/>
  <c r="L2143" i="8"/>
  <c r="K2143" i="8"/>
  <c r="L2142" i="8"/>
  <c r="K2142" i="8"/>
  <c r="L2141" i="8"/>
  <c r="K2141" i="8"/>
  <c r="L2140" i="8"/>
  <c r="K2140" i="8"/>
  <c r="L2139" i="8"/>
  <c r="K2139" i="8"/>
  <c r="L2138" i="8"/>
  <c r="K2138" i="8"/>
  <c r="L2137" i="8"/>
  <c r="K2137" i="8"/>
  <c r="L2136" i="8"/>
  <c r="K2136" i="8"/>
  <c r="L2135" i="8"/>
  <c r="K2135" i="8"/>
  <c r="L2134" i="8"/>
  <c r="K2134" i="8"/>
  <c r="L2133" i="8"/>
  <c r="K2133" i="8"/>
  <c r="L2132" i="8"/>
  <c r="K2132" i="8"/>
  <c r="L2131" i="8"/>
  <c r="K2131" i="8"/>
  <c r="L2130" i="8"/>
  <c r="K2130" i="8"/>
  <c r="L2129" i="8"/>
  <c r="K2129" i="8"/>
  <c r="L2128" i="8"/>
  <c r="K2128" i="8"/>
  <c r="L2127" i="8"/>
  <c r="K2127" i="8"/>
  <c r="L2126" i="8"/>
  <c r="K2126" i="8"/>
  <c r="L2125" i="8"/>
  <c r="K2125" i="8"/>
  <c r="L2124" i="8"/>
  <c r="K2124" i="8"/>
  <c r="L2123" i="8"/>
  <c r="K2123" i="8"/>
  <c r="L2122" i="8"/>
  <c r="K2122" i="8"/>
  <c r="L2121" i="8"/>
  <c r="K2121" i="8"/>
  <c r="L2120" i="8"/>
  <c r="K2120" i="8"/>
  <c r="L2119" i="8"/>
  <c r="K2119" i="8"/>
  <c r="L2118" i="8"/>
  <c r="K2118" i="8"/>
  <c r="L2117" i="8"/>
  <c r="K2117" i="8"/>
  <c r="L2116" i="8"/>
  <c r="K2116" i="8"/>
  <c r="L2115" i="8"/>
  <c r="K2115" i="8"/>
  <c r="L2114" i="8"/>
  <c r="K2114" i="8"/>
  <c r="L2113" i="8"/>
  <c r="K2113" i="8"/>
  <c r="L2112" i="8"/>
  <c r="K2112" i="8"/>
  <c r="L2111" i="8"/>
  <c r="K2111" i="8"/>
  <c r="L2110" i="8"/>
  <c r="K2110" i="8"/>
  <c r="L2109" i="8"/>
  <c r="K2109" i="8"/>
  <c r="L2108" i="8"/>
  <c r="K2108" i="8"/>
  <c r="L2107" i="8"/>
  <c r="K2107" i="8"/>
  <c r="L2106" i="8"/>
  <c r="K2106" i="8"/>
  <c r="L2105" i="8"/>
  <c r="K2105" i="8"/>
  <c r="L2104" i="8"/>
  <c r="K2104" i="8"/>
  <c r="L2103" i="8"/>
  <c r="K2103" i="8"/>
  <c r="L2102" i="8"/>
  <c r="K2102" i="8"/>
  <c r="L2101" i="8"/>
  <c r="K2101" i="8"/>
  <c r="L2100" i="8"/>
  <c r="K2100" i="8"/>
  <c r="L2099" i="8"/>
  <c r="K2099" i="8"/>
  <c r="L2098" i="8"/>
  <c r="K2098" i="8"/>
  <c r="L2097" i="8"/>
  <c r="K2097" i="8"/>
  <c r="L2096" i="8"/>
  <c r="K2096" i="8"/>
  <c r="L2095" i="8"/>
  <c r="K2095" i="8"/>
  <c r="L2094" i="8"/>
  <c r="K2094" i="8"/>
  <c r="L2093" i="8"/>
  <c r="K2093" i="8"/>
  <c r="L2092" i="8"/>
  <c r="K2092" i="8"/>
  <c r="L2091" i="8"/>
  <c r="K2091" i="8"/>
  <c r="L2090" i="8"/>
  <c r="K2090" i="8"/>
  <c r="L2089" i="8"/>
  <c r="K2089" i="8"/>
  <c r="L2088" i="8"/>
  <c r="K2088" i="8"/>
  <c r="L2087" i="8"/>
  <c r="K2087" i="8"/>
  <c r="L2086" i="8"/>
  <c r="K2086" i="8"/>
  <c r="L2085" i="8"/>
  <c r="K2085" i="8"/>
  <c r="L2084" i="8"/>
  <c r="K2084" i="8"/>
  <c r="L2083" i="8"/>
  <c r="K2083" i="8"/>
  <c r="L2082" i="8"/>
  <c r="K2082" i="8"/>
  <c r="L2081" i="8"/>
  <c r="K2081" i="8"/>
  <c r="L2080" i="8"/>
  <c r="K2080" i="8"/>
  <c r="L2079" i="8"/>
  <c r="K2079" i="8"/>
  <c r="L2078" i="8"/>
  <c r="K2078" i="8"/>
  <c r="L2077" i="8"/>
  <c r="K2077" i="8"/>
  <c r="L2076" i="8"/>
  <c r="K2076" i="8"/>
  <c r="L2075" i="8"/>
  <c r="K2075" i="8"/>
  <c r="L2074" i="8"/>
  <c r="K2074" i="8"/>
  <c r="L2073" i="8"/>
  <c r="K2073" i="8"/>
  <c r="L2072" i="8"/>
  <c r="K2072" i="8"/>
  <c r="L2071" i="8"/>
  <c r="K2071" i="8"/>
  <c r="L2070" i="8"/>
  <c r="K2070" i="8"/>
  <c r="L2069" i="8"/>
  <c r="K2069" i="8"/>
  <c r="L2068" i="8"/>
  <c r="K2068" i="8"/>
  <c r="L2067" i="8"/>
  <c r="K2067" i="8"/>
  <c r="L2066" i="8"/>
  <c r="K2066" i="8"/>
  <c r="L2065" i="8"/>
  <c r="K2065" i="8"/>
  <c r="L2064" i="8"/>
  <c r="K2064" i="8"/>
  <c r="L2063" i="8"/>
  <c r="K2063" i="8"/>
  <c r="L2062" i="8"/>
  <c r="K2062" i="8"/>
  <c r="L2061" i="8"/>
  <c r="K2061" i="8"/>
  <c r="L2060" i="8"/>
  <c r="K2060" i="8"/>
  <c r="L2059" i="8"/>
  <c r="K2059" i="8"/>
  <c r="L2058" i="8"/>
  <c r="K2058" i="8"/>
  <c r="L2057" i="8"/>
  <c r="K2057" i="8"/>
  <c r="L2056" i="8"/>
  <c r="K2056" i="8"/>
  <c r="L2055" i="8"/>
  <c r="K2055" i="8"/>
  <c r="L2054" i="8"/>
  <c r="K2054" i="8"/>
  <c r="L2053" i="8"/>
  <c r="K2053" i="8"/>
  <c r="L2052" i="8"/>
  <c r="K2052" i="8"/>
  <c r="L2051" i="8"/>
  <c r="K2051" i="8"/>
  <c r="L2050" i="8"/>
  <c r="K2050" i="8"/>
  <c r="L2049" i="8"/>
  <c r="K2049" i="8"/>
  <c r="L2048" i="8"/>
  <c r="K2048" i="8"/>
  <c r="L2047" i="8"/>
  <c r="K2047" i="8"/>
  <c r="L2046" i="8"/>
  <c r="K2046" i="8"/>
  <c r="L2045" i="8"/>
  <c r="K2045" i="8"/>
  <c r="L2044" i="8"/>
  <c r="K2044" i="8"/>
  <c r="L2043" i="8"/>
  <c r="K2043" i="8"/>
  <c r="L2042" i="8"/>
  <c r="K2042" i="8"/>
  <c r="L2041" i="8"/>
  <c r="K2041" i="8"/>
  <c r="L2040" i="8"/>
  <c r="K2040" i="8"/>
  <c r="L2039" i="8"/>
  <c r="K2039" i="8"/>
  <c r="L2038" i="8"/>
  <c r="K2038" i="8"/>
  <c r="L2037" i="8"/>
  <c r="K2037" i="8"/>
  <c r="L2036" i="8"/>
  <c r="K2036" i="8"/>
  <c r="L2035" i="8"/>
  <c r="K2035" i="8"/>
  <c r="L2034" i="8"/>
  <c r="K2034" i="8"/>
  <c r="L2033" i="8"/>
  <c r="K2033" i="8"/>
  <c r="L2032" i="8"/>
  <c r="K2032" i="8"/>
  <c r="L2031" i="8"/>
  <c r="K2031" i="8"/>
  <c r="L2030" i="8"/>
  <c r="K2030" i="8"/>
  <c r="L2029" i="8"/>
  <c r="K2029" i="8"/>
  <c r="L2028" i="8"/>
  <c r="K2028" i="8"/>
  <c r="L2027" i="8"/>
  <c r="K2027" i="8"/>
  <c r="L2026" i="8"/>
  <c r="K2026" i="8"/>
  <c r="L2025" i="8"/>
  <c r="K2025" i="8"/>
  <c r="L2024" i="8"/>
  <c r="K2024" i="8"/>
  <c r="L2023" i="8"/>
  <c r="K2023" i="8"/>
  <c r="L2022" i="8"/>
  <c r="K2022" i="8"/>
  <c r="L2021" i="8"/>
  <c r="K2021" i="8"/>
  <c r="L2020" i="8"/>
  <c r="K2020" i="8"/>
  <c r="L2019" i="8"/>
  <c r="K2019" i="8"/>
  <c r="L2018" i="8"/>
  <c r="K2018" i="8"/>
  <c r="L2017" i="8"/>
  <c r="K2017" i="8"/>
  <c r="L2016" i="8"/>
  <c r="K2016" i="8"/>
  <c r="L2015" i="8"/>
  <c r="K2015" i="8"/>
  <c r="L2014" i="8"/>
  <c r="K2014" i="8"/>
  <c r="L2013" i="8"/>
  <c r="K2013" i="8"/>
  <c r="L2012" i="8"/>
  <c r="K2012" i="8"/>
  <c r="L2011" i="8"/>
  <c r="K2011" i="8"/>
  <c r="L2010" i="8"/>
  <c r="K2010" i="8"/>
  <c r="L2009" i="8"/>
  <c r="K2009" i="8"/>
  <c r="L2008" i="8"/>
  <c r="K2008" i="8"/>
  <c r="L2007" i="8"/>
  <c r="K2007" i="8"/>
  <c r="L2006" i="8"/>
  <c r="K2006" i="8"/>
  <c r="L2005" i="8"/>
  <c r="K2005" i="8"/>
  <c r="L2004" i="8"/>
  <c r="K2004" i="8"/>
  <c r="L2003" i="8"/>
  <c r="K2003" i="8"/>
  <c r="L2002" i="8"/>
  <c r="K2002" i="8"/>
  <c r="L2001" i="8"/>
  <c r="K2001" i="8"/>
  <c r="L2000" i="8"/>
  <c r="K2000" i="8"/>
  <c r="L1999" i="8"/>
  <c r="K1999" i="8"/>
  <c r="L1998" i="8"/>
  <c r="K1998" i="8"/>
  <c r="L1997" i="8"/>
  <c r="K1997" i="8"/>
  <c r="L1996" i="8"/>
  <c r="K1996" i="8"/>
  <c r="L1995" i="8"/>
  <c r="K1995" i="8"/>
  <c r="L1994" i="8"/>
  <c r="K1994" i="8"/>
  <c r="L1993" i="8"/>
  <c r="K1993" i="8"/>
  <c r="L1992" i="8"/>
  <c r="K1992" i="8"/>
  <c r="L1991" i="8"/>
  <c r="K1991" i="8"/>
  <c r="L1990" i="8"/>
  <c r="K1990" i="8"/>
  <c r="L1989" i="8"/>
  <c r="K1989" i="8"/>
  <c r="L1988" i="8"/>
  <c r="K1988" i="8"/>
  <c r="L1987" i="8"/>
  <c r="K1987" i="8"/>
  <c r="L1986" i="8"/>
  <c r="K1986" i="8"/>
  <c r="L1985" i="8"/>
  <c r="K1985" i="8"/>
  <c r="L1984" i="8"/>
  <c r="K1984" i="8"/>
  <c r="L1983" i="8"/>
  <c r="K1983" i="8"/>
  <c r="L1982" i="8"/>
  <c r="K1982" i="8"/>
  <c r="L1981" i="8"/>
  <c r="K1981" i="8"/>
  <c r="L1980" i="8"/>
  <c r="K1980" i="8"/>
  <c r="L1979" i="8"/>
  <c r="K1979" i="8"/>
  <c r="L1978" i="8"/>
  <c r="K1978" i="8"/>
  <c r="L1977" i="8"/>
  <c r="K1977" i="8"/>
  <c r="L1976" i="8"/>
  <c r="K1976" i="8"/>
  <c r="L1975" i="8"/>
  <c r="K1975" i="8"/>
  <c r="L1974" i="8"/>
  <c r="K1974" i="8"/>
  <c r="L1973" i="8"/>
  <c r="K1973" i="8"/>
  <c r="L1972" i="8"/>
  <c r="K1972" i="8"/>
  <c r="L1971" i="8"/>
  <c r="K1971" i="8"/>
  <c r="L1970" i="8"/>
  <c r="K1970" i="8"/>
  <c r="L1969" i="8"/>
  <c r="K1969" i="8"/>
  <c r="L1968" i="8"/>
  <c r="K1968" i="8"/>
  <c r="L1967" i="8"/>
  <c r="K1967" i="8"/>
  <c r="L1966" i="8"/>
  <c r="K1966" i="8"/>
  <c r="L1965" i="8"/>
  <c r="K1965" i="8"/>
  <c r="L1964" i="8"/>
  <c r="K1964" i="8"/>
  <c r="L1963" i="8"/>
  <c r="K1963" i="8"/>
  <c r="L1962" i="8"/>
  <c r="K1962" i="8"/>
  <c r="L1961" i="8"/>
  <c r="K1961" i="8"/>
  <c r="L1960" i="8"/>
  <c r="K1960" i="8"/>
  <c r="L1959" i="8"/>
  <c r="K1959" i="8"/>
  <c r="L1958" i="8"/>
  <c r="K1958" i="8"/>
  <c r="L1957" i="8"/>
  <c r="K1957" i="8"/>
  <c r="L1956" i="8"/>
  <c r="K1956" i="8"/>
  <c r="L1955" i="8"/>
  <c r="K1955" i="8"/>
  <c r="L1954" i="8"/>
  <c r="K1954" i="8"/>
  <c r="L1953" i="8"/>
  <c r="K1953" i="8"/>
  <c r="L1952" i="8"/>
  <c r="K1952" i="8"/>
  <c r="L1951" i="8"/>
  <c r="K1951" i="8"/>
  <c r="L1950" i="8"/>
  <c r="K1950" i="8"/>
  <c r="L1949" i="8"/>
  <c r="K1949" i="8"/>
  <c r="L1948" i="8"/>
  <c r="K1948" i="8"/>
  <c r="L1947" i="8"/>
  <c r="K1947" i="8"/>
  <c r="L1946" i="8"/>
  <c r="K1946" i="8"/>
  <c r="L1945" i="8"/>
  <c r="K1945" i="8"/>
  <c r="L1944" i="8"/>
  <c r="K1944" i="8"/>
  <c r="L1943" i="8"/>
  <c r="K1943" i="8"/>
  <c r="L1942" i="8"/>
  <c r="K1942" i="8"/>
  <c r="L1941" i="8"/>
  <c r="K1941" i="8"/>
  <c r="L1940" i="8"/>
  <c r="K1940" i="8"/>
  <c r="L1939" i="8"/>
  <c r="K1939" i="8"/>
  <c r="L1938" i="8"/>
  <c r="K1938" i="8"/>
  <c r="L1937" i="8"/>
  <c r="K1937" i="8"/>
  <c r="L1936" i="8"/>
  <c r="K1936" i="8"/>
  <c r="L1935" i="8"/>
  <c r="K1935" i="8"/>
  <c r="L1934" i="8"/>
  <c r="K1934" i="8"/>
  <c r="L1933" i="8"/>
  <c r="K1933" i="8"/>
  <c r="L1932" i="8"/>
  <c r="K1932" i="8"/>
  <c r="L1931" i="8"/>
  <c r="K1931" i="8"/>
  <c r="L1930" i="8"/>
  <c r="K1930" i="8"/>
  <c r="L1929" i="8"/>
  <c r="K1929" i="8"/>
  <c r="L1928" i="8"/>
  <c r="K1928" i="8"/>
  <c r="L1927" i="8"/>
  <c r="K1927" i="8"/>
  <c r="L1926" i="8"/>
  <c r="K1926" i="8"/>
  <c r="L1925" i="8"/>
  <c r="K1925" i="8"/>
  <c r="L1924" i="8"/>
  <c r="K1924" i="8"/>
  <c r="L1923" i="8"/>
  <c r="K1923" i="8"/>
  <c r="L1922" i="8"/>
  <c r="K1922" i="8"/>
  <c r="L1921" i="8"/>
  <c r="K1921" i="8"/>
  <c r="L1920" i="8"/>
  <c r="K1920" i="8"/>
  <c r="L1919" i="8"/>
  <c r="K1919" i="8"/>
  <c r="L1918" i="8"/>
  <c r="K1918" i="8"/>
  <c r="L1917" i="8"/>
  <c r="K1917" i="8"/>
  <c r="L1916" i="8"/>
  <c r="K1916" i="8"/>
  <c r="L1915" i="8"/>
  <c r="K1915" i="8"/>
  <c r="L1914" i="8"/>
  <c r="K1914" i="8"/>
  <c r="L1913" i="8"/>
  <c r="K1913" i="8"/>
  <c r="L1912" i="8"/>
  <c r="K1912" i="8"/>
  <c r="L1911" i="8"/>
  <c r="K1911" i="8"/>
  <c r="L1910" i="8"/>
  <c r="K1910" i="8"/>
  <c r="L1909" i="8"/>
  <c r="K1909" i="8"/>
  <c r="L1908" i="8"/>
  <c r="K1908" i="8"/>
  <c r="L1907" i="8"/>
  <c r="K1907" i="8"/>
  <c r="L1906" i="8"/>
  <c r="K1906" i="8"/>
  <c r="L1905" i="8"/>
  <c r="K1905" i="8"/>
  <c r="L1904" i="8"/>
  <c r="K1904" i="8"/>
  <c r="L1903" i="8"/>
  <c r="K1903" i="8"/>
  <c r="L1902" i="8"/>
  <c r="K1902" i="8"/>
  <c r="L1901" i="8"/>
  <c r="K1901" i="8"/>
  <c r="L1900" i="8"/>
  <c r="K1900" i="8"/>
  <c r="L1899" i="8"/>
  <c r="K1899" i="8"/>
  <c r="L1898" i="8"/>
  <c r="K1898" i="8"/>
  <c r="L1897" i="8"/>
  <c r="K1897" i="8"/>
  <c r="L1896" i="8"/>
  <c r="K1896" i="8"/>
  <c r="L1895" i="8"/>
  <c r="K1895" i="8"/>
  <c r="L1894" i="8"/>
  <c r="K1894" i="8"/>
  <c r="L1893" i="8"/>
  <c r="K1893" i="8"/>
  <c r="L1892" i="8"/>
  <c r="K1892" i="8"/>
  <c r="L1891" i="8"/>
  <c r="K1891" i="8"/>
  <c r="L1890" i="8"/>
  <c r="K1890" i="8"/>
  <c r="L1889" i="8"/>
  <c r="K1889" i="8"/>
  <c r="L1888" i="8"/>
  <c r="K1888" i="8"/>
  <c r="L1887" i="8"/>
  <c r="K1887" i="8"/>
  <c r="L1886" i="8"/>
  <c r="K1886" i="8"/>
  <c r="L1885" i="8"/>
  <c r="K1885" i="8"/>
  <c r="L1884" i="8"/>
  <c r="K1884" i="8"/>
  <c r="L1883" i="8"/>
  <c r="K1883" i="8"/>
  <c r="L1882" i="8"/>
  <c r="K1882" i="8"/>
  <c r="L1881" i="8"/>
  <c r="K1881" i="8"/>
  <c r="L1880" i="8"/>
  <c r="K1880" i="8"/>
  <c r="L1879" i="8"/>
  <c r="K1879" i="8"/>
  <c r="L1878" i="8"/>
  <c r="K1878" i="8"/>
  <c r="L1877" i="8"/>
  <c r="K1877" i="8"/>
  <c r="L1876" i="8"/>
  <c r="K1876" i="8"/>
  <c r="L1875" i="8"/>
  <c r="K1875" i="8"/>
  <c r="L1874" i="8"/>
  <c r="K1874" i="8"/>
  <c r="L1873" i="8"/>
  <c r="K1873" i="8"/>
  <c r="L1872" i="8"/>
  <c r="K1872" i="8"/>
  <c r="L1871" i="8"/>
  <c r="K1871" i="8"/>
  <c r="L1870" i="8"/>
  <c r="K1870" i="8"/>
  <c r="L1869" i="8"/>
  <c r="K1869" i="8"/>
  <c r="L1868" i="8"/>
  <c r="K1868" i="8"/>
  <c r="L1867" i="8"/>
  <c r="K1867" i="8"/>
  <c r="L1866" i="8"/>
  <c r="K1866" i="8"/>
  <c r="L1865" i="8"/>
  <c r="K1865" i="8"/>
  <c r="L1864" i="8"/>
  <c r="K1864" i="8"/>
  <c r="L1863" i="8"/>
  <c r="K1863" i="8"/>
  <c r="L1862" i="8"/>
  <c r="K1862" i="8"/>
  <c r="G2249" i="8"/>
  <c r="G2248" i="8"/>
  <c r="G2247" i="8"/>
  <c r="G2246" i="8"/>
  <c r="G2245" i="8"/>
  <c r="G2244" i="8"/>
  <c r="G2243" i="8"/>
  <c r="G2242" i="8"/>
  <c r="G2241" i="8"/>
  <c r="G2240" i="8"/>
  <c r="G2239" i="8"/>
  <c r="G2238" i="8"/>
  <c r="G2237" i="8"/>
  <c r="G2236" i="8"/>
  <c r="G2235" i="8"/>
  <c r="G2234" i="8"/>
  <c r="G2233" i="8"/>
  <c r="G2232" i="8"/>
  <c r="G2231" i="8"/>
  <c r="G2230" i="8"/>
  <c r="G2229" i="8"/>
  <c r="G2228" i="8"/>
  <c r="G2227" i="8"/>
  <c r="G2226" i="8"/>
  <c r="G2225" i="8"/>
  <c r="G2224" i="8"/>
  <c r="G2223" i="8"/>
  <c r="G2222" i="8"/>
  <c r="G2221" i="8"/>
  <c r="G2220" i="8"/>
  <c r="G2219" i="8"/>
  <c r="G2218" i="8"/>
  <c r="G2217" i="8"/>
  <c r="G2216" i="8"/>
  <c r="G2215" i="8"/>
  <c r="G2214" i="8"/>
  <c r="G2213" i="8"/>
  <c r="G2212" i="8"/>
  <c r="G2211" i="8"/>
  <c r="G2210" i="8"/>
  <c r="G2209" i="8"/>
  <c r="G2208" i="8"/>
  <c r="G2207" i="8"/>
  <c r="G2206" i="8"/>
  <c r="G2205" i="8"/>
  <c r="G2204" i="8"/>
  <c r="G2203" i="8"/>
  <c r="G2202" i="8"/>
  <c r="G2201" i="8"/>
  <c r="G2200" i="8"/>
  <c r="G2199" i="8"/>
  <c r="G2198" i="8"/>
  <c r="G2197" i="8"/>
  <c r="G2196" i="8"/>
  <c r="G2195" i="8"/>
  <c r="G2194" i="8"/>
  <c r="G2193" i="8"/>
  <c r="G2192" i="8"/>
  <c r="G2191" i="8"/>
  <c r="G2190" i="8"/>
  <c r="G2189" i="8"/>
  <c r="G2188" i="8"/>
  <c r="G2187" i="8"/>
  <c r="G2186" i="8"/>
  <c r="G2185" i="8"/>
  <c r="G2184" i="8"/>
  <c r="G2183" i="8"/>
  <c r="G2182" i="8"/>
  <c r="G2181" i="8"/>
  <c r="G2180" i="8"/>
  <c r="G2179" i="8"/>
  <c r="G2178" i="8"/>
  <c r="G2177" i="8"/>
  <c r="G2176" i="8"/>
  <c r="G2175" i="8"/>
  <c r="G2174" i="8"/>
  <c r="G2173" i="8"/>
  <c r="G2172" i="8"/>
  <c r="G2171" i="8"/>
  <c r="G2170" i="8"/>
  <c r="G2169" i="8"/>
  <c r="G2168" i="8"/>
  <c r="G2167" i="8"/>
  <c r="G2166" i="8"/>
  <c r="G2165" i="8"/>
  <c r="G2164" i="8"/>
  <c r="G2163" i="8"/>
  <c r="G2162" i="8"/>
  <c r="G2161" i="8"/>
  <c r="G2160" i="8"/>
  <c r="G2159" i="8"/>
  <c r="G2158" i="8"/>
  <c r="G2157" i="8"/>
  <c r="G2156" i="8"/>
  <c r="G2155" i="8"/>
  <c r="G2154" i="8"/>
  <c r="G2153" i="8"/>
  <c r="G2152" i="8"/>
  <c r="G2151" i="8"/>
  <c r="G2150" i="8"/>
  <c r="G2149" i="8"/>
  <c r="G2148" i="8"/>
  <c r="G2147" i="8"/>
  <c r="G2146" i="8"/>
  <c r="G2145" i="8"/>
  <c r="G2144" i="8"/>
  <c r="G2143" i="8"/>
  <c r="G2142" i="8"/>
  <c r="G2141" i="8"/>
  <c r="G2140" i="8"/>
  <c r="G2139" i="8"/>
  <c r="G2138" i="8"/>
  <c r="G2137" i="8"/>
  <c r="G2136" i="8"/>
  <c r="G2135" i="8"/>
  <c r="G2134" i="8"/>
  <c r="G2133" i="8"/>
  <c r="G2132" i="8"/>
  <c r="G2131" i="8"/>
  <c r="G2130" i="8"/>
  <c r="G2129" i="8"/>
  <c r="G2128" i="8"/>
  <c r="G2127" i="8"/>
  <c r="G2126" i="8"/>
  <c r="G2125" i="8"/>
  <c r="G2124" i="8"/>
  <c r="G2123" i="8"/>
  <c r="G2122" i="8"/>
  <c r="G2121" i="8"/>
  <c r="G2120" i="8"/>
  <c r="G2119" i="8"/>
  <c r="G2118" i="8"/>
  <c r="G2117" i="8"/>
  <c r="G2116" i="8"/>
  <c r="G2115" i="8"/>
  <c r="G2114" i="8"/>
  <c r="G2113" i="8"/>
  <c r="G2112" i="8"/>
  <c r="G2111" i="8"/>
  <c r="G2110" i="8"/>
  <c r="G2109" i="8"/>
  <c r="G2108" i="8"/>
  <c r="G2107" i="8"/>
  <c r="G2106" i="8"/>
  <c r="G2105" i="8"/>
  <c r="G2104" i="8"/>
  <c r="G2103" i="8"/>
  <c r="G2102" i="8"/>
  <c r="G2101" i="8"/>
  <c r="G2100" i="8"/>
  <c r="G2099" i="8"/>
  <c r="G2098" i="8"/>
  <c r="G2097" i="8"/>
  <c r="G2096" i="8"/>
  <c r="G2095" i="8"/>
  <c r="G2094" i="8"/>
  <c r="G2093" i="8"/>
  <c r="G2092" i="8"/>
  <c r="G2091" i="8"/>
  <c r="G2090" i="8"/>
  <c r="G2089" i="8"/>
  <c r="G2088" i="8"/>
  <c r="G2087" i="8"/>
  <c r="G2086" i="8"/>
  <c r="G2085" i="8"/>
  <c r="G2084" i="8"/>
  <c r="G2083" i="8"/>
  <c r="G2082" i="8"/>
  <c r="G2081" i="8"/>
  <c r="G2080" i="8"/>
  <c r="G2079" i="8"/>
  <c r="G2078" i="8"/>
  <c r="G2077" i="8"/>
  <c r="G2076" i="8"/>
  <c r="G2075" i="8"/>
  <c r="G2074" i="8"/>
  <c r="G2073" i="8"/>
  <c r="G2072" i="8"/>
  <c r="G2071" i="8"/>
  <c r="G2070" i="8"/>
  <c r="G2069" i="8"/>
  <c r="G2068" i="8"/>
  <c r="G2067" i="8"/>
  <c r="G2066" i="8"/>
  <c r="G2065" i="8"/>
  <c r="G2064" i="8"/>
  <c r="G2063" i="8"/>
  <c r="G2062" i="8"/>
  <c r="G2061" i="8"/>
  <c r="G2060" i="8"/>
  <c r="G2059" i="8"/>
  <c r="G2058" i="8"/>
  <c r="G2057" i="8"/>
  <c r="G2056" i="8"/>
  <c r="G2055" i="8"/>
  <c r="G2054" i="8"/>
  <c r="G2053" i="8"/>
  <c r="G2052" i="8"/>
  <c r="G2051" i="8"/>
  <c r="G2050" i="8"/>
  <c r="G2049" i="8"/>
  <c r="G2048" i="8"/>
  <c r="G2047" i="8"/>
  <c r="G2046" i="8"/>
  <c r="G2045" i="8"/>
  <c r="G2044" i="8"/>
  <c r="G2043" i="8"/>
  <c r="G2042" i="8"/>
  <c r="G2041" i="8"/>
  <c r="G2040" i="8"/>
  <c r="G2039" i="8"/>
  <c r="G2038" i="8"/>
  <c r="G2037" i="8"/>
  <c r="G2036" i="8"/>
  <c r="G2035" i="8"/>
  <c r="G2034" i="8"/>
  <c r="G2033" i="8"/>
  <c r="G2032" i="8"/>
  <c r="G2031" i="8"/>
  <c r="G2030" i="8"/>
  <c r="G2029" i="8"/>
  <c r="G2028" i="8"/>
  <c r="G2027" i="8"/>
  <c r="G2026" i="8"/>
  <c r="G2025" i="8"/>
  <c r="G2024" i="8"/>
  <c r="G2023" i="8"/>
  <c r="G2022" i="8"/>
  <c r="G2021" i="8"/>
  <c r="G2020" i="8"/>
  <c r="G2019" i="8"/>
  <c r="G2018" i="8"/>
  <c r="G2017" i="8"/>
  <c r="G2016" i="8"/>
  <c r="G2015" i="8"/>
  <c r="G2014" i="8"/>
  <c r="G2013" i="8"/>
  <c r="G2012" i="8"/>
  <c r="G2011" i="8"/>
  <c r="G2010" i="8"/>
  <c r="G2009" i="8"/>
  <c r="G2008" i="8"/>
  <c r="G2007" i="8"/>
  <c r="G2006" i="8"/>
  <c r="G2005" i="8"/>
  <c r="G2004" i="8"/>
  <c r="G2003" i="8"/>
  <c r="G2002" i="8"/>
  <c r="G2001" i="8"/>
  <c r="G2000" i="8"/>
  <c r="G1999" i="8"/>
  <c r="G1998" i="8"/>
  <c r="G1997" i="8"/>
  <c r="G1996" i="8"/>
  <c r="G1995" i="8"/>
  <c r="G1994" i="8"/>
  <c r="G1993" i="8"/>
  <c r="G1992" i="8"/>
  <c r="G1991" i="8"/>
  <c r="G1990" i="8"/>
  <c r="G1989" i="8"/>
  <c r="G1988" i="8"/>
  <c r="G1987" i="8"/>
  <c r="G1986" i="8"/>
  <c r="G1985" i="8"/>
  <c r="G1984" i="8"/>
  <c r="G1983" i="8"/>
  <c r="G1982" i="8"/>
  <c r="G1981" i="8"/>
  <c r="G1980" i="8"/>
  <c r="G1979" i="8"/>
  <c r="G1978" i="8"/>
  <c r="G1977" i="8"/>
  <c r="G1976" i="8"/>
  <c r="G1975" i="8"/>
  <c r="G1974" i="8"/>
  <c r="G1973" i="8"/>
  <c r="G1972" i="8"/>
  <c r="G1971" i="8"/>
  <c r="G1970" i="8"/>
  <c r="G1969" i="8"/>
  <c r="G1968" i="8"/>
  <c r="G1967" i="8"/>
  <c r="G1966" i="8"/>
  <c r="G1965" i="8"/>
  <c r="G1964" i="8"/>
  <c r="G1963" i="8"/>
  <c r="G1962" i="8"/>
  <c r="G1961" i="8"/>
  <c r="G1960" i="8"/>
  <c r="G1959" i="8"/>
  <c r="G1958" i="8"/>
  <c r="G1957" i="8"/>
  <c r="G1956" i="8"/>
  <c r="G1955" i="8"/>
  <c r="G1954" i="8"/>
  <c r="G1953" i="8"/>
  <c r="G1952" i="8"/>
  <c r="G1951" i="8"/>
  <c r="G1950" i="8"/>
  <c r="G1949" i="8"/>
  <c r="G1948" i="8"/>
  <c r="G1947" i="8"/>
  <c r="G1946" i="8"/>
  <c r="G1945" i="8"/>
  <c r="G1944" i="8"/>
  <c r="G1943" i="8"/>
  <c r="G1942" i="8"/>
  <c r="G1941" i="8"/>
  <c r="G1940" i="8"/>
  <c r="G1939" i="8"/>
  <c r="G1938" i="8"/>
  <c r="G1937" i="8"/>
  <c r="G1936" i="8"/>
  <c r="G1935" i="8"/>
  <c r="G1934" i="8"/>
  <c r="G1933" i="8"/>
  <c r="G1932" i="8"/>
  <c r="G1931" i="8"/>
  <c r="G1930" i="8"/>
  <c r="G1929" i="8"/>
  <c r="G1928" i="8"/>
  <c r="G1927" i="8"/>
  <c r="G1926" i="8"/>
  <c r="G1925" i="8"/>
  <c r="G1924" i="8"/>
  <c r="G1923" i="8"/>
  <c r="G1922" i="8"/>
  <c r="G1921" i="8"/>
  <c r="G1920" i="8"/>
  <c r="G1919" i="8"/>
  <c r="G1918" i="8"/>
  <c r="G1917" i="8"/>
  <c r="G1916" i="8"/>
  <c r="G1915" i="8"/>
  <c r="G1914" i="8"/>
  <c r="G1913" i="8"/>
  <c r="G1912" i="8"/>
  <c r="G1911" i="8"/>
  <c r="G1910" i="8"/>
  <c r="G1909" i="8"/>
  <c r="G1908" i="8"/>
  <c r="G1907" i="8"/>
  <c r="G1906" i="8"/>
  <c r="G1905" i="8"/>
  <c r="G1904" i="8"/>
  <c r="G1903" i="8"/>
  <c r="G1902" i="8"/>
  <c r="G1901" i="8"/>
  <c r="G1900" i="8"/>
  <c r="G1899" i="8"/>
  <c r="G1898" i="8"/>
  <c r="G1897" i="8"/>
  <c r="G1896" i="8"/>
  <c r="G1895" i="8"/>
  <c r="G1894" i="8"/>
  <c r="G1893" i="8"/>
  <c r="G1892" i="8"/>
  <c r="G1891" i="8"/>
  <c r="G1890" i="8"/>
  <c r="G1889" i="8"/>
  <c r="G1888" i="8"/>
  <c r="G1887" i="8"/>
  <c r="G1886" i="8"/>
  <c r="G1885" i="8"/>
  <c r="G1884" i="8"/>
  <c r="G1883" i="8"/>
  <c r="G1882" i="8"/>
  <c r="G1881" i="8"/>
  <c r="G1880" i="8"/>
  <c r="G1879" i="8"/>
  <c r="G1878" i="8"/>
  <c r="G1877" i="8"/>
  <c r="G1876" i="8"/>
  <c r="G1875" i="8"/>
  <c r="G1874" i="8"/>
  <c r="G1873" i="8"/>
  <c r="G1872" i="8"/>
  <c r="G1871" i="8"/>
  <c r="G1870" i="8"/>
  <c r="G1869" i="8"/>
  <c r="G1868" i="8"/>
  <c r="G1867" i="8"/>
  <c r="G1866" i="8"/>
  <c r="G1865" i="8"/>
  <c r="G1864" i="8"/>
  <c r="G1863" i="8"/>
  <c r="G1862" i="8"/>
  <c r="B143" i="15"/>
  <c r="G143" i="15" s="1" a="1"/>
  <c r="G143" i="15" s="1"/>
  <c r="B146" i="15"/>
  <c r="G146" i="15" s="1" a="1"/>
  <c r="G146" i="15" s="1"/>
  <c r="B152" i="15"/>
  <c r="G152" i="15" s="1" a="1"/>
  <c r="G152" i="15" s="1"/>
  <c r="B144" i="15"/>
  <c r="G144" i="15" s="1" a="1"/>
  <c r="G144" i="15" s="1"/>
  <c r="B139" i="15"/>
  <c r="G139" i="15" s="1" a="1"/>
  <c r="G139" i="15" s="1"/>
  <c r="B148" i="15"/>
  <c r="G148" i="15" s="1" a="1"/>
  <c r="G148" i="15" s="1"/>
  <c r="B147" i="15"/>
  <c r="G147" i="15" s="1" a="1"/>
  <c r="G147" i="15" s="1"/>
  <c r="B140" i="15"/>
  <c r="G140" i="15" s="1" a="1"/>
  <c r="G140" i="15" s="1"/>
  <c r="B151" i="15"/>
  <c r="G151" i="15" s="1" a="1"/>
  <c r="G151" i="15" s="1"/>
  <c r="B150" i="15"/>
  <c r="G150" i="15" s="1" a="1"/>
  <c r="G150" i="15" s="1"/>
  <c r="B145" i="15"/>
  <c r="G145" i="15" s="1" a="1"/>
  <c r="G145" i="15" s="1"/>
  <c r="B142" i="15"/>
  <c r="G142" i="15" s="1" a="1"/>
  <c r="G142" i="15" s="1"/>
  <c r="B149" i="15"/>
  <c r="G149" i="15" s="1" a="1"/>
  <c r="G149" i="15" s="1"/>
  <c r="B141" i="15"/>
  <c r="G141" i="15" s="1" a="1"/>
  <c r="G141" i="15" s="1"/>
  <c r="D5" i="17"/>
  <c r="D7" i="17" s="1"/>
  <c r="D9" i="17" s="1"/>
  <c r="D11" i="17" s="1"/>
  <c r="D13" i="17" s="1"/>
  <c r="D15" i="17" s="1"/>
  <c r="D17" i="17" s="1"/>
  <c r="D19" i="17" s="1"/>
  <c r="D21" i="17" s="1"/>
  <c r="D23" i="17" s="1"/>
  <c r="D4" i="17"/>
  <c r="D6" i="17" s="1"/>
  <c r="D8" i="17" s="1"/>
  <c r="D10" i="17" s="1"/>
  <c r="D12" i="17" s="1"/>
  <c r="D14" i="17" s="1"/>
  <c r="D16" i="17" s="1"/>
  <c r="D18" i="17" s="1"/>
  <c r="D20" i="17" s="1"/>
  <c r="D22" i="17" s="1"/>
  <c r="E197" i="15" l="1" a="1"/>
  <c r="E197" i="15" s="1"/>
  <c r="D200" i="15" a="1"/>
  <c r="D200" i="15" s="1"/>
  <c r="G197" i="15" a="1"/>
  <c r="G197" i="15" s="1"/>
  <c r="D193" i="15" a="1"/>
  <c r="D193" i="15" s="1"/>
  <c r="E200" i="15" a="1"/>
  <c r="E200" i="15" s="1"/>
  <c r="E179" i="15" a="1"/>
  <c r="E179" i="15" s="1"/>
  <c r="E180" i="15" a="1"/>
  <c r="E180" i="15" s="1"/>
  <c r="D201" i="15" a="1"/>
  <c r="D201" i="15" s="1"/>
  <c r="B194" i="15"/>
  <c r="E193" i="15" a="1"/>
  <c r="E193" i="15" s="1"/>
  <c r="I200" i="15"/>
  <c r="I201" i="15"/>
  <c r="E158" i="15" a="1"/>
  <c r="E158" i="15" s="1"/>
  <c r="E164" i="15" a="1"/>
  <c r="E164" i="15" s="1"/>
  <c r="D179" i="15" a="1"/>
  <c r="D179" i="15" s="1"/>
  <c r="G183" i="15" a="1"/>
  <c r="G183" i="15" s="1"/>
  <c r="G179" i="15" a="1"/>
  <c r="G179" i="15" s="1"/>
  <c r="D186" i="15" a="1"/>
  <c r="D186" i="15" s="1"/>
  <c r="E162" i="15" a="1"/>
  <c r="E162" i="15" s="1"/>
  <c r="G186" i="15" a="1"/>
  <c r="G186" i="15" s="1"/>
  <c r="D183" i="15" a="1"/>
  <c r="D183" i="15" s="1"/>
  <c r="E178" i="15" a="1"/>
  <c r="E178" i="15" s="1"/>
  <c r="G181" i="15" a="1"/>
  <c r="G181" i="15" s="1"/>
  <c r="D175" i="15" a="1"/>
  <c r="D175" i="15" s="1"/>
  <c r="G178" i="15" a="1"/>
  <c r="G178" i="15" s="1"/>
  <c r="E175" i="15" a="1"/>
  <c r="E175" i="15" s="1"/>
  <c r="E182" i="15" a="1"/>
  <c r="E182" i="15" s="1"/>
  <c r="C185" i="15"/>
  <c r="D187" i="15" a="1"/>
  <c r="D187" i="15" s="1"/>
  <c r="G175" i="15" a="1"/>
  <c r="G175" i="15" s="1"/>
  <c r="G182" i="15" a="1"/>
  <c r="G182" i="15" s="1"/>
  <c r="D185" i="15" a="1"/>
  <c r="D185" i="15" s="1"/>
  <c r="E185" i="15" a="1"/>
  <c r="E185" i="15" s="1"/>
  <c r="C188" i="15"/>
  <c r="E188" i="15" a="1"/>
  <c r="E188" i="15" s="1"/>
  <c r="D165" i="15" a="1"/>
  <c r="D165" i="15" s="1"/>
  <c r="G177" i="15" a="1"/>
  <c r="G177" i="15" s="1"/>
  <c r="E183" i="15" a="1"/>
  <c r="E183" i="15" s="1"/>
  <c r="C186" i="15"/>
  <c r="D25" i="17"/>
  <c r="D27" i="17" s="1"/>
  <c r="D29" i="17" s="1"/>
  <c r="D31" i="17" s="1"/>
  <c r="D33" i="17" s="1"/>
  <c r="D35" i="17" s="1"/>
  <c r="D37" i="17" s="1"/>
  <c r="D39" i="17" s="1"/>
  <c r="D41" i="17" s="1"/>
  <c r="D43" i="17" s="1"/>
  <c r="D45" i="17" s="1"/>
  <c r="D47" i="17" s="1"/>
  <c r="D49" i="17" s="1"/>
  <c r="D51" i="17" s="1"/>
  <c r="D53" i="17" s="1"/>
  <c r="D55" i="17" s="1"/>
  <c r="D57" i="17" s="1"/>
  <c r="D59" i="17" s="1"/>
  <c r="D61" i="17" s="1"/>
  <c r="D63" i="17" s="1"/>
  <c r="D65" i="17" s="1"/>
  <c r="D67" i="17" s="1"/>
  <c r="D69" i="17" s="1"/>
  <c r="D71" i="17" s="1"/>
  <c r="D73" i="17" s="1"/>
  <c r="D75" i="17" s="1"/>
  <c r="D77" i="17" s="1"/>
  <c r="D79" i="17" s="1"/>
  <c r="D81" i="17" s="1"/>
  <c r="D83" i="17" s="1"/>
  <c r="D85" i="17" s="1"/>
  <c r="D87" i="17" s="1"/>
  <c r="D89" i="17" s="1"/>
  <c r="D91" i="17" s="1"/>
  <c r="D93" i="17" s="1"/>
  <c r="D95" i="17" s="1"/>
  <c r="D97" i="17" s="1"/>
  <c r="D99" i="17" s="1"/>
  <c r="D101" i="17" s="1"/>
  <c r="D103" i="17" s="1"/>
  <c r="D105" i="17" s="1"/>
  <c r="D107" i="17" s="1"/>
  <c r="D109" i="17" s="1"/>
  <c r="D111" i="17" s="1"/>
  <c r="D113" i="17" s="1"/>
  <c r="D115" i="17" s="1"/>
  <c r="D117" i="17" s="1"/>
  <c r="D119" i="17" s="1"/>
  <c r="D121" i="17" s="1"/>
  <c r="D123" i="17" s="1"/>
  <c r="D125" i="17" s="1"/>
  <c r="D127" i="17" s="1"/>
  <c r="D129" i="17" s="1"/>
  <c r="D131" i="17" s="1"/>
  <c r="D133" i="17" s="1"/>
  <c r="D135" i="17" s="1"/>
  <c r="D137" i="17" s="1"/>
  <c r="D139" i="17" s="1"/>
  <c r="D141" i="17" s="1"/>
  <c r="D143" i="17" s="1"/>
  <c r="D145" i="17" s="1"/>
  <c r="D147" i="17" s="1"/>
  <c r="D149" i="17" s="1"/>
  <c r="D151" i="17" s="1"/>
  <c r="D153" i="17" s="1"/>
  <c r="D155" i="17" s="1"/>
  <c r="D157" i="17" s="1"/>
  <c r="D159" i="17" s="1"/>
  <c r="D161" i="17" s="1"/>
  <c r="D24" i="17"/>
  <c r="D26" i="17" s="1"/>
  <c r="D28" i="17" s="1"/>
  <c r="D30" i="17" s="1"/>
  <c r="D32" i="17" s="1"/>
  <c r="D34" i="17" s="1"/>
  <c r="D36" i="17" s="1"/>
  <c r="D38" i="17" s="1"/>
  <c r="D40" i="17" s="1"/>
  <c r="D42" i="17" s="1"/>
  <c r="D44" i="17" s="1"/>
  <c r="D46" i="17" s="1"/>
  <c r="D48" i="17" s="1"/>
  <c r="D50" i="17" s="1"/>
  <c r="D52" i="17" s="1"/>
  <c r="D54" i="17" s="1"/>
  <c r="D56" i="17" s="1"/>
  <c r="D58" i="17" s="1"/>
  <c r="D60" i="17" s="1"/>
  <c r="D62" i="17" s="1"/>
  <c r="D64" i="17" s="1"/>
  <c r="D66" i="17" s="1"/>
  <c r="D68" i="17" s="1"/>
  <c r="D70" i="17" s="1"/>
  <c r="D72" i="17" s="1"/>
  <c r="D74" i="17" s="1"/>
  <c r="D76" i="17" s="1"/>
  <c r="D78" i="17" s="1"/>
  <c r="D80" i="17" s="1"/>
  <c r="D82" i="17" s="1"/>
  <c r="D84" i="17" s="1"/>
  <c r="D86" i="17" s="1"/>
  <c r="D88" i="17" s="1"/>
  <c r="D90" i="17" s="1"/>
  <c r="D92" i="17" s="1"/>
  <c r="D94" i="17" s="1"/>
  <c r="D96" i="17" s="1"/>
  <c r="D98" i="17" s="1"/>
  <c r="D100" i="17" s="1"/>
  <c r="D102" i="17" s="1"/>
  <c r="D104" i="17" s="1"/>
  <c r="D106" i="17" s="1"/>
  <c r="D108" i="17" s="1"/>
  <c r="D110" i="17" s="1"/>
  <c r="D112" i="17" s="1"/>
  <c r="D114" i="17" s="1"/>
  <c r="D116" i="17" s="1"/>
  <c r="D118" i="17" s="1"/>
  <c r="D120" i="17" s="1"/>
  <c r="D122" i="17" s="1"/>
  <c r="D124" i="17" s="1"/>
  <c r="D126" i="17" s="1"/>
  <c r="D128" i="17" s="1"/>
  <c r="D130" i="17" s="1"/>
  <c r="D132" i="17" s="1"/>
  <c r="D134" i="17" s="1"/>
  <c r="D136" i="17" s="1"/>
  <c r="D138" i="17" s="1"/>
  <c r="D140" i="17" s="1"/>
  <c r="D142" i="17" s="1"/>
  <c r="D144" i="17" s="1"/>
  <c r="D146" i="17" s="1"/>
  <c r="D148" i="17" s="1"/>
  <c r="D150" i="17" s="1"/>
  <c r="D152" i="17" s="1"/>
  <c r="D154" i="17" s="1"/>
  <c r="D156" i="17" s="1"/>
  <c r="D158" i="17" s="1"/>
  <c r="D160" i="17" s="1"/>
  <c r="I176" i="15"/>
  <c r="C177" i="15"/>
  <c r="C181" i="15"/>
  <c r="E184" i="15" a="1"/>
  <c r="E184" i="15" s="1"/>
  <c r="C178" i="15"/>
  <c r="C182" i="15"/>
  <c r="E176" i="15" a="1"/>
  <c r="E176" i="15" s="1"/>
  <c r="D177" i="15" a="1"/>
  <c r="D177" i="15" s="1"/>
  <c r="I178" i="15"/>
  <c r="I179" i="15"/>
  <c r="G180" i="15" a="1"/>
  <c r="G180" i="15" s="1"/>
  <c r="E181" i="15" a="1"/>
  <c r="E181" i="15" s="1"/>
  <c r="I183" i="15"/>
  <c r="G184" i="15" a="1"/>
  <c r="G184" i="15" s="1"/>
  <c r="E186" i="15" a="1"/>
  <c r="E186" i="15" s="1"/>
  <c r="D188" i="15" a="1"/>
  <c r="D188" i="15" s="1"/>
  <c r="D180" i="15" a="1"/>
  <c r="D180" i="15" s="1"/>
  <c r="I181" i="15"/>
  <c r="I175" i="15"/>
  <c r="G176" i="15" a="1"/>
  <c r="G176" i="15" s="1"/>
  <c r="E177" i="15" a="1"/>
  <c r="E177" i="15" s="1"/>
  <c r="D182" i="15" a="1"/>
  <c r="D182" i="15" s="1"/>
  <c r="G185" i="15" a="1"/>
  <c r="G185" i="15" s="1"/>
  <c r="E187" i="15" a="1"/>
  <c r="E187" i="15" s="1"/>
  <c r="I180" i="15"/>
  <c r="I184" i="15"/>
  <c r="C176" i="15"/>
  <c r="C180" i="15"/>
  <c r="C184" i="15"/>
  <c r="G187" i="15" a="1"/>
  <c r="G187" i="15" s="1"/>
  <c r="G188" i="15" a="1"/>
  <c r="G188" i="15" s="1"/>
  <c r="I187" i="15"/>
  <c r="G159" i="15" a="1"/>
  <c r="G159" i="15" s="1"/>
  <c r="G164" i="15" a="1"/>
  <c r="G164" i="15" s="1"/>
  <c r="E165" i="15" a="1"/>
  <c r="E165" i="15" s="1"/>
  <c r="C169" i="15"/>
  <c r="G163" i="15" a="1"/>
  <c r="G163" i="15" s="1"/>
  <c r="C166" i="15"/>
  <c r="C170" i="15"/>
  <c r="D166" i="15" a="1"/>
  <c r="D166" i="15" s="1"/>
  <c r="C162" i="15"/>
  <c r="E161" i="15" a="1"/>
  <c r="E161" i="15" s="1"/>
  <c r="D157" i="15" a="1"/>
  <c r="D157" i="15" s="1"/>
  <c r="G161" i="15" a="1"/>
  <c r="G161" i="15" s="1"/>
  <c r="E157" i="15" a="1"/>
  <c r="E157" i="15" s="1"/>
  <c r="G157" i="15" a="1"/>
  <c r="G157" i="15" s="1"/>
  <c r="E160" i="15" a="1"/>
  <c r="E160" i="15" s="1"/>
  <c r="G160" i="15" a="1"/>
  <c r="G160" i="15" s="1"/>
  <c r="C167" i="15"/>
  <c r="D161" i="15" a="1"/>
  <c r="D161" i="15" s="1"/>
  <c r="D158" i="15" a="1"/>
  <c r="D158" i="15" s="1"/>
  <c r="I159" i="15"/>
  <c r="D163" i="15" a="1"/>
  <c r="D163" i="15" s="1"/>
  <c r="I164" i="15"/>
  <c r="G165" i="15" a="1"/>
  <c r="G165" i="15" s="1"/>
  <c r="E166" i="15" a="1"/>
  <c r="E166" i="15" s="1"/>
  <c r="D168" i="15" a="1"/>
  <c r="D168" i="15" s="1"/>
  <c r="C160" i="15"/>
  <c r="C164" i="15"/>
  <c r="E167" i="15" a="1"/>
  <c r="E167" i="15" s="1"/>
  <c r="D169" i="15" a="1"/>
  <c r="D169" i="15" s="1"/>
  <c r="I158" i="15"/>
  <c r="E159" i="15" a="1"/>
  <c r="E159" i="15" s="1"/>
  <c r="I165" i="15"/>
  <c r="G166" i="15" a="1"/>
  <c r="G166" i="15" s="1"/>
  <c r="E168" i="15" a="1"/>
  <c r="E168" i="15" s="1"/>
  <c r="D170" i="15" a="1"/>
  <c r="D170" i="15" s="1"/>
  <c r="I157" i="15"/>
  <c r="G158" i="15" a="1"/>
  <c r="G158" i="15" s="1"/>
  <c r="D160" i="15" a="1"/>
  <c r="D160" i="15" s="1"/>
  <c r="I161" i="15"/>
  <c r="G162" i="15" a="1"/>
  <c r="G162" i="15" s="1"/>
  <c r="E163" i="15" a="1"/>
  <c r="E163" i="15" s="1"/>
  <c r="G167" i="15" a="1"/>
  <c r="G167" i="15" s="1"/>
  <c r="E169" i="15" a="1"/>
  <c r="E169" i="15" s="1"/>
  <c r="I162" i="15"/>
  <c r="G168" i="15" a="1"/>
  <c r="G168" i="15" s="1"/>
  <c r="E170" i="15" a="1"/>
  <c r="E170" i="15" s="1"/>
  <c r="C158" i="15"/>
  <c r="I167" i="15"/>
  <c r="G169" i="15" a="1"/>
  <c r="G169" i="15" s="1"/>
  <c r="D162" i="15" a="1"/>
  <c r="D162" i="15" s="1"/>
  <c r="I163" i="15"/>
  <c r="I168" i="15"/>
  <c r="G170" i="15" a="1"/>
  <c r="G170" i="15" s="1"/>
  <c r="C159" i="15"/>
  <c r="C152" i="15"/>
  <c r="C144" i="15"/>
  <c r="I149" i="15"/>
  <c r="I150" i="15"/>
  <c r="I151" i="15"/>
  <c r="I152" i="15"/>
  <c r="I145" i="15"/>
  <c r="I146" i="15"/>
  <c r="I147" i="15"/>
  <c r="I148" i="15"/>
  <c r="I143" i="15"/>
  <c r="I144" i="15"/>
  <c r="I139" i="15"/>
  <c r="I140" i="15"/>
  <c r="I141" i="15"/>
  <c r="I142" i="15"/>
  <c r="C139" i="15"/>
  <c r="C140" i="15"/>
  <c r="C141" i="15"/>
  <c r="C142" i="15"/>
  <c r="C143" i="15"/>
  <c r="C145" i="15"/>
  <c r="C146" i="15"/>
  <c r="C147" i="15"/>
  <c r="C148" i="15"/>
  <c r="C149" i="15"/>
  <c r="C150" i="15"/>
  <c r="C151" i="15"/>
  <c r="D139" i="15" a="1"/>
  <c r="D139" i="15" s="1"/>
  <c r="D140" i="15" a="1"/>
  <c r="D140" i="15" s="1"/>
  <c r="D141" i="15" a="1"/>
  <c r="D141" i="15" s="1"/>
  <c r="D142" i="15" a="1"/>
  <c r="D142" i="15" s="1"/>
  <c r="D143" i="15" a="1"/>
  <c r="D143" i="15" s="1"/>
  <c r="D144" i="15" a="1"/>
  <c r="D144" i="15" s="1"/>
  <c r="D145" i="15" a="1"/>
  <c r="D145" i="15" s="1"/>
  <c r="D146" i="15" a="1"/>
  <c r="D146" i="15" s="1"/>
  <c r="D147" i="15" a="1"/>
  <c r="D147" i="15" s="1"/>
  <c r="D148" i="15" a="1"/>
  <c r="D148" i="15" s="1"/>
  <c r="D149" i="15" a="1"/>
  <c r="D149" i="15" s="1"/>
  <c r="D150" i="15" a="1"/>
  <c r="D150" i="15" s="1"/>
  <c r="D151" i="15" a="1"/>
  <c r="D151" i="15" s="1"/>
  <c r="D152" i="15" a="1"/>
  <c r="D152" i="15" s="1"/>
  <c r="E139" i="15" a="1"/>
  <c r="E139" i="15" s="1"/>
  <c r="E140" i="15" a="1"/>
  <c r="E140" i="15" s="1"/>
  <c r="E141" i="15" a="1"/>
  <c r="E141" i="15" s="1"/>
  <c r="E142" i="15" a="1"/>
  <c r="E142" i="15" s="1"/>
  <c r="E143" i="15" a="1"/>
  <c r="E143" i="15" s="1"/>
  <c r="E144" i="15" a="1"/>
  <c r="E144" i="15" s="1"/>
  <c r="E145" i="15" a="1"/>
  <c r="E145" i="15" s="1"/>
  <c r="E146" i="15" a="1"/>
  <c r="E146" i="15" s="1"/>
  <c r="E147" i="15" a="1"/>
  <c r="E147" i="15" s="1"/>
  <c r="E148" i="15" a="1"/>
  <c r="E148" i="15" s="1"/>
  <c r="E149" i="15" a="1"/>
  <c r="E149" i="15" s="1"/>
  <c r="E150" i="15" a="1"/>
  <c r="E150" i="15" s="1"/>
  <c r="E151" i="15" a="1"/>
  <c r="E151" i="15" s="1"/>
  <c r="E152" i="15" a="1"/>
  <c r="E152" i="15" s="1"/>
  <c r="L194" i="15" l="1"/>
  <c r="L201" i="15"/>
  <c r="L193" i="15"/>
  <c r="L197" i="15"/>
  <c r="L196" i="15"/>
  <c r="L200" i="15"/>
  <c r="L198" i="15"/>
  <c r="L199" i="15"/>
  <c r="L195" i="15"/>
  <c r="B195" i="15"/>
  <c r="I194" i="15"/>
  <c r="D183" i="17"/>
  <c r="D185" i="17" s="1"/>
  <c r="D187" i="17" s="1"/>
  <c r="D189" i="17" s="1"/>
  <c r="D191" i="17" s="1"/>
  <c r="D193" i="17" s="1"/>
  <c r="D195" i="17" s="1"/>
  <c r="D197" i="17" s="1"/>
  <c r="D199" i="17" s="1"/>
  <c r="D201" i="17" s="1"/>
  <c r="D203" i="17" s="1"/>
  <c r="D205" i="17" s="1"/>
  <c r="D207" i="17" s="1"/>
  <c r="D209" i="17" s="1"/>
  <c r="D211" i="17" s="1"/>
  <c r="D213" i="17" s="1"/>
  <c r="D215" i="17" s="1"/>
  <c r="D217" i="17" s="1"/>
  <c r="D219" i="17" s="1"/>
  <c r="D221" i="17" s="1"/>
  <c r="D223" i="17" s="1"/>
  <c r="D225" i="17" s="1"/>
  <c r="D227" i="17" s="1"/>
  <c r="D229" i="17" s="1"/>
  <c r="D231" i="17" s="1"/>
  <c r="D233" i="17" s="1"/>
  <c r="D235" i="17" s="1"/>
  <c r="D237" i="17" s="1"/>
  <c r="D239" i="17" s="1"/>
  <c r="D241" i="17" s="1"/>
  <c r="D243" i="17" s="1"/>
  <c r="D245" i="17" s="1"/>
  <c r="D247" i="17" s="1"/>
  <c r="D249" i="17" s="1"/>
  <c r="D251" i="17" s="1"/>
  <c r="D253" i="17" s="1"/>
  <c r="D255" i="17" s="1"/>
  <c r="D257" i="17" s="1"/>
  <c r="D259" i="17" s="1"/>
  <c r="D261" i="17" s="1"/>
  <c r="D263" i="17" s="1"/>
  <c r="D265" i="17" s="1"/>
  <c r="D267" i="17" s="1"/>
  <c r="D269" i="17" s="1"/>
  <c r="D271" i="17" s="1"/>
  <c r="D273" i="17" s="1"/>
  <c r="D275" i="17" s="1"/>
  <c r="D277" i="17" s="1"/>
  <c r="D279" i="17" s="1"/>
  <c r="D281" i="17" s="1"/>
  <c r="D283" i="17" s="1"/>
  <c r="D285" i="17" s="1"/>
  <c r="D287" i="17" s="1"/>
  <c r="D289" i="17" s="1"/>
  <c r="D291" i="17" s="1"/>
  <c r="D293" i="17" s="1"/>
  <c r="D295" i="17" s="1"/>
  <c r="D297" i="17" s="1"/>
  <c r="D299" i="17" s="1"/>
  <c r="D301" i="17" s="1"/>
  <c r="D303" i="17" s="1"/>
  <c r="D305" i="17" s="1"/>
  <c r="D307" i="17" s="1"/>
  <c r="D309" i="17" s="1"/>
  <c r="D311" i="17" s="1"/>
  <c r="D313" i="17" s="1"/>
  <c r="D315" i="17" s="1"/>
  <c r="D317" i="17" s="1"/>
  <c r="D319" i="17" s="1"/>
  <c r="D321" i="17" s="1"/>
  <c r="D323" i="17" s="1"/>
  <c r="D325" i="17" s="1"/>
  <c r="D327" i="17" s="1"/>
  <c r="D329" i="17" s="1"/>
  <c r="D331" i="17" s="1"/>
  <c r="D333" i="17" s="1"/>
  <c r="D335" i="17" s="1"/>
  <c r="D337" i="17" s="1"/>
  <c r="D339" i="17" s="1"/>
  <c r="D341" i="17" s="1"/>
  <c r="D343" i="17" s="1"/>
  <c r="D345" i="17" s="1"/>
  <c r="D347" i="17" s="1"/>
  <c r="D349" i="17" s="1"/>
  <c r="D351" i="17" s="1"/>
  <c r="D353" i="17" s="1"/>
  <c r="D355" i="17" s="1"/>
  <c r="D357" i="17" s="1"/>
  <c r="D359" i="17" s="1"/>
  <c r="D163" i="17"/>
  <c r="D165" i="17" s="1"/>
  <c r="D167" i="17" s="1"/>
  <c r="D169" i="17" s="1"/>
  <c r="D171" i="17" s="1"/>
  <c r="D173" i="17" s="1"/>
  <c r="D175" i="17" s="1"/>
  <c r="D177" i="17" s="1"/>
  <c r="D179" i="17" s="1"/>
  <c r="D181" i="17" s="1"/>
  <c r="D182" i="17"/>
  <c r="D184" i="17" s="1"/>
  <c r="D186" i="17" s="1"/>
  <c r="D188" i="17" s="1"/>
  <c r="D190" i="17" s="1"/>
  <c r="D192" i="17" s="1"/>
  <c r="D194" i="17" s="1"/>
  <c r="D196" i="17" s="1"/>
  <c r="D198" i="17" s="1"/>
  <c r="D200" i="17" s="1"/>
  <c r="D202" i="17" s="1"/>
  <c r="D204" i="17" s="1"/>
  <c r="D206" i="17" s="1"/>
  <c r="D208" i="17" s="1"/>
  <c r="D210" i="17" s="1"/>
  <c r="D212" i="17" s="1"/>
  <c r="D214" i="17" s="1"/>
  <c r="D216" i="17" s="1"/>
  <c r="D218" i="17" s="1"/>
  <c r="D220" i="17" s="1"/>
  <c r="D222" i="17" s="1"/>
  <c r="D224" i="17" s="1"/>
  <c r="D226" i="17" s="1"/>
  <c r="D228" i="17" s="1"/>
  <c r="D230" i="17" s="1"/>
  <c r="D232" i="17" s="1"/>
  <c r="D234" i="17" s="1"/>
  <c r="D236" i="17" s="1"/>
  <c r="D238" i="17" s="1"/>
  <c r="D240" i="17" s="1"/>
  <c r="D242" i="17" s="1"/>
  <c r="D244" i="17" s="1"/>
  <c r="D246" i="17" s="1"/>
  <c r="D248" i="17" s="1"/>
  <c r="D250" i="17" s="1"/>
  <c r="D252" i="17" s="1"/>
  <c r="D254" i="17" s="1"/>
  <c r="D256" i="17" s="1"/>
  <c r="D258" i="17" s="1"/>
  <c r="D260" i="17" s="1"/>
  <c r="D262" i="17" s="1"/>
  <c r="D264" i="17" s="1"/>
  <c r="D266" i="17" s="1"/>
  <c r="D268" i="17" s="1"/>
  <c r="D270" i="17" s="1"/>
  <c r="D272" i="17" s="1"/>
  <c r="D274" i="17" s="1"/>
  <c r="D276" i="17" s="1"/>
  <c r="D278" i="17" s="1"/>
  <c r="D280" i="17" s="1"/>
  <c r="D282" i="17" s="1"/>
  <c r="D284" i="17" s="1"/>
  <c r="D286" i="17" s="1"/>
  <c r="D288" i="17" s="1"/>
  <c r="D290" i="17" s="1"/>
  <c r="D292" i="17" s="1"/>
  <c r="D294" i="17" s="1"/>
  <c r="D296" i="17" s="1"/>
  <c r="D298" i="17" s="1"/>
  <c r="D300" i="17" s="1"/>
  <c r="D302" i="17" s="1"/>
  <c r="D304" i="17" s="1"/>
  <c r="D306" i="17" s="1"/>
  <c r="D308" i="17" s="1"/>
  <c r="D310" i="17" s="1"/>
  <c r="D312" i="17" s="1"/>
  <c r="D314" i="17" s="1"/>
  <c r="D316" i="17" s="1"/>
  <c r="D318" i="17" s="1"/>
  <c r="D320" i="17" s="1"/>
  <c r="D322" i="17" s="1"/>
  <c r="D324" i="17" s="1"/>
  <c r="D326" i="17" s="1"/>
  <c r="D328" i="17" s="1"/>
  <c r="D330" i="17" s="1"/>
  <c r="D332" i="17" s="1"/>
  <c r="D334" i="17" s="1"/>
  <c r="D336" i="17" s="1"/>
  <c r="D338" i="17" s="1"/>
  <c r="D340" i="17" s="1"/>
  <c r="D342" i="17" s="1"/>
  <c r="D344" i="17" s="1"/>
  <c r="D346" i="17" s="1"/>
  <c r="D348" i="17" s="1"/>
  <c r="D350" i="17" s="1"/>
  <c r="D352" i="17" s="1"/>
  <c r="D354" i="17" s="1"/>
  <c r="D356" i="17" s="1"/>
  <c r="D358" i="17" s="1"/>
  <c r="D360" i="17" s="1"/>
  <c r="D162" i="17"/>
  <c r="D164" i="17" s="1"/>
  <c r="D166" i="17" s="1"/>
  <c r="D168" i="17" s="1"/>
  <c r="D170" i="17" s="1"/>
  <c r="D172" i="17" s="1"/>
  <c r="D174" i="17" s="1"/>
  <c r="D176" i="17" s="1"/>
  <c r="D178" i="17" s="1"/>
  <c r="D180" i="17" s="1"/>
  <c r="L176" i="15"/>
  <c r="L183" i="15"/>
  <c r="L175" i="15"/>
  <c r="L182" i="15"/>
  <c r="L181" i="15"/>
  <c r="L180" i="15"/>
  <c r="L179" i="15"/>
  <c r="L177" i="15"/>
  <c r="L178" i="15"/>
  <c r="L165" i="15"/>
  <c r="L157" i="15"/>
  <c r="L164" i="15"/>
  <c r="L163" i="15"/>
  <c r="L162" i="15"/>
  <c r="L161" i="15"/>
  <c r="L160" i="15"/>
  <c r="L159" i="15"/>
  <c r="L158" i="15"/>
  <c r="L147" i="15"/>
  <c r="L145" i="15"/>
  <c r="L146" i="15"/>
  <c r="L144" i="15"/>
  <c r="L143" i="15"/>
  <c r="L142" i="15"/>
  <c r="L141" i="15"/>
  <c r="L140" i="15"/>
  <c r="L139" i="15"/>
  <c r="Y21" i="17"/>
  <c r="X21" i="17"/>
  <c r="W21" i="17"/>
  <c r="V21" i="17"/>
  <c r="U21" i="17"/>
  <c r="T21" i="17"/>
  <c r="S21" i="17"/>
  <c r="R21" i="17"/>
  <c r="Q21" i="17"/>
  <c r="P21" i="17"/>
  <c r="O21" i="17"/>
  <c r="N21" i="17"/>
  <c r="M21" i="17"/>
  <c r="J21" i="17"/>
  <c r="I21" i="17"/>
  <c r="H21" i="17"/>
  <c r="E21" i="17"/>
  <c r="F21" i="17" s="1"/>
  <c r="Y20" i="17"/>
  <c r="X20" i="17"/>
  <c r="W20" i="17"/>
  <c r="V20" i="17"/>
  <c r="U20" i="17"/>
  <c r="T20" i="17"/>
  <c r="S20" i="17"/>
  <c r="R20" i="17"/>
  <c r="Q20" i="17"/>
  <c r="P20" i="17"/>
  <c r="O20" i="17"/>
  <c r="N20" i="17"/>
  <c r="M20" i="17"/>
  <c r="J20" i="17"/>
  <c r="I20" i="17"/>
  <c r="H20" i="17"/>
  <c r="E20" i="17"/>
  <c r="F20" i="17" s="1"/>
  <c r="Y19" i="17"/>
  <c r="X19" i="17"/>
  <c r="W19" i="17"/>
  <c r="V19" i="17"/>
  <c r="U19" i="17"/>
  <c r="T19" i="17"/>
  <c r="S19" i="17"/>
  <c r="R19" i="17"/>
  <c r="Q19" i="17"/>
  <c r="P19" i="17"/>
  <c r="O19" i="17"/>
  <c r="N19" i="17"/>
  <c r="M19" i="17"/>
  <c r="J19" i="17"/>
  <c r="I19" i="17"/>
  <c r="H19" i="17"/>
  <c r="E19" i="17"/>
  <c r="F19" i="17" s="1"/>
  <c r="Y18" i="17"/>
  <c r="X18" i="17"/>
  <c r="W18" i="17"/>
  <c r="V18" i="17"/>
  <c r="U18" i="17"/>
  <c r="T18" i="17"/>
  <c r="S18" i="17"/>
  <c r="R18" i="17"/>
  <c r="Q18" i="17"/>
  <c r="P18" i="17"/>
  <c r="O18" i="17"/>
  <c r="N18" i="17"/>
  <c r="M18" i="17"/>
  <c r="J18" i="17"/>
  <c r="I18" i="17"/>
  <c r="H18" i="17"/>
  <c r="E18" i="17"/>
  <c r="F18" i="17" s="1"/>
  <c r="Y17" i="17"/>
  <c r="X17" i="17"/>
  <c r="W17" i="17"/>
  <c r="V17" i="17"/>
  <c r="U17" i="17"/>
  <c r="T17" i="17"/>
  <c r="S17" i="17"/>
  <c r="R17" i="17"/>
  <c r="Q17" i="17"/>
  <c r="P17" i="17"/>
  <c r="O17" i="17"/>
  <c r="N17" i="17"/>
  <c r="M17" i="17"/>
  <c r="J17" i="17"/>
  <c r="I17" i="17"/>
  <c r="H17" i="17"/>
  <c r="E17" i="17"/>
  <c r="F17" i="17" s="1"/>
  <c r="Y16" i="17"/>
  <c r="X16" i="17"/>
  <c r="W16" i="17"/>
  <c r="V16" i="17"/>
  <c r="U16" i="17"/>
  <c r="T16" i="17"/>
  <c r="S16" i="17"/>
  <c r="R16" i="17"/>
  <c r="Q16" i="17"/>
  <c r="P16" i="17"/>
  <c r="O16" i="17"/>
  <c r="N16" i="17"/>
  <c r="M16" i="17"/>
  <c r="J16" i="17"/>
  <c r="I16" i="17"/>
  <c r="H16" i="17"/>
  <c r="E16" i="17"/>
  <c r="F16" i="17" s="1"/>
  <c r="Y15" i="17"/>
  <c r="X15" i="17"/>
  <c r="W15" i="17"/>
  <c r="V15" i="17"/>
  <c r="U15" i="17"/>
  <c r="T15" i="17"/>
  <c r="S15" i="17"/>
  <c r="R15" i="17"/>
  <c r="Q15" i="17"/>
  <c r="P15" i="17"/>
  <c r="O15" i="17"/>
  <c r="N15" i="17"/>
  <c r="M15" i="17"/>
  <c r="J15" i="17"/>
  <c r="I15" i="17"/>
  <c r="H15" i="17"/>
  <c r="E15" i="17"/>
  <c r="F15" i="17" s="1"/>
  <c r="Y14" i="17"/>
  <c r="X14" i="17"/>
  <c r="W14" i="17"/>
  <c r="V14" i="17"/>
  <c r="U14" i="17"/>
  <c r="T14" i="17"/>
  <c r="S14" i="17"/>
  <c r="R14" i="17"/>
  <c r="Q14" i="17"/>
  <c r="P14" i="17"/>
  <c r="O14" i="17"/>
  <c r="N14" i="17"/>
  <c r="M14" i="17"/>
  <c r="J14" i="17"/>
  <c r="I14" i="17"/>
  <c r="H14" i="17"/>
  <c r="E14" i="17"/>
  <c r="F14" i="17" s="1"/>
  <c r="Y13" i="17"/>
  <c r="X13" i="17"/>
  <c r="W13" i="17"/>
  <c r="V13" i="17"/>
  <c r="U13" i="17"/>
  <c r="T13" i="17"/>
  <c r="S13" i="17"/>
  <c r="R13" i="17"/>
  <c r="Q13" i="17"/>
  <c r="P13" i="17"/>
  <c r="O13" i="17"/>
  <c r="N13" i="17"/>
  <c r="M13" i="17"/>
  <c r="J13" i="17"/>
  <c r="I13" i="17"/>
  <c r="H13" i="17"/>
  <c r="E13" i="17"/>
  <c r="F13" i="17" s="1"/>
  <c r="Y12" i="17"/>
  <c r="X12" i="17"/>
  <c r="W12" i="17"/>
  <c r="V12" i="17"/>
  <c r="U12" i="17"/>
  <c r="T12" i="17"/>
  <c r="S12" i="17"/>
  <c r="R12" i="17"/>
  <c r="Q12" i="17"/>
  <c r="P12" i="17"/>
  <c r="O12" i="17"/>
  <c r="N12" i="17"/>
  <c r="M12" i="17"/>
  <c r="J12" i="17"/>
  <c r="I12" i="17"/>
  <c r="H12" i="17"/>
  <c r="E12" i="17"/>
  <c r="F12" i="17" s="1"/>
  <c r="Y11" i="17"/>
  <c r="X11" i="17"/>
  <c r="W11" i="17"/>
  <c r="V11" i="17"/>
  <c r="U11" i="17"/>
  <c r="T11" i="17"/>
  <c r="S11" i="17"/>
  <c r="R11" i="17"/>
  <c r="Q11" i="17"/>
  <c r="P11" i="17"/>
  <c r="O11" i="17"/>
  <c r="N11" i="17"/>
  <c r="M11" i="17"/>
  <c r="J11" i="17"/>
  <c r="I11" i="17"/>
  <c r="H11" i="17"/>
  <c r="E11" i="17"/>
  <c r="F11" i="17" s="1"/>
  <c r="Y10" i="17"/>
  <c r="X10" i="17"/>
  <c r="W10" i="17"/>
  <c r="V10" i="17"/>
  <c r="U10" i="17"/>
  <c r="T10" i="17"/>
  <c r="S10" i="17"/>
  <c r="R10" i="17"/>
  <c r="Q10" i="17"/>
  <c r="P10" i="17"/>
  <c r="O10" i="17"/>
  <c r="N10" i="17"/>
  <c r="M10" i="17"/>
  <c r="J10" i="17"/>
  <c r="I10" i="17"/>
  <c r="H10" i="17"/>
  <c r="E10" i="17"/>
  <c r="F10" i="17" s="1"/>
  <c r="Y9" i="17"/>
  <c r="X9" i="17"/>
  <c r="W9" i="17"/>
  <c r="V9" i="17"/>
  <c r="U9" i="17"/>
  <c r="T9" i="17"/>
  <c r="S9" i="17"/>
  <c r="R9" i="17"/>
  <c r="Q9" i="17"/>
  <c r="P9" i="17"/>
  <c r="O9" i="17"/>
  <c r="N9" i="17"/>
  <c r="M9" i="17"/>
  <c r="J9" i="17"/>
  <c r="I9" i="17"/>
  <c r="H9" i="17"/>
  <c r="E9" i="17"/>
  <c r="F9" i="17" s="1"/>
  <c r="Y8" i="17"/>
  <c r="X8" i="17"/>
  <c r="W8" i="17"/>
  <c r="V8" i="17"/>
  <c r="U8" i="17"/>
  <c r="T8" i="17"/>
  <c r="S8" i="17"/>
  <c r="R8" i="17"/>
  <c r="Q8" i="17"/>
  <c r="P8" i="17"/>
  <c r="O8" i="17"/>
  <c r="N8" i="17"/>
  <c r="M8" i="17"/>
  <c r="J8" i="17"/>
  <c r="I8" i="17"/>
  <c r="H8" i="17"/>
  <c r="E8" i="17"/>
  <c r="F8" i="17" s="1"/>
  <c r="Y7" i="17"/>
  <c r="X7" i="17"/>
  <c r="W7" i="17"/>
  <c r="V7" i="17"/>
  <c r="U7" i="17"/>
  <c r="T7" i="17"/>
  <c r="S7" i="17"/>
  <c r="R7" i="17"/>
  <c r="Q7" i="17"/>
  <c r="P7" i="17"/>
  <c r="O7" i="17"/>
  <c r="N7" i="17"/>
  <c r="M7" i="17"/>
  <c r="J7" i="17"/>
  <c r="I7" i="17"/>
  <c r="H7" i="17"/>
  <c r="E7" i="17"/>
  <c r="F7" i="17" s="1"/>
  <c r="Y6" i="17"/>
  <c r="X6" i="17"/>
  <c r="W6" i="17"/>
  <c r="V6" i="17"/>
  <c r="U6" i="17"/>
  <c r="T6" i="17"/>
  <c r="S6" i="17"/>
  <c r="R6" i="17"/>
  <c r="Q6" i="17"/>
  <c r="P6" i="17"/>
  <c r="O6" i="17"/>
  <c r="N6" i="17"/>
  <c r="M6" i="17"/>
  <c r="J6" i="17"/>
  <c r="I6" i="17"/>
  <c r="H6" i="17"/>
  <c r="E6" i="17"/>
  <c r="F6" i="17" s="1"/>
  <c r="Y5" i="17"/>
  <c r="X5" i="17"/>
  <c r="W5" i="17"/>
  <c r="V5" i="17"/>
  <c r="U5" i="17"/>
  <c r="T5" i="17"/>
  <c r="S5" i="17"/>
  <c r="R5" i="17"/>
  <c r="Q5" i="17"/>
  <c r="P5" i="17"/>
  <c r="O5" i="17"/>
  <c r="N5" i="17"/>
  <c r="M5" i="17"/>
  <c r="J5" i="17"/>
  <c r="I5" i="17"/>
  <c r="H5" i="17"/>
  <c r="E5" i="17"/>
  <c r="F5" i="17" s="1"/>
  <c r="Y4" i="17"/>
  <c r="X4" i="17"/>
  <c r="W4" i="17"/>
  <c r="V4" i="17"/>
  <c r="U4" i="17"/>
  <c r="T4" i="17"/>
  <c r="S4" i="17"/>
  <c r="R4" i="17"/>
  <c r="Q4" i="17"/>
  <c r="P4" i="17"/>
  <c r="O4" i="17"/>
  <c r="N4" i="17"/>
  <c r="M4" i="17"/>
  <c r="J4" i="17"/>
  <c r="I4" i="17"/>
  <c r="H4" i="17"/>
  <c r="E4" i="17"/>
  <c r="F4" i="17" s="1"/>
  <c r="Y3" i="17"/>
  <c r="X3" i="17"/>
  <c r="W3" i="17"/>
  <c r="V3" i="17"/>
  <c r="U3" i="17"/>
  <c r="T3" i="17"/>
  <c r="S3" i="17"/>
  <c r="R3" i="17"/>
  <c r="Q3" i="17"/>
  <c r="P3" i="17"/>
  <c r="O3" i="17"/>
  <c r="N3" i="17"/>
  <c r="M3" i="17"/>
  <c r="Y2" i="17"/>
  <c r="X2" i="17"/>
  <c r="W2" i="17"/>
  <c r="V2" i="17"/>
  <c r="U2" i="17"/>
  <c r="T2" i="17"/>
  <c r="S2" i="17"/>
  <c r="R2" i="17"/>
  <c r="Q2" i="17"/>
  <c r="P2" i="17"/>
  <c r="O2" i="17"/>
  <c r="N2" i="17"/>
  <c r="M2" i="17"/>
  <c r="J3" i="17"/>
  <c r="I3" i="17"/>
  <c r="H3" i="17"/>
  <c r="J2" i="17"/>
  <c r="I2" i="17"/>
  <c r="H2" i="17"/>
  <c r="E3" i="17"/>
  <c r="F3" i="17" s="1"/>
  <c r="E2" i="17"/>
  <c r="F2" i="17" s="1"/>
  <c r="B134" i="15"/>
  <c r="B133" i="15"/>
  <c r="B132" i="15"/>
  <c r="B131" i="15"/>
  <c r="B130" i="15"/>
  <c r="B129" i="15"/>
  <c r="B128" i="15"/>
  <c r="B127" i="15"/>
  <c r="B126" i="15"/>
  <c r="B125" i="15"/>
  <c r="B124" i="15"/>
  <c r="B123" i="15"/>
  <c r="B122" i="15"/>
  <c r="B113" i="15"/>
  <c r="I113" i="15" s="1"/>
  <c r="I114" i="15" s="1"/>
  <c r="I115" i="15" s="1"/>
  <c r="I116" i="15" s="1"/>
  <c r="I117" i="15" s="1"/>
  <c r="I118" i="15" s="1"/>
  <c r="I119" i="15" s="1"/>
  <c r="I120" i="15" s="1"/>
  <c r="I121" i="15" s="1"/>
  <c r="G1861" i="8"/>
  <c r="G1860" i="8"/>
  <c r="G1859" i="8"/>
  <c r="G1858" i="8"/>
  <c r="G1857" i="8"/>
  <c r="G1856" i="8"/>
  <c r="G1855" i="8"/>
  <c r="G1854" i="8"/>
  <c r="G1853" i="8"/>
  <c r="G1852" i="8"/>
  <c r="G1851" i="8"/>
  <c r="G1850" i="8"/>
  <c r="G1849" i="8"/>
  <c r="G1848" i="8"/>
  <c r="G1847" i="8"/>
  <c r="G1846" i="8"/>
  <c r="G1845" i="8"/>
  <c r="G1844" i="8"/>
  <c r="G1843" i="8"/>
  <c r="G1842" i="8"/>
  <c r="G1841" i="8"/>
  <c r="G1840" i="8"/>
  <c r="G1839" i="8"/>
  <c r="G1838" i="8"/>
  <c r="G1837" i="8"/>
  <c r="G1836" i="8"/>
  <c r="G1835" i="8"/>
  <c r="G1834" i="8"/>
  <c r="G1833" i="8"/>
  <c r="G1832" i="8"/>
  <c r="G1831" i="8"/>
  <c r="G1830" i="8"/>
  <c r="G1829" i="8"/>
  <c r="G1828" i="8"/>
  <c r="G1827" i="8"/>
  <c r="G1826" i="8"/>
  <c r="G1825" i="8"/>
  <c r="G1824" i="8"/>
  <c r="G1823" i="8"/>
  <c r="G1822" i="8"/>
  <c r="G1821" i="8"/>
  <c r="G1820" i="8"/>
  <c r="G1819" i="8"/>
  <c r="G1818" i="8"/>
  <c r="G1817" i="8"/>
  <c r="G1816" i="8"/>
  <c r="G1815" i="8"/>
  <c r="G1814" i="8"/>
  <c r="G1813" i="8"/>
  <c r="G1812" i="8"/>
  <c r="G1811" i="8"/>
  <c r="G1810" i="8"/>
  <c r="G1809" i="8"/>
  <c r="G1808" i="8"/>
  <c r="G1807" i="8"/>
  <c r="G1806" i="8"/>
  <c r="G1805" i="8"/>
  <c r="G1804" i="8"/>
  <c r="G1803" i="8"/>
  <c r="G1802" i="8"/>
  <c r="G1801" i="8"/>
  <c r="G1800" i="8"/>
  <c r="G1799" i="8"/>
  <c r="G1798" i="8"/>
  <c r="G1797" i="8"/>
  <c r="G1796" i="8"/>
  <c r="G1795" i="8"/>
  <c r="G1794" i="8"/>
  <c r="G1793" i="8"/>
  <c r="G1792" i="8"/>
  <c r="G1791" i="8"/>
  <c r="G1790" i="8"/>
  <c r="G1789" i="8"/>
  <c r="G1788" i="8"/>
  <c r="G1787" i="8"/>
  <c r="G1786" i="8"/>
  <c r="G1785" i="8"/>
  <c r="G1784" i="8"/>
  <c r="G1783" i="8"/>
  <c r="G1782" i="8"/>
  <c r="G1781" i="8"/>
  <c r="G1780" i="8"/>
  <c r="G1779" i="8"/>
  <c r="G1778" i="8"/>
  <c r="G1777" i="8"/>
  <c r="G1776" i="8"/>
  <c r="G1775" i="8"/>
  <c r="G1774" i="8"/>
  <c r="G1773" i="8"/>
  <c r="G1772" i="8"/>
  <c r="G1771" i="8"/>
  <c r="G1770" i="8"/>
  <c r="G1769" i="8"/>
  <c r="G1768" i="8"/>
  <c r="G1767" i="8"/>
  <c r="G1766" i="8"/>
  <c r="G1765" i="8"/>
  <c r="G1764" i="8"/>
  <c r="G1763" i="8"/>
  <c r="G1762" i="8"/>
  <c r="G1761" i="8"/>
  <c r="G1760" i="8"/>
  <c r="G1759" i="8"/>
  <c r="G1758" i="8"/>
  <c r="G1757" i="8"/>
  <c r="G1756" i="8"/>
  <c r="G1755" i="8"/>
  <c r="G1754" i="8"/>
  <c r="G1753" i="8"/>
  <c r="G1752" i="8"/>
  <c r="G1751" i="8"/>
  <c r="G1750" i="8"/>
  <c r="G1749" i="8"/>
  <c r="G1748" i="8"/>
  <c r="G1747" i="8"/>
  <c r="G1746" i="8"/>
  <c r="G1745" i="8"/>
  <c r="G1744" i="8"/>
  <c r="G1743" i="8"/>
  <c r="G1742" i="8"/>
  <c r="G1741" i="8"/>
  <c r="G1740" i="8"/>
  <c r="G1739" i="8"/>
  <c r="G1738" i="8"/>
  <c r="G1737" i="8"/>
  <c r="G1736" i="8"/>
  <c r="G1735" i="8"/>
  <c r="G1734" i="8"/>
  <c r="G1733" i="8"/>
  <c r="G1732" i="8"/>
  <c r="G1731" i="8"/>
  <c r="G1730" i="8"/>
  <c r="G1729" i="8"/>
  <c r="G1728" i="8"/>
  <c r="G1727" i="8"/>
  <c r="G1726" i="8"/>
  <c r="G1725" i="8"/>
  <c r="G1724" i="8"/>
  <c r="G1723" i="8"/>
  <c r="G1722" i="8"/>
  <c r="G1721" i="8"/>
  <c r="G1720" i="8"/>
  <c r="G1719" i="8"/>
  <c r="G1718" i="8"/>
  <c r="G1717" i="8"/>
  <c r="G1716" i="8"/>
  <c r="G1715" i="8"/>
  <c r="G1714" i="8"/>
  <c r="G1713" i="8"/>
  <c r="G1712" i="8"/>
  <c r="G1711" i="8"/>
  <c r="G1710" i="8"/>
  <c r="G1709" i="8"/>
  <c r="G1708" i="8"/>
  <c r="G1707" i="8"/>
  <c r="G1706" i="8"/>
  <c r="G1705" i="8"/>
  <c r="G1704" i="8"/>
  <c r="G1703" i="8"/>
  <c r="G1702" i="8"/>
  <c r="G1701" i="8"/>
  <c r="G1700" i="8"/>
  <c r="G1699" i="8"/>
  <c r="G1698" i="8"/>
  <c r="G1697" i="8"/>
  <c r="G1696" i="8"/>
  <c r="G1695" i="8"/>
  <c r="G1694" i="8"/>
  <c r="G1693" i="8"/>
  <c r="G1692" i="8"/>
  <c r="G1691" i="8"/>
  <c r="G1690" i="8"/>
  <c r="G1689" i="8"/>
  <c r="G1688" i="8"/>
  <c r="G1687" i="8"/>
  <c r="G1686" i="8"/>
  <c r="G1685" i="8"/>
  <c r="G1684" i="8"/>
  <c r="G1683" i="8"/>
  <c r="G1682" i="8"/>
  <c r="G1681" i="8"/>
  <c r="G1680" i="8"/>
  <c r="G1679" i="8"/>
  <c r="G1678" i="8"/>
  <c r="G1677" i="8"/>
  <c r="G1676" i="8"/>
  <c r="G1675" i="8"/>
  <c r="G1674" i="8"/>
  <c r="G1673" i="8"/>
  <c r="G1672" i="8"/>
  <c r="G1671" i="8"/>
  <c r="G1670" i="8"/>
  <c r="G1669" i="8"/>
  <c r="G1668" i="8"/>
  <c r="G1667" i="8"/>
  <c r="G1666" i="8"/>
  <c r="G1665" i="8"/>
  <c r="G1664" i="8"/>
  <c r="G1663" i="8"/>
  <c r="G1662" i="8"/>
  <c r="G1661" i="8"/>
  <c r="G1660" i="8"/>
  <c r="G1659" i="8"/>
  <c r="G1658" i="8"/>
  <c r="G1657" i="8"/>
  <c r="G1656" i="8"/>
  <c r="G1655" i="8"/>
  <c r="G1654" i="8"/>
  <c r="G1653" i="8"/>
  <c r="G1652" i="8"/>
  <c r="G1651" i="8"/>
  <c r="G1650" i="8"/>
  <c r="G1649" i="8"/>
  <c r="G1648" i="8"/>
  <c r="G1647" i="8"/>
  <c r="G1646" i="8"/>
  <c r="G1645" i="8"/>
  <c r="G1644" i="8"/>
  <c r="G1643" i="8"/>
  <c r="G1642" i="8"/>
  <c r="G1641" i="8"/>
  <c r="G1640" i="8"/>
  <c r="G1639" i="8"/>
  <c r="G1638" i="8"/>
  <c r="G1637" i="8"/>
  <c r="G1636" i="8"/>
  <c r="G1635" i="8"/>
  <c r="G1634" i="8"/>
  <c r="G1633" i="8"/>
  <c r="G1632" i="8"/>
  <c r="G1631" i="8"/>
  <c r="G1630" i="8"/>
  <c r="G1629" i="8"/>
  <c r="G1628" i="8"/>
  <c r="G1627" i="8"/>
  <c r="G1626" i="8"/>
  <c r="G1625" i="8"/>
  <c r="G1624" i="8"/>
  <c r="G1623" i="8"/>
  <c r="G1622" i="8"/>
  <c r="G1621" i="8"/>
  <c r="G1620" i="8"/>
  <c r="G1619" i="8"/>
  <c r="G1618" i="8"/>
  <c r="G1617" i="8"/>
  <c r="G1616" i="8"/>
  <c r="G1615" i="8"/>
  <c r="G1614" i="8"/>
  <c r="G1613" i="8"/>
  <c r="G1612" i="8"/>
  <c r="G1611" i="8"/>
  <c r="G1610" i="8"/>
  <c r="G1609" i="8"/>
  <c r="G1608" i="8"/>
  <c r="G1607" i="8"/>
  <c r="G1606" i="8"/>
  <c r="G1605" i="8"/>
  <c r="G1604" i="8"/>
  <c r="G1603" i="8"/>
  <c r="G1602" i="8"/>
  <c r="G1601" i="8"/>
  <c r="G1600" i="8"/>
  <c r="G1599" i="8"/>
  <c r="G1598" i="8"/>
  <c r="G1597" i="8"/>
  <c r="G1596" i="8"/>
  <c r="G1595" i="8"/>
  <c r="G1594" i="8"/>
  <c r="G1593" i="8"/>
  <c r="G1592" i="8"/>
  <c r="G1591" i="8"/>
  <c r="G1590" i="8"/>
  <c r="G1589" i="8"/>
  <c r="G1588" i="8"/>
  <c r="G1587" i="8"/>
  <c r="G1586" i="8"/>
  <c r="G1585" i="8"/>
  <c r="G1584" i="8"/>
  <c r="G1583" i="8"/>
  <c r="G1582" i="8"/>
  <c r="G1581" i="8"/>
  <c r="G1580" i="8"/>
  <c r="G1579" i="8"/>
  <c r="G1578" i="8"/>
  <c r="G1577" i="8"/>
  <c r="G1576" i="8"/>
  <c r="G1575" i="8"/>
  <c r="G1574" i="8"/>
  <c r="G1573" i="8"/>
  <c r="G1572" i="8"/>
  <c r="G1571" i="8"/>
  <c r="G1570" i="8"/>
  <c r="G1569" i="8"/>
  <c r="G1568" i="8"/>
  <c r="G1567" i="8"/>
  <c r="G1566" i="8"/>
  <c r="G1565" i="8"/>
  <c r="G1564" i="8"/>
  <c r="G1563" i="8"/>
  <c r="G1562" i="8"/>
  <c r="G1561" i="8"/>
  <c r="G1560" i="8"/>
  <c r="G1559" i="8"/>
  <c r="G1558" i="8"/>
  <c r="G1557" i="8"/>
  <c r="G1556" i="8"/>
  <c r="G1555" i="8"/>
  <c r="G1554" i="8"/>
  <c r="G1553" i="8"/>
  <c r="G1552" i="8"/>
  <c r="G1551" i="8"/>
  <c r="G1550" i="8"/>
  <c r="G1549" i="8"/>
  <c r="G1548" i="8"/>
  <c r="G1547" i="8"/>
  <c r="G1546" i="8"/>
  <c r="G1545" i="8"/>
  <c r="G1544" i="8"/>
  <c r="G1543" i="8"/>
  <c r="G1542" i="8"/>
  <c r="G1541" i="8"/>
  <c r="G1540" i="8"/>
  <c r="G1539" i="8"/>
  <c r="G1538" i="8"/>
  <c r="G1537" i="8"/>
  <c r="G1536" i="8"/>
  <c r="G1535" i="8"/>
  <c r="G1534" i="8"/>
  <c r="G1533" i="8"/>
  <c r="G1532" i="8"/>
  <c r="G1531" i="8"/>
  <c r="G1530" i="8"/>
  <c r="G1529" i="8"/>
  <c r="G1528" i="8"/>
  <c r="G1527" i="8"/>
  <c r="G1526" i="8"/>
  <c r="G1525" i="8"/>
  <c r="G1524" i="8"/>
  <c r="G1523" i="8"/>
  <c r="G1522" i="8"/>
  <c r="G1521" i="8"/>
  <c r="G1520" i="8"/>
  <c r="G1519" i="8"/>
  <c r="G1518" i="8"/>
  <c r="G1517" i="8"/>
  <c r="G1516" i="8"/>
  <c r="G1515" i="8"/>
  <c r="G1514" i="8"/>
  <c r="G1513" i="8"/>
  <c r="G1512" i="8"/>
  <c r="G1511" i="8"/>
  <c r="G1510" i="8"/>
  <c r="G1509" i="8"/>
  <c r="G1508" i="8"/>
  <c r="G1507" i="8"/>
  <c r="G1506" i="8"/>
  <c r="G1505" i="8"/>
  <c r="G1504" i="8"/>
  <c r="G1503" i="8"/>
  <c r="G1502" i="8"/>
  <c r="G1501" i="8"/>
  <c r="G1500" i="8"/>
  <c r="G1499" i="8"/>
  <c r="G1498" i="8"/>
  <c r="G1497" i="8"/>
  <c r="G1496" i="8"/>
  <c r="G1495" i="8"/>
  <c r="G1494" i="8"/>
  <c r="G1493" i="8"/>
  <c r="G1492" i="8"/>
  <c r="G1491" i="8"/>
  <c r="G1490" i="8"/>
  <c r="G1489" i="8"/>
  <c r="G1488" i="8"/>
  <c r="G1487" i="8"/>
  <c r="G1486" i="8"/>
  <c r="G1485" i="8"/>
  <c r="G1484" i="8"/>
  <c r="G1483" i="8"/>
  <c r="G1482" i="8"/>
  <c r="G1481" i="8"/>
  <c r="G1480" i="8"/>
  <c r="G1479" i="8"/>
  <c r="G1478" i="8"/>
  <c r="L1861" i="8"/>
  <c r="K1861" i="8"/>
  <c r="L1860" i="8"/>
  <c r="K1860" i="8"/>
  <c r="L1859" i="8"/>
  <c r="K1859" i="8"/>
  <c r="L1858" i="8"/>
  <c r="K1858" i="8"/>
  <c r="L1857" i="8"/>
  <c r="K1857" i="8"/>
  <c r="L1856" i="8"/>
  <c r="K1856" i="8"/>
  <c r="L1855" i="8"/>
  <c r="K1855" i="8"/>
  <c r="L1854" i="8"/>
  <c r="K1854" i="8"/>
  <c r="L1853" i="8"/>
  <c r="K1853" i="8"/>
  <c r="L1852" i="8"/>
  <c r="K1852" i="8"/>
  <c r="L1851" i="8"/>
  <c r="K1851" i="8"/>
  <c r="L1850" i="8"/>
  <c r="K1850" i="8"/>
  <c r="L1849" i="8"/>
  <c r="K1849" i="8"/>
  <c r="L1848" i="8"/>
  <c r="K1848" i="8"/>
  <c r="L1847" i="8"/>
  <c r="K1847" i="8"/>
  <c r="L1846" i="8"/>
  <c r="K1846" i="8"/>
  <c r="L1845" i="8"/>
  <c r="K1845" i="8"/>
  <c r="L1844" i="8"/>
  <c r="K1844" i="8"/>
  <c r="L1843" i="8"/>
  <c r="K1843" i="8"/>
  <c r="L1842" i="8"/>
  <c r="K1842" i="8"/>
  <c r="L1841" i="8"/>
  <c r="K1841" i="8"/>
  <c r="L1840" i="8"/>
  <c r="K1840" i="8"/>
  <c r="L1839" i="8"/>
  <c r="K1839" i="8"/>
  <c r="L1838" i="8"/>
  <c r="K1838" i="8"/>
  <c r="L1837" i="8"/>
  <c r="K1837" i="8"/>
  <c r="L1836" i="8"/>
  <c r="K1836" i="8"/>
  <c r="L1835" i="8"/>
  <c r="K1835" i="8"/>
  <c r="L1834" i="8"/>
  <c r="K1834" i="8"/>
  <c r="L1833" i="8"/>
  <c r="K1833" i="8"/>
  <c r="L1832" i="8"/>
  <c r="K1832" i="8"/>
  <c r="L1831" i="8"/>
  <c r="K1831" i="8"/>
  <c r="L1830" i="8"/>
  <c r="K1830" i="8"/>
  <c r="L1829" i="8"/>
  <c r="K1829" i="8"/>
  <c r="L1828" i="8"/>
  <c r="K1828" i="8"/>
  <c r="L1827" i="8"/>
  <c r="K1827" i="8"/>
  <c r="L1826" i="8"/>
  <c r="K1826" i="8"/>
  <c r="L1825" i="8"/>
  <c r="K1825" i="8"/>
  <c r="L1824" i="8"/>
  <c r="K1824" i="8"/>
  <c r="L1823" i="8"/>
  <c r="K1823" i="8"/>
  <c r="L1822" i="8"/>
  <c r="K1822" i="8"/>
  <c r="L1821" i="8"/>
  <c r="K1821" i="8"/>
  <c r="L1820" i="8"/>
  <c r="K1820" i="8"/>
  <c r="L1819" i="8"/>
  <c r="K1819" i="8"/>
  <c r="L1818" i="8"/>
  <c r="K1818" i="8"/>
  <c r="L1817" i="8"/>
  <c r="K1817" i="8"/>
  <c r="L1816" i="8"/>
  <c r="K1816" i="8"/>
  <c r="L1815" i="8"/>
  <c r="K1815" i="8"/>
  <c r="L1814" i="8"/>
  <c r="K1814" i="8"/>
  <c r="L1813" i="8"/>
  <c r="K1813" i="8"/>
  <c r="L1812" i="8"/>
  <c r="K1812" i="8"/>
  <c r="L1811" i="8"/>
  <c r="K1811" i="8"/>
  <c r="L1810" i="8"/>
  <c r="K1810" i="8"/>
  <c r="L1809" i="8"/>
  <c r="K1809" i="8"/>
  <c r="L1808" i="8"/>
  <c r="K1808" i="8"/>
  <c r="L1807" i="8"/>
  <c r="K1807" i="8"/>
  <c r="L1806" i="8"/>
  <c r="K1806" i="8"/>
  <c r="L1805" i="8"/>
  <c r="K1805" i="8"/>
  <c r="L1804" i="8"/>
  <c r="K1804" i="8"/>
  <c r="L1803" i="8"/>
  <c r="K1803" i="8"/>
  <c r="L1802" i="8"/>
  <c r="K1802" i="8"/>
  <c r="L1801" i="8"/>
  <c r="K1801" i="8"/>
  <c r="L1800" i="8"/>
  <c r="K1800" i="8"/>
  <c r="L1799" i="8"/>
  <c r="K1799" i="8"/>
  <c r="L1798" i="8"/>
  <c r="K1798" i="8"/>
  <c r="L1797" i="8"/>
  <c r="K1797" i="8"/>
  <c r="L1796" i="8"/>
  <c r="K1796" i="8"/>
  <c r="L1795" i="8"/>
  <c r="K1795" i="8"/>
  <c r="L1794" i="8"/>
  <c r="K1794" i="8"/>
  <c r="L1793" i="8"/>
  <c r="K1793" i="8"/>
  <c r="L1792" i="8"/>
  <c r="K1792" i="8"/>
  <c r="L1791" i="8"/>
  <c r="K1791" i="8"/>
  <c r="L1790" i="8"/>
  <c r="K1790" i="8"/>
  <c r="L1789" i="8"/>
  <c r="K1789" i="8"/>
  <c r="L1788" i="8"/>
  <c r="K1788" i="8"/>
  <c r="L1787" i="8"/>
  <c r="K1787" i="8"/>
  <c r="L1786" i="8"/>
  <c r="K1786" i="8"/>
  <c r="L1785" i="8"/>
  <c r="K1785" i="8"/>
  <c r="L1784" i="8"/>
  <c r="K1784" i="8"/>
  <c r="L1783" i="8"/>
  <c r="K1783" i="8"/>
  <c r="L1782" i="8"/>
  <c r="K1782" i="8"/>
  <c r="L1781" i="8"/>
  <c r="K1781" i="8"/>
  <c r="L1780" i="8"/>
  <c r="K1780" i="8"/>
  <c r="L1779" i="8"/>
  <c r="K1779" i="8"/>
  <c r="L1778" i="8"/>
  <c r="K1778" i="8"/>
  <c r="L1777" i="8"/>
  <c r="K1777" i="8"/>
  <c r="L1776" i="8"/>
  <c r="K1776" i="8"/>
  <c r="L1775" i="8"/>
  <c r="K1775" i="8"/>
  <c r="L1774" i="8"/>
  <c r="K1774" i="8"/>
  <c r="L1773" i="8"/>
  <c r="K1773" i="8"/>
  <c r="L1772" i="8"/>
  <c r="K1772" i="8"/>
  <c r="L1771" i="8"/>
  <c r="K1771" i="8"/>
  <c r="L1770" i="8"/>
  <c r="K1770" i="8"/>
  <c r="L1769" i="8"/>
  <c r="K1769" i="8"/>
  <c r="L1768" i="8"/>
  <c r="K1768" i="8"/>
  <c r="L1767" i="8"/>
  <c r="K1767" i="8"/>
  <c r="L1766" i="8"/>
  <c r="K1766" i="8"/>
  <c r="L1765" i="8"/>
  <c r="K1765" i="8"/>
  <c r="L1764" i="8"/>
  <c r="K1764" i="8"/>
  <c r="L1763" i="8"/>
  <c r="K1763" i="8"/>
  <c r="L1762" i="8"/>
  <c r="K1762" i="8"/>
  <c r="L1761" i="8"/>
  <c r="K1761" i="8"/>
  <c r="L1760" i="8"/>
  <c r="K1760" i="8"/>
  <c r="L1759" i="8"/>
  <c r="K1759" i="8"/>
  <c r="L1758" i="8"/>
  <c r="K1758" i="8"/>
  <c r="L1757" i="8"/>
  <c r="K1757" i="8"/>
  <c r="L1756" i="8"/>
  <c r="K1756" i="8"/>
  <c r="L1755" i="8"/>
  <c r="K1755" i="8"/>
  <c r="L1754" i="8"/>
  <c r="K1754" i="8"/>
  <c r="L1753" i="8"/>
  <c r="K1753" i="8"/>
  <c r="L1752" i="8"/>
  <c r="K1752" i="8"/>
  <c r="L1751" i="8"/>
  <c r="K1751" i="8"/>
  <c r="L1750" i="8"/>
  <c r="K1750" i="8"/>
  <c r="L1749" i="8"/>
  <c r="K1749" i="8"/>
  <c r="L1748" i="8"/>
  <c r="K1748" i="8"/>
  <c r="L1747" i="8"/>
  <c r="K1747" i="8"/>
  <c r="L1746" i="8"/>
  <c r="K1746" i="8"/>
  <c r="L1745" i="8"/>
  <c r="K1745" i="8"/>
  <c r="L1744" i="8"/>
  <c r="K1744" i="8"/>
  <c r="L1743" i="8"/>
  <c r="K1743" i="8"/>
  <c r="L1742" i="8"/>
  <c r="K1742" i="8"/>
  <c r="L1741" i="8"/>
  <c r="K1741" i="8"/>
  <c r="L1740" i="8"/>
  <c r="K1740" i="8"/>
  <c r="L1739" i="8"/>
  <c r="K1739" i="8"/>
  <c r="L1738" i="8"/>
  <c r="K1738" i="8"/>
  <c r="L1737" i="8"/>
  <c r="K1737" i="8"/>
  <c r="L1736" i="8"/>
  <c r="K1736" i="8"/>
  <c r="L1735" i="8"/>
  <c r="K1735" i="8"/>
  <c r="L1734" i="8"/>
  <c r="K1734" i="8"/>
  <c r="L1733" i="8"/>
  <c r="K1733" i="8"/>
  <c r="L1732" i="8"/>
  <c r="K1732" i="8"/>
  <c r="L1731" i="8"/>
  <c r="K1731" i="8"/>
  <c r="L1730" i="8"/>
  <c r="K1730" i="8"/>
  <c r="L1729" i="8"/>
  <c r="K1729" i="8"/>
  <c r="L1728" i="8"/>
  <c r="K1728" i="8"/>
  <c r="L1727" i="8"/>
  <c r="K1727" i="8"/>
  <c r="L1726" i="8"/>
  <c r="K1726" i="8"/>
  <c r="L1725" i="8"/>
  <c r="K1725" i="8"/>
  <c r="L1724" i="8"/>
  <c r="K1724" i="8"/>
  <c r="L1723" i="8"/>
  <c r="K1723" i="8"/>
  <c r="L1722" i="8"/>
  <c r="K1722" i="8"/>
  <c r="L1721" i="8"/>
  <c r="K1721" i="8"/>
  <c r="L1720" i="8"/>
  <c r="K1720" i="8"/>
  <c r="L1719" i="8"/>
  <c r="K1719" i="8"/>
  <c r="L1718" i="8"/>
  <c r="K1718" i="8"/>
  <c r="L1717" i="8"/>
  <c r="K1717" i="8"/>
  <c r="L1716" i="8"/>
  <c r="K1716" i="8"/>
  <c r="L1715" i="8"/>
  <c r="K1715" i="8"/>
  <c r="L1714" i="8"/>
  <c r="K1714" i="8"/>
  <c r="L1713" i="8"/>
  <c r="K1713" i="8"/>
  <c r="L1712" i="8"/>
  <c r="K1712" i="8"/>
  <c r="L1711" i="8"/>
  <c r="K1711" i="8"/>
  <c r="L1710" i="8"/>
  <c r="K1710" i="8"/>
  <c r="L1709" i="8"/>
  <c r="K1709" i="8"/>
  <c r="L1708" i="8"/>
  <c r="K1708" i="8"/>
  <c r="L1707" i="8"/>
  <c r="K1707" i="8"/>
  <c r="L1706" i="8"/>
  <c r="K1706" i="8"/>
  <c r="L1705" i="8"/>
  <c r="K1705" i="8"/>
  <c r="L1704" i="8"/>
  <c r="K1704" i="8"/>
  <c r="L1703" i="8"/>
  <c r="K1703" i="8"/>
  <c r="L1702" i="8"/>
  <c r="K1702" i="8"/>
  <c r="L1701" i="8"/>
  <c r="K1701" i="8"/>
  <c r="L1700" i="8"/>
  <c r="K1700" i="8"/>
  <c r="L1699" i="8"/>
  <c r="K1699" i="8"/>
  <c r="L1698" i="8"/>
  <c r="K1698" i="8"/>
  <c r="L1697" i="8"/>
  <c r="K1697" i="8"/>
  <c r="L1696" i="8"/>
  <c r="K1696" i="8"/>
  <c r="L1695" i="8"/>
  <c r="K1695" i="8"/>
  <c r="L1694" i="8"/>
  <c r="K1694" i="8"/>
  <c r="L1693" i="8"/>
  <c r="K1693" i="8"/>
  <c r="L1692" i="8"/>
  <c r="K1692" i="8"/>
  <c r="L1691" i="8"/>
  <c r="K1691" i="8"/>
  <c r="L1690" i="8"/>
  <c r="K1690" i="8"/>
  <c r="L1689" i="8"/>
  <c r="K1689" i="8"/>
  <c r="L1688" i="8"/>
  <c r="K1688" i="8"/>
  <c r="L1687" i="8"/>
  <c r="K1687" i="8"/>
  <c r="L1686" i="8"/>
  <c r="K1686" i="8"/>
  <c r="L1685" i="8"/>
  <c r="K1685" i="8"/>
  <c r="L1684" i="8"/>
  <c r="K1684" i="8"/>
  <c r="L1683" i="8"/>
  <c r="K1683" i="8"/>
  <c r="L1682" i="8"/>
  <c r="K1682" i="8"/>
  <c r="L1681" i="8"/>
  <c r="K1681" i="8"/>
  <c r="L1680" i="8"/>
  <c r="K1680" i="8"/>
  <c r="L1679" i="8"/>
  <c r="K1679" i="8"/>
  <c r="L1678" i="8"/>
  <c r="K1678" i="8"/>
  <c r="L1677" i="8"/>
  <c r="K1677" i="8"/>
  <c r="L1676" i="8"/>
  <c r="K1676" i="8"/>
  <c r="L1675" i="8"/>
  <c r="K1675" i="8"/>
  <c r="L1674" i="8"/>
  <c r="K1674" i="8"/>
  <c r="L1673" i="8"/>
  <c r="K1673" i="8"/>
  <c r="L1672" i="8"/>
  <c r="K1672" i="8"/>
  <c r="L1671" i="8"/>
  <c r="K1671" i="8"/>
  <c r="L1670" i="8"/>
  <c r="K1670" i="8"/>
  <c r="L1669" i="8"/>
  <c r="K1669" i="8"/>
  <c r="L1668" i="8"/>
  <c r="K1668" i="8"/>
  <c r="L1667" i="8"/>
  <c r="K1667" i="8"/>
  <c r="L1666" i="8"/>
  <c r="K1666" i="8"/>
  <c r="L1665" i="8"/>
  <c r="K1665" i="8"/>
  <c r="L1664" i="8"/>
  <c r="K1664" i="8"/>
  <c r="L1663" i="8"/>
  <c r="K1663" i="8"/>
  <c r="L1662" i="8"/>
  <c r="K1662" i="8"/>
  <c r="L1661" i="8"/>
  <c r="K1661" i="8"/>
  <c r="L1660" i="8"/>
  <c r="K1660" i="8"/>
  <c r="L1659" i="8"/>
  <c r="K1659" i="8"/>
  <c r="L1658" i="8"/>
  <c r="K1658" i="8"/>
  <c r="L1657" i="8"/>
  <c r="K1657" i="8"/>
  <c r="L1656" i="8"/>
  <c r="K1656" i="8"/>
  <c r="L1655" i="8"/>
  <c r="K1655" i="8"/>
  <c r="L1654" i="8"/>
  <c r="K1654" i="8"/>
  <c r="L1653" i="8"/>
  <c r="K1653" i="8"/>
  <c r="L1652" i="8"/>
  <c r="K1652" i="8"/>
  <c r="L1651" i="8"/>
  <c r="K1651" i="8"/>
  <c r="L1650" i="8"/>
  <c r="K1650" i="8"/>
  <c r="L1649" i="8"/>
  <c r="K1649" i="8"/>
  <c r="L1648" i="8"/>
  <c r="K1648" i="8"/>
  <c r="L1647" i="8"/>
  <c r="K1647" i="8"/>
  <c r="L1646" i="8"/>
  <c r="K1646" i="8"/>
  <c r="L1645" i="8"/>
  <c r="K1645" i="8"/>
  <c r="L1644" i="8"/>
  <c r="K1644" i="8"/>
  <c r="L1643" i="8"/>
  <c r="K1643" i="8"/>
  <c r="L1642" i="8"/>
  <c r="K1642" i="8"/>
  <c r="L1641" i="8"/>
  <c r="K1641" i="8"/>
  <c r="L1640" i="8"/>
  <c r="K1640" i="8"/>
  <c r="L1639" i="8"/>
  <c r="K1639" i="8"/>
  <c r="L1638" i="8"/>
  <c r="K1638" i="8"/>
  <c r="L1637" i="8"/>
  <c r="K1637" i="8"/>
  <c r="L1636" i="8"/>
  <c r="K1636" i="8"/>
  <c r="L1635" i="8"/>
  <c r="K1635" i="8"/>
  <c r="L1634" i="8"/>
  <c r="K1634" i="8"/>
  <c r="L1633" i="8"/>
  <c r="K1633" i="8"/>
  <c r="L1632" i="8"/>
  <c r="K1632" i="8"/>
  <c r="L1631" i="8"/>
  <c r="K1631" i="8"/>
  <c r="L1630" i="8"/>
  <c r="K1630" i="8"/>
  <c r="L1629" i="8"/>
  <c r="K1629" i="8"/>
  <c r="L1628" i="8"/>
  <c r="K1628" i="8"/>
  <c r="L1627" i="8"/>
  <c r="K1627" i="8"/>
  <c r="L1626" i="8"/>
  <c r="K1626" i="8"/>
  <c r="L1625" i="8"/>
  <c r="K1625" i="8"/>
  <c r="L1624" i="8"/>
  <c r="K1624" i="8"/>
  <c r="L1623" i="8"/>
  <c r="K1623" i="8"/>
  <c r="L1622" i="8"/>
  <c r="K1622" i="8"/>
  <c r="L1621" i="8"/>
  <c r="K1621" i="8"/>
  <c r="L1620" i="8"/>
  <c r="K1620" i="8"/>
  <c r="L1619" i="8"/>
  <c r="K1619" i="8"/>
  <c r="L1618" i="8"/>
  <c r="K1618" i="8"/>
  <c r="L1617" i="8"/>
  <c r="K1617" i="8"/>
  <c r="L1616" i="8"/>
  <c r="K1616" i="8"/>
  <c r="L1615" i="8"/>
  <c r="K1615" i="8"/>
  <c r="L1614" i="8"/>
  <c r="K1614" i="8"/>
  <c r="L1613" i="8"/>
  <c r="K1613" i="8"/>
  <c r="L1612" i="8"/>
  <c r="K1612" i="8"/>
  <c r="L1611" i="8"/>
  <c r="K1611" i="8"/>
  <c r="L1610" i="8"/>
  <c r="K1610" i="8"/>
  <c r="L1609" i="8"/>
  <c r="K1609" i="8"/>
  <c r="L1608" i="8"/>
  <c r="K1608" i="8"/>
  <c r="L1607" i="8"/>
  <c r="K1607" i="8"/>
  <c r="L1606" i="8"/>
  <c r="K1606" i="8"/>
  <c r="L1605" i="8"/>
  <c r="K1605" i="8"/>
  <c r="L1604" i="8"/>
  <c r="K1604" i="8"/>
  <c r="L1603" i="8"/>
  <c r="K1603" i="8"/>
  <c r="L1602" i="8"/>
  <c r="K1602" i="8"/>
  <c r="L1601" i="8"/>
  <c r="K1601" i="8"/>
  <c r="L1600" i="8"/>
  <c r="K1600" i="8"/>
  <c r="L1599" i="8"/>
  <c r="K1599" i="8"/>
  <c r="L1598" i="8"/>
  <c r="K1598" i="8"/>
  <c r="L1597" i="8"/>
  <c r="K1597" i="8"/>
  <c r="L1596" i="8"/>
  <c r="K1596" i="8"/>
  <c r="L1595" i="8"/>
  <c r="K1595" i="8"/>
  <c r="L1594" i="8"/>
  <c r="K1594" i="8"/>
  <c r="L1593" i="8"/>
  <c r="K1593" i="8"/>
  <c r="L1592" i="8"/>
  <c r="K1592" i="8"/>
  <c r="L1591" i="8"/>
  <c r="K1591" i="8"/>
  <c r="L1590" i="8"/>
  <c r="K1590" i="8"/>
  <c r="L1589" i="8"/>
  <c r="K1589" i="8"/>
  <c r="L1588" i="8"/>
  <c r="K1588" i="8"/>
  <c r="L1587" i="8"/>
  <c r="K1587" i="8"/>
  <c r="L1586" i="8"/>
  <c r="K1586" i="8"/>
  <c r="L1585" i="8"/>
  <c r="K1585" i="8"/>
  <c r="L1584" i="8"/>
  <c r="K1584" i="8"/>
  <c r="L1583" i="8"/>
  <c r="K1583" i="8"/>
  <c r="L1582" i="8"/>
  <c r="K1582" i="8"/>
  <c r="L1581" i="8"/>
  <c r="K1581" i="8"/>
  <c r="L1580" i="8"/>
  <c r="K1580" i="8"/>
  <c r="L1579" i="8"/>
  <c r="K1579" i="8"/>
  <c r="L1578" i="8"/>
  <c r="K1578" i="8"/>
  <c r="L1577" i="8"/>
  <c r="K1577" i="8"/>
  <c r="L1576" i="8"/>
  <c r="K1576" i="8"/>
  <c r="L1575" i="8"/>
  <c r="K1575" i="8"/>
  <c r="L1574" i="8"/>
  <c r="K1574" i="8"/>
  <c r="L1573" i="8"/>
  <c r="K1573" i="8"/>
  <c r="L1572" i="8"/>
  <c r="K1572" i="8"/>
  <c r="L1571" i="8"/>
  <c r="K1571" i="8"/>
  <c r="L1570" i="8"/>
  <c r="K1570" i="8"/>
  <c r="L1569" i="8"/>
  <c r="K1569" i="8"/>
  <c r="L1568" i="8"/>
  <c r="K1568" i="8"/>
  <c r="L1567" i="8"/>
  <c r="K1567" i="8"/>
  <c r="L1566" i="8"/>
  <c r="K1566" i="8"/>
  <c r="L1565" i="8"/>
  <c r="K1565" i="8"/>
  <c r="L1564" i="8"/>
  <c r="K1564" i="8"/>
  <c r="L1563" i="8"/>
  <c r="K1563" i="8"/>
  <c r="L1562" i="8"/>
  <c r="K1562" i="8"/>
  <c r="L1561" i="8"/>
  <c r="K1561" i="8"/>
  <c r="L1560" i="8"/>
  <c r="K1560" i="8"/>
  <c r="L1559" i="8"/>
  <c r="K1559" i="8"/>
  <c r="L1558" i="8"/>
  <c r="K1558" i="8"/>
  <c r="L1557" i="8"/>
  <c r="K1557" i="8"/>
  <c r="L1556" i="8"/>
  <c r="K1556" i="8"/>
  <c r="L1555" i="8"/>
  <c r="K1555" i="8"/>
  <c r="L1554" i="8"/>
  <c r="K1554" i="8"/>
  <c r="L1553" i="8"/>
  <c r="K1553" i="8"/>
  <c r="L1552" i="8"/>
  <c r="K1552" i="8"/>
  <c r="L1551" i="8"/>
  <c r="K1551" i="8"/>
  <c r="L1550" i="8"/>
  <c r="K1550" i="8"/>
  <c r="L1549" i="8"/>
  <c r="K1549" i="8"/>
  <c r="L1548" i="8"/>
  <c r="K1548" i="8"/>
  <c r="L1547" i="8"/>
  <c r="K1547" i="8"/>
  <c r="L1546" i="8"/>
  <c r="K1546" i="8"/>
  <c r="L1545" i="8"/>
  <c r="K1545" i="8"/>
  <c r="L1544" i="8"/>
  <c r="K1544" i="8"/>
  <c r="L1543" i="8"/>
  <c r="K1543" i="8"/>
  <c r="L1542" i="8"/>
  <c r="K1542" i="8"/>
  <c r="L1541" i="8"/>
  <c r="K1541" i="8"/>
  <c r="L1540" i="8"/>
  <c r="K1540" i="8"/>
  <c r="L1539" i="8"/>
  <c r="K1539" i="8"/>
  <c r="L1538" i="8"/>
  <c r="K1538" i="8"/>
  <c r="L1537" i="8"/>
  <c r="K1537" i="8"/>
  <c r="L1536" i="8"/>
  <c r="K1536" i="8"/>
  <c r="L1535" i="8"/>
  <c r="K1535" i="8"/>
  <c r="L1534" i="8"/>
  <c r="K1534" i="8"/>
  <c r="L1533" i="8"/>
  <c r="K1533" i="8"/>
  <c r="L1532" i="8"/>
  <c r="K1532" i="8"/>
  <c r="L1531" i="8"/>
  <c r="K1531" i="8"/>
  <c r="L1530" i="8"/>
  <c r="K1530" i="8"/>
  <c r="L1529" i="8"/>
  <c r="K1529" i="8"/>
  <c r="L1528" i="8"/>
  <c r="K1528" i="8"/>
  <c r="L1527" i="8"/>
  <c r="K1527" i="8"/>
  <c r="L1526" i="8"/>
  <c r="K1526" i="8"/>
  <c r="L1525" i="8"/>
  <c r="K1525" i="8"/>
  <c r="L1524" i="8"/>
  <c r="K1524" i="8"/>
  <c r="L1523" i="8"/>
  <c r="K1523" i="8"/>
  <c r="L1522" i="8"/>
  <c r="K1522" i="8"/>
  <c r="L1521" i="8"/>
  <c r="K1521" i="8"/>
  <c r="L1520" i="8"/>
  <c r="K1520" i="8"/>
  <c r="L1519" i="8"/>
  <c r="K1519" i="8"/>
  <c r="L1518" i="8"/>
  <c r="K1518" i="8"/>
  <c r="L1517" i="8"/>
  <c r="K1517" i="8"/>
  <c r="L1516" i="8"/>
  <c r="K1516" i="8"/>
  <c r="L1515" i="8"/>
  <c r="K1515" i="8"/>
  <c r="L1514" i="8"/>
  <c r="K1514" i="8"/>
  <c r="L1513" i="8"/>
  <c r="K1513" i="8"/>
  <c r="L1512" i="8"/>
  <c r="K1512" i="8"/>
  <c r="L1511" i="8"/>
  <c r="K1511" i="8"/>
  <c r="L1510" i="8"/>
  <c r="K1510" i="8"/>
  <c r="L1509" i="8"/>
  <c r="K1509" i="8"/>
  <c r="L1508" i="8"/>
  <c r="K1508" i="8"/>
  <c r="L1507" i="8"/>
  <c r="K1507" i="8"/>
  <c r="L1506" i="8"/>
  <c r="K1506" i="8"/>
  <c r="L1505" i="8"/>
  <c r="K1505" i="8"/>
  <c r="L1504" i="8"/>
  <c r="K1504" i="8"/>
  <c r="L1503" i="8"/>
  <c r="K1503" i="8"/>
  <c r="L1502" i="8"/>
  <c r="K1502" i="8"/>
  <c r="L1501" i="8"/>
  <c r="K1501" i="8"/>
  <c r="L1500" i="8"/>
  <c r="K1500" i="8"/>
  <c r="L1499" i="8"/>
  <c r="K1499" i="8"/>
  <c r="L1498" i="8"/>
  <c r="K1498" i="8"/>
  <c r="L1497" i="8"/>
  <c r="K1497" i="8"/>
  <c r="L1496" i="8"/>
  <c r="K1496" i="8"/>
  <c r="L1495" i="8"/>
  <c r="K1495" i="8"/>
  <c r="L1494" i="8"/>
  <c r="K1494" i="8"/>
  <c r="L1493" i="8"/>
  <c r="K1493" i="8"/>
  <c r="L1492" i="8"/>
  <c r="K1492" i="8"/>
  <c r="L1491" i="8"/>
  <c r="K1491" i="8"/>
  <c r="L1490" i="8"/>
  <c r="K1490" i="8"/>
  <c r="L1489" i="8"/>
  <c r="K1489" i="8"/>
  <c r="L1488" i="8"/>
  <c r="K1488" i="8"/>
  <c r="L1487" i="8"/>
  <c r="K1487" i="8"/>
  <c r="L1486" i="8"/>
  <c r="K1486" i="8"/>
  <c r="L1485" i="8"/>
  <c r="K1485" i="8"/>
  <c r="L1484" i="8"/>
  <c r="K1484" i="8"/>
  <c r="L1483" i="8"/>
  <c r="K1483" i="8"/>
  <c r="L1482" i="8"/>
  <c r="K1482" i="8"/>
  <c r="L1481" i="8"/>
  <c r="K1481" i="8"/>
  <c r="L1480" i="8"/>
  <c r="K1480" i="8"/>
  <c r="L1479" i="8"/>
  <c r="K1479" i="8"/>
  <c r="L1478" i="8"/>
  <c r="K1478" i="8"/>
  <c r="I195" i="15" l="1"/>
  <c r="B196" i="15"/>
  <c r="I196" i="15" s="1"/>
  <c r="C23" i="17"/>
  <c r="C24" i="17" s="1"/>
  <c r="C25" i="17" s="1"/>
  <c r="C26" i="17" s="1"/>
  <c r="C27" i="17" s="1"/>
  <c r="C28" i="17" s="1"/>
  <c r="C29" i="17" s="1"/>
  <c r="C30" i="17" s="1"/>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72" i="17" s="1"/>
  <c r="C73" i="17" s="1"/>
  <c r="C74" i="17" s="1"/>
  <c r="C75" i="17" s="1"/>
  <c r="C76" i="17" s="1"/>
  <c r="C77" i="17" s="1"/>
  <c r="C78" i="17" s="1"/>
  <c r="C79" i="17" s="1"/>
  <c r="C80" i="17" s="1"/>
  <c r="C81" i="17" s="1"/>
  <c r="C82" i="17" s="1"/>
  <c r="C83" i="17" s="1"/>
  <c r="C84" i="17" s="1"/>
  <c r="C85" i="17" s="1"/>
  <c r="C86" i="17" s="1"/>
  <c r="C87" i="17" s="1"/>
  <c r="C88" i="17" s="1"/>
  <c r="C89" i="17" s="1"/>
  <c r="C90" i="17" s="1"/>
  <c r="C91" i="17" s="1"/>
  <c r="C92" i="17" s="1"/>
  <c r="C93" i="17" s="1"/>
  <c r="C94" i="17" s="1"/>
  <c r="C95" i="17" s="1"/>
  <c r="C96" i="17" s="1"/>
  <c r="C97" i="17" s="1"/>
  <c r="C98" i="17" s="1"/>
  <c r="C99" i="17" s="1"/>
  <c r="C100" i="17" s="1"/>
  <c r="C101" i="17" s="1"/>
  <c r="C102" i="17" s="1"/>
  <c r="C103" i="17" s="1"/>
  <c r="C104" i="17" s="1"/>
  <c r="C105" i="17" s="1"/>
  <c r="C106" i="17" s="1"/>
  <c r="C107" i="17" s="1"/>
  <c r="C108" i="17" s="1"/>
  <c r="C109" i="17" s="1"/>
  <c r="C110" i="17" s="1"/>
  <c r="C111" i="17" s="1"/>
  <c r="C112" i="17" s="1"/>
  <c r="C113" i="17" s="1"/>
  <c r="C114" i="17" s="1"/>
  <c r="C115" i="17" s="1"/>
  <c r="C116" i="17" s="1"/>
  <c r="C117" i="17" s="1"/>
  <c r="C118" i="17" s="1"/>
  <c r="C119" i="17" s="1"/>
  <c r="C120" i="17" s="1"/>
  <c r="C121" i="17" s="1"/>
  <c r="C122" i="17" s="1"/>
  <c r="C123" i="17" s="1"/>
  <c r="C124" i="17" s="1"/>
  <c r="C125" i="17" s="1"/>
  <c r="C126" i="17" s="1"/>
  <c r="C127" i="17" s="1"/>
  <c r="C128" i="17" s="1"/>
  <c r="C129" i="17" s="1"/>
  <c r="C130" i="17" s="1"/>
  <c r="C131" i="17" s="1"/>
  <c r="C132" i="17" s="1"/>
  <c r="C133" i="17" s="1"/>
  <c r="C134" i="17" s="1"/>
  <c r="C135" i="17" s="1"/>
  <c r="C136" i="17" s="1"/>
  <c r="C137" i="17" s="1"/>
  <c r="C138" i="17" s="1"/>
  <c r="C139" i="17" s="1"/>
  <c r="C140" i="17" s="1"/>
  <c r="C141" i="17" s="1"/>
  <c r="C142" i="17" s="1"/>
  <c r="C143" i="17" s="1"/>
  <c r="C144" i="17" s="1"/>
  <c r="C145" i="17" s="1"/>
  <c r="C146" i="17" s="1"/>
  <c r="C147" i="17" s="1"/>
  <c r="C148" i="17" s="1"/>
  <c r="C149" i="17" s="1"/>
  <c r="C150" i="17" s="1"/>
  <c r="C151" i="17" s="1"/>
  <c r="C152" i="17" s="1"/>
  <c r="C153" i="17" s="1"/>
  <c r="C154" i="17" s="1"/>
  <c r="C155" i="17" s="1"/>
  <c r="C156" i="17" s="1"/>
  <c r="C157" i="17" s="1"/>
  <c r="C158" i="17" s="1"/>
  <c r="C159" i="17" s="1"/>
  <c r="C160" i="17" s="1"/>
  <c r="C161" i="17" s="1"/>
  <c r="C162" i="17" s="1"/>
  <c r="C163" i="17" s="1"/>
  <c r="C164" i="17" s="1"/>
  <c r="C165" i="17" s="1"/>
  <c r="C166" i="17" s="1"/>
  <c r="C167" i="17" s="1"/>
  <c r="C168" i="17" s="1"/>
  <c r="C169" i="17" s="1"/>
  <c r="C170" i="17" s="1"/>
  <c r="C171" i="17" s="1"/>
  <c r="C172" i="17" s="1"/>
  <c r="C173" i="17" s="1"/>
  <c r="C174" i="17" s="1"/>
  <c r="C175" i="17" s="1"/>
  <c r="C176" i="17" s="1"/>
  <c r="C177" i="17" s="1"/>
  <c r="C178" i="17" s="1"/>
  <c r="C179" i="17" s="1"/>
  <c r="C180" i="17" s="1"/>
  <c r="C181" i="17" s="1"/>
  <c r="C122" i="15"/>
  <c r="I122" i="15"/>
  <c r="G123" i="15" a="1"/>
  <c r="G123" i="15" s="1"/>
  <c r="I123" i="15"/>
  <c r="D124" i="15" a="1"/>
  <c r="D124" i="15" s="1"/>
  <c r="I124" i="15"/>
  <c r="C125" i="15"/>
  <c r="I125" i="15"/>
  <c r="C126" i="15"/>
  <c r="I126" i="15"/>
  <c r="C127" i="15"/>
  <c r="I127" i="15"/>
  <c r="C128" i="15"/>
  <c r="I128" i="15"/>
  <c r="E129" i="15" a="1"/>
  <c r="E129" i="15" s="1"/>
  <c r="I129" i="15"/>
  <c r="C130" i="15"/>
  <c r="I130" i="15"/>
  <c r="G131" i="15" a="1"/>
  <c r="G131" i="15" s="1"/>
  <c r="I131" i="15"/>
  <c r="C132" i="15"/>
  <c r="I132" i="15"/>
  <c r="G133" i="15" a="1"/>
  <c r="G133" i="15" s="1"/>
  <c r="I133" i="15"/>
  <c r="C134" i="15"/>
  <c r="I134" i="15"/>
  <c r="E113" i="15" a="1"/>
  <c r="E113" i="15" s="1"/>
  <c r="D122" i="15" a="1"/>
  <c r="D122" i="15" s="1"/>
  <c r="D127" i="15" a="1"/>
  <c r="D127" i="15" s="1"/>
  <c r="E132" i="15" a="1"/>
  <c r="E132" i="15" s="1"/>
  <c r="G124" i="15" a="1"/>
  <c r="G124" i="15" s="1"/>
  <c r="E127" i="15" a="1"/>
  <c r="E127" i="15" s="1"/>
  <c r="D130" i="15" a="1"/>
  <c r="D130" i="15" s="1"/>
  <c r="G132" i="15" a="1"/>
  <c r="G132" i="15" s="1"/>
  <c r="E122" i="15" a="1"/>
  <c r="E122" i="15" s="1"/>
  <c r="D125" i="15" a="1"/>
  <c r="D125" i="15" s="1"/>
  <c r="G127" i="15" a="1"/>
  <c r="G127" i="15" s="1"/>
  <c r="E130" i="15" a="1"/>
  <c r="E130" i="15" s="1"/>
  <c r="D133" i="15" a="1"/>
  <c r="D133" i="15" s="1"/>
  <c r="G122" i="15" a="1"/>
  <c r="G122" i="15" s="1"/>
  <c r="E125" i="15" a="1"/>
  <c r="E125" i="15" s="1"/>
  <c r="D128" i="15" a="1"/>
  <c r="D128" i="15" s="1"/>
  <c r="G130" i="15" a="1"/>
  <c r="G130" i="15" s="1"/>
  <c r="E133" i="15" a="1"/>
  <c r="E133" i="15" s="1"/>
  <c r="D123" i="15" a="1"/>
  <c r="D123" i="15" s="1"/>
  <c r="G125" i="15" a="1"/>
  <c r="G125" i="15" s="1"/>
  <c r="E128" i="15" a="1"/>
  <c r="E128" i="15" s="1"/>
  <c r="D131" i="15" a="1"/>
  <c r="D131" i="15" s="1"/>
  <c r="G129" i="15" a="1"/>
  <c r="G129" i="15" s="1"/>
  <c r="E123" i="15" a="1"/>
  <c r="E123" i="15" s="1"/>
  <c r="D126" i="15" a="1"/>
  <c r="D126" i="15" s="1"/>
  <c r="G128" i="15" a="1"/>
  <c r="G128" i="15" s="1"/>
  <c r="E131" i="15" a="1"/>
  <c r="E131" i="15" s="1"/>
  <c r="D134" i="15" a="1"/>
  <c r="D134" i="15" s="1"/>
  <c r="G113" i="15" a="1"/>
  <c r="G113" i="15" s="1"/>
  <c r="E124" i="15" a="1"/>
  <c r="E124" i="15" s="1"/>
  <c r="D113" i="15" a="1"/>
  <c r="D113" i="15" s="1"/>
  <c r="E126" i="15" a="1"/>
  <c r="E126" i="15" s="1"/>
  <c r="D129" i="15" a="1"/>
  <c r="D129" i="15" s="1"/>
  <c r="E134" i="15" a="1"/>
  <c r="E134" i="15" s="1"/>
  <c r="G126" i="15" a="1"/>
  <c r="G126" i="15" s="1"/>
  <c r="D132" i="15" a="1"/>
  <c r="D132" i="15" s="1"/>
  <c r="G134" i="15" a="1"/>
  <c r="G134" i="15" s="1"/>
  <c r="C123" i="15"/>
  <c r="C131" i="15"/>
  <c r="C124" i="15"/>
  <c r="C113" i="15"/>
  <c r="C129" i="15"/>
  <c r="C133" i="15"/>
  <c r="B108" i="15"/>
  <c r="I108" i="15" s="1"/>
  <c r="B107" i="15"/>
  <c r="I107" i="15" s="1"/>
  <c r="B105" i="15"/>
  <c r="I105" i="15" s="1"/>
  <c r="I106" i="15" s="1"/>
  <c r="B104" i="15"/>
  <c r="I104" i="15" s="1"/>
  <c r="B103" i="15"/>
  <c r="I103" i="15" s="1"/>
  <c r="B102" i="15"/>
  <c r="I102" i="15" s="1"/>
  <c r="B101" i="15"/>
  <c r="I101" i="15" s="1"/>
  <c r="B100" i="15"/>
  <c r="I100" i="15" s="1"/>
  <c r="B99" i="15"/>
  <c r="I99" i="15" s="1"/>
  <c r="B98" i="15"/>
  <c r="I98" i="15" s="1"/>
  <c r="B97" i="15"/>
  <c r="I97" i="15" s="1"/>
  <c r="B96" i="15"/>
  <c r="I96" i="15" s="1"/>
  <c r="B95" i="15"/>
  <c r="I95" i="15" s="1"/>
  <c r="B93" i="15"/>
  <c r="B88" i="15"/>
  <c r="I88" i="15" s="1"/>
  <c r="B87" i="15"/>
  <c r="I87" i="15" s="1"/>
  <c r="B86" i="15"/>
  <c r="I86" i="15" s="1"/>
  <c r="B85" i="15"/>
  <c r="I85" i="15" s="1"/>
  <c r="B84" i="15"/>
  <c r="I84" i="15" s="1"/>
  <c r="B83" i="15"/>
  <c r="I83" i="15" s="1"/>
  <c r="B82" i="15"/>
  <c r="I82" i="15" s="1"/>
  <c r="B81" i="15"/>
  <c r="I81" i="15" s="1"/>
  <c r="B80" i="15"/>
  <c r="I80" i="15" s="1"/>
  <c r="B79" i="15"/>
  <c r="I79" i="15" s="1"/>
  <c r="B78" i="15"/>
  <c r="I78" i="15" s="1"/>
  <c r="B77" i="15"/>
  <c r="I77" i="15" s="1"/>
  <c r="B76" i="15"/>
  <c r="I76" i="15" s="1"/>
  <c r="B75" i="15"/>
  <c r="B55" i="15"/>
  <c r="B70" i="15"/>
  <c r="I70" i="15" s="1"/>
  <c r="B69" i="15"/>
  <c r="I69" i="15" s="1"/>
  <c r="B68" i="15"/>
  <c r="I68" i="15" s="1"/>
  <c r="B66" i="15"/>
  <c r="I66" i="15" s="1"/>
  <c r="I67" i="15" s="1"/>
  <c r="B65" i="15"/>
  <c r="I65" i="15" s="1"/>
  <c r="B64" i="15"/>
  <c r="I64" i="15" s="1"/>
  <c r="B63" i="15"/>
  <c r="I63" i="15" s="1"/>
  <c r="B62" i="15"/>
  <c r="I62" i="15" s="1"/>
  <c r="B61" i="15"/>
  <c r="I61" i="15" s="1"/>
  <c r="B60" i="15"/>
  <c r="I60" i="15" s="1"/>
  <c r="B59" i="15"/>
  <c r="I59" i="15" s="1"/>
  <c r="B58" i="15"/>
  <c r="I58" i="15" s="1"/>
  <c r="B57" i="15"/>
  <c r="I57" i="15" s="1"/>
  <c r="B49" i="15"/>
  <c r="I49" i="15" s="1"/>
  <c r="B50" i="15"/>
  <c r="I50" i="15" s="1"/>
  <c r="B48" i="15"/>
  <c r="I48" i="15" s="1"/>
  <c r="B47" i="15"/>
  <c r="I47" i="15" s="1"/>
  <c r="B46" i="15"/>
  <c r="I46" i="15" s="1"/>
  <c r="B45" i="15"/>
  <c r="I45" i="15" s="1"/>
  <c r="B44" i="15"/>
  <c r="I44" i="15" s="1"/>
  <c r="B43" i="15"/>
  <c r="I43" i="15" s="1"/>
  <c r="B42" i="15"/>
  <c r="I42" i="15" s="1"/>
  <c r="B41" i="15"/>
  <c r="I41" i="15" s="1"/>
  <c r="B37" i="15"/>
  <c r="I37" i="15" s="1"/>
  <c r="I38" i="15" s="1"/>
  <c r="I39" i="15" s="1"/>
  <c r="I40" i="15" s="1"/>
  <c r="B36" i="15"/>
  <c r="I36" i="15" s="1"/>
  <c r="B35" i="15"/>
  <c r="I35" i="15" s="1"/>
  <c r="C182" i="17" l="1"/>
  <c r="C183" i="17" s="1"/>
  <c r="C184" i="17" s="1"/>
  <c r="C185" i="17" s="1"/>
  <c r="C186" i="17" s="1"/>
  <c r="C187" i="17" s="1"/>
  <c r="C188" i="17" s="1"/>
  <c r="C189" i="17" s="1"/>
  <c r="C190" i="17" s="1"/>
  <c r="C191" i="17" s="1"/>
  <c r="C192" i="17" s="1"/>
  <c r="C193" i="17" s="1"/>
  <c r="C194" i="17" s="1"/>
  <c r="C195" i="17" s="1"/>
  <c r="C196" i="17" s="1"/>
  <c r="C197" i="17" s="1"/>
  <c r="C198" i="17" s="1"/>
  <c r="C199" i="17" s="1"/>
  <c r="C200" i="17" s="1"/>
  <c r="C201" i="17" s="1"/>
  <c r="C202" i="17" s="1"/>
  <c r="C203" i="17" s="1"/>
  <c r="C204" i="17" s="1"/>
  <c r="C205" i="17" s="1"/>
  <c r="C206" i="17" s="1"/>
  <c r="C207" i="17" s="1"/>
  <c r="C208" i="17" s="1"/>
  <c r="C209" i="17" s="1"/>
  <c r="C210" i="17" s="1"/>
  <c r="C211" i="17" s="1"/>
  <c r="C212" i="17" s="1"/>
  <c r="C213" i="17" s="1"/>
  <c r="C214" i="17" s="1"/>
  <c r="C215" i="17" s="1"/>
  <c r="C216" i="17" s="1"/>
  <c r="C217" i="17" s="1"/>
  <c r="C218" i="17" s="1"/>
  <c r="C219" i="17" s="1"/>
  <c r="C220" i="17" s="1"/>
  <c r="C221" i="17" s="1"/>
  <c r="C222" i="17" s="1"/>
  <c r="C223" i="17" s="1"/>
  <c r="C224" i="17" s="1"/>
  <c r="C225" i="17" s="1"/>
  <c r="C226" i="17" s="1"/>
  <c r="C227" i="17" s="1"/>
  <c r="C228" i="17" s="1"/>
  <c r="C229" i="17" s="1"/>
  <c r="C230" i="17" s="1"/>
  <c r="C231" i="17" s="1"/>
  <c r="C232" i="17" s="1"/>
  <c r="C233" i="17" s="1"/>
  <c r="C234" i="17" s="1"/>
  <c r="C235" i="17" s="1"/>
  <c r="C236" i="17" s="1"/>
  <c r="C237" i="17" s="1"/>
  <c r="C238" i="17" s="1"/>
  <c r="C239" i="17" s="1"/>
  <c r="C240" i="17" s="1"/>
  <c r="C241" i="17" s="1"/>
  <c r="C242" i="17" s="1"/>
  <c r="C243" i="17" s="1"/>
  <c r="C244" i="17" s="1"/>
  <c r="C245" i="17" s="1"/>
  <c r="C246" i="17" s="1"/>
  <c r="C247" i="17" s="1"/>
  <c r="C248" i="17" s="1"/>
  <c r="C249" i="17" s="1"/>
  <c r="C250" i="17" s="1"/>
  <c r="C251" i="17" s="1"/>
  <c r="C252" i="17" s="1"/>
  <c r="C253" i="17" s="1"/>
  <c r="C254" i="17" s="1"/>
  <c r="C255" i="17" s="1"/>
  <c r="C256" i="17" s="1"/>
  <c r="C257" i="17" s="1"/>
  <c r="C258" i="17" s="1"/>
  <c r="C259" i="17" s="1"/>
  <c r="C260" i="17" s="1"/>
  <c r="C261" i="17" s="1"/>
  <c r="C262" i="17" s="1"/>
  <c r="C263" i="17" s="1"/>
  <c r="C264" i="17" s="1"/>
  <c r="C265" i="17" s="1"/>
  <c r="C266" i="17" s="1"/>
  <c r="C267" i="17" s="1"/>
  <c r="C268" i="17" s="1"/>
  <c r="C269" i="17" s="1"/>
  <c r="C270" i="17" s="1"/>
  <c r="C271" i="17" s="1"/>
  <c r="C272" i="17" s="1"/>
  <c r="C273" i="17" s="1"/>
  <c r="C274" i="17" s="1"/>
  <c r="C275" i="17" s="1"/>
  <c r="C276" i="17" s="1"/>
  <c r="C277" i="17" s="1"/>
  <c r="C278" i="17" s="1"/>
  <c r="C279" i="17" s="1"/>
  <c r="C280" i="17" s="1"/>
  <c r="C281" i="17" s="1"/>
  <c r="C282" i="17" s="1"/>
  <c r="C283" i="17" s="1"/>
  <c r="C284" i="17" s="1"/>
  <c r="C285" i="17" s="1"/>
  <c r="C286" i="17" s="1"/>
  <c r="C287" i="17" s="1"/>
  <c r="C288" i="17" s="1"/>
  <c r="C289" i="17" s="1"/>
  <c r="C290" i="17" s="1"/>
  <c r="C291" i="17" s="1"/>
  <c r="C292" i="17" s="1"/>
  <c r="C293" i="17" s="1"/>
  <c r="C294" i="17" s="1"/>
  <c r="C295" i="17" s="1"/>
  <c r="C296" i="17" s="1"/>
  <c r="C297" i="17" s="1"/>
  <c r="C298" i="17" s="1"/>
  <c r="C299" i="17" s="1"/>
  <c r="C300" i="17" s="1"/>
  <c r="C301" i="17" s="1"/>
  <c r="C302" i="17" s="1"/>
  <c r="C303" i="17" s="1"/>
  <c r="C304" i="17" s="1"/>
  <c r="C305" i="17" s="1"/>
  <c r="C306" i="17" s="1"/>
  <c r="C307" i="17" s="1"/>
  <c r="C308" i="17" s="1"/>
  <c r="C309" i="17" s="1"/>
  <c r="C310" i="17" s="1"/>
  <c r="C311" i="17" s="1"/>
  <c r="C312" i="17" s="1"/>
  <c r="C313" i="17" s="1"/>
  <c r="C314" i="17" s="1"/>
  <c r="C315" i="17" s="1"/>
  <c r="C316" i="17" s="1"/>
  <c r="C317" i="17" s="1"/>
  <c r="C318" i="17" s="1"/>
  <c r="C319" i="17" s="1"/>
  <c r="C320" i="17" s="1"/>
  <c r="C321" i="17" s="1"/>
  <c r="C322" i="17" s="1"/>
  <c r="C323" i="17" s="1"/>
  <c r="C324" i="17" s="1"/>
  <c r="C325" i="17" s="1"/>
  <c r="C326" i="17" s="1"/>
  <c r="C327" i="17" s="1"/>
  <c r="C328" i="17" s="1"/>
  <c r="C329" i="17" s="1"/>
  <c r="C330" i="17" s="1"/>
  <c r="C331" i="17" s="1"/>
  <c r="C332" i="17" s="1"/>
  <c r="C333" i="17" s="1"/>
  <c r="C334" i="17" s="1"/>
  <c r="C335" i="17" s="1"/>
  <c r="C336" i="17" s="1"/>
  <c r="C337" i="17" s="1"/>
  <c r="C338" i="17" s="1"/>
  <c r="C339" i="17" s="1"/>
  <c r="C340" i="17" s="1"/>
  <c r="C341" i="17" s="1"/>
  <c r="E35" i="15" a="1"/>
  <c r="E35" i="15" s="1"/>
  <c r="G36" i="15" a="1"/>
  <c r="G36" i="15" s="1"/>
  <c r="G37" i="15" a="1"/>
  <c r="G37" i="15" s="1"/>
  <c r="G41" i="15" a="1"/>
  <c r="G41" i="15" s="1"/>
  <c r="E42" i="15" a="1"/>
  <c r="E42" i="15" s="1"/>
  <c r="D43" i="15" a="1"/>
  <c r="D43" i="15" s="1"/>
  <c r="G44" i="15" a="1"/>
  <c r="G44" i="15" s="1"/>
  <c r="E45" i="15" a="1"/>
  <c r="E45" i="15" s="1"/>
  <c r="E46" i="15" a="1"/>
  <c r="E46" i="15" s="1"/>
  <c r="E47" i="15" a="1"/>
  <c r="E47" i="15" s="1"/>
  <c r="D48" i="15" a="1"/>
  <c r="D48" i="15" s="1"/>
  <c r="E50" i="15" a="1"/>
  <c r="E50" i="15" s="1"/>
  <c r="E49" i="15" a="1"/>
  <c r="E49" i="15" s="1"/>
  <c r="C57" i="15"/>
  <c r="G58" i="15" a="1"/>
  <c r="G58" i="15" s="1"/>
  <c r="E59" i="15" a="1"/>
  <c r="E59" i="15" s="1"/>
  <c r="G60" i="15" a="1"/>
  <c r="G60" i="15" s="1"/>
  <c r="G61" i="15" a="1"/>
  <c r="G61" i="15" s="1"/>
  <c r="E62" i="15" a="1"/>
  <c r="E62" i="15" s="1"/>
  <c r="E63" i="15" a="1"/>
  <c r="E63" i="15" s="1"/>
  <c r="C64" i="15"/>
  <c r="C65" i="15"/>
  <c r="E66" i="15" a="1"/>
  <c r="E66" i="15" s="1"/>
  <c r="E68" i="15" a="1"/>
  <c r="E68" i="15" s="1"/>
  <c r="G69" i="15" a="1"/>
  <c r="G69" i="15" s="1"/>
  <c r="G70" i="15" a="1"/>
  <c r="G70" i="15" s="1"/>
  <c r="C55" i="15"/>
  <c r="I55" i="15"/>
  <c r="I56" i="15" s="1"/>
  <c r="C75" i="15"/>
  <c r="I75" i="15"/>
  <c r="C76" i="15"/>
  <c r="E77" i="15" a="1"/>
  <c r="E77" i="15" s="1"/>
  <c r="C78" i="15"/>
  <c r="G79" i="15" a="1"/>
  <c r="G79" i="15" s="1"/>
  <c r="G80" i="15" a="1"/>
  <c r="G80" i="15" s="1"/>
  <c r="E81" i="15" a="1"/>
  <c r="E81" i="15" s="1"/>
  <c r="E82" i="15" a="1"/>
  <c r="E82" i="15" s="1"/>
  <c r="C83" i="15"/>
  <c r="C84" i="15"/>
  <c r="E85" i="15" a="1"/>
  <c r="E85" i="15" s="1"/>
  <c r="E86" i="15" a="1"/>
  <c r="E86" i="15" s="1"/>
  <c r="G87" i="15" a="1"/>
  <c r="G87" i="15" s="1"/>
  <c r="G88" i="15" a="1"/>
  <c r="G88" i="15" s="1"/>
  <c r="C93" i="15"/>
  <c r="I93" i="15"/>
  <c r="I94" i="15" s="1"/>
  <c r="C95" i="15"/>
  <c r="E96" i="15" a="1"/>
  <c r="E96" i="15" s="1"/>
  <c r="E97" i="15" a="1"/>
  <c r="E97" i="15" s="1"/>
  <c r="G98" i="15" a="1"/>
  <c r="G98" i="15" s="1"/>
  <c r="G99" i="15" a="1"/>
  <c r="G99" i="15" s="1"/>
  <c r="E100" i="15" a="1"/>
  <c r="E100" i="15" s="1"/>
  <c r="C102" i="15"/>
  <c r="C103" i="15"/>
  <c r="E104" i="15" a="1"/>
  <c r="E104" i="15" s="1"/>
  <c r="E105" i="15" a="1"/>
  <c r="E105" i="15" s="1"/>
  <c r="G107" i="15" a="1"/>
  <c r="G107" i="15" s="1"/>
  <c r="G108" i="15" a="1"/>
  <c r="G108" i="15" s="1"/>
  <c r="L117" i="15"/>
  <c r="L119" i="15"/>
  <c r="L124" i="15"/>
  <c r="L118" i="15"/>
  <c r="L123" i="15"/>
  <c r="L116" i="15"/>
  <c r="L122" i="15"/>
  <c r="L121" i="15"/>
  <c r="L120" i="15"/>
  <c r="L114" i="15"/>
  <c r="L115" i="15"/>
  <c r="L113" i="15"/>
  <c r="K32" i="15" a="1"/>
  <c r="K32" i="15" s="1"/>
  <c r="K59" i="15" a="1"/>
  <c r="K59" i="15" s="1"/>
  <c r="K55" i="15" a="1"/>
  <c r="K55" i="15" s="1"/>
  <c r="K62" i="15" a="1"/>
  <c r="K62" i="15" s="1"/>
  <c r="K58" i="15" a="1"/>
  <c r="K58" i="15" s="1"/>
  <c r="K33" i="15" a="1"/>
  <c r="K33" i="15" s="1"/>
  <c r="K34" i="15" a="1"/>
  <c r="K34" i="15" s="1"/>
  <c r="K64" i="15" a="1"/>
  <c r="K64" i="15" s="1"/>
  <c r="K61" i="15" a="1"/>
  <c r="K61" i="15" s="1"/>
  <c r="K57" i="15" a="1"/>
  <c r="K57" i="15" s="1"/>
  <c r="K37" i="15" a="1"/>
  <c r="K37" i="15" s="1"/>
  <c r="K56" i="15" a="1"/>
  <c r="K56" i="15" s="1"/>
  <c r="E55" i="15" a="1"/>
  <c r="E55" i="15" s="1"/>
  <c r="E69" i="15" a="1"/>
  <c r="E69" i="15" s="1"/>
  <c r="C96" i="15"/>
  <c r="C86" i="15"/>
  <c r="C104" i="15"/>
  <c r="D96" i="15" a="1"/>
  <c r="D96" i="15" s="1"/>
  <c r="C58" i="15"/>
  <c r="G62" i="15" a="1"/>
  <c r="G62" i="15" s="1"/>
  <c r="C66" i="15"/>
  <c r="G66" i="15" a="1"/>
  <c r="G66" i="15" s="1"/>
  <c r="D58" i="15" a="1"/>
  <c r="D58" i="15" s="1"/>
  <c r="D62" i="15" a="1"/>
  <c r="D62" i="15" s="1"/>
  <c r="D100" i="15" a="1"/>
  <c r="D100" i="15" s="1"/>
  <c r="D66" i="15" a="1"/>
  <c r="D66" i="15" s="1"/>
  <c r="D104" i="15" a="1"/>
  <c r="D104" i="15" s="1"/>
  <c r="E107" i="15" a="1"/>
  <c r="E107" i="15" s="1"/>
  <c r="E60" i="15" a="1"/>
  <c r="E60" i="15" s="1"/>
  <c r="G100" i="15" a="1"/>
  <c r="G100" i="15" s="1"/>
  <c r="G104" i="15" a="1"/>
  <c r="G104" i="15" s="1"/>
  <c r="C97" i="15"/>
  <c r="C105" i="15"/>
  <c r="C98" i="15"/>
  <c r="C107" i="15"/>
  <c r="D97" i="15" a="1"/>
  <c r="D97" i="15" s="1"/>
  <c r="D101" i="15" a="1"/>
  <c r="D101" i="15" s="1"/>
  <c r="D105" i="15" a="1"/>
  <c r="D105" i="15" s="1"/>
  <c r="E95" i="15" a="1"/>
  <c r="E95" i="15" s="1"/>
  <c r="E103" i="15" a="1"/>
  <c r="E103" i="15" s="1"/>
  <c r="E108" i="15" a="1"/>
  <c r="E108" i="15" s="1"/>
  <c r="G97" i="15" a="1"/>
  <c r="G97" i="15" s="1"/>
  <c r="G101" i="15" a="1"/>
  <c r="G101" i="15" s="1"/>
  <c r="G105" i="15" a="1"/>
  <c r="G105" i="15" s="1"/>
  <c r="E93" i="15" a="1"/>
  <c r="E93" i="15" s="1"/>
  <c r="E98" i="15" a="1"/>
  <c r="E98" i="15" s="1"/>
  <c r="E102" i="15" a="1"/>
  <c r="E102" i="15" s="1"/>
  <c r="G96" i="15" a="1"/>
  <c r="G96" i="15" s="1"/>
  <c r="C99" i="15"/>
  <c r="C108" i="15"/>
  <c r="C100" i="15"/>
  <c r="D93" i="15" a="1"/>
  <c r="D93" i="15" s="1"/>
  <c r="D98" i="15" a="1"/>
  <c r="D98" i="15" s="1"/>
  <c r="D102" i="15" a="1"/>
  <c r="D102" i="15" s="1"/>
  <c r="D107" i="15" a="1"/>
  <c r="D107" i="15" s="1"/>
  <c r="G93" i="15" a="1"/>
  <c r="G93" i="15" s="1"/>
  <c r="G102" i="15" a="1"/>
  <c r="G102" i="15" s="1"/>
  <c r="C101" i="15"/>
  <c r="D95" i="15" a="1"/>
  <c r="D95" i="15" s="1"/>
  <c r="D99" i="15" a="1"/>
  <c r="D99" i="15" s="1"/>
  <c r="D103" i="15" a="1"/>
  <c r="D103" i="15" s="1"/>
  <c r="D108" i="15" a="1"/>
  <c r="D108" i="15" s="1"/>
  <c r="G95" i="15" a="1"/>
  <c r="G95" i="15" s="1"/>
  <c r="G103" i="15" a="1"/>
  <c r="G103" i="15" s="1"/>
  <c r="C77" i="15"/>
  <c r="C85" i="15"/>
  <c r="D77" i="15" a="1"/>
  <c r="D77" i="15" s="1"/>
  <c r="D81" i="15" a="1"/>
  <c r="D81" i="15" s="1"/>
  <c r="D85" i="15" a="1"/>
  <c r="D85" i="15" s="1"/>
  <c r="E75" i="15" a="1"/>
  <c r="E75" i="15" s="1"/>
  <c r="E79" i="15" a="1"/>
  <c r="E79" i="15" s="1"/>
  <c r="E83" i="15" a="1"/>
  <c r="E83" i="15" s="1"/>
  <c r="E87" i="15" a="1"/>
  <c r="E87" i="15" s="1"/>
  <c r="G77" i="15" a="1"/>
  <c r="G77" i="15" s="1"/>
  <c r="G81" i="15" a="1"/>
  <c r="G81" i="15" s="1"/>
  <c r="G85" i="15" a="1"/>
  <c r="G85" i="15" s="1"/>
  <c r="C79" i="15"/>
  <c r="C87" i="15"/>
  <c r="D78" i="15" a="1"/>
  <c r="D78" i="15" s="1"/>
  <c r="D82" i="15" a="1"/>
  <c r="D82" i="15" s="1"/>
  <c r="D86" i="15" a="1"/>
  <c r="D86" i="15" s="1"/>
  <c r="E76" i="15" a="1"/>
  <c r="E76" i="15" s="1"/>
  <c r="E80" i="15" a="1"/>
  <c r="E80" i="15" s="1"/>
  <c r="E84" i="15" a="1"/>
  <c r="E84" i="15" s="1"/>
  <c r="E88" i="15" a="1"/>
  <c r="E88" i="15" s="1"/>
  <c r="G78" i="15" a="1"/>
  <c r="G78" i="15" s="1"/>
  <c r="G82" i="15" a="1"/>
  <c r="G82" i="15" s="1"/>
  <c r="G86" i="15" a="1"/>
  <c r="G86" i="15" s="1"/>
  <c r="C80" i="15"/>
  <c r="C88" i="15"/>
  <c r="C81" i="15"/>
  <c r="D75" i="15" a="1"/>
  <c r="D75" i="15" s="1"/>
  <c r="D79" i="15" a="1"/>
  <c r="D79" i="15" s="1"/>
  <c r="D83" i="15" a="1"/>
  <c r="D83" i="15" s="1"/>
  <c r="D87" i="15" a="1"/>
  <c r="D87" i="15" s="1"/>
  <c r="G75" i="15" a="1"/>
  <c r="G75" i="15" s="1"/>
  <c r="G83" i="15" a="1"/>
  <c r="G83" i="15" s="1"/>
  <c r="C82" i="15"/>
  <c r="D76" i="15" a="1"/>
  <c r="D76" i="15" s="1"/>
  <c r="D80" i="15" a="1"/>
  <c r="D80" i="15" s="1"/>
  <c r="D84" i="15" a="1"/>
  <c r="D84" i="15" s="1"/>
  <c r="D88" i="15" a="1"/>
  <c r="D88" i="15" s="1"/>
  <c r="E78" i="15" a="1"/>
  <c r="E78" i="15" s="1"/>
  <c r="G76" i="15" a="1"/>
  <c r="G76" i="15" s="1"/>
  <c r="G84" i="15" a="1"/>
  <c r="G84" i="15" s="1"/>
  <c r="C59" i="15"/>
  <c r="C68" i="15"/>
  <c r="C60" i="15"/>
  <c r="C69" i="15"/>
  <c r="D59" i="15" a="1"/>
  <c r="D59" i="15" s="1"/>
  <c r="D63" i="15" a="1"/>
  <c r="D63" i="15" s="1"/>
  <c r="D68" i="15" a="1"/>
  <c r="D68" i="15" s="1"/>
  <c r="E57" i="15" a="1"/>
  <c r="E57" i="15" s="1"/>
  <c r="E61" i="15" a="1"/>
  <c r="E61" i="15" s="1"/>
  <c r="E65" i="15" a="1"/>
  <c r="E65" i="15" s="1"/>
  <c r="E70" i="15" a="1"/>
  <c r="E70" i="15" s="1"/>
  <c r="G59" i="15" a="1"/>
  <c r="G59" i="15" s="1"/>
  <c r="G63" i="15" a="1"/>
  <c r="G63" i="15" s="1"/>
  <c r="G68" i="15" a="1"/>
  <c r="G68" i="15" s="1"/>
  <c r="C61" i="15"/>
  <c r="C70" i="15"/>
  <c r="E64" i="15" a="1"/>
  <c r="E64" i="15" s="1"/>
  <c r="C62" i="15"/>
  <c r="D55" i="15" a="1"/>
  <c r="D55" i="15" s="1"/>
  <c r="D60" i="15" a="1"/>
  <c r="D60" i="15" s="1"/>
  <c r="D64" i="15" a="1"/>
  <c r="D64" i="15" s="1"/>
  <c r="D69" i="15" a="1"/>
  <c r="D69" i="15" s="1"/>
  <c r="E58" i="15" a="1"/>
  <c r="E58" i="15" s="1"/>
  <c r="G55" i="15" a="1"/>
  <c r="G55" i="15" s="1"/>
  <c r="G64" i="15" a="1"/>
  <c r="G64" i="15" s="1"/>
  <c r="C63" i="15"/>
  <c r="D57" i="15" a="1"/>
  <c r="D57" i="15" s="1"/>
  <c r="D61" i="15" a="1"/>
  <c r="D61" i="15" s="1"/>
  <c r="D65" i="15" a="1"/>
  <c r="D65" i="15" s="1"/>
  <c r="D70" i="15" a="1"/>
  <c r="D70" i="15" s="1"/>
  <c r="G57" i="15" a="1"/>
  <c r="G57" i="15" s="1"/>
  <c r="G65" i="15" a="1"/>
  <c r="G65" i="15" s="1"/>
  <c r="C50" i="15"/>
  <c r="G50" i="15" a="1"/>
  <c r="G50" i="15" s="1"/>
  <c r="D50" i="15" a="1"/>
  <c r="D50" i="15" s="1"/>
  <c r="C49" i="15"/>
  <c r="G49" i="15" a="1"/>
  <c r="G49" i="15" s="1"/>
  <c r="D49" i="15" a="1"/>
  <c r="D49" i="15" s="1"/>
  <c r="G48" i="15" a="1"/>
  <c r="G48" i="15" s="1"/>
  <c r="C48" i="15"/>
  <c r="E48" i="15" a="1"/>
  <c r="E48" i="15" s="1"/>
  <c r="C47" i="15"/>
  <c r="G47" i="15" a="1"/>
  <c r="G47" i="15" s="1"/>
  <c r="D47" i="15" a="1"/>
  <c r="D47" i="15" s="1"/>
  <c r="C46" i="15"/>
  <c r="G46" i="15" a="1"/>
  <c r="G46" i="15" s="1"/>
  <c r="D46" i="15" a="1"/>
  <c r="D46" i="15" s="1"/>
  <c r="C45" i="15"/>
  <c r="G45" i="15" a="1"/>
  <c r="G45" i="15" s="1"/>
  <c r="D45" i="15" a="1"/>
  <c r="D45" i="15" s="1"/>
  <c r="C44" i="15"/>
  <c r="D44" i="15" a="1"/>
  <c r="D44" i="15" s="1"/>
  <c r="E44" i="15" a="1"/>
  <c r="E44" i="15" s="1"/>
  <c r="C43" i="15"/>
  <c r="E43" i="15" a="1"/>
  <c r="E43" i="15" s="1"/>
  <c r="G43" i="15" a="1"/>
  <c r="G43" i="15" s="1"/>
  <c r="G42" i="15" a="1"/>
  <c r="G42" i="15" s="1"/>
  <c r="C42" i="15"/>
  <c r="D42" i="15" a="1"/>
  <c r="D42" i="15" s="1"/>
  <c r="C41" i="15"/>
  <c r="D41" i="15" a="1"/>
  <c r="D41" i="15" s="1"/>
  <c r="E41" i="15" a="1"/>
  <c r="E41" i="15" s="1"/>
  <c r="C37" i="15"/>
  <c r="D37" i="15" a="1"/>
  <c r="D37" i="15" s="1"/>
  <c r="E37" i="15" a="1"/>
  <c r="E37" i="15" s="1"/>
  <c r="C36" i="15"/>
  <c r="D36" i="15" a="1"/>
  <c r="D36" i="15" s="1"/>
  <c r="E36" i="15" a="1"/>
  <c r="E36" i="15" s="1"/>
  <c r="C35" i="15"/>
  <c r="D35" i="15" a="1"/>
  <c r="D35" i="15" s="1"/>
  <c r="G35" i="15" a="1"/>
  <c r="G35" i="15" s="1"/>
  <c r="B27" i="15"/>
  <c r="I27" i="15" s="1"/>
  <c r="I28" i="15" s="1"/>
  <c r="I29" i="15" s="1"/>
  <c r="I30" i="15" s="1"/>
  <c r="I31" i="15" s="1"/>
  <c r="I32" i="15" s="1"/>
  <c r="I33" i="15" s="1"/>
  <c r="I34" i="15" s="1"/>
  <c r="B21" i="15"/>
  <c r="B22" i="15"/>
  <c r="B20" i="15"/>
  <c r="B19" i="15"/>
  <c r="H19" i="15" s="1"/>
  <c r="B18" i="15"/>
  <c r="H18" i="15" s="1"/>
  <c r="B17" i="15"/>
  <c r="H17" i="15" s="1"/>
  <c r="B16" i="15"/>
  <c r="B15" i="15"/>
  <c r="B13" i="15"/>
  <c r="B12" i="15"/>
  <c r="B11" i="15"/>
  <c r="H11" i="15" s="1"/>
  <c r="B10" i="15"/>
  <c r="B4" i="15"/>
  <c r="K1477" i="8"/>
  <c r="E99" i="15" s="1" a="1"/>
  <c r="E99" i="15" s="1"/>
  <c r="G1477" i="8"/>
  <c r="L1476" i="8"/>
  <c r="K1476" i="8"/>
  <c r="G1476" i="8"/>
  <c r="L1477" i="8"/>
  <c r="K1475" i="8"/>
  <c r="G1475" i="8"/>
  <c r="K1474" i="8"/>
  <c r="E101" i="15" s="1" a="1"/>
  <c r="E101" i="15" s="1"/>
  <c r="G1474" i="8"/>
  <c r="G1470" i="8"/>
  <c r="G1471" i="8"/>
  <c r="G1472" i="8"/>
  <c r="G1473" i="8"/>
  <c r="K1473" i="8"/>
  <c r="L1472" i="8"/>
  <c r="K1472" i="8"/>
  <c r="L1473" i="8"/>
  <c r="K1471" i="8"/>
  <c r="L1470" i="8"/>
  <c r="K1470" i="8"/>
  <c r="L1471" i="8"/>
  <c r="K1469" i="8"/>
  <c r="G1469" i="8"/>
  <c r="L1468" i="8"/>
  <c r="K1468" i="8"/>
  <c r="G1468" i="8"/>
  <c r="L1469" i="8"/>
  <c r="K1467" i="8"/>
  <c r="G1467" i="8"/>
  <c r="L1466" i="8"/>
  <c r="K1466" i="8"/>
  <c r="G1466" i="8"/>
  <c r="L1467" i="8"/>
  <c r="K1465" i="8"/>
  <c r="G1465" i="8"/>
  <c r="L1464" i="8"/>
  <c r="K1464" i="8"/>
  <c r="G1464" i="8"/>
  <c r="K1463" i="8"/>
  <c r="G1463" i="8"/>
  <c r="L1462" i="8"/>
  <c r="K1462" i="8"/>
  <c r="G1462" i="8"/>
  <c r="L1463" i="8"/>
  <c r="G1461" i="8"/>
  <c r="G1460" i="8"/>
  <c r="G1459" i="8"/>
  <c r="G1458" i="8"/>
  <c r="G1457" i="8"/>
  <c r="G1456" i="8"/>
  <c r="G1455" i="8"/>
  <c r="G1454" i="8"/>
  <c r="K1461" i="8"/>
  <c r="K1460" i="8"/>
  <c r="K1459" i="8"/>
  <c r="K1458" i="8"/>
  <c r="K1457" i="8"/>
  <c r="K1456" i="8"/>
  <c r="K1455" i="8"/>
  <c r="K1454" i="8"/>
  <c r="L1460" i="8"/>
  <c r="L1458" i="8"/>
  <c r="L1459" i="8"/>
  <c r="L1456" i="8"/>
  <c r="L1455" i="8"/>
  <c r="G1453" i="8"/>
  <c r="G1452" i="8"/>
  <c r="G1451" i="8"/>
  <c r="G1450" i="8"/>
  <c r="G1449" i="8"/>
  <c r="G1448" i="8"/>
  <c r="G1447" i="8"/>
  <c r="G1446" i="8"/>
  <c r="G1445" i="8"/>
  <c r="G1444" i="8"/>
  <c r="G1443" i="8"/>
  <c r="G1442" i="8"/>
  <c r="G1441" i="8"/>
  <c r="G1440" i="8"/>
  <c r="G1439" i="8"/>
  <c r="G1438" i="8"/>
  <c r="G1437" i="8"/>
  <c r="G1436" i="8"/>
  <c r="G1435" i="8"/>
  <c r="G1434" i="8"/>
  <c r="K1453" i="8"/>
  <c r="K1452" i="8"/>
  <c r="K1451" i="8"/>
  <c r="K1450" i="8"/>
  <c r="K1449" i="8"/>
  <c r="K1448" i="8"/>
  <c r="K1447" i="8"/>
  <c r="K1446" i="8"/>
  <c r="K1445" i="8"/>
  <c r="K1444" i="8"/>
  <c r="K1443" i="8"/>
  <c r="K1442" i="8"/>
  <c r="K1441" i="8"/>
  <c r="K1440" i="8"/>
  <c r="K1439" i="8"/>
  <c r="K1438" i="8"/>
  <c r="K1437" i="8"/>
  <c r="K1436" i="8"/>
  <c r="K1435" i="8"/>
  <c r="K1434" i="8"/>
  <c r="L1452" i="8"/>
  <c r="L1453" i="8"/>
  <c r="L1450" i="8"/>
  <c r="L1451" i="8"/>
  <c r="L1448" i="8"/>
  <c r="L1449" i="8"/>
  <c r="L1446" i="8"/>
  <c r="L1447" i="8"/>
  <c r="L1444" i="8"/>
  <c r="L1445" i="8"/>
  <c r="L1442" i="8"/>
  <c r="L1443" i="8"/>
  <c r="L1440" i="8"/>
  <c r="L1441" i="8"/>
  <c r="L1438" i="8"/>
  <c r="L1439" i="8"/>
  <c r="L1436" i="8"/>
  <c r="L1434" i="8"/>
  <c r="L1435" i="8"/>
  <c r="D1414" i="8"/>
  <c r="K1416" i="8"/>
  <c r="K1417" i="8"/>
  <c r="K1418" i="8"/>
  <c r="K1419" i="8"/>
  <c r="K1420" i="8"/>
  <c r="K1421" i="8"/>
  <c r="K1422" i="8"/>
  <c r="K1423" i="8"/>
  <c r="K1424" i="8"/>
  <c r="K1425" i="8"/>
  <c r="K1426" i="8"/>
  <c r="K1427" i="8"/>
  <c r="K1428" i="8"/>
  <c r="K1429" i="8"/>
  <c r="K1430" i="8"/>
  <c r="K1431" i="8"/>
  <c r="K1432" i="8"/>
  <c r="K1433" i="8"/>
  <c r="K1415" i="8"/>
  <c r="K1414" i="8"/>
  <c r="L1432" i="8"/>
  <c r="L1433" i="8"/>
  <c r="L1430" i="8"/>
  <c r="L1431" i="8"/>
  <c r="L1428" i="8"/>
  <c r="L1429" i="8"/>
  <c r="L1427" i="8"/>
  <c r="L1424" i="8"/>
  <c r="L1425" i="8"/>
  <c r="L1422" i="8"/>
  <c r="L1423" i="8"/>
  <c r="L1420" i="8"/>
  <c r="L1421" i="8"/>
  <c r="L1418" i="8"/>
  <c r="L1419" i="8"/>
  <c r="L1416" i="8"/>
  <c r="L1417" i="8"/>
  <c r="L1414" i="8"/>
  <c r="L1415" i="8"/>
  <c r="G1433" i="8"/>
  <c r="G1432" i="8"/>
  <c r="G1431" i="8"/>
  <c r="G1430" i="8"/>
  <c r="G1429" i="8"/>
  <c r="G1428" i="8"/>
  <c r="G1427" i="8"/>
  <c r="G1426" i="8"/>
  <c r="G1425" i="8"/>
  <c r="G1424" i="8"/>
  <c r="G1423" i="8"/>
  <c r="G1422" i="8"/>
  <c r="G1421" i="8"/>
  <c r="G1420" i="8"/>
  <c r="G1419" i="8"/>
  <c r="G1418" i="8"/>
  <c r="G1417" i="8"/>
  <c r="G1416" i="8"/>
  <c r="G1415" i="8"/>
  <c r="G1414" i="8"/>
  <c r="G1413" i="8"/>
  <c r="G1412" i="8"/>
  <c r="G1411" i="8"/>
  <c r="G1410" i="8"/>
  <c r="G1409" i="8"/>
  <c r="G1408" i="8"/>
  <c r="G1407" i="8"/>
  <c r="G1406" i="8"/>
  <c r="G1405" i="8"/>
  <c r="G1404" i="8"/>
  <c r="G1403" i="8"/>
  <c r="G1402" i="8"/>
  <c r="G1401" i="8"/>
  <c r="G1400" i="8"/>
  <c r="G1399" i="8"/>
  <c r="G1398" i="8"/>
  <c r="G1397" i="8"/>
  <c r="G1396" i="8"/>
  <c r="G1395" i="8"/>
  <c r="G1394" i="8"/>
  <c r="G1393" i="8"/>
  <c r="G1392" i="8"/>
  <c r="G1391" i="8"/>
  <c r="G1390" i="8"/>
  <c r="G1389" i="8"/>
  <c r="G1388" i="8"/>
  <c r="G1387" i="8"/>
  <c r="G1386" i="8"/>
  <c r="G1385" i="8"/>
  <c r="G1384" i="8"/>
  <c r="G1383" i="8"/>
  <c r="G1382" i="8"/>
  <c r="G1381" i="8"/>
  <c r="G1380" i="8"/>
  <c r="G1379" i="8"/>
  <c r="G1378" i="8"/>
  <c r="G1377" i="8"/>
  <c r="G1376" i="8"/>
  <c r="G1375" i="8"/>
  <c r="G1374" i="8"/>
  <c r="G1373" i="8"/>
  <c r="G1372" i="8"/>
  <c r="G1371" i="8"/>
  <c r="G1370" i="8"/>
  <c r="G1369" i="8"/>
  <c r="G1368" i="8"/>
  <c r="G1367" i="8"/>
  <c r="G1366" i="8"/>
  <c r="G1365" i="8"/>
  <c r="G1364" i="8"/>
  <c r="G1363" i="8"/>
  <c r="G1362" i="8"/>
  <c r="G1361" i="8"/>
  <c r="G1360" i="8"/>
  <c r="G1359" i="8"/>
  <c r="G1358" i="8"/>
  <c r="G1357" i="8"/>
  <c r="G1356" i="8"/>
  <c r="G1355" i="8"/>
  <c r="G1354" i="8"/>
  <c r="G1353" i="8"/>
  <c r="G1352" i="8"/>
  <c r="G1351" i="8"/>
  <c r="G1350" i="8"/>
  <c r="G1349" i="8"/>
  <c r="G1348" i="8"/>
  <c r="G1347" i="8"/>
  <c r="G1346" i="8"/>
  <c r="G1345" i="8"/>
  <c r="G1344" i="8"/>
  <c r="G1343" i="8"/>
  <c r="G1342" i="8"/>
  <c r="G1341" i="8"/>
  <c r="G1340" i="8"/>
  <c r="G1339" i="8"/>
  <c r="G1338" i="8"/>
  <c r="G1337" i="8"/>
  <c r="G1336" i="8"/>
  <c r="G1335" i="8"/>
  <c r="G1334" i="8"/>
  <c r="G1333" i="8"/>
  <c r="G1332" i="8"/>
  <c r="G1331" i="8"/>
  <c r="G1330" i="8"/>
  <c r="G1329" i="8"/>
  <c r="G1328" i="8"/>
  <c r="G1327" i="8"/>
  <c r="G1326" i="8"/>
  <c r="G1325" i="8"/>
  <c r="G1324" i="8"/>
  <c r="G1323" i="8"/>
  <c r="G1322" i="8"/>
  <c r="G1321" i="8"/>
  <c r="G1320" i="8"/>
  <c r="G1319" i="8"/>
  <c r="G1318" i="8"/>
  <c r="G1317" i="8"/>
  <c r="G1316" i="8"/>
  <c r="G1315" i="8"/>
  <c r="G1314" i="8"/>
  <c r="G1313" i="8"/>
  <c r="G1312" i="8"/>
  <c r="G1311" i="8"/>
  <c r="G1310" i="8"/>
  <c r="G1309" i="8"/>
  <c r="G1308" i="8"/>
  <c r="G1307" i="8"/>
  <c r="G1306" i="8"/>
  <c r="G1305" i="8"/>
  <c r="G1304" i="8"/>
  <c r="G1303" i="8"/>
  <c r="G1302" i="8"/>
  <c r="G1301" i="8"/>
  <c r="G1300" i="8"/>
  <c r="G1299" i="8"/>
  <c r="G1298" i="8"/>
  <c r="G1297" i="8"/>
  <c r="G1296" i="8"/>
  <c r="G1295" i="8"/>
  <c r="G1294" i="8"/>
  <c r="G1293" i="8"/>
  <c r="G1292" i="8"/>
  <c r="G1291" i="8"/>
  <c r="G1290" i="8"/>
  <c r="G1289" i="8"/>
  <c r="G1288" i="8"/>
  <c r="G1287" i="8"/>
  <c r="G1286" i="8"/>
  <c r="G1285" i="8"/>
  <c r="G1284" i="8"/>
  <c r="G1283" i="8"/>
  <c r="G1282" i="8"/>
  <c r="G1281" i="8"/>
  <c r="G1280" i="8"/>
  <c r="G1279" i="8"/>
  <c r="G1278" i="8"/>
  <c r="G1277" i="8"/>
  <c r="G1276" i="8"/>
  <c r="G1275" i="8"/>
  <c r="G1274" i="8"/>
  <c r="G1273" i="8"/>
  <c r="G1272" i="8"/>
  <c r="G1271" i="8"/>
  <c r="G1270" i="8"/>
  <c r="G1269" i="8"/>
  <c r="G1268" i="8"/>
  <c r="G1267" i="8"/>
  <c r="G1266" i="8"/>
  <c r="G1265" i="8"/>
  <c r="G1264" i="8"/>
  <c r="G1263" i="8"/>
  <c r="G1262" i="8"/>
  <c r="G1261" i="8"/>
  <c r="G1260" i="8"/>
  <c r="G1259" i="8"/>
  <c r="G1258" i="8"/>
  <c r="G1257" i="8"/>
  <c r="G1256" i="8"/>
  <c r="G1255" i="8"/>
  <c r="G1254" i="8"/>
  <c r="G1253" i="8"/>
  <c r="G1252" i="8"/>
  <c r="G1251" i="8"/>
  <c r="G1250" i="8"/>
  <c r="G1249" i="8"/>
  <c r="G1248" i="8"/>
  <c r="G1247" i="8"/>
  <c r="G1246" i="8"/>
  <c r="G1245" i="8"/>
  <c r="G1244" i="8"/>
  <c r="G1243" i="8"/>
  <c r="G1242" i="8"/>
  <c r="G1241" i="8"/>
  <c r="G1240" i="8"/>
  <c r="G1239" i="8"/>
  <c r="G1238" i="8"/>
  <c r="G1237" i="8"/>
  <c r="G1236" i="8"/>
  <c r="G1235" i="8"/>
  <c r="G1234" i="8"/>
  <c r="G1233" i="8"/>
  <c r="G1232" i="8"/>
  <c r="G1231" i="8"/>
  <c r="G1230" i="8"/>
  <c r="G1229" i="8"/>
  <c r="G1228" i="8"/>
  <c r="G1227" i="8"/>
  <c r="G1226" i="8"/>
  <c r="G1225" i="8"/>
  <c r="G1224" i="8"/>
  <c r="G1223" i="8"/>
  <c r="G1222" i="8"/>
  <c r="G1221" i="8"/>
  <c r="G1220" i="8"/>
  <c r="G1219" i="8"/>
  <c r="G1218" i="8"/>
  <c r="G1217" i="8"/>
  <c r="G1216" i="8"/>
  <c r="G1215" i="8"/>
  <c r="G1214" i="8"/>
  <c r="G1213" i="8"/>
  <c r="G1212" i="8"/>
  <c r="G1211" i="8"/>
  <c r="G1210" i="8"/>
  <c r="G1209" i="8"/>
  <c r="G1208" i="8"/>
  <c r="G1207" i="8"/>
  <c r="G1206" i="8"/>
  <c r="G1205" i="8"/>
  <c r="G1204" i="8"/>
  <c r="G1203" i="8"/>
  <c r="G1202" i="8"/>
  <c r="G1201" i="8"/>
  <c r="G1200" i="8"/>
  <c r="G1199" i="8"/>
  <c r="G1198" i="8"/>
  <c r="G1197" i="8"/>
  <c r="G1196" i="8"/>
  <c r="G1195" i="8"/>
  <c r="G1194" i="8"/>
  <c r="G1193" i="8"/>
  <c r="G1192" i="8"/>
  <c r="G1191" i="8"/>
  <c r="G1190" i="8"/>
  <c r="G1189" i="8"/>
  <c r="G1188" i="8"/>
  <c r="G1187" i="8"/>
  <c r="G1186" i="8"/>
  <c r="G1185" i="8"/>
  <c r="G1184" i="8"/>
  <c r="G1183" i="8"/>
  <c r="G1182" i="8"/>
  <c r="G1181" i="8"/>
  <c r="G1180" i="8"/>
  <c r="G1179" i="8"/>
  <c r="G1178" i="8"/>
  <c r="G1177" i="8"/>
  <c r="G1176" i="8"/>
  <c r="G1175" i="8"/>
  <c r="G1174" i="8"/>
  <c r="G1173" i="8"/>
  <c r="G1172" i="8"/>
  <c r="G1171" i="8"/>
  <c r="G1170" i="8"/>
  <c r="G1169" i="8"/>
  <c r="G1168" i="8"/>
  <c r="G1167" i="8"/>
  <c r="G1166" i="8"/>
  <c r="G1165" i="8"/>
  <c r="G1164" i="8"/>
  <c r="G1163" i="8"/>
  <c r="G1162" i="8"/>
  <c r="G1161" i="8"/>
  <c r="G1160" i="8"/>
  <c r="G1159" i="8"/>
  <c r="G1158" i="8"/>
  <c r="G1157" i="8"/>
  <c r="G1156" i="8"/>
  <c r="G1155" i="8"/>
  <c r="G1154" i="8"/>
  <c r="G1153" i="8"/>
  <c r="G1152" i="8"/>
  <c r="G1151" i="8"/>
  <c r="G1150" i="8"/>
  <c r="G1149" i="8"/>
  <c r="G1148" i="8"/>
  <c r="G1147" i="8"/>
  <c r="G1146" i="8"/>
  <c r="G1145" i="8"/>
  <c r="G1144" i="8"/>
  <c r="G1143" i="8"/>
  <c r="G1142" i="8"/>
  <c r="G1141" i="8"/>
  <c r="G1140" i="8"/>
  <c r="G1139" i="8"/>
  <c r="G1138" i="8"/>
  <c r="G1137" i="8"/>
  <c r="G1136" i="8"/>
  <c r="G1135" i="8"/>
  <c r="G1134" i="8"/>
  <c r="G1133" i="8"/>
  <c r="G1132" i="8"/>
  <c r="G1131" i="8"/>
  <c r="G1130" i="8"/>
  <c r="G1129" i="8"/>
  <c r="G1128" i="8"/>
  <c r="G1127" i="8"/>
  <c r="G1126" i="8"/>
  <c r="G1125" i="8"/>
  <c r="G1124" i="8"/>
  <c r="G1123" i="8"/>
  <c r="G1122" i="8"/>
  <c r="G1121" i="8"/>
  <c r="G1120" i="8"/>
  <c r="G1119" i="8"/>
  <c r="G1118" i="8"/>
  <c r="G1117" i="8"/>
  <c r="G1116" i="8"/>
  <c r="G1115" i="8"/>
  <c r="G1114" i="8"/>
  <c r="G1113" i="8"/>
  <c r="G1112" i="8"/>
  <c r="G1111" i="8"/>
  <c r="G1110" i="8"/>
  <c r="G1109" i="8"/>
  <c r="G1108" i="8"/>
  <c r="G1107" i="8"/>
  <c r="G1106" i="8"/>
  <c r="G1105" i="8"/>
  <c r="G1104" i="8"/>
  <c r="G1103" i="8"/>
  <c r="G1102" i="8"/>
  <c r="G1101" i="8"/>
  <c r="G1100" i="8"/>
  <c r="G1099" i="8"/>
  <c r="G1098" i="8"/>
  <c r="G1097" i="8"/>
  <c r="G1096" i="8"/>
  <c r="G1095" i="8"/>
  <c r="G1094" i="8"/>
  <c r="G1093" i="8"/>
  <c r="G1092" i="8"/>
  <c r="G1091" i="8"/>
  <c r="G1090" i="8"/>
  <c r="G1089" i="8"/>
  <c r="G1088" i="8"/>
  <c r="G1087" i="8"/>
  <c r="G1086" i="8"/>
  <c r="G1085" i="8"/>
  <c r="G1084" i="8"/>
  <c r="G1083" i="8"/>
  <c r="G1082" i="8"/>
  <c r="G1081" i="8"/>
  <c r="G1080" i="8"/>
  <c r="G1079" i="8"/>
  <c r="G1078" i="8"/>
  <c r="G1077" i="8"/>
  <c r="G1076" i="8"/>
  <c r="G1075" i="8"/>
  <c r="G1074" i="8"/>
  <c r="G1073" i="8"/>
  <c r="G1072" i="8"/>
  <c r="G1071" i="8"/>
  <c r="G1070" i="8"/>
  <c r="G1069" i="8"/>
  <c r="G1068" i="8"/>
  <c r="G1067" i="8"/>
  <c r="G1066" i="8"/>
  <c r="G1065" i="8"/>
  <c r="G1064" i="8"/>
  <c r="G1063" i="8"/>
  <c r="G1062" i="8"/>
  <c r="G1061" i="8"/>
  <c r="G1060" i="8"/>
  <c r="G1059" i="8"/>
  <c r="G1058" i="8"/>
  <c r="G1057" i="8"/>
  <c r="G1056" i="8"/>
  <c r="G1055" i="8"/>
  <c r="G1054" i="8"/>
  <c r="G1053" i="8"/>
  <c r="G1052" i="8"/>
  <c r="G1051" i="8"/>
  <c r="G1050" i="8"/>
  <c r="G1049" i="8"/>
  <c r="G1048" i="8"/>
  <c r="G1047" i="8"/>
  <c r="G1046" i="8"/>
  <c r="G1045" i="8"/>
  <c r="G1044" i="8"/>
  <c r="G1043" i="8"/>
  <c r="G1042" i="8"/>
  <c r="G1041" i="8"/>
  <c r="G1040" i="8"/>
  <c r="G1039" i="8"/>
  <c r="G1038" i="8"/>
  <c r="G1037" i="8"/>
  <c r="G1036" i="8"/>
  <c r="G1035" i="8"/>
  <c r="G1034" i="8"/>
  <c r="G1033" i="8"/>
  <c r="G1032" i="8"/>
  <c r="G1031" i="8"/>
  <c r="G1030" i="8"/>
  <c r="G1029" i="8"/>
  <c r="G1028" i="8"/>
  <c r="G1027" i="8"/>
  <c r="G1026" i="8"/>
  <c r="G1025" i="8"/>
  <c r="G1024" i="8"/>
  <c r="G1023" i="8"/>
  <c r="G1022" i="8"/>
  <c r="G1021" i="8"/>
  <c r="G1020" i="8"/>
  <c r="G1019" i="8"/>
  <c r="G1018" i="8"/>
  <c r="G1017" i="8"/>
  <c r="G1016" i="8"/>
  <c r="G1015" i="8"/>
  <c r="G1014" i="8"/>
  <c r="G1013" i="8"/>
  <c r="G1012" i="8"/>
  <c r="G1011" i="8"/>
  <c r="G1010" i="8"/>
  <c r="G1009" i="8"/>
  <c r="G1008" i="8"/>
  <c r="G1007" i="8"/>
  <c r="G1006" i="8"/>
  <c r="G1005" i="8"/>
  <c r="G1004" i="8"/>
  <c r="G1003" i="8"/>
  <c r="G1002" i="8"/>
  <c r="G1001" i="8"/>
  <c r="G1000" i="8"/>
  <c r="G999" i="8"/>
  <c r="G998" i="8"/>
  <c r="G997" i="8"/>
  <c r="G996" i="8"/>
  <c r="G995" i="8"/>
  <c r="G994" i="8"/>
  <c r="G993" i="8"/>
  <c r="G992" i="8"/>
  <c r="G991" i="8"/>
  <c r="G990" i="8"/>
  <c r="G989" i="8"/>
  <c r="G988" i="8"/>
  <c r="G987" i="8"/>
  <c r="G986" i="8"/>
  <c r="G985" i="8"/>
  <c r="G984" i="8"/>
  <c r="G983" i="8"/>
  <c r="G982" i="8"/>
  <c r="G981" i="8"/>
  <c r="G980" i="8"/>
  <c r="G979" i="8"/>
  <c r="G978" i="8"/>
  <c r="G977" i="8"/>
  <c r="G976" i="8"/>
  <c r="G975" i="8"/>
  <c r="G974" i="8"/>
  <c r="G973" i="8"/>
  <c r="G972" i="8"/>
  <c r="G971" i="8"/>
  <c r="G970" i="8"/>
  <c r="G969" i="8"/>
  <c r="G968" i="8"/>
  <c r="G967" i="8"/>
  <c r="G966" i="8"/>
  <c r="G965" i="8"/>
  <c r="G964" i="8"/>
  <c r="G963" i="8"/>
  <c r="G962" i="8"/>
  <c r="G961" i="8"/>
  <c r="G960" i="8"/>
  <c r="G959" i="8"/>
  <c r="G958" i="8"/>
  <c r="G957" i="8"/>
  <c r="G956" i="8"/>
  <c r="G955" i="8"/>
  <c r="G954" i="8"/>
  <c r="G953" i="8"/>
  <c r="G952" i="8"/>
  <c r="G951" i="8"/>
  <c r="G950" i="8"/>
  <c r="G949" i="8"/>
  <c r="G948" i="8"/>
  <c r="G947" i="8"/>
  <c r="G946" i="8"/>
  <c r="G945" i="8"/>
  <c r="G944" i="8"/>
  <c r="G943" i="8"/>
  <c r="G942" i="8"/>
  <c r="G941" i="8"/>
  <c r="G940" i="8"/>
  <c r="G939" i="8"/>
  <c r="G938" i="8"/>
  <c r="G937" i="8"/>
  <c r="G936" i="8"/>
  <c r="G935" i="8"/>
  <c r="G934" i="8"/>
  <c r="G933" i="8"/>
  <c r="G932" i="8"/>
  <c r="G931" i="8"/>
  <c r="G930" i="8"/>
  <c r="G929" i="8"/>
  <c r="G928" i="8"/>
  <c r="G927" i="8"/>
  <c r="G926" i="8"/>
  <c r="G925" i="8"/>
  <c r="G924" i="8"/>
  <c r="G923" i="8"/>
  <c r="G922" i="8"/>
  <c r="G921" i="8"/>
  <c r="G920" i="8"/>
  <c r="G919" i="8"/>
  <c r="G918" i="8"/>
  <c r="G917" i="8"/>
  <c r="G916" i="8"/>
  <c r="G915" i="8"/>
  <c r="G914" i="8"/>
  <c r="G913" i="8"/>
  <c r="G912" i="8"/>
  <c r="G911" i="8"/>
  <c r="G910" i="8"/>
  <c r="G909" i="8"/>
  <c r="G908" i="8"/>
  <c r="G907" i="8"/>
  <c r="G906" i="8"/>
  <c r="G905" i="8"/>
  <c r="G904" i="8"/>
  <c r="G903" i="8"/>
  <c r="G902" i="8"/>
  <c r="G901" i="8"/>
  <c r="G900" i="8"/>
  <c r="G899" i="8"/>
  <c r="G898" i="8"/>
  <c r="G897" i="8"/>
  <c r="G896" i="8"/>
  <c r="G895" i="8"/>
  <c r="G894" i="8"/>
  <c r="G893" i="8"/>
  <c r="G892" i="8"/>
  <c r="G891" i="8"/>
  <c r="G890" i="8"/>
  <c r="G889" i="8"/>
  <c r="G888" i="8"/>
  <c r="G887" i="8"/>
  <c r="G886" i="8"/>
  <c r="G885" i="8"/>
  <c r="G884" i="8"/>
  <c r="G883" i="8"/>
  <c r="G882" i="8"/>
  <c r="G881" i="8"/>
  <c r="G880" i="8"/>
  <c r="G879" i="8"/>
  <c r="G878" i="8"/>
  <c r="G877" i="8"/>
  <c r="G876" i="8"/>
  <c r="G875" i="8"/>
  <c r="G874" i="8"/>
  <c r="G873" i="8"/>
  <c r="G872" i="8"/>
  <c r="G871" i="8"/>
  <c r="G870" i="8"/>
  <c r="G869" i="8"/>
  <c r="G868" i="8"/>
  <c r="G867" i="8"/>
  <c r="G866" i="8"/>
  <c r="G865" i="8"/>
  <c r="G864" i="8"/>
  <c r="G863" i="8"/>
  <c r="G862" i="8"/>
  <c r="G861" i="8"/>
  <c r="G860" i="8"/>
  <c r="G859" i="8"/>
  <c r="G858" i="8"/>
  <c r="G857" i="8"/>
  <c r="G856" i="8"/>
  <c r="G855" i="8"/>
  <c r="G854" i="8"/>
  <c r="G853" i="8"/>
  <c r="G852" i="8"/>
  <c r="G851" i="8"/>
  <c r="G850" i="8"/>
  <c r="G849" i="8"/>
  <c r="G848" i="8"/>
  <c r="G847" i="8"/>
  <c r="G846" i="8"/>
  <c r="G845" i="8"/>
  <c r="G844" i="8"/>
  <c r="G843" i="8"/>
  <c r="G842" i="8"/>
  <c r="G841" i="8"/>
  <c r="G840" i="8"/>
  <c r="G839" i="8"/>
  <c r="G838" i="8"/>
  <c r="G837" i="8"/>
  <c r="G836" i="8"/>
  <c r="G835" i="8"/>
  <c r="G834" i="8"/>
  <c r="G833" i="8"/>
  <c r="G832" i="8"/>
  <c r="G831" i="8"/>
  <c r="G830" i="8"/>
  <c r="G829" i="8"/>
  <c r="G828" i="8"/>
  <c r="G827" i="8"/>
  <c r="G826" i="8"/>
  <c r="G825" i="8"/>
  <c r="G824" i="8"/>
  <c r="G823" i="8"/>
  <c r="G822" i="8"/>
  <c r="G821" i="8"/>
  <c r="G820" i="8"/>
  <c r="G819" i="8"/>
  <c r="G818" i="8"/>
  <c r="G817" i="8"/>
  <c r="G816" i="8"/>
  <c r="G815" i="8"/>
  <c r="G814" i="8"/>
  <c r="G813" i="8"/>
  <c r="G812" i="8"/>
  <c r="G811" i="8"/>
  <c r="G810" i="8"/>
  <c r="G809" i="8"/>
  <c r="G808" i="8"/>
  <c r="G807" i="8"/>
  <c r="G806" i="8"/>
  <c r="G805" i="8"/>
  <c r="G804" i="8"/>
  <c r="G803" i="8"/>
  <c r="G802" i="8"/>
  <c r="G801" i="8"/>
  <c r="G800" i="8"/>
  <c r="G799" i="8"/>
  <c r="G798" i="8"/>
  <c r="G797" i="8"/>
  <c r="G796" i="8"/>
  <c r="G795" i="8"/>
  <c r="G794" i="8"/>
  <c r="G793" i="8"/>
  <c r="G792" i="8"/>
  <c r="G791" i="8"/>
  <c r="G790" i="8"/>
  <c r="G789" i="8"/>
  <c r="G788" i="8"/>
  <c r="G787" i="8"/>
  <c r="G786" i="8"/>
  <c r="G785" i="8"/>
  <c r="G784" i="8"/>
  <c r="G783" i="8"/>
  <c r="G782" i="8"/>
  <c r="G781" i="8"/>
  <c r="G780" i="8"/>
  <c r="G779" i="8"/>
  <c r="G778" i="8"/>
  <c r="G777" i="8"/>
  <c r="G776" i="8"/>
  <c r="G775" i="8"/>
  <c r="G774" i="8"/>
  <c r="G773" i="8"/>
  <c r="G772" i="8"/>
  <c r="G771" i="8"/>
  <c r="G770" i="8"/>
  <c r="G769" i="8"/>
  <c r="G768" i="8"/>
  <c r="G767" i="8"/>
  <c r="G766" i="8"/>
  <c r="G765" i="8"/>
  <c r="G764" i="8"/>
  <c r="G763" i="8"/>
  <c r="G762" i="8"/>
  <c r="G761" i="8"/>
  <c r="G760" i="8"/>
  <c r="G759" i="8"/>
  <c r="G758" i="8"/>
  <c r="G757" i="8"/>
  <c r="G756" i="8"/>
  <c r="G755" i="8"/>
  <c r="G754" i="8"/>
  <c r="G753" i="8"/>
  <c r="G752" i="8"/>
  <c r="G751" i="8"/>
  <c r="G750" i="8"/>
  <c r="G749" i="8"/>
  <c r="G748" i="8"/>
  <c r="G747" i="8"/>
  <c r="G746" i="8"/>
  <c r="G745" i="8"/>
  <c r="G744" i="8"/>
  <c r="G743" i="8"/>
  <c r="G742" i="8"/>
  <c r="G741" i="8"/>
  <c r="G740" i="8"/>
  <c r="G739" i="8"/>
  <c r="G738" i="8"/>
  <c r="G737" i="8"/>
  <c r="G736" i="8"/>
  <c r="G735" i="8"/>
  <c r="G734" i="8"/>
  <c r="G733" i="8"/>
  <c r="G732" i="8"/>
  <c r="G731" i="8"/>
  <c r="G730" i="8"/>
  <c r="G729" i="8"/>
  <c r="G728" i="8"/>
  <c r="G727" i="8"/>
  <c r="G726" i="8"/>
  <c r="G725" i="8"/>
  <c r="G724" i="8"/>
  <c r="G723" i="8"/>
  <c r="G722" i="8"/>
  <c r="G721" i="8"/>
  <c r="G720" i="8"/>
  <c r="G719" i="8"/>
  <c r="G718" i="8"/>
  <c r="G717" i="8"/>
  <c r="G716" i="8"/>
  <c r="G715" i="8"/>
  <c r="G714" i="8"/>
  <c r="G713" i="8"/>
  <c r="G712" i="8"/>
  <c r="G711" i="8"/>
  <c r="G710" i="8"/>
  <c r="G709" i="8"/>
  <c r="G708" i="8"/>
  <c r="G707" i="8"/>
  <c r="G706" i="8"/>
  <c r="G705" i="8"/>
  <c r="G704" i="8"/>
  <c r="G703" i="8"/>
  <c r="G702" i="8"/>
  <c r="G701" i="8"/>
  <c r="G700" i="8"/>
  <c r="G699" i="8"/>
  <c r="G698" i="8"/>
  <c r="G697" i="8"/>
  <c r="G696" i="8"/>
  <c r="G695" i="8"/>
  <c r="G694" i="8"/>
  <c r="G693" i="8"/>
  <c r="G692" i="8"/>
  <c r="G691" i="8"/>
  <c r="G690" i="8"/>
  <c r="G689" i="8"/>
  <c r="G688" i="8"/>
  <c r="G687" i="8"/>
  <c r="G686" i="8"/>
  <c r="G685" i="8"/>
  <c r="G684" i="8"/>
  <c r="G683" i="8"/>
  <c r="G682" i="8"/>
  <c r="G681" i="8"/>
  <c r="G680" i="8"/>
  <c r="G679" i="8"/>
  <c r="G678" i="8"/>
  <c r="G677" i="8"/>
  <c r="G676" i="8"/>
  <c r="G675" i="8"/>
  <c r="G674" i="8"/>
  <c r="G673" i="8"/>
  <c r="G672" i="8"/>
  <c r="G671" i="8"/>
  <c r="G670" i="8"/>
  <c r="G669" i="8"/>
  <c r="G668" i="8"/>
  <c r="G667" i="8"/>
  <c r="G666" i="8"/>
  <c r="G665" i="8"/>
  <c r="G664" i="8"/>
  <c r="G663" i="8"/>
  <c r="G662" i="8"/>
  <c r="G661" i="8"/>
  <c r="G660" i="8"/>
  <c r="G659" i="8"/>
  <c r="G658" i="8"/>
  <c r="G657" i="8"/>
  <c r="G656" i="8"/>
  <c r="G655" i="8"/>
  <c r="G654" i="8"/>
  <c r="G653" i="8"/>
  <c r="G652" i="8"/>
  <c r="G651" i="8"/>
  <c r="G650" i="8"/>
  <c r="G649" i="8"/>
  <c r="G648" i="8"/>
  <c r="G647" i="8"/>
  <c r="G646" i="8"/>
  <c r="G645" i="8"/>
  <c r="G644" i="8"/>
  <c r="G643" i="8"/>
  <c r="G642" i="8"/>
  <c r="G641" i="8"/>
  <c r="G640" i="8"/>
  <c r="G639" i="8"/>
  <c r="G638" i="8"/>
  <c r="G637" i="8"/>
  <c r="G636" i="8"/>
  <c r="G635" i="8"/>
  <c r="G634" i="8"/>
  <c r="G633" i="8"/>
  <c r="G632" i="8"/>
  <c r="G631" i="8"/>
  <c r="G630" i="8"/>
  <c r="G629" i="8"/>
  <c r="G628" i="8"/>
  <c r="G627" i="8"/>
  <c r="G626" i="8"/>
  <c r="G625" i="8"/>
  <c r="G624" i="8"/>
  <c r="G623" i="8"/>
  <c r="G622" i="8"/>
  <c r="G621" i="8"/>
  <c r="G620" i="8"/>
  <c r="G619" i="8"/>
  <c r="G618" i="8"/>
  <c r="G617" i="8"/>
  <c r="G616" i="8"/>
  <c r="G615" i="8"/>
  <c r="G614" i="8"/>
  <c r="G613" i="8"/>
  <c r="G612" i="8"/>
  <c r="G611" i="8"/>
  <c r="G610" i="8"/>
  <c r="G609" i="8"/>
  <c r="G608" i="8"/>
  <c r="G607" i="8"/>
  <c r="G606" i="8"/>
  <c r="G605" i="8"/>
  <c r="G604" i="8"/>
  <c r="G603" i="8"/>
  <c r="G602" i="8"/>
  <c r="G601" i="8"/>
  <c r="G600" i="8"/>
  <c r="G599" i="8"/>
  <c r="G598" i="8"/>
  <c r="G597" i="8"/>
  <c r="G596" i="8"/>
  <c r="G595" i="8"/>
  <c r="G594" i="8"/>
  <c r="G593" i="8"/>
  <c r="G592" i="8"/>
  <c r="G591" i="8"/>
  <c r="G590" i="8"/>
  <c r="G589" i="8"/>
  <c r="G588" i="8"/>
  <c r="G587" i="8"/>
  <c r="G586" i="8"/>
  <c r="G585" i="8"/>
  <c r="G584" i="8"/>
  <c r="G583" i="8"/>
  <c r="G582" i="8"/>
  <c r="G581" i="8"/>
  <c r="G580" i="8"/>
  <c r="G579" i="8"/>
  <c r="G578" i="8"/>
  <c r="G577" i="8"/>
  <c r="G576" i="8"/>
  <c r="G575" i="8"/>
  <c r="G574" i="8"/>
  <c r="G573" i="8"/>
  <c r="G572" i="8"/>
  <c r="G571" i="8"/>
  <c r="G570" i="8"/>
  <c r="G569" i="8"/>
  <c r="G568" i="8"/>
  <c r="G567" i="8"/>
  <c r="G566" i="8"/>
  <c r="G565" i="8"/>
  <c r="G564" i="8"/>
  <c r="G563" i="8"/>
  <c r="G562" i="8"/>
  <c r="G561" i="8"/>
  <c r="G560" i="8"/>
  <c r="G559" i="8"/>
  <c r="G558" i="8"/>
  <c r="G557" i="8"/>
  <c r="G556" i="8"/>
  <c r="G555" i="8"/>
  <c r="G554" i="8"/>
  <c r="G553" i="8"/>
  <c r="G552" i="8"/>
  <c r="G551" i="8"/>
  <c r="G550" i="8"/>
  <c r="G549" i="8"/>
  <c r="G548" i="8"/>
  <c r="G547" i="8"/>
  <c r="G546" i="8"/>
  <c r="G545" i="8"/>
  <c r="G544" i="8"/>
  <c r="G543" i="8"/>
  <c r="G542" i="8"/>
  <c r="G541" i="8"/>
  <c r="G540" i="8"/>
  <c r="G539" i="8"/>
  <c r="G538" i="8"/>
  <c r="G537" i="8"/>
  <c r="G536" i="8"/>
  <c r="G535" i="8"/>
  <c r="G534" i="8"/>
  <c r="G533" i="8"/>
  <c r="G532" i="8"/>
  <c r="G531" i="8"/>
  <c r="G530" i="8"/>
  <c r="G529" i="8"/>
  <c r="G528" i="8"/>
  <c r="G527" i="8"/>
  <c r="G526" i="8"/>
  <c r="G525" i="8"/>
  <c r="G524" i="8"/>
  <c r="G523" i="8"/>
  <c r="G522" i="8"/>
  <c r="G521" i="8"/>
  <c r="G520" i="8"/>
  <c r="G519" i="8"/>
  <c r="G518" i="8"/>
  <c r="G517" i="8"/>
  <c r="G516" i="8"/>
  <c r="G515" i="8"/>
  <c r="G514" i="8"/>
  <c r="G513" i="8"/>
  <c r="G512" i="8"/>
  <c r="G511" i="8"/>
  <c r="G510" i="8"/>
  <c r="G509" i="8"/>
  <c r="G508" i="8"/>
  <c r="G507" i="8"/>
  <c r="G506" i="8"/>
  <c r="G505" i="8"/>
  <c r="G504" i="8"/>
  <c r="G503" i="8"/>
  <c r="G502" i="8"/>
  <c r="G501" i="8"/>
  <c r="G500" i="8"/>
  <c r="G499" i="8"/>
  <c r="G498" i="8"/>
  <c r="G497" i="8"/>
  <c r="G496" i="8"/>
  <c r="G495" i="8"/>
  <c r="G494" i="8"/>
  <c r="G493" i="8"/>
  <c r="G492" i="8"/>
  <c r="G491" i="8"/>
  <c r="G490" i="8"/>
  <c r="G489" i="8"/>
  <c r="G488" i="8"/>
  <c r="G487" i="8"/>
  <c r="G486" i="8"/>
  <c r="G485" i="8"/>
  <c r="G484" i="8"/>
  <c r="G483" i="8"/>
  <c r="G482" i="8"/>
  <c r="G481" i="8"/>
  <c r="G480" i="8"/>
  <c r="G479" i="8"/>
  <c r="G478" i="8"/>
  <c r="G477" i="8"/>
  <c r="G476" i="8"/>
  <c r="G475" i="8"/>
  <c r="G474" i="8"/>
  <c r="G473" i="8"/>
  <c r="G472" i="8"/>
  <c r="G471" i="8"/>
  <c r="G470" i="8"/>
  <c r="G469" i="8"/>
  <c r="G468" i="8"/>
  <c r="G467" i="8"/>
  <c r="G466" i="8"/>
  <c r="G465" i="8"/>
  <c r="G464" i="8"/>
  <c r="G463" i="8"/>
  <c r="G462" i="8"/>
  <c r="G461" i="8"/>
  <c r="G460" i="8"/>
  <c r="G459" i="8"/>
  <c r="G458" i="8"/>
  <c r="G457" i="8"/>
  <c r="G456" i="8"/>
  <c r="G455" i="8"/>
  <c r="G454" i="8"/>
  <c r="G453" i="8"/>
  <c r="G452" i="8"/>
  <c r="G451" i="8"/>
  <c r="G450" i="8"/>
  <c r="G449" i="8"/>
  <c r="G448" i="8"/>
  <c r="G447" i="8"/>
  <c r="G446" i="8"/>
  <c r="G445" i="8"/>
  <c r="G444" i="8"/>
  <c r="G443" i="8"/>
  <c r="G442" i="8"/>
  <c r="G441" i="8"/>
  <c r="G440" i="8"/>
  <c r="G439" i="8"/>
  <c r="G438" i="8"/>
  <c r="G437" i="8"/>
  <c r="G436" i="8"/>
  <c r="G435" i="8"/>
  <c r="G434" i="8"/>
  <c r="G433" i="8"/>
  <c r="G432" i="8"/>
  <c r="G431" i="8"/>
  <c r="G430" i="8"/>
  <c r="G429" i="8"/>
  <c r="G428" i="8"/>
  <c r="G427" i="8"/>
  <c r="G426" i="8"/>
  <c r="G425" i="8"/>
  <c r="G424" i="8"/>
  <c r="G423" i="8"/>
  <c r="G422" i="8"/>
  <c r="G421" i="8"/>
  <c r="G420" i="8"/>
  <c r="G419" i="8"/>
  <c r="G418" i="8"/>
  <c r="G417" i="8"/>
  <c r="G416" i="8"/>
  <c r="G415" i="8"/>
  <c r="G414" i="8"/>
  <c r="G413" i="8"/>
  <c r="G412" i="8"/>
  <c r="G411" i="8"/>
  <c r="G410" i="8"/>
  <c r="G409" i="8"/>
  <c r="G408" i="8"/>
  <c r="G407" i="8"/>
  <c r="G406" i="8"/>
  <c r="G405" i="8"/>
  <c r="G404" i="8"/>
  <c r="G403" i="8"/>
  <c r="G402" i="8"/>
  <c r="G401" i="8"/>
  <c r="G400" i="8"/>
  <c r="G399" i="8"/>
  <c r="G398" i="8"/>
  <c r="G397" i="8"/>
  <c r="G396" i="8"/>
  <c r="G395" i="8"/>
  <c r="G394" i="8"/>
  <c r="G393" i="8"/>
  <c r="G392" i="8"/>
  <c r="G391" i="8"/>
  <c r="G390" i="8"/>
  <c r="G389" i="8"/>
  <c r="G388" i="8"/>
  <c r="G387" i="8"/>
  <c r="G386" i="8"/>
  <c r="G385" i="8"/>
  <c r="G384" i="8"/>
  <c r="G383" i="8"/>
  <c r="G382" i="8"/>
  <c r="G381" i="8"/>
  <c r="G380" i="8"/>
  <c r="G379" i="8"/>
  <c r="G378" i="8"/>
  <c r="G377" i="8"/>
  <c r="G376" i="8"/>
  <c r="G375" i="8"/>
  <c r="G374" i="8"/>
  <c r="G373" i="8"/>
  <c r="G372" i="8"/>
  <c r="G371" i="8"/>
  <c r="G370" i="8"/>
  <c r="G369" i="8"/>
  <c r="G368" i="8"/>
  <c r="G367" i="8"/>
  <c r="G366" i="8"/>
  <c r="G365" i="8"/>
  <c r="G364" i="8"/>
  <c r="G363" i="8"/>
  <c r="G362" i="8"/>
  <c r="G361" i="8"/>
  <c r="G360" i="8"/>
  <c r="G359" i="8"/>
  <c r="G358" i="8"/>
  <c r="G357" i="8"/>
  <c r="G356" i="8"/>
  <c r="G355" i="8"/>
  <c r="G354" i="8"/>
  <c r="G353" i="8"/>
  <c r="G352" i="8"/>
  <c r="G351" i="8"/>
  <c r="G350" i="8"/>
  <c r="G349" i="8"/>
  <c r="G348" i="8"/>
  <c r="G347" i="8"/>
  <c r="G346" i="8"/>
  <c r="G345" i="8"/>
  <c r="G344" i="8"/>
  <c r="G343" i="8"/>
  <c r="G342" i="8"/>
  <c r="G341" i="8"/>
  <c r="G340" i="8"/>
  <c r="G339" i="8"/>
  <c r="G338" i="8"/>
  <c r="G337" i="8"/>
  <c r="G336" i="8"/>
  <c r="G335" i="8"/>
  <c r="G334" i="8"/>
  <c r="G333" i="8"/>
  <c r="G332" i="8"/>
  <c r="G331" i="8"/>
  <c r="G330" i="8"/>
  <c r="G329" i="8"/>
  <c r="G328" i="8"/>
  <c r="G327" i="8"/>
  <c r="G326" i="8"/>
  <c r="G325" i="8"/>
  <c r="G324" i="8"/>
  <c r="G323" i="8"/>
  <c r="G322" i="8"/>
  <c r="G321" i="8"/>
  <c r="G320" i="8"/>
  <c r="G319" i="8"/>
  <c r="G318" i="8"/>
  <c r="G317" i="8"/>
  <c r="G316" i="8"/>
  <c r="G315" i="8"/>
  <c r="G314" i="8"/>
  <c r="G313" i="8"/>
  <c r="G312" i="8"/>
  <c r="G311" i="8"/>
  <c r="G310" i="8"/>
  <c r="G309" i="8"/>
  <c r="G308" i="8"/>
  <c r="G307" i="8"/>
  <c r="G306" i="8"/>
  <c r="G305" i="8"/>
  <c r="G304" i="8"/>
  <c r="G303" i="8"/>
  <c r="G302" i="8"/>
  <c r="G301" i="8"/>
  <c r="G300" i="8"/>
  <c r="G299" i="8"/>
  <c r="G298" i="8"/>
  <c r="G297" i="8"/>
  <c r="G296" i="8"/>
  <c r="G295" i="8"/>
  <c r="G294" i="8"/>
  <c r="G293" i="8"/>
  <c r="G292" i="8"/>
  <c r="G291" i="8"/>
  <c r="G290" i="8"/>
  <c r="G289" i="8"/>
  <c r="G288" i="8"/>
  <c r="G287" i="8"/>
  <c r="G286" i="8"/>
  <c r="G285" i="8"/>
  <c r="G284" i="8"/>
  <c r="G283" i="8"/>
  <c r="G282" i="8"/>
  <c r="G281" i="8"/>
  <c r="G280" i="8"/>
  <c r="G279" i="8"/>
  <c r="G278" i="8"/>
  <c r="G277" i="8"/>
  <c r="G276" i="8"/>
  <c r="G275" i="8"/>
  <c r="G274" i="8"/>
  <c r="G273" i="8"/>
  <c r="G272" i="8"/>
  <c r="G271" i="8"/>
  <c r="G270" i="8"/>
  <c r="G269" i="8"/>
  <c r="G268" i="8"/>
  <c r="G267" i="8"/>
  <c r="G266" i="8"/>
  <c r="G265" i="8"/>
  <c r="G264" i="8"/>
  <c r="G263" i="8"/>
  <c r="G262" i="8"/>
  <c r="G261" i="8"/>
  <c r="G260" i="8"/>
  <c r="G259" i="8"/>
  <c r="G258" i="8"/>
  <c r="G257" i="8"/>
  <c r="G256" i="8"/>
  <c r="G255" i="8"/>
  <c r="G254" i="8"/>
  <c r="G253" i="8"/>
  <c r="G252" i="8"/>
  <c r="G251" i="8"/>
  <c r="G250" i="8"/>
  <c r="G249" i="8"/>
  <c r="G248" i="8"/>
  <c r="G247" i="8"/>
  <c r="G246" i="8"/>
  <c r="G245" i="8"/>
  <c r="G244" i="8"/>
  <c r="G243" i="8"/>
  <c r="G242" i="8"/>
  <c r="G241" i="8"/>
  <c r="G240" i="8"/>
  <c r="G239" i="8"/>
  <c r="G238" i="8"/>
  <c r="G237" i="8"/>
  <c r="G236" i="8"/>
  <c r="G235" i="8"/>
  <c r="G234" i="8"/>
  <c r="G233" i="8"/>
  <c r="G232" i="8"/>
  <c r="G231" i="8"/>
  <c r="G230" i="8"/>
  <c r="G229" i="8"/>
  <c r="G228" i="8"/>
  <c r="G227" i="8"/>
  <c r="G226" i="8"/>
  <c r="G225" i="8"/>
  <c r="G224" i="8"/>
  <c r="G223" i="8"/>
  <c r="G222" i="8"/>
  <c r="G221" i="8"/>
  <c r="G220" i="8"/>
  <c r="G219" i="8"/>
  <c r="G218" i="8"/>
  <c r="G217" i="8"/>
  <c r="G216" i="8"/>
  <c r="G215" i="8"/>
  <c r="G214" i="8"/>
  <c r="G213" i="8"/>
  <c r="G212" i="8"/>
  <c r="G211" i="8"/>
  <c r="G210" i="8"/>
  <c r="G209" i="8"/>
  <c r="G208" i="8"/>
  <c r="G207" i="8"/>
  <c r="G206" i="8"/>
  <c r="G205" i="8"/>
  <c r="G204" i="8"/>
  <c r="G203" i="8"/>
  <c r="G202" i="8"/>
  <c r="G201" i="8"/>
  <c r="G200" i="8"/>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G2" i="8"/>
  <c r="C342" i="17" l="1"/>
  <c r="C343" i="17" s="1"/>
  <c r="C344" i="17" s="1"/>
  <c r="C345" i="17" s="1"/>
  <c r="C346" i="17" s="1"/>
  <c r="C347" i="17" s="1"/>
  <c r="C348" i="17" s="1"/>
  <c r="C349" i="17" s="1"/>
  <c r="C350" i="17" s="1"/>
  <c r="C351" i="17" s="1"/>
  <c r="C352" i="17" s="1"/>
  <c r="C353" i="17" s="1"/>
  <c r="C354" i="17" s="1"/>
  <c r="C355" i="17" s="1"/>
  <c r="C356" i="17" s="1"/>
  <c r="C357" i="17" s="1"/>
  <c r="C358" i="17" s="1"/>
  <c r="C359" i="17" s="1"/>
  <c r="C360" i="17" s="1"/>
  <c r="C361" i="17" s="1"/>
  <c r="L62" i="15"/>
  <c r="L57" i="15"/>
  <c r="L61" i="15"/>
  <c r="L55" i="15"/>
  <c r="L59" i="15"/>
  <c r="L58" i="15"/>
  <c r="L64" i="15"/>
  <c r="L56" i="15"/>
  <c r="E4" i="15"/>
  <c r="G10" i="15"/>
  <c r="H12" i="15"/>
  <c r="H13" i="15"/>
  <c r="H14" i="15"/>
  <c r="G15" i="15"/>
  <c r="H16" i="15"/>
  <c r="H20" i="15"/>
  <c r="H22" i="15"/>
  <c r="H21" i="15"/>
  <c r="G27" i="15" a="1"/>
  <c r="G27" i="15" s="1"/>
  <c r="K27" i="15" a="1"/>
  <c r="K27" i="15" s="1"/>
  <c r="L63" i="15"/>
  <c r="L60" i="15"/>
  <c r="L75" i="15"/>
  <c r="L83" i="15"/>
  <c r="L76" i="15"/>
  <c r="L82" i="15"/>
  <c r="L81" i="15"/>
  <c r="L80" i="15"/>
  <c r="L79" i="15"/>
  <c r="L78" i="15"/>
  <c r="L77" i="15"/>
  <c r="L96" i="15"/>
  <c r="L93" i="15"/>
  <c r="L101" i="15"/>
  <c r="L100" i="15"/>
  <c r="L95" i="15"/>
  <c r="L94" i="15"/>
  <c r="L99" i="15"/>
  <c r="L98" i="15"/>
  <c r="L97" i="15"/>
  <c r="C27" i="15"/>
  <c r="D27" i="15" a="1"/>
  <c r="D27" i="15" s="1"/>
  <c r="L32" i="15" s="1"/>
  <c r="E27" i="15" a="1"/>
  <c r="E27" i="15" s="1"/>
  <c r="D4" i="15"/>
  <c r="C22" i="15"/>
  <c r="D22" i="15"/>
  <c r="E22" i="15"/>
  <c r="G22" i="15"/>
  <c r="C21" i="15"/>
  <c r="D21" i="15"/>
  <c r="E21" i="15"/>
  <c r="G21" i="15"/>
  <c r="C20" i="15"/>
  <c r="D20" i="15"/>
  <c r="E20" i="15"/>
  <c r="G20" i="15"/>
  <c r="C19" i="15"/>
  <c r="D19" i="15"/>
  <c r="E19" i="15"/>
  <c r="G19" i="15"/>
  <c r="C18" i="15"/>
  <c r="D18" i="15"/>
  <c r="E18" i="15"/>
  <c r="G18" i="15"/>
  <c r="C17" i="15"/>
  <c r="D17" i="15"/>
  <c r="E17" i="15"/>
  <c r="G17" i="15"/>
  <c r="C16" i="15"/>
  <c r="D16" i="15"/>
  <c r="E16" i="15"/>
  <c r="G16" i="15"/>
  <c r="C15" i="15"/>
  <c r="H15" i="15"/>
  <c r="D15" i="15"/>
  <c r="E15" i="15"/>
  <c r="D14" i="15"/>
  <c r="E14" i="15"/>
  <c r="G14" i="15"/>
  <c r="C13" i="15"/>
  <c r="D13" i="15"/>
  <c r="E13" i="15"/>
  <c r="G13" i="15"/>
  <c r="C12" i="15"/>
  <c r="D12" i="15"/>
  <c r="E12" i="15"/>
  <c r="G12" i="15"/>
  <c r="C11" i="15"/>
  <c r="D11" i="15"/>
  <c r="E11" i="15"/>
  <c r="G11" i="15"/>
  <c r="H10" i="15"/>
  <c r="C10" i="15"/>
  <c r="D10" i="15"/>
  <c r="E10" i="15"/>
  <c r="C4" i="15"/>
  <c r="H4" i="15"/>
  <c r="G4" i="15"/>
  <c r="L1426" i="8"/>
  <c r="L1454" i="8"/>
  <c r="L1457" i="8"/>
  <c r="L1475" i="8"/>
  <c r="L1437" i="8"/>
  <c r="L1461" i="8"/>
  <c r="L1465" i="8"/>
  <c r="L1474" i="8"/>
  <c r="D1415" i="8"/>
  <c r="D1416" i="8" s="1"/>
  <c r="D1417" i="8" s="1"/>
  <c r="D1418" i="8" s="1"/>
  <c r="D1419" i="8" s="1"/>
  <c r="D1420" i="8" s="1"/>
  <c r="D1421" i="8" s="1"/>
  <c r="D1422" i="8" s="1"/>
  <c r="D1423" i="8" s="1"/>
  <c r="D1424" i="8" s="1"/>
  <c r="D1425" i="8" s="1"/>
  <c r="D1426" i="8" s="1"/>
  <c r="D1427" i="8" s="1"/>
  <c r="D1428" i="8" s="1"/>
  <c r="D1429" i="8" s="1"/>
  <c r="D1430" i="8" s="1"/>
  <c r="D1431" i="8" s="1"/>
  <c r="D1432" i="8" s="1"/>
  <c r="D1433" i="8" s="1"/>
  <c r="D1434" i="8" s="1"/>
  <c r="D1435" i="8" s="1"/>
  <c r="D1436" i="8" s="1"/>
  <c r="D1437" i="8" s="1"/>
  <c r="D1438" i="8" s="1"/>
  <c r="D1439" i="8" s="1"/>
  <c r="D1440" i="8" s="1"/>
  <c r="D1441" i="8" s="1"/>
  <c r="D1442" i="8" s="1"/>
  <c r="D1443" i="8" s="1"/>
  <c r="D1444" i="8" s="1"/>
  <c r="D1445" i="8" s="1"/>
  <c r="D1446" i="8" s="1"/>
  <c r="D1447" i="8" s="1"/>
  <c r="D1448" i="8" s="1"/>
  <c r="D1449" i="8" s="1"/>
  <c r="D1450" i="8" s="1"/>
  <c r="D1451" i="8" s="1"/>
  <c r="D1452" i="8" s="1"/>
  <c r="D1453" i="8" s="1"/>
  <c r="D1454" i="8" s="1"/>
  <c r="D1455" i="8" s="1"/>
  <c r="D1456" i="8" s="1"/>
  <c r="D1457" i="8" s="1"/>
  <c r="D1458" i="8" s="1"/>
  <c r="D1459" i="8" s="1"/>
  <c r="D1460" i="8" s="1"/>
  <c r="D1461" i="8" s="1"/>
  <c r="D1462" i="8" s="1"/>
  <c r="D1463" i="8" s="1"/>
  <c r="D1464" i="8" s="1"/>
  <c r="D1465" i="8" s="1"/>
  <c r="D1466" i="8" s="1"/>
  <c r="D1467" i="8" s="1"/>
  <c r="D1468" i="8" s="1"/>
  <c r="D1469" i="8" s="1"/>
  <c r="D1470" i="8" s="1"/>
  <c r="D1471" i="8" s="1"/>
  <c r="D1472" i="8" s="1"/>
  <c r="D1473" i="8" s="1"/>
  <c r="D1474" i="8" s="1"/>
  <c r="D1475" i="8" s="1"/>
  <c r="D1476" i="8" s="1"/>
  <c r="D1477" i="8" s="1"/>
  <c r="L4" i="15" l="1"/>
  <c r="L9" i="15"/>
  <c r="L8" i="15"/>
  <c r="L5" i="15"/>
  <c r="L6" i="15"/>
  <c r="L15" i="15"/>
  <c r="L7" i="15"/>
  <c r="L14" i="15"/>
  <c r="L27" i="15"/>
  <c r="L34" i="15"/>
  <c r="L10" i="15"/>
  <c r="L11" i="15"/>
  <c r="L12" i="15"/>
  <c r="L13" i="15"/>
  <c r="L37" i="15"/>
  <c r="L33" i="15"/>
  <c r="L28" i="15"/>
  <c r="L31" i="15"/>
  <c r="L35" i="15"/>
  <c r="L30" i="15"/>
  <c r="L29" i="15"/>
  <c r="L36"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<sst xmlns="http://schemas.openxmlformats.org/spreadsheetml/2006/main" count="14899" uniqueCount="229">
  <si>
    <t>FGM</t>
  </si>
  <si>
    <t>FG%</t>
  </si>
  <si>
    <t>FT%</t>
  </si>
  <si>
    <t>3PM</t>
  </si>
  <si>
    <t>3P%</t>
  </si>
  <si>
    <t>OREB</t>
  </si>
  <si>
    <t>DREB</t>
  </si>
  <si>
    <t>AST</t>
  </si>
  <si>
    <t>A/TO</t>
  </si>
  <si>
    <t>STL</t>
  </si>
  <si>
    <t>BLK</t>
  </si>
  <si>
    <t>TO</t>
  </si>
  <si>
    <t>PTS</t>
  </si>
  <si>
    <t>W</t>
  </si>
  <si>
    <t>L</t>
  </si>
  <si>
    <t>Salonika Devils</t>
  </si>
  <si>
    <t>The Bridgeburners</t>
  </si>
  <si>
    <t>Donkey Rolls</t>
  </si>
  <si>
    <t>The Others</t>
  </si>
  <si>
    <t>Tsoko Marokana</t>
  </si>
  <si>
    <t>Retsiniakos 21</t>
  </si>
  <si>
    <t>st.Helens Eruptions</t>
  </si>
  <si>
    <t>Drogalo Mountain Goats</t>
  </si>
  <si>
    <t>Pachiana NinjaBees</t>
  </si>
  <si>
    <t>The walkinng dead</t>
  </si>
  <si>
    <t>The Rookies</t>
  </si>
  <si>
    <t>Kourayo Vallecano</t>
  </si>
  <si>
    <t>purple fuzzy apache higHeads</t>
  </si>
  <si>
    <t>Steven Adams' Moustache</t>
  </si>
  <si>
    <t>Team</t>
  </si>
  <si>
    <t>Final</t>
  </si>
  <si>
    <t>D</t>
  </si>
  <si>
    <t>Purple Fuzzy Apache higHeads</t>
  </si>
  <si>
    <t>The Guns</t>
  </si>
  <si>
    <t>Georgetown SKG</t>
  </si>
  <si>
    <t xml:space="preserve"> The Others</t>
  </si>
  <si>
    <t>Grand Theft  Ottos</t>
  </si>
  <si>
    <t>Year</t>
  </si>
  <si>
    <t>Period</t>
  </si>
  <si>
    <t>Manager</t>
  </si>
  <si>
    <t>Stavros</t>
  </si>
  <si>
    <t>Kotakis</t>
  </si>
  <si>
    <t>Vasilis</t>
  </si>
  <si>
    <t>Markos</t>
  </si>
  <si>
    <t>Antoniou</t>
  </si>
  <si>
    <t>Tzokos</t>
  </si>
  <si>
    <t>Johnny</t>
  </si>
  <si>
    <t>Mpousaras</t>
  </si>
  <si>
    <t>Fountos</t>
  </si>
  <si>
    <t>Sakellariou</t>
  </si>
  <si>
    <t>Aris</t>
  </si>
  <si>
    <t>Fanis</t>
  </si>
  <si>
    <t>Miggianis</t>
  </si>
  <si>
    <t>Kousidis</t>
  </si>
  <si>
    <t>Nonis</t>
  </si>
  <si>
    <t>Panagopoulos</t>
  </si>
  <si>
    <t>Lagios</t>
  </si>
  <si>
    <t>Regular</t>
  </si>
  <si>
    <t>Match No</t>
  </si>
  <si>
    <t>vs The Others</t>
  </si>
  <si>
    <t>vs The Bridgeburners</t>
  </si>
  <si>
    <t>vs Salonika Devils</t>
  </si>
  <si>
    <t>vs Retsiniakos 21</t>
  </si>
  <si>
    <t>vs Donkey Rolls</t>
  </si>
  <si>
    <t>vs Steven Adams' Moustache</t>
  </si>
  <si>
    <t>vs Kourayo Vallecano</t>
  </si>
  <si>
    <t>vs Drogalo Mountain Goats</t>
  </si>
  <si>
    <t>vs Tsoko Marokana</t>
  </si>
  <si>
    <t>vs The Rookies</t>
  </si>
  <si>
    <t>vs The walkinng dead</t>
  </si>
  <si>
    <t>vs st.Helens Eruptions</t>
  </si>
  <si>
    <t>vs Pachiana NinjaBees</t>
  </si>
  <si>
    <t>vs The Guns</t>
  </si>
  <si>
    <t>vs  The Others</t>
  </si>
  <si>
    <t>vs Miggianis</t>
  </si>
  <si>
    <t>vs Fanis</t>
  </si>
  <si>
    <t>vs Sakellariou</t>
  </si>
  <si>
    <t>vs Fountos</t>
  </si>
  <si>
    <t>vs Mpousaras</t>
  </si>
  <si>
    <t>vs Markos</t>
  </si>
  <si>
    <t>vs Johnny</t>
  </si>
  <si>
    <t>vs Antoniou</t>
  </si>
  <si>
    <t>vs Lagios</t>
  </si>
  <si>
    <t>vs Stavros</t>
  </si>
  <si>
    <t>vs Kousidis</t>
  </si>
  <si>
    <t>vs Vasilis</t>
  </si>
  <si>
    <t>vs Panagopoulos</t>
  </si>
  <si>
    <t>vs Aris</t>
  </si>
  <si>
    <t>vs Kotakis</t>
  </si>
  <si>
    <t>vs Nonis</t>
  </si>
  <si>
    <t>vs Tzokos</t>
  </si>
  <si>
    <t>vs Manager</t>
  </si>
  <si>
    <t>vs Opponent</t>
  </si>
  <si>
    <t>Guruuu 🐐🐐🐐</t>
  </si>
  <si>
    <t>Fighting Thaddeus</t>
  </si>
  <si>
    <t>Baltimore Hercules</t>
  </si>
  <si>
    <t>Knights of Ni</t>
  </si>
  <si>
    <t>Underdogs</t>
  </si>
  <si>
    <t>Xanthi Ducks 🦆</t>
  </si>
  <si>
    <t>Tsarlatans</t>
  </si>
  <si>
    <t>Panos</t>
  </si>
  <si>
    <t>Sarantos</t>
  </si>
  <si>
    <t>Tolios</t>
  </si>
  <si>
    <t>Tassos</t>
  </si>
  <si>
    <t>vs Guruuu 🐐🐐🐐</t>
  </si>
  <si>
    <t>vs Panos</t>
  </si>
  <si>
    <t>vs Fighting Thaddeus</t>
  </si>
  <si>
    <t>vs Baltimore Hercules</t>
  </si>
  <si>
    <t>vs Sarantos</t>
  </si>
  <si>
    <t>vs Knights of Ni</t>
  </si>
  <si>
    <t>vs Tolios</t>
  </si>
  <si>
    <t>vs Underdogs</t>
  </si>
  <si>
    <t>vs Xanthi Ducks 🦆</t>
  </si>
  <si>
    <t>vs Tassos</t>
  </si>
  <si>
    <t>vs Tsarlatans</t>
  </si>
  <si>
    <t>Row Labels</t>
  </si>
  <si>
    <t>pi/Sotiris</t>
  </si>
  <si>
    <t>vs pi/Sotiris</t>
  </si>
  <si>
    <t>Ziogas/Christof</t>
  </si>
  <si>
    <t>vs Ziogas/Christof</t>
  </si>
  <si>
    <t>Spiridaus/Oladipas</t>
  </si>
  <si>
    <t>vs Spiridaus/Oladipas</t>
  </si>
  <si>
    <t>Regular/
Playoffs</t>
  </si>
  <si>
    <t>Wins</t>
  </si>
  <si>
    <t>Losses</t>
  </si>
  <si>
    <t>Ties</t>
  </si>
  <si>
    <t>Win%</t>
  </si>
  <si>
    <t xml:space="preserve"> FGM</t>
  </si>
  <si>
    <t xml:space="preserve"> FG%</t>
  </si>
  <si>
    <t xml:space="preserve"> 3PM</t>
  </si>
  <si>
    <t xml:space="preserve"> 3P%</t>
  </si>
  <si>
    <t xml:space="preserve"> FT%</t>
  </si>
  <si>
    <t xml:space="preserve"> PTS</t>
  </si>
  <si>
    <t xml:space="preserve"> OREB</t>
  </si>
  <si>
    <t xml:space="preserve"> DREB</t>
  </si>
  <si>
    <t xml:space="preserve"> AST</t>
  </si>
  <si>
    <t xml:space="preserve"> STL</t>
  </si>
  <si>
    <t xml:space="preserve"> BLK</t>
  </si>
  <si>
    <t xml:space="preserve"> TO</t>
  </si>
  <si>
    <t xml:space="preserve"> A/TO</t>
  </si>
  <si>
    <t>Sum of Match No</t>
  </si>
  <si>
    <t>3rd place</t>
  </si>
  <si>
    <t>Playoffs</t>
  </si>
  <si>
    <t>Games Won</t>
  </si>
  <si>
    <t xml:space="preserve"> Games Won</t>
  </si>
  <si>
    <t xml:space="preserve"> % of Games Won</t>
  </si>
  <si>
    <t>Quarterfinals</t>
  </si>
  <si>
    <t>Semifinals</t>
  </si>
  <si>
    <t>1st Round</t>
  </si>
  <si>
    <t>Value</t>
  </si>
  <si>
    <t>Opponent</t>
  </si>
  <si>
    <t>Category</t>
  </si>
  <si>
    <t>ALL YEARS</t>
  </si>
  <si>
    <t># of records</t>
  </si>
  <si>
    <t>The Bad Boys</t>
  </si>
  <si>
    <t>Arvanitis</t>
  </si>
  <si>
    <t>Games</t>
  </si>
  <si>
    <t>Last Year</t>
  </si>
  <si>
    <t>LRBP PR3DATORS</t>
  </si>
  <si>
    <t>purple fuzzy apache pirates</t>
  </si>
  <si>
    <t>Scoring Period 2</t>
  </si>
  <si>
    <t>Scoring Period 3</t>
  </si>
  <si>
    <t>Scoring Period 4</t>
  </si>
  <si>
    <t>Scoring Period 5</t>
  </si>
  <si>
    <t>Scoring Period 6</t>
  </si>
  <si>
    <t>Scoring Period 7</t>
  </si>
  <si>
    <t>Scoring Period 8</t>
  </si>
  <si>
    <t>Scoring Period 9</t>
  </si>
  <si>
    <t>Scoring Period 10</t>
  </si>
  <si>
    <t>Scoring Period 11</t>
  </si>
  <si>
    <t>Scoring Period 12</t>
  </si>
  <si>
    <t>Scoring Period 13</t>
  </si>
  <si>
    <t>Scoring Period 14</t>
  </si>
  <si>
    <t>Scoring Period 15</t>
  </si>
  <si>
    <t>Scoring Period 16</t>
  </si>
  <si>
    <t>Scoring Period 17</t>
  </si>
  <si>
    <t>TeamWLTPtsFGMFG%3PTM3PT%FT%PTSOREBDREBASTSTBLKTOA/TO</t>
  </si>
  <si>
    <t>Lafa</t>
  </si>
  <si>
    <t>Paste at A3 (values only) and Find replace . With ,</t>
  </si>
  <si>
    <t>All Time Rank</t>
  </si>
  <si>
    <t>Match Count</t>
  </si>
  <si>
    <t>Samarina Dudenbros</t>
  </si>
  <si>
    <t>vs Samarina Dudenbros</t>
  </si>
  <si>
    <t>Samarina Dudenbros2</t>
  </si>
  <si>
    <t>Heraklion Snakes</t>
  </si>
  <si>
    <t>Paralouistas</t>
  </si>
  <si>
    <t>Karafli Saita</t>
  </si>
  <si>
    <t>TeamWLTPtsFGMFG%3PTM3PT%FT%PTSOREBDREBASTSTBLKTOA/TONone/Bye</t>
  </si>
  <si>
    <t>Dimitris</t>
  </si>
  <si>
    <t>Guru</t>
  </si>
  <si>
    <t>Karafli SaiTa</t>
  </si>
  <si>
    <t>vs Karafli SaiTa</t>
  </si>
  <si>
    <t>vs LRBP PR3DATORS</t>
  </si>
  <si>
    <t>vs purple fuzzy apache pirates</t>
  </si>
  <si>
    <t>vs The Bad Boys</t>
  </si>
  <si>
    <t>vs Heraklion Snakes</t>
  </si>
  <si>
    <t>vs Paralouistas</t>
  </si>
  <si>
    <t>Column Labels</t>
  </si>
  <si>
    <t>W %</t>
  </si>
  <si>
    <t>(blank)</t>
  </si>
  <si>
    <t>Scoring Period 1</t>
  </si>
  <si>
    <t>Hércules Pals</t>
  </si>
  <si>
    <t>Scoring Period: Playoffs 1</t>
  </si>
  <si>
    <t>Scoring Period: Playoffs 2</t>
  </si>
  <si>
    <t>Scoring Period: Playoffs 3</t>
  </si>
  <si>
    <t>Scoring Period: Playoffs 4</t>
  </si>
  <si>
    <t>(Tue Oct 21. 2025 - Sun Oct 26. 2025)</t>
  </si>
  <si>
    <t>(Mon Oct 27. 2025 - Sun Nov 2. 2025)</t>
  </si>
  <si>
    <t>(Mon Nov 3. 2025 - Sun Nov 9. 2025)</t>
  </si>
  <si>
    <t>(Mon Nov 10. 2025 - Sun Nov 16. 2025)</t>
  </si>
  <si>
    <t>(Mon Nov 17. 2025 - Sun Nov 23. 2025)</t>
  </si>
  <si>
    <t>(Mon Nov 24. 2025 - Sun Nov 30. 2025)</t>
  </si>
  <si>
    <t>(Mon Dec 1. 2025 - Sun Dec 7. 2025)</t>
  </si>
  <si>
    <t>(Mon Dec 8. 2025 - Sun Dec 21. 2025)</t>
  </si>
  <si>
    <t>(Mon Dec 22. 2025 - Sun Dec 28. 2025)</t>
  </si>
  <si>
    <t>(Mon Dec 29. 2025 - Sun Jan 4. 2026)</t>
  </si>
  <si>
    <t>(Mon Jan 5. 2026 - Sun Jan 11. 2026)</t>
  </si>
  <si>
    <t>(Mon Jan 12. 2026 - Sun Jan 18. 2026)</t>
  </si>
  <si>
    <t>(Mon Jan 19. 2026 - Sun Jan 25. 2026)</t>
  </si>
  <si>
    <t>(Mon Jan 26. 2026 - Sun Feb 1. 2026)</t>
  </si>
  <si>
    <t>(Mon Feb 2. 2026 - Sun Feb 8. 2026)</t>
  </si>
  <si>
    <t>(Mon Feb 9. 2026 - Sun Feb 22. 2026)</t>
  </si>
  <si>
    <t>(Mon Feb 23. 2026 - Sun Mar 1. 2026)</t>
  </si>
  <si>
    <t>(Mon Mar 2. 2026 - Sun Mar 8. 2026)</t>
  </si>
  <si>
    <t>(Mon Mar 9. 2026 - Sun Mar 15. 2026)</t>
  </si>
  <si>
    <t>(Mon Mar 16. 2026 - Sun Mar 22. 2026)</t>
  </si>
  <si>
    <t>(Mon Mar 23. 2026 - Sun Mar 29. 2026)</t>
  </si>
  <si>
    <t>Pals</t>
  </si>
  <si>
    <t>vs Hércules Pals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</si>
</sst>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8"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4"/>
      <color rgb="FFC00000"/>
      <name val="Calibri"/>
      <family val="2"/>
      <scheme val="minor"/>
    </font>
    <font>
      <i/>
      <sz val="11"/>
      <color theme="0" tint="-0.14999847407452621"/>
      <name val="Calibri"/>
      <family val="2"/>
      <scheme val="minor"/>
    </font>
    <font>
      <b/>
      <sz val="11"/>
      <color rgb="FFC00000"/>
      <name val="Calibri"/>
      <family val="2"/>
      <scheme val="minor"/>
    </font>
    <font>
      <b/>
      <sz val="11"/>
      <color theme="1"/>
      <name val="Calibri"/>
      <family val="2"/>
      <charset val="161"/>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165" fontId="0" fillId="0" borderId="0" xfId="1" applyNumberFormat="1" applyFont="1"/>
    <xf numFmtId="0" fontId="2" fillId="0" borderId="0" xfId="0" applyFont="1" applyAlignment="1">
      <alignment vertical="top"/>
    </xf>
    <xf numFmtId="0" fontId="0" fillId="0" borderId="0" xfId="0" applyAlignment="1">
      <alignment vertical="top"/>
    </xf>
    <xf numFmtId="165" fontId="2" fillId="0" borderId="0" xfId="1" applyNumberFormat="1" applyFont="1" applyAlignment="1">
      <alignment vertical="top"/>
    </xf>
    <xf numFmtId="2" fontId="0" fillId="0" borderId="0" xfId="0" applyNumberFormat="1"/>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vertical="top" wrapText="1"/>
    </xf>
    <xf numFmtId="0" fontId="2" fillId="0" borderId="0" xfId="0" applyFont="1"/>
    <xf numFmtId="164" fontId="2" fillId="0" borderId="0" xfId="0" applyNumberFormat="1" applyFont="1"/>
    <xf numFmtId="9" fontId="0" fillId="0" borderId="0" xfId="0" applyNumberFormat="1"/>
    <xf numFmtId="0" fontId="0" fillId="0" borderId="0" xfId="0" applyAlignment="1">
      <alignment wrapText="1"/>
    </xf>
    <xf numFmtId="0" fontId="2" fillId="0" borderId="0" xfId="0" applyFont="1" applyAlignment="1">
      <alignment wrapText="1"/>
    </xf>
    <xf numFmtId="0" fontId="2" fillId="0" borderId="1" xfId="0" applyFont="1" applyBorder="1" applyAlignment="1">
      <alignment wrapText="1"/>
    </xf>
    <xf numFmtId="0" fontId="2" fillId="0" borderId="1" xfId="0" applyFont="1" applyBorder="1"/>
    <xf numFmtId="0" fontId="0" fillId="0" borderId="1" xfId="0" applyBorder="1" applyAlignment="1">
      <alignment wrapText="1"/>
    </xf>
    <xf numFmtId="164" fontId="2" fillId="0" borderId="1" xfId="0" applyNumberFormat="1" applyFont="1" applyBorder="1"/>
    <xf numFmtId="0" fontId="0" fillId="2" borderId="0" xfId="0" applyFill="1"/>
    <xf numFmtId="0" fontId="5" fillId="2" borderId="0" xfId="0" applyFont="1" applyFill="1"/>
    <xf numFmtId="0" fontId="6" fillId="2" borderId="0" xfId="0" applyFont="1" applyFill="1"/>
    <xf numFmtId="2" fontId="0" fillId="2" borderId="0" xfId="0" applyNumberFormat="1" applyFill="1"/>
    <xf numFmtId="0" fontId="2" fillId="2" borderId="0" xfId="0" applyFont="1" applyFill="1" applyAlignment="1">
      <alignment horizontal="left" vertical="center" wrapText="1"/>
    </xf>
    <xf numFmtId="0" fontId="0" fillId="2" borderId="0" xfId="0" applyFill="1" applyAlignment="1">
      <alignment horizontal="left" vertical="center" wrapText="1"/>
    </xf>
    <xf numFmtId="0" fontId="7" fillId="2" borderId="0" xfId="0" applyFont="1" applyFill="1" applyAlignment="1">
      <alignment horizontal="left" vertical="center" wrapText="1"/>
    </xf>
    <xf numFmtId="0" fontId="0" fillId="0" borderId="0" xfId="0" pivotButton="1" applyAlignment="1">
      <alignment wrapText="1"/>
    </xf>
    <xf numFmtId="0" fontId="0" fillId="0" borderId="0" xfId="0" applyAlignment="1">
      <alignment horizontal="left" wrapText="1"/>
    </xf>
    <xf numFmtId="0" fontId="0" fillId="0" borderId="1" xfId="0" applyBorder="1"/>
    <xf numFmtId="0" fontId="4" fillId="2" borderId="0" xfId="0" applyFont="1" applyFill="1" applyAlignment="1">
      <alignment horizontal="center"/>
    </xf>
    <xf numFmtId="0" fontId="0" fillId="0" borderId="0" xfId="0" applyFont="1"/>
    <xf numFmtId="0" fontId="0" fillId="0" borderId="0" xfId="0" applyNumberFormat="1"/>
    <xf numFmtId="0" fontId="2" fillId="0" borderId="0" xfId="0" applyNumberFormat="1" applyFont="1"/>
    <xf numFmtId="0" fontId="0" fillId="0" borderId="0" xfId="0" applyNumberFormat="1" applyFont="1"/>
    <xf numFmtId="165" fontId="0" fillId="0" borderId="0" xfId="0" applyNumberFormat="1" applyFont="1"/>
    <xf numFmtId="2" fontId="0" fillId="0" borderId="0" xfId="0" applyNumberFormat="1" applyFont="1"/>
    <xf numFmtId="0" fontId="2" fillId="0" borderId="1" xfId="0" applyNumberFormat="1" applyFont="1" applyBorder="1"/>
    <xf numFmtId="0" fontId="0" fillId="0" borderId="1" xfId="0" applyNumberFormat="1" applyBorder="1"/>
    <xf numFmtId="0" fontId="0" fillId="0" borderId="1" xfId="0" applyFont="1" applyBorder="1"/>
    <xf numFmtId="0" fontId="0" fillId="0" borderId="1" xfId="0" applyNumberFormat="1" applyFont="1" applyBorder="1"/>
  </cellXfs>
  <cellStyles count="2">
    <cellStyle name="Normal" xfId="0" builtinId="0"/>
    <cellStyle name="Percent" xfId="1" builtinId="5"/>
  </cellStyles>
  <dxfs count="1653">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dxf>
    <dxf>
      <font>
        <b/>
      </font>
    </dxf>
    <dxf>
      <font>
        <b/>
      </font>
    </dxf>
    <dxf>
      <font>
        <b/>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font>
        <b/>
      </font>
    </dxf>
    <dxf>
      <font>
        <b/>
      </font>
    </dxf>
    <dxf>
      <font>
        <b/>
      </font>
    </dxf>
    <dxf>
      <font>
        <b/>
      </font>
    </dxf>
    <dxf>
      <font>
        <b val="0"/>
      </font>
    </dxf>
    <dxf>
      <font>
        <b val="0"/>
      </font>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dxf>
    <dxf>
      <font>
        <b/>
      </font>
    </dxf>
    <dxf>
      <font>
        <b/>
      </font>
    </dxf>
    <dxf>
      <font>
        <b/>
      </font>
    </dxf>
    <dxf>
      <font>
        <b val="0"/>
      </font>
    </dxf>
    <dxf>
      <font>
        <b val="0"/>
      </font>
    </dxf>
    <dxf>
      <numFmt numFmtId="13" formatCode="0%"/>
    </dxf>
    <dxf>
      <alignment wrapText="1"/>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ill>
        <patternFill>
          <bgColor theme="9" tint="0.79998168889431442"/>
        </patternFill>
      </fill>
    </dxf>
    <dxf>
      <fill>
        <patternFill>
          <bgColor theme="9" tint="0.79998168889431442"/>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3" formatCode="0%"/>
    </dxf>
    <dxf>
      <border>
        <left style="thin">
          <color indexed="64"/>
        </left>
      </border>
    </dxf>
    <dxf>
      <border>
        <left style="thin">
          <color indexed="64"/>
        </left>
      </border>
    </dxf>
    <dxf>
      <border>
        <left style="thin">
          <color indexed="64"/>
        </left>
      </border>
    </dxf>
    <dxf>
      <border>
        <left style="thin">
          <color indexed="64"/>
        </left>
      </border>
    </dxf>
    <dxf>
      <alignment wrapText="1"/>
    </dxf>
    <dxf>
      <numFmt numFmtId="13" formatCode="0%"/>
    </dxf>
    <dxf>
      <font>
        <b/>
      </font>
    </dxf>
    <dxf>
      <font>
        <b/>
      </font>
    </dxf>
    <dxf>
      <font>
        <b/>
      </font>
    </dxf>
    <dxf>
      <font>
        <b/>
      </font>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alignment wrapText="1"/>
    </dxf>
    <dxf>
      <numFmt numFmtId="13" formatCode="0%"/>
    </dxf>
    <dxf>
      <font>
        <b val="0"/>
      </font>
    </dxf>
    <dxf>
      <font>
        <b val="0"/>
      </font>
    </dxf>
    <dxf>
      <font>
        <b/>
      </font>
    </dxf>
    <dxf>
      <font>
        <b/>
      </font>
    </dxf>
    <dxf>
      <font>
        <b/>
      </font>
    </dxf>
    <dxf>
      <font>
        <b/>
      </font>
    </dxf>
    <dxf>
      <font>
        <b val="0"/>
      </font>
    </dxf>
    <dxf>
      <font>
        <b val="0"/>
      </font>
    </dxf>
    <dxf>
      <font>
        <b/>
      </font>
    </dxf>
    <dxf>
      <font>
        <b/>
      </font>
    </dxf>
    <dxf>
      <font>
        <b/>
      </font>
    </dxf>
    <dxf>
      <font>
        <b/>
      </font>
    </dxf>
    <dxf>
      <font>
        <b val="0"/>
      </font>
    </dxf>
    <dxf>
      <font>
        <b val="0"/>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microsoft.com/office/2007/relationships/slicerCache" Target="slicerCaches/slicerCache15.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tyles" Target="styles.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85725</xdr:rowOff>
    </xdr:from>
    <xdr:to>
      <xdr:col>17</xdr:col>
      <xdr:colOff>371475</xdr:colOff>
      <xdr:row>2</xdr:row>
      <xdr:rowOff>628650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FACCDEE2-B1AC-4CF1-B7E3-57D242029A8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87630"/>
              <a:ext cx="4421505" cy="636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38099</xdr:colOff>
      <xdr:row>0</xdr:row>
      <xdr:rowOff>47625</xdr:rowOff>
    </xdr:from>
    <xdr:to>
      <xdr:col>8</xdr:col>
      <xdr:colOff>142874</xdr:colOff>
      <xdr:row>2</xdr:row>
      <xdr:rowOff>638175</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096F187B-E6FB-45DA-BF81-BC03669D034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8100" y="47625"/>
              <a:ext cx="3238499" cy="97155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167640</xdr:colOff>
      <xdr:row>3</xdr:row>
      <xdr:rowOff>110490</xdr:rowOff>
    </xdr:from>
    <xdr:to>
      <xdr:col>22</xdr:col>
      <xdr:colOff>266700</xdr:colOff>
      <xdr:row>30</xdr:row>
      <xdr:rowOff>114300</xdr:rowOff>
    </xdr:to>
    <mc:AlternateContent xmlns:mc="http://schemas.openxmlformats.org/markup-compatibility/2006" xmlns:a14="http://schemas.microsoft.com/office/drawing/2010/main">
      <mc:Choice Requires="a14">
        <xdr:graphicFrame macro="">
          <xdr:nvGraphicFramePr>
            <xdr:cNvPr id="3" name="Team 2">
              <a:extLst>
                <a:ext uri="{FF2B5EF4-FFF2-40B4-BE49-F238E27FC236}">
                  <a16:creationId xmlns:a16="http://schemas.microsoft.com/office/drawing/2014/main" id="{B322A10C-6AF9-415A-970A-B63138F0A0DB}"/>
                </a:ext>
              </a:extLst>
            </xdr:cNvPr>
            <xdr:cNvGraphicFramePr/>
          </xdr:nvGraphicFramePr>
          <xdr:xfrm>
            <a:off x="0" y="0"/>
            <a:ext cx="0" cy="0"/>
          </xdr:xfrm>
          <a:graphic>
            <a:graphicData uri="http://schemas.microsoft.com/office/drawing/2010/slicer">
              <sle:slicer xmlns:sle="http://schemas.microsoft.com/office/drawing/2010/slicer" name="Team 2"/>
            </a:graphicData>
          </a:graphic>
        </xdr:graphicFrame>
      </mc:Choice>
      <mc:Fallback xmlns="">
        <xdr:sp macro="" textlink="">
          <xdr:nvSpPr>
            <xdr:cNvPr id="0" name=""/>
            <xdr:cNvSpPr>
              <a:spLocks noTextEdit="1"/>
            </xdr:cNvSpPr>
          </xdr:nvSpPr>
          <xdr:spPr>
            <a:xfrm>
              <a:off x="8562975" y="1120140"/>
              <a:ext cx="1924050" cy="4890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504825</xdr:colOff>
      <xdr:row>3</xdr:row>
      <xdr:rowOff>102871</xdr:rowOff>
    </xdr:from>
    <xdr:to>
      <xdr:col>25</xdr:col>
      <xdr:colOff>514350</xdr:colOff>
      <xdr:row>30</xdr:row>
      <xdr:rowOff>129541</xdr:rowOff>
    </xdr:to>
    <mc:AlternateContent xmlns:mc="http://schemas.openxmlformats.org/markup-compatibility/2006" xmlns:a14="http://schemas.microsoft.com/office/drawing/2010/main">
      <mc:Choice Requires="a14">
        <xdr:graphicFrame macro="">
          <xdr:nvGraphicFramePr>
            <xdr:cNvPr id="5" name="vs Opponent 2">
              <a:extLst>
                <a:ext uri="{FF2B5EF4-FFF2-40B4-BE49-F238E27FC236}">
                  <a16:creationId xmlns:a16="http://schemas.microsoft.com/office/drawing/2014/main" id="{BA136B0B-7EBC-4CCD-B967-968E71CFA7B2}"/>
                </a:ext>
              </a:extLst>
            </xdr:cNvPr>
            <xdr:cNvGraphicFramePr/>
          </xdr:nvGraphicFramePr>
          <xdr:xfrm>
            <a:off x="0" y="0"/>
            <a:ext cx="0" cy="0"/>
          </xdr:xfrm>
          <a:graphic>
            <a:graphicData uri="http://schemas.microsoft.com/office/drawing/2010/slicer">
              <sle:slicer xmlns:sle="http://schemas.microsoft.com/office/drawing/2010/slicer" name="vs Opponent 2"/>
            </a:graphicData>
          </a:graphic>
        </xdr:graphicFrame>
      </mc:Choice>
      <mc:Fallback xmlns="">
        <xdr:sp macro="" textlink="">
          <xdr:nvSpPr>
            <xdr:cNvPr id="0" name=""/>
            <xdr:cNvSpPr>
              <a:spLocks noTextEdit="1"/>
            </xdr:cNvSpPr>
          </xdr:nvSpPr>
          <xdr:spPr>
            <a:xfrm>
              <a:off x="10727055" y="1110616"/>
              <a:ext cx="1832610" cy="49187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66675</xdr:colOff>
      <xdr:row>0</xdr:row>
      <xdr:rowOff>57150</xdr:rowOff>
    </xdr:from>
    <xdr:to>
      <xdr:col>24</xdr:col>
      <xdr:colOff>388620</xdr:colOff>
      <xdr:row>2</xdr:row>
      <xdr:rowOff>605790</xdr:rowOff>
    </xdr:to>
    <mc:AlternateContent xmlns:mc="http://schemas.openxmlformats.org/markup-compatibility/2006" xmlns:a14="http://schemas.microsoft.com/office/drawing/2010/main">
      <mc:Choice Requires="a14">
        <xdr:graphicFrame macro="">
          <xdr:nvGraphicFramePr>
            <xdr:cNvPr id="6" name="Period 2">
              <a:extLst>
                <a:ext uri="{FF2B5EF4-FFF2-40B4-BE49-F238E27FC236}">
                  <a16:creationId xmlns:a16="http://schemas.microsoft.com/office/drawing/2014/main" id="{DF9605BC-D4A2-46AB-A74C-9ED408F0DF3E}"/>
                </a:ext>
              </a:extLst>
            </xdr:cNvPr>
            <xdr:cNvGraphicFramePr/>
          </xdr:nvGraphicFramePr>
          <xdr:xfrm>
            <a:off x="0" y="0"/>
            <a:ext cx="0" cy="0"/>
          </xdr:xfrm>
          <a:graphic>
            <a:graphicData uri="http://schemas.microsoft.com/office/drawing/2010/slicer">
              <sle:slicer xmlns:sle="http://schemas.microsoft.com/office/drawing/2010/slicer" name="Period 2"/>
            </a:graphicData>
          </a:graphic>
        </xdr:graphicFrame>
      </mc:Choice>
      <mc:Fallback xmlns="">
        <xdr:sp macro="" textlink="">
          <xdr:nvSpPr>
            <xdr:cNvPr id="0" name=""/>
            <xdr:cNvSpPr>
              <a:spLocks noTextEdit="1"/>
            </xdr:cNvSpPr>
          </xdr:nvSpPr>
          <xdr:spPr>
            <a:xfrm>
              <a:off x="4600575" y="57150"/>
              <a:ext cx="7056120" cy="92964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85726</xdr:rowOff>
    </xdr:from>
    <xdr:to>
      <xdr:col>5</xdr:col>
      <xdr:colOff>314325</xdr:colOff>
      <xdr:row>2</xdr:row>
      <xdr:rowOff>590550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8735D25A-A42D-43B5-80C5-995C971941E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87630"/>
              <a:ext cx="4398645" cy="636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278130</xdr:colOff>
      <xdr:row>0</xdr:row>
      <xdr:rowOff>139065</xdr:rowOff>
    </xdr:from>
    <xdr:to>
      <xdr:col>26</xdr:col>
      <xdr:colOff>529590</xdr:colOff>
      <xdr:row>12</xdr:row>
      <xdr:rowOff>0</xdr:rowOff>
    </xdr:to>
    <mc:AlternateContent xmlns:mc="http://schemas.openxmlformats.org/markup-compatibility/2006" xmlns:a14="http://schemas.microsoft.com/office/drawing/2010/main">
      <mc:Choice Requires="a14">
        <xdr:graphicFrame macro="">
          <xdr:nvGraphicFramePr>
            <xdr:cNvPr id="3" name="Team 1">
              <a:extLst>
                <a:ext uri="{FF2B5EF4-FFF2-40B4-BE49-F238E27FC236}">
                  <a16:creationId xmlns:a16="http://schemas.microsoft.com/office/drawing/2014/main" id="{6FDABE04-6F07-4E7B-B96E-E61B233DF93E}"/>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10307955" y="139065"/>
              <a:ext cx="2080260" cy="317563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577215</xdr:colOff>
      <xdr:row>0</xdr:row>
      <xdr:rowOff>144779</xdr:rowOff>
    </xdr:from>
    <xdr:to>
      <xdr:col>30</xdr:col>
      <xdr:colOff>62865</xdr:colOff>
      <xdr:row>12</xdr:row>
      <xdr:rowOff>20954</xdr:rowOff>
    </xdr:to>
    <mc:AlternateContent xmlns:mc="http://schemas.openxmlformats.org/markup-compatibility/2006" xmlns:a14="http://schemas.microsoft.com/office/drawing/2010/main">
      <mc:Choice Requires="a14">
        <xdr:graphicFrame macro="">
          <xdr:nvGraphicFramePr>
            <xdr:cNvPr id="5" name="vs Opponent 1">
              <a:extLst>
                <a:ext uri="{FF2B5EF4-FFF2-40B4-BE49-F238E27FC236}">
                  <a16:creationId xmlns:a16="http://schemas.microsoft.com/office/drawing/2014/main" id="{3B908258-EDDA-4AF5-B7D1-5D1040A0EDDF}"/>
                </a:ext>
              </a:extLst>
            </xdr:cNvPr>
            <xdr:cNvGraphicFramePr/>
          </xdr:nvGraphicFramePr>
          <xdr:xfrm>
            <a:off x="0" y="0"/>
            <a:ext cx="0" cy="0"/>
          </xdr:xfrm>
          <a:graphic>
            <a:graphicData uri="http://schemas.microsoft.com/office/drawing/2010/slicer">
              <sle:slicer xmlns:sle="http://schemas.microsoft.com/office/drawing/2010/slicer" name="vs Opponent 1"/>
            </a:graphicData>
          </a:graphic>
        </xdr:graphicFrame>
      </mc:Choice>
      <mc:Fallback xmlns="">
        <xdr:sp macro="" textlink="">
          <xdr:nvSpPr>
            <xdr:cNvPr id="0" name=""/>
            <xdr:cNvSpPr>
              <a:spLocks noTextEdit="1"/>
            </xdr:cNvSpPr>
          </xdr:nvSpPr>
          <xdr:spPr>
            <a:xfrm>
              <a:off x="12435840" y="144779"/>
              <a:ext cx="1924050" cy="31908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318134</xdr:colOff>
      <xdr:row>0</xdr:row>
      <xdr:rowOff>110491</xdr:rowOff>
    </xdr:from>
    <xdr:to>
      <xdr:col>10</xdr:col>
      <xdr:colOff>171450</xdr:colOff>
      <xdr:row>2</xdr:row>
      <xdr:rowOff>581025</xdr:rowOff>
    </xdr:to>
    <mc:AlternateContent xmlns:mc="http://schemas.openxmlformats.org/markup-compatibility/2006" xmlns:a14="http://schemas.microsoft.com/office/drawing/2010/main">
      <mc:Choice Requires="a14">
        <xdr:graphicFrame macro="">
          <xdr:nvGraphicFramePr>
            <xdr:cNvPr id="9" name="Regular/&#10;Playoffs">
              <a:extLst>
                <a:ext uri="{FF2B5EF4-FFF2-40B4-BE49-F238E27FC236}">
                  <a16:creationId xmlns:a16="http://schemas.microsoft.com/office/drawing/2014/main" id="{888F49E7-C1F5-4259-A76D-54925E0AD02E}"/>
                </a:ext>
              </a:extLst>
            </xdr:cNvPr>
            <xdr:cNvGraphicFramePr/>
          </xdr:nvGraphicFramePr>
          <xdr:xfrm>
            <a:off x="0" y="0"/>
            <a:ext cx="0" cy="0"/>
          </xdr:xfrm>
          <a:graphic>
            <a:graphicData uri="http://schemas.microsoft.com/office/drawing/2010/slicer">
              <sle:slicer xmlns:sle="http://schemas.microsoft.com/office/drawing/2010/slicer" name="Regular/&#10;Playoffs"/>
            </a:graphicData>
          </a:graphic>
        </xdr:graphicFrame>
      </mc:Choice>
      <mc:Fallback xmlns="">
        <xdr:sp macro="" textlink="">
          <xdr:nvSpPr>
            <xdr:cNvPr id="0" name=""/>
            <xdr:cNvSpPr>
              <a:spLocks noTextEdit="1"/>
            </xdr:cNvSpPr>
          </xdr:nvSpPr>
          <xdr:spPr>
            <a:xfrm>
              <a:off x="4728209" y="110491"/>
              <a:ext cx="1215391" cy="851534"/>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228599</xdr:colOff>
      <xdr:row>0</xdr:row>
      <xdr:rowOff>114300</xdr:rowOff>
    </xdr:from>
    <xdr:to>
      <xdr:col>22</xdr:col>
      <xdr:colOff>180974</xdr:colOff>
      <xdr:row>2</xdr:row>
      <xdr:rowOff>561975</xdr:rowOff>
    </xdr:to>
    <mc:AlternateContent xmlns:mc="http://schemas.openxmlformats.org/markup-compatibility/2006" xmlns:a14="http://schemas.microsoft.com/office/drawing/2010/main">
      <mc:Choice Requires="a14">
        <xdr:graphicFrame macro="">
          <xdr:nvGraphicFramePr>
            <xdr:cNvPr id="6" name="Period">
              <a:extLst>
                <a:ext uri="{FF2B5EF4-FFF2-40B4-BE49-F238E27FC236}">
                  <a16:creationId xmlns:a16="http://schemas.microsoft.com/office/drawing/2014/main" id="{58B2FAE7-FD43-44FE-8035-A8B98B80CCFD}"/>
                </a:ext>
              </a:extLst>
            </xdr:cNvPr>
            <xdr:cNvGraphicFramePr/>
          </xdr:nvGraphicFramePr>
          <xdr:xfrm>
            <a:off x="0" y="0"/>
            <a:ext cx="0" cy="0"/>
          </xdr:xfrm>
          <a:graphic>
            <a:graphicData uri="http://schemas.microsoft.com/office/drawing/2010/slicer">
              <sle:slicer xmlns:sle="http://schemas.microsoft.com/office/drawing/2010/slicer" name="Period"/>
            </a:graphicData>
          </a:graphic>
        </xdr:graphicFrame>
      </mc:Choice>
      <mc:Fallback xmlns="">
        <xdr:sp macro="" textlink="">
          <xdr:nvSpPr>
            <xdr:cNvPr id="0" name=""/>
            <xdr:cNvSpPr>
              <a:spLocks noTextEdit="1"/>
            </xdr:cNvSpPr>
          </xdr:nvSpPr>
          <xdr:spPr>
            <a:xfrm>
              <a:off x="6000749" y="114300"/>
              <a:ext cx="4219575" cy="8286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706754</xdr:colOff>
      <xdr:row>2</xdr:row>
      <xdr:rowOff>114299</xdr:rowOff>
    </xdr:from>
    <xdr:to>
      <xdr:col>11</xdr:col>
      <xdr:colOff>47624</xdr:colOff>
      <xdr:row>20</xdr:row>
      <xdr:rowOff>171450</xdr:rowOff>
    </xdr:to>
    <mc:AlternateContent xmlns:mc="http://schemas.openxmlformats.org/markup-compatibility/2006" xmlns:a14="http://schemas.microsoft.com/office/drawing/2010/main">
      <mc:Choice Requires="a14">
        <xdr:graphicFrame macro="">
          <xdr:nvGraphicFramePr>
            <xdr:cNvPr id="3" name="Team 3">
              <a:extLst>
                <a:ext uri="{FF2B5EF4-FFF2-40B4-BE49-F238E27FC236}">
                  <a16:creationId xmlns:a16="http://schemas.microsoft.com/office/drawing/2014/main" id="{565209BD-3AC2-487B-9228-96D41B8AB162}"/>
                </a:ext>
              </a:extLst>
            </xdr:cNvPr>
            <xdr:cNvGraphicFramePr/>
          </xdr:nvGraphicFramePr>
          <xdr:xfrm>
            <a:off x="0" y="0"/>
            <a:ext cx="0" cy="0"/>
          </xdr:xfrm>
          <a:graphic>
            <a:graphicData uri="http://schemas.microsoft.com/office/drawing/2010/slicer">
              <sle:slicer xmlns:sle="http://schemas.microsoft.com/office/drawing/2010/slicer" name="Team 3"/>
            </a:graphicData>
          </a:graphic>
        </xdr:graphicFrame>
      </mc:Choice>
      <mc:Fallback xmlns="">
        <xdr:sp macro="" textlink="">
          <xdr:nvSpPr>
            <xdr:cNvPr id="0" name=""/>
            <xdr:cNvSpPr>
              <a:spLocks noTextEdit="1"/>
            </xdr:cNvSpPr>
          </xdr:nvSpPr>
          <xdr:spPr>
            <a:xfrm>
              <a:off x="6059804" y="495299"/>
              <a:ext cx="2512695" cy="4324351"/>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247649</xdr:colOff>
      <xdr:row>2</xdr:row>
      <xdr:rowOff>80010</xdr:rowOff>
    </xdr:from>
    <xdr:to>
      <xdr:col>13</xdr:col>
      <xdr:colOff>904875</xdr:colOff>
      <xdr:row>20</xdr:row>
      <xdr:rowOff>161926</xdr:rowOff>
    </xdr:to>
    <mc:AlternateContent xmlns:mc="http://schemas.openxmlformats.org/markup-compatibility/2006" xmlns:a14="http://schemas.microsoft.com/office/drawing/2010/main">
      <mc:Choice Requires="a14">
        <xdr:graphicFrame macro="">
          <xdr:nvGraphicFramePr>
            <xdr:cNvPr id="5" name="vs Opponent 3">
              <a:extLst>
                <a:ext uri="{FF2B5EF4-FFF2-40B4-BE49-F238E27FC236}">
                  <a16:creationId xmlns:a16="http://schemas.microsoft.com/office/drawing/2014/main" id="{F48403CE-9120-4773-A8F1-40A544DF9666}"/>
                </a:ext>
              </a:extLst>
            </xdr:cNvPr>
            <xdr:cNvGraphicFramePr/>
          </xdr:nvGraphicFramePr>
          <xdr:xfrm>
            <a:off x="0" y="0"/>
            <a:ext cx="0" cy="0"/>
          </xdr:xfrm>
          <a:graphic>
            <a:graphicData uri="http://schemas.microsoft.com/office/drawing/2010/slicer">
              <sle:slicer xmlns:sle="http://schemas.microsoft.com/office/drawing/2010/slicer" name="vs Opponent 3"/>
            </a:graphicData>
          </a:graphic>
        </xdr:graphicFrame>
      </mc:Choice>
      <mc:Fallback xmlns="">
        <xdr:sp macro="" textlink="">
          <xdr:nvSpPr>
            <xdr:cNvPr id="0" name=""/>
            <xdr:cNvSpPr>
              <a:spLocks noTextEdit="1"/>
            </xdr:cNvSpPr>
          </xdr:nvSpPr>
          <xdr:spPr>
            <a:xfrm>
              <a:off x="8772524" y="461010"/>
              <a:ext cx="2771776" cy="4349116"/>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371474</xdr:colOff>
      <xdr:row>0</xdr:row>
      <xdr:rowOff>47624</xdr:rowOff>
    </xdr:from>
    <xdr:to>
      <xdr:col>1</xdr:col>
      <xdr:colOff>404131</xdr:colOff>
      <xdr:row>2</xdr:row>
      <xdr:rowOff>571500</xdr:rowOff>
    </xdr:to>
    <mc:AlternateContent xmlns:mc="http://schemas.openxmlformats.org/markup-compatibility/2006" xmlns:a14="http://schemas.microsoft.com/office/drawing/2010/main">
      <mc:Choice Requires="a14">
        <xdr:graphicFrame macro="">
          <xdr:nvGraphicFramePr>
            <xdr:cNvPr id="4" name="Regular/&#10;Playoffs 1">
              <a:extLst>
                <a:ext uri="{FF2B5EF4-FFF2-40B4-BE49-F238E27FC236}">
                  <a16:creationId xmlns:a16="http://schemas.microsoft.com/office/drawing/2014/main" id="{708CBFD4-C6E5-4133-A6A7-42B20C024C4A}"/>
                </a:ext>
              </a:extLst>
            </xdr:cNvPr>
            <xdr:cNvGraphicFramePr/>
          </xdr:nvGraphicFramePr>
          <xdr:xfrm>
            <a:off x="0" y="0"/>
            <a:ext cx="0" cy="0"/>
          </xdr:xfrm>
          <a:graphic>
            <a:graphicData uri="http://schemas.microsoft.com/office/drawing/2010/slicer">
              <sle:slicer xmlns:sle="http://schemas.microsoft.com/office/drawing/2010/slicer" name="Regular/&#10;Playoffs 1"/>
            </a:graphicData>
          </a:graphic>
        </xdr:graphicFrame>
      </mc:Choice>
      <mc:Fallback xmlns="">
        <xdr:sp macro="" textlink="">
          <xdr:nvSpPr>
            <xdr:cNvPr id="0" name=""/>
            <xdr:cNvSpPr>
              <a:spLocks noTextEdit="1"/>
            </xdr:cNvSpPr>
          </xdr:nvSpPr>
          <xdr:spPr>
            <a:xfrm>
              <a:off x="371474" y="47624"/>
              <a:ext cx="1828800" cy="904876"/>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393247</xdr:colOff>
      <xdr:row>0</xdr:row>
      <xdr:rowOff>34017</xdr:rowOff>
    </xdr:from>
    <xdr:to>
      <xdr:col>8</xdr:col>
      <xdr:colOff>272142</xdr:colOff>
      <xdr:row>2</xdr:row>
      <xdr:rowOff>612321</xdr:rowOff>
    </xdr:to>
    <mc:AlternateContent xmlns:mc="http://schemas.openxmlformats.org/markup-compatibility/2006" xmlns:a14="http://schemas.microsoft.com/office/drawing/2010/main">
      <mc:Choice Requires="a14">
        <xdr:graphicFrame macro="">
          <xdr:nvGraphicFramePr>
            <xdr:cNvPr id="5" name="Year 3">
              <a:extLst>
                <a:ext uri="{FF2B5EF4-FFF2-40B4-BE49-F238E27FC236}">
                  <a16:creationId xmlns:a16="http://schemas.microsoft.com/office/drawing/2014/main" id="{4B9DBBF9-3D76-7729-3E37-1417F853FB64}"/>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257426" y="34017"/>
              <a:ext cx="5634717" cy="591911"/>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153759</xdr:colOff>
      <xdr:row>0</xdr:row>
      <xdr:rowOff>6804</xdr:rowOff>
    </xdr:from>
    <xdr:to>
      <xdr:col>41</xdr:col>
      <xdr:colOff>517072</xdr:colOff>
      <xdr:row>2</xdr:row>
      <xdr:rowOff>830036</xdr:rowOff>
    </xdr:to>
    <mc:AlternateContent xmlns:mc="http://schemas.openxmlformats.org/markup-compatibility/2006" xmlns:a14="http://schemas.microsoft.com/office/drawing/2010/main">
      <mc:Choice Requires="a14">
        <xdr:graphicFrame macro="">
          <xdr:nvGraphicFramePr>
            <xdr:cNvPr id="6" name="Team">
              <a:extLst>
                <a:ext uri="{FF2B5EF4-FFF2-40B4-BE49-F238E27FC236}">
                  <a16:creationId xmlns:a16="http://schemas.microsoft.com/office/drawing/2014/main" id="{EBD00BC9-A878-A1F7-B940-58E4A8D8A5C2}"/>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6780438" y="6804"/>
              <a:ext cx="10840811" cy="1204232"/>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ellos Fanis" refreshedDate="46112.664079629627" createdVersion="8" refreshedVersion="8" minRefreshableVersion="3" recordCount="3451" xr:uid="{A696C49B-CCF6-4FAB-95E8-3698782E3737}">
  <cacheSource type="worksheet">
    <worksheetSource ref="A1:Y5002" sheet="Data"/>
  </cacheSource>
  <cacheFields count="27">
    <cacheField name="Year" numFmtId="0">
      <sharedItems containsString="0" containsBlank="1" containsNumber="1" containsInteger="1" minValue="2018" maxValue="2026" count="10">
        <n v="2018"/>
        <n v="2019"/>
        <n v="2020"/>
        <n v="2021"/>
        <n v="2022"/>
        <n v="2023"/>
        <n v="2024"/>
        <n v="2025"/>
        <n v="2026"/>
        <m/>
      </sharedItems>
    </cacheField>
    <cacheField name="Regular/_x000a_Playoffs" numFmtId="0">
      <sharedItems containsBlank="1" count="3">
        <s v="Regular"/>
        <s v="Playoffs"/>
        <m/>
      </sharedItems>
    </cacheField>
    <cacheField name="Period" numFmtId="0">
      <sharedItems containsBlank="1" containsMixedTypes="1" containsNumber="1" containsInteger="1" minValue="1" maxValue="19" count="25">
        <n v="1"/>
        <n v="2"/>
        <n v="3"/>
        <n v="4"/>
        <n v="5"/>
        <n v="6"/>
        <n v="7"/>
        <n v="8"/>
        <n v="9"/>
        <n v="10"/>
        <n v="11"/>
        <n v="12"/>
        <n v="13"/>
        <n v="14"/>
        <n v="15"/>
        <n v="16"/>
        <n v="17"/>
        <n v="18"/>
        <n v="19"/>
        <s v="Quarterfinals"/>
        <s v="Semifinals"/>
        <s v="Final"/>
        <s v="3rd place"/>
        <s v="1st Round"/>
        <m/>
      </sharedItems>
    </cacheField>
    <cacheField name="Match No" numFmtId="0">
      <sharedItems containsString="0" containsBlank="1" containsNumber="1" containsInteger="1" minValue="1" maxValue="202"/>
    </cacheField>
    <cacheField name="Team" numFmtId="0">
      <sharedItems containsBlank="1" count="41">
        <s v="The Others"/>
        <s v="The Bridgeburners"/>
        <s v="Salonika Devils"/>
        <s v="Samarina Dudenbros"/>
        <s v="Retsiniakos 21"/>
        <s v="Donkey Rolls"/>
        <s v="Karafli SaiTa"/>
        <s v="Steven Adams' Moustache"/>
        <s v="Drogalo Mountain Goats"/>
        <s v="Kourayo Vallecano"/>
        <s v="Tsoko Marokana"/>
        <s v="purple fuzzy apache pirates"/>
        <s v="Fighting Thaddeus"/>
        <s v="The Rookies"/>
        <s v="The walkinng dead"/>
        <s v="The Guns"/>
        <s v="st.Helens Eruptions"/>
        <s v="Pachiana NinjaBees"/>
        <s v="Xanthi Ducks 🦆"/>
        <s v="Underdogs"/>
        <s v="Guruuu 🐐🐐🐐"/>
        <s v="Tsarlatans"/>
        <s v=" The Others"/>
        <s v="Baltimore Hercules"/>
        <s v="Knights of Ni"/>
        <s v="The Bad Boys"/>
        <s v="LRBP PR3DATORS"/>
        <s v="Heraklion Snakes"/>
        <s v="Paralouistas"/>
        <s v="Hércules Pals"/>
        <m/>
        <s v="Rebelion Naranja" u="1"/>
        <s v="purple fuzzy apache higHeads" u="1"/>
        <s v="Corto Maltesers" u="1"/>
        <s v="Brixton Guns" u="1"/>
        <s v="Arvyla B.C." u="1"/>
        <s v="Grand Theft  Ottos" u="1"/>
        <s v="Bold Boys" u="1"/>
        <s v="Georgetown SKG" u="1"/>
        <s v="Karafli ShaiTa" u="1"/>
        <s v="🗻Samarina 🥃Dudenbros" u="1"/>
      </sharedItems>
    </cacheField>
    <cacheField name="Manager" numFmtId="0">
      <sharedItems containsBlank="1"/>
    </cacheField>
    <cacheField name="Games Won" numFmtId="0">
      <sharedItems containsString="0" containsBlank="1" containsNumber="1" containsInteger="1" minValue="0" maxValue="1"/>
    </cacheField>
    <cacheField name="W" numFmtId="0">
      <sharedItems containsString="0" containsBlank="1" containsNumber="1" containsInteger="1" minValue="0" maxValue="13"/>
    </cacheField>
    <cacheField name="L" numFmtId="0">
      <sharedItems containsString="0" containsBlank="1" containsNumber="1" containsInteger="1" minValue="0" maxValue="13"/>
    </cacheField>
    <cacheField name="D" numFmtId="0">
      <sharedItems containsString="0" containsBlank="1" containsNumber="1" containsInteger="1" minValue="0" maxValue="3"/>
    </cacheField>
    <cacheField name="vs Opponent" numFmtId="0">
      <sharedItems containsBlank="1" count="41">
        <s v="vs The Bridgeburners"/>
        <s v="vs The Others"/>
        <s v="vs Samarina Dudenbros"/>
        <s v="vs Salonika Devils"/>
        <s v="vs Donkey Rolls"/>
        <s v="vs Retsiniakos 21"/>
        <s v="vs Steven Adams' Moustache"/>
        <s v="vs Karafli SaiTa"/>
        <s v="vs Kourayo Vallecano"/>
        <s v="vs Drogalo Mountain Goats"/>
        <s v="vs purple fuzzy apache pirates"/>
        <s v="vs Tsoko Marokana"/>
        <s v="vs The Rookies"/>
        <s v="vs Fighting Thaddeus"/>
        <s v="vs The Guns"/>
        <s v="vs The walkinng dead"/>
        <s v="vs Pachiana NinjaBees"/>
        <s v="vs st.Helens Eruptions"/>
        <s v="vs Underdogs"/>
        <s v="vs Xanthi Ducks 🦆"/>
        <s v="vs Guruuu 🐐🐐🐐"/>
        <s v="vs Tsarlatans"/>
        <s v="vs  The Others"/>
        <s v="vs Baltimore Hercules"/>
        <s v="vs Knights of Ni"/>
        <s v="vs The Bad Boys"/>
        <s v="vs LRBP PR3DATORS"/>
        <s v="vs Heraklion Snakes"/>
        <s v="vs Paralouistas"/>
        <s v="vs Hércules Pals"/>
        <m/>
        <s v="vs Rebelion Naranja" u="1"/>
        <s v="vs purple fuzzy apache higHeads" u="1"/>
        <s v="vs Corto Maltesers" u="1"/>
        <s v="vs Brixton Guns" u="1"/>
        <s v="vs Arvyla B.C." u="1"/>
        <s v="vs Grand Theft  Ottos" u="1"/>
        <s v="vs Bold Boys" u="1"/>
        <s v="vs Georgetown SKG" u="1"/>
        <s v="vs Karafli ShaiTa" u="1"/>
        <s v="vs 🗻Samarina 🥃Dudenbros" u="1"/>
      </sharedItems>
    </cacheField>
    <cacheField name="vs Manager" numFmtId="0">
      <sharedItems containsBlank="1"/>
    </cacheField>
    <cacheField name="FGM" numFmtId="0">
      <sharedItems containsString="0" containsBlank="1" containsNumber="1" containsInteger="1" minValue="42" maxValue="333"/>
    </cacheField>
    <cacheField name="FG%" numFmtId="0">
      <sharedItems containsString="0" containsBlank="1" containsNumber="1" minValue="0.35299999999999998" maxValue="0.60799999999999998"/>
    </cacheField>
    <cacheField name="3PM" numFmtId="0">
      <sharedItems containsString="0" containsBlank="1" containsNumber="1" containsInteger="1" minValue="6" maxValue="122"/>
    </cacheField>
    <cacheField name="3P%" numFmtId="0">
      <sharedItems containsString="0" containsBlank="1" containsNumber="1" minValue="0.17100000000000001" maxValue="0.53700000000000003"/>
    </cacheField>
    <cacheField name="FT%" numFmtId="0">
      <sharedItems containsString="0" containsBlank="1" containsNumber="1" minValue="0.51600000000000001" maxValue="0.95599999999999996"/>
    </cacheField>
    <cacheField name="PTS" numFmtId="0">
      <sharedItems containsString="0" containsBlank="1" containsNumber="1" containsInteger="1" minValue="110" maxValue="892"/>
    </cacheField>
    <cacheField name="OREB" numFmtId="0">
      <sharedItems containsString="0" containsBlank="1" containsNumber="1" containsInteger="1" minValue="6" maxValue="87"/>
    </cacheField>
    <cacheField name="DREB" numFmtId="0">
      <sharedItems containsString="0" containsBlank="1" containsNumber="1" containsInteger="1" minValue="37" maxValue="245"/>
    </cacheField>
    <cacheField name="AST" numFmtId="0">
      <sharedItems containsString="0" containsBlank="1" containsNumber="1" containsInteger="1" minValue="10" maxValue="243"/>
    </cacheField>
    <cacheField name="STL" numFmtId="0">
      <sharedItems containsString="0" containsBlank="1" containsNumber="1" containsInteger="1" minValue="5" maxValue="66"/>
    </cacheField>
    <cacheField name="BLK" numFmtId="0">
      <sharedItems containsString="0" containsBlank="1" containsNumber="1" containsInteger="1" minValue="1" maxValue="47"/>
    </cacheField>
    <cacheField name="TO" numFmtId="0">
      <sharedItems containsString="0" containsBlank="1" containsNumber="1" containsInteger="1" minValue="8" maxValue="110"/>
    </cacheField>
    <cacheField name="A/TO" numFmtId="0">
      <sharedItems containsString="0" containsBlank="1" containsNumber="1" minValue="0.48" maxValue="4.32"/>
    </cacheField>
    <cacheField name="W%" numFmtId="0" formula="(W+0.5*D)/(W+L+D)" databaseField="0"/>
    <cacheField name="% of Games Won" numFmtId="0" formula="'Games Won'/((W+L+D)/13)" databaseField="0"/>
  </cacheFields>
  <extLst>
    <ext xmlns:x14="http://schemas.microsoft.com/office/spreadsheetml/2009/9/main" uri="{725AE2AE-9491-48be-B2B4-4EB974FC3084}">
      <x14:pivotCacheDefinition pivotCacheId="988427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51">
  <r>
    <x v="0"/>
    <x v="0"/>
    <x v="0"/>
    <n v="1"/>
    <x v="0"/>
    <s v="Miggianis"/>
    <n v="0"/>
    <n v="5"/>
    <n v="7"/>
    <n v="1"/>
    <x v="0"/>
    <s v="vs Fanis"/>
    <n v="118"/>
    <n v="0.41099999999999998"/>
    <n v="37"/>
    <n v="0.34599999999999997"/>
    <n v="0.86599999999999999"/>
    <n v="344"/>
    <n v="25"/>
    <n v="100"/>
    <n v="77"/>
    <n v="33"/>
    <n v="16"/>
    <n v="58"/>
    <n v="1.3275862068965518"/>
  </r>
  <r>
    <x v="0"/>
    <x v="0"/>
    <x v="0"/>
    <n v="1"/>
    <x v="1"/>
    <s v="Fanis"/>
    <n v="1"/>
    <n v="7"/>
    <n v="5"/>
    <n v="1"/>
    <x v="1"/>
    <s v="vs Miggianis"/>
    <n v="121"/>
    <n v="0.42299999999999999"/>
    <n v="38"/>
    <n v="0.33600000000000002"/>
    <n v="0.85099999999999998"/>
    <n v="354"/>
    <n v="17"/>
    <n v="105"/>
    <n v="71"/>
    <n v="20"/>
    <n v="16"/>
    <n v="52"/>
    <n v="1.3653846153846154"/>
  </r>
  <r>
    <x v="0"/>
    <x v="0"/>
    <x v="0"/>
    <n v="2"/>
    <x v="2"/>
    <s v="Fountos"/>
    <n v="1"/>
    <n v="10"/>
    <n v="3"/>
    <n v="0"/>
    <x v="2"/>
    <s v="vs Sakellariou"/>
    <n v="127"/>
    <n v="0.42799999999999999"/>
    <n v="28"/>
    <n v="0.35899999999999999"/>
    <n v="0.8"/>
    <n v="358"/>
    <n v="35"/>
    <n v="110"/>
    <n v="93"/>
    <n v="26"/>
    <n v="11"/>
    <n v="51"/>
    <n v="1.8235294117647058"/>
  </r>
  <r>
    <x v="0"/>
    <x v="0"/>
    <x v="0"/>
    <n v="2"/>
    <x v="3"/>
    <s v="Sakellariou"/>
    <n v="0"/>
    <n v="3"/>
    <n v="10"/>
    <n v="0"/>
    <x v="3"/>
    <s v="vs Fountos"/>
    <n v="106"/>
    <n v="0.379"/>
    <n v="40"/>
    <n v="0.35699999999999998"/>
    <n v="0.80300000000000005"/>
    <n v="301"/>
    <n v="25"/>
    <n v="89"/>
    <n v="69"/>
    <n v="20"/>
    <n v="9"/>
    <n v="47"/>
    <n v="1.4680851063829787"/>
  </r>
  <r>
    <x v="0"/>
    <x v="0"/>
    <x v="0"/>
    <n v="3"/>
    <x v="4"/>
    <s v="Mpousaras"/>
    <n v="0"/>
    <n v="2"/>
    <n v="10"/>
    <n v="1"/>
    <x v="4"/>
    <s v="vs Markos"/>
    <n v="104"/>
    <n v="0.44400000000000001"/>
    <n v="20"/>
    <n v="0.33300000000000002"/>
    <n v="0.83699999999999997"/>
    <n v="264"/>
    <n v="33"/>
    <n v="83"/>
    <n v="48"/>
    <n v="17"/>
    <n v="11"/>
    <n v="37"/>
    <n v="1.2972972972972974"/>
  </r>
  <r>
    <x v="0"/>
    <x v="0"/>
    <x v="0"/>
    <n v="3"/>
    <x v="5"/>
    <s v="Markos"/>
    <n v="1"/>
    <n v="10"/>
    <n v="2"/>
    <n v="1"/>
    <x v="5"/>
    <s v="vs Mpousaras"/>
    <n v="105"/>
    <n v="0.49099999999999999"/>
    <n v="25"/>
    <n v="0.38500000000000001"/>
    <n v="0.90700000000000003"/>
    <n v="274"/>
    <n v="32"/>
    <n v="97"/>
    <n v="48"/>
    <n v="12"/>
    <n v="16"/>
    <n v="29"/>
    <n v="1.6551724137931034"/>
  </r>
  <r>
    <x v="0"/>
    <x v="0"/>
    <x v="0"/>
    <n v="4"/>
    <x v="6"/>
    <s v="Tassos"/>
    <n v="1"/>
    <n v="9"/>
    <n v="4"/>
    <n v="0"/>
    <x v="6"/>
    <s v="vs Johnny"/>
    <n v="99"/>
    <n v="0.49299999999999999"/>
    <n v="25"/>
    <n v="0.43099999999999999"/>
    <n v="0.877"/>
    <n v="273"/>
    <n v="15"/>
    <n v="73"/>
    <n v="57"/>
    <n v="17"/>
    <n v="9"/>
    <n v="37"/>
    <n v="1.5405405405405406"/>
  </r>
  <r>
    <x v="0"/>
    <x v="0"/>
    <x v="0"/>
    <n v="4"/>
    <x v="7"/>
    <s v="Johnny"/>
    <n v="0"/>
    <n v="4"/>
    <n v="9"/>
    <n v="0"/>
    <x v="7"/>
    <s v="vs Tassos"/>
    <n v="98"/>
    <n v="0.439"/>
    <n v="18"/>
    <n v="0.39100000000000001"/>
    <n v="0.62"/>
    <n v="245"/>
    <n v="32"/>
    <n v="91"/>
    <n v="73"/>
    <n v="13"/>
    <n v="11"/>
    <n v="49"/>
    <n v="1.489795918367347"/>
  </r>
  <r>
    <x v="0"/>
    <x v="0"/>
    <x v="0"/>
    <n v="5"/>
    <x v="8"/>
    <s v="Antoniou"/>
    <n v="1"/>
    <n v="11"/>
    <n v="2"/>
    <n v="0"/>
    <x v="8"/>
    <s v="vs Ziogas/Christof"/>
    <n v="113"/>
    <n v="0.44800000000000001"/>
    <n v="26"/>
    <n v="0.36099999999999999"/>
    <n v="0.83799999999999997"/>
    <n v="319"/>
    <n v="29"/>
    <n v="115"/>
    <n v="57"/>
    <n v="23"/>
    <n v="15"/>
    <n v="38"/>
    <n v="1.5"/>
  </r>
  <r>
    <x v="0"/>
    <x v="0"/>
    <x v="0"/>
    <n v="5"/>
    <x v="9"/>
    <s v="Ziogas/Christof"/>
    <n v="0"/>
    <n v="2"/>
    <n v="11"/>
    <n v="0"/>
    <x v="9"/>
    <s v="vs Antoniou"/>
    <n v="95"/>
    <n v="0.40100000000000002"/>
    <n v="18"/>
    <n v="0.26100000000000001"/>
    <n v="0.745"/>
    <n v="281"/>
    <n v="33"/>
    <n v="103"/>
    <n v="73"/>
    <n v="12"/>
    <n v="12"/>
    <n v="49"/>
    <n v="1.489795918367347"/>
  </r>
  <r>
    <x v="0"/>
    <x v="0"/>
    <x v="0"/>
    <n v="6"/>
    <x v="10"/>
    <s v="Lagios"/>
    <n v="1"/>
    <n v="11"/>
    <n v="2"/>
    <n v="0"/>
    <x v="10"/>
    <s v="vs pi/Sotiris"/>
    <n v="151"/>
    <n v="0.48899999999999999"/>
    <n v="28"/>
    <n v="0.308"/>
    <n v="0.77600000000000002"/>
    <n v="396"/>
    <n v="32"/>
    <n v="123"/>
    <n v="69"/>
    <n v="29"/>
    <n v="25"/>
    <n v="54"/>
    <n v="1.2777777777777777"/>
  </r>
  <r>
    <x v="0"/>
    <x v="0"/>
    <x v="0"/>
    <n v="6"/>
    <x v="11"/>
    <s v="pi/Sotiris"/>
    <n v="0"/>
    <n v="2"/>
    <n v="11"/>
    <n v="0"/>
    <x v="11"/>
    <s v="vs Lagios"/>
    <n v="107"/>
    <n v="0.47799999999999998"/>
    <n v="20"/>
    <n v="0.34499999999999997"/>
    <n v="0.71099999999999997"/>
    <n v="288"/>
    <n v="30"/>
    <n v="82"/>
    <n v="37"/>
    <n v="17"/>
    <n v="14"/>
    <n v="29"/>
    <n v="1.2758620689655173"/>
  </r>
  <r>
    <x v="0"/>
    <x v="0"/>
    <x v="0"/>
    <n v="7"/>
    <x v="12"/>
    <s v="Stavros"/>
    <n v="1"/>
    <n v="11"/>
    <n v="2"/>
    <n v="0"/>
    <x v="12"/>
    <s v="vs Kousidis"/>
    <n v="163"/>
    <n v="0.48499999999999999"/>
    <n v="36"/>
    <n v="0.371"/>
    <n v="0.754"/>
    <n v="411"/>
    <n v="55"/>
    <n v="117"/>
    <n v="78"/>
    <n v="30"/>
    <n v="11"/>
    <n v="45"/>
    <n v="1.7333333333333334"/>
  </r>
  <r>
    <x v="0"/>
    <x v="0"/>
    <x v="0"/>
    <n v="7"/>
    <x v="13"/>
    <s v="Kousidis"/>
    <n v="0"/>
    <n v="2"/>
    <n v="11"/>
    <n v="0"/>
    <x v="13"/>
    <s v="vs Stavros"/>
    <n v="134"/>
    <n v="0.46500000000000002"/>
    <n v="28"/>
    <n v="0.35"/>
    <n v="0.72599999999999998"/>
    <n v="357"/>
    <n v="33"/>
    <n v="98"/>
    <n v="88"/>
    <n v="19"/>
    <n v="12"/>
    <n v="52"/>
    <n v="1.6923076923076923"/>
  </r>
  <r>
    <x v="0"/>
    <x v="0"/>
    <x v="0"/>
    <n v="8"/>
    <x v="14"/>
    <s v="Panagopoulos"/>
    <n v="1"/>
    <n v="8"/>
    <n v="4"/>
    <n v="1"/>
    <x v="14"/>
    <s v="vs Vasilis"/>
    <n v="128"/>
    <n v="0.41699999999999998"/>
    <n v="32"/>
    <n v="0.317"/>
    <n v="0.752"/>
    <n v="367"/>
    <n v="38"/>
    <n v="115"/>
    <n v="89"/>
    <n v="34"/>
    <n v="18"/>
    <n v="64"/>
    <n v="1.390625"/>
  </r>
  <r>
    <x v="0"/>
    <x v="0"/>
    <x v="0"/>
    <n v="8"/>
    <x v="15"/>
    <s v="Vasilis"/>
    <n v="0"/>
    <n v="4"/>
    <n v="8"/>
    <n v="1"/>
    <x v="15"/>
    <s v="vs Panagopoulos"/>
    <n v="116"/>
    <n v="0.47"/>
    <n v="22"/>
    <n v="0.34899999999999998"/>
    <n v="0.80600000000000005"/>
    <n v="308"/>
    <n v="23"/>
    <n v="108"/>
    <n v="48"/>
    <n v="27"/>
    <n v="18"/>
    <n v="47"/>
    <n v="1.0212765957446808"/>
  </r>
  <r>
    <x v="0"/>
    <x v="0"/>
    <x v="0"/>
    <n v="9"/>
    <x v="16"/>
    <s v="Aris"/>
    <n v="1"/>
    <n v="9"/>
    <n v="4"/>
    <n v="0"/>
    <x v="16"/>
    <s v="vs Spiridaus/Oladipas"/>
    <n v="160"/>
    <n v="0.47099999999999997"/>
    <n v="34"/>
    <n v="0.36599999999999999"/>
    <n v="0.63"/>
    <n v="412"/>
    <n v="38"/>
    <n v="140"/>
    <n v="76"/>
    <n v="37"/>
    <n v="24"/>
    <n v="71"/>
    <n v="1.0704225352112675"/>
  </r>
  <r>
    <x v="0"/>
    <x v="0"/>
    <x v="0"/>
    <n v="9"/>
    <x v="17"/>
    <s v="Spiridaus/Oladipas"/>
    <n v="0"/>
    <n v="4"/>
    <n v="9"/>
    <n v="0"/>
    <x v="17"/>
    <s v="vs Aris"/>
    <n v="126"/>
    <n v="0.49399999999999999"/>
    <n v="30"/>
    <n v="0.33700000000000002"/>
    <n v="0.76400000000000001"/>
    <n v="350"/>
    <n v="33"/>
    <n v="103"/>
    <n v="50"/>
    <n v="24"/>
    <n v="14"/>
    <n v="41"/>
    <n v="1.2195121951219512"/>
  </r>
  <r>
    <x v="0"/>
    <x v="0"/>
    <x v="0"/>
    <n v="10"/>
    <x v="18"/>
    <s v="Kotakis"/>
    <n v="1"/>
    <n v="10"/>
    <n v="3"/>
    <n v="0"/>
    <x v="18"/>
    <s v="vs Nonis"/>
    <n v="111"/>
    <n v="0.42199999999999999"/>
    <n v="29"/>
    <n v="0.34899999999999998"/>
    <n v="0.83899999999999997"/>
    <n v="324"/>
    <n v="28"/>
    <n v="92"/>
    <n v="90"/>
    <n v="32"/>
    <n v="12"/>
    <n v="39"/>
    <n v="2.3076923076923075"/>
  </r>
  <r>
    <x v="0"/>
    <x v="0"/>
    <x v="0"/>
    <n v="10"/>
    <x v="19"/>
    <s v="Nonis"/>
    <n v="0"/>
    <n v="3"/>
    <n v="10"/>
    <n v="0"/>
    <x v="19"/>
    <s v="vs Kotakis"/>
    <n v="76"/>
    <n v="0.50700000000000001"/>
    <n v="28"/>
    <n v="0.42399999999999999"/>
    <n v="0.76500000000000001"/>
    <n v="206"/>
    <n v="10"/>
    <n v="50"/>
    <n v="16"/>
    <n v="9"/>
    <n v="10"/>
    <n v="30"/>
    <n v="0.53333333333333333"/>
  </r>
  <r>
    <x v="0"/>
    <x v="0"/>
    <x v="1"/>
    <n v="11"/>
    <x v="1"/>
    <s v="Fanis"/>
    <n v="1"/>
    <n v="9"/>
    <n v="4"/>
    <n v="0"/>
    <x v="3"/>
    <s v="vs Fountos"/>
    <n v="209"/>
    <n v="0.50900000000000001"/>
    <n v="51"/>
    <n v="0.39500000000000002"/>
    <n v="0.79300000000000004"/>
    <n v="561"/>
    <n v="51"/>
    <n v="180"/>
    <n v="100"/>
    <n v="38"/>
    <n v="17"/>
    <n v="71"/>
    <n v="1.408450704225352"/>
  </r>
  <r>
    <x v="0"/>
    <x v="0"/>
    <x v="1"/>
    <n v="11"/>
    <x v="2"/>
    <s v="Fountos"/>
    <n v="0"/>
    <n v="4"/>
    <n v="9"/>
    <n v="0"/>
    <x v="0"/>
    <s v="vs Fanis"/>
    <n v="180"/>
    <n v="0.48599999999999999"/>
    <n v="33"/>
    <n v="0.36699999999999999"/>
    <n v="0.70699999999999996"/>
    <n v="504"/>
    <n v="61"/>
    <n v="160"/>
    <n v="91"/>
    <n v="27"/>
    <n v="22"/>
    <n v="62"/>
    <n v="1.467741935483871"/>
  </r>
  <r>
    <x v="0"/>
    <x v="0"/>
    <x v="1"/>
    <n v="12"/>
    <x v="5"/>
    <s v="Markos"/>
    <n v="1"/>
    <n v="8"/>
    <n v="5"/>
    <n v="0"/>
    <x v="1"/>
    <s v="vs Miggianis"/>
    <n v="183"/>
    <n v="0.52600000000000002"/>
    <n v="36"/>
    <n v="0.34599999999999997"/>
    <n v="0.747"/>
    <n v="461"/>
    <n v="53"/>
    <n v="155"/>
    <n v="101"/>
    <n v="35"/>
    <n v="26"/>
    <n v="76"/>
    <n v="1.3289473684210527"/>
  </r>
  <r>
    <x v="0"/>
    <x v="0"/>
    <x v="1"/>
    <n v="12"/>
    <x v="0"/>
    <s v="Miggianis"/>
    <n v="0"/>
    <n v="5"/>
    <n v="8"/>
    <n v="0"/>
    <x v="4"/>
    <s v="vs Markos"/>
    <n v="160"/>
    <n v="0.48499999999999999"/>
    <n v="52"/>
    <n v="0.433"/>
    <n v="0.75700000000000001"/>
    <n v="450"/>
    <n v="36"/>
    <n v="145"/>
    <n v="80"/>
    <n v="33"/>
    <n v="32"/>
    <n v="72"/>
    <n v="1.1111111111111112"/>
  </r>
  <r>
    <x v="0"/>
    <x v="0"/>
    <x v="1"/>
    <n v="13"/>
    <x v="3"/>
    <s v="Sakellariou"/>
    <n v="1"/>
    <n v="8"/>
    <n v="5"/>
    <n v="0"/>
    <x v="6"/>
    <s v="vs Johnny"/>
    <n v="153"/>
    <n v="0.43"/>
    <n v="29"/>
    <n v="0.27400000000000002"/>
    <n v="0.85399999999999998"/>
    <n v="411"/>
    <n v="20"/>
    <n v="107"/>
    <n v="104"/>
    <n v="30"/>
    <n v="17"/>
    <n v="47"/>
    <n v="2.2127659574468086"/>
  </r>
  <r>
    <x v="0"/>
    <x v="0"/>
    <x v="1"/>
    <n v="13"/>
    <x v="7"/>
    <s v="Johnny"/>
    <n v="0"/>
    <n v="5"/>
    <n v="8"/>
    <n v="0"/>
    <x v="2"/>
    <s v="vs Sakellariou"/>
    <n v="113"/>
    <n v="0.44800000000000001"/>
    <n v="17"/>
    <n v="0.34"/>
    <n v="0.70299999999999996"/>
    <n v="295"/>
    <n v="28"/>
    <n v="133"/>
    <n v="56"/>
    <n v="23"/>
    <n v="9"/>
    <n v="46"/>
    <n v="1.2173913043478262"/>
  </r>
  <r>
    <x v="0"/>
    <x v="0"/>
    <x v="1"/>
    <n v="14"/>
    <x v="4"/>
    <s v="Mpousaras"/>
    <n v="1"/>
    <n v="9"/>
    <n v="3"/>
    <n v="1"/>
    <x v="9"/>
    <s v="vs Antoniou"/>
    <n v="151"/>
    <n v="0.46200000000000002"/>
    <n v="60"/>
    <n v="0.44400000000000001"/>
    <n v="0.77900000000000003"/>
    <n v="429"/>
    <n v="32"/>
    <n v="132"/>
    <n v="77"/>
    <n v="31"/>
    <n v="23"/>
    <n v="49"/>
    <n v="1.5714285714285714"/>
  </r>
  <r>
    <x v="0"/>
    <x v="0"/>
    <x v="1"/>
    <n v="14"/>
    <x v="8"/>
    <s v="Antoniou"/>
    <n v="0"/>
    <n v="3"/>
    <n v="9"/>
    <n v="1"/>
    <x v="5"/>
    <s v="vs Mpousaras"/>
    <n v="155"/>
    <n v="0.47399999999999998"/>
    <n v="41"/>
    <n v="0.36299999999999999"/>
    <n v="0.83499999999999996"/>
    <n v="422"/>
    <n v="32"/>
    <n v="112"/>
    <n v="67"/>
    <n v="21"/>
    <n v="19"/>
    <n v="56"/>
    <n v="1.1964285714285714"/>
  </r>
  <r>
    <x v="0"/>
    <x v="0"/>
    <x v="1"/>
    <n v="15"/>
    <x v="6"/>
    <s v="Tassos"/>
    <n v="0"/>
    <n v="5"/>
    <n v="7"/>
    <n v="1"/>
    <x v="8"/>
    <s v="vs Ziogas/Christof"/>
    <n v="171"/>
    <n v="0.47199999999999998"/>
    <n v="44"/>
    <n v="0.36399999999999999"/>
    <n v="0.67900000000000005"/>
    <n v="441"/>
    <n v="38"/>
    <n v="133"/>
    <n v="93"/>
    <n v="34"/>
    <n v="18"/>
    <n v="76"/>
    <n v="1.2236842105263157"/>
  </r>
  <r>
    <x v="0"/>
    <x v="0"/>
    <x v="1"/>
    <n v="15"/>
    <x v="9"/>
    <s v="Ziogas/Christof"/>
    <n v="1"/>
    <n v="7"/>
    <n v="5"/>
    <n v="1"/>
    <x v="7"/>
    <s v="vs Tassos"/>
    <n v="160"/>
    <n v="0.434"/>
    <n v="44"/>
    <n v="0.35499999999999998"/>
    <n v="0.78600000000000003"/>
    <n v="456"/>
    <n v="51"/>
    <n v="136"/>
    <n v="122"/>
    <n v="26"/>
    <n v="14"/>
    <n v="60"/>
    <n v="2.0333333333333332"/>
  </r>
  <r>
    <x v="0"/>
    <x v="0"/>
    <x v="1"/>
    <n v="16"/>
    <x v="13"/>
    <s v="Kousidis"/>
    <n v="1"/>
    <n v="10"/>
    <n v="3"/>
    <n v="0"/>
    <x v="10"/>
    <s v="vs pi/Sotiris"/>
    <n v="161"/>
    <n v="0.47199999999999998"/>
    <n v="39"/>
    <n v="0.36099999999999999"/>
    <n v="0.72699999999999998"/>
    <n v="417"/>
    <n v="19"/>
    <n v="128"/>
    <n v="96"/>
    <n v="37"/>
    <n v="5"/>
    <n v="74"/>
    <n v="1.2972972972972974"/>
  </r>
  <r>
    <x v="0"/>
    <x v="0"/>
    <x v="1"/>
    <n v="16"/>
    <x v="11"/>
    <s v="pi/Sotiris"/>
    <n v="0"/>
    <n v="3"/>
    <n v="10"/>
    <n v="0"/>
    <x v="12"/>
    <s v="vs Kousidis"/>
    <n v="125"/>
    <n v="0.38700000000000001"/>
    <n v="21"/>
    <n v="0.247"/>
    <n v="0.64200000000000002"/>
    <n v="314"/>
    <n v="36"/>
    <n v="120"/>
    <n v="67"/>
    <n v="28"/>
    <n v="9"/>
    <n v="58"/>
    <n v="1.1551724137931034"/>
  </r>
  <r>
    <x v="0"/>
    <x v="0"/>
    <x v="1"/>
    <n v="17"/>
    <x v="14"/>
    <s v="Panagopoulos"/>
    <n v="0"/>
    <n v="4"/>
    <n v="9"/>
    <n v="0"/>
    <x v="11"/>
    <s v="vs Lagios"/>
    <n v="147"/>
    <n v="0.46100000000000002"/>
    <n v="37"/>
    <n v="0.36599999999999999"/>
    <n v="0.75"/>
    <n v="409"/>
    <n v="39"/>
    <n v="145"/>
    <n v="103"/>
    <n v="32"/>
    <n v="13"/>
    <n v="64"/>
    <n v="1.609375"/>
  </r>
  <r>
    <x v="0"/>
    <x v="0"/>
    <x v="1"/>
    <n v="17"/>
    <x v="10"/>
    <s v="Lagios"/>
    <n v="1"/>
    <n v="9"/>
    <n v="4"/>
    <n v="0"/>
    <x v="15"/>
    <s v="vs Panagopoulos"/>
    <n v="180"/>
    <n v="0.47699999999999998"/>
    <n v="55"/>
    <n v="0.42"/>
    <n v="0.82"/>
    <n v="506"/>
    <n v="33"/>
    <n v="168"/>
    <n v="106"/>
    <n v="29"/>
    <n v="25"/>
    <n v="68"/>
    <n v="1.5588235294117647"/>
  </r>
  <r>
    <x v="0"/>
    <x v="0"/>
    <x v="1"/>
    <n v="18"/>
    <x v="12"/>
    <s v="Stavros"/>
    <n v="1"/>
    <n v="8"/>
    <n v="5"/>
    <n v="0"/>
    <x v="16"/>
    <s v="vs Spiridaus/Oladipas"/>
    <n v="165"/>
    <n v="0.433"/>
    <n v="45"/>
    <n v="0.35199999999999998"/>
    <n v="0.71899999999999997"/>
    <n v="444"/>
    <n v="49"/>
    <n v="126"/>
    <n v="91"/>
    <n v="31"/>
    <n v="22"/>
    <n v="74"/>
    <n v="1.2297297297297298"/>
  </r>
  <r>
    <x v="0"/>
    <x v="0"/>
    <x v="1"/>
    <n v="18"/>
    <x v="17"/>
    <s v="Spiridaus/Oladipas"/>
    <n v="0"/>
    <n v="5"/>
    <n v="8"/>
    <n v="0"/>
    <x v="13"/>
    <s v="vs Stavros"/>
    <n v="136"/>
    <n v="0.42399999999999999"/>
    <n v="51"/>
    <n v="0.372"/>
    <n v="0.78600000000000003"/>
    <n v="367"/>
    <n v="36"/>
    <n v="110"/>
    <n v="75"/>
    <n v="16"/>
    <n v="17"/>
    <n v="34"/>
    <n v="2.2058823529411766"/>
  </r>
  <r>
    <x v="0"/>
    <x v="0"/>
    <x v="1"/>
    <n v="19"/>
    <x v="15"/>
    <s v="Vasilis"/>
    <n v="1"/>
    <n v="10"/>
    <n v="2"/>
    <n v="1"/>
    <x v="18"/>
    <s v="vs Nonis"/>
    <n v="132"/>
    <n v="0.46500000000000002"/>
    <n v="33"/>
    <n v="0.36299999999999999"/>
    <n v="0.80800000000000005"/>
    <n v="339"/>
    <n v="24"/>
    <n v="97"/>
    <n v="64"/>
    <n v="33"/>
    <n v="9"/>
    <n v="59"/>
    <n v="1.0847457627118644"/>
  </r>
  <r>
    <x v="0"/>
    <x v="0"/>
    <x v="1"/>
    <n v="19"/>
    <x v="19"/>
    <s v="Nonis"/>
    <n v="0"/>
    <n v="2"/>
    <n v="10"/>
    <n v="1"/>
    <x v="14"/>
    <s v="vs Vasilis"/>
    <n v="80"/>
    <n v="0.40799999999999997"/>
    <n v="24"/>
    <n v="0.30399999999999999"/>
    <n v="0.75900000000000001"/>
    <n v="225"/>
    <n v="16"/>
    <n v="55"/>
    <n v="46"/>
    <n v="17"/>
    <n v="9"/>
    <n v="24"/>
    <n v="1.9166666666666667"/>
  </r>
  <r>
    <x v="0"/>
    <x v="0"/>
    <x v="1"/>
    <n v="20"/>
    <x v="16"/>
    <s v="Aris"/>
    <n v="1"/>
    <n v="11"/>
    <n v="2"/>
    <n v="0"/>
    <x v="19"/>
    <s v="vs Kotakis"/>
    <n v="187"/>
    <n v="0.49099999999999999"/>
    <n v="44"/>
    <n v="0.40699999999999997"/>
    <n v="0.78900000000000003"/>
    <n v="493"/>
    <n v="58"/>
    <n v="135"/>
    <n v="102"/>
    <n v="40"/>
    <n v="20"/>
    <n v="55"/>
    <n v="1.8545454545454545"/>
  </r>
  <r>
    <x v="0"/>
    <x v="0"/>
    <x v="1"/>
    <n v="20"/>
    <x v="18"/>
    <s v="Kotakis"/>
    <n v="0"/>
    <n v="2"/>
    <n v="11"/>
    <n v="0"/>
    <x v="17"/>
    <s v="vs Aris"/>
    <n v="135"/>
    <n v="0.45"/>
    <n v="38"/>
    <n v="0.35499999999999998"/>
    <n v="0.89400000000000002"/>
    <n v="401"/>
    <n v="32"/>
    <n v="128"/>
    <n v="92"/>
    <n v="22"/>
    <n v="22"/>
    <n v="82"/>
    <n v="1.1219512195121952"/>
  </r>
  <r>
    <x v="0"/>
    <x v="0"/>
    <x v="2"/>
    <n v="21"/>
    <x v="1"/>
    <s v="Fanis"/>
    <n v="1"/>
    <n v="7"/>
    <n v="6"/>
    <n v="0"/>
    <x v="4"/>
    <s v="vs Markos"/>
    <n v="164"/>
    <n v="0.48399999999999999"/>
    <n v="56"/>
    <n v="0.42699999999999999"/>
    <n v="0.76300000000000001"/>
    <n v="455"/>
    <n v="38"/>
    <n v="169"/>
    <n v="111"/>
    <n v="43"/>
    <n v="20"/>
    <n v="68"/>
    <n v="1.6323529411764706"/>
  </r>
  <r>
    <x v="0"/>
    <x v="0"/>
    <x v="2"/>
    <n v="21"/>
    <x v="5"/>
    <s v="Markos"/>
    <n v="0"/>
    <n v="6"/>
    <n v="7"/>
    <n v="0"/>
    <x v="0"/>
    <s v="vs Fanis"/>
    <n v="179"/>
    <n v="0.54400000000000004"/>
    <n v="35"/>
    <n v="0.38"/>
    <n v="0.85499999999999998"/>
    <n v="458"/>
    <n v="48"/>
    <n v="143"/>
    <n v="91"/>
    <n v="26"/>
    <n v="17"/>
    <n v="56"/>
    <n v="1.625"/>
  </r>
  <r>
    <x v="0"/>
    <x v="0"/>
    <x v="2"/>
    <n v="22"/>
    <x v="2"/>
    <s v="Fountos"/>
    <n v="1"/>
    <n v="9"/>
    <n v="4"/>
    <n v="0"/>
    <x v="6"/>
    <s v="vs Johnny"/>
    <n v="181"/>
    <n v="0.43099999999999999"/>
    <n v="37"/>
    <n v="0.33300000000000002"/>
    <n v="0.71699999999999997"/>
    <n v="508"/>
    <n v="53"/>
    <n v="137"/>
    <n v="114"/>
    <n v="42"/>
    <n v="16"/>
    <n v="75"/>
    <n v="1.52"/>
  </r>
  <r>
    <x v="0"/>
    <x v="0"/>
    <x v="2"/>
    <n v="22"/>
    <x v="7"/>
    <s v="Johnny"/>
    <n v="0"/>
    <n v="4"/>
    <n v="9"/>
    <n v="0"/>
    <x v="3"/>
    <s v="vs Fountos"/>
    <n v="168"/>
    <n v="0.48599999999999999"/>
    <n v="32"/>
    <n v="0.32"/>
    <n v="0.66700000000000004"/>
    <n v="420"/>
    <n v="40"/>
    <n v="148"/>
    <n v="76"/>
    <n v="33"/>
    <n v="19"/>
    <n v="53"/>
    <n v="1.4339622641509433"/>
  </r>
  <r>
    <x v="0"/>
    <x v="0"/>
    <x v="2"/>
    <n v="23"/>
    <x v="0"/>
    <s v="Miggianis"/>
    <n v="0"/>
    <n v="6"/>
    <n v="7"/>
    <n v="0"/>
    <x v="9"/>
    <s v="vs Antoniou"/>
    <n v="135"/>
    <n v="0.42599999999999999"/>
    <n v="34"/>
    <n v="0.30599999999999999"/>
    <n v="0.83299999999999996"/>
    <n v="364"/>
    <n v="37"/>
    <n v="129"/>
    <n v="78"/>
    <n v="26"/>
    <n v="22"/>
    <n v="45"/>
    <n v="1.7333333333333334"/>
  </r>
  <r>
    <x v="0"/>
    <x v="0"/>
    <x v="2"/>
    <n v="23"/>
    <x v="8"/>
    <s v="Antoniou"/>
    <n v="1"/>
    <n v="7"/>
    <n v="6"/>
    <n v="0"/>
    <x v="1"/>
    <s v="vs Miggianis"/>
    <n v="164"/>
    <n v="0.46600000000000003"/>
    <n v="48"/>
    <n v="0.375"/>
    <n v="0.75800000000000001"/>
    <n v="451"/>
    <n v="24"/>
    <n v="168"/>
    <n v="84"/>
    <n v="22"/>
    <n v="21"/>
    <n v="64"/>
    <n v="1.3125"/>
  </r>
  <r>
    <x v="0"/>
    <x v="0"/>
    <x v="2"/>
    <n v="24"/>
    <x v="3"/>
    <s v="Sakellariou"/>
    <n v="1"/>
    <n v="10"/>
    <n v="3"/>
    <n v="0"/>
    <x v="8"/>
    <s v="vs Ziogas/Christof"/>
    <n v="206"/>
    <n v="0.45300000000000001"/>
    <n v="63"/>
    <n v="0.36799999999999999"/>
    <n v="0.83699999999999997"/>
    <n v="578"/>
    <n v="40"/>
    <n v="132"/>
    <n v="133"/>
    <n v="35"/>
    <n v="18"/>
    <n v="61"/>
    <n v="2.180327868852459"/>
  </r>
  <r>
    <x v="0"/>
    <x v="0"/>
    <x v="2"/>
    <n v="24"/>
    <x v="9"/>
    <s v="Ziogas/Christof"/>
    <n v="0"/>
    <n v="3"/>
    <n v="10"/>
    <n v="0"/>
    <x v="2"/>
    <s v="vs Sakellariou"/>
    <n v="138"/>
    <n v="0.46200000000000002"/>
    <n v="31"/>
    <n v="0.34399999999999997"/>
    <n v="0.68100000000000005"/>
    <n v="354"/>
    <n v="34"/>
    <n v="138"/>
    <n v="116"/>
    <n v="26"/>
    <n v="17"/>
    <n v="56"/>
    <n v="2.0714285714285716"/>
  </r>
  <r>
    <x v="0"/>
    <x v="0"/>
    <x v="2"/>
    <n v="25"/>
    <x v="6"/>
    <s v="Tassos"/>
    <n v="1"/>
    <n v="7"/>
    <n v="6"/>
    <n v="0"/>
    <x v="5"/>
    <s v="vs Mpousaras"/>
    <n v="189"/>
    <n v="0.46800000000000003"/>
    <n v="55"/>
    <n v="0.36399999999999999"/>
    <n v="0.72699999999999998"/>
    <n v="513"/>
    <n v="40"/>
    <n v="154"/>
    <n v="89"/>
    <n v="47"/>
    <n v="28"/>
    <n v="64"/>
    <n v="1.390625"/>
  </r>
  <r>
    <x v="0"/>
    <x v="0"/>
    <x v="2"/>
    <n v="25"/>
    <x v="4"/>
    <s v="Mpousaras"/>
    <n v="0"/>
    <n v="6"/>
    <n v="7"/>
    <n v="0"/>
    <x v="7"/>
    <s v="vs Tassos"/>
    <n v="178"/>
    <n v="0.48099999999999998"/>
    <n v="46"/>
    <n v="0.46500000000000002"/>
    <n v="0.754"/>
    <n v="494"/>
    <n v="41"/>
    <n v="147"/>
    <n v="99"/>
    <n v="23"/>
    <n v="17"/>
    <n v="71"/>
    <n v="1.3943661971830985"/>
  </r>
  <r>
    <x v="0"/>
    <x v="0"/>
    <x v="2"/>
    <n v="26"/>
    <x v="14"/>
    <s v="Panagopoulos"/>
    <n v="1"/>
    <n v="9"/>
    <n v="4"/>
    <n v="0"/>
    <x v="10"/>
    <s v="vs pi/Sotiris"/>
    <n v="168"/>
    <n v="0.45400000000000001"/>
    <n v="63"/>
    <n v="0.38"/>
    <n v="0.79200000000000004"/>
    <n v="494"/>
    <n v="33"/>
    <n v="187"/>
    <n v="109"/>
    <n v="56"/>
    <n v="12"/>
    <n v="77"/>
    <n v="1.4155844155844155"/>
  </r>
  <r>
    <x v="0"/>
    <x v="0"/>
    <x v="2"/>
    <n v="26"/>
    <x v="11"/>
    <s v="pi/Sotiris"/>
    <n v="0"/>
    <n v="4"/>
    <n v="9"/>
    <n v="0"/>
    <x v="15"/>
    <s v="vs Panagopoulos"/>
    <n v="163"/>
    <n v="0.48499999999999999"/>
    <n v="30"/>
    <n v="0.36599999999999999"/>
    <n v="0.79210000000000003"/>
    <n v="417"/>
    <n v="22"/>
    <n v="128"/>
    <n v="46"/>
    <n v="20"/>
    <n v="17"/>
    <n v="65"/>
    <n v="0.70769230769230773"/>
  </r>
  <r>
    <x v="0"/>
    <x v="0"/>
    <x v="2"/>
    <n v="27"/>
    <x v="17"/>
    <s v="Spiridaus/Oladipas"/>
    <n v="1"/>
    <n v="10"/>
    <n v="2"/>
    <n v="1"/>
    <x v="12"/>
    <s v="vs Kousidis"/>
    <n v="182"/>
    <n v="0.45"/>
    <n v="48"/>
    <n v="0.35799999999999998"/>
    <n v="0.84"/>
    <n v="501"/>
    <n v="43"/>
    <n v="146"/>
    <n v="102"/>
    <n v="30"/>
    <n v="25"/>
    <n v="81"/>
    <n v="1.2592592592592593"/>
  </r>
  <r>
    <x v="0"/>
    <x v="0"/>
    <x v="2"/>
    <n v="27"/>
    <x v="13"/>
    <s v="Kousidis"/>
    <n v="0"/>
    <n v="2"/>
    <n v="10"/>
    <n v="1"/>
    <x v="16"/>
    <s v="vs Spiridaus/Oladipas"/>
    <n v="170"/>
    <n v="0.439"/>
    <n v="31"/>
    <n v="0.28199999999999997"/>
    <n v="0.78"/>
    <n v="456"/>
    <n v="31"/>
    <n v="127"/>
    <n v="101"/>
    <n v="30"/>
    <n v="7"/>
    <n v="78"/>
    <n v="1.2948717948717949"/>
  </r>
  <r>
    <x v="0"/>
    <x v="0"/>
    <x v="2"/>
    <n v="28"/>
    <x v="10"/>
    <s v="Lagios"/>
    <n v="1"/>
    <n v="11"/>
    <n v="2"/>
    <n v="0"/>
    <x v="18"/>
    <s v="vs Nonis"/>
    <n v="145"/>
    <n v="0.42"/>
    <n v="44"/>
    <n v="0.39600000000000002"/>
    <n v="0.82099999999999995"/>
    <n v="389"/>
    <n v="29"/>
    <n v="154"/>
    <n v="109"/>
    <n v="23"/>
    <n v="17"/>
    <n v="60"/>
    <n v="1.8166666666666667"/>
  </r>
  <r>
    <x v="0"/>
    <x v="0"/>
    <x v="2"/>
    <n v="28"/>
    <x v="19"/>
    <s v="Nonis"/>
    <n v="0"/>
    <n v="2"/>
    <n v="11"/>
    <n v="0"/>
    <x v="11"/>
    <s v="vs Lagios"/>
    <n v="102"/>
    <n v="0.47199999999999998"/>
    <n v="22"/>
    <n v="0.31900000000000001"/>
    <n v="0.53800000000000003"/>
    <n v="247"/>
    <n v="11"/>
    <n v="81"/>
    <n v="62"/>
    <n v="22"/>
    <n v="9"/>
    <n v="47"/>
    <n v="1.3191489361702127"/>
  </r>
  <r>
    <x v="0"/>
    <x v="0"/>
    <x v="2"/>
    <n v="29"/>
    <x v="12"/>
    <s v="Stavros"/>
    <n v="1"/>
    <n v="10"/>
    <n v="3"/>
    <n v="0"/>
    <x v="19"/>
    <s v="vs Kotakis"/>
    <n v="208"/>
    <n v="0.501"/>
    <n v="57"/>
    <n v="0.435"/>
    <n v="0.78800000000000003"/>
    <n v="562"/>
    <n v="59"/>
    <n v="136"/>
    <n v="110"/>
    <n v="41"/>
    <n v="22"/>
    <n v="54"/>
    <n v="2.0370370370370372"/>
  </r>
  <r>
    <x v="0"/>
    <x v="0"/>
    <x v="2"/>
    <n v="29"/>
    <x v="18"/>
    <s v="Kotakis"/>
    <n v="0"/>
    <n v="3"/>
    <n v="10"/>
    <n v="0"/>
    <x v="13"/>
    <s v="vs Stavros"/>
    <n v="173"/>
    <n v="0.46899999999999997"/>
    <n v="56"/>
    <n v="0.4"/>
    <n v="0.88700000000000001"/>
    <n v="488"/>
    <n v="31"/>
    <n v="112"/>
    <n v="104"/>
    <n v="30"/>
    <n v="16"/>
    <n v="50"/>
    <n v="2.08"/>
  </r>
  <r>
    <x v="0"/>
    <x v="0"/>
    <x v="2"/>
    <n v="30"/>
    <x v="15"/>
    <s v="Vasilis"/>
    <n v="0"/>
    <n v="6"/>
    <n v="7"/>
    <n v="0"/>
    <x v="17"/>
    <s v="vs Aris"/>
    <n v="171"/>
    <n v="0.45"/>
    <n v="46"/>
    <n v="0.39300000000000002"/>
    <n v="0.78100000000000003"/>
    <n v="463"/>
    <n v="41"/>
    <n v="124"/>
    <n v="88"/>
    <n v="30"/>
    <n v="20"/>
    <n v="59"/>
    <n v="1.4915254237288136"/>
  </r>
  <r>
    <x v="0"/>
    <x v="0"/>
    <x v="2"/>
    <n v="30"/>
    <x v="16"/>
    <s v="Aris"/>
    <n v="1"/>
    <n v="7"/>
    <n v="6"/>
    <n v="0"/>
    <x v="14"/>
    <s v="vs Vasilis"/>
    <n v="176"/>
    <n v="0.499"/>
    <n v="47"/>
    <n v="0.41199999999999998"/>
    <n v="0.71599999999999997"/>
    <n v="467"/>
    <n v="32"/>
    <n v="141"/>
    <n v="90"/>
    <n v="27"/>
    <n v="15"/>
    <n v="66"/>
    <n v="1.3636363636363635"/>
  </r>
  <r>
    <x v="0"/>
    <x v="0"/>
    <x v="3"/>
    <n v="31"/>
    <x v="7"/>
    <s v="Johnny"/>
    <n v="0"/>
    <n v="6"/>
    <n v="6"/>
    <n v="1"/>
    <x v="0"/>
    <s v="vs Fanis"/>
    <n v="133"/>
    <n v="0.46700000000000003"/>
    <n v="24"/>
    <n v="0.32900000000000001"/>
    <n v="0.74199999999999999"/>
    <n v="336"/>
    <n v="32"/>
    <n v="108"/>
    <n v="86"/>
    <n v="28"/>
    <n v="14"/>
    <n v="39"/>
    <n v="2.2051282051282053"/>
  </r>
  <r>
    <x v="0"/>
    <x v="0"/>
    <x v="3"/>
    <n v="31"/>
    <x v="1"/>
    <s v="Fanis"/>
    <n v="0"/>
    <n v="6"/>
    <n v="6"/>
    <n v="1"/>
    <x v="6"/>
    <s v="vs Johnny"/>
    <n v="133"/>
    <n v="0.45200000000000001"/>
    <n v="42"/>
    <n v="0.372"/>
    <n v="0.80200000000000005"/>
    <n v="373"/>
    <n v="24"/>
    <n v="127"/>
    <n v="85"/>
    <n v="24"/>
    <n v="16"/>
    <n v="61"/>
    <n v="1.3934426229508197"/>
  </r>
  <r>
    <x v="0"/>
    <x v="0"/>
    <x v="3"/>
    <n v="32"/>
    <x v="5"/>
    <s v="Markos"/>
    <n v="0"/>
    <n v="6"/>
    <n v="7"/>
    <n v="0"/>
    <x v="9"/>
    <s v="vs Antoniou"/>
    <n v="138"/>
    <n v="0.496"/>
    <n v="25"/>
    <n v="0.35699999999999998"/>
    <n v="0.70099999999999996"/>
    <n v="362"/>
    <n v="43"/>
    <n v="119"/>
    <n v="86"/>
    <n v="22"/>
    <n v="19"/>
    <n v="56"/>
    <n v="1.5357142857142858"/>
  </r>
  <r>
    <x v="0"/>
    <x v="0"/>
    <x v="3"/>
    <n v="32"/>
    <x v="8"/>
    <s v="Antoniou"/>
    <n v="1"/>
    <n v="7"/>
    <n v="6"/>
    <n v="0"/>
    <x v="4"/>
    <s v="vs Markos"/>
    <n v="146"/>
    <n v="0.47399999999999998"/>
    <n v="32"/>
    <n v="0.29599999999999999"/>
    <n v="0.75"/>
    <n v="390"/>
    <n v="25"/>
    <n v="128"/>
    <n v="69"/>
    <n v="21"/>
    <n v="15"/>
    <n v="43"/>
    <n v="1.6046511627906976"/>
  </r>
  <r>
    <x v="0"/>
    <x v="0"/>
    <x v="3"/>
    <n v="33"/>
    <x v="9"/>
    <s v="Ziogas/Christof"/>
    <n v="0"/>
    <n v="3"/>
    <n v="10"/>
    <n v="0"/>
    <x v="3"/>
    <s v="vs Fountos"/>
    <n v="118"/>
    <n v="0.498"/>
    <n v="34"/>
    <n v="0.40500000000000003"/>
    <n v="0.746"/>
    <n v="320"/>
    <n v="26"/>
    <n v="88"/>
    <n v="48"/>
    <n v="27"/>
    <n v="10"/>
    <n v="49"/>
    <n v="0.97959183673469385"/>
  </r>
  <r>
    <x v="0"/>
    <x v="0"/>
    <x v="3"/>
    <n v="33"/>
    <x v="2"/>
    <s v="Fountos"/>
    <n v="1"/>
    <n v="10"/>
    <n v="3"/>
    <n v="0"/>
    <x v="8"/>
    <s v="vs Ziogas/Christof"/>
    <n v="161"/>
    <n v="0.48799999999999999"/>
    <n v="40"/>
    <n v="0.42099999999999999"/>
    <n v="0.77400000000000002"/>
    <n v="434"/>
    <n v="31"/>
    <n v="89"/>
    <n v="88"/>
    <n v="25"/>
    <n v="21"/>
    <n v="57"/>
    <n v="1.5438596491228069"/>
  </r>
  <r>
    <x v="0"/>
    <x v="0"/>
    <x v="3"/>
    <n v="34"/>
    <x v="6"/>
    <s v="Tassos"/>
    <n v="1"/>
    <n v="7"/>
    <n v="6"/>
    <n v="0"/>
    <x v="1"/>
    <s v="vs Miggianis"/>
    <n v="147"/>
    <n v="0.42399999999999999"/>
    <n v="26"/>
    <n v="0.26500000000000001"/>
    <n v="0.75"/>
    <n v="404"/>
    <n v="52"/>
    <n v="141"/>
    <n v="82"/>
    <n v="38"/>
    <n v="34"/>
    <n v="62"/>
    <n v="1.3225806451612903"/>
  </r>
  <r>
    <x v="0"/>
    <x v="0"/>
    <x v="3"/>
    <n v="34"/>
    <x v="0"/>
    <s v="Miggianis"/>
    <n v="0"/>
    <n v="6"/>
    <n v="7"/>
    <n v="0"/>
    <x v="7"/>
    <s v="vs Tassos"/>
    <n v="115"/>
    <n v="0.442"/>
    <n v="27"/>
    <n v="0.32500000000000001"/>
    <n v="0.77300000000000002"/>
    <n v="315"/>
    <n v="28"/>
    <n v="115"/>
    <n v="79"/>
    <n v="28"/>
    <n v="13"/>
    <n v="54"/>
    <n v="1.462962962962963"/>
  </r>
  <r>
    <x v="0"/>
    <x v="0"/>
    <x v="3"/>
    <n v="35"/>
    <x v="4"/>
    <s v="Mpousaras"/>
    <n v="1"/>
    <n v="9"/>
    <n v="4"/>
    <n v="0"/>
    <x v="2"/>
    <s v="vs Sakellariou"/>
    <n v="158"/>
    <n v="0.45700000000000002"/>
    <n v="27"/>
    <n v="0.31"/>
    <n v="0.77700000000000002"/>
    <n v="416"/>
    <n v="47"/>
    <n v="114"/>
    <n v="81"/>
    <n v="27"/>
    <n v="20"/>
    <n v="54"/>
    <n v="1.5"/>
  </r>
  <r>
    <x v="0"/>
    <x v="0"/>
    <x v="3"/>
    <n v="35"/>
    <x v="3"/>
    <s v="Sakellariou"/>
    <n v="0"/>
    <n v="4"/>
    <n v="9"/>
    <n v="0"/>
    <x v="5"/>
    <s v="vs Mpousaras"/>
    <n v="149"/>
    <n v="0.47299999999999998"/>
    <n v="41"/>
    <n v="0.38"/>
    <n v="0.746"/>
    <n v="386"/>
    <n v="35"/>
    <n v="113"/>
    <n v="64"/>
    <n v="19"/>
    <n v="14"/>
    <n v="44"/>
    <n v="1.4545454545454546"/>
  </r>
  <r>
    <x v="0"/>
    <x v="0"/>
    <x v="3"/>
    <n v="36"/>
    <x v="17"/>
    <s v="Spiridaus/Oladipas"/>
    <n v="1"/>
    <n v="12"/>
    <n v="1"/>
    <n v="0"/>
    <x v="10"/>
    <s v="vs pi/Sotiris"/>
    <n v="157"/>
    <n v="0.46"/>
    <n v="52"/>
    <n v="0.38800000000000001"/>
    <n v="0.81100000000000005"/>
    <n v="456"/>
    <n v="39"/>
    <n v="118"/>
    <n v="88"/>
    <n v="29"/>
    <n v="18"/>
    <n v="54"/>
    <n v="1.6296296296296295"/>
  </r>
  <r>
    <x v="0"/>
    <x v="0"/>
    <x v="3"/>
    <n v="36"/>
    <x v="11"/>
    <s v="pi/Sotiris"/>
    <n v="0"/>
    <n v="1"/>
    <n v="12"/>
    <n v="0"/>
    <x v="16"/>
    <s v="vs Spiridaus/Oladipas"/>
    <n v="103"/>
    <n v="0.433"/>
    <n v="27"/>
    <n v="0.38600000000000001"/>
    <n v="0.68899999999999995"/>
    <n v="284"/>
    <n v="33"/>
    <n v="102"/>
    <n v="66"/>
    <n v="22"/>
    <n v="24"/>
    <n v="64"/>
    <n v="1.03125"/>
  </r>
  <r>
    <x v="0"/>
    <x v="0"/>
    <x v="3"/>
    <n v="37"/>
    <x v="14"/>
    <s v="Panagopoulos"/>
    <n v="1"/>
    <n v="10"/>
    <n v="3"/>
    <n v="0"/>
    <x v="18"/>
    <s v="vs Nonis"/>
    <n v="148"/>
    <n v="0.47099999999999997"/>
    <n v="53"/>
    <n v="0.39300000000000002"/>
    <n v="0.753"/>
    <n v="416"/>
    <n v="19"/>
    <n v="131"/>
    <n v="88"/>
    <n v="38"/>
    <n v="10"/>
    <n v="58"/>
    <n v="1.5172413793103448"/>
  </r>
  <r>
    <x v="0"/>
    <x v="0"/>
    <x v="3"/>
    <n v="37"/>
    <x v="19"/>
    <s v="Nonis"/>
    <n v="0"/>
    <n v="3"/>
    <n v="10"/>
    <n v="0"/>
    <x v="15"/>
    <s v="vs Panagopoulos"/>
    <n v="88"/>
    <n v="0.44400000000000001"/>
    <n v="23"/>
    <n v="0.371"/>
    <n v="0.73799999999999999"/>
    <n v="247"/>
    <n v="27"/>
    <n v="97"/>
    <n v="52"/>
    <n v="25"/>
    <n v="16"/>
    <n v="38"/>
    <n v="1.368421052631579"/>
  </r>
  <r>
    <x v="0"/>
    <x v="0"/>
    <x v="3"/>
    <n v="38"/>
    <x v="13"/>
    <s v="Kousidis"/>
    <n v="1"/>
    <n v="8"/>
    <n v="5"/>
    <n v="0"/>
    <x v="19"/>
    <s v="vs Kotakis"/>
    <n v="174"/>
    <n v="0.45900000000000002"/>
    <n v="40"/>
    <n v="0.4"/>
    <n v="0.76200000000000001"/>
    <n v="481"/>
    <n v="35"/>
    <n v="111"/>
    <n v="94"/>
    <n v="40"/>
    <n v="7"/>
    <n v="72"/>
    <n v="1.3055555555555556"/>
  </r>
  <r>
    <x v="0"/>
    <x v="0"/>
    <x v="3"/>
    <n v="38"/>
    <x v="18"/>
    <s v="Kotakis"/>
    <n v="0"/>
    <n v="5"/>
    <n v="8"/>
    <n v="0"/>
    <x v="12"/>
    <s v="vs Kousidis"/>
    <n v="130"/>
    <n v="0.441"/>
    <n v="32"/>
    <n v="0.35599999999999998"/>
    <n v="0.79800000000000004"/>
    <n v="363"/>
    <n v="30"/>
    <n v="131"/>
    <n v="83"/>
    <n v="31"/>
    <n v="15"/>
    <n v="48"/>
    <n v="1.7291666666666667"/>
  </r>
  <r>
    <x v="0"/>
    <x v="0"/>
    <x v="3"/>
    <n v="39"/>
    <x v="16"/>
    <s v="Aris"/>
    <n v="0"/>
    <n v="3"/>
    <n v="10"/>
    <n v="0"/>
    <x v="11"/>
    <s v="vs Lagios"/>
    <n v="136"/>
    <n v="0.41199999999999998"/>
    <n v="30"/>
    <n v="0.32600000000000001"/>
    <n v="0.82599999999999996"/>
    <n v="392"/>
    <n v="35"/>
    <n v="124"/>
    <n v="79"/>
    <n v="32"/>
    <n v="15"/>
    <n v="59"/>
    <n v="1.3389830508474576"/>
  </r>
  <r>
    <x v="0"/>
    <x v="0"/>
    <x v="3"/>
    <n v="39"/>
    <x v="10"/>
    <s v="Lagios"/>
    <n v="1"/>
    <n v="10"/>
    <n v="3"/>
    <n v="0"/>
    <x v="17"/>
    <s v="vs Aris"/>
    <n v="165"/>
    <n v="0.45600000000000002"/>
    <n v="48"/>
    <n v="0.40300000000000002"/>
    <n v="0.79400000000000004"/>
    <n v="455"/>
    <n v="45"/>
    <n v="152"/>
    <n v="96"/>
    <n v="20"/>
    <n v="25"/>
    <n v="60"/>
    <n v="1.6"/>
  </r>
  <r>
    <x v="0"/>
    <x v="0"/>
    <x v="3"/>
    <n v="40"/>
    <x v="15"/>
    <s v="Vasilis"/>
    <n v="0"/>
    <n v="4"/>
    <n v="9"/>
    <n v="0"/>
    <x v="13"/>
    <s v="vs Stavros"/>
    <n v="119"/>
    <n v="0.45900000000000002"/>
    <n v="33"/>
    <n v="0.36699999999999999"/>
    <n v="0.75"/>
    <n v="331"/>
    <n v="30"/>
    <n v="75"/>
    <n v="78"/>
    <n v="24"/>
    <n v="11"/>
    <n v="48"/>
    <n v="1.625"/>
  </r>
  <r>
    <x v="0"/>
    <x v="0"/>
    <x v="3"/>
    <n v="40"/>
    <x v="12"/>
    <s v="Stavros"/>
    <n v="1"/>
    <n v="9"/>
    <n v="4"/>
    <n v="0"/>
    <x v="14"/>
    <s v="vs Vasilis"/>
    <n v="157"/>
    <n v="0.46400000000000002"/>
    <n v="52"/>
    <n v="0.40300000000000002"/>
    <n v="0.747"/>
    <n v="437"/>
    <n v="32"/>
    <n v="140"/>
    <n v="114"/>
    <n v="22"/>
    <n v="9"/>
    <n v="66"/>
    <n v="1.7272727272727273"/>
  </r>
  <r>
    <x v="0"/>
    <x v="0"/>
    <x v="4"/>
    <n v="41"/>
    <x v="1"/>
    <s v="Fanis"/>
    <n v="1"/>
    <n v="11"/>
    <n v="2"/>
    <n v="0"/>
    <x v="9"/>
    <s v="vs Antoniou"/>
    <n v="178"/>
    <n v="0.54100000000000004"/>
    <n v="50"/>
    <n v="0.435"/>
    <n v="0.83199999999999996"/>
    <n v="495"/>
    <n v="42"/>
    <n v="153"/>
    <n v="88"/>
    <n v="29"/>
    <n v="23"/>
    <n v="63"/>
    <n v="1.3968253968253967"/>
  </r>
  <r>
    <x v="0"/>
    <x v="0"/>
    <x v="4"/>
    <n v="41"/>
    <x v="8"/>
    <s v="Antoniou"/>
    <n v="0"/>
    <n v="2"/>
    <n v="11"/>
    <n v="0"/>
    <x v="0"/>
    <s v="vs Fanis"/>
    <n v="159"/>
    <n v="0.48"/>
    <n v="47"/>
    <n v="0.46500000000000002"/>
    <n v="0.80800000000000005"/>
    <n v="428"/>
    <n v="31"/>
    <n v="142"/>
    <n v="65"/>
    <n v="24"/>
    <n v="17"/>
    <n v="50"/>
    <n v="1.3"/>
  </r>
  <r>
    <x v="0"/>
    <x v="0"/>
    <x v="4"/>
    <n v="42"/>
    <x v="7"/>
    <s v="Johnny"/>
    <n v="1"/>
    <n v="8"/>
    <n v="4"/>
    <n v="1"/>
    <x v="8"/>
    <s v="vs Ziogas/Christof"/>
    <n v="132"/>
    <n v="0.41899999999999998"/>
    <n v="34"/>
    <n v="0.33700000000000002"/>
    <n v="0.67400000000000004"/>
    <n v="358"/>
    <n v="43"/>
    <n v="122"/>
    <n v="79"/>
    <n v="36"/>
    <n v="25"/>
    <n v="66"/>
    <n v="1.196969696969697"/>
  </r>
  <r>
    <x v="0"/>
    <x v="0"/>
    <x v="4"/>
    <n v="42"/>
    <x v="9"/>
    <s v="Ziogas/Christof"/>
    <n v="0"/>
    <n v="4"/>
    <n v="8"/>
    <n v="1"/>
    <x v="6"/>
    <s v="vs Johnny"/>
    <n v="118"/>
    <n v="0.437"/>
    <n v="34"/>
    <n v="0.36199999999999999"/>
    <n v="0.81699999999999995"/>
    <n v="328"/>
    <n v="31"/>
    <n v="94"/>
    <n v="51"/>
    <n v="18"/>
    <n v="12"/>
    <n v="46"/>
    <n v="1.1086956521739131"/>
  </r>
  <r>
    <x v="0"/>
    <x v="0"/>
    <x v="4"/>
    <n v="43"/>
    <x v="5"/>
    <s v="Markos"/>
    <n v="0"/>
    <n v="3"/>
    <n v="10"/>
    <n v="0"/>
    <x v="7"/>
    <s v="vs Tassos"/>
    <n v="141"/>
    <n v="0.45900000000000002"/>
    <n v="42"/>
    <n v="0.40400000000000003"/>
    <n v="0.72299999999999998"/>
    <n v="371"/>
    <n v="48"/>
    <n v="147"/>
    <n v="96"/>
    <n v="23"/>
    <n v="20"/>
    <n v="65"/>
    <n v="1.476923076923077"/>
  </r>
  <r>
    <x v="0"/>
    <x v="0"/>
    <x v="4"/>
    <n v="43"/>
    <x v="6"/>
    <s v="Tassos"/>
    <n v="1"/>
    <n v="10"/>
    <n v="3"/>
    <n v="0"/>
    <x v="4"/>
    <s v="vs Markos"/>
    <n v="173"/>
    <n v="0.47499999999999998"/>
    <n v="48"/>
    <n v="0.42499999999999999"/>
    <n v="0.76700000000000002"/>
    <n v="460"/>
    <n v="55"/>
    <n v="145"/>
    <n v="82"/>
    <n v="21"/>
    <n v="28"/>
    <n v="53"/>
    <n v="1.5471698113207548"/>
  </r>
  <r>
    <x v="0"/>
    <x v="0"/>
    <x v="4"/>
    <n v="44"/>
    <x v="4"/>
    <s v="Mpousaras"/>
    <n v="0"/>
    <n v="5"/>
    <n v="8"/>
    <n v="0"/>
    <x v="3"/>
    <s v="vs Fountos"/>
    <n v="143"/>
    <n v="0.45500000000000002"/>
    <n v="26"/>
    <n v="0.34699999999999998"/>
    <n v="0.78600000000000003"/>
    <n v="378"/>
    <n v="40"/>
    <n v="108"/>
    <n v="88"/>
    <n v="30"/>
    <n v="11"/>
    <n v="41"/>
    <n v="2.1463414634146343"/>
  </r>
  <r>
    <x v="0"/>
    <x v="0"/>
    <x v="4"/>
    <n v="44"/>
    <x v="2"/>
    <s v="Fountos"/>
    <n v="1"/>
    <n v="8"/>
    <n v="5"/>
    <n v="0"/>
    <x v="5"/>
    <s v="vs Mpousaras"/>
    <n v="191"/>
    <n v="0.47499999999999998"/>
    <n v="46"/>
    <n v="0.35399999999999998"/>
    <n v="0.73299999999999998"/>
    <n v="516"/>
    <n v="39"/>
    <n v="141"/>
    <n v="107"/>
    <n v="21"/>
    <n v="19"/>
    <n v="63"/>
    <n v="1.6984126984126984"/>
  </r>
  <r>
    <x v="0"/>
    <x v="0"/>
    <x v="4"/>
    <n v="45"/>
    <x v="3"/>
    <s v="Sakellariou"/>
    <n v="1"/>
    <n v="10"/>
    <n v="3"/>
    <n v="0"/>
    <x v="1"/>
    <s v="vs Miggianis"/>
    <n v="146"/>
    <n v="0.502"/>
    <n v="37"/>
    <n v="0.43"/>
    <n v="0.84599999999999997"/>
    <n v="406"/>
    <n v="29"/>
    <n v="110"/>
    <n v="98"/>
    <n v="19"/>
    <n v="9"/>
    <n v="42"/>
    <n v="2.3333333333333335"/>
  </r>
  <r>
    <x v="0"/>
    <x v="0"/>
    <x v="4"/>
    <n v="45"/>
    <x v="0"/>
    <s v="Miggianis"/>
    <n v="0"/>
    <n v="3"/>
    <n v="10"/>
    <n v="0"/>
    <x v="2"/>
    <s v="vs Sakellariou"/>
    <n v="124"/>
    <n v="0.42299999999999999"/>
    <n v="34"/>
    <n v="0.34"/>
    <n v="0.83799999999999997"/>
    <n v="349"/>
    <n v="37"/>
    <n v="139"/>
    <n v="87"/>
    <n v="16"/>
    <n v="21"/>
    <n v="46"/>
    <n v="1.8913043478260869"/>
  </r>
  <r>
    <x v="0"/>
    <x v="0"/>
    <x v="4"/>
    <n v="46"/>
    <x v="11"/>
    <s v="pi/Sotiris"/>
    <n v="1"/>
    <n v="9"/>
    <n v="4"/>
    <n v="0"/>
    <x v="18"/>
    <s v="vs Nonis"/>
    <n v="112"/>
    <n v="0.41799999999999998"/>
    <n v="30"/>
    <n v="0.35299999999999998"/>
    <n v="0.627"/>
    <n v="291"/>
    <n v="26"/>
    <n v="109"/>
    <n v="61"/>
    <n v="30"/>
    <n v="20"/>
    <n v="48"/>
    <n v="1.2708333333333333"/>
  </r>
  <r>
    <x v="0"/>
    <x v="0"/>
    <x v="4"/>
    <n v="46"/>
    <x v="19"/>
    <s v="Nonis"/>
    <n v="0"/>
    <n v="4"/>
    <n v="9"/>
    <n v="0"/>
    <x v="10"/>
    <s v="vs pi/Sotiris"/>
    <n v="73"/>
    <n v="0.45900000000000002"/>
    <n v="18"/>
    <n v="0.4"/>
    <n v="0.75900000000000001"/>
    <n v="186"/>
    <n v="19"/>
    <n v="45"/>
    <n v="25"/>
    <n v="26"/>
    <n v="15"/>
    <n v="20"/>
    <n v="1.25"/>
  </r>
  <r>
    <x v="0"/>
    <x v="0"/>
    <x v="4"/>
    <n v="47"/>
    <x v="18"/>
    <s v="Kotakis"/>
    <n v="0"/>
    <n v="4"/>
    <n v="9"/>
    <n v="0"/>
    <x v="16"/>
    <s v="vs Spiridaus/Oladipas"/>
    <n v="152"/>
    <n v="0.40600000000000003"/>
    <n v="48"/>
    <n v="0.33800000000000002"/>
    <n v="0.81499999999999995"/>
    <n v="427"/>
    <n v="35"/>
    <n v="142"/>
    <n v="109"/>
    <n v="31"/>
    <n v="23"/>
    <n v="64"/>
    <n v="1.703125"/>
  </r>
  <r>
    <x v="0"/>
    <x v="0"/>
    <x v="4"/>
    <n v="47"/>
    <x v="17"/>
    <s v="Spiridaus/Oladipas"/>
    <n v="1"/>
    <n v="9"/>
    <n v="4"/>
    <n v="0"/>
    <x v="19"/>
    <s v="vs Kotakis"/>
    <n v="164"/>
    <n v="0.46500000000000002"/>
    <n v="51"/>
    <n v="0.38100000000000001"/>
    <n v="0.83499999999999996"/>
    <n v="455"/>
    <n v="38"/>
    <n v="150"/>
    <n v="95"/>
    <n v="27"/>
    <n v="15"/>
    <n v="63"/>
    <n v="1.5079365079365079"/>
  </r>
  <r>
    <x v="0"/>
    <x v="0"/>
    <x v="4"/>
    <n v="48"/>
    <x v="16"/>
    <s v="Aris"/>
    <n v="1"/>
    <n v="11"/>
    <n v="2"/>
    <n v="0"/>
    <x v="15"/>
    <s v="vs Panagopoulos"/>
    <n v="181"/>
    <n v="0.503"/>
    <n v="46"/>
    <n v="0.40699999999999997"/>
    <n v="0.68799999999999994"/>
    <n v="474"/>
    <n v="35"/>
    <n v="94"/>
    <n v="84"/>
    <n v="32"/>
    <n v="21"/>
    <n v="53"/>
    <n v="1.5849056603773586"/>
  </r>
  <r>
    <x v="0"/>
    <x v="0"/>
    <x v="4"/>
    <n v="48"/>
    <x v="14"/>
    <s v="Panagopoulos"/>
    <n v="0"/>
    <n v="2"/>
    <n v="11"/>
    <n v="0"/>
    <x v="17"/>
    <s v="vs Aris"/>
    <n v="118"/>
    <n v="0.43099999999999999"/>
    <n v="39"/>
    <n v="0.36099999999999999"/>
    <n v="0.77300000000000002"/>
    <n v="326"/>
    <n v="25"/>
    <n v="124"/>
    <n v="76"/>
    <n v="29"/>
    <n v="5"/>
    <n v="65"/>
    <n v="1.1692307692307693"/>
  </r>
  <r>
    <x v="0"/>
    <x v="0"/>
    <x v="4"/>
    <n v="49"/>
    <x v="15"/>
    <s v="Vasilis"/>
    <n v="0"/>
    <n v="6"/>
    <n v="7"/>
    <n v="0"/>
    <x v="12"/>
    <s v="vs Kousidis"/>
    <n v="155"/>
    <n v="0.45100000000000001"/>
    <n v="50"/>
    <n v="0.373"/>
    <n v="0.84499999999999997"/>
    <n v="420"/>
    <n v="21"/>
    <n v="104"/>
    <n v="113"/>
    <n v="34"/>
    <n v="13"/>
    <n v="63"/>
    <n v="1.7936507936507937"/>
  </r>
  <r>
    <x v="0"/>
    <x v="0"/>
    <x v="4"/>
    <n v="49"/>
    <x v="13"/>
    <s v="Kousidis"/>
    <n v="1"/>
    <n v="7"/>
    <n v="6"/>
    <n v="0"/>
    <x v="14"/>
    <s v="vs Vasilis"/>
    <n v="176"/>
    <n v="0.46899999999999997"/>
    <n v="36"/>
    <n v="0.34300000000000003"/>
    <n v="0.78700000000000003"/>
    <n v="462"/>
    <n v="36"/>
    <n v="130"/>
    <n v="92"/>
    <n v="29"/>
    <n v="8"/>
    <n v="44"/>
    <n v="2.0909090909090908"/>
  </r>
  <r>
    <x v="0"/>
    <x v="0"/>
    <x v="4"/>
    <n v="50"/>
    <x v="10"/>
    <s v="Lagios"/>
    <n v="1"/>
    <n v="9"/>
    <n v="3"/>
    <n v="1"/>
    <x v="13"/>
    <s v="vs Stavros"/>
    <n v="145"/>
    <n v="0.42199999999999999"/>
    <n v="46"/>
    <n v="0.35699999999999998"/>
    <n v="0.82499999999999996"/>
    <n v="416"/>
    <n v="35"/>
    <n v="139"/>
    <n v="109"/>
    <n v="33"/>
    <n v="24"/>
    <n v="47"/>
    <n v="2.3191489361702127"/>
  </r>
  <r>
    <x v="0"/>
    <x v="0"/>
    <x v="4"/>
    <n v="50"/>
    <x v="12"/>
    <s v="Stavros"/>
    <n v="0"/>
    <n v="3"/>
    <n v="9"/>
    <n v="1"/>
    <x v="11"/>
    <s v="vs Lagios"/>
    <n v="123"/>
    <n v="0.45100000000000001"/>
    <n v="25"/>
    <n v="0.313"/>
    <n v="0.873"/>
    <n v="340"/>
    <n v="43"/>
    <n v="128"/>
    <n v="75"/>
    <n v="32"/>
    <n v="24"/>
    <n v="56"/>
    <n v="1.3392857142857142"/>
  </r>
  <r>
    <x v="0"/>
    <x v="0"/>
    <x v="5"/>
    <n v="51"/>
    <x v="1"/>
    <s v="Fanis"/>
    <n v="1"/>
    <n v="9"/>
    <n v="3"/>
    <n v="1"/>
    <x v="8"/>
    <s v="vs Ziogas/Christof"/>
    <n v="179"/>
    <n v="0.49199999999999999"/>
    <n v="45"/>
    <n v="0.33600000000000002"/>
    <n v="0.80400000000000005"/>
    <n v="477"/>
    <n v="45"/>
    <n v="186"/>
    <n v="76"/>
    <n v="37"/>
    <n v="18"/>
    <n v="56"/>
    <n v="1.3571428571428572"/>
  </r>
  <r>
    <x v="0"/>
    <x v="0"/>
    <x v="5"/>
    <n v="51"/>
    <x v="9"/>
    <s v="Ziogas/Christof"/>
    <n v="0"/>
    <n v="3"/>
    <n v="9"/>
    <n v="1"/>
    <x v="0"/>
    <s v="vs Fanis"/>
    <n v="136"/>
    <n v="0.42899999999999999"/>
    <n v="43"/>
    <n v="0.38100000000000001"/>
    <n v="0.79100000000000004"/>
    <n v="383"/>
    <n v="38"/>
    <n v="99"/>
    <n v="76"/>
    <n v="21"/>
    <n v="10"/>
    <n v="53"/>
    <n v="1.4339622641509433"/>
  </r>
  <r>
    <x v="0"/>
    <x v="0"/>
    <x v="5"/>
    <n v="52"/>
    <x v="6"/>
    <s v="Tassos"/>
    <n v="0"/>
    <n v="3"/>
    <n v="10"/>
    <n v="0"/>
    <x v="9"/>
    <s v="vs Antoniou"/>
    <n v="136"/>
    <n v="0.46400000000000002"/>
    <n v="27"/>
    <n v="0.29699999999999999"/>
    <n v="0.72599999999999998"/>
    <n v="360"/>
    <n v="27"/>
    <n v="109"/>
    <n v="89"/>
    <n v="27"/>
    <n v="16"/>
    <n v="47"/>
    <n v="1.8936170212765957"/>
  </r>
  <r>
    <x v="0"/>
    <x v="0"/>
    <x v="5"/>
    <n v="52"/>
    <x v="8"/>
    <s v="Antoniou"/>
    <n v="1"/>
    <n v="10"/>
    <n v="3"/>
    <n v="0"/>
    <x v="7"/>
    <s v="vs Tassos"/>
    <n v="140"/>
    <n v="0.42399999999999999"/>
    <n v="40"/>
    <n v="0.37"/>
    <n v="0.80700000000000005"/>
    <n v="391"/>
    <n v="36"/>
    <n v="129"/>
    <n v="59"/>
    <n v="13"/>
    <n v="19"/>
    <n v="30"/>
    <n v="1.9666666666666666"/>
  </r>
  <r>
    <x v="0"/>
    <x v="0"/>
    <x v="5"/>
    <n v="53"/>
    <x v="7"/>
    <s v="Johnny"/>
    <n v="1"/>
    <n v="9"/>
    <n v="4"/>
    <n v="0"/>
    <x v="5"/>
    <s v="vs Mpousaras"/>
    <n v="159"/>
    <n v="0.46800000000000003"/>
    <n v="40"/>
    <n v="0.44900000000000001"/>
    <n v="0.623"/>
    <n v="424"/>
    <n v="51"/>
    <n v="136"/>
    <n v="97"/>
    <n v="28"/>
    <n v="22"/>
    <n v="64"/>
    <n v="1.515625"/>
  </r>
  <r>
    <x v="0"/>
    <x v="0"/>
    <x v="5"/>
    <n v="53"/>
    <x v="4"/>
    <s v="Mpousaras"/>
    <n v="0"/>
    <n v="4"/>
    <n v="9"/>
    <n v="0"/>
    <x v="6"/>
    <s v="vs Johnny"/>
    <n v="141"/>
    <n v="0.442"/>
    <n v="24"/>
    <n v="0.29599999999999999"/>
    <n v="0.75"/>
    <n v="363"/>
    <n v="31"/>
    <n v="112"/>
    <n v="110"/>
    <n v="20"/>
    <n v="20"/>
    <n v="62"/>
    <n v="1.7741935483870968"/>
  </r>
  <r>
    <x v="0"/>
    <x v="0"/>
    <x v="5"/>
    <n v="54"/>
    <x v="3"/>
    <s v="Sakellariou"/>
    <n v="1"/>
    <n v="9"/>
    <n v="4"/>
    <n v="0"/>
    <x v="4"/>
    <s v="vs Markos"/>
    <n v="195"/>
    <n v="0.51600000000000001"/>
    <n v="45"/>
    <n v="0.42099999999999999"/>
    <n v="0.79500000000000004"/>
    <n v="497"/>
    <n v="37"/>
    <n v="131"/>
    <n v="91"/>
    <n v="42"/>
    <n v="11"/>
    <n v="63"/>
    <n v="1.4444444444444444"/>
  </r>
  <r>
    <x v="0"/>
    <x v="0"/>
    <x v="5"/>
    <n v="54"/>
    <x v="5"/>
    <s v="Markos"/>
    <n v="0"/>
    <n v="4"/>
    <n v="9"/>
    <n v="0"/>
    <x v="2"/>
    <s v="vs Sakellariou"/>
    <n v="135"/>
    <n v="0.46700000000000003"/>
    <n v="47"/>
    <n v="0.41599999999999998"/>
    <n v="0.75700000000000001"/>
    <n v="370"/>
    <n v="25"/>
    <n v="99"/>
    <n v="84"/>
    <n v="26"/>
    <n v="16"/>
    <n v="55"/>
    <n v="1.5272727272727273"/>
  </r>
  <r>
    <x v="0"/>
    <x v="0"/>
    <x v="5"/>
    <n v="55"/>
    <x v="0"/>
    <s v="Miggianis"/>
    <n v="1"/>
    <n v="8"/>
    <n v="5"/>
    <n v="0"/>
    <x v="3"/>
    <s v="vs Fountos"/>
    <n v="169"/>
    <n v="0.46400000000000002"/>
    <n v="37"/>
    <n v="0.32700000000000001"/>
    <n v="0.83"/>
    <n v="453"/>
    <n v="38"/>
    <n v="138"/>
    <n v="161"/>
    <n v="41"/>
    <n v="24"/>
    <n v="68"/>
    <n v="2.3676470588235294"/>
  </r>
  <r>
    <x v="0"/>
    <x v="0"/>
    <x v="5"/>
    <n v="55"/>
    <x v="2"/>
    <s v="Fountos"/>
    <n v="0"/>
    <n v="5"/>
    <n v="8"/>
    <n v="0"/>
    <x v="1"/>
    <s v="vs Miggianis"/>
    <n v="181"/>
    <n v="0.44"/>
    <n v="29"/>
    <n v="0.28999999999999998"/>
    <n v="0.64800000000000002"/>
    <n v="472"/>
    <n v="45"/>
    <n v="127"/>
    <n v="94"/>
    <n v="24"/>
    <n v="26"/>
    <n v="59"/>
    <n v="1.5932203389830508"/>
  </r>
  <r>
    <x v="0"/>
    <x v="0"/>
    <x v="5"/>
    <n v="56"/>
    <x v="18"/>
    <s v="Kotakis"/>
    <n v="1"/>
    <n v="11"/>
    <n v="2"/>
    <n v="0"/>
    <x v="10"/>
    <s v="vs pi/Sotiris"/>
    <n v="154"/>
    <n v="0.49199999999999999"/>
    <n v="40"/>
    <n v="0.38800000000000001"/>
    <n v="0.876"/>
    <n v="433"/>
    <n v="31"/>
    <n v="114"/>
    <n v="83"/>
    <n v="32"/>
    <n v="16"/>
    <n v="56"/>
    <n v="1.4821428571428572"/>
  </r>
  <r>
    <x v="0"/>
    <x v="0"/>
    <x v="5"/>
    <n v="56"/>
    <x v="11"/>
    <s v="pi/Sotiris"/>
    <n v="0"/>
    <n v="2"/>
    <n v="11"/>
    <n v="0"/>
    <x v="19"/>
    <s v="vs Kotakis"/>
    <n v="98"/>
    <n v="0.434"/>
    <n v="31"/>
    <n v="0.41899999999999998"/>
    <n v="0.74099999999999999"/>
    <n v="270"/>
    <n v="26"/>
    <n v="79"/>
    <n v="54"/>
    <n v="20"/>
    <n v="13"/>
    <n v="43"/>
    <n v="1.2558139534883721"/>
  </r>
  <r>
    <x v="0"/>
    <x v="0"/>
    <x v="5"/>
    <n v="57"/>
    <x v="16"/>
    <s v="Aris"/>
    <n v="1"/>
    <n v="8"/>
    <n v="4"/>
    <n v="1"/>
    <x v="18"/>
    <s v="vs Nonis"/>
    <n v="137"/>
    <n v="0.498"/>
    <n v="28"/>
    <n v="0.41799999999999998"/>
    <n v="0.70899999999999996"/>
    <n v="341"/>
    <n v="34"/>
    <n v="109"/>
    <n v="52"/>
    <n v="31"/>
    <n v="16"/>
    <n v="61"/>
    <n v="0.85245901639344257"/>
  </r>
  <r>
    <x v="0"/>
    <x v="0"/>
    <x v="5"/>
    <n v="57"/>
    <x v="19"/>
    <s v="Nonis"/>
    <n v="0"/>
    <n v="4"/>
    <n v="8"/>
    <n v="1"/>
    <x v="17"/>
    <s v="vs Aris"/>
    <n v="73"/>
    <n v="0.44"/>
    <n v="26"/>
    <n v="0.42599999999999999"/>
    <n v="0.72699999999999998"/>
    <n v="188"/>
    <n v="18"/>
    <n v="93"/>
    <n v="41"/>
    <n v="7"/>
    <n v="16"/>
    <n v="35"/>
    <n v="1.1714285714285715"/>
  </r>
  <r>
    <x v="0"/>
    <x v="0"/>
    <x v="5"/>
    <n v="58"/>
    <x v="17"/>
    <s v="Spiridaus/Oladipas"/>
    <n v="1"/>
    <n v="7"/>
    <n v="6"/>
    <n v="0"/>
    <x v="14"/>
    <s v="vs Vasilis"/>
    <n v="166"/>
    <n v="0.443"/>
    <n v="37"/>
    <n v="0.33300000000000002"/>
    <n v="0.83099999999999996"/>
    <n v="467"/>
    <n v="38"/>
    <n v="161"/>
    <n v="95"/>
    <n v="34"/>
    <n v="16"/>
    <n v="67"/>
    <n v="1.4179104477611941"/>
  </r>
  <r>
    <x v="0"/>
    <x v="0"/>
    <x v="5"/>
    <n v="58"/>
    <x v="15"/>
    <s v="Vasilis"/>
    <n v="0"/>
    <n v="6"/>
    <n v="7"/>
    <n v="0"/>
    <x v="16"/>
    <s v="vs Spiridaus/Oladipas"/>
    <n v="165"/>
    <n v="0.46700000000000003"/>
    <n v="48"/>
    <n v="0.38100000000000001"/>
    <n v="0.81499999999999995"/>
    <n v="453"/>
    <n v="21"/>
    <n v="79"/>
    <n v="69"/>
    <n v="31"/>
    <n v="17"/>
    <n v="45"/>
    <n v="1.5333333333333334"/>
  </r>
  <r>
    <x v="0"/>
    <x v="0"/>
    <x v="5"/>
    <n v="59"/>
    <x v="14"/>
    <s v="Panagopoulos"/>
    <n v="1"/>
    <n v="8"/>
    <n v="5"/>
    <n v="0"/>
    <x v="13"/>
    <s v="vs Stavros"/>
    <n v="166"/>
    <n v="0.47"/>
    <n v="62"/>
    <n v="0.41299999999999998"/>
    <n v="0.73399999999999999"/>
    <n v="441"/>
    <n v="31"/>
    <n v="143"/>
    <n v="112"/>
    <n v="43"/>
    <n v="30"/>
    <n v="63"/>
    <n v="1.7777777777777777"/>
  </r>
  <r>
    <x v="0"/>
    <x v="0"/>
    <x v="5"/>
    <n v="59"/>
    <x v="12"/>
    <s v="Stavros"/>
    <n v="0"/>
    <n v="5"/>
    <n v="8"/>
    <n v="0"/>
    <x v="15"/>
    <s v="vs Panagopoulos"/>
    <n v="140"/>
    <n v="0.504"/>
    <n v="25"/>
    <n v="0.32100000000000001"/>
    <n v="0.80300000000000005"/>
    <n v="354"/>
    <n v="43"/>
    <n v="131"/>
    <n v="89"/>
    <n v="35"/>
    <n v="16"/>
    <n v="45"/>
    <n v="1.9777777777777779"/>
  </r>
  <r>
    <x v="0"/>
    <x v="0"/>
    <x v="5"/>
    <n v="60"/>
    <x v="13"/>
    <s v="Kousidis"/>
    <n v="1"/>
    <n v="9"/>
    <n v="4"/>
    <n v="0"/>
    <x v="11"/>
    <s v="vs Lagios"/>
    <n v="182"/>
    <n v="0.434"/>
    <n v="57"/>
    <n v="0.373"/>
    <n v="0.73799999999999999"/>
    <n v="497"/>
    <n v="38"/>
    <n v="149"/>
    <n v="118"/>
    <n v="35"/>
    <n v="5"/>
    <n v="63"/>
    <n v="1.873015873015873"/>
  </r>
  <r>
    <x v="0"/>
    <x v="0"/>
    <x v="5"/>
    <n v="60"/>
    <x v="10"/>
    <s v="Lagios"/>
    <n v="0"/>
    <n v="4"/>
    <n v="9"/>
    <n v="0"/>
    <x v="12"/>
    <s v="vs Kousidis"/>
    <n v="134"/>
    <n v="0.41499999999999998"/>
    <n v="36"/>
    <n v="0.29299999999999998"/>
    <n v="0.78700000000000003"/>
    <n v="352"/>
    <n v="36"/>
    <n v="141"/>
    <n v="85"/>
    <n v="23"/>
    <n v="19"/>
    <n v="45"/>
    <n v="1.8888888888888888"/>
  </r>
  <r>
    <x v="0"/>
    <x v="0"/>
    <x v="6"/>
    <n v="61"/>
    <x v="1"/>
    <s v="Fanis"/>
    <n v="1"/>
    <n v="7"/>
    <n v="5"/>
    <n v="1"/>
    <x v="7"/>
    <s v="vs Tassos"/>
    <n v="165"/>
    <n v="0.46600000000000003"/>
    <n v="61"/>
    <n v="0.39900000000000002"/>
    <n v="0.8"/>
    <n v="475"/>
    <n v="38"/>
    <n v="133"/>
    <n v="81"/>
    <n v="31"/>
    <n v="20"/>
    <n v="62"/>
    <n v="1.3064516129032258"/>
  </r>
  <r>
    <x v="0"/>
    <x v="0"/>
    <x v="6"/>
    <n v="61"/>
    <x v="6"/>
    <s v="Tassos"/>
    <n v="0"/>
    <n v="5"/>
    <n v="7"/>
    <n v="1"/>
    <x v="0"/>
    <s v="vs Fanis"/>
    <n v="173"/>
    <n v="0.53200000000000003"/>
    <n v="51"/>
    <n v="0.42899999999999999"/>
    <n v="0.78100000000000003"/>
    <n v="454"/>
    <n v="35"/>
    <n v="112"/>
    <n v="74"/>
    <n v="31"/>
    <n v="17"/>
    <n v="48"/>
    <n v="1.5416666666666667"/>
  </r>
  <r>
    <x v="0"/>
    <x v="0"/>
    <x v="6"/>
    <n v="62"/>
    <x v="9"/>
    <s v="Ziogas/Christof"/>
    <n v="0"/>
    <n v="6"/>
    <n v="7"/>
    <n v="0"/>
    <x v="5"/>
    <s v="vs Mpousaras"/>
    <n v="100"/>
    <n v="0.42699999999999999"/>
    <n v="28"/>
    <n v="0.35899999999999999"/>
    <n v="0.80200000000000005"/>
    <n v="293"/>
    <n v="26"/>
    <n v="86"/>
    <n v="60"/>
    <n v="25"/>
    <n v="5"/>
    <n v="33"/>
    <n v="1.8181818181818181"/>
  </r>
  <r>
    <x v="0"/>
    <x v="0"/>
    <x v="6"/>
    <n v="62"/>
    <x v="4"/>
    <s v="Mpousaras"/>
    <n v="1"/>
    <n v="7"/>
    <n v="6"/>
    <n v="0"/>
    <x v="8"/>
    <s v="vs Ziogas/Christof"/>
    <n v="148"/>
    <n v="0.46100000000000002"/>
    <n v="27"/>
    <n v="0.34599999999999997"/>
    <n v="0.70299999999999996"/>
    <n v="368"/>
    <n v="43"/>
    <n v="92"/>
    <n v="78"/>
    <n v="22"/>
    <n v="11"/>
    <n v="48"/>
    <n v="1.625"/>
  </r>
  <r>
    <x v="0"/>
    <x v="0"/>
    <x v="6"/>
    <n v="63"/>
    <x v="8"/>
    <s v="Antoniou"/>
    <n v="0"/>
    <n v="1"/>
    <n v="12"/>
    <n v="0"/>
    <x v="2"/>
    <s v="vs Sakellariou"/>
    <n v="138"/>
    <n v="0.45"/>
    <n v="29"/>
    <n v="0.377"/>
    <n v="0.753"/>
    <n v="369"/>
    <n v="20"/>
    <n v="116"/>
    <n v="70"/>
    <n v="22"/>
    <n v="11"/>
    <n v="52"/>
    <n v="1.3461538461538463"/>
  </r>
  <r>
    <x v="0"/>
    <x v="0"/>
    <x v="6"/>
    <n v="63"/>
    <x v="3"/>
    <s v="Sakellariou"/>
    <n v="1"/>
    <n v="12"/>
    <n v="1"/>
    <n v="0"/>
    <x v="9"/>
    <s v="vs Antoniou"/>
    <n v="159"/>
    <n v="0.48899999999999999"/>
    <n v="46"/>
    <n v="0.438"/>
    <n v="0.85699999999999998"/>
    <n v="454"/>
    <n v="29"/>
    <n v="120"/>
    <n v="93"/>
    <n v="21"/>
    <n v="14"/>
    <n v="50"/>
    <n v="1.86"/>
  </r>
  <r>
    <x v="0"/>
    <x v="0"/>
    <x v="6"/>
    <n v="64"/>
    <x v="0"/>
    <s v="Miggianis"/>
    <n v="1"/>
    <n v="7"/>
    <n v="6"/>
    <n v="0"/>
    <x v="6"/>
    <s v="vs Johnny"/>
    <n v="122"/>
    <n v="0.439"/>
    <n v="30"/>
    <n v="0.39500000000000002"/>
    <n v="0.72099999999999997"/>
    <n v="323"/>
    <n v="35"/>
    <n v="141"/>
    <n v="109"/>
    <n v="31"/>
    <n v="13"/>
    <n v="54"/>
    <n v="2.0185185185185186"/>
  </r>
  <r>
    <x v="0"/>
    <x v="0"/>
    <x v="6"/>
    <n v="64"/>
    <x v="7"/>
    <s v="Johnny"/>
    <n v="0"/>
    <n v="6"/>
    <n v="7"/>
    <n v="0"/>
    <x v="1"/>
    <s v="vs Miggianis"/>
    <n v="149"/>
    <n v="0.48399999999999999"/>
    <n v="32"/>
    <n v="0.38100000000000001"/>
    <n v="0.68500000000000005"/>
    <n v="367"/>
    <n v="29"/>
    <n v="129"/>
    <n v="95"/>
    <n v="30"/>
    <n v="16"/>
    <n v="52"/>
    <n v="1.8269230769230769"/>
  </r>
  <r>
    <x v="0"/>
    <x v="0"/>
    <x v="6"/>
    <n v="65"/>
    <x v="5"/>
    <s v="Markos"/>
    <n v="1"/>
    <n v="8"/>
    <n v="5"/>
    <n v="0"/>
    <x v="3"/>
    <s v="vs Fountos"/>
    <n v="183"/>
    <n v="0.54"/>
    <n v="52"/>
    <n v="0.43"/>
    <n v="0.79500000000000004"/>
    <n v="488"/>
    <n v="35"/>
    <n v="168"/>
    <n v="133"/>
    <n v="45"/>
    <n v="16"/>
    <n v="49"/>
    <n v="2.7142857142857144"/>
  </r>
  <r>
    <x v="0"/>
    <x v="0"/>
    <x v="6"/>
    <n v="65"/>
    <x v="2"/>
    <s v="Fountos"/>
    <n v="0"/>
    <n v="5"/>
    <n v="8"/>
    <n v="0"/>
    <x v="4"/>
    <s v="vs Markos"/>
    <n v="191"/>
    <n v="0.499"/>
    <n v="43"/>
    <n v="0.38100000000000001"/>
    <n v="0.85499999999999998"/>
    <n v="531"/>
    <n v="40"/>
    <n v="99"/>
    <n v="111"/>
    <n v="22"/>
    <n v="21"/>
    <n v="59"/>
    <n v="1.8813559322033899"/>
  </r>
  <r>
    <x v="0"/>
    <x v="0"/>
    <x v="6"/>
    <n v="66"/>
    <x v="16"/>
    <s v="Aris"/>
    <n v="1"/>
    <n v="10"/>
    <n v="2"/>
    <n v="1"/>
    <x v="10"/>
    <s v="vs pi/Sotiris"/>
    <n v="162"/>
    <n v="0.52100000000000002"/>
    <n v="31"/>
    <n v="0.41899999999999998"/>
    <n v="0.66"/>
    <n v="423"/>
    <n v="50"/>
    <n v="107"/>
    <n v="87"/>
    <n v="36"/>
    <n v="12"/>
    <n v="61"/>
    <n v="1.4262295081967213"/>
  </r>
  <r>
    <x v="0"/>
    <x v="0"/>
    <x v="6"/>
    <n v="66"/>
    <x v="11"/>
    <s v="pi/Sotiris"/>
    <n v="0"/>
    <n v="2"/>
    <n v="10"/>
    <n v="1"/>
    <x v="17"/>
    <s v="vs Aris"/>
    <n v="108"/>
    <n v="0.45400000000000001"/>
    <n v="26"/>
    <n v="0.34200000000000003"/>
    <n v="0.755"/>
    <n v="282"/>
    <n v="39"/>
    <n v="97"/>
    <n v="59"/>
    <n v="23"/>
    <n v="12"/>
    <n v="51"/>
    <n v="1.1568627450980393"/>
  </r>
  <r>
    <x v="0"/>
    <x v="0"/>
    <x v="6"/>
    <n v="67"/>
    <x v="18"/>
    <s v="Kotakis"/>
    <n v="1"/>
    <n v="12"/>
    <n v="1"/>
    <n v="0"/>
    <x v="14"/>
    <s v="vs Vasilis"/>
    <n v="148"/>
    <n v="0.47"/>
    <n v="40"/>
    <n v="0.33900000000000002"/>
    <n v="0.83099999999999996"/>
    <n v="405"/>
    <n v="21"/>
    <n v="91"/>
    <n v="114"/>
    <n v="31"/>
    <n v="17"/>
    <n v="51"/>
    <n v="2.2352941176470589"/>
  </r>
  <r>
    <x v="0"/>
    <x v="0"/>
    <x v="6"/>
    <n v="67"/>
    <x v="15"/>
    <s v="Vasilis"/>
    <n v="0"/>
    <n v="1"/>
    <n v="12"/>
    <n v="0"/>
    <x v="19"/>
    <s v="vs Kotakis"/>
    <n v="98"/>
    <n v="0.377"/>
    <n v="29"/>
    <n v="0.312"/>
    <n v="0.81299999999999994"/>
    <n v="264"/>
    <n v="16"/>
    <n v="67"/>
    <n v="82"/>
    <n v="19"/>
    <n v="15"/>
    <n v="40"/>
    <n v="2.0499999999999998"/>
  </r>
  <r>
    <x v="0"/>
    <x v="0"/>
    <x v="6"/>
    <n v="68"/>
    <x v="12"/>
    <s v="Stavros"/>
    <n v="1"/>
    <n v="10"/>
    <n v="3"/>
    <n v="0"/>
    <x v="18"/>
    <s v="vs Nonis"/>
    <n v="211"/>
    <n v="0.52500000000000002"/>
    <n v="54"/>
    <n v="0.40899999999999997"/>
    <n v="0.75800000000000001"/>
    <n v="567"/>
    <n v="67"/>
    <n v="158"/>
    <n v="107"/>
    <n v="20"/>
    <n v="18"/>
    <n v="60"/>
    <n v="1.7833333333333334"/>
  </r>
  <r>
    <x v="0"/>
    <x v="0"/>
    <x v="6"/>
    <n v="68"/>
    <x v="19"/>
    <s v="Nonis"/>
    <n v="0"/>
    <n v="3"/>
    <n v="10"/>
    <n v="0"/>
    <x v="13"/>
    <s v="vs Stavros"/>
    <n v="99"/>
    <n v="0.495"/>
    <n v="28"/>
    <n v="0.43099999999999999"/>
    <n v="0.76800000000000002"/>
    <n v="269"/>
    <n v="15"/>
    <n v="80"/>
    <n v="42"/>
    <n v="7"/>
    <n v="15"/>
    <n v="42"/>
    <n v="1"/>
  </r>
  <r>
    <x v="0"/>
    <x v="0"/>
    <x v="6"/>
    <n v="69"/>
    <x v="17"/>
    <s v="Spiridaus/Oladipas"/>
    <n v="0"/>
    <n v="3"/>
    <n v="10"/>
    <n v="0"/>
    <x v="11"/>
    <s v="vs Lagios"/>
    <n v="138"/>
    <n v="0.48899999999999999"/>
    <n v="36"/>
    <n v="0.40899999999999997"/>
    <n v="0.71399999999999997"/>
    <n v="347"/>
    <n v="23"/>
    <n v="95"/>
    <n v="82"/>
    <n v="26"/>
    <n v="13"/>
    <n v="48"/>
    <n v="1.7083333333333333"/>
  </r>
  <r>
    <x v="0"/>
    <x v="0"/>
    <x v="6"/>
    <n v="69"/>
    <x v="10"/>
    <s v="Lagios"/>
    <n v="1"/>
    <n v="10"/>
    <n v="3"/>
    <n v="0"/>
    <x v="16"/>
    <s v="vs Spiridaus/Oladipas"/>
    <n v="179"/>
    <n v="0.46400000000000002"/>
    <n v="56"/>
    <n v="0.36599999999999999"/>
    <n v="0.76700000000000002"/>
    <n v="516"/>
    <n v="37"/>
    <n v="143"/>
    <n v="109"/>
    <n v="25"/>
    <n v="25"/>
    <n v="46"/>
    <n v="2.3695652173913042"/>
  </r>
  <r>
    <x v="0"/>
    <x v="0"/>
    <x v="6"/>
    <n v="70"/>
    <x v="14"/>
    <s v="Panagopoulos"/>
    <n v="1"/>
    <n v="7"/>
    <n v="6"/>
    <n v="0"/>
    <x v="12"/>
    <s v="vs Kousidis"/>
    <n v="154"/>
    <n v="0.53500000000000003"/>
    <n v="46"/>
    <n v="0.46"/>
    <n v="0.754"/>
    <n v="403"/>
    <n v="22"/>
    <n v="112"/>
    <n v="72"/>
    <n v="33"/>
    <n v="15"/>
    <n v="53"/>
    <n v="1.3584905660377358"/>
  </r>
  <r>
    <x v="0"/>
    <x v="0"/>
    <x v="6"/>
    <n v="70"/>
    <x v="13"/>
    <s v="Kousidis"/>
    <n v="0"/>
    <n v="6"/>
    <n v="7"/>
    <n v="0"/>
    <x v="15"/>
    <s v="vs Panagopoulos"/>
    <n v="174"/>
    <n v="0.46200000000000002"/>
    <n v="36"/>
    <n v="0.32100000000000001"/>
    <n v="0.753"/>
    <n v="448"/>
    <n v="40"/>
    <n v="120"/>
    <n v="111"/>
    <n v="27"/>
    <n v="12"/>
    <n v="62"/>
    <n v="1.7903225806451613"/>
  </r>
  <r>
    <x v="0"/>
    <x v="0"/>
    <x v="7"/>
    <n v="71"/>
    <x v="4"/>
    <s v="Mpousaras"/>
    <n v="0"/>
    <n v="4"/>
    <n v="8"/>
    <n v="1"/>
    <x v="0"/>
    <s v="vs Fanis"/>
    <n v="165"/>
    <n v="0.46899999999999997"/>
    <n v="23"/>
    <n v="0.35899999999999999"/>
    <n v="0.72699999999999998"/>
    <n v="425"/>
    <n v="37"/>
    <n v="127"/>
    <n v="105"/>
    <n v="25"/>
    <n v="14"/>
    <n v="69"/>
    <n v="1.5217391304347827"/>
  </r>
  <r>
    <x v="0"/>
    <x v="0"/>
    <x v="7"/>
    <n v="71"/>
    <x v="1"/>
    <s v="Fanis"/>
    <n v="1"/>
    <n v="8"/>
    <n v="4"/>
    <n v="1"/>
    <x v="5"/>
    <s v="vs Mpousaras"/>
    <n v="165"/>
    <n v="0.503"/>
    <n v="69"/>
    <n v="0.46899999999999997"/>
    <n v="0.84499999999999997"/>
    <n v="470"/>
    <n v="31"/>
    <n v="111"/>
    <n v="83"/>
    <n v="23"/>
    <n v="28"/>
    <n v="47"/>
    <n v="1.7659574468085106"/>
  </r>
  <r>
    <x v="0"/>
    <x v="0"/>
    <x v="7"/>
    <n v="72"/>
    <x v="6"/>
    <s v="Tassos"/>
    <n v="0"/>
    <n v="5"/>
    <n v="8"/>
    <n v="0"/>
    <x v="2"/>
    <s v="vs Sakellariou"/>
    <n v="124"/>
    <n v="0.496"/>
    <n v="33"/>
    <n v="0.41299999999999998"/>
    <n v="0.70799999999999996"/>
    <n v="332"/>
    <n v="30"/>
    <n v="74"/>
    <n v="55"/>
    <n v="27"/>
    <n v="13"/>
    <n v="41"/>
    <n v="1.3414634146341464"/>
  </r>
  <r>
    <x v="0"/>
    <x v="0"/>
    <x v="7"/>
    <n v="72"/>
    <x v="3"/>
    <s v="Sakellariou"/>
    <n v="1"/>
    <n v="8"/>
    <n v="5"/>
    <n v="0"/>
    <x v="7"/>
    <s v="vs Tassos"/>
    <n v="178"/>
    <n v="0.45300000000000001"/>
    <n v="45"/>
    <n v="0.36299999999999999"/>
    <n v="0.78900000000000003"/>
    <n v="472"/>
    <n v="32"/>
    <n v="137"/>
    <n v="100"/>
    <n v="24"/>
    <n v="12"/>
    <n v="42"/>
    <n v="2.3809523809523809"/>
  </r>
  <r>
    <x v="0"/>
    <x v="0"/>
    <x v="7"/>
    <n v="73"/>
    <x v="9"/>
    <s v="Ziogas/Christof"/>
    <n v="1"/>
    <n v="7"/>
    <n v="5"/>
    <n v="1"/>
    <x v="1"/>
    <s v="vs Miggianis"/>
    <n v="152"/>
    <n v="0.49"/>
    <n v="36"/>
    <n v="0.379"/>
    <n v="0.73399999999999999"/>
    <n v="398"/>
    <n v="35"/>
    <n v="111"/>
    <n v="58"/>
    <n v="23"/>
    <n v="14"/>
    <n v="37"/>
    <n v="1.5675675675675675"/>
  </r>
  <r>
    <x v="0"/>
    <x v="0"/>
    <x v="7"/>
    <n v="73"/>
    <x v="0"/>
    <s v="Miggianis"/>
    <n v="0"/>
    <n v="5"/>
    <n v="7"/>
    <n v="1"/>
    <x v="8"/>
    <s v="vs Ziogas/Christof"/>
    <n v="135"/>
    <n v="0.434"/>
    <n v="28"/>
    <n v="0.27700000000000002"/>
    <n v="0.81399999999999995"/>
    <n v="394"/>
    <n v="35"/>
    <n v="133"/>
    <n v="120"/>
    <n v="22"/>
    <n v="18"/>
    <n v="60"/>
    <n v="2"/>
  </r>
  <r>
    <x v="0"/>
    <x v="0"/>
    <x v="7"/>
    <n v="74"/>
    <x v="2"/>
    <s v="Fountos"/>
    <n v="1"/>
    <n v="11"/>
    <n v="2"/>
    <n v="0"/>
    <x v="9"/>
    <s v="vs Antoniou"/>
    <n v="256"/>
    <n v="0.47599999999999998"/>
    <n v="56"/>
    <n v="0.38900000000000001"/>
    <n v="0.8"/>
    <n v="692"/>
    <n v="46"/>
    <n v="149"/>
    <n v="115"/>
    <n v="32"/>
    <n v="26"/>
    <n v="61"/>
    <n v="1.8852459016393444"/>
  </r>
  <r>
    <x v="0"/>
    <x v="0"/>
    <x v="7"/>
    <n v="74"/>
    <x v="8"/>
    <s v="Antoniou"/>
    <n v="0"/>
    <n v="2"/>
    <n v="11"/>
    <n v="0"/>
    <x v="3"/>
    <s v="vs Fountos"/>
    <n v="150"/>
    <n v="0.44400000000000001"/>
    <n v="34"/>
    <n v="0.37"/>
    <n v="0.72899999999999998"/>
    <n v="396"/>
    <n v="28"/>
    <n v="164"/>
    <n v="69"/>
    <n v="27"/>
    <n v="15"/>
    <n v="53"/>
    <n v="1.3018867924528301"/>
  </r>
  <r>
    <x v="0"/>
    <x v="0"/>
    <x v="7"/>
    <n v="75"/>
    <x v="5"/>
    <s v="Markos"/>
    <n v="1"/>
    <n v="9"/>
    <n v="4"/>
    <n v="0"/>
    <x v="6"/>
    <s v="vs Johnny"/>
    <n v="143"/>
    <n v="0.48799999999999999"/>
    <n v="40"/>
    <n v="0.377"/>
    <n v="0.59799999999999998"/>
    <n v="378"/>
    <n v="44"/>
    <n v="151"/>
    <n v="115"/>
    <n v="31"/>
    <n v="8"/>
    <n v="56"/>
    <n v="2.0535714285714284"/>
  </r>
  <r>
    <x v="0"/>
    <x v="0"/>
    <x v="7"/>
    <n v="75"/>
    <x v="7"/>
    <s v="Johnny"/>
    <n v="0"/>
    <n v="4"/>
    <n v="9"/>
    <n v="0"/>
    <x v="4"/>
    <s v="vs Markos"/>
    <n v="115"/>
    <n v="0.47299999999999998"/>
    <n v="34"/>
    <n v="0.39500000000000002"/>
    <n v="0.61"/>
    <n v="300"/>
    <n v="29"/>
    <n v="81"/>
    <n v="57"/>
    <n v="23"/>
    <n v="14"/>
    <n v="47"/>
    <n v="1.2127659574468086"/>
  </r>
  <r>
    <x v="0"/>
    <x v="0"/>
    <x v="7"/>
    <n v="76"/>
    <x v="15"/>
    <s v="Vasilis"/>
    <n v="1"/>
    <n v="10"/>
    <n v="3"/>
    <n v="0"/>
    <x v="10"/>
    <s v="vs pi/Sotiris"/>
    <n v="198"/>
    <n v="0.48099999999999998"/>
    <n v="52"/>
    <n v="0.35099999999999998"/>
    <n v="0.80600000000000005"/>
    <n v="531"/>
    <n v="30"/>
    <n v="112"/>
    <n v="85"/>
    <n v="24"/>
    <n v="19"/>
    <n v="51"/>
    <n v="1.6666666666666667"/>
  </r>
  <r>
    <x v="0"/>
    <x v="0"/>
    <x v="7"/>
    <n v="76"/>
    <x v="11"/>
    <s v="pi/Sotiris"/>
    <n v="0"/>
    <n v="3"/>
    <n v="10"/>
    <n v="0"/>
    <x v="14"/>
    <s v="vs Vasilis"/>
    <n v="110"/>
    <n v="0.47399999999999998"/>
    <n v="22"/>
    <n v="0.34399999999999997"/>
    <n v="0.77400000000000002"/>
    <n v="283"/>
    <n v="24"/>
    <n v="91"/>
    <n v="73"/>
    <n v="21"/>
    <n v="26"/>
    <n v="42"/>
    <n v="1.7380952380952381"/>
  </r>
  <r>
    <x v="0"/>
    <x v="0"/>
    <x v="7"/>
    <n v="77"/>
    <x v="16"/>
    <s v="Aris"/>
    <n v="1"/>
    <n v="9"/>
    <n v="3"/>
    <n v="1"/>
    <x v="13"/>
    <s v="vs Stavros"/>
    <n v="197"/>
    <n v="0.504"/>
    <n v="31"/>
    <n v="0.36899999999999999"/>
    <n v="0.755"/>
    <n v="502"/>
    <n v="62"/>
    <n v="138"/>
    <n v="133"/>
    <n v="29"/>
    <n v="25"/>
    <n v="67"/>
    <n v="1.9850746268656716"/>
  </r>
  <r>
    <x v="0"/>
    <x v="0"/>
    <x v="7"/>
    <n v="77"/>
    <x v="12"/>
    <s v="Stavros"/>
    <n v="0"/>
    <n v="3"/>
    <n v="9"/>
    <n v="1"/>
    <x v="17"/>
    <s v="vs Aris"/>
    <n v="147"/>
    <n v="0.42699999999999999"/>
    <n v="40"/>
    <n v="0.35099999999999998"/>
    <n v="0.73099999999999998"/>
    <n v="383"/>
    <n v="61"/>
    <n v="143"/>
    <n v="54"/>
    <n v="29"/>
    <n v="11"/>
    <n v="48"/>
    <n v="1.125"/>
  </r>
  <r>
    <x v="0"/>
    <x v="0"/>
    <x v="7"/>
    <n v="78"/>
    <x v="18"/>
    <s v="Kotakis"/>
    <n v="0"/>
    <n v="4"/>
    <n v="9"/>
    <n v="0"/>
    <x v="11"/>
    <s v="vs Lagios"/>
    <n v="183"/>
    <n v="0.49099999999999999"/>
    <n v="61"/>
    <n v="0.39900000000000002"/>
    <n v="0.82499999999999996"/>
    <n v="512"/>
    <n v="37"/>
    <n v="147"/>
    <n v="89"/>
    <n v="37"/>
    <n v="23"/>
    <n v="61"/>
    <n v="1.459016393442623"/>
  </r>
  <r>
    <x v="0"/>
    <x v="0"/>
    <x v="7"/>
    <n v="78"/>
    <x v="10"/>
    <s v="Lagios"/>
    <n v="1"/>
    <n v="9"/>
    <n v="4"/>
    <n v="0"/>
    <x v="19"/>
    <s v="vs Kotakis"/>
    <n v="204"/>
    <n v="0.48099999999999998"/>
    <n v="52"/>
    <n v="0.36099999999999999"/>
    <n v="0.84299999999999997"/>
    <n v="546"/>
    <n v="43"/>
    <n v="190"/>
    <n v="111"/>
    <n v="23"/>
    <n v="25"/>
    <n v="51"/>
    <n v="2.1764705882352939"/>
  </r>
  <r>
    <x v="0"/>
    <x v="0"/>
    <x v="7"/>
    <n v="79"/>
    <x v="13"/>
    <s v="Kousidis"/>
    <n v="1"/>
    <n v="10"/>
    <n v="3"/>
    <n v="0"/>
    <x v="18"/>
    <s v="vs Nonis"/>
    <n v="184"/>
    <n v="0.44900000000000001"/>
    <n v="41"/>
    <n v="0.32800000000000001"/>
    <n v="0.77400000000000002"/>
    <n v="498"/>
    <n v="28"/>
    <n v="177"/>
    <n v="104"/>
    <n v="32"/>
    <n v="11"/>
    <n v="61"/>
    <n v="1.7049180327868851"/>
  </r>
  <r>
    <x v="0"/>
    <x v="0"/>
    <x v="7"/>
    <n v="79"/>
    <x v="19"/>
    <s v="Nonis"/>
    <n v="0"/>
    <n v="3"/>
    <n v="10"/>
    <n v="0"/>
    <x v="12"/>
    <s v="vs Kousidis"/>
    <n v="95"/>
    <n v="0.49"/>
    <n v="16"/>
    <n v="0.27600000000000002"/>
    <n v="0.72099999999999997"/>
    <n v="237"/>
    <n v="14"/>
    <n v="74"/>
    <n v="54"/>
    <n v="15"/>
    <n v="15"/>
    <n v="32"/>
    <n v="1.6875"/>
  </r>
  <r>
    <x v="0"/>
    <x v="0"/>
    <x v="7"/>
    <n v="80"/>
    <x v="14"/>
    <s v="Panagopoulos"/>
    <n v="1"/>
    <n v="9"/>
    <n v="3"/>
    <n v="1"/>
    <x v="16"/>
    <s v="vs Spiridaus/Oladipas"/>
    <n v="173"/>
    <n v="0.47799999999999998"/>
    <n v="47"/>
    <n v="0.38800000000000001"/>
    <n v="0.78400000000000003"/>
    <n v="484"/>
    <n v="37"/>
    <n v="162"/>
    <n v="115"/>
    <n v="40"/>
    <n v="20"/>
    <n v="74"/>
    <n v="1.5540540540540539"/>
  </r>
  <r>
    <x v="0"/>
    <x v="0"/>
    <x v="7"/>
    <n v="80"/>
    <x v="17"/>
    <s v="Spiridaus/Oladipas"/>
    <n v="0"/>
    <n v="3"/>
    <n v="9"/>
    <n v="1"/>
    <x v="15"/>
    <s v="vs Panagopoulos"/>
    <n v="148"/>
    <n v="0.437"/>
    <n v="31"/>
    <n v="0.35599999999999998"/>
    <n v="0.70599999999999996"/>
    <n v="399"/>
    <n v="37"/>
    <n v="140"/>
    <n v="123"/>
    <n v="30"/>
    <n v="19"/>
    <n v="73"/>
    <n v="1.6849315068493151"/>
  </r>
  <r>
    <x v="0"/>
    <x v="0"/>
    <x v="8"/>
    <n v="81"/>
    <x v="1"/>
    <s v="Fanis"/>
    <n v="1"/>
    <n v="7"/>
    <n v="6"/>
    <n v="0"/>
    <x v="2"/>
    <s v="vs Sakellariou"/>
    <n v="118"/>
    <n v="0.48"/>
    <n v="38"/>
    <n v="0.4"/>
    <n v="0.79"/>
    <n v="323"/>
    <n v="19"/>
    <n v="115"/>
    <n v="75"/>
    <n v="18"/>
    <n v="11"/>
    <n v="40"/>
    <n v="1.875"/>
  </r>
  <r>
    <x v="0"/>
    <x v="0"/>
    <x v="8"/>
    <n v="81"/>
    <x v="3"/>
    <s v="Sakellariou"/>
    <n v="0"/>
    <n v="6"/>
    <n v="7"/>
    <n v="0"/>
    <x v="0"/>
    <s v="vs Fanis"/>
    <n v="165"/>
    <n v="0.46300000000000002"/>
    <n v="41"/>
    <n v="0.39800000000000002"/>
    <n v="0.85099999999999998"/>
    <n v="434"/>
    <n v="25"/>
    <n v="103"/>
    <n v="92"/>
    <n v="13"/>
    <n v="9"/>
    <n v="62"/>
    <n v="1.4838709677419355"/>
  </r>
  <r>
    <x v="0"/>
    <x v="0"/>
    <x v="8"/>
    <n v="82"/>
    <x v="0"/>
    <s v="Miggianis"/>
    <n v="1"/>
    <n v="9"/>
    <n v="4"/>
    <n v="0"/>
    <x v="5"/>
    <s v="vs Mpousaras"/>
    <n v="153"/>
    <n v="0.46400000000000002"/>
    <n v="54"/>
    <n v="0.42899999999999999"/>
    <n v="0.82899999999999996"/>
    <n v="423"/>
    <n v="31"/>
    <n v="142"/>
    <n v="103"/>
    <n v="34"/>
    <n v="15"/>
    <n v="65"/>
    <n v="1.5846153846153845"/>
  </r>
  <r>
    <x v="0"/>
    <x v="0"/>
    <x v="8"/>
    <n v="82"/>
    <x v="4"/>
    <s v="Mpousaras"/>
    <n v="0"/>
    <n v="4"/>
    <n v="9"/>
    <n v="0"/>
    <x v="1"/>
    <s v="vs Miggianis"/>
    <n v="130"/>
    <n v="0.45500000000000002"/>
    <n v="13"/>
    <n v="0.22800000000000001"/>
    <n v="0.78900000000000003"/>
    <n v="344"/>
    <n v="41"/>
    <n v="126"/>
    <n v="101"/>
    <n v="15"/>
    <n v="19"/>
    <n v="52"/>
    <n v="1.9423076923076923"/>
  </r>
  <r>
    <x v="0"/>
    <x v="0"/>
    <x v="8"/>
    <n v="83"/>
    <x v="6"/>
    <s v="Tassos"/>
    <n v="1"/>
    <n v="7"/>
    <n v="6"/>
    <n v="0"/>
    <x v="3"/>
    <s v="vs Fountos"/>
    <n v="178"/>
    <n v="0.499"/>
    <n v="58"/>
    <n v="0.38400000000000001"/>
    <n v="0.65500000000000003"/>
    <n v="452"/>
    <n v="33"/>
    <n v="118"/>
    <n v="81"/>
    <n v="32"/>
    <n v="26"/>
    <n v="49"/>
    <n v="1.653061224489796"/>
  </r>
  <r>
    <x v="0"/>
    <x v="0"/>
    <x v="8"/>
    <n v="83"/>
    <x v="2"/>
    <s v="Fountos"/>
    <n v="0"/>
    <n v="6"/>
    <n v="7"/>
    <n v="0"/>
    <x v="7"/>
    <s v="vs Tassos"/>
    <n v="204"/>
    <n v="0.42899999999999999"/>
    <n v="41"/>
    <n v="0.32300000000000001"/>
    <n v="0.79600000000000004"/>
    <n v="535"/>
    <n v="51"/>
    <n v="155"/>
    <n v="90"/>
    <n v="23"/>
    <n v="20"/>
    <n v="59"/>
    <n v="1.5254237288135593"/>
  </r>
  <r>
    <x v="0"/>
    <x v="0"/>
    <x v="8"/>
    <n v="84"/>
    <x v="5"/>
    <s v="Markos"/>
    <n v="1"/>
    <n v="9"/>
    <n v="4"/>
    <n v="0"/>
    <x v="8"/>
    <s v="vs Ziogas/Christof"/>
    <n v="149"/>
    <n v="0.48499999999999999"/>
    <n v="35"/>
    <n v="0.35"/>
    <n v="0.75600000000000001"/>
    <n v="395"/>
    <n v="49"/>
    <n v="156"/>
    <n v="118"/>
    <n v="31"/>
    <n v="17"/>
    <n v="67"/>
    <n v="1.7611940298507462"/>
  </r>
  <r>
    <x v="0"/>
    <x v="0"/>
    <x v="8"/>
    <n v="84"/>
    <x v="9"/>
    <s v="Ziogas/Christof"/>
    <n v="0"/>
    <n v="4"/>
    <n v="9"/>
    <n v="0"/>
    <x v="4"/>
    <s v="vs Markos"/>
    <n v="132"/>
    <n v="0.45500000000000002"/>
    <n v="50"/>
    <n v="0.40300000000000002"/>
    <n v="0.746"/>
    <n v="358"/>
    <n v="30"/>
    <n v="123"/>
    <n v="57"/>
    <n v="30"/>
    <n v="18"/>
    <n v="47"/>
    <n v="1.2127659574468086"/>
  </r>
  <r>
    <x v="0"/>
    <x v="0"/>
    <x v="8"/>
    <n v="85"/>
    <x v="8"/>
    <s v="Antoniou"/>
    <n v="1"/>
    <n v="9"/>
    <n v="4"/>
    <n v="0"/>
    <x v="6"/>
    <s v="vs Johnny"/>
    <n v="128"/>
    <n v="0.434"/>
    <n v="29"/>
    <n v="0.35399999999999998"/>
    <n v="0.71699999999999997"/>
    <n v="351"/>
    <n v="39"/>
    <n v="117"/>
    <n v="93"/>
    <n v="28"/>
    <n v="19"/>
    <n v="38"/>
    <n v="2.4473684210526314"/>
  </r>
  <r>
    <x v="0"/>
    <x v="0"/>
    <x v="8"/>
    <n v="85"/>
    <x v="7"/>
    <s v="Johnny"/>
    <n v="0"/>
    <n v="4"/>
    <n v="9"/>
    <n v="0"/>
    <x v="9"/>
    <s v="vs Antoniou"/>
    <n v="80"/>
    <n v="0.48499999999999999"/>
    <n v="22"/>
    <n v="0.45800000000000002"/>
    <n v="0.73"/>
    <n v="209"/>
    <n v="20"/>
    <n v="69"/>
    <n v="41"/>
    <n v="16"/>
    <n v="8"/>
    <n v="25"/>
    <n v="1.64"/>
  </r>
  <r>
    <x v="0"/>
    <x v="0"/>
    <x v="8"/>
    <n v="86"/>
    <x v="12"/>
    <s v="Stavros"/>
    <n v="1"/>
    <n v="9"/>
    <n v="4"/>
    <n v="0"/>
    <x v="10"/>
    <s v="vs pi/Sotiris"/>
    <n v="165"/>
    <n v="0.435"/>
    <n v="42"/>
    <n v="0.313"/>
    <n v="0.65300000000000002"/>
    <n v="436"/>
    <n v="58"/>
    <n v="172"/>
    <n v="83"/>
    <n v="46"/>
    <n v="21"/>
    <n v="59"/>
    <n v="1.4067796610169492"/>
  </r>
  <r>
    <x v="0"/>
    <x v="0"/>
    <x v="8"/>
    <n v="86"/>
    <x v="11"/>
    <s v="pi/Sotiris"/>
    <n v="0"/>
    <n v="4"/>
    <n v="9"/>
    <n v="0"/>
    <x v="13"/>
    <s v="vs Stavros"/>
    <n v="107"/>
    <n v="0.44600000000000001"/>
    <n v="28"/>
    <n v="0.34599999999999997"/>
    <n v="0.79600000000000004"/>
    <n v="285"/>
    <n v="33"/>
    <n v="79"/>
    <n v="64"/>
    <n v="20"/>
    <n v="11"/>
    <n v="49"/>
    <n v="1.3061224489795917"/>
  </r>
  <r>
    <x v="0"/>
    <x v="0"/>
    <x v="8"/>
    <n v="87"/>
    <x v="10"/>
    <s v="Lagios"/>
    <n v="0"/>
    <n v="6"/>
    <n v="7"/>
    <n v="0"/>
    <x v="14"/>
    <s v="vs Vasilis"/>
    <n v="172"/>
    <n v="0.432"/>
    <n v="46"/>
    <n v="0.32900000000000001"/>
    <n v="0.71399999999999997"/>
    <n v="455"/>
    <n v="41"/>
    <n v="165"/>
    <n v="111"/>
    <n v="31"/>
    <n v="18"/>
    <n v="50"/>
    <n v="2.2200000000000002"/>
  </r>
  <r>
    <x v="0"/>
    <x v="0"/>
    <x v="8"/>
    <n v="87"/>
    <x v="15"/>
    <s v="Vasilis"/>
    <n v="1"/>
    <n v="7"/>
    <n v="6"/>
    <n v="0"/>
    <x v="11"/>
    <s v="vs Lagios"/>
    <n v="188"/>
    <n v="0.50800000000000001"/>
    <n v="55"/>
    <n v="0.41399999999999998"/>
    <n v="0.72699999999999998"/>
    <n v="479"/>
    <n v="15"/>
    <n v="97"/>
    <n v="91"/>
    <n v="29"/>
    <n v="15"/>
    <n v="46"/>
    <n v="1.9782608695652173"/>
  </r>
  <r>
    <x v="0"/>
    <x v="0"/>
    <x v="8"/>
    <n v="88"/>
    <x v="13"/>
    <s v="Kousidis"/>
    <n v="1"/>
    <n v="8"/>
    <n v="5"/>
    <n v="0"/>
    <x v="17"/>
    <s v="vs Aris"/>
    <n v="161"/>
    <n v="0.41399999999999998"/>
    <n v="21"/>
    <n v="0.23300000000000001"/>
    <n v="0.71899999999999997"/>
    <n v="443"/>
    <n v="37"/>
    <n v="147"/>
    <n v="116"/>
    <n v="31"/>
    <n v="11"/>
    <n v="51"/>
    <n v="2.2745098039215685"/>
  </r>
  <r>
    <x v="0"/>
    <x v="0"/>
    <x v="8"/>
    <n v="88"/>
    <x v="16"/>
    <s v="Aris"/>
    <n v="0"/>
    <n v="5"/>
    <n v="8"/>
    <n v="0"/>
    <x v="12"/>
    <s v="vs Kousidis"/>
    <n v="134"/>
    <n v="0.504"/>
    <n v="37"/>
    <n v="0.49299999999999999"/>
    <n v="0.65200000000000002"/>
    <n v="335"/>
    <n v="46"/>
    <n v="114"/>
    <n v="92"/>
    <n v="24"/>
    <n v="20"/>
    <n v="65"/>
    <n v="1.4153846153846155"/>
  </r>
  <r>
    <x v="0"/>
    <x v="0"/>
    <x v="8"/>
    <n v="89"/>
    <x v="14"/>
    <s v="Panagopoulos"/>
    <n v="0"/>
    <n v="6"/>
    <n v="7"/>
    <n v="0"/>
    <x v="19"/>
    <s v="vs Kotakis"/>
    <n v="173"/>
    <n v="0.45300000000000001"/>
    <n v="71"/>
    <n v="0.42299999999999999"/>
    <n v="0.77600000000000002"/>
    <n v="483"/>
    <n v="34"/>
    <n v="131"/>
    <n v="104"/>
    <n v="44"/>
    <n v="16"/>
    <n v="70"/>
    <n v="1.4857142857142858"/>
  </r>
  <r>
    <x v="0"/>
    <x v="0"/>
    <x v="8"/>
    <n v="89"/>
    <x v="18"/>
    <s v="Kotakis"/>
    <n v="1"/>
    <n v="7"/>
    <n v="6"/>
    <n v="0"/>
    <x v="15"/>
    <s v="vs Panagopoulos"/>
    <n v="165"/>
    <n v="0.46200000000000002"/>
    <n v="46"/>
    <n v="0.38300000000000001"/>
    <n v="0.80400000000000005"/>
    <n v="462"/>
    <n v="35"/>
    <n v="142"/>
    <n v="70"/>
    <n v="29"/>
    <n v="18"/>
    <n v="44"/>
    <n v="1.5909090909090908"/>
  </r>
  <r>
    <x v="0"/>
    <x v="0"/>
    <x v="8"/>
    <n v="90"/>
    <x v="17"/>
    <s v="Spiridaus/Oladipas"/>
    <n v="1"/>
    <n v="9"/>
    <n v="4"/>
    <n v="0"/>
    <x v="18"/>
    <s v="vs Nonis"/>
    <n v="147"/>
    <n v="0.45700000000000002"/>
    <n v="28"/>
    <n v="0.29499999999999998"/>
    <n v="0.75900000000000001"/>
    <n v="382"/>
    <n v="36"/>
    <n v="114"/>
    <n v="96"/>
    <n v="29"/>
    <n v="22"/>
    <n v="56"/>
    <n v="1.7142857142857142"/>
  </r>
  <r>
    <x v="0"/>
    <x v="0"/>
    <x v="8"/>
    <n v="90"/>
    <x v="19"/>
    <s v="Nonis"/>
    <n v="0"/>
    <n v="4"/>
    <n v="9"/>
    <n v="0"/>
    <x v="16"/>
    <s v="vs Spiridaus/Oladipas"/>
    <n v="81"/>
    <n v="0.41299999999999998"/>
    <n v="20"/>
    <n v="0.34499999999999997"/>
    <n v="0.83299999999999996"/>
    <n v="202"/>
    <n v="24"/>
    <n v="62"/>
    <n v="46"/>
    <n v="18"/>
    <n v="19"/>
    <n v="26"/>
    <n v="1.7692307692307692"/>
  </r>
  <r>
    <x v="0"/>
    <x v="0"/>
    <x v="9"/>
    <n v="91"/>
    <x v="1"/>
    <s v="Fanis"/>
    <n v="0"/>
    <n v="3"/>
    <n v="10"/>
    <n v="0"/>
    <x v="10"/>
    <s v="vs pi/Sotiris"/>
    <n v="132"/>
    <n v="0.45800000000000002"/>
    <n v="37"/>
    <n v="0.316"/>
    <n v="0.79500000000000004"/>
    <n v="363"/>
    <n v="29"/>
    <n v="131"/>
    <n v="70"/>
    <n v="30"/>
    <n v="22"/>
    <n v="59"/>
    <n v="1.1864406779661016"/>
  </r>
  <r>
    <x v="0"/>
    <x v="0"/>
    <x v="9"/>
    <n v="91"/>
    <x v="11"/>
    <s v="pi/Sotiris"/>
    <n v="1"/>
    <n v="10"/>
    <n v="3"/>
    <n v="0"/>
    <x v="0"/>
    <s v="vs Fanis"/>
    <n v="164"/>
    <n v="0.46300000000000002"/>
    <n v="51"/>
    <n v="0.47199999999999998"/>
    <n v="0.69099999999999995"/>
    <n v="435"/>
    <n v="47"/>
    <n v="137"/>
    <n v="85"/>
    <n v="22"/>
    <n v="32"/>
    <n v="65"/>
    <n v="1.3076923076923077"/>
  </r>
  <r>
    <x v="0"/>
    <x v="0"/>
    <x v="9"/>
    <n v="92"/>
    <x v="10"/>
    <s v="Lagios"/>
    <n v="1"/>
    <n v="10"/>
    <n v="3"/>
    <n v="0"/>
    <x v="1"/>
    <s v="vs Miggianis"/>
    <n v="172"/>
    <n v="0.46600000000000003"/>
    <n v="43"/>
    <n v="0.33600000000000002"/>
    <n v="0.84399999999999997"/>
    <n v="463"/>
    <n v="34"/>
    <n v="172"/>
    <n v="110"/>
    <n v="30"/>
    <n v="9"/>
    <n v="56"/>
    <n v="1.9642857142857142"/>
  </r>
  <r>
    <x v="0"/>
    <x v="0"/>
    <x v="9"/>
    <n v="92"/>
    <x v="0"/>
    <s v="Miggianis"/>
    <n v="0"/>
    <n v="3"/>
    <n v="10"/>
    <n v="0"/>
    <x v="11"/>
    <s v="vs Lagios"/>
    <n v="133"/>
    <n v="0.45100000000000001"/>
    <n v="35"/>
    <n v="0.33300000000000002"/>
    <n v="0.85199999999999998"/>
    <n v="353"/>
    <n v="32"/>
    <n v="116"/>
    <n v="96"/>
    <n v="21"/>
    <n v="15"/>
    <n v="51"/>
    <n v="1.8823529411764706"/>
  </r>
  <r>
    <x v="0"/>
    <x v="0"/>
    <x v="9"/>
    <n v="93"/>
    <x v="2"/>
    <s v="Fountos"/>
    <n v="1"/>
    <n v="7"/>
    <n v="6"/>
    <n v="0"/>
    <x v="12"/>
    <s v="vs Kousidis"/>
    <n v="230"/>
    <n v="0.47399999999999998"/>
    <n v="54"/>
    <n v="0.36499999999999999"/>
    <n v="0.81299999999999994"/>
    <n v="640"/>
    <n v="39"/>
    <n v="160"/>
    <n v="119"/>
    <n v="28"/>
    <n v="18"/>
    <n v="69"/>
    <n v="1.7246376811594204"/>
  </r>
  <r>
    <x v="0"/>
    <x v="0"/>
    <x v="9"/>
    <n v="93"/>
    <x v="13"/>
    <s v="Kousidis"/>
    <n v="0"/>
    <n v="6"/>
    <n v="7"/>
    <n v="0"/>
    <x v="3"/>
    <s v="vs Fountos"/>
    <n v="217"/>
    <n v="0.53300000000000003"/>
    <n v="57"/>
    <n v="0.47499999999999998"/>
    <n v="0.82699999999999996"/>
    <n v="558"/>
    <n v="31"/>
    <n v="134"/>
    <n v="118"/>
    <n v="27"/>
    <n v="15"/>
    <n v="54"/>
    <n v="2.1851851851851851"/>
  </r>
  <r>
    <x v="0"/>
    <x v="0"/>
    <x v="9"/>
    <n v="94"/>
    <x v="14"/>
    <s v="Panagopoulos"/>
    <n v="1"/>
    <n v="9"/>
    <n v="4"/>
    <n v="0"/>
    <x v="4"/>
    <s v="vs Markos"/>
    <n v="147"/>
    <n v="0.43099999999999999"/>
    <n v="44"/>
    <n v="0.32400000000000001"/>
    <n v="0.8"/>
    <n v="426"/>
    <n v="29"/>
    <n v="151"/>
    <n v="115"/>
    <n v="50"/>
    <n v="26"/>
    <n v="56"/>
    <n v="2.0535714285714284"/>
  </r>
  <r>
    <x v="0"/>
    <x v="0"/>
    <x v="9"/>
    <n v="94"/>
    <x v="5"/>
    <s v="Markos"/>
    <n v="0"/>
    <n v="4"/>
    <n v="9"/>
    <n v="0"/>
    <x v="15"/>
    <s v="vs Panagopoulos"/>
    <n v="155"/>
    <n v="0.47"/>
    <n v="41"/>
    <n v="0.38700000000000001"/>
    <n v="0.76900000000000002"/>
    <n v="411"/>
    <n v="32"/>
    <n v="115"/>
    <n v="112"/>
    <n v="39"/>
    <n v="22"/>
    <n v="61"/>
    <n v="1.8360655737704918"/>
  </r>
  <r>
    <x v="0"/>
    <x v="0"/>
    <x v="9"/>
    <n v="95"/>
    <x v="17"/>
    <s v="Spiridaus/Oladipas"/>
    <n v="1"/>
    <n v="11"/>
    <n v="2"/>
    <n v="0"/>
    <x v="6"/>
    <s v="vs Johnny"/>
    <n v="175"/>
    <n v="0.47799999999999998"/>
    <n v="56"/>
    <n v="0.41799999999999998"/>
    <n v="0.80600000000000005"/>
    <n v="481"/>
    <n v="45"/>
    <n v="109"/>
    <n v="94"/>
    <n v="38"/>
    <n v="19"/>
    <n v="58"/>
    <n v="1.6206896551724137"/>
  </r>
  <r>
    <x v="0"/>
    <x v="0"/>
    <x v="9"/>
    <n v="95"/>
    <x v="7"/>
    <s v="Johnny"/>
    <n v="0"/>
    <n v="2"/>
    <n v="11"/>
    <n v="0"/>
    <x v="16"/>
    <s v="vs Spiridaus/Oladipas"/>
    <n v="121"/>
    <n v="0.496"/>
    <n v="12"/>
    <n v="0.214"/>
    <n v="0.65600000000000003"/>
    <n v="294"/>
    <n v="31"/>
    <n v="92"/>
    <n v="66"/>
    <n v="23"/>
    <n v="13"/>
    <n v="44"/>
    <n v="1.5"/>
  </r>
  <r>
    <x v="0"/>
    <x v="0"/>
    <x v="9"/>
    <n v="96"/>
    <x v="8"/>
    <s v="Antoniou"/>
    <n v="1"/>
    <n v="10"/>
    <n v="3"/>
    <n v="0"/>
    <x v="18"/>
    <s v="vs Nonis"/>
    <n v="147"/>
    <n v="0.45200000000000001"/>
    <n v="31"/>
    <n v="0.34799999999999998"/>
    <n v="0.79100000000000004"/>
    <n v="393"/>
    <n v="42"/>
    <n v="120"/>
    <n v="81"/>
    <n v="26"/>
    <n v="19"/>
    <n v="38"/>
    <n v="2.1315789473684212"/>
  </r>
  <r>
    <x v="0"/>
    <x v="0"/>
    <x v="9"/>
    <n v="96"/>
    <x v="19"/>
    <s v="Nonis"/>
    <n v="0"/>
    <n v="3"/>
    <n v="10"/>
    <n v="0"/>
    <x v="9"/>
    <s v="vs Antoniou"/>
    <n v="81"/>
    <n v="0.46800000000000003"/>
    <n v="25"/>
    <n v="0.439"/>
    <n v="0.745"/>
    <n v="222"/>
    <n v="20"/>
    <n v="75"/>
    <n v="40"/>
    <n v="19"/>
    <n v="11"/>
    <n v="32"/>
    <n v="1.25"/>
  </r>
  <r>
    <x v="0"/>
    <x v="0"/>
    <x v="9"/>
    <n v="97"/>
    <x v="18"/>
    <s v="Kotakis"/>
    <n v="0"/>
    <n v="4"/>
    <n v="9"/>
    <n v="0"/>
    <x v="8"/>
    <s v="vs Ziogas/Christof"/>
    <n v="144"/>
    <n v="0.45900000000000002"/>
    <n v="26"/>
    <n v="0.32100000000000001"/>
    <n v="0.81899999999999995"/>
    <n v="382"/>
    <n v="38"/>
    <n v="116"/>
    <n v="65"/>
    <n v="23"/>
    <n v="17"/>
    <n v="43"/>
    <n v="1.5116279069767442"/>
  </r>
  <r>
    <x v="0"/>
    <x v="0"/>
    <x v="9"/>
    <n v="97"/>
    <x v="9"/>
    <s v="Ziogas/Christof"/>
    <n v="1"/>
    <n v="9"/>
    <n v="4"/>
    <n v="0"/>
    <x v="19"/>
    <s v="vs Kotakis"/>
    <n v="153"/>
    <n v="0.47399999999999998"/>
    <n v="48"/>
    <n v="0.38100000000000001"/>
    <n v="0.745"/>
    <n v="427"/>
    <n v="42"/>
    <n v="140"/>
    <n v="72"/>
    <n v="21"/>
    <n v="25"/>
    <n v="49"/>
    <n v="1.4693877551020409"/>
  </r>
  <r>
    <x v="0"/>
    <x v="0"/>
    <x v="9"/>
    <n v="98"/>
    <x v="6"/>
    <s v="Tassos"/>
    <n v="0"/>
    <n v="5"/>
    <n v="8"/>
    <n v="0"/>
    <x v="17"/>
    <s v="vs Aris"/>
    <n v="138"/>
    <n v="0.46500000000000002"/>
    <n v="40"/>
    <n v="0.34499999999999997"/>
    <n v="0.81899999999999995"/>
    <n v="375"/>
    <n v="36"/>
    <n v="90"/>
    <n v="93"/>
    <n v="28"/>
    <n v="15"/>
    <n v="52"/>
    <n v="1.7884615384615385"/>
  </r>
  <r>
    <x v="0"/>
    <x v="0"/>
    <x v="9"/>
    <n v="98"/>
    <x v="16"/>
    <s v="Aris"/>
    <n v="1"/>
    <n v="8"/>
    <n v="5"/>
    <n v="0"/>
    <x v="7"/>
    <s v="vs Tassos"/>
    <n v="142"/>
    <n v="0.48299999999999998"/>
    <n v="25"/>
    <n v="0.36199999999999999"/>
    <n v="0.68600000000000005"/>
    <n v="379"/>
    <n v="53"/>
    <n v="133"/>
    <n v="101"/>
    <n v="26"/>
    <n v="31"/>
    <n v="58"/>
    <n v="1.7413793103448276"/>
  </r>
  <r>
    <x v="0"/>
    <x v="0"/>
    <x v="9"/>
    <n v="99"/>
    <x v="4"/>
    <s v="Mpousaras"/>
    <n v="1"/>
    <n v="8"/>
    <n v="5"/>
    <n v="0"/>
    <x v="14"/>
    <s v="vs Vasilis"/>
    <n v="182"/>
    <n v="0.48399999999999999"/>
    <n v="22"/>
    <n v="0.36699999999999999"/>
    <n v="0.81"/>
    <n v="454"/>
    <n v="45"/>
    <n v="149"/>
    <n v="110"/>
    <n v="26"/>
    <n v="14"/>
    <n v="58"/>
    <n v="1.896551724137931"/>
  </r>
  <r>
    <x v="0"/>
    <x v="0"/>
    <x v="9"/>
    <n v="99"/>
    <x v="15"/>
    <s v="Vasilis"/>
    <n v="0"/>
    <n v="5"/>
    <n v="8"/>
    <n v="0"/>
    <x v="5"/>
    <s v="vs Mpousaras"/>
    <n v="135"/>
    <n v="0.42599999999999999"/>
    <n v="45"/>
    <n v="0.375"/>
    <n v="0.81799999999999995"/>
    <n v="351"/>
    <n v="22"/>
    <n v="95"/>
    <n v="75"/>
    <n v="25"/>
    <n v="11"/>
    <n v="39"/>
    <n v="1.9230769230769231"/>
  </r>
  <r>
    <x v="0"/>
    <x v="0"/>
    <x v="9"/>
    <n v="100"/>
    <x v="12"/>
    <s v="Stavros"/>
    <n v="0"/>
    <n v="4"/>
    <n v="9"/>
    <n v="0"/>
    <x v="2"/>
    <s v="vs Sakellariou"/>
    <n v="160"/>
    <n v="0.48"/>
    <n v="33"/>
    <n v="0.375"/>
    <n v="0.76"/>
    <n v="451"/>
    <n v="49"/>
    <n v="169"/>
    <n v="70"/>
    <n v="29"/>
    <n v="13"/>
    <n v="53"/>
    <n v="1.320754716981132"/>
  </r>
  <r>
    <x v="0"/>
    <x v="0"/>
    <x v="9"/>
    <n v="100"/>
    <x v="3"/>
    <s v="Sakellariou"/>
    <n v="1"/>
    <n v="9"/>
    <n v="4"/>
    <n v="0"/>
    <x v="13"/>
    <s v="vs Stavros"/>
    <n v="198"/>
    <n v="0.47799999999999998"/>
    <n v="71"/>
    <n v="0.433"/>
    <n v="0.85199999999999998"/>
    <n v="536"/>
    <n v="29"/>
    <n v="125"/>
    <n v="84"/>
    <n v="28"/>
    <n v="14"/>
    <n v="43"/>
    <n v="1.9534883720930232"/>
  </r>
  <r>
    <x v="0"/>
    <x v="0"/>
    <x v="10"/>
    <n v="101"/>
    <x v="12"/>
    <s v="Stavros"/>
    <n v="1"/>
    <n v="10"/>
    <n v="2"/>
    <n v="1"/>
    <x v="0"/>
    <s v="vs Fanis"/>
    <n v="180"/>
    <n v="0.499"/>
    <n v="43"/>
    <n v="0.41299999999999998"/>
    <n v="0.80200000000000005"/>
    <n v="500"/>
    <n v="45"/>
    <n v="151"/>
    <n v="105"/>
    <n v="34"/>
    <n v="22"/>
    <n v="57"/>
    <n v="1.8421052631578947"/>
  </r>
  <r>
    <x v="0"/>
    <x v="0"/>
    <x v="10"/>
    <n v="101"/>
    <x v="1"/>
    <s v="Fanis"/>
    <n v="0"/>
    <n v="2"/>
    <n v="10"/>
    <n v="1"/>
    <x v="13"/>
    <s v="vs Stavros"/>
    <n v="151"/>
    <n v="0.497"/>
    <n v="42"/>
    <n v="0.42"/>
    <n v="0.74399999999999999"/>
    <n v="411"/>
    <n v="27"/>
    <n v="167"/>
    <n v="79"/>
    <n v="21"/>
    <n v="22"/>
    <n v="62"/>
    <n v="1.2741935483870968"/>
  </r>
  <r>
    <x v="0"/>
    <x v="0"/>
    <x v="10"/>
    <n v="102"/>
    <x v="0"/>
    <s v="Miggianis"/>
    <n v="1"/>
    <n v="8"/>
    <n v="5"/>
    <n v="0"/>
    <x v="10"/>
    <s v="vs pi/Sotiris"/>
    <n v="161"/>
    <n v="0.47399999999999998"/>
    <n v="31"/>
    <n v="0.32600000000000001"/>
    <n v="0.81799999999999995"/>
    <n v="416"/>
    <n v="28"/>
    <n v="116"/>
    <n v="112"/>
    <n v="32"/>
    <n v="23"/>
    <n v="52"/>
    <n v="2.1538461538461537"/>
  </r>
  <r>
    <x v="0"/>
    <x v="0"/>
    <x v="10"/>
    <n v="102"/>
    <x v="11"/>
    <s v="pi/Sotiris"/>
    <n v="0"/>
    <n v="5"/>
    <n v="8"/>
    <n v="0"/>
    <x v="1"/>
    <s v="vs Miggianis"/>
    <n v="141"/>
    <n v="0.40100000000000002"/>
    <n v="35"/>
    <n v="0.34"/>
    <n v="0.72599999999999998"/>
    <n v="386"/>
    <n v="45"/>
    <n v="104"/>
    <n v="82"/>
    <n v="31"/>
    <n v="30"/>
    <n v="40"/>
    <n v="2.0499999999999998"/>
  </r>
  <r>
    <x v="0"/>
    <x v="0"/>
    <x v="10"/>
    <n v="103"/>
    <x v="2"/>
    <s v="Fountos"/>
    <n v="1"/>
    <n v="9"/>
    <n v="4"/>
    <n v="0"/>
    <x v="11"/>
    <s v="vs Lagios"/>
    <n v="188"/>
    <n v="0.46200000000000002"/>
    <n v="49"/>
    <n v="0.36"/>
    <n v="0.78800000000000003"/>
    <n v="529"/>
    <n v="37"/>
    <n v="134"/>
    <n v="136"/>
    <n v="29"/>
    <n v="13"/>
    <n v="52"/>
    <n v="2.6153846153846154"/>
  </r>
  <r>
    <x v="0"/>
    <x v="0"/>
    <x v="10"/>
    <n v="103"/>
    <x v="10"/>
    <s v="Lagios"/>
    <n v="0"/>
    <n v="4"/>
    <n v="9"/>
    <n v="0"/>
    <x v="3"/>
    <s v="vs Fountos"/>
    <n v="150"/>
    <n v="0.45700000000000002"/>
    <n v="37"/>
    <n v="0.32700000000000001"/>
    <n v="0.81200000000000006"/>
    <n v="406"/>
    <n v="38"/>
    <n v="120"/>
    <n v="85"/>
    <n v="18"/>
    <n v="15"/>
    <n v="40"/>
    <n v="2.125"/>
  </r>
  <r>
    <x v="0"/>
    <x v="0"/>
    <x v="10"/>
    <n v="104"/>
    <x v="5"/>
    <s v="Markos"/>
    <n v="0"/>
    <n v="6"/>
    <n v="6"/>
    <n v="1"/>
    <x v="12"/>
    <s v="vs Kousidis"/>
    <n v="165"/>
    <n v="0.49099999999999999"/>
    <n v="37"/>
    <n v="0.33900000000000002"/>
    <n v="0.76800000000000002"/>
    <n v="430"/>
    <n v="42"/>
    <n v="162"/>
    <n v="134"/>
    <n v="41"/>
    <n v="10"/>
    <n v="61"/>
    <n v="2.1967213114754101"/>
  </r>
  <r>
    <x v="0"/>
    <x v="0"/>
    <x v="10"/>
    <n v="104"/>
    <x v="13"/>
    <s v="Kousidis"/>
    <n v="0"/>
    <n v="6"/>
    <n v="6"/>
    <n v="1"/>
    <x v="4"/>
    <s v="vs Markos"/>
    <n v="189"/>
    <n v="0.42899999999999999"/>
    <n v="35"/>
    <n v="0.307"/>
    <n v="0.79"/>
    <n v="496"/>
    <n v="42"/>
    <n v="136"/>
    <n v="122"/>
    <n v="37"/>
    <n v="11"/>
    <n v="55"/>
    <n v="2.2181818181818183"/>
  </r>
  <r>
    <x v="0"/>
    <x v="0"/>
    <x v="10"/>
    <n v="105"/>
    <x v="7"/>
    <s v="Johnny"/>
    <n v="0"/>
    <n v="3"/>
    <n v="10"/>
    <n v="0"/>
    <x v="15"/>
    <s v="vs Panagopoulos"/>
    <n v="93"/>
    <n v="0.41"/>
    <n v="19"/>
    <n v="0.32800000000000001"/>
    <n v="0.77100000000000002"/>
    <n v="286"/>
    <n v="49"/>
    <n v="121"/>
    <n v="73"/>
    <n v="30"/>
    <n v="16"/>
    <n v="40"/>
    <n v="1.825"/>
  </r>
  <r>
    <x v="0"/>
    <x v="0"/>
    <x v="10"/>
    <n v="105"/>
    <x v="14"/>
    <s v="Panagopoulos"/>
    <n v="1"/>
    <n v="10"/>
    <n v="3"/>
    <n v="0"/>
    <x v="6"/>
    <s v="vs Johnny"/>
    <n v="176"/>
    <n v="0.46600000000000003"/>
    <n v="71"/>
    <n v="0.42"/>
    <n v="0.83799999999999997"/>
    <n v="490"/>
    <n v="32"/>
    <n v="163"/>
    <n v="94"/>
    <n v="29"/>
    <n v="22"/>
    <n v="49"/>
    <n v="1.9183673469387754"/>
  </r>
  <r>
    <x v="0"/>
    <x v="0"/>
    <x v="10"/>
    <n v="106"/>
    <x v="17"/>
    <s v="Spiridaus/Oladipas"/>
    <n v="1"/>
    <n v="10"/>
    <n v="3"/>
    <n v="0"/>
    <x v="9"/>
    <s v="vs Antoniou"/>
    <n v="186"/>
    <n v="0.44900000000000001"/>
    <n v="50"/>
    <n v="0.33300000000000002"/>
    <n v="0.84099999999999997"/>
    <n v="496"/>
    <n v="34"/>
    <n v="108"/>
    <n v="96"/>
    <n v="31"/>
    <n v="27"/>
    <n v="51"/>
    <n v="1.8823529411764706"/>
  </r>
  <r>
    <x v="0"/>
    <x v="0"/>
    <x v="10"/>
    <n v="106"/>
    <x v="8"/>
    <s v="Antoniou"/>
    <n v="0"/>
    <n v="3"/>
    <n v="10"/>
    <n v="0"/>
    <x v="16"/>
    <s v="vs Spiridaus/Oladipas"/>
    <n v="168"/>
    <n v="0.44800000000000001"/>
    <n v="42"/>
    <n v="0.33100000000000002"/>
    <n v="0.74099999999999999"/>
    <n v="461"/>
    <n v="38"/>
    <n v="151"/>
    <n v="90"/>
    <n v="30"/>
    <n v="29"/>
    <n v="66"/>
    <n v="1.3636363636363635"/>
  </r>
  <r>
    <x v="0"/>
    <x v="0"/>
    <x v="10"/>
    <n v="107"/>
    <x v="9"/>
    <s v="Ziogas/Christof"/>
    <n v="1"/>
    <n v="11"/>
    <n v="2"/>
    <n v="0"/>
    <x v="18"/>
    <s v="vs Nonis"/>
    <n v="124"/>
    <n v="0.42899999999999999"/>
    <n v="32"/>
    <n v="0.29899999999999999"/>
    <n v="0.68300000000000005"/>
    <n v="336"/>
    <n v="37"/>
    <n v="119"/>
    <n v="53"/>
    <n v="23"/>
    <n v="14"/>
    <n v="44"/>
    <n v="1.2045454545454546"/>
  </r>
  <r>
    <x v="0"/>
    <x v="0"/>
    <x v="10"/>
    <n v="107"/>
    <x v="19"/>
    <s v="Nonis"/>
    <n v="0"/>
    <n v="2"/>
    <n v="11"/>
    <n v="0"/>
    <x v="8"/>
    <s v="vs Ziogas/Christof"/>
    <n v="88"/>
    <n v="0.42299999999999999"/>
    <n v="16"/>
    <n v="0.25800000000000001"/>
    <n v="0.59"/>
    <n v="215"/>
    <n v="25"/>
    <n v="70"/>
    <n v="52"/>
    <n v="20"/>
    <n v="9"/>
    <n v="26"/>
    <n v="2"/>
  </r>
  <r>
    <x v="0"/>
    <x v="0"/>
    <x v="10"/>
    <n v="108"/>
    <x v="6"/>
    <s v="Tassos"/>
    <n v="1"/>
    <n v="6"/>
    <n v="5"/>
    <n v="2"/>
    <x v="19"/>
    <s v="vs Kotakis"/>
    <n v="181"/>
    <n v="0.46500000000000002"/>
    <n v="44"/>
    <n v="0.314"/>
    <n v="0.73599999999999999"/>
    <n v="487"/>
    <n v="43"/>
    <n v="96"/>
    <n v="125"/>
    <n v="34"/>
    <n v="15"/>
    <n v="53"/>
    <n v="2.358490566037736"/>
  </r>
  <r>
    <x v="0"/>
    <x v="0"/>
    <x v="10"/>
    <n v="108"/>
    <x v="18"/>
    <s v="Kotakis"/>
    <n v="0"/>
    <n v="5"/>
    <n v="6"/>
    <n v="2"/>
    <x v="7"/>
    <s v="vs Tassos"/>
    <n v="136"/>
    <n v="0.48199999999999998"/>
    <n v="27"/>
    <n v="0.36499999999999999"/>
    <n v="0.78500000000000003"/>
    <n v="361"/>
    <n v="43"/>
    <n v="109"/>
    <n v="54"/>
    <n v="23"/>
    <n v="15"/>
    <n v="36"/>
    <n v="1.5"/>
  </r>
  <r>
    <x v="0"/>
    <x v="0"/>
    <x v="10"/>
    <n v="109"/>
    <x v="16"/>
    <s v="Aris"/>
    <n v="1"/>
    <n v="9"/>
    <n v="4"/>
    <n v="0"/>
    <x v="5"/>
    <s v="vs Mpousaras"/>
    <n v="145"/>
    <n v="0.48499999999999999"/>
    <n v="29"/>
    <n v="0.35399999999999998"/>
    <n v="0.71699999999999997"/>
    <n v="390"/>
    <n v="46"/>
    <n v="142"/>
    <n v="123"/>
    <n v="34"/>
    <n v="31"/>
    <n v="54"/>
    <n v="2.2777777777777777"/>
  </r>
  <r>
    <x v="0"/>
    <x v="0"/>
    <x v="10"/>
    <n v="109"/>
    <x v="4"/>
    <s v="Mpousaras"/>
    <n v="0"/>
    <n v="4"/>
    <n v="9"/>
    <n v="0"/>
    <x v="17"/>
    <s v="vs Aris"/>
    <n v="166"/>
    <n v="0.46600000000000003"/>
    <n v="20"/>
    <n v="0.317"/>
    <n v="0.70899999999999996"/>
    <n v="413"/>
    <n v="44"/>
    <n v="144"/>
    <n v="115"/>
    <n v="26"/>
    <n v="19"/>
    <n v="52"/>
    <n v="2.2115384615384617"/>
  </r>
  <r>
    <x v="0"/>
    <x v="0"/>
    <x v="10"/>
    <n v="110"/>
    <x v="3"/>
    <s v="Sakellariou"/>
    <n v="1"/>
    <n v="8"/>
    <n v="5"/>
    <n v="0"/>
    <x v="14"/>
    <s v="vs Vasilis"/>
    <n v="206"/>
    <n v="0.48399999999999999"/>
    <n v="57"/>
    <n v="0.39300000000000002"/>
    <n v="0.86399999999999999"/>
    <n v="558"/>
    <n v="36"/>
    <n v="159"/>
    <n v="97"/>
    <n v="22"/>
    <n v="10"/>
    <n v="56"/>
    <n v="1.7321428571428572"/>
  </r>
  <r>
    <x v="0"/>
    <x v="0"/>
    <x v="10"/>
    <n v="110"/>
    <x v="15"/>
    <s v="Vasilis"/>
    <n v="0"/>
    <n v="5"/>
    <n v="8"/>
    <n v="0"/>
    <x v="2"/>
    <s v="vs Sakellariou"/>
    <n v="164"/>
    <n v="0.49099999999999999"/>
    <n v="52"/>
    <n v="0.40600000000000003"/>
    <n v="0.76800000000000002"/>
    <n v="443"/>
    <n v="28"/>
    <n v="113"/>
    <n v="55"/>
    <n v="21"/>
    <n v="20"/>
    <n v="29"/>
    <n v="1.896551724137931"/>
  </r>
  <r>
    <x v="0"/>
    <x v="0"/>
    <x v="11"/>
    <n v="111"/>
    <x v="1"/>
    <s v="Fanis"/>
    <n v="1"/>
    <n v="9"/>
    <n v="3"/>
    <n v="1"/>
    <x v="14"/>
    <s v="vs Vasilis"/>
    <n v="163"/>
    <n v="0.46800000000000003"/>
    <n v="51"/>
    <n v="0.36399999999999999"/>
    <n v="0.84899999999999998"/>
    <n v="467"/>
    <n v="32"/>
    <n v="131"/>
    <n v="86"/>
    <n v="33"/>
    <n v="16"/>
    <n v="60"/>
    <n v="1.4333333333333333"/>
  </r>
  <r>
    <x v="0"/>
    <x v="0"/>
    <x v="11"/>
    <n v="111"/>
    <x v="15"/>
    <s v="Vasilis"/>
    <n v="0"/>
    <n v="3"/>
    <n v="9"/>
    <n v="1"/>
    <x v="0"/>
    <s v="vs Fanis"/>
    <n v="151"/>
    <n v="0.46700000000000003"/>
    <n v="45"/>
    <n v="0.36899999999999999"/>
    <n v="0.82699999999999996"/>
    <n v="409"/>
    <n v="24"/>
    <n v="116"/>
    <n v="80"/>
    <n v="33"/>
    <n v="11"/>
    <n v="39"/>
    <n v="2.0512820512820511"/>
  </r>
  <r>
    <x v="0"/>
    <x v="0"/>
    <x v="11"/>
    <n v="112"/>
    <x v="2"/>
    <s v="Fountos"/>
    <n v="1"/>
    <n v="11"/>
    <n v="2"/>
    <n v="0"/>
    <x v="10"/>
    <s v="vs pi/Sotiris"/>
    <n v="150"/>
    <n v="0.434"/>
    <n v="28"/>
    <n v="0.29199999999999998"/>
    <n v="0.81499999999999995"/>
    <n v="447"/>
    <n v="44"/>
    <n v="101"/>
    <n v="81"/>
    <n v="33"/>
    <n v="19"/>
    <n v="44"/>
    <n v="1.8409090909090908"/>
  </r>
  <r>
    <x v="0"/>
    <x v="0"/>
    <x v="11"/>
    <n v="112"/>
    <x v="11"/>
    <s v="pi/Sotiris"/>
    <n v="0"/>
    <n v="2"/>
    <n v="11"/>
    <n v="0"/>
    <x v="3"/>
    <s v="vs Fountos"/>
    <n v="103"/>
    <n v="0.40400000000000003"/>
    <n v="25"/>
    <n v="0.39700000000000002"/>
    <n v="0.70399999999999996"/>
    <n v="269"/>
    <n v="21"/>
    <n v="91"/>
    <n v="55"/>
    <n v="13"/>
    <n v="25"/>
    <n v="50"/>
    <n v="1.1000000000000001"/>
  </r>
  <r>
    <x v="0"/>
    <x v="0"/>
    <x v="11"/>
    <n v="113"/>
    <x v="5"/>
    <s v="Markos"/>
    <n v="1"/>
    <n v="7"/>
    <n v="6"/>
    <n v="0"/>
    <x v="11"/>
    <s v="vs Lagios"/>
    <n v="148"/>
    <n v="0.49199999999999999"/>
    <n v="29"/>
    <n v="0.34100000000000003"/>
    <n v="0.79600000000000004"/>
    <n v="364"/>
    <n v="34"/>
    <n v="101"/>
    <n v="122"/>
    <n v="34"/>
    <n v="11"/>
    <n v="42"/>
    <n v="2.9047619047619047"/>
  </r>
  <r>
    <x v="0"/>
    <x v="0"/>
    <x v="11"/>
    <n v="113"/>
    <x v="10"/>
    <s v="Lagios"/>
    <n v="0"/>
    <n v="6"/>
    <n v="7"/>
    <n v="0"/>
    <x v="4"/>
    <s v="vs Markos"/>
    <n v="154"/>
    <n v="0.48399999999999999"/>
    <n v="50"/>
    <n v="0.4"/>
    <n v="0.78"/>
    <n v="443"/>
    <n v="28"/>
    <n v="128"/>
    <n v="94"/>
    <n v="26"/>
    <n v="20"/>
    <n v="48"/>
    <n v="1.9583333333333333"/>
  </r>
  <r>
    <x v="0"/>
    <x v="0"/>
    <x v="11"/>
    <n v="114"/>
    <x v="13"/>
    <s v="Kousidis"/>
    <n v="1"/>
    <n v="7"/>
    <n v="6"/>
    <n v="0"/>
    <x v="6"/>
    <s v="vs Johnny"/>
    <n v="158"/>
    <n v="0.46899999999999997"/>
    <n v="49"/>
    <n v="0.41199999999999998"/>
    <n v="0.85699999999999998"/>
    <n v="449"/>
    <n v="26"/>
    <n v="102"/>
    <n v="98"/>
    <n v="26"/>
    <n v="6"/>
    <n v="47"/>
    <n v="2.0851063829787235"/>
  </r>
  <r>
    <x v="0"/>
    <x v="0"/>
    <x v="11"/>
    <n v="114"/>
    <x v="7"/>
    <s v="Johnny"/>
    <n v="0"/>
    <n v="6"/>
    <n v="7"/>
    <n v="0"/>
    <x v="12"/>
    <s v="vs Kousidis"/>
    <n v="110"/>
    <n v="0.49299999999999999"/>
    <n v="18"/>
    <n v="0.439"/>
    <n v="0.66700000000000004"/>
    <n v="278"/>
    <n v="40"/>
    <n v="119"/>
    <n v="59"/>
    <n v="20"/>
    <n v="12"/>
    <n v="43"/>
    <n v="1.3720930232558139"/>
  </r>
  <r>
    <x v="0"/>
    <x v="0"/>
    <x v="11"/>
    <n v="115"/>
    <x v="8"/>
    <s v="Antoniou"/>
    <n v="1"/>
    <n v="10"/>
    <n v="3"/>
    <n v="0"/>
    <x v="15"/>
    <s v="vs Panagopoulos"/>
    <n v="169"/>
    <n v="0.45600000000000002"/>
    <n v="46"/>
    <n v="0.38300000000000001"/>
    <n v="0.82499999999999996"/>
    <n v="450"/>
    <n v="38"/>
    <n v="184"/>
    <n v="86"/>
    <n v="26"/>
    <n v="21"/>
    <n v="48"/>
    <n v="1.7916666666666667"/>
  </r>
  <r>
    <x v="0"/>
    <x v="0"/>
    <x v="11"/>
    <n v="115"/>
    <x v="14"/>
    <s v="Panagopoulos"/>
    <n v="0"/>
    <n v="3"/>
    <n v="10"/>
    <n v="0"/>
    <x v="9"/>
    <s v="vs Antoniou"/>
    <n v="139"/>
    <n v="0.48799999999999999"/>
    <n v="49"/>
    <n v="0.40500000000000003"/>
    <n v="0.81499999999999995"/>
    <n v="380"/>
    <n v="20"/>
    <n v="93"/>
    <n v="81"/>
    <n v="24"/>
    <n v="15"/>
    <n v="64"/>
    <n v="1.265625"/>
  </r>
  <r>
    <x v="0"/>
    <x v="0"/>
    <x v="11"/>
    <n v="116"/>
    <x v="17"/>
    <s v="Spiridaus/Oladipas"/>
    <n v="1"/>
    <n v="7"/>
    <n v="6"/>
    <n v="0"/>
    <x v="8"/>
    <s v="vs Ziogas/Christof"/>
    <n v="152"/>
    <n v="0.44400000000000001"/>
    <n v="33"/>
    <n v="0.30299999999999999"/>
    <n v="0.78100000000000003"/>
    <n v="394"/>
    <n v="37"/>
    <n v="103"/>
    <n v="107"/>
    <n v="36"/>
    <n v="21"/>
    <n v="63"/>
    <n v="1.6984126984126984"/>
  </r>
  <r>
    <x v="0"/>
    <x v="0"/>
    <x v="11"/>
    <n v="116"/>
    <x v="9"/>
    <s v="Ziogas/Christof"/>
    <n v="0"/>
    <n v="6"/>
    <n v="7"/>
    <n v="0"/>
    <x v="16"/>
    <s v="vs Spiridaus/Oladipas"/>
    <n v="150"/>
    <n v="0.498"/>
    <n v="54"/>
    <n v="0.41499999999999998"/>
    <n v="0.79700000000000004"/>
    <n v="409"/>
    <n v="21"/>
    <n v="93"/>
    <n v="65"/>
    <n v="28"/>
    <n v="19"/>
    <n v="54"/>
    <n v="1.2037037037037037"/>
  </r>
  <r>
    <x v="0"/>
    <x v="0"/>
    <x v="11"/>
    <n v="117"/>
    <x v="6"/>
    <s v="Tassos"/>
    <n v="1"/>
    <n v="10"/>
    <n v="3"/>
    <n v="0"/>
    <x v="18"/>
    <s v="vs Nonis"/>
    <n v="211"/>
    <n v="0.48699999999999999"/>
    <n v="53"/>
    <n v="0.40200000000000002"/>
    <n v="0.76500000000000001"/>
    <n v="563"/>
    <n v="38"/>
    <n v="125"/>
    <n v="98"/>
    <n v="32"/>
    <n v="33"/>
    <n v="57"/>
    <n v="1.7192982456140351"/>
  </r>
  <r>
    <x v="0"/>
    <x v="0"/>
    <x v="11"/>
    <n v="117"/>
    <x v="19"/>
    <s v="Nonis"/>
    <n v="0"/>
    <n v="3"/>
    <n v="10"/>
    <n v="0"/>
    <x v="7"/>
    <s v="vs Tassos"/>
    <n v="80"/>
    <n v="0.49099999999999999"/>
    <n v="11"/>
    <n v="0.25600000000000001"/>
    <n v="0.76900000000000002"/>
    <n v="201"/>
    <n v="32"/>
    <n v="88"/>
    <n v="39"/>
    <n v="16"/>
    <n v="10"/>
    <n v="32"/>
    <n v="1.21875"/>
  </r>
  <r>
    <x v="0"/>
    <x v="0"/>
    <x v="11"/>
    <n v="118"/>
    <x v="4"/>
    <s v="Mpousaras"/>
    <n v="1"/>
    <n v="9"/>
    <n v="4"/>
    <n v="0"/>
    <x v="19"/>
    <s v="vs Kotakis"/>
    <n v="171"/>
    <n v="0.47799999999999998"/>
    <n v="20"/>
    <n v="0.26700000000000002"/>
    <n v="0.73699999999999999"/>
    <n v="446"/>
    <n v="38"/>
    <n v="83"/>
    <n v="98"/>
    <n v="31"/>
    <n v="16"/>
    <n v="55"/>
    <n v="1.7818181818181817"/>
  </r>
  <r>
    <x v="0"/>
    <x v="0"/>
    <x v="11"/>
    <n v="118"/>
    <x v="18"/>
    <s v="Kotakis"/>
    <n v="0"/>
    <n v="4"/>
    <n v="9"/>
    <n v="0"/>
    <x v="5"/>
    <s v="vs Mpousaras"/>
    <n v="85"/>
    <n v="0.5"/>
    <n v="15"/>
    <n v="0.375"/>
    <n v="0.83099999999999996"/>
    <n v="234"/>
    <n v="28"/>
    <n v="79"/>
    <n v="43"/>
    <n v="16"/>
    <n v="13"/>
    <n v="26"/>
    <n v="1.6538461538461537"/>
  </r>
  <r>
    <x v="0"/>
    <x v="0"/>
    <x v="11"/>
    <n v="119"/>
    <x v="3"/>
    <s v="Sakellariou"/>
    <n v="1"/>
    <n v="10"/>
    <n v="3"/>
    <n v="0"/>
    <x v="17"/>
    <s v="vs Aris"/>
    <n v="156"/>
    <n v="0.48799999999999999"/>
    <n v="33"/>
    <n v="0.35499999999999998"/>
    <n v="0.78300000000000003"/>
    <n v="410"/>
    <n v="44"/>
    <n v="141"/>
    <n v="67"/>
    <n v="21"/>
    <n v="11"/>
    <n v="47"/>
    <n v="1.425531914893617"/>
  </r>
  <r>
    <x v="0"/>
    <x v="0"/>
    <x v="11"/>
    <n v="119"/>
    <x v="16"/>
    <s v="Aris"/>
    <n v="0"/>
    <n v="3"/>
    <n v="10"/>
    <n v="0"/>
    <x v="2"/>
    <s v="vs Sakellariou"/>
    <n v="121"/>
    <n v="0.47299999999999998"/>
    <n v="26"/>
    <n v="0.38200000000000001"/>
    <n v="0.77300000000000002"/>
    <n v="326"/>
    <n v="28"/>
    <n v="84"/>
    <n v="70"/>
    <n v="16"/>
    <n v="18"/>
    <n v="51"/>
    <n v="1.3725490196078431"/>
  </r>
  <r>
    <x v="0"/>
    <x v="0"/>
    <x v="11"/>
    <n v="120"/>
    <x v="0"/>
    <s v="Miggianis"/>
    <n v="1"/>
    <n v="10"/>
    <n v="3"/>
    <n v="0"/>
    <x v="13"/>
    <s v="vs Stavros"/>
    <n v="123"/>
    <n v="0.41299999999999998"/>
    <n v="26"/>
    <n v="0.32100000000000001"/>
    <n v="0.85899999999999999"/>
    <n v="339"/>
    <n v="34"/>
    <n v="127"/>
    <n v="110"/>
    <n v="24"/>
    <n v="14"/>
    <n v="58"/>
    <n v="1.896551724137931"/>
  </r>
  <r>
    <x v="0"/>
    <x v="0"/>
    <x v="11"/>
    <n v="120"/>
    <x v="12"/>
    <s v="Stavros"/>
    <n v="0"/>
    <n v="3"/>
    <n v="10"/>
    <n v="0"/>
    <x v="1"/>
    <s v="vs Miggianis"/>
    <n v="106"/>
    <n v="0.498"/>
    <n v="18"/>
    <n v="0.38300000000000001"/>
    <n v="0.73699999999999999"/>
    <n v="286"/>
    <n v="31"/>
    <n v="106"/>
    <n v="42"/>
    <n v="16"/>
    <n v="10"/>
    <n v="27"/>
    <n v="1.5555555555555556"/>
  </r>
  <r>
    <x v="0"/>
    <x v="0"/>
    <x v="12"/>
    <n v="121"/>
    <x v="16"/>
    <s v="Aris"/>
    <n v="1"/>
    <n v="8"/>
    <n v="5"/>
    <n v="0"/>
    <x v="0"/>
    <s v="vs Fanis"/>
    <n v="150"/>
    <n v="0.51900000000000002"/>
    <n v="31"/>
    <n v="0.39200000000000002"/>
    <n v="0.753"/>
    <n v="386"/>
    <n v="38"/>
    <n v="87"/>
    <n v="99"/>
    <n v="25"/>
    <n v="21"/>
    <n v="57"/>
    <n v="1.736842105263158"/>
  </r>
  <r>
    <x v="0"/>
    <x v="0"/>
    <x v="12"/>
    <n v="121"/>
    <x v="1"/>
    <s v="Fanis"/>
    <n v="0"/>
    <n v="5"/>
    <n v="8"/>
    <n v="0"/>
    <x v="17"/>
    <s v="vs Aris"/>
    <n v="120"/>
    <n v="0.441"/>
    <n v="34"/>
    <n v="0.30599999999999999"/>
    <n v="0.84399999999999997"/>
    <n v="339"/>
    <n v="26"/>
    <n v="118"/>
    <n v="86"/>
    <n v="24"/>
    <n v="14"/>
    <n v="48"/>
    <n v="1.7916666666666667"/>
  </r>
  <r>
    <x v="0"/>
    <x v="0"/>
    <x v="12"/>
    <n v="122"/>
    <x v="11"/>
    <s v="pi/Sotiris"/>
    <n v="1"/>
    <n v="7"/>
    <n v="6"/>
    <n v="0"/>
    <x v="4"/>
    <s v="vs Markos"/>
    <n v="136"/>
    <n v="0.41199999999999998"/>
    <n v="38"/>
    <n v="0.34200000000000003"/>
    <n v="0.65500000000000003"/>
    <n v="346"/>
    <n v="35"/>
    <n v="125"/>
    <n v="103"/>
    <n v="37"/>
    <n v="18"/>
    <n v="59"/>
    <n v="1.7457627118644068"/>
  </r>
  <r>
    <x v="0"/>
    <x v="0"/>
    <x v="12"/>
    <n v="122"/>
    <x v="5"/>
    <s v="Markos"/>
    <n v="0"/>
    <n v="6"/>
    <n v="7"/>
    <n v="0"/>
    <x v="10"/>
    <s v="vs pi/Sotiris"/>
    <n v="145"/>
    <n v="0.48699999999999999"/>
    <n v="23"/>
    <n v="0.32400000000000001"/>
    <n v="0.77300000000000002"/>
    <n v="381"/>
    <n v="50"/>
    <n v="121"/>
    <n v="75"/>
    <n v="32"/>
    <n v="26"/>
    <n v="61"/>
    <n v="1.2295081967213115"/>
  </r>
  <r>
    <x v="0"/>
    <x v="0"/>
    <x v="12"/>
    <n v="123"/>
    <x v="7"/>
    <s v="Johnny"/>
    <n v="1"/>
    <n v="7"/>
    <n v="6"/>
    <n v="0"/>
    <x v="11"/>
    <s v="vs Lagios"/>
    <n v="135"/>
    <n v="0.45500000000000002"/>
    <n v="26"/>
    <n v="0.34200000000000003"/>
    <n v="0.77900000000000003"/>
    <n v="363"/>
    <n v="51"/>
    <n v="97"/>
    <n v="104"/>
    <n v="32"/>
    <n v="18"/>
    <n v="58"/>
    <n v="1.7931034482758621"/>
  </r>
  <r>
    <x v="0"/>
    <x v="0"/>
    <x v="12"/>
    <n v="123"/>
    <x v="10"/>
    <s v="Lagios"/>
    <n v="0"/>
    <n v="6"/>
    <n v="7"/>
    <n v="0"/>
    <x v="6"/>
    <s v="vs Johnny"/>
    <n v="131"/>
    <n v="0.41299999999999998"/>
    <n v="36"/>
    <n v="0.31"/>
    <n v="0.82799999999999996"/>
    <n v="370"/>
    <n v="33"/>
    <n v="127"/>
    <n v="84"/>
    <n v="20"/>
    <n v="13"/>
    <n v="34"/>
    <n v="2.4705882352941178"/>
  </r>
  <r>
    <x v="0"/>
    <x v="0"/>
    <x v="12"/>
    <n v="124"/>
    <x v="13"/>
    <s v="Kousidis"/>
    <n v="0"/>
    <n v="5"/>
    <n v="8"/>
    <n v="0"/>
    <x v="9"/>
    <s v="vs Antoniou"/>
    <n v="182"/>
    <n v="0.44600000000000001"/>
    <n v="38"/>
    <n v="0.35799999999999998"/>
    <n v="0.80900000000000005"/>
    <n v="474"/>
    <n v="37"/>
    <n v="130"/>
    <n v="92"/>
    <n v="21"/>
    <n v="8"/>
    <n v="57"/>
    <n v="1.6140350877192982"/>
  </r>
  <r>
    <x v="0"/>
    <x v="0"/>
    <x v="12"/>
    <n v="124"/>
    <x v="8"/>
    <s v="Antoniou"/>
    <n v="1"/>
    <n v="8"/>
    <n v="5"/>
    <n v="0"/>
    <x v="12"/>
    <s v="vs Kousidis"/>
    <n v="175"/>
    <n v="0.504"/>
    <n v="53"/>
    <n v="0.44500000000000001"/>
    <n v="0.8"/>
    <n v="463"/>
    <n v="35"/>
    <n v="158"/>
    <n v="93"/>
    <n v="17"/>
    <n v="11"/>
    <n v="53"/>
    <n v="1.7547169811320755"/>
  </r>
  <r>
    <x v="0"/>
    <x v="0"/>
    <x v="12"/>
    <n v="125"/>
    <x v="9"/>
    <s v="Ziogas/Christof"/>
    <n v="0"/>
    <n v="6"/>
    <n v="7"/>
    <n v="0"/>
    <x v="15"/>
    <s v="vs Panagopoulos"/>
    <n v="129"/>
    <n v="0.42299999999999999"/>
    <n v="38"/>
    <n v="0.28599999999999998"/>
    <n v="0.79600000000000004"/>
    <n v="339"/>
    <n v="21"/>
    <n v="104"/>
    <n v="78"/>
    <n v="36"/>
    <n v="16"/>
    <n v="42"/>
    <n v="1.8571428571428572"/>
  </r>
  <r>
    <x v="0"/>
    <x v="0"/>
    <x v="12"/>
    <n v="125"/>
    <x v="14"/>
    <s v="Panagopoulos"/>
    <n v="1"/>
    <n v="7"/>
    <n v="6"/>
    <n v="0"/>
    <x v="8"/>
    <s v="vs Ziogas/Christof"/>
    <n v="126"/>
    <n v="0.41599999999999998"/>
    <n v="50"/>
    <n v="0.39700000000000002"/>
    <n v="0.74099999999999999"/>
    <n v="365"/>
    <n v="33"/>
    <n v="131"/>
    <n v="88"/>
    <n v="33"/>
    <n v="21"/>
    <n v="63"/>
    <n v="1.3968253968253967"/>
  </r>
  <r>
    <x v="0"/>
    <x v="0"/>
    <x v="12"/>
    <n v="126"/>
    <x v="17"/>
    <s v="Spiridaus/Oladipas"/>
    <n v="0"/>
    <n v="4"/>
    <n v="9"/>
    <n v="0"/>
    <x v="7"/>
    <s v="vs Tassos"/>
    <n v="167"/>
    <n v="0.47599999999999998"/>
    <n v="35"/>
    <n v="0.33700000000000002"/>
    <n v="0.78800000000000003"/>
    <n v="436"/>
    <n v="30"/>
    <n v="126"/>
    <n v="81"/>
    <n v="38"/>
    <n v="27"/>
    <n v="48"/>
    <n v="1.6875"/>
  </r>
  <r>
    <x v="0"/>
    <x v="0"/>
    <x v="12"/>
    <n v="126"/>
    <x v="6"/>
    <s v="Tassos"/>
    <n v="1"/>
    <n v="9"/>
    <n v="4"/>
    <n v="0"/>
    <x v="16"/>
    <s v="vs Spiridaus/Oladipas"/>
    <n v="201"/>
    <n v="0.48"/>
    <n v="48"/>
    <n v="0.36399999999999999"/>
    <n v="0.72"/>
    <n v="522"/>
    <n v="44"/>
    <n v="136"/>
    <n v="92"/>
    <n v="29"/>
    <n v="30"/>
    <n v="65"/>
    <n v="1.4153846153846155"/>
  </r>
  <r>
    <x v="0"/>
    <x v="0"/>
    <x v="12"/>
    <n v="127"/>
    <x v="4"/>
    <s v="Mpousaras"/>
    <n v="1"/>
    <n v="9"/>
    <n v="3"/>
    <n v="1"/>
    <x v="18"/>
    <s v="vs Nonis"/>
    <n v="145"/>
    <n v="0.46600000000000003"/>
    <n v="19"/>
    <n v="0.27900000000000003"/>
    <n v="0.77"/>
    <n v="356"/>
    <n v="35"/>
    <n v="124"/>
    <n v="87"/>
    <n v="19"/>
    <n v="12"/>
    <n v="40"/>
    <n v="2.1749999999999998"/>
  </r>
  <r>
    <x v="0"/>
    <x v="0"/>
    <x v="12"/>
    <n v="127"/>
    <x v="19"/>
    <s v="Nonis"/>
    <n v="0"/>
    <n v="3"/>
    <n v="9"/>
    <n v="1"/>
    <x v="5"/>
    <s v="vs Mpousaras"/>
    <n v="85"/>
    <n v="0.47"/>
    <n v="14"/>
    <n v="0.29799999999999999"/>
    <n v="0.82499999999999996"/>
    <n v="217"/>
    <n v="35"/>
    <n v="87"/>
    <n v="41"/>
    <n v="11"/>
    <n v="6"/>
    <n v="41"/>
    <n v="1"/>
  </r>
  <r>
    <x v="0"/>
    <x v="0"/>
    <x v="12"/>
    <n v="128"/>
    <x v="18"/>
    <s v="Kotakis"/>
    <n v="0"/>
    <n v="4"/>
    <n v="9"/>
    <n v="0"/>
    <x v="2"/>
    <s v="vs Sakellariou"/>
    <n v="162"/>
    <n v="0.46700000000000003"/>
    <n v="25"/>
    <n v="0.24"/>
    <n v="0.77500000000000002"/>
    <n v="435"/>
    <n v="27"/>
    <n v="150"/>
    <n v="109"/>
    <n v="34"/>
    <n v="10"/>
    <n v="63"/>
    <n v="1.7301587301587302"/>
  </r>
  <r>
    <x v="0"/>
    <x v="0"/>
    <x v="12"/>
    <n v="128"/>
    <x v="3"/>
    <s v="Sakellariou"/>
    <n v="1"/>
    <n v="9"/>
    <n v="4"/>
    <n v="0"/>
    <x v="19"/>
    <s v="vs Kotakis"/>
    <n v="178"/>
    <n v="0.47299999999999998"/>
    <n v="53"/>
    <n v="0.39"/>
    <n v="0.89800000000000002"/>
    <n v="497"/>
    <n v="20"/>
    <n v="104"/>
    <n v="83"/>
    <n v="22"/>
    <n v="12"/>
    <n v="44"/>
    <n v="1.8863636363636365"/>
  </r>
  <r>
    <x v="0"/>
    <x v="0"/>
    <x v="12"/>
    <n v="129"/>
    <x v="15"/>
    <s v="Vasilis"/>
    <n v="0"/>
    <n v="4"/>
    <n v="9"/>
    <n v="0"/>
    <x v="1"/>
    <s v="vs Miggianis"/>
    <n v="175"/>
    <n v="0.49399999999999999"/>
    <n v="50"/>
    <n v="0.35499999999999998"/>
    <n v="0.70699999999999996"/>
    <n v="465"/>
    <n v="17"/>
    <n v="121"/>
    <n v="88"/>
    <n v="39"/>
    <n v="23"/>
    <n v="57"/>
    <n v="1.5438596491228069"/>
  </r>
  <r>
    <x v="0"/>
    <x v="0"/>
    <x v="12"/>
    <n v="129"/>
    <x v="0"/>
    <s v="Miggianis"/>
    <n v="1"/>
    <n v="9"/>
    <n v="4"/>
    <n v="0"/>
    <x v="14"/>
    <s v="vs Vasilis"/>
    <n v="187"/>
    <n v="0.53400000000000003"/>
    <n v="32"/>
    <n v="0.33700000000000002"/>
    <n v="0.83799999999999997"/>
    <n v="473"/>
    <n v="42"/>
    <n v="140"/>
    <n v="122"/>
    <n v="31"/>
    <n v="12"/>
    <n v="45"/>
    <n v="2.7111111111111112"/>
  </r>
  <r>
    <x v="0"/>
    <x v="0"/>
    <x v="12"/>
    <n v="130"/>
    <x v="2"/>
    <s v="Fountos"/>
    <n v="1"/>
    <n v="7"/>
    <n v="6"/>
    <n v="0"/>
    <x v="13"/>
    <s v="vs Stavros"/>
    <n v="150"/>
    <n v="0.47499999999999998"/>
    <n v="36"/>
    <n v="0.38300000000000001"/>
    <n v="0.73699999999999999"/>
    <n v="434"/>
    <n v="33"/>
    <n v="109"/>
    <n v="58"/>
    <n v="27"/>
    <n v="25"/>
    <n v="45"/>
    <n v="1.288888888888889"/>
  </r>
  <r>
    <x v="0"/>
    <x v="0"/>
    <x v="12"/>
    <n v="130"/>
    <x v="12"/>
    <s v="Stavros"/>
    <n v="0"/>
    <n v="6"/>
    <n v="7"/>
    <n v="0"/>
    <x v="3"/>
    <s v="vs Fountos"/>
    <n v="152"/>
    <n v="0.51900000000000002"/>
    <n v="33"/>
    <n v="0.41299999999999998"/>
    <n v="0.65700000000000003"/>
    <n v="383"/>
    <n v="56"/>
    <n v="145"/>
    <n v="50"/>
    <n v="17"/>
    <n v="18"/>
    <n v="42"/>
    <n v="1.1904761904761905"/>
  </r>
  <r>
    <x v="0"/>
    <x v="0"/>
    <x v="13"/>
    <n v="131"/>
    <x v="1"/>
    <s v="Fanis"/>
    <n v="1"/>
    <n v="8"/>
    <n v="5"/>
    <n v="0"/>
    <x v="19"/>
    <s v="vs Kotakis"/>
    <n v="173"/>
    <n v="0.45800000000000002"/>
    <n v="59"/>
    <n v="0.376"/>
    <n v="0.78600000000000003"/>
    <n v="471"/>
    <n v="35"/>
    <n v="160"/>
    <n v="107"/>
    <n v="37"/>
    <n v="18"/>
    <n v="74"/>
    <n v="1.4459459459459461"/>
  </r>
  <r>
    <x v="0"/>
    <x v="0"/>
    <x v="13"/>
    <n v="131"/>
    <x v="18"/>
    <s v="Kotakis"/>
    <n v="0"/>
    <n v="5"/>
    <n v="8"/>
    <n v="0"/>
    <x v="0"/>
    <s v="vs Fanis"/>
    <n v="158"/>
    <n v="0.495"/>
    <n v="44"/>
    <n v="0.4"/>
    <n v="0.83499999999999996"/>
    <n v="436"/>
    <n v="30"/>
    <n v="133"/>
    <n v="96"/>
    <n v="24"/>
    <n v="14"/>
    <n v="66"/>
    <n v="1.4545454545454546"/>
  </r>
  <r>
    <x v="0"/>
    <x v="0"/>
    <x v="13"/>
    <n v="132"/>
    <x v="11"/>
    <s v="pi/Sotiris"/>
    <n v="1"/>
    <n v="7"/>
    <n v="6"/>
    <n v="0"/>
    <x v="6"/>
    <s v="vs Johnny"/>
    <n v="120"/>
    <n v="0.443"/>
    <n v="36"/>
    <n v="0.36"/>
    <n v="0.69099999999999995"/>
    <n v="323"/>
    <n v="18"/>
    <n v="88"/>
    <n v="47"/>
    <n v="23"/>
    <n v="19"/>
    <n v="33"/>
    <n v="1.4242424242424243"/>
  </r>
  <r>
    <x v="0"/>
    <x v="0"/>
    <x v="13"/>
    <n v="132"/>
    <x v="7"/>
    <s v="Johnny"/>
    <n v="0"/>
    <n v="6"/>
    <n v="7"/>
    <n v="0"/>
    <x v="10"/>
    <s v="vs pi/Sotiris"/>
    <n v="107"/>
    <n v="0.47799999999999998"/>
    <n v="21"/>
    <n v="0.438"/>
    <n v="0.82"/>
    <n v="285"/>
    <n v="44"/>
    <n v="119"/>
    <n v="73"/>
    <n v="22"/>
    <n v="16"/>
    <n v="58"/>
    <n v="1.2586206896551724"/>
  </r>
  <r>
    <x v="0"/>
    <x v="0"/>
    <x v="13"/>
    <n v="133"/>
    <x v="10"/>
    <s v="Lagios"/>
    <n v="0"/>
    <n v="2"/>
    <n v="11"/>
    <n v="0"/>
    <x v="9"/>
    <s v="vs Antoniou"/>
    <n v="108"/>
    <n v="0.42499999999999999"/>
    <n v="24"/>
    <n v="0.28599999999999998"/>
    <n v="0.69799999999999995"/>
    <n v="300"/>
    <n v="32"/>
    <n v="122"/>
    <n v="90"/>
    <n v="20"/>
    <n v="16"/>
    <n v="47"/>
    <n v="1.9148936170212767"/>
  </r>
  <r>
    <x v="0"/>
    <x v="0"/>
    <x v="13"/>
    <n v="133"/>
    <x v="8"/>
    <s v="Antoniou"/>
    <n v="1"/>
    <n v="11"/>
    <n v="2"/>
    <n v="0"/>
    <x v="11"/>
    <s v="vs Lagios"/>
    <n v="149"/>
    <n v="0.45200000000000001"/>
    <n v="32"/>
    <n v="0.30499999999999999"/>
    <n v="0.78200000000000003"/>
    <n v="398"/>
    <n v="24"/>
    <n v="146"/>
    <n v="99"/>
    <n v="17"/>
    <n v="23"/>
    <n v="42"/>
    <n v="2.3571428571428572"/>
  </r>
  <r>
    <x v="0"/>
    <x v="0"/>
    <x v="13"/>
    <n v="134"/>
    <x v="9"/>
    <s v="Ziogas/Christof"/>
    <n v="0"/>
    <n v="4"/>
    <n v="8"/>
    <n v="1"/>
    <x v="12"/>
    <s v="vs Kousidis"/>
    <n v="137"/>
    <n v="0.441"/>
    <n v="55"/>
    <n v="0.41399999999999998"/>
    <n v="0.77600000000000002"/>
    <n v="388"/>
    <n v="28"/>
    <n v="98"/>
    <n v="58"/>
    <n v="30"/>
    <n v="9"/>
    <n v="44"/>
    <n v="1.3181818181818181"/>
  </r>
  <r>
    <x v="0"/>
    <x v="0"/>
    <x v="13"/>
    <n v="134"/>
    <x v="13"/>
    <s v="Kousidis"/>
    <n v="1"/>
    <n v="8"/>
    <n v="4"/>
    <n v="1"/>
    <x v="8"/>
    <s v="vs Ziogas/Christof"/>
    <n v="168"/>
    <n v="0.45700000000000002"/>
    <n v="44"/>
    <n v="0.36699999999999999"/>
    <n v="0.81599999999999995"/>
    <n v="460"/>
    <n v="30"/>
    <n v="138"/>
    <n v="129"/>
    <n v="29"/>
    <n v="9"/>
    <n v="72"/>
    <n v="1.7916666666666667"/>
  </r>
  <r>
    <x v="0"/>
    <x v="0"/>
    <x v="13"/>
    <n v="135"/>
    <x v="6"/>
    <s v="Tassos"/>
    <n v="1"/>
    <n v="10"/>
    <n v="2"/>
    <n v="1"/>
    <x v="15"/>
    <s v="vs Panagopoulos"/>
    <n v="226"/>
    <n v="0.48599999999999999"/>
    <n v="44"/>
    <n v="0.34399999999999997"/>
    <n v="0.78200000000000003"/>
    <n v="600"/>
    <n v="51"/>
    <n v="155"/>
    <n v="130"/>
    <n v="49"/>
    <n v="31"/>
    <n v="80"/>
    <n v="1.625"/>
  </r>
  <r>
    <x v="0"/>
    <x v="0"/>
    <x v="13"/>
    <n v="135"/>
    <x v="14"/>
    <s v="Panagopoulos"/>
    <n v="0"/>
    <n v="2"/>
    <n v="10"/>
    <n v="1"/>
    <x v="7"/>
    <s v="vs Tassos"/>
    <n v="148"/>
    <n v="0.46400000000000002"/>
    <n v="44"/>
    <n v="0.376"/>
    <n v="0.747"/>
    <n v="408"/>
    <n v="28"/>
    <n v="109"/>
    <n v="88"/>
    <n v="32"/>
    <n v="19"/>
    <n v="58"/>
    <n v="1.5172413793103448"/>
  </r>
  <r>
    <x v="0"/>
    <x v="0"/>
    <x v="13"/>
    <n v="136"/>
    <x v="17"/>
    <s v="Spiridaus/Oladipas"/>
    <n v="1"/>
    <n v="7"/>
    <n v="4"/>
    <n v="2"/>
    <x v="5"/>
    <s v="vs Mpousaras"/>
    <n v="172"/>
    <n v="0.46200000000000002"/>
    <n v="45"/>
    <n v="0.36299999999999999"/>
    <n v="0.85399999999999998"/>
    <n v="465"/>
    <n v="46"/>
    <n v="132"/>
    <n v="69"/>
    <n v="27"/>
    <n v="14"/>
    <n v="45"/>
    <n v="1.5333333333333334"/>
  </r>
  <r>
    <x v="0"/>
    <x v="0"/>
    <x v="13"/>
    <n v="136"/>
    <x v="4"/>
    <s v="Mpousaras"/>
    <n v="0"/>
    <n v="4"/>
    <n v="7"/>
    <n v="2"/>
    <x v="16"/>
    <s v="vs Spiridaus/Oladipas"/>
    <n v="166"/>
    <n v="0.48399999999999999"/>
    <n v="29"/>
    <n v="0.40799999999999997"/>
    <n v="0.72299999999999998"/>
    <n v="421"/>
    <n v="40"/>
    <n v="103"/>
    <n v="92"/>
    <n v="21"/>
    <n v="14"/>
    <n v="45"/>
    <n v="2.0444444444444443"/>
  </r>
  <r>
    <x v="0"/>
    <x v="0"/>
    <x v="13"/>
    <n v="137"/>
    <x v="3"/>
    <s v="Sakellariou"/>
    <n v="1"/>
    <n v="12"/>
    <n v="1"/>
    <n v="0"/>
    <x v="18"/>
    <s v="vs Nonis"/>
    <n v="178"/>
    <n v="0.48"/>
    <n v="51"/>
    <n v="0.39500000000000002"/>
    <n v="0.78100000000000003"/>
    <n v="489"/>
    <n v="34"/>
    <n v="123"/>
    <n v="76"/>
    <n v="39"/>
    <n v="14"/>
    <n v="40"/>
    <n v="1.9"/>
  </r>
  <r>
    <x v="0"/>
    <x v="0"/>
    <x v="13"/>
    <n v="137"/>
    <x v="19"/>
    <s v="Nonis"/>
    <n v="0"/>
    <n v="1"/>
    <n v="12"/>
    <n v="0"/>
    <x v="2"/>
    <s v="vs Sakellariou"/>
    <n v="78"/>
    <n v="0.443"/>
    <n v="16"/>
    <n v="0.27100000000000002"/>
    <n v="0.73499999999999999"/>
    <n v="197"/>
    <n v="28"/>
    <n v="83"/>
    <n v="54"/>
    <n v="20"/>
    <n v="13"/>
    <n v="31"/>
    <n v="1.7419354838709677"/>
  </r>
  <r>
    <x v="0"/>
    <x v="0"/>
    <x v="13"/>
    <n v="138"/>
    <x v="0"/>
    <s v="Miggianis"/>
    <n v="1"/>
    <n v="9"/>
    <n v="4"/>
    <n v="0"/>
    <x v="17"/>
    <s v="vs Aris"/>
    <n v="142"/>
    <n v="0.45800000000000002"/>
    <n v="47"/>
    <n v="0.42699999999999999"/>
    <n v="0.84799999999999998"/>
    <n v="420"/>
    <n v="36"/>
    <n v="151"/>
    <n v="114"/>
    <n v="35"/>
    <n v="25"/>
    <n v="55"/>
    <n v="2.0727272727272728"/>
  </r>
  <r>
    <x v="0"/>
    <x v="0"/>
    <x v="13"/>
    <n v="138"/>
    <x v="16"/>
    <s v="Aris"/>
    <n v="0"/>
    <n v="4"/>
    <n v="9"/>
    <n v="0"/>
    <x v="1"/>
    <s v="vs Miggianis"/>
    <n v="168"/>
    <n v="0.47899999999999998"/>
    <n v="32"/>
    <n v="0.317"/>
    <n v="0.67900000000000005"/>
    <n v="425"/>
    <n v="45"/>
    <n v="112"/>
    <n v="109"/>
    <n v="29"/>
    <n v="19"/>
    <n v="67"/>
    <n v="1.6268656716417911"/>
  </r>
  <r>
    <x v="0"/>
    <x v="0"/>
    <x v="13"/>
    <n v="139"/>
    <x v="2"/>
    <s v="Fountos"/>
    <n v="1"/>
    <n v="10"/>
    <n v="3"/>
    <n v="0"/>
    <x v="14"/>
    <s v="vs Vasilis"/>
    <n v="176"/>
    <n v="0.43099999999999999"/>
    <n v="26"/>
    <n v="0.252"/>
    <n v="0.82399999999999995"/>
    <n v="448"/>
    <n v="47"/>
    <n v="154"/>
    <n v="105"/>
    <n v="28"/>
    <n v="26"/>
    <n v="45"/>
    <n v="2.3333333333333335"/>
  </r>
  <r>
    <x v="0"/>
    <x v="0"/>
    <x v="13"/>
    <n v="139"/>
    <x v="15"/>
    <s v="Vasilis"/>
    <n v="0"/>
    <n v="3"/>
    <n v="10"/>
    <n v="0"/>
    <x v="3"/>
    <s v="vs Fountos"/>
    <n v="136"/>
    <n v="0.48099999999999998"/>
    <n v="50"/>
    <n v="0.41299999999999998"/>
    <n v="0.79200000000000004"/>
    <n v="364"/>
    <n v="12"/>
    <n v="78"/>
    <n v="63"/>
    <n v="19"/>
    <n v="12"/>
    <n v="50"/>
    <n v="1.26"/>
  </r>
  <r>
    <x v="0"/>
    <x v="0"/>
    <x v="13"/>
    <n v="140"/>
    <x v="5"/>
    <s v="Markos"/>
    <n v="1"/>
    <n v="9"/>
    <n v="3"/>
    <n v="1"/>
    <x v="13"/>
    <s v="vs Stavros"/>
    <n v="169"/>
    <n v="0.499"/>
    <n v="32"/>
    <n v="0.33"/>
    <n v="0.63200000000000001"/>
    <n v="425"/>
    <n v="38"/>
    <n v="143"/>
    <n v="101"/>
    <n v="40"/>
    <n v="24"/>
    <n v="58"/>
    <n v="1.7413793103448276"/>
  </r>
  <r>
    <x v="0"/>
    <x v="0"/>
    <x v="13"/>
    <n v="140"/>
    <x v="12"/>
    <s v="Stavros"/>
    <n v="0"/>
    <n v="3"/>
    <n v="9"/>
    <n v="1"/>
    <x v="4"/>
    <s v="vs Markos"/>
    <n v="134"/>
    <n v="0.41499999999999998"/>
    <n v="32"/>
    <n v="0.29399999999999998"/>
    <n v="0.81"/>
    <n v="364"/>
    <n v="43"/>
    <n v="140"/>
    <n v="61"/>
    <n v="28"/>
    <n v="23"/>
    <n v="52"/>
    <n v="1.1730769230769231"/>
  </r>
  <r>
    <x v="0"/>
    <x v="0"/>
    <x v="14"/>
    <n v="141"/>
    <x v="1"/>
    <s v="Fanis"/>
    <n v="1"/>
    <n v="11"/>
    <n v="2"/>
    <n v="0"/>
    <x v="18"/>
    <s v="vs Nonis"/>
    <n v="167"/>
    <n v="0.5"/>
    <n v="63"/>
    <n v="0.46700000000000003"/>
    <n v="0.74"/>
    <n v="471"/>
    <n v="44"/>
    <n v="155"/>
    <n v="76"/>
    <n v="27"/>
    <n v="21"/>
    <n v="53"/>
    <n v="1.4339622641509433"/>
  </r>
  <r>
    <x v="0"/>
    <x v="0"/>
    <x v="14"/>
    <n v="141"/>
    <x v="19"/>
    <s v="Nonis"/>
    <n v="0"/>
    <n v="2"/>
    <n v="11"/>
    <n v="0"/>
    <x v="0"/>
    <s v="vs Fanis"/>
    <n v="74"/>
    <n v="0.48699999999999999"/>
    <n v="16"/>
    <n v="0.36399999999999999"/>
    <n v="0.75600000000000001"/>
    <n v="198"/>
    <n v="24"/>
    <n v="82"/>
    <n v="38"/>
    <n v="12"/>
    <n v="14"/>
    <n v="30"/>
    <n v="1.2666666666666666"/>
  </r>
  <r>
    <x v="0"/>
    <x v="0"/>
    <x v="14"/>
    <n v="142"/>
    <x v="8"/>
    <s v="Antoniou"/>
    <n v="1"/>
    <n v="8"/>
    <n v="5"/>
    <n v="0"/>
    <x v="10"/>
    <s v="vs pi/Sotiris"/>
    <n v="147"/>
    <n v="0.43099999999999999"/>
    <n v="29"/>
    <n v="0.27900000000000003"/>
    <n v="0.76500000000000001"/>
    <n v="398"/>
    <n v="51"/>
    <n v="161"/>
    <n v="88"/>
    <n v="22"/>
    <n v="13"/>
    <n v="60"/>
    <n v="1.4666666666666666"/>
  </r>
  <r>
    <x v="0"/>
    <x v="0"/>
    <x v="14"/>
    <n v="142"/>
    <x v="11"/>
    <s v="pi/Sotiris"/>
    <n v="0"/>
    <n v="5"/>
    <n v="8"/>
    <n v="0"/>
    <x v="9"/>
    <s v="vs Antoniou"/>
    <n v="126"/>
    <n v="0.47399999999999998"/>
    <n v="34"/>
    <n v="0.39500000000000002"/>
    <n v="0.74199999999999999"/>
    <n v="335"/>
    <n v="34"/>
    <n v="112"/>
    <n v="57"/>
    <n v="20"/>
    <n v="10"/>
    <n v="31"/>
    <n v="1.8387096774193548"/>
  </r>
  <r>
    <x v="0"/>
    <x v="0"/>
    <x v="14"/>
    <n v="143"/>
    <x v="9"/>
    <s v="Ziogas/Christof"/>
    <n v="1"/>
    <n v="8"/>
    <n v="5"/>
    <n v="0"/>
    <x v="11"/>
    <s v="vs Lagios"/>
    <n v="171"/>
    <n v="0.44800000000000001"/>
    <n v="50"/>
    <n v="0.34499999999999997"/>
    <n v="0.79300000000000004"/>
    <n v="461"/>
    <n v="29"/>
    <n v="145"/>
    <n v="86"/>
    <n v="30"/>
    <n v="20"/>
    <n v="59"/>
    <n v="1.4576271186440677"/>
  </r>
  <r>
    <x v="0"/>
    <x v="0"/>
    <x v="14"/>
    <n v="143"/>
    <x v="10"/>
    <s v="Lagios"/>
    <n v="0"/>
    <n v="5"/>
    <n v="8"/>
    <n v="0"/>
    <x v="8"/>
    <s v="vs Ziogas/Christof"/>
    <n v="117"/>
    <n v="0.47399999999999998"/>
    <n v="31"/>
    <n v="0.39200000000000002"/>
    <n v="0.753"/>
    <n v="323"/>
    <n v="20"/>
    <n v="126"/>
    <n v="87"/>
    <n v="17"/>
    <n v="14"/>
    <n v="36"/>
    <n v="2.4166666666666665"/>
  </r>
  <r>
    <x v="0"/>
    <x v="0"/>
    <x v="14"/>
    <n v="144"/>
    <x v="6"/>
    <s v="Tassos"/>
    <n v="1"/>
    <n v="8"/>
    <n v="5"/>
    <n v="0"/>
    <x v="12"/>
    <s v="vs Kousidis"/>
    <n v="203"/>
    <n v="0.44500000000000001"/>
    <n v="55"/>
    <n v="0.372"/>
    <n v="0.72299999999999998"/>
    <n v="534"/>
    <n v="33"/>
    <n v="160"/>
    <n v="107"/>
    <n v="32"/>
    <n v="14"/>
    <n v="76"/>
    <n v="1.4078947368421053"/>
  </r>
  <r>
    <x v="0"/>
    <x v="0"/>
    <x v="14"/>
    <n v="144"/>
    <x v="13"/>
    <s v="Kousidis"/>
    <n v="0"/>
    <n v="5"/>
    <n v="8"/>
    <n v="0"/>
    <x v="7"/>
    <s v="vs Tassos"/>
    <n v="176"/>
    <n v="0.42199999999999999"/>
    <n v="37"/>
    <n v="0.27800000000000002"/>
    <n v="0.76100000000000001"/>
    <n v="472"/>
    <n v="36"/>
    <n v="131"/>
    <n v="120"/>
    <n v="29"/>
    <n v="7"/>
    <n v="59"/>
    <n v="2.0338983050847457"/>
  </r>
  <r>
    <x v="0"/>
    <x v="0"/>
    <x v="14"/>
    <n v="145"/>
    <x v="14"/>
    <s v="Panagopoulos"/>
    <n v="1"/>
    <n v="10"/>
    <n v="3"/>
    <n v="0"/>
    <x v="5"/>
    <s v="vs Mpousaras"/>
    <n v="139"/>
    <n v="0.437"/>
    <n v="55"/>
    <n v="0.377"/>
    <n v="0.80200000000000005"/>
    <n v="418"/>
    <n v="26"/>
    <n v="136"/>
    <n v="94"/>
    <n v="41"/>
    <n v="20"/>
    <n v="59"/>
    <n v="1.5932203389830508"/>
  </r>
  <r>
    <x v="0"/>
    <x v="0"/>
    <x v="14"/>
    <n v="145"/>
    <x v="4"/>
    <s v="Mpousaras"/>
    <n v="0"/>
    <n v="3"/>
    <n v="10"/>
    <n v="0"/>
    <x v="15"/>
    <s v="vs Panagopoulos"/>
    <n v="163"/>
    <n v="0.44700000000000001"/>
    <n v="23"/>
    <n v="0.27100000000000002"/>
    <n v="0.753"/>
    <n v="410"/>
    <n v="33"/>
    <n v="119"/>
    <n v="81"/>
    <n v="21"/>
    <n v="10"/>
    <n v="63"/>
    <n v="1.2857142857142858"/>
  </r>
  <r>
    <x v="0"/>
    <x v="0"/>
    <x v="14"/>
    <n v="146"/>
    <x v="17"/>
    <s v="Spiridaus/Oladipas"/>
    <n v="0"/>
    <n v="4"/>
    <n v="9"/>
    <n v="0"/>
    <x v="2"/>
    <s v="vs Sakellariou"/>
    <n v="175"/>
    <n v="0.45100000000000001"/>
    <n v="37"/>
    <n v="0.32700000000000001"/>
    <n v="0.77700000000000002"/>
    <n v="467"/>
    <n v="39"/>
    <n v="123"/>
    <n v="115"/>
    <n v="41"/>
    <n v="27"/>
    <n v="64"/>
    <n v="1.796875"/>
  </r>
  <r>
    <x v="0"/>
    <x v="0"/>
    <x v="14"/>
    <n v="146"/>
    <x v="3"/>
    <s v="Sakellariou"/>
    <n v="1"/>
    <n v="9"/>
    <n v="4"/>
    <n v="0"/>
    <x v="16"/>
    <s v="vs Spiridaus/Oladipas"/>
    <n v="187"/>
    <n v="0.48799999999999999"/>
    <n v="51"/>
    <n v="0.41099999999999998"/>
    <n v="0.83199999999999996"/>
    <n v="509"/>
    <n v="29"/>
    <n v="124"/>
    <n v="91"/>
    <n v="28"/>
    <n v="10"/>
    <n v="45"/>
    <n v="2.0222222222222221"/>
  </r>
  <r>
    <x v="0"/>
    <x v="0"/>
    <x v="14"/>
    <n v="147"/>
    <x v="0"/>
    <s v="Miggianis"/>
    <n v="0"/>
    <n v="4"/>
    <n v="8"/>
    <n v="1"/>
    <x v="19"/>
    <s v="vs Kotakis"/>
    <n v="137"/>
    <n v="0.441"/>
    <n v="34"/>
    <n v="0.35799999999999998"/>
    <n v="0.89300000000000002"/>
    <n v="375"/>
    <n v="30"/>
    <n v="135"/>
    <n v="103"/>
    <n v="34"/>
    <n v="20"/>
    <n v="53"/>
    <n v="1.9433962264150944"/>
  </r>
  <r>
    <x v="0"/>
    <x v="0"/>
    <x v="14"/>
    <n v="147"/>
    <x v="18"/>
    <s v="Kotakis"/>
    <n v="1"/>
    <n v="8"/>
    <n v="4"/>
    <n v="1"/>
    <x v="1"/>
    <s v="vs Miggianis"/>
    <n v="167"/>
    <n v="0.50600000000000001"/>
    <n v="43"/>
    <n v="0.39800000000000002"/>
    <n v="0.80900000000000005"/>
    <n v="449"/>
    <n v="41"/>
    <n v="105"/>
    <n v="102"/>
    <n v="18"/>
    <n v="20"/>
    <n v="50"/>
    <n v="2.04"/>
  </r>
  <r>
    <x v="0"/>
    <x v="0"/>
    <x v="14"/>
    <n v="148"/>
    <x v="16"/>
    <s v="Aris"/>
    <n v="0"/>
    <n v="5"/>
    <n v="8"/>
    <n v="0"/>
    <x v="3"/>
    <s v="vs Fountos"/>
    <n v="146"/>
    <n v="0.45800000000000002"/>
    <n v="28"/>
    <n v="0.34599999999999997"/>
    <n v="0.78600000000000003"/>
    <n v="386"/>
    <n v="58"/>
    <n v="115"/>
    <n v="128"/>
    <n v="30"/>
    <n v="21"/>
    <n v="71"/>
    <n v="1.8028169014084507"/>
  </r>
  <r>
    <x v="0"/>
    <x v="0"/>
    <x v="14"/>
    <n v="148"/>
    <x v="2"/>
    <s v="Fountos"/>
    <n v="1"/>
    <n v="8"/>
    <n v="5"/>
    <n v="0"/>
    <x v="17"/>
    <s v="vs Aris"/>
    <n v="157"/>
    <n v="0.439"/>
    <n v="36"/>
    <n v="0.35299999999999998"/>
    <n v="0.82799999999999996"/>
    <n v="490"/>
    <n v="39"/>
    <n v="135"/>
    <n v="85"/>
    <n v="23"/>
    <n v="39"/>
    <n v="53"/>
    <n v="1.6037735849056605"/>
  </r>
  <r>
    <x v="0"/>
    <x v="0"/>
    <x v="14"/>
    <n v="149"/>
    <x v="5"/>
    <s v="Markos"/>
    <n v="1"/>
    <n v="7"/>
    <n v="6"/>
    <n v="0"/>
    <x v="14"/>
    <s v="vs Vasilis"/>
    <n v="133"/>
    <n v="0.47799999999999998"/>
    <n v="27"/>
    <n v="0.28100000000000003"/>
    <n v="0.70099999999999996"/>
    <n v="347"/>
    <n v="32"/>
    <n v="140"/>
    <n v="101"/>
    <n v="35"/>
    <n v="19"/>
    <n v="51"/>
    <n v="1.9803921568627452"/>
  </r>
  <r>
    <x v="0"/>
    <x v="0"/>
    <x v="14"/>
    <n v="149"/>
    <x v="15"/>
    <s v="Vasilis"/>
    <n v="0"/>
    <n v="6"/>
    <n v="7"/>
    <n v="0"/>
    <x v="4"/>
    <s v="vs Markos"/>
    <n v="166"/>
    <n v="0.46800000000000003"/>
    <n v="51"/>
    <n v="0.38600000000000001"/>
    <n v="0.79100000000000004"/>
    <n v="455"/>
    <n v="30"/>
    <n v="103"/>
    <n v="81"/>
    <n v="25"/>
    <n v="13"/>
    <n v="43"/>
    <n v="1.8837209302325582"/>
  </r>
  <r>
    <x v="0"/>
    <x v="0"/>
    <x v="14"/>
    <n v="150"/>
    <x v="12"/>
    <s v="Stavros"/>
    <n v="1"/>
    <n v="10"/>
    <n v="3"/>
    <n v="0"/>
    <x v="6"/>
    <s v="vs Johnny"/>
    <n v="159"/>
    <n v="0.47899999999999998"/>
    <n v="47"/>
    <n v="0.41199999999999998"/>
    <n v="0.70899999999999996"/>
    <n v="443"/>
    <n v="38"/>
    <n v="119"/>
    <n v="84"/>
    <n v="35"/>
    <n v="25"/>
    <n v="48"/>
    <n v="1.75"/>
  </r>
  <r>
    <x v="0"/>
    <x v="0"/>
    <x v="14"/>
    <n v="150"/>
    <x v="7"/>
    <s v="Johnny"/>
    <n v="0"/>
    <n v="3"/>
    <n v="10"/>
    <n v="0"/>
    <x v="13"/>
    <s v="vs Stavros"/>
    <n v="115"/>
    <n v="0.45500000000000002"/>
    <n v="26"/>
    <n v="0.38200000000000001"/>
    <n v="0.63400000000000001"/>
    <n v="308"/>
    <n v="44"/>
    <n v="114"/>
    <n v="73"/>
    <n v="15"/>
    <n v="18"/>
    <n v="36"/>
    <n v="2.0277777777777777"/>
  </r>
  <r>
    <x v="0"/>
    <x v="0"/>
    <x v="15"/>
    <n v="151"/>
    <x v="1"/>
    <s v="Fanis"/>
    <n v="1"/>
    <n v="10"/>
    <n v="3"/>
    <n v="0"/>
    <x v="16"/>
    <s v="vs Spiridaus/Oladipas"/>
    <n v="150"/>
    <n v="0.47499999999999998"/>
    <n v="44"/>
    <n v="0.4"/>
    <n v="0.78100000000000003"/>
    <n v="401"/>
    <n v="40"/>
    <n v="142"/>
    <n v="87"/>
    <n v="42"/>
    <n v="20"/>
    <n v="77"/>
    <n v="1.1298701298701299"/>
  </r>
  <r>
    <x v="0"/>
    <x v="0"/>
    <x v="15"/>
    <n v="151"/>
    <x v="17"/>
    <s v="Spiridaus/Oladipas"/>
    <n v="0"/>
    <n v="3"/>
    <n v="10"/>
    <n v="0"/>
    <x v="0"/>
    <s v="vs Fanis"/>
    <n v="134"/>
    <n v="0.46700000000000003"/>
    <n v="28"/>
    <n v="0.32900000000000001"/>
    <n v="0.80400000000000005"/>
    <n v="378"/>
    <n v="33"/>
    <n v="96"/>
    <n v="66"/>
    <n v="26"/>
    <n v="18"/>
    <n v="36"/>
    <n v="1.8333333333333333"/>
  </r>
  <r>
    <x v="0"/>
    <x v="0"/>
    <x v="15"/>
    <n v="152"/>
    <x v="9"/>
    <s v="Ziogas/Christof"/>
    <n v="0"/>
    <n v="6"/>
    <n v="7"/>
    <n v="0"/>
    <x v="10"/>
    <s v="vs pi/Sotiris"/>
    <n v="135"/>
    <n v="0.44900000000000001"/>
    <n v="37"/>
    <n v="0.32200000000000001"/>
    <n v="0.82099999999999995"/>
    <n v="376"/>
    <n v="26"/>
    <n v="104"/>
    <n v="65"/>
    <n v="26"/>
    <n v="20"/>
    <n v="42"/>
    <n v="1.5476190476190477"/>
  </r>
  <r>
    <x v="0"/>
    <x v="0"/>
    <x v="15"/>
    <n v="152"/>
    <x v="11"/>
    <s v="pi/Sotiris"/>
    <n v="1"/>
    <n v="7"/>
    <n v="6"/>
    <n v="0"/>
    <x v="8"/>
    <s v="vs Ziogas/Christof"/>
    <n v="151"/>
    <n v="0.47"/>
    <n v="38"/>
    <n v="0.38"/>
    <n v="0.72699999999999998"/>
    <n v="380"/>
    <n v="37"/>
    <n v="103"/>
    <n v="40"/>
    <n v="21"/>
    <n v="21"/>
    <n v="45"/>
    <n v="0.88888888888888884"/>
  </r>
  <r>
    <x v="0"/>
    <x v="0"/>
    <x v="15"/>
    <n v="153"/>
    <x v="10"/>
    <s v="Lagios"/>
    <n v="0"/>
    <n v="4"/>
    <n v="9"/>
    <n v="0"/>
    <x v="7"/>
    <s v="vs Tassos"/>
    <n v="131"/>
    <n v="0.432"/>
    <n v="31"/>
    <n v="0.29199999999999998"/>
    <n v="0.81200000000000006"/>
    <n v="375"/>
    <n v="22"/>
    <n v="141"/>
    <n v="111"/>
    <n v="36"/>
    <n v="14"/>
    <n v="55"/>
    <n v="2.0181818181818181"/>
  </r>
  <r>
    <x v="0"/>
    <x v="0"/>
    <x v="15"/>
    <n v="153"/>
    <x v="6"/>
    <s v="Tassos"/>
    <n v="1"/>
    <n v="9"/>
    <n v="4"/>
    <n v="0"/>
    <x v="11"/>
    <s v="vs Lagios"/>
    <n v="182"/>
    <n v="0.504"/>
    <n v="52"/>
    <n v="0.437"/>
    <n v="0.78"/>
    <n v="480"/>
    <n v="38"/>
    <n v="144"/>
    <n v="71"/>
    <n v="29"/>
    <n v="30"/>
    <n v="43"/>
    <n v="1.6511627906976745"/>
  </r>
  <r>
    <x v="0"/>
    <x v="0"/>
    <x v="15"/>
    <n v="154"/>
    <x v="4"/>
    <s v="Mpousaras"/>
    <n v="0"/>
    <n v="5"/>
    <n v="7"/>
    <n v="1"/>
    <x v="12"/>
    <s v="vs Kousidis"/>
    <n v="157"/>
    <n v="0.42099999999999999"/>
    <n v="21"/>
    <n v="0.22800000000000001"/>
    <n v="0.79200000000000004"/>
    <n v="415"/>
    <n v="46"/>
    <n v="104"/>
    <n v="121"/>
    <n v="32"/>
    <n v="12"/>
    <n v="62"/>
    <n v="1.9516129032258065"/>
  </r>
  <r>
    <x v="0"/>
    <x v="0"/>
    <x v="15"/>
    <n v="154"/>
    <x v="13"/>
    <s v="Kousidis"/>
    <n v="1"/>
    <n v="7"/>
    <n v="5"/>
    <n v="1"/>
    <x v="5"/>
    <s v="vs Mpousaras"/>
    <n v="165"/>
    <n v="0.43"/>
    <n v="45"/>
    <n v="0.33600000000000002"/>
    <n v="0.85"/>
    <n v="460"/>
    <n v="33"/>
    <n v="111"/>
    <n v="120"/>
    <n v="32"/>
    <n v="7"/>
    <n v="72"/>
    <n v="1.6666666666666667"/>
  </r>
  <r>
    <x v="0"/>
    <x v="0"/>
    <x v="15"/>
    <n v="155"/>
    <x v="14"/>
    <s v="Panagopoulos"/>
    <n v="1"/>
    <n v="9"/>
    <n v="4"/>
    <n v="0"/>
    <x v="2"/>
    <s v="vs Sakellariou"/>
    <n v="187"/>
    <n v="0.49"/>
    <n v="54"/>
    <n v="0.41899999999999998"/>
    <n v="0.86699999999999999"/>
    <n v="500"/>
    <n v="26"/>
    <n v="126"/>
    <n v="93"/>
    <n v="35"/>
    <n v="13"/>
    <n v="44"/>
    <n v="2.1136363636363638"/>
  </r>
  <r>
    <x v="0"/>
    <x v="0"/>
    <x v="15"/>
    <n v="155"/>
    <x v="3"/>
    <s v="Sakellariou"/>
    <n v="0"/>
    <n v="4"/>
    <n v="9"/>
    <n v="0"/>
    <x v="15"/>
    <s v="vs Panagopoulos"/>
    <n v="152"/>
    <n v="0.44600000000000001"/>
    <n v="42"/>
    <n v="0.33100000000000002"/>
    <n v="0.88200000000000001"/>
    <n v="428"/>
    <n v="40"/>
    <n v="164"/>
    <n v="78"/>
    <n v="21"/>
    <n v="21"/>
    <n v="59"/>
    <n v="1.3220338983050848"/>
  </r>
  <r>
    <x v="0"/>
    <x v="0"/>
    <x v="15"/>
    <n v="156"/>
    <x v="0"/>
    <s v="Miggianis"/>
    <n v="1"/>
    <n v="12"/>
    <n v="1"/>
    <n v="0"/>
    <x v="18"/>
    <s v="vs Nonis"/>
    <n v="169"/>
    <n v="0.47899999999999998"/>
    <n v="35"/>
    <n v="0.35"/>
    <n v="0.81799999999999995"/>
    <n v="436"/>
    <n v="32"/>
    <n v="135"/>
    <n v="113"/>
    <n v="34"/>
    <n v="21"/>
    <n v="55"/>
    <n v="2.0545454545454547"/>
  </r>
  <r>
    <x v="0"/>
    <x v="0"/>
    <x v="15"/>
    <n v="156"/>
    <x v="19"/>
    <s v="Nonis"/>
    <n v="0"/>
    <n v="1"/>
    <n v="12"/>
    <n v="0"/>
    <x v="1"/>
    <s v="vs Miggianis"/>
    <n v="74"/>
    <n v="0.42499999999999999"/>
    <n v="16"/>
    <n v="0.29599999999999999"/>
    <n v="0.72299999999999998"/>
    <n v="198"/>
    <n v="21"/>
    <n v="74"/>
    <n v="37"/>
    <n v="17"/>
    <n v="11"/>
    <n v="31"/>
    <n v="1.1935483870967742"/>
  </r>
  <r>
    <x v="0"/>
    <x v="0"/>
    <x v="15"/>
    <n v="157"/>
    <x v="18"/>
    <s v="Kotakis"/>
    <n v="0"/>
    <n v="4"/>
    <n v="7"/>
    <n v="2"/>
    <x v="3"/>
    <s v="vs Fountos"/>
    <n v="143"/>
    <n v="0.46100000000000002"/>
    <n v="31"/>
    <n v="0.31"/>
    <n v="0.86399999999999999"/>
    <n v="387"/>
    <n v="45"/>
    <n v="119"/>
    <n v="107"/>
    <n v="24"/>
    <n v="20"/>
    <n v="63"/>
    <n v="1.6984126984126984"/>
  </r>
  <r>
    <x v="0"/>
    <x v="0"/>
    <x v="15"/>
    <n v="157"/>
    <x v="2"/>
    <s v="Fountos"/>
    <n v="1"/>
    <n v="7"/>
    <n v="4"/>
    <n v="2"/>
    <x v="19"/>
    <s v="vs Kotakis"/>
    <n v="197"/>
    <n v="0.503"/>
    <n v="50"/>
    <n v="0.42399999999999999"/>
    <n v="0.78400000000000003"/>
    <n v="542"/>
    <n v="32"/>
    <n v="118"/>
    <n v="107"/>
    <n v="24"/>
    <n v="18"/>
    <n v="60"/>
    <n v="1.7833333333333334"/>
  </r>
  <r>
    <x v="0"/>
    <x v="0"/>
    <x v="15"/>
    <n v="158"/>
    <x v="16"/>
    <s v="Aris"/>
    <n v="1"/>
    <n v="10"/>
    <n v="3"/>
    <n v="0"/>
    <x v="4"/>
    <s v="vs Markos"/>
    <n v="170"/>
    <n v="0.52"/>
    <n v="24"/>
    <n v="0.38100000000000001"/>
    <n v="0.69599999999999995"/>
    <n v="428"/>
    <n v="53"/>
    <n v="114"/>
    <n v="113"/>
    <n v="27"/>
    <n v="17"/>
    <n v="53"/>
    <n v="2.1320754716981134"/>
  </r>
  <r>
    <x v="0"/>
    <x v="0"/>
    <x v="15"/>
    <n v="158"/>
    <x v="5"/>
    <s v="Markos"/>
    <n v="0"/>
    <n v="3"/>
    <n v="10"/>
    <n v="0"/>
    <x v="17"/>
    <s v="vs Aris"/>
    <n v="148"/>
    <n v="0.442"/>
    <n v="42"/>
    <n v="0.311"/>
    <n v="0.70499999999999996"/>
    <n v="393"/>
    <n v="33"/>
    <n v="139"/>
    <n v="78"/>
    <n v="22"/>
    <n v="16"/>
    <n v="63"/>
    <n v="1.2380952380952381"/>
  </r>
  <r>
    <x v="0"/>
    <x v="0"/>
    <x v="15"/>
    <n v="159"/>
    <x v="15"/>
    <s v="Vasilis"/>
    <n v="1"/>
    <n v="10"/>
    <n v="2"/>
    <n v="1"/>
    <x v="6"/>
    <s v="vs Johnny"/>
    <n v="154"/>
    <n v="0.45400000000000001"/>
    <n v="55"/>
    <n v="0.39600000000000002"/>
    <n v="0.79300000000000004"/>
    <n v="409"/>
    <n v="18"/>
    <n v="116"/>
    <n v="93"/>
    <n v="23"/>
    <n v="21"/>
    <n v="43"/>
    <n v="2.1627906976744184"/>
  </r>
  <r>
    <x v="0"/>
    <x v="0"/>
    <x v="15"/>
    <n v="159"/>
    <x v="7"/>
    <s v="Johnny"/>
    <n v="0"/>
    <n v="2"/>
    <n v="10"/>
    <n v="1"/>
    <x v="14"/>
    <s v="vs Vasilis"/>
    <n v="139"/>
    <n v="0.434"/>
    <n v="19"/>
    <n v="0.29199999999999998"/>
    <n v="0.76400000000000001"/>
    <n v="352"/>
    <n v="51"/>
    <n v="146"/>
    <n v="89"/>
    <n v="23"/>
    <n v="20"/>
    <n v="53"/>
    <n v="1.679245283018868"/>
  </r>
  <r>
    <x v="0"/>
    <x v="0"/>
    <x v="15"/>
    <n v="160"/>
    <x v="12"/>
    <s v="Stavros"/>
    <n v="0"/>
    <n v="3"/>
    <n v="9"/>
    <n v="1"/>
    <x v="9"/>
    <s v="vs Antoniou"/>
    <n v="155"/>
    <n v="0.48299999999999998"/>
    <n v="31"/>
    <n v="0.28999999999999998"/>
    <n v="0.79500000000000004"/>
    <n v="403"/>
    <n v="50"/>
    <n v="125"/>
    <n v="92"/>
    <n v="29"/>
    <n v="19"/>
    <n v="42"/>
    <n v="2.1904761904761907"/>
  </r>
  <r>
    <x v="0"/>
    <x v="0"/>
    <x v="15"/>
    <n v="160"/>
    <x v="8"/>
    <s v="Antoniou"/>
    <n v="1"/>
    <n v="9"/>
    <n v="3"/>
    <n v="1"/>
    <x v="13"/>
    <s v="vs Stavros"/>
    <n v="204"/>
    <n v="0.504"/>
    <n v="44"/>
    <n v="0.38900000000000001"/>
    <n v="0.83099999999999996"/>
    <n v="511"/>
    <n v="35"/>
    <n v="153"/>
    <n v="104"/>
    <n v="28"/>
    <n v="16"/>
    <n v="42"/>
    <n v="2.4761904761904763"/>
  </r>
  <r>
    <x v="0"/>
    <x v="0"/>
    <x v="16"/>
    <n v="161"/>
    <x v="1"/>
    <s v="Fanis"/>
    <n v="1"/>
    <n v="11"/>
    <n v="2"/>
    <n v="0"/>
    <x v="15"/>
    <s v="vs Panagopoulos"/>
    <n v="173"/>
    <n v="0.499"/>
    <n v="47"/>
    <n v="0.42299999999999999"/>
    <n v="0.80800000000000005"/>
    <n v="452"/>
    <n v="44"/>
    <n v="161"/>
    <n v="118"/>
    <n v="41"/>
    <n v="26"/>
    <n v="66"/>
    <n v="1.7878787878787878"/>
  </r>
  <r>
    <x v="0"/>
    <x v="0"/>
    <x v="16"/>
    <n v="161"/>
    <x v="14"/>
    <s v="Panagopoulos"/>
    <n v="0"/>
    <n v="2"/>
    <n v="11"/>
    <n v="0"/>
    <x v="0"/>
    <s v="vs Fanis"/>
    <n v="126"/>
    <n v="0.432"/>
    <n v="35"/>
    <n v="0.33"/>
    <n v="0.77"/>
    <n v="344"/>
    <n v="22"/>
    <n v="112"/>
    <n v="113"/>
    <n v="20"/>
    <n v="8"/>
    <n v="49"/>
    <n v="2.306122448979592"/>
  </r>
  <r>
    <x v="0"/>
    <x v="0"/>
    <x v="16"/>
    <n v="162"/>
    <x v="6"/>
    <s v="Tassos"/>
    <n v="1"/>
    <n v="10"/>
    <n v="3"/>
    <n v="0"/>
    <x v="10"/>
    <s v="vs pi/Sotiris"/>
    <n v="224"/>
    <n v="0.46600000000000003"/>
    <n v="55"/>
    <n v="0.40699999999999997"/>
    <n v="0.67900000000000005"/>
    <n v="596"/>
    <n v="68"/>
    <n v="160"/>
    <n v="77"/>
    <n v="33"/>
    <n v="26"/>
    <n v="60"/>
    <n v="1.2833333333333334"/>
  </r>
  <r>
    <x v="0"/>
    <x v="0"/>
    <x v="16"/>
    <n v="162"/>
    <x v="11"/>
    <s v="pi/Sotiris"/>
    <n v="0"/>
    <n v="3"/>
    <n v="10"/>
    <n v="0"/>
    <x v="7"/>
    <s v="vs Tassos"/>
    <n v="106"/>
    <n v="0.434"/>
    <n v="29"/>
    <n v="0.32200000000000001"/>
    <n v="0.78"/>
    <n v="280"/>
    <n v="27"/>
    <n v="76"/>
    <n v="43"/>
    <n v="16"/>
    <n v="16"/>
    <n v="30"/>
    <n v="1.4333333333333333"/>
  </r>
  <r>
    <x v="0"/>
    <x v="0"/>
    <x v="16"/>
    <n v="163"/>
    <x v="4"/>
    <s v="Mpousaras"/>
    <n v="1"/>
    <n v="8"/>
    <n v="5"/>
    <n v="0"/>
    <x v="11"/>
    <s v="vs Lagios"/>
    <n v="191"/>
    <n v="0.46200000000000002"/>
    <n v="28"/>
    <n v="0.29199999999999998"/>
    <n v="0.75900000000000001"/>
    <n v="492"/>
    <n v="36"/>
    <n v="123"/>
    <n v="119"/>
    <n v="34"/>
    <n v="13"/>
    <n v="65"/>
    <n v="1.8307692307692307"/>
  </r>
  <r>
    <x v="0"/>
    <x v="0"/>
    <x v="16"/>
    <n v="163"/>
    <x v="10"/>
    <s v="Lagios"/>
    <n v="0"/>
    <n v="5"/>
    <n v="8"/>
    <n v="0"/>
    <x v="5"/>
    <s v="vs Mpousaras"/>
    <n v="128"/>
    <n v="0.41399999999999998"/>
    <n v="39"/>
    <n v="0.35099999999999998"/>
    <n v="0.71799999999999997"/>
    <n v="351"/>
    <n v="23"/>
    <n v="113"/>
    <n v="107"/>
    <n v="24"/>
    <n v="19"/>
    <n v="56"/>
    <n v="1.9107142857142858"/>
  </r>
  <r>
    <x v="0"/>
    <x v="0"/>
    <x v="16"/>
    <n v="164"/>
    <x v="13"/>
    <s v="Kousidis"/>
    <n v="1"/>
    <n v="10"/>
    <n v="3"/>
    <n v="0"/>
    <x v="2"/>
    <s v="vs Sakellariou"/>
    <n v="157"/>
    <n v="0.437"/>
    <n v="51"/>
    <n v="0.36199999999999999"/>
    <n v="0.84399999999999997"/>
    <n v="430"/>
    <n v="19"/>
    <n v="136"/>
    <n v="81"/>
    <n v="32"/>
    <n v="12"/>
    <n v="40"/>
    <n v="2.0249999999999999"/>
  </r>
  <r>
    <x v="0"/>
    <x v="0"/>
    <x v="16"/>
    <n v="164"/>
    <x v="3"/>
    <s v="Sakellariou"/>
    <n v="0"/>
    <n v="3"/>
    <n v="10"/>
    <n v="0"/>
    <x v="12"/>
    <s v="vs Kousidis"/>
    <n v="151"/>
    <n v="0.495"/>
    <n v="42"/>
    <n v="0.36209999999999998"/>
    <n v="0.85599999999999998"/>
    <n v="421"/>
    <n v="18"/>
    <n v="114"/>
    <n v="72"/>
    <n v="26"/>
    <n v="9"/>
    <n v="50"/>
    <n v="1.44"/>
  </r>
  <r>
    <x v="0"/>
    <x v="0"/>
    <x v="16"/>
    <n v="165"/>
    <x v="0"/>
    <s v="Miggianis"/>
    <n v="0"/>
    <n v="4"/>
    <n v="9"/>
    <n v="0"/>
    <x v="16"/>
    <s v="vs Spiridaus/Oladipas"/>
    <n v="154"/>
    <n v="0.44600000000000001"/>
    <n v="37"/>
    <n v="0.32200000000000001"/>
    <n v="0.81399999999999995"/>
    <n v="415"/>
    <n v="28"/>
    <n v="137"/>
    <n v="106"/>
    <n v="35"/>
    <n v="17"/>
    <n v="52"/>
    <n v="2.0384615384615383"/>
  </r>
  <r>
    <x v="0"/>
    <x v="0"/>
    <x v="16"/>
    <n v="165"/>
    <x v="17"/>
    <s v="Spiridaus/Oladipas"/>
    <n v="1"/>
    <n v="9"/>
    <n v="4"/>
    <n v="0"/>
    <x v="1"/>
    <s v="vs Miggianis"/>
    <n v="171"/>
    <n v="0.47"/>
    <n v="48"/>
    <n v="0.39"/>
    <n v="0.75800000000000001"/>
    <n v="459"/>
    <n v="48"/>
    <n v="153"/>
    <n v="54"/>
    <n v="23"/>
    <n v="23"/>
    <n v="47"/>
    <n v="1.1489361702127661"/>
  </r>
  <r>
    <x v="0"/>
    <x v="0"/>
    <x v="16"/>
    <n v="166"/>
    <x v="2"/>
    <s v="Fountos"/>
    <n v="1"/>
    <n v="12"/>
    <n v="1"/>
    <n v="0"/>
    <x v="18"/>
    <s v="vs Nonis"/>
    <n v="186"/>
    <n v="0.49199999999999999"/>
    <n v="52"/>
    <n v="0.4"/>
    <n v="0.79800000000000004"/>
    <n v="515"/>
    <n v="36"/>
    <n v="137"/>
    <n v="100"/>
    <n v="23"/>
    <n v="19"/>
    <n v="47"/>
    <n v="2.1276595744680851"/>
  </r>
  <r>
    <x v="0"/>
    <x v="0"/>
    <x v="16"/>
    <n v="166"/>
    <x v="19"/>
    <s v="Nonis"/>
    <n v="0"/>
    <n v="1"/>
    <n v="12"/>
    <n v="0"/>
    <x v="3"/>
    <s v="vs Fountos"/>
    <n v="94"/>
    <n v="0.49"/>
    <n v="16"/>
    <n v="0.29099999999999998"/>
    <n v="0.74299999999999999"/>
    <n v="230"/>
    <n v="15"/>
    <n v="75"/>
    <n v="57"/>
    <n v="12"/>
    <n v="7"/>
    <n v="40"/>
    <n v="1.425"/>
  </r>
  <r>
    <x v="0"/>
    <x v="0"/>
    <x v="16"/>
    <n v="167"/>
    <x v="18"/>
    <s v="Kotakis"/>
    <n v="0"/>
    <n v="4"/>
    <n v="9"/>
    <n v="0"/>
    <x v="4"/>
    <s v="vs Markos"/>
    <n v="150"/>
    <n v="0.47"/>
    <n v="30"/>
    <n v="0.34100000000000003"/>
    <n v="0.81499999999999995"/>
    <n v="405"/>
    <n v="43"/>
    <n v="116"/>
    <n v="90"/>
    <n v="36"/>
    <n v="17"/>
    <n v="61"/>
    <n v="1.4754098360655739"/>
  </r>
  <r>
    <x v="0"/>
    <x v="0"/>
    <x v="16"/>
    <n v="167"/>
    <x v="5"/>
    <s v="Markos"/>
    <n v="1"/>
    <n v="9"/>
    <n v="4"/>
    <n v="0"/>
    <x v="19"/>
    <s v="vs Kotakis"/>
    <n v="159"/>
    <n v="0.49399999999999999"/>
    <n v="64"/>
    <n v="0.44800000000000001"/>
    <n v="0.80400000000000005"/>
    <n v="419"/>
    <n v="26"/>
    <n v="156"/>
    <n v="79"/>
    <n v="26"/>
    <n v="23"/>
    <n v="45"/>
    <n v="1.7555555555555555"/>
  </r>
  <r>
    <x v="0"/>
    <x v="0"/>
    <x v="16"/>
    <n v="168"/>
    <x v="16"/>
    <s v="Aris"/>
    <n v="1"/>
    <n v="8"/>
    <n v="5"/>
    <n v="0"/>
    <x v="6"/>
    <s v="vs Johnny"/>
    <n v="147"/>
    <n v="0.49199999999999999"/>
    <n v="32"/>
    <n v="0.39500000000000002"/>
    <n v="0.66300000000000003"/>
    <n v="393"/>
    <n v="35"/>
    <n v="128"/>
    <n v="103"/>
    <n v="33"/>
    <n v="20"/>
    <n v="60"/>
    <n v="1.7166666666666666"/>
  </r>
  <r>
    <x v="0"/>
    <x v="0"/>
    <x v="16"/>
    <n v="168"/>
    <x v="7"/>
    <s v="Johnny"/>
    <n v="0"/>
    <n v="5"/>
    <n v="8"/>
    <n v="0"/>
    <x v="17"/>
    <s v="vs Aris"/>
    <n v="133"/>
    <n v="0.504"/>
    <n v="31"/>
    <n v="0.39700000000000002"/>
    <n v="0.78100000000000003"/>
    <n v="354"/>
    <n v="34"/>
    <n v="137"/>
    <n v="73"/>
    <n v="25"/>
    <n v="19"/>
    <n v="50"/>
    <n v="1.46"/>
  </r>
  <r>
    <x v="0"/>
    <x v="0"/>
    <x v="16"/>
    <n v="169"/>
    <x v="8"/>
    <s v="Antoniou"/>
    <n v="1"/>
    <n v="12"/>
    <n v="1"/>
    <n v="0"/>
    <x v="14"/>
    <s v="vs Vasilis"/>
    <n v="176"/>
    <n v="0.49199999999999999"/>
    <n v="65"/>
    <n v="0.45500000000000002"/>
    <n v="0.83499999999999996"/>
    <n v="488"/>
    <n v="26"/>
    <n v="115"/>
    <n v="90"/>
    <n v="28"/>
    <n v="10"/>
    <n v="43"/>
    <n v="2.0930232558139537"/>
  </r>
  <r>
    <x v="0"/>
    <x v="0"/>
    <x v="16"/>
    <n v="169"/>
    <x v="15"/>
    <s v="Vasilis"/>
    <n v="0"/>
    <n v="1"/>
    <n v="12"/>
    <n v="0"/>
    <x v="9"/>
    <s v="vs Antoniou"/>
    <n v="142"/>
    <n v="0.40600000000000003"/>
    <n v="40"/>
    <n v="0.313"/>
    <n v="0.80400000000000005"/>
    <n v="369"/>
    <n v="24"/>
    <n v="101"/>
    <n v="72"/>
    <n v="27"/>
    <n v="15"/>
    <n v="49"/>
    <n v="1.4693877551020409"/>
  </r>
  <r>
    <x v="0"/>
    <x v="0"/>
    <x v="16"/>
    <n v="170"/>
    <x v="12"/>
    <s v="Stavros"/>
    <n v="1"/>
    <n v="10"/>
    <n v="3"/>
    <n v="0"/>
    <x v="8"/>
    <s v="vs Ziogas/Christof"/>
    <n v="154"/>
    <n v="0.46700000000000003"/>
    <n v="46"/>
    <n v="0.39700000000000002"/>
    <n v="0.78700000000000003"/>
    <n v="428"/>
    <n v="59"/>
    <n v="151"/>
    <n v="91"/>
    <n v="28"/>
    <n v="14"/>
    <n v="49"/>
    <n v="1.8571428571428572"/>
  </r>
  <r>
    <x v="0"/>
    <x v="0"/>
    <x v="16"/>
    <n v="170"/>
    <x v="9"/>
    <s v="Ziogas/Christof"/>
    <n v="0"/>
    <n v="3"/>
    <n v="10"/>
    <n v="0"/>
    <x v="13"/>
    <s v="vs Stavros"/>
    <n v="136"/>
    <n v="0.47599999999999998"/>
    <n v="38"/>
    <n v="0.35499999999999998"/>
    <n v="0.90500000000000003"/>
    <n v="405"/>
    <n v="29"/>
    <n v="123"/>
    <n v="85"/>
    <n v="17"/>
    <n v="19"/>
    <n v="50"/>
    <n v="1.7"/>
  </r>
  <r>
    <x v="0"/>
    <x v="0"/>
    <x v="17"/>
    <n v="171"/>
    <x v="1"/>
    <s v="Fanis"/>
    <n v="1"/>
    <n v="11"/>
    <n v="2"/>
    <n v="0"/>
    <x v="12"/>
    <s v="vs Kousidis"/>
    <n v="196"/>
    <n v="0.45300000000000001"/>
    <n v="66"/>
    <n v="0.39300000000000002"/>
    <n v="0.84299999999999997"/>
    <n v="560"/>
    <n v="61"/>
    <n v="194"/>
    <n v="149"/>
    <n v="44"/>
    <n v="31"/>
    <n v="73"/>
    <n v="2.0410958904109591"/>
  </r>
  <r>
    <x v="0"/>
    <x v="0"/>
    <x v="17"/>
    <n v="171"/>
    <x v="13"/>
    <s v="Kousidis"/>
    <n v="0"/>
    <n v="2"/>
    <n v="11"/>
    <n v="0"/>
    <x v="0"/>
    <s v="vs Fanis"/>
    <n v="169"/>
    <n v="0.44600000000000001"/>
    <n v="44"/>
    <n v="0.33100000000000002"/>
    <n v="0.78"/>
    <n v="446"/>
    <n v="26"/>
    <n v="150"/>
    <n v="129"/>
    <n v="22"/>
    <n v="10"/>
    <n v="60"/>
    <n v="2.15"/>
  </r>
  <r>
    <x v="0"/>
    <x v="0"/>
    <x v="17"/>
    <n v="172"/>
    <x v="4"/>
    <s v="Mpousaras"/>
    <n v="1"/>
    <n v="9"/>
    <n v="3"/>
    <n v="1"/>
    <x v="10"/>
    <s v="vs pi/Sotiris"/>
    <n v="191"/>
    <n v="0.45200000000000001"/>
    <n v="33"/>
    <n v="0.32700000000000001"/>
    <n v="0.7"/>
    <n v="485"/>
    <n v="43"/>
    <n v="152"/>
    <n v="108"/>
    <n v="31"/>
    <n v="24"/>
    <n v="55"/>
    <n v="1.9636363636363636"/>
  </r>
  <r>
    <x v="0"/>
    <x v="0"/>
    <x v="17"/>
    <n v="172"/>
    <x v="11"/>
    <s v="pi/Sotiris"/>
    <n v="0"/>
    <n v="3"/>
    <n v="9"/>
    <n v="1"/>
    <x v="5"/>
    <s v="vs Mpousaras"/>
    <n v="136"/>
    <n v="0.42899999999999999"/>
    <n v="36"/>
    <n v="0.31"/>
    <n v="0.79600000000000004"/>
    <n v="351"/>
    <n v="39"/>
    <n v="114"/>
    <n v="58"/>
    <n v="30"/>
    <n v="24"/>
    <n v="51"/>
    <n v="1.1372549019607843"/>
  </r>
  <r>
    <x v="0"/>
    <x v="0"/>
    <x v="17"/>
    <n v="173"/>
    <x v="3"/>
    <s v="Sakellariou"/>
    <n v="1"/>
    <n v="8"/>
    <n v="4"/>
    <n v="1"/>
    <x v="11"/>
    <s v="vs Lagios"/>
    <n v="217"/>
    <n v="0.47599999999999998"/>
    <n v="53"/>
    <n v="0.36809999999999998"/>
    <n v="0.83299999999999996"/>
    <n v="577"/>
    <n v="43"/>
    <n v="154"/>
    <n v="91"/>
    <n v="25"/>
    <n v="28"/>
    <n v="44"/>
    <n v="2.0681818181818183"/>
  </r>
  <r>
    <x v="0"/>
    <x v="0"/>
    <x v="17"/>
    <n v="173"/>
    <x v="10"/>
    <s v="Lagios"/>
    <n v="0"/>
    <n v="4"/>
    <n v="8"/>
    <n v="1"/>
    <x v="2"/>
    <s v="vs Sakellariou"/>
    <n v="160"/>
    <n v="0.443"/>
    <n v="39"/>
    <n v="0.36799999999999999"/>
    <n v="0.73599999999999999"/>
    <n v="437"/>
    <n v="45"/>
    <n v="138"/>
    <n v="115"/>
    <n v="23"/>
    <n v="28"/>
    <n v="40"/>
    <n v="2.875"/>
  </r>
  <r>
    <x v="0"/>
    <x v="0"/>
    <x v="17"/>
    <n v="174"/>
    <x v="0"/>
    <s v="Miggianis"/>
    <n v="1"/>
    <n v="8"/>
    <n v="5"/>
    <n v="0"/>
    <x v="15"/>
    <s v="vs Panagopoulos"/>
    <n v="159"/>
    <n v="0.45800000000000002"/>
    <n v="35"/>
    <n v="0.29399999999999998"/>
    <n v="0.78"/>
    <n v="438"/>
    <n v="33"/>
    <n v="131"/>
    <n v="92"/>
    <n v="22"/>
    <n v="21"/>
    <n v="59"/>
    <n v="1.5593220338983051"/>
  </r>
  <r>
    <x v="0"/>
    <x v="0"/>
    <x v="17"/>
    <n v="174"/>
    <x v="14"/>
    <s v="Panagopoulos"/>
    <n v="0"/>
    <n v="5"/>
    <n v="8"/>
    <n v="0"/>
    <x v="1"/>
    <s v="vs Miggianis"/>
    <n v="130"/>
    <n v="0.46899999999999997"/>
    <n v="38"/>
    <n v="0.376"/>
    <n v="0.75900000000000001"/>
    <n v="339"/>
    <n v="21"/>
    <n v="104"/>
    <n v="80"/>
    <n v="13"/>
    <n v="9"/>
    <n v="45"/>
    <n v="1.7777777777777777"/>
  </r>
  <r>
    <x v="0"/>
    <x v="0"/>
    <x v="17"/>
    <n v="175"/>
    <x v="17"/>
    <s v="Spiridaus/Oladipas"/>
    <n v="0"/>
    <n v="6"/>
    <n v="7"/>
    <n v="0"/>
    <x v="3"/>
    <s v="vs Fountos"/>
    <n v="175"/>
    <n v="0.499"/>
    <n v="49"/>
    <n v="0.39800000000000002"/>
    <n v="0.80900000000000005"/>
    <n v="471"/>
    <n v="44"/>
    <n v="149"/>
    <n v="75"/>
    <n v="37"/>
    <n v="21"/>
    <n v="23"/>
    <n v="3.2608695652173911"/>
  </r>
  <r>
    <x v="0"/>
    <x v="0"/>
    <x v="17"/>
    <n v="175"/>
    <x v="2"/>
    <s v="Fountos"/>
    <n v="1"/>
    <n v="7"/>
    <n v="6"/>
    <n v="0"/>
    <x v="16"/>
    <s v="vs Spiridaus/Oladipas"/>
    <n v="215"/>
    <n v="0.48299999999999998"/>
    <n v="60"/>
    <n v="0.38500000000000001"/>
    <n v="0.81399999999999995"/>
    <n v="586"/>
    <n v="36"/>
    <n v="183"/>
    <n v="111"/>
    <n v="26"/>
    <n v="25"/>
    <n v="44"/>
    <n v="2.5227272727272729"/>
  </r>
  <r>
    <x v="0"/>
    <x v="0"/>
    <x v="17"/>
    <n v="176"/>
    <x v="5"/>
    <s v="Markos"/>
    <n v="1"/>
    <n v="12"/>
    <n v="1"/>
    <n v="0"/>
    <x v="18"/>
    <s v="vs Nonis"/>
    <n v="207"/>
    <n v="0.46899999999999997"/>
    <n v="60"/>
    <n v="0.373"/>
    <n v="0.72899999999999998"/>
    <n v="536"/>
    <n v="52"/>
    <n v="149"/>
    <n v="96"/>
    <n v="45"/>
    <n v="22"/>
    <n v="49"/>
    <n v="1.9591836734693877"/>
  </r>
  <r>
    <x v="0"/>
    <x v="0"/>
    <x v="17"/>
    <n v="176"/>
    <x v="19"/>
    <s v="Nonis"/>
    <n v="0"/>
    <n v="1"/>
    <n v="12"/>
    <n v="0"/>
    <x v="4"/>
    <s v="vs Markos"/>
    <n v="88"/>
    <n v="0.46800000000000003"/>
    <n v="16"/>
    <n v="0.308"/>
    <n v="0.57799999999999996"/>
    <n v="218"/>
    <n v="24"/>
    <n v="68"/>
    <n v="39"/>
    <n v="15"/>
    <n v="10"/>
    <n v="35"/>
    <n v="1.1142857142857143"/>
  </r>
  <r>
    <x v="0"/>
    <x v="0"/>
    <x v="17"/>
    <n v="177"/>
    <x v="18"/>
    <s v="Kotakis"/>
    <n v="1"/>
    <n v="7"/>
    <n v="6"/>
    <n v="0"/>
    <x v="6"/>
    <s v="vs Johnny"/>
    <n v="147"/>
    <n v="0.495"/>
    <n v="32"/>
    <n v="0.36"/>
    <n v="0.81200000000000006"/>
    <n v="395"/>
    <n v="38"/>
    <n v="110"/>
    <n v="113"/>
    <n v="28"/>
    <n v="21"/>
    <n v="48"/>
    <n v="2.3541666666666665"/>
  </r>
  <r>
    <x v="0"/>
    <x v="0"/>
    <x v="17"/>
    <n v="177"/>
    <x v="7"/>
    <s v="Johnny"/>
    <n v="0"/>
    <n v="6"/>
    <n v="7"/>
    <n v="0"/>
    <x v="19"/>
    <s v="vs Kotakis"/>
    <n v="149"/>
    <n v="0.47899999999999998"/>
    <n v="33"/>
    <n v="0.41299999999999998"/>
    <n v="0.72"/>
    <n v="390"/>
    <n v="54"/>
    <n v="148"/>
    <n v="120"/>
    <n v="24"/>
    <n v="18"/>
    <n v="53"/>
    <n v="2.2641509433962264"/>
  </r>
  <r>
    <x v="0"/>
    <x v="0"/>
    <x v="17"/>
    <n v="178"/>
    <x v="16"/>
    <s v="Aris"/>
    <n v="0"/>
    <n v="5"/>
    <n v="8"/>
    <n v="0"/>
    <x v="9"/>
    <s v="vs Antoniou"/>
    <n v="190"/>
    <n v="0.52800000000000002"/>
    <n v="29"/>
    <n v="0.377"/>
    <n v="0.72699999999999998"/>
    <n v="510"/>
    <n v="57"/>
    <n v="132"/>
    <n v="135"/>
    <n v="31"/>
    <n v="35"/>
    <n v="65"/>
    <n v="2.0769230769230771"/>
  </r>
  <r>
    <x v="0"/>
    <x v="0"/>
    <x v="17"/>
    <n v="178"/>
    <x v="8"/>
    <s v="Antoniou"/>
    <n v="1"/>
    <n v="8"/>
    <n v="5"/>
    <n v="0"/>
    <x v="17"/>
    <s v="vs Aris"/>
    <n v="193"/>
    <n v="0.46100000000000002"/>
    <n v="46"/>
    <n v="0.34300000000000003"/>
    <n v="0.81299999999999994"/>
    <n v="523"/>
    <n v="47"/>
    <n v="161"/>
    <n v="137"/>
    <n v="27"/>
    <n v="26"/>
    <n v="57"/>
    <n v="2.4035087719298245"/>
  </r>
  <r>
    <x v="0"/>
    <x v="0"/>
    <x v="17"/>
    <n v="179"/>
    <x v="9"/>
    <s v="Ziogas/Christof"/>
    <n v="1"/>
    <n v="9"/>
    <n v="3"/>
    <n v="1"/>
    <x v="14"/>
    <s v="vs Vasilis"/>
    <n v="175"/>
    <n v="0.443"/>
    <n v="68"/>
    <n v="0.40699999999999997"/>
    <n v="0.81499999999999995"/>
    <n v="506"/>
    <n v="45"/>
    <n v="156"/>
    <n v="108"/>
    <n v="35"/>
    <n v="18"/>
    <n v="71"/>
    <n v="1.5211267605633803"/>
  </r>
  <r>
    <x v="0"/>
    <x v="0"/>
    <x v="17"/>
    <n v="179"/>
    <x v="15"/>
    <s v="Vasilis"/>
    <n v="0"/>
    <n v="3"/>
    <n v="9"/>
    <n v="1"/>
    <x v="8"/>
    <s v="vs Ziogas/Christof"/>
    <n v="175"/>
    <n v="0.45100000000000001"/>
    <n v="48"/>
    <n v="0.378"/>
    <n v="0.80600000000000005"/>
    <n v="456"/>
    <n v="22"/>
    <n v="114"/>
    <n v="79"/>
    <n v="28"/>
    <n v="20"/>
    <n v="56"/>
    <n v="1.4107142857142858"/>
  </r>
  <r>
    <x v="0"/>
    <x v="0"/>
    <x v="17"/>
    <n v="180"/>
    <x v="6"/>
    <s v="Tassos"/>
    <n v="0"/>
    <n v="6"/>
    <n v="6"/>
    <n v="1"/>
    <x v="13"/>
    <s v="vs Stavros"/>
    <n v="261"/>
    <n v="0.47699999999999998"/>
    <n v="62"/>
    <n v="0.376"/>
    <n v="0.75"/>
    <n v="683"/>
    <n v="62"/>
    <n v="177"/>
    <n v="141"/>
    <n v="51"/>
    <n v="27"/>
    <n v="88"/>
    <n v="1.6022727272727273"/>
  </r>
  <r>
    <x v="0"/>
    <x v="0"/>
    <x v="17"/>
    <n v="180"/>
    <x v="12"/>
    <s v="Stavros"/>
    <n v="0"/>
    <n v="6"/>
    <n v="6"/>
    <n v="1"/>
    <x v="7"/>
    <s v="vs Tassos"/>
    <n v="204"/>
    <n v="0.498"/>
    <n v="56"/>
    <n v="0.44400000000000001"/>
    <n v="0.81399999999999995"/>
    <n v="591"/>
    <n v="56"/>
    <n v="196"/>
    <n v="136"/>
    <n v="37"/>
    <n v="27"/>
    <n v="58"/>
    <n v="2.3448275862068964"/>
  </r>
  <r>
    <x v="0"/>
    <x v="0"/>
    <x v="18"/>
    <n v="181"/>
    <x v="1"/>
    <s v="Fanis"/>
    <n v="1"/>
    <n v="9"/>
    <n v="4"/>
    <n v="0"/>
    <x v="11"/>
    <s v="vs Lagios"/>
    <n v="168"/>
    <n v="0.44"/>
    <n v="39"/>
    <n v="0.32"/>
    <n v="0.79400000000000004"/>
    <n v="456"/>
    <n v="64"/>
    <n v="152"/>
    <n v="122"/>
    <n v="51"/>
    <n v="18"/>
    <n v="89"/>
    <n v="1.3707865168539326"/>
  </r>
  <r>
    <x v="0"/>
    <x v="0"/>
    <x v="18"/>
    <n v="181"/>
    <x v="10"/>
    <s v="Lagios"/>
    <n v="0"/>
    <n v="4"/>
    <n v="9"/>
    <n v="0"/>
    <x v="0"/>
    <s v="vs Fanis"/>
    <n v="148"/>
    <n v="0.45"/>
    <n v="36"/>
    <n v="0.31"/>
    <n v="0.71099999999999997"/>
    <n v="396"/>
    <n v="32"/>
    <n v="128"/>
    <n v="119"/>
    <n v="30"/>
    <n v="29"/>
    <n v="56"/>
    <n v="2.125"/>
  </r>
  <r>
    <x v="0"/>
    <x v="0"/>
    <x v="18"/>
    <n v="182"/>
    <x v="11"/>
    <s v="pi/Sotiris"/>
    <n v="1"/>
    <n v="7"/>
    <n v="6"/>
    <n v="0"/>
    <x v="2"/>
    <s v="vs Sakellariou"/>
    <n v="150"/>
    <n v="0.44500000000000001"/>
    <n v="50"/>
    <n v="0.44600000000000001"/>
    <n v="0.77600000000000002"/>
    <n v="395"/>
    <n v="31"/>
    <n v="141"/>
    <n v="93"/>
    <n v="40"/>
    <n v="25"/>
    <n v="59"/>
    <n v="1.576271186440678"/>
  </r>
  <r>
    <x v="0"/>
    <x v="0"/>
    <x v="18"/>
    <n v="182"/>
    <x v="3"/>
    <s v="Sakellariou"/>
    <n v="0"/>
    <n v="6"/>
    <n v="7"/>
    <n v="0"/>
    <x v="10"/>
    <s v="vs pi/Sotiris"/>
    <n v="198"/>
    <n v="0.49299999999999999"/>
    <n v="45"/>
    <n v="0.36899999999999999"/>
    <n v="0.85399999999999998"/>
    <n v="523"/>
    <n v="38"/>
    <n v="129"/>
    <n v="82"/>
    <n v="29"/>
    <n v="14"/>
    <n v="55"/>
    <n v="1.490909090909091"/>
  </r>
  <r>
    <x v="0"/>
    <x v="0"/>
    <x v="18"/>
    <n v="183"/>
    <x v="13"/>
    <s v="Kousidis"/>
    <n v="0"/>
    <n v="3"/>
    <n v="10"/>
    <n v="0"/>
    <x v="1"/>
    <s v="vs Miggianis"/>
    <n v="174"/>
    <n v="0.438"/>
    <n v="39"/>
    <n v="0.32800000000000001"/>
    <n v="0.81899999999999995"/>
    <n v="505"/>
    <n v="45"/>
    <n v="148"/>
    <n v="100"/>
    <n v="36"/>
    <n v="16"/>
    <n v="65"/>
    <n v="1.5384615384615385"/>
  </r>
  <r>
    <x v="0"/>
    <x v="0"/>
    <x v="18"/>
    <n v="183"/>
    <x v="0"/>
    <s v="Miggianis"/>
    <n v="1"/>
    <n v="10"/>
    <n v="3"/>
    <n v="0"/>
    <x v="12"/>
    <s v="vs Kousidis"/>
    <n v="183"/>
    <n v="0.48299999999999998"/>
    <n v="49"/>
    <n v="0.39500000000000002"/>
    <n v="0.81599999999999995"/>
    <n v="508"/>
    <n v="24"/>
    <n v="151"/>
    <n v="124"/>
    <n v="29"/>
    <n v="17"/>
    <n v="61"/>
    <n v="2.0327868852459017"/>
  </r>
  <r>
    <x v="0"/>
    <x v="0"/>
    <x v="18"/>
    <n v="184"/>
    <x v="2"/>
    <s v="Fountos"/>
    <n v="1"/>
    <n v="9"/>
    <n v="4"/>
    <n v="0"/>
    <x v="15"/>
    <s v="vs Panagopoulos"/>
    <n v="173"/>
    <n v="0.497"/>
    <n v="57"/>
    <n v="0.432"/>
    <n v="0.65400000000000003"/>
    <n v="454"/>
    <n v="32"/>
    <n v="146"/>
    <n v="53"/>
    <n v="36"/>
    <n v="18"/>
    <n v="41"/>
    <n v="1.2926829268292683"/>
  </r>
  <r>
    <x v="0"/>
    <x v="0"/>
    <x v="18"/>
    <n v="184"/>
    <x v="14"/>
    <s v="Panagopoulos"/>
    <n v="0"/>
    <n v="4"/>
    <n v="9"/>
    <n v="0"/>
    <x v="3"/>
    <s v="vs Fountos"/>
    <n v="125"/>
    <n v="0.48299999999999998"/>
    <n v="43"/>
    <n v="0.44800000000000001"/>
    <n v="0.81200000000000006"/>
    <n v="349"/>
    <n v="25"/>
    <n v="103"/>
    <n v="94"/>
    <n v="27"/>
    <n v="3"/>
    <n v="47"/>
    <n v="2"/>
  </r>
  <r>
    <x v="0"/>
    <x v="0"/>
    <x v="18"/>
    <n v="185"/>
    <x v="17"/>
    <s v="Spiridaus/Oladipas"/>
    <n v="1"/>
    <n v="8"/>
    <n v="5"/>
    <n v="0"/>
    <x v="4"/>
    <s v="vs Markos"/>
    <n v="174"/>
    <n v="0.48099999999999998"/>
    <n v="52"/>
    <n v="0.40899999999999997"/>
    <n v="0.76200000000000001"/>
    <n v="477"/>
    <n v="38"/>
    <n v="138"/>
    <n v="82"/>
    <n v="33"/>
    <n v="18"/>
    <n v="39"/>
    <n v="2.1025641025641026"/>
  </r>
  <r>
    <x v="0"/>
    <x v="0"/>
    <x v="18"/>
    <n v="185"/>
    <x v="5"/>
    <s v="Markos"/>
    <n v="0"/>
    <n v="5"/>
    <n v="8"/>
    <n v="0"/>
    <x v="16"/>
    <s v="vs Spiridaus/Oladipas"/>
    <n v="169"/>
    <n v="0.48799999999999999"/>
    <n v="47"/>
    <n v="0.39200000000000002"/>
    <n v="0.71199999999999997"/>
    <n v="459"/>
    <n v="44"/>
    <n v="140"/>
    <n v="90"/>
    <n v="20"/>
    <n v="20"/>
    <n v="62"/>
    <n v="1.4516129032258065"/>
  </r>
  <r>
    <x v="0"/>
    <x v="0"/>
    <x v="18"/>
    <n v="186"/>
    <x v="7"/>
    <s v="Johnny"/>
    <n v="1"/>
    <n v="9"/>
    <n v="4"/>
    <n v="0"/>
    <x v="18"/>
    <s v="vs Nonis"/>
    <n v="141"/>
    <n v="0.46700000000000003"/>
    <n v="39"/>
    <n v="0.39"/>
    <n v="0.70499999999999996"/>
    <n v="383"/>
    <n v="37"/>
    <n v="143"/>
    <n v="94"/>
    <n v="39"/>
    <n v="20"/>
    <n v="61"/>
    <n v="1.540983606557377"/>
  </r>
  <r>
    <x v="0"/>
    <x v="0"/>
    <x v="18"/>
    <n v="186"/>
    <x v="19"/>
    <s v="Nonis"/>
    <n v="0"/>
    <n v="4"/>
    <n v="9"/>
    <n v="0"/>
    <x v="6"/>
    <s v="vs Johnny"/>
    <n v="135"/>
    <n v="0.49099999999999999"/>
    <n v="29"/>
    <n v="0.53700000000000003"/>
    <n v="0.81499999999999995"/>
    <n v="365"/>
    <n v="35"/>
    <n v="83"/>
    <n v="55"/>
    <n v="21"/>
    <n v="19"/>
    <n v="44"/>
    <n v="1.25"/>
  </r>
  <r>
    <x v="0"/>
    <x v="0"/>
    <x v="18"/>
    <n v="187"/>
    <x v="18"/>
    <s v="Kotakis"/>
    <n v="0"/>
    <n v="4"/>
    <n v="9"/>
    <n v="0"/>
    <x v="9"/>
    <s v="vs Antoniou"/>
    <n v="165"/>
    <n v="0.47799999999999998"/>
    <n v="33"/>
    <n v="0.314"/>
    <n v="0.752"/>
    <n v="454"/>
    <n v="40"/>
    <n v="148"/>
    <n v="113"/>
    <n v="39"/>
    <n v="27"/>
    <n v="60"/>
    <n v="1.8833333333333333"/>
  </r>
  <r>
    <x v="0"/>
    <x v="0"/>
    <x v="18"/>
    <n v="187"/>
    <x v="8"/>
    <s v="Antoniou"/>
    <n v="1"/>
    <n v="9"/>
    <n v="4"/>
    <n v="0"/>
    <x v="19"/>
    <s v="vs Kotakis"/>
    <n v="185"/>
    <n v="0.45500000000000002"/>
    <n v="40"/>
    <n v="0.317"/>
    <n v="0.79200000000000004"/>
    <n v="494"/>
    <n v="38"/>
    <n v="159"/>
    <n v="114"/>
    <n v="35"/>
    <n v="14"/>
    <n v="49"/>
    <n v="2.3265306122448979"/>
  </r>
  <r>
    <x v="0"/>
    <x v="0"/>
    <x v="18"/>
    <n v="188"/>
    <x v="9"/>
    <s v="Ziogas/Christof"/>
    <n v="0"/>
    <n v="5"/>
    <n v="8"/>
    <n v="0"/>
    <x v="17"/>
    <s v="vs Aris"/>
    <n v="152"/>
    <n v="0.47899999999999998"/>
    <n v="36"/>
    <n v="0.38700000000000001"/>
    <n v="0.77300000000000002"/>
    <n v="439"/>
    <n v="43"/>
    <n v="129"/>
    <n v="89"/>
    <n v="31"/>
    <n v="21"/>
    <n v="61"/>
    <n v="1.459016393442623"/>
  </r>
  <r>
    <x v="0"/>
    <x v="0"/>
    <x v="18"/>
    <n v="188"/>
    <x v="16"/>
    <s v="Aris"/>
    <n v="1"/>
    <n v="8"/>
    <n v="5"/>
    <n v="0"/>
    <x v="8"/>
    <s v="vs Ziogas/Christof"/>
    <n v="196"/>
    <n v="0.53800000000000003"/>
    <n v="34"/>
    <n v="0.40500000000000003"/>
    <n v="0.76300000000000001"/>
    <n v="513"/>
    <n v="39"/>
    <n v="149"/>
    <n v="135"/>
    <n v="24"/>
    <n v="30"/>
    <n v="74"/>
    <n v="1.8243243243243243"/>
  </r>
  <r>
    <x v="0"/>
    <x v="0"/>
    <x v="18"/>
    <n v="189"/>
    <x v="6"/>
    <s v="Tassos"/>
    <n v="1"/>
    <n v="9"/>
    <n v="3"/>
    <n v="1"/>
    <x v="14"/>
    <s v="vs Vasilis"/>
    <n v="207"/>
    <n v="0.496"/>
    <n v="46"/>
    <n v="0.34599999999999997"/>
    <n v="0.81699999999999995"/>
    <n v="558"/>
    <n v="54"/>
    <n v="145"/>
    <n v="109"/>
    <n v="38"/>
    <n v="14"/>
    <n v="69"/>
    <n v="1.5797101449275361"/>
  </r>
  <r>
    <x v="0"/>
    <x v="0"/>
    <x v="18"/>
    <n v="189"/>
    <x v="15"/>
    <s v="Vasilis"/>
    <n v="0"/>
    <n v="3"/>
    <n v="9"/>
    <n v="1"/>
    <x v="7"/>
    <s v="vs Tassos"/>
    <n v="147"/>
    <n v="0.42599999999999999"/>
    <n v="46"/>
    <n v="0.33800000000000002"/>
    <n v="0.69499999999999995"/>
    <n v="381"/>
    <n v="26"/>
    <n v="104"/>
    <n v="95"/>
    <n v="28"/>
    <n v="19"/>
    <n v="57"/>
    <n v="1.6666666666666667"/>
  </r>
  <r>
    <x v="0"/>
    <x v="0"/>
    <x v="18"/>
    <n v="190"/>
    <x v="12"/>
    <s v="Stavros"/>
    <n v="1"/>
    <n v="10"/>
    <n v="3"/>
    <n v="0"/>
    <x v="5"/>
    <s v="vs Mpousaras"/>
    <n v="185"/>
    <n v="0.48699999999999999"/>
    <n v="38"/>
    <n v="0.36199999999999999"/>
    <n v="0.82899999999999996"/>
    <n v="524"/>
    <n v="69"/>
    <n v="205"/>
    <n v="108"/>
    <n v="46"/>
    <n v="27"/>
    <n v="75"/>
    <n v="1.44"/>
  </r>
  <r>
    <x v="0"/>
    <x v="0"/>
    <x v="18"/>
    <n v="190"/>
    <x v="4"/>
    <s v="Mpousaras"/>
    <n v="0"/>
    <n v="3"/>
    <n v="10"/>
    <n v="0"/>
    <x v="13"/>
    <s v="vs Stavros"/>
    <n v="178"/>
    <n v="0.442"/>
    <n v="37"/>
    <n v="0.34300000000000003"/>
    <n v="0.76500000000000001"/>
    <n v="468"/>
    <n v="35"/>
    <n v="118"/>
    <n v="115"/>
    <n v="25"/>
    <n v="20"/>
    <n v="70"/>
    <n v="1.6428571428571428"/>
  </r>
  <r>
    <x v="0"/>
    <x v="1"/>
    <x v="19"/>
    <n v="191"/>
    <x v="1"/>
    <s v="Fanis"/>
    <n v="0"/>
    <n v="6"/>
    <n v="7"/>
    <n v="0"/>
    <x v="9"/>
    <s v="vs Antoniou"/>
    <n v="137"/>
    <n v="0.48199999999999998"/>
    <n v="38"/>
    <n v="0.41799999999999998"/>
    <n v="0.753"/>
    <n v="373"/>
    <n v="32"/>
    <n v="134"/>
    <n v="93"/>
    <n v="36"/>
    <n v="21"/>
    <n v="43"/>
    <n v="2.1627906976744184"/>
  </r>
  <r>
    <x v="0"/>
    <x v="1"/>
    <x v="19"/>
    <n v="191"/>
    <x v="8"/>
    <s v="Antoniou"/>
    <n v="1"/>
    <n v="7"/>
    <n v="6"/>
    <n v="0"/>
    <x v="0"/>
    <s v="vs Fanis"/>
    <n v="147"/>
    <n v="0.47299999999999998"/>
    <n v="39"/>
    <n v="0.38600000000000001"/>
    <n v="0.85199999999999998"/>
    <n v="385"/>
    <n v="38"/>
    <n v="129"/>
    <n v="81"/>
    <n v="23"/>
    <n v="11"/>
    <n v="37"/>
    <n v="2.189189189189189"/>
  </r>
  <r>
    <x v="0"/>
    <x v="1"/>
    <x v="19"/>
    <n v="192"/>
    <x v="17"/>
    <s v="Spiridaus/Oladipas"/>
    <n v="1"/>
    <n v="10"/>
    <n v="3"/>
    <n v="0"/>
    <x v="3"/>
    <s v="vs Fountos"/>
    <n v="171"/>
    <n v="0.46"/>
    <n v="60"/>
    <n v="0.38200000000000001"/>
    <n v="0.83699999999999997"/>
    <n v="474"/>
    <n v="34"/>
    <n v="132"/>
    <n v="113"/>
    <n v="53"/>
    <n v="29"/>
    <n v="54"/>
    <n v="2.0925925925925926"/>
  </r>
  <r>
    <x v="0"/>
    <x v="1"/>
    <x v="19"/>
    <n v="192"/>
    <x v="2"/>
    <s v="Fountos"/>
    <n v="0"/>
    <n v="3"/>
    <n v="10"/>
    <n v="0"/>
    <x v="16"/>
    <s v="vs Spiridaus/Oladipas"/>
    <n v="152"/>
    <n v="0.43099999999999999"/>
    <n v="48"/>
    <n v="0.33300000000000002"/>
    <n v="0.76700000000000002"/>
    <n v="421"/>
    <n v="41"/>
    <n v="147"/>
    <n v="63"/>
    <n v="27"/>
    <n v="17"/>
    <n v="47"/>
    <n v="1.3404255319148937"/>
  </r>
  <r>
    <x v="0"/>
    <x v="1"/>
    <x v="19"/>
    <n v="193"/>
    <x v="6"/>
    <s v="Tassos"/>
    <n v="1"/>
    <n v="11"/>
    <n v="2"/>
    <n v="0"/>
    <x v="2"/>
    <s v="vs Sakellariou"/>
    <n v="207"/>
    <n v="0.48"/>
    <n v="59"/>
    <n v="0.40100000000000002"/>
    <n v="0.65700000000000003"/>
    <n v="542"/>
    <n v="38"/>
    <n v="139"/>
    <n v="136"/>
    <n v="36"/>
    <n v="33"/>
    <n v="76"/>
    <n v="1.7894736842105263"/>
  </r>
  <r>
    <x v="0"/>
    <x v="1"/>
    <x v="19"/>
    <n v="193"/>
    <x v="3"/>
    <s v="Sakellariou"/>
    <n v="0"/>
    <n v="2"/>
    <n v="11"/>
    <n v="0"/>
    <x v="7"/>
    <s v="vs Tassos"/>
    <n v="168"/>
    <n v="0.46700000000000003"/>
    <n v="45"/>
    <n v="0.35699999999999998"/>
    <n v="0.73899999999999999"/>
    <n v="449"/>
    <n v="31"/>
    <n v="98"/>
    <n v="69"/>
    <n v="26"/>
    <n v="10"/>
    <n v="50"/>
    <n v="1.38"/>
  </r>
  <r>
    <x v="0"/>
    <x v="1"/>
    <x v="19"/>
    <n v="194"/>
    <x v="12"/>
    <s v="Stavros"/>
    <n v="0"/>
    <n v="5"/>
    <n v="7"/>
    <n v="1"/>
    <x v="17"/>
    <s v="vs Aris"/>
    <n v="154"/>
    <n v="0.47499999999999998"/>
    <n v="46"/>
    <n v="0.43"/>
    <n v="0.73699999999999999"/>
    <n v="427"/>
    <n v="37"/>
    <n v="171"/>
    <n v="100"/>
    <n v="28"/>
    <n v="22"/>
    <n v="65"/>
    <n v="1.5384615384615385"/>
  </r>
  <r>
    <x v="0"/>
    <x v="1"/>
    <x v="19"/>
    <n v="194"/>
    <x v="16"/>
    <s v="Aris"/>
    <n v="1"/>
    <n v="7"/>
    <n v="5"/>
    <n v="1"/>
    <x v="13"/>
    <s v="vs Stavros"/>
    <n v="167"/>
    <n v="0.499"/>
    <n v="42"/>
    <n v="0.42399999999999999"/>
    <n v="0.80200000000000005"/>
    <n v="445"/>
    <n v="37"/>
    <n v="129"/>
    <n v="120"/>
    <n v="22"/>
    <n v="20"/>
    <n v="55"/>
    <n v="2.1818181818181817"/>
  </r>
  <r>
    <x v="0"/>
    <x v="1"/>
    <x v="20"/>
    <n v="195"/>
    <x v="6"/>
    <s v="Tassos"/>
    <n v="1"/>
    <n v="8"/>
    <n v="5"/>
    <n v="0"/>
    <x v="16"/>
    <s v="vs Spiridaus/Oladipas"/>
    <n v="179"/>
    <n v="0.46500000000000002"/>
    <n v="40"/>
    <n v="0.34200000000000003"/>
    <n v="0.67400000000000004"/>
    <n v="458"/>
    <n v="46"/>
    <n v="121"/>
    <n v="108"/>
    <n v="35"/>
    <n v="31"/>
    <n v="59"/>
    <n v="1.8305084745762712"/>
  </r>
  <r>
    <x v="0"/>
    <x v="1"/>
    <x v="20"/>
    <n v="195"/>
    <x v="17"/>
    <s v="Spiridaus/Oladipas"/>
    <n v="0"/>
    <n v="5"/>
    <n v="8"/>
    <n v="0"/>
    <x v="7"/>
    <s v="vs Tassos"/>
    <n v="149"/>
    <n v="0.45300000000000001"/>
    <n v="45"/>
    <n v="0.36599999999999999"/>
    <n v="0.83299999999999996"/>
    <n v="403"/>
    <n v="32"/>
    <n v="152"/>
    <n v="81"/>
    <n v="23"/>
    <n v="18"/>
    <n v="47"/>
    <n v="1.7234042553191489"/>
  </r>
  <r>
    <x v="0"/>
    <x v="1"/>
    <x v="20"/>
    <n v="196"/>
    <x v="16"/>
    <s v="Aris"/>
    <n v="0"/>
    <n v="6"/>
    <n v="7"/>
    <n v="0"/>
    <x v="9"/>
    <s v="vs Antoniou"/>
    <n v="129"/>
    <n v="0.442"/>
    <n v="18"/>
    <n v="0.3"/>
    <n v="0.69299999999999995"/>
    <n v="328"/>
    <n v="59"/>
    <n v="121"/>
    <n v="137"/>
    <n v="33"/>
    <n v="20"/>
    <n v="57"/>
    <n v="2.4035087719298245"/>
  </r>
  <r>
    <x v="0"/>
    <x v="1"/>
    <x v="20"/>
    <n v="196"/>
    <x v="8"/>
    <s v="Antoniou"/>
    <n v="1"/>
    <n v="7"/>
    <n v="6"/>
    <n v="0"/>
    <x v="17"/>
    <s v="vs Aris"/>
    <n v="137"/>
    <n v="0.495"/>
    <n v="33"/>
    <n v="0.5"/>
    <n v="0.82399999999999995"/>
    <n v="368"/>
    <n v="35"/>
    <n v="106"/>
    <n v="77"/>
    <n v="26"/>
    <n v="11"/>
    <n v="47"/>
    <n v="1.6382978723404256"/>
  </r>
  <r>
    <x v="0"/>
    <x v="1"/>
    <x v="21"/>
    <n v="197"/>
    <x v="6"/>
    <s v="Tassos"/>
    <n v="1"/>
    <n v="9"/>
    <n v="4"/>
    <n v="0"/>
    <x v="9"/>
    <s v="vs Antoniou"/>
    <n v="210"/>
    <n v="0.47499999999999998"/>
    <n v="47"/>
    <n v="0.33300000000000002"/>
    <n v="0.73299999999999998"/>
    <n v="533"/>
    <n v="48"/>
    <n v="149"/>
    <n v="131"/>
    <n v="36"/>
    <n v="26"/>
    <n v="63"/>
    <n v="2.0793650793650795"/>
  </r>
  <r>
    <x v="0"/>
    <x v="1"/>
    <x v="21"/>
    <n v="197"/>
    <x v="8"/>
    <s v="Antoniou"/>
    <n v="0"/>
    <n v="4"/>
    <n v="9"/>
    <n v="0"/>
    <x v="7"/>
    <s v="vs Tassos"/>
    <n v="166"/>
    <n v="0.45400000000000001"/>
    <n v="48"/>
    <n v="0.375"/>
    <n v="0.83799999999999997"/>
    <n v="447"/>
    <n v="32"/>
    <n v="114"/>
    <n v="86"/>
    <n v="29"/>
    <n v="15"/>
    <n v="50"/>
    <n v="1.72"/>
  </r>
  <r>
    <x v="0"/>
    <x v="1"/>
    <x v="22"/>
    <n v="198"/>
    <x v="16"/>
    <s v="Aris"/>
    <n v="0"/>
    <n v="5"/>
    <n v="8"/>
    <n v="0"/>
    <x v="16"/>
    <s v="vs Spiridaus/Oladipas"/>
    <n v="137"/>
    <n v="0.50700000000000001"/>
    <n v="23"/>
    <n v="0.38300000000000001"/>
    <n v="0.64100000000000001"/>
    <n v="347"/>
    <n v="52"/>
    <n v="132"/>
    <n v="117"/>
    <n v="40"/>
    <n v="17"/>
    <n v="51"/>
    <n v="2.2941176470588234"/>
  </r>
  <r>
    <x v="0"/>
    <x v="1"/>
    <x v="22"/>
    <n v="198"/>
    <x v="17"/>
    <s v="Spiridaus/Oladipas"/>
    <n v="1"/>
    <n v="8"/>
    <n v="5"/>
    <n v="0"/>
    <x v="17"/>
    <s v="vs Aris"/>
    <n v="179"/>
    <n v="0.48899999999999999"/>
    <n v="71"/>
    <n v="0.46100000000000002"/>
    <n v="0.81399999999999995"/>
    <n v="499"/>
    <n v="24"/>
    <n v="148"/>
    <n v="92"/>
    <n v="25"/>
    <n v="20"/>
    <n v="49"/>
    <n v="1.8775510204081634"/>
  </r>
  <r>
    <x v="1"/>
    <x v="0"/>
    <x v="0"/>
    <n v="1"/>
    <x v="1"/>
    <s v="Fanis"/>
    <n v="1"/>
    <n v="9"/>
    <n v="4"/>
    <n v="0"/>
    <x v="1"/>
    <s v="vs Miggianis"/>
    <n v="127"/>
    <n v="0.50600000000000001"/>
    <n v="48"/>
    <n v="0.46600000000000003"/>
    <n v="0.76100000000000001"/>
    <n v="337"/>
    <n v="26"/>
    <n v="108"/>
    <n v="76"/>
    <n v="23"/>
    <n v="10"/>
    <n v="41"/>
    <n v="1.8536585365853659"/>
  </r>
  <r>
    <x v="1"/>
    <x v="0"/>
    <x v="0"/>
    <n v="1"/>
    <x v="0"/>
    <s v="Miggianis"/>
    <n v="0"/>
    <n v="4"/>
    <n v="9"/>
    <n v="0"/>
    <x v="0"/>
    <s v="vs Fanis"/>
    <n v="81"/>
    <n v="0.438"/>
    <n v="27"/>
    <n v="0.40899999999999997"/>
    <n v="0.80400000000000005"/>
    <n v="234"/>
    <n v="14"/>
    <n v="75"/>
    <n v="60"/>
    <n v="18"/>
    <n v="12"/>
    <n v="31"/>
    <n v="1.935483870967742"/>
  </r>
  <r>
    <x v="1"/>
    <x v="0"/>
    <x v="0"/>
    <n v="2"/>
    <x v="2"/>
    <s v="Fountos"/>
    <n v="1"/>
    <n v="9"/>
    <n v="4"/>
    <n v="0"/>
    <x v="2"/>
    <s v="vs Sakellariou"/>
    <n v="153"/>
    <n v="0.502"/>
    <n v="40"/>
    <n v="0.47599999999999998"/>
    <n v="0.73299999999999998"/>
    <n v="409"/>
    <n v="43"/>
    <n v="83"/>
    <n v="61"/>
    <n v="26"/>
    <n v="12"/>
    <n v="27"/>
    <n v="2.2592592592592591"/>
  </r>
  <r>
    <x v="1"/>
    <x v="0"/>
    <x v="0"/>
    <n v="2"/>
    <x v="3"/>
    <s v="Sakellariou"/>
    <n v="0"/>
    <n v="4"/>
    <n v="9"/>
    <n v="0"/>
    <x v="3"/>
    <s v="vs Fountos"/>
    <n v="125"/>
    <n v="0.40600000000000003"/>
    <n v="31"/>
    <n v="0.307"/>
    <n v="0.877"/>
    <n v="352"/>
    <n v="27"/>
    <n v="122"/>
    <n v="72"/>
    <n v="19"/>
    <n v="13"/>
    <n v="47"/>
    <n v="1.5319148936170213"/>
  </r>
  <r>
    <x v="1"/>
    <x v="0"/>
    <x v="0"/>
    <n v="3"/>
    <x v="5"/>
    <s v="Markos"/>
    <n v="1"/>
    <n v="9"/>
    <n v="4"/>
    <n v="0"/>
    <x v="5"/>
    <s v="vs Mpousaras"/>
    <n v="137"/>
    <n v="0.43099999999999999"/>
    <n v="42"/>
    <n v="0.35299999999999998"/>
    <n v="0.77200000000000002"/>
    <n v="377"/>
    <n v="28"/>
    <n v="109"/>
    <n v="78"/>
    <n v="16"/>
    <n v="18"/>
    <n v="37"/>
    <n v="2.1081081081081079"/>
  </r>
  <r>
    <x v="1"/>
    <x v="0"/>
    <x v="0"/>
    <n v="3"/>
    <x v="4"/>
    <s v="Mpousaras"/>
    <n v="0"/>
    <n v="4"/>
    <n v="9"/>
    <n v="0"/>
    <x v="4"/>
    <s v="vs Markos"/>
    <n v="103"/>
    <n v="0.436"/>
    <n v="24"/>
    <n v="0.32900000000000001"/>
    <n v="0.81299999999999994"/>
    <n v="269"/>
    <n v="31"/>
    <n v="80"/>
    <n v="64"/>
    <n v="14"/>
    <n v="8"/>
    <n v="31"/>
    <n v="2.064516129032258"/>
  </r>
  <r>
    <x v="1"/>
    <x v="0"/>
    <x v="0"/>
    <n v="4"/>
    <x v="6"/>
    <s v="Tassos"/>
    <n v="0"/>
    <n v="5"/>
    <n v="8"/>
    <n v="0"/>
    <x v="6"/>
    <s v="vs Johnny"/>
    <n v="161"/>
    <n v="0.436"/>
    <n v="37"/>
    <n v="0.29099999999999998"/>
    <n v="0.75"/>
    <n v="434"/>
    <n v="38"/>
    <n v="123"/>
    <n v="70"/>
    <n v="33"/>
    <n v="20"/>
    <n v="49"/>
    <n v="1.4285714285714286"/>
  </r>
  <r>
    <x v="1"/>
    <x v="0"/>
    <x v="0"/>
    <n v="4"/>
    <x v="7"/>
    <s v="Johnny"/>
    <n v="1"/>
    <n v="8"/>
    <n v="5"/>
    <n v="0"/>
    <x v="7"/>
    <s v="vs Tassos"/>
    <n v="136"/>
    <n v="0.504"/>
    <n v="24"/>
    <n v="0.33300000000000002"/>
    <n v="0.79200000000000004"/>
    <n v="391"/>
    <n v="51"/>
    <n v="124"/>
    <n v="92"/>
    <n v="24"/>
    <n v="21"/>
    <n v="52"/>
    <n v="1.7692307692307692"/>
  </r>
  <r>
    <x v="1"/>
    <x v="0"/>
    <x v="0"/>
    <n v="5"/>
    <x v="9"/>
    <s v="Ziogas/Christof"/>
    <n v="1"/>
    <n v="7"/>
    <n v="6"/>
    <n v="0"/>
    <x v="9"/>
    <s v="vs Antoniou"/>
    <n v="121"/>
    <n v="0.45100000000000001"/>
    <n v="25"/>
    <n v="0.30099999999999999"/>
    <n v="0.69199999999999995"/>
    <n v="330"/>
    <n v="27"/>
    <n v="127"/>
    <n v="53"/>
    <n v="25"/>
    <n v="24"/>
    <n v="56"/>
    <n v="0.9464285714285714"/>
  </r>
  <r>
    <x v="1"/>
    <x v="0"/>
    <x v="0"/>
    <n v="5"/>
    <x v="8"/>
    <s v="Antoniou"/>
    <n v="0"/>
    <n v="6"/>
    <n v="7"/>
    <n v="0"/>
    <x v="8"/>
    <s v="vs Ziogas/Christof"/>
    <n v="100"/>
    <n v="0.46300000000000002"/>
    <n v="33"/>
    <n v="0.41799999999999998"/>
    <n v="0.83299999999999996"/>
    <n v="273"/>
    <n v="24"/>
    <n v="85"/>
    <n v="51"/>
    <n v="13"/>
    <n v="16"/>
    <n v="39"/>
    <n v="1.3076923076923077"/>
  </r>
  <r>
    <x v="1"/>
    <x v="0"/>
    <x v="0"/>
    <n v="6"/>
    <x v="11"/>
    <s v="pi/Sotiris"/>
    <n v="1"/>
    <n v="9"/>
    <n v="4"/>
    <n v="0"/>
    <x v="11"/>
    <s v="vs Lagios"/>
    <n v="148"/>
    <n v="0.52100000000000002"/>
    <n v="34"/>
    <n v="0.374"/>
    <n v="0.82699999999999996"/>
    <n v="392"/>
    <n v="24"/>
    <n v="129"/>
    <n v="54"/>
    <n v="17"/>
    <n v="21"/>
    <n v="57"/>
    <n v="0.94736842105263153"/>
  </r>
  <r>
    <x v="1"/>
    <x v="0"/>
    <x v="0"/>
    <n v="6"/>
    <x v="10"/>
    <s v="Lagios"/>
    <n v="0"/>
    <n v="4"/>
    <n v="9"/>
    <n v="0"/>
    <x v="10"/>
    <s v="vs pi/Sotiris"/>
    <n v="116"/>
    <n v="0.42499999999999999"/>
    <n v="26"/>
    <n v="0.30199999999999999"/>
    <n v="0.77"/>
    <n v="325"/>
    <n v="46"/>
    <n v="111"/>
    <n v="95"/>
    <n v="14"/>
    <n v="9"/>
    <n v="55"/>
    <n v="1.7272727272727273"/>
  </r>
  <r>
    <x v="1"/>
    <x v="0"/>
    <x v="0"/>
    <n v="7"/>
    <x v="12"/>
    <s v="Stavros"/>
    <n v="1"/>
    <n v="11"/>
    <n v="2"/>
    <n v="0"/>
    <x v="12"/>
    <s v="vs Kousidis"/>
    <n v="149"/>
    <n v="0.45300000000000001"/>
    <n v="48"/>
    <n v="0.375"/>
    <n v="0.82499999999999996"/>
    <n v="440"/>
    <n v="42"/>
    <n v="119"/>
    <n v="95"/>
    <n v="22"/>
    <n v="25"/>
    <n v="48"/>
    <n v="1.9791666666666667"/>
  </r>
  <r>
    <x v="1"/>
    <x v="0"/>
    <x v="0"/>
    <n v="7"/>
    <x v="13"/>
    <s v="Kousidis"/>
    <n v="0"/>
    <n v="2"/>
    <n v="11"/>
    <n v="0"/>
    <x v="13"/>
    <s v="vs Stavros"/>
    <n v="102"/>
    <n v="0.47699999999999998"/>
    <n v="14"/>
    <n v="0.32600000000000001"/>
    <n v="0.69199999999999995"/>
    <n v="254"/>
    <n v="13"/>
    <n v="63"/>
    <n v="42"/>
    <n v="8"/>
    <n v="5"/>
    <n v="30"/>
    <n v="1.4"/>
  </r>
  <r>
    <x v="1"/>
    <x v="0"/>
    <x v="0"/>
    <n v="8"/>
    <x v="14"/>
    <s v="Panagopoulos"/>
    <n v="0"/>
    <n v="6"/>
    <n v="7"/>
    <n v="0"/>
    <x v="14"/>
    <s v="vs Vasilis"/>
    <n v="123"/>
    <n v="0.46899999999999997"/>
    <n v="26"/>
    <n v="0.31"/>
    <n v="0.77800000000000002"/>
    <n v="342"/>
    <n v="31"/>
    <n v="93"/>
    <n v="77"/>
    <n v="28"/>
    <n v="14"/>
    <n v="48"/>
    <n v="1.6041666666666667"/>
  </r>
  <r>
    <x v="1"/>
    <x v="0"/>
    <x v="0"/>
    <n v="8"/>
    <x v="15"/>
    <s v="Vasilis"/>
    <n v="1"/>
    <n v="7"/>
    <n v="6"/>
    <n v="0"/>
    <x v="15"/>
    <s v="vs Panagopoulos"/>
    <n v="110"/>
    <n v="0.47"/>
    <n v="35"/>
    <n v="0.42199999999999999"/>
    <n v="0.67700000000000005"/>
    <n v="297"/>
    <n v="35"/>
    <n v="96"/>
    <n v="57"/>
    <n v="25"/>
    <n v="10"/>
    <n v="35"/>
    <n v="1.6285714285714286"/>
  </r>
  <r>
    <x v="1"/>
    <x v="0"/>
    <x v="0"/>
    <n v="9"/>
    <x v="16"/>
    <s v="Aris"/>
    <n v="1"/>
    <n v="7"/>
    <n v="5"/>
    <n v="1"/>
    <x v="16"/>
    <s v="vs Spiridaus/Oladipas"/>
    <n v="133"/>
    <n v="0.45900000000000002"/>
    <n v="19"/>
    <n v="0.35199999999999998"/>
    <n v="0.79"/>
    <n v="349"/>
    <n v="45"/>
    <n v="121"/>
    <n v="81"/>
    <n v="19"/>
    <n v="11"/>
    <n v="39"/>
    <n v="2.0769230769230771"/>
  </r>
  <r>
    <x v="1"/>
    <x v="0"/>
    <x v="0"/>
    <n v="9"/>
    <x v="17"/>
    <s v="Spiridaus/Oladipas"/>
    <n v="0"/>
    <n v="5"/>
    <n v="7"/>
    <n v="1"/>
    <x v="17"/>
    <s v="vs Aris"/>
    <n v="115"/>
    <n v="0.47299999999999998"/>
    <n v="21"/>
    <n v="0.3"/>
    <n v="0.69899999999999995"/>
    <n v="302"/>
    <n v="32"/>
    <n v="87"/>
    <n v="74"/>
    <n v="19"/>
    <n v="21"/>
    <n v="30"/>
    <n v="2.4666666666666668"/>
  </r>
  <r>
    <x v="1"/>
    <x v="0"/>
    <x v="0"/>
    <n v="10"/>
    <x v="18"/>
    <s v="Kotakis"/>
    <n v="1"/>
    <n v="8"/>
    <n v="4"/>
    <n v="1"/>
    <x v="18"/>
    <s v="vs Nonis"/>
    <n v="110"/>
    <n v="0.44400000000000001"/>
    <n v="39"/>
    <n v="0.42899999999999999"/>
    <n v="0.71399999999999997"/>
    <n v="314"/>
    <n v="31"/>
    <n v="101"/>
    <n v="84"/>
    <n v="22"/>
    <n v="20"/>
    <n v="41"/>
    <n v="2.0487804878048781"/>
  </r>
  <r>
    <x v="1"/>
    <x v="0"/>
    <x v="0"/>
    <n v="10"/>
    <x v="19"/>
    <s v="Nonis"/>
    <n v="0"/>
    <n v="4"/>
    <n v="8"/>
    <n v="1"/>
    <x v="19"/>
    <s v="vs Kotakis"/>
    <n v="124"/>
    <n v="0.45900000000000002"/>
    <n v="39"/>
    <n v="0.375"/>
    <n v="0.70499999999999996"/>
    <n v="330"/>
    <n v="19"/>
    <n v="90"/>
    <n v="62"/>
    <n v="21"/>
    <n v="15"/>
    <n v="40"/>
    <n v="1.55"/>
  </r>
  <r>
    <x v="1"/>
    <x v="0"/>
    <x v="1"/>
    <n v="11"/>
    <x v="1"/>
    <s v="Fanis"/>
    <n v="1"/>
    <n v="10"/>
    <n v="2"/>
    <n v="1"/>
    <x v="3"/>
    <s v="vs Fountos"/>
    <n v="184"/>
    <n v="0.48799999999999999"/>
    <n v="77"/>
    <n v="0.46400000000000002"/>
    <n v="0.82699999999999996"/>
    <n v="536"/>
    <n v="47"/>
    <n v="182"/>
    <n v="81"/>
    <n v="31"/>
    <n v="21"/>
    <n v="70"/>
    <n v="1.1571428571428573"/>
  </r>
  <r>
    <x v="1"/>
    <x v="0"/>
    <x v="1"/>
    <n v="11"/>
    <x v="2"/>
    <s v="Fountos"/>
    <n v="0"/>
    <n v="2"/>
    <n v="10"/>
    <n v="1"/>
    <x v="0"/>
    <s v="vs Fanis"/>
    <n v="154"/>
    <n v="0.434"/>
    <n v="39"/>
    <n v="0.315"/>
    <n v="0.77900000000000003"/>
    <n v="435"/>
    <n v="39"/>
    <n v="101"/>
    <n v="81"/>
    <n v="25"/>
    <n v="16"/>
    <n v="42"/>
    <n v="1.9285714285714286"/>
  </r>
  <r>
    <x v="1"/>
    <x v="0"/>
    <x v="1"/>
    <n v="12"/>
    <x v="5"/>
    <s v="Markos"/>
    <n v="1"/>
    <n v="8"/>
    <n v="5"/>
    <n v="0"/>
    <x v="1"/>
    <s v="vs Miggianis"/>
    <n v="165"/>
    <n v="0.42899999999999999"/>
    <n v="41"/>
    <n v="0.29899999999999999"/>
    <n v="0.77100000000000002"/>
    <n v="452"/>
    <n v="34"/>
    <n v="141"/>
    <n v="101"/>
    <n v="20"/>
    <n v="23"/>
    <n v="61"/>
    <n v="1.6557377049180328"/>
  </r>
  <r>
    <x v="1"/>
    <x v="0"/>
    <x v="1"/>
    <n v="12"/>
    <x v="0"/>
    <s v="Miggianis"/>
    <n v="0"/>
    <n v="5"/>
    <n v="8"/>
    <n v="0"/>
    <x v="4"/>
    <s v="vs Markos"/>
    <n v="119"/>
    <n v="0.434"/>
    <n v="34"/>
    <n v="0.32100000000000001"/>
    <n v="0.745"/>
    <n v="310"/>
    <n v="29"/>
    <n v="116"/>
    <n v="84"/>
    <n v="15"/>
    <n v="25"/>
    <n v="42"/>
    <n v="2"/>
  </r>
  <r>
    <x v="1"/>
    <x v="0"/>
    <x v="1"/>
    <n v="13"/>
    <x v="3"/>
    <s v="Sakellariou"/>
    <n v="1"/>
    <n v="8"/>
    <n v="5"/>
    <n v="0"/>
    <x v="6"/>
    <s v="vs Johnny"/>
    <n v="172"/>
    <n v="0.53300000000000003"/>
    <n v="39"/>
    <n v="0.45300000000000001"/>
    <n v="0.82899999999999996"/>
    <n v="446"/>
    <n v="32"/>
    <n v="128"/>
    <n v="82"/>
    <n v="27"/>
    <n v="17"/>
    <n v="53"/>
    <n v="1.5471698113207548"/>
  </r>
  <r>
    <x v="1"/>
    <x v="0"/>
    <x v="1"/>
    <n v="13"/>
    <x v="7"/>
    <s v="Johnny"/>
    <n v="0"/>
    <n v="5"/>
    <n v="8"/>
    <n v="0"/>
    <x v="2"/>
    <s v="vs Sakellariou"/>
    <n v="150"/>
    <n v="0.44800000000000001"/>
    <n v="45"/>
    <n v="0.378"/>
    <n v="0.72"/>
    <n v="412"/>
    <n v="46"/>
    <n v="107"/>
    <n v="83"/>
    <n v="19"/>
    <n v="15"/>
    <n v="47"/>
    <n v="1.7659574468085106"/>
  </r>
  <r>
    <x v="1"/>
    <x v="0"/>
    <x v="1"/>
    <n v="14"/>
    <x v="4"/>
    <s v="Mpousaras"/>
    <n v="1"/>
    <n v="8"/>
    <n v="5"/>
    <n v="0"/>
    <x v="9"/>
    <s v="vs Antoniou"/>
    <n v="127"/>
    <n v="0.432"/>
    <n v="38"/>
    <n v="0.33600000000000002"/>
    <n v="0.76200000000000001"/>
    <n v="324"/>
    <n v="32"/>
    <n v="90"/>
    <n v="77"/>
    <n v="23"/>
    <n v="17"/>
    <n v="42"/>
    <n v="1.8333333333333333"/>
  </r>
  <r>
    <x v="1"/>
    <x v="0"/>
    <x v="1"/>
    <n v="14"/>
    <x v="8"/>
    <s v="Antoniou"/>
    <n v="0"/>
    <n v="5"/>
    <n v="8"/>
    <n v="0"/>
    <x v="5"/>
    <s v="vs Mpousaras"/>
    <n v="119"/>
    <n v="0.41299999999999998"/>
    <n v="34"/>
    <n v="0.30099999999999999"/>
    <n v="0.81"/>
    <n v="319"/>
    <n v="40"/>
    <n v="123"/>
    <n v="83"/>
    <n v="18"/>
    <n v="18"/>
    <n v="46"/>
    <n v="1.8043478260869565"/>
  </r>
  <r>
    <x v="1"/>
    <x v="0"/>
    <x v="1"/>
    <n v="15"/>
    <x v="9"/>
    <s v="Ziogas/Christof"/>
    <n v="1"/>
    <n v="8"/>
    <n v="5"/>
    <n v="0"/>
    <x v="7"/>
    <s v="vs Tassos"/>
    <n v="170"/>
    <n v="0.52300000000000002"/>
    <n v="35"/>
    <n v="0.35"/>
    <n v="0.72499999999999998"/>
    <n v="449"/>
    <n v="34"/>
    <n v="139"/>
    <n v="106"/>
    <n v="35"/>
    <n v="30"/>
    <n v="69"/>
    <n v="1.536231884057971"/>
  </r>
  <r>
    <x v="1"/>
    <x v="0"/>
    <x v="1"/>
    <n v="15"/>
    <x v="6"/>
    <s v="Tassos"/>
    <n v="0"/>
    <n v="5"/>
    <n v="8"/>
    <n v="0"/>
    <x v="8"/>
    <s v="vs Ziogas/Christof"/>
    <n v="161"/>
    <n v="0.44"/>
    <n v="33"/>
    <n v="0.28699999999999998"/>
    <n v="0.753"/>
    <n v="416"/>
    <n v="45"/>
    <n v="113"/>
    <n v="109"/>
    <n v="29"/>
    <n v="17"/>
    <n v="46"/>
    <n v="2.3695652173913042"/>
  </r>
  <r>
    <x v="1"/>
    <x v="0"/>
    <x v="1"/>
    <n v="16"/>
    <x v="11"/>
    <s v="pi/Sotiris"/>
    <n v="1"/>
    <n v="10"/>
    <n v="3"/>
    <n v="0"/>
    <x v="12"/>
    <s v="vs Kousidis"/>
    <n v="198"/>
    <n v="0.49399999999999999"/>
    <n v="45"/>
    <n v="0.375"/>
    <n v="0.77500000000000002"/>
    <n v="496"/>
    <n v="35"/>
    <n v="151"/>
    <n v="103"/>
    <n v="25"/>
    <n v="16"/>
    <n v="54"/>
    <n v="1.9074074074074074"/>
  </r>
  <r>
    <x v="1"/>
    <x v="0"/>
    <x v="1"/>
    <n v="16"/>
    <x v="13"/>
    <s v="Kousidis"/>
    <n v="0"/>
    <n v="3"/>
    <n v="10"/>
    <n v="0"/>
    <x v="10"/>
    <s v="vs pi/Sotiris"/>
    <n v="109"/>
    <n v="0.41799999999999998"/>
    <n v="21"/>
    <n v="0.32300000000000001"/>
    <n v="0.8"/>
    <n v="291"/>
    <n v="21"/>
    <n v="99"/>
    <n v="81"/>
    <n v="18"/>
    <n v="12"/>
    <n v="42"/>
    <n v="1.9285714285714286"/>
  </r>
  <r>
    <x v="1"/>
    <x v="0"/>
    <x v="1"/>
    <n v="17"/>
    <x v="14"/>
    <s v="Panagopoulos"/>
    <n v="1"/>
    <n v="7"/>
    <n v="6"/>
    <n v="0"/>
    <x v="11"/>
    <s v="vs Lagios"/>
    <n v="160"/>
    <n v="0.47499999999999998"/>
    <n v="40"/>
    <n v="0.36"/>
    <n v="0.72499999999999998"/>
    <n v="439"/>
    <n v="29"/>
    <n v="131"/>
    <n v="118"/>
    <n v="27"/>
    <n v="16"/>
    <n v="60"/>
    <n v="1.9666666666666666"/>
  </r>
  <r>
    <x v="1"/>
    <x v="0"/>
    <x v="1"/>
    <n v="17"/>
    <x v="10"/>
    <s v="Lagios"/>
    <n v="0"/>
    <n v="6"/>
    <n v="7"/>
    <n v="0"/>
    <x v="15"/>
    <s v="vs Panagopoulos"/>
    <n v="146"/>
    <n v="0.48799999999999999"/>
    <n v="39"/>
    <n v="0.41099999999999998"/>
    <n v="0.80800000000000005"/>
    <n v="390"/>
    <n v="38"/>
    <n v="120"/>
    <n v="66"/>
    <n v="20"/>
    <n v="17"/>
    <n v="46"/>
    <n v="1.4347826086956521"/>
  </r>
  <r>
    <x v="1"/>
    <x v="0"/>
    <x v="1"/>
    <n v="18"/>
    <x v="17"/>
    <s v="Spiridaus/Oladipas"/>
    <n v="0"/>
    <n v="6"/>
    <n v="6"/>
    <n v="1"/>
    <x v="13"/>
    <s v="vs Stavros"/>
    <n v="133"/>
    <n v="0.45700000000000002"/>
    <n v="29"/>
    <n v="0.34899999999999998"/>
    <n v="0.73399999999999999"/>
    <n v="364"/>
    <n v="29"/>
    <n v="106"/>
    <n v="60"/>
    <n v="26"/>
    <n v="20"/>
    <n v="28"/>
    <n v="2.1428571428571428"/>
  </r>
  <r>
    <x v="1"/>
    <x v="0"/>
    <x v="1"/>
    <n v="18"/>
    <x v="12"/>
    <s v="Stavros"/>
    <n v="0"/>
    <n v="6"/>
    <n v="6"/>
    <n v="1"/>
    <x v="16"/>
    <s v="vs Spiridaus/Oladipas"/>
    <n v="141"/>
    <n v="0.42599999999999999"/>
    <n v="29"/>
    <n v="0.25900000000000001"/>
    <n v="0.83"/>
    <n v="394"/>
    <n v="46"/>
    <n v="155"/>
    <n v="101"/>
    <n v="13"/>
    <n v="15"/>
    <n v="65"/>
    <n v="1.5538461538461539"/>
  </r>
  <r>
    <x v="1"/>
    <x v="0"/>
    <x v="1"/>
    <n v="19"/>
    <x v="15"/>
    <s v="Vasilis"/>
    <n v="1"/>
    <n v="9"/>
    <n v="4"/>
    <n v="0"/>
    <x v="18"/>
    <s v="vs Nonis"/>
    <n v="170"/>
    <n v="0.437"/>
    <n v="40"/>
    <n v="0.313"/>
    <n v="0.72399999999999998"/>
    <n v="443"/>
    <n v="53"/>
    <n v="127"/>
    <n v="70"/>
    <n v="24"/>
    <n v="34"/>
    <n v="55"/>
    <n v="1.2727272727272727"/>
  </r>
  <r>
    <x v="1"/>
    <x v="0"/>
    <x v="1"/>
    <n v="19"/>
    <x v="19"/>
    <s v="Nonis"/>
    <n v="0"/>
    <n v="4"/>
    <n v="9"/>
    <n v="0"/>
    <x v="14"/>
    <s v="vs Vasilis"/>
    <n v="102"/>
    <n v="0.42899999999999999"/>
    <n v="28"/>
    <n v="0.33300000000000002"/>
    <n v="0.81599999999999995"/>
    <n v="303"/>
    <n v="27"/>
    <n v="97"/>
    <n v="68"/>
    <n v="22"/>
    <n v="20"/>
    <n v="52"/>
    <n v="1.3076923076923077"/>
  </r>
  <r>
    <x v="1"/>
    <x v="0"/>
    <x v="1"/>
    <n v="20"/>
    <x v="18"/>
    <s v="Kotakis"/>
    <n v="1"/>
    <n v="8"/>
    <n v="5"/>
    <n v="0"/>
    <x v="17"/>
    <s v="vs Aris"/>
    <n v="143"/>
    <n v="0.45"/>
    <n v="38"/>
    <n v="0.34499999999999997"/>
    <n v="0.85199999999999998"/>
    <n v="376"/>
    <n v="28"/>
    <n v="131"/>
    <n v="95"/>
    <n v="31"/>
    <n v="18"/>
    <n v="40"/>
    <n v="2.375"/>
  </r>
  <r>
    <x v="1"/>
    <x v="0"/>
    <x v="1"/>
    <n v="20"/>
    <x v="16"/>
    <s v="Aris"/>
    <n v="0"/>
    <n v="5"/>
    <n v="8"/>
    <n v="0"/>
    <x v="19"/>
    <s v="vs Kotakis"/>
    <n v="177"/>
    <n v="0.51200000000000001"/>
    <n v="40"/>
    <n v="0.38500000000000001"/>
    <n v="0.83099999999999996"/>
    <n v="458"/>
    <n v="24"/>
    <n v="102"/>
    <n v="76"/>
    <n v="25"/>
    <n v="13"/>
    <n v="57"/>
    <n v="1.3333333333333333"/>
  </r>
  <r>
    <x v="1"/>
    <x v="0"/>
    <x v="2"/>
    <n v="21"/>
    <x v="1"/>
    <s v="Fanis"/>
    <n v="0"/>
    <n v="5"/>
    <n v="8"/>
    <n v="0"/>
    <x v="4"/>
    <s v="vs Markos"/>
    <n v="143"/>
    <n v="0.46700000000000003"/>
    <n v="59"/>
    <n v="0.40699999999999997"/>
    <n v="0.71799999999999997"/>
    <n v="401"/>
    <n v="41"/>
    <n v="137"/>
    <n v="76"/>
    <n v="39"/>
    <n v="21"/>
    <n v="59"/>
    <n v="1.2881355932203389"/>
  </r>
  <r>
    <x v="1"/>
    <x v="0"/>
    <x v="2"/>
    <n v="21"/>
    <x v="5"/>
    <s v="Markos"/>
    <n v="1"/>
    <n v="8"/>
    <n v="5"/>
    <n v="0"/>
    <x v="0"/>
    <s v="vs Fanis"/>
    <n v="189"/>
    <n v="0.45900000000000002"/>
    <n v="62"/>
    <n v="0.36"/>
    <n v="0.83099999999999996"/>
    <n v="563"/>
    <n v="47"/>
    <n v="195"/>
    <n v="93"/>
    <n v="26"/>
    <n v="23"/>
    <n v="89"/>
    <n v="1.0449438202247192"/>
  </r>
  <r>
    <x v="1"/>
    <x v="0"/>
    <x v="2"/>
    <n v="22"/>
    <x v="7"/>
    <s v="Johnny"/>
    <n v="1"/>
    <n v="8"/>
    <n v="5"/>
    <n v="0"/>
    <x v="3"/>
    <s v="vs Fountos"/>
    <n v="166"/>
    <n v="0.45500000000000002"/>
    <n v="40"/>
    <n v="0.34200000000000003"/>
    <n v="0.73599999999999999"/>
    <n v="436"/>
    <n v="45"/>
    <n v="117"/>
    <n v="118"/>
    <n v="34"/>
    <n v="20"/>
    <n v="62"/>
    <n v="1.903225806451613"/>
  </r>
  <r>
    <x v="1"/>
    <x v="0"/>
    <x v="2"/>
    <n v="22"/>
    <x v="2"/>
    <s v="Fountos"/>
    <n v="0"/>
    <n v="5"/>
    <n v="8"/>
    <n v="0"/>
    <x v="6"/>
    <s v="vs Johnny"/>
    <n v="168"/>
    <n v="0.46700000000000003"/>
    <n v="31"/>
    <n v="0.28699999999999998"/>
    <n v="0.79"/>
    <n v="431"/>
    <n v="40"/>
    <n v="138"/>
    <n v="65"/>
    <n v="24"/>
    <n v="19"/>
    <n v="44"/>
    <n v="1.4772727272727273"/>
  </r>
  <r>
    <x v="1"/>
    <x v="0"/>
    <x v="2"/>
    <n v="23"/>
    <x v="0"/>
    <s v="Miggianis"/>
    <n v="0"/>
    <n v="5"/>
    <n v="8"/>
    <n v="0"/>
    <x v="9"/>
    <s v="vs Antoniou"/>
    <n v="150"/>
    <n v="0.46600000000000003"/>
    <n v="35"/>
    <n v="0.318"/>
    <n v="0.74399999999999999"/>
    <n v="396"/>
    <n v="41"/>
    <n v="123"/>
    <n v="102"/>
    <n v="30"/>
    <n v="17"/>
    <n v="61"/>
    <n v="1.6721311475409837"/>
  </r>
  <r>
    <x v="1"/>
    <x v="0"/>
    <x v="2"/>
    <n v="23"/>
    <x v="8"/>
    <s v="Antoniou"/>
    <n v="1"/>
    <n v="8"/>
    <n v="5"/>
    <n v="0"/>
    <x v="1"/>
    <s v="vs Miggianis"/>
    <n v="162"/>
    <n v="0.46"/>
    <n v="56"/>
    <n v="0.42099999999999999"/>
    <n v="0.81799999999999995"/>
    <n v="479"/>
    <n v="29"/>
    <n v="139"/>
    <n v="74"/>
    <n v="25"/>
    <n v="24"/>
    <n v="60"/>
    <n v="1.2333333333333334"/>
  </r>
  <r>
    <x v="1"/>
    <x v="0"/>
    <x v="2"/>
    <n v="24"/>
    <x v="9"/>
    <s v="Ziogas/Christof"/>
    <n v="1"/>
    <n v="8"/>
    <n v="5"/>
    <n v="0"/>
    <x v="2"/>
    <s v="vs Sakellariou"/>
    <n v="185"/>
    <n v="0.432"/>
    <n v="36"/>
    <n v="0.27100000000000002"/>
    <n v="0.78200000000000003"/>
    <n v="499"/>
    <n v="43"/>
    <n v="182"/>
    <n v="133"/>
    <n v="30"/>
    <n v="36"/>
    <n v="66"/>
    <n v="2.0151515151515151"/>
  </r>
  <r>
    <x v="1"/>
    <x v="0"/>
    <x v="2"/>
    <n v="24"/>
    <x v="3"/>
    <s v="Sakellariou"/>
    <n v="0"/>
    <n v="5"/>
    <n v="8"/>
    <n v="0"/>
    <x v="8"/>
    <s v="vs Ziogas/Christof"/>
    <n v="174"/>
    <n v="0.47699999999999998"/>
    <n v="52"/>
    <n v="0.441"/>
    <n v="0.78400000000000003"/>
    <n v="491"/>
    <n v="34"/>
    <n v="125"/>
    <n v="77"/>
    <n v="28"/>
    <n v="13"/>
    <n v="53"/>
    <n v="1.4528301886792452"/>
  </r>
  <r>
    <x v="1"/>
    <x v="0"/>
    <x v="2"/>
    <n v="25"/>
    <x v="6"/>
    <s v="Tassos"/>
    <n v="1"/>
    <n v="9"/>
    <n v="3"/>
    <n v="1"/>
    <x v="5"/>
    <s v="vs Mpousaras"/>
    <n v="198"/>
    <n v="0.46600000000000003"/>
    <n v="47"/>
    <n v="0.36699999999999999"/>
    <n v="0.72899999999999998"/>
    <n v="545"/>
    <n v="48"/>
    <n v="154"/>
    <n v="100"/>
    <n v="39"/>
    <n v="37"/>
    <n v="65"/>
    <n v="1.5384615384615385"/>
  </r>
  <r>
    <x v="1"/>
    <x v="0"/>
    <x v="2"/>
    <n v="25"/>
    <x v="4"/>
    <s v="Mpousaras"/>
    <n v="0"/>
    <n v="3"/>
    <n v="9"/>
    <n v="1"/>
    <x v="7"/>
    <s v="vs Tassos"/>
    <n v="145"/>
    <n v="0.48499999999999999"/>
    <n v="42"/>
    <n v="0.38500000000000001"/>
    <n v="0.74"/>
    <n v="403"/>
    <n v="20"/>
    <n v="90"/>
    <n v="81"/>
    <n v="27"/>
    <n v="15"/>
    <n v="65"/>
    <n v="1.2461538461538462"/>
  </r>
  <r>
    <x v="1"/>
    <x v="0"/>
    <x v="2"/>
    <n v="26"/>
    <x v="11"/>
    <s v="pi/Sotiris"/>
    <n v="0"/>
    <n v="6"/>
    <n v="7"/>
    <n v="0"/>
    <x v="15"/>
    <s v="vs Panagopoulos"/>
    <n v="206"/>
    <n v="0.48899999999999999"/>
    <n v="45"/>
    <n v="0.32400000000000001"/>
    <n v="0.72199999999999998"/>
    <n v="535"/>
    <n v="50"/>
    <n v="188"/>
    <n v="107"/>
    <n v="41"/>
    <n v="17"/>
    <n v="72"/>
    <n v="1.4861111111111112"/>
  </r>
  <r>
    <x v="1"/>
    <x v="0"/>
    <x v="2"/>
    <n v="26"/>
    <x v="14"/>
    <s v="Panagopoulos"/>
    <n v="1"/>
    <n v="7"/>
    <n v="6"/>
    <n v="0"/>
    <x v="10"/>
    <s v="vs pi/Sotiris"/>
    <n v="192"/>
    <n v="0.49399999999999999"/>
    <n v="64"/>
    <n v="0.47399999999999998"/>
    <n v="0.748"/>
    <n v="531"/>
    <n v="53"/>
    <n v="126"/>
    <n v="115"/>
    <n v="36"/>
    <n v="20"/>
    <n v="84"/>
    <n v="1.3690476190476191"/>
  </r>
  <r>
    <x v="1"/>
    <x v="0"/>
    <x v="2"/>
    <n v="27"/>
    <x v="17"/>
    <s v="Spiridaus/Oladipas"/>
    <n v="1"/>
    <n v="8"/>
    <n v="4"/>
    <n v="1"/>
    <x v="12"/>
    <s v="vs Kousidis"/>
    <n v="130"/>
    <n v="0.42899999999999999"/>
    <n v="40"/>
    <n v="0.374"/>
    <n v="0.81799999999999995"/>
    <n v="381"/>
    <n v="27"/>
    <n v="106"/>
    <n v="91"/>
    <n v="42"/>
    <n v="17"/>
    <n v="37"/>
    <n v="2.4594594594594597"/>
  </r>
  <r>
    <x v="1"/>
    <x v="0"/>
    <x v="2"/>
    <n v="27"/>
    <x v="13"/>
    <s v="Kousidis"/>
    <n v="0"/>
    <n v="4"/>
    <n v="8"/>
    <n v="1"/>
    <x v="16"/>
    <s v="vs Spiridaus/Oladipas"/>
    <n v="181"/>
    <n v="0.5"/>
    <n v="28"/>
    <n v="0.36399999999999999"/>
    <n v="0.83"/>
    <n v="463"/>
    <n v="27"/>
    <n v="92"/>
    <n v="90"/>
    <n v="34"/>
    <n v="14"/>
    <n v="45"/>
    <n v="2"/>
  </r>
  <r>
    <x v="1"/>
    <x v="0"/>
    <x v="2"/>
    <n v="28"/>
    <x v="19"/>
    <s v="Nonis"/>
    <n v="1"/>
    <n v="9"/>
    <n v="4"/>
    <n v="0"/>
    <x v="11"/>
    <s v="vs Lagios"/>
    <n v="187"/>
    <n v="0.46899999999999997"/>
    <n v="44"/>
    <n v="0.34899999999999998"/>
    <n v="0.74299999999999999"/>
    <n v="502"/>
    <n v="34"/>
    <n v="107"/>
    <n v="135"/>
    <n v="26"/>
    <n v="24"/>
    <n v="75"/>
    <n v="1.8"/>
  </r>
  <r>
    <x v="1"/>
    <x v="0"/>
    <x v="2"/>
    <n v="28"/>
    <x v="10"/>
    <s v="Lagios"/>
    <n v="0"/>
    <n v="4"/>
    <n v="9"/>
    <n v="0"/>
    <x v="18"/>
    <s v="vs Nonis"/>
    <n v="136"/>
    <n v="0.46910000000000002"/>
    <n v="36"/>
    <n v="0.32100000000000001"/>
    <n v="0.72399999999999998"/>
    <n v="379"/>
    <n v="21"/>
    <n v="118"/>
    <n v="100"/>
    <n v="16"/>
    <n v="19"/>
    <n v="48"/>
    <n v="2.0833333333333335"/>
  </r>
  <r>
    <x v="1"/>
    <x v="0"/>
    <x v="2"/>
    <n v="29"/>
    <x v="18"/>
    <s v="Kotakis"/>
    <n v="1"/>
    <n v="9"/>
    <n v="4"/>
    <n v="0"/>
    <x v="13"/>
    <s v="vs Stavros"/>
    <n v="156"/>
    <n v="0.45900000000000002"/>
    <n v="46"/>
    <n v="0.36199999999999999"/>
    <n v="0.72499999999999998"/>
    <n v="416"/>
    <n v="30"/>
    <n v="125"/>
    <n v="119"/>
    <n v="37"/>
    <n v="14"/>
    <n v="58"/>
    <n v="2.0517241379310347"/>
  </r>
  <r>
    <x v="1"/>
    <x v="0"/>
    <x v="2"/>
    <n v="29"/>
    <x v="12"/>
    <s v="Stavros"/>
    <n v="0"/>
    <n v="4"/>
    <n v="9"/>
    <n v="0"/>
    <x v="19"/>
    <s v="vs Kotakis"/>
    <n v="138"/>
    <n v="0.44400000000000001"/>
    <n v="30"/>
    <n v="0.28299999999999997"/>
    <n v="0.82399999999999995"/>
    <n v="390"/>
    <n v="36"/>
    <n v="140"/>
    <n v="70"/>
    <n v="26"/>
    <n v="12"/>
    <n v="48"/>
    <n v="1.4583333333333333"/>
  </r>
  <r>
    <x v="1"/>
    <x v="0"/>
    <x v="2"/>
    <n v="30"/>
    <x v="15"/>
    <s v="Vasilis"/>
    <n v="1"/>
    <n v="10"/>
    <n v="3"/>
    <n v="0"/>
    <x v="17"/>
    <s v="vs Aris"/>
    <n v="164"/>
    <n v="0.47399999999999998"/>
    <n v="34"/>
    <n v="0.29799999999999999"/>
    <n v="0.755"/>
    <n v="439"/>
    <n v="60"/>
    <n v="155"/>
    <n v="116"/>
    <n v="35"/>
    <n v="42"/>
    <n v="74"/>
    <n v="1.5675675675675675"/>
  </r>
  <r>
    <x v="1"/>
    <x v="0"/>
    <x v="2"/>
    <n v="30"/>
    <x v="16"/>
    <s v="Aris"/>
    <n v="0"/>
    <n v="3"/>
    <n v="10"/>
    <n v="0"/>
    <x v="14"/>
    <s v="vs Vasilis"/>
    <n v="132"/>
    <n v="0.45800000000000002"/>
    <n v="24"/>
    <n v="0.312"/>
    <n v="0.753"/>
    <n v="355"/>
    <n v="30"/>
    <n v="110"/>
    <n v="84"/>
    <n v="27"/>
    <n v="15"/>
    <n v="52"/>
    <n v="1.6153846153846154"/>
  </r>
  <r>
    <x v="1"/>
    <x v="0"/>
    <x v="3"/>
    <n v="31"/>
    <x v="1"/>
    <s v="Fanis"/>
    <n v="0"/>
    <n v="6"/>
    <n v="7"/>
    <n v="0"/>
    <x v="6"/>
    <s v="vs Johnny"/>
    <n v="146"/>
    <n v="0.47699999999999998"/>
    <n v="43"/>
    <n v="0.35199999999999998"/>
    <n v="0.59599999999999997"/>
    <n v="369"/>
    <n v="66"/>
    <n v="132"/>
    <n v="67"/>
    <n v="34"/>
    <n v="36"/>
    <n v="50"/>
    <n v="1.34"/>
  </r>
  <r>
    <x v="1"/>
    <x v="0"/>
    <x v="3"/>
    <n v="31"/>
    <x v="7"/>
    <s v="Johnny"/>
    <n v="1"/>
    <n v="7"/>
    <n v="6"/>
    <n v="0"/>
    <x v="0"/>
    <s v="vs Fanis"/>
    <n v="176"/>
    <n v="0.46"/>
    <n v="38"/>
    <n v="0.35499999999999998"/>
    <n v="0.74299999999999999"/>
    <n v="474"/>
    <n v="59"/>
    <n v="139"/>
    <n v="122"/>
    <n v="31"/>
    <n v="28"/>
    <n v="70"/>
    <n v="1.7428571428571429"/>
  </r>
  <r>
    <x v="1"/>
    <x v="0"/>
    <x v="3"/>
    <n v="32"/>
    <x v="5"/>
    <s v="Markos"/>
    <n v="1"/>
    <n v="9"/>
    <n v="4"/>
    <n v="0"/>
    <x v="9"/>
    <s v="vs Antoniou"/>
    <n v="144"/>
    <n v="0.435"/>
    <n v="45"/>
    <n v="0.32400000000000001"/>
    <n v="0.76"/>
    <n v="425"/>
    <n v="31"/>
    <n v="168"/>
    <n v="105"/>
    <n v="28"/>
    <n v="25"/>
    <n v="67"/>
    <n v="1.5671641791044777"/>
  </r>
  <r>
    <x v="1"/>
    <x v="0"/>
    <x v="3"/>
    <n v="32"/>
    <x v="8"/>
    <s v="Antoniou"/>
    <n v="0"/>
    <n v="4"/>
    <n v="9"/>
    <n v="0"/>
    <x v="4"/>
    <s v="vs Markos"/>
    <n v="142"/>
    <n v="0.43"/>
    <n v="39"/>
    <n v="0.32500000000000001"/>
    <n v="0.81399999999999995"/>
    <n v="371"/>
    <n v="41"/>
    <n v="130"/>
    <n v="67"/>
    <n v="26"/>
    <n v="19"/>
    <n v="50"/>
    <n v="1.34"/>
  </r>
  <r>
    <x v="1"/>
    <x v="0"/>
    <x v="3"/>
    <n v="33"/>
    <x v="2"/>
    <s v="Fountos"/>
    <n v="0"/>
    <n v="4"/>
    <n v="9"/>
    <n v="0"/>
    <x v="8"/>
    <s v="vs Ziogas/Christof"/>
    <n v="156"/>
    <n v="0.432"/>
    <n v="31"/>
    <n v="0.313"/>
    <n v="0.77800000000000002"/>
    <n v="441"/>
    <n v="42"/>
    <n v="151"/>
    <n v="82"/>
    <n v="29"/>
    <n v="17"/>
    <n v="58"/>
    <n v="1.4137931034482758"/>
  </r>
  <r>
    <x v="1"/>
    <x v="0"/>
    <x v="3"/>
    <n v="33"/>
    <x v="9"/>
    <s v="Ziogas/Christof"/>
    <n v="1"/>
    <n v="9"/>
    <n v="4"/>
    <n v="0"/>
    <x v="3"/>
    <s v="vs Fountos"/>
    <n v="182"/>
    <n v="0.443"/>
    <n v="38"/>
    <n v="0.29699999999999999"/>
    <n v="0.79400000000000004"/>
    <n v="483"/>
    <n v="24"/>
    <n v="143"/>
    <n v="94"/>
    <n v="27"/>
    <n v="29"/>
    <n v="52"/>
    <n v="1.8076923076923077"/>
  </r>
  <r>
    <x v="1"/>
    <x v="0"/>
    <x v="3"/>
    <n v="34"/>
    <x v="6"/>
    <s v="Tassos"/>
    <n v="1"/>
    <n v="10"/>
    <n v="3"/>
    <n v="0"/>
    <x v="1"/>
    <s v="vs Miggianis"/>
    <n v="186"/>
    <n v="0.442"/>
    <n v="46"/>
    <n v="0.33100000000000002"/>
    <n v="0.71299999999999997"/>
    <n v="515"/>
    <n v="63"/>
    <n v="137"/>
    <n v="127"/>
    <n v="46"/>
    <n v="23"/>
    <n v="73"/>
    <n v="1.7397260273972603"/>
  </r>
  <r>
    <x v="1"/>
    <x v="0"/>
    <x v="3"/>
    <n v="34"/>
    <x v="0"/>
    <s v="Miggianis"/>
    <n v="0"/>
    <n v="3"/>
    <n v="10"/>
    <n v="0"/>
    <x v="7"/>
    <s v="vs Tassos"/>
    <n v="131"/>
    <n v="0.432"/>
    <n v="25"/>
    <n v="0.24"/>
    <n v="0.77800000000000002"/>
    <n v="343"/>
    <n v="31"/>
    <n v="109"/>
    <n v="85"/>
    <n v="27"/>
    <n v="12"/>
    <n v="40"/>
    <n v="2.125"/>
  </r>
  <r>
    <x v="1"/>
    <x v="0"/>
    <x v="3"/>
    <n v="35"/>
    <x v="3"/>
    <s v="Sakellariou"/>
    <n v="0"/>
    <n v="6"/>
    <n v="6"/>
    <n v="1"/>
    <x v="5"/>
    <s v="vs Mpousaras"/>
    <n v="184"/>
    <n v="0.46600000000000003"/>
    <n v="44"/>
    <n v="0.37"/>
    <n v="0.82399999999999995"/>
    <n v="520"/>
    <n v="58"/>
    <n v="116"/>
    <n v="98"/>
    <n v="37"/>
    <n v="13"/>
    <n v="61"/>
    <n v="1.6065573770491803"/>
  </r>
  <r>
    <x v="1"/>
    <x v="0"/>
    <x v="3"/>
    <n v="35"/>
    <x v="4"/>
    <s v="Mpousaras"/>
    <n v="0"/>
    <n v="6"/>
    <n v="6"/>
    <n v="1"/>
    <x v="2"/>
    <s v="vs Sakellariou"/>
    <n v="187"/>
    <n v="0.48399999999999999"/>
    <n v="55"/>
    <n v="0.379"/>
    <n v="0.75900000000000001"/>
    <n v="492"/>
    <n v="31"/>
    <n v="136"/>
    <n v="76"/>
    <n v="37"/>
    <n v="21"/>
    <n v="73"/>
    <n v="1.0410958904109588"/>
  </r>
  <r>
    <x v="1"/>
    <x v="0"/>
    <x v="3"/>
    <n v="36"/>
    <x v="11"/>
    <s v="pi/Sotiris"/>
    <n v="1"/>
    <n v="8"/>
    <n v="5"/>
    <n v="0"/>
    <x v="16"/>
    <s v="vs Spiridaus/Oladipas"/>
    <n v="163"/>
    <n v="0.46"/>
    <n v="40"/>
    <n v="0.33900000000000002"/>
    <n v="0.79200000000000004"/>
    <n v="442"/>
    <n v="46"/>
    <n v="124"/>
    <n v="74"/>
    <n v="33"/>
    <n v="17"/>
    <n v="53"/>
    <n v="1.3962264150943395"/>
  </r>
  <r>
    <x v="1"/>
    <x v="0"/>
    <x v="3"/>
    <n v="36"/>
    <x v="17"/>
    <s v="Spiridaus/Oladipas"/>
    <n v="0"/>
    <n v="5"/>
    <n v="8"/>
    <n v="0"/>
    <x v="10"/>
    <s v="vs pi/Sotiris"/>
    <n v="137"/>
    <n v="0.436"/>
    <n v="39"/>
    <n v="0.38200000000000001"/>
    <n v="0.83699999999999997"/>
    <n v="385"/>
    <n v="36"/>
    <n v="114"/>
    <n v="76"/>
    <n v="26"/>
    <n v="15"/>
    <n v="51"/>
    <n v="1.4901960784313726"/>
  </r>
  <r>
    <x v="1"/>
    <x v="0"/>
    <x v="3"/>
    <n v="37"/>
    <x v="14"/>
    <s v="Panagopoulos"/>
    <n v="1"/>
    <n v="8"/>
    <n v="5"/>
    <n v="0"/>
    <x v="18"/>
    <s v="vs Nonis"/>
    <n v="155"/>
    <n v="0.48299999999999998"/>
    <n v="44"/>
    <n v="0.39300000000000002"/>
    <n v="0.73399999999999999"/>
    <n v="423"/>
    <n v="21"/>
    <n v="96"/>
    <n v="90"/>
    <n v="35"/>
    <n v="17"/>
    <n v="58"/>
    <n v="1.5517241379310345"/>
  </r>
  <r>
    <x v="1"/>
    <x v="0"/>
    <x v="3"/>
    <n v="37"/>
    <x v="19"/>
    <s v="Nonis"/>
    <n v="0"/>
    <n v="5"/>
    <n v="8"/>
    <n v="0"/>
    <x v="15"/>
    <s v="vs Panagopoulos"/>
    <n v="149"/>
    <n v="0.46600000000000003"/>
    <n v="38"/>
    <n v="0.33"/>
    <n v="0.83299999999999996"/>
    <n v="406"/>
    <n v="46"/>
    <n v="119"/>
    <n v="103"/>
    <n v="24"/>
    <n v="21"/>
    <n v="72"/>
    <n v="1.4305555555555556"/>
  </r>
  <r>
    <x v="1"/>
    <x v="0"/>
    <x v="3"/>
    <n v="38"/>
    <x v="18"/>
    <s v="Kotakis"/>
    <n v="1"/>
    <n v="11"/>
    <n v="1"/>
    <n v="1"/>
    <x v="12"/>
    <s v="vs Kousidis"/>
    <n v="143"/>
    <n v="0.45100000000000001"/>
    <n v="44"/>
    <n v="0.40699999999999997"/>
    <n v="0.80600000000000005"/>
    <n v="405"/>
    <n v="46"/>
    <n v="128"/>
    <n v="108"/>
    <n v="33"/>
    <n v="22"/>
    <n v="52"/>
    <n v="2.0769230769230771"/>
  </r>
  <r>
    <x v="1"/>
    <x v="0"/>
    <x v="3"/>
    <n v="38"/>
    <x v="13"/>
    <s v="Kousidis"/>
    <n v="0"/>
    <n v="1"/>
    <n v="11"/>
    <n v="1"/>
    <x v="19"/>
    <s v="vs Kotakis"/>
    <n v="111"/>
    <n v="0.42"/>
    <n v="29"/>
    <n v="0.38700000000000001"/>
    <n v="0.82399999999999995"/>
    <n v="293"/>
    <n v="21"/>
    <n v="88"/>
    <n v="71"/>
    <n v="15"/>
    <n v="11"/>
    <n v="52"/>
    <n v="1.3653846153846154"/>
  </r>
  <r>
    <x v="1"/>
    <x v="0"/>
    <x v="3"/>
    <n v="39"/>
    <x v="10"/>
    <s v="Lagios"/>
    <n v="0"/>
    <n v="6"/>
    <n v="7"/>
    <n v="0"/>
    <x v="17"/>
    <s v="vs Aris"/>
    <n v="147"/>
    <n v="0.495"/>
    <n v="29"/>
    <n v="0.34499999999999997"/>
    <n v="0.64300000000000002"/>
    <n v="377"/>
    <n v="33"/>
    <n v="122"/>
    <n v="79"/>
    <n v="25"/>
    <n v="24"/>
    <n v="56"/>
    <n v="1.4107142857142858"/>
  </r>
  <r>
    <x v="1"/>
    <x v="0"/>
    <x v="3"/>
    <n v="39"/>
    <x v="16"/>
    <s v="Aris"/>
    <n v="1"/>
    <n v="7"/>
    <n v="6"/>
    <n v="0"/>
    <x v="11"/>
    <s v="vs Lagios"/>
    <n v="119"/>
    <n v="0.502"/>
    <n v="18"/>
    <n v="0.375"/>
    <n v="0.76"/>
    <n v="335"/>
    <n v="43"/>
    <n v="116"/>
    <n v="90"/>
    <n v="18"/>
    <n v="11"/>
    <n v="43"/>
    <n v="2.0930232558139537"/>
  </r>
  <r>
    <x v="1"/>
    <x v="0"/>
    <x v="3"/>
    <n v="40"/>
    <x v="15"/>
    <s v="Vasilis"/>
    <n v="1"/>
    <n v="11"/>
    <n v="1"/>
    <n v="1"/>
    <x v="13"/>
    <s v="vs Stavros"/>
    <n v="187"/>
    <n v="0.46800000000000003"/>
    <n v="62"/>
    <n v="0.40500000000000003"/>
    <n v="0.74099999999999999"/>
    <n v="496"/>
    <n v="52"/>
    <n v="171"/>
    <n v="104"/>
    <n v="35"/>
    <n v="32"/>
    <n v="58"/>
    <n v="1.7931034482758621"/>
  </r>
  <r>
    <x v="1"/>
    <x v="0"/>
    <x v="3"/>
    <n v="40"/>
    <x v="12"/>
    <s v="Stavros"/>
    <n v="0"/>
    <n v="1"/>
    <n v="11"/>
    <n v="1"/>
    <x v="14"/>
    <s v="vs Vasilis"/>
    <n v="147"/>
    <n v="0.438"/>
    <n v="61"/>
    <n v="0.36499999999999999"/>
    <n v="0.81699999999999995"/>
    <n v="422"/>
    <n v="15"/>
    <n v="171"/>
    <n v="76"/>
    <n v="20"/>
    <n v="23"/>
    <n v="61"/>
    <n v="1.2459016393442623"/>
  </r>
  <r>
    <x v="1"/>
    <x v="0"/>
    <x v="4"/>
    <n v="41"/>
    <x v="1"/>
    <s v="Fanis"/>
    <n v="0"/>
    <n v="6"/>
    <n v="7"/>
    <n v="0"/>
    <x v="9"/>
    <s v="vs Antoniou"/>
    <n v="97"/>
    <n v="0.47499999999999998"/>
    <n v="36"/>
    <n v="0.40899999999999997"/>
    <n v="0.75"/>
    <n v="260"/>
    <n v="38"/>
    <n v="90"/>
    <n v="53"/>
    <n v="25"/>
    <n v="11"/>
    <n v="30"/>
    <n v="1.7666666666666666"/>
  </r>
  <r>
    <x v="1"/>
    <x v="0"/>
    <x v="4"/>
    <n v="41"/>
    <x v="8"/>
    <s v="Antoniou"/>
    <n v="1"/>
    <n v="7"/>
    <n v="6"/>
    <n v="0"/>
    <x v="0"/>
    <s v="vs Fanis"/>
    <n v="121"/>
    <n v="0.48"/>
    <n v="25"/>
    <n v="0.32500000000000001"/>
    <n v="0.83299999999999996"/>
    <n v="307"/>
    <n v="30"/>
    <n v="136"/>
    <n v="68"/>
    <n v="24"/>
    <n v="14"/>
    <n v="48"/>
    <n v="1.4166666666666667"/>
  </r>
  <r>
    <x v="1"/>
    <x v="0"/>
    <x v="4"/>
    <n v="42"/>
    <x v="7"/>
    <s v="Johnny"/>
    <n v="1"/>
    <n v="11"/>
    <n v="2"/>
    <n v="0"/>
    <x v="8"/>
    <s v="vs Ziogas/Christof"/>
    <n v="210"/>
    <n v="0.51600000000000001"/>
    <n v="48"/>
    <n v="0.40300000000000002"/>
    <n v="0.67400000000000004"/>
    <n v="532"/>
    <n v="48"/>
    <n v="149"/>
    <n v="128"/>
    <n v="43"/>
    <n v="26"/>
    <n v="69"/>
    <n v="1.855072463768116"/>
  </r>
  <r>
    <x v="1"/>
    <x v="0"/>
    <x v="4"/>
    <n v="42"/>
    <x v="9"/>
    <s v="Ziogas/Christof"/>
    <n v="0"/>
    <n v="2"/>
    <n v="11"/>
    <n v="0"/>
    <x v="6"/>
    <s v="vs Johnny"/>
    <n v="110"/>
    <n v="0.40600000000000003"/>
    <n v="33"/>
    <n v="0.317"/>
    <n v="0.72699999999999998"/>
    <n v="309"/>
    <n v="29"/>
    <n v="128"/>
    <n v="81"/>
    <n v="35"/>
    <n v="16"/>
    <n v="62"/>
    <n v="1.3064516129032258"/>
  </r>
  <r>
    <x v="1"/>
    <x v="0"/>
    <x v="4"/>
    <n v="43"/>
    <x v="6"/>
    <s v="Tassos"/>
    <n v="1"/>
    <n v="11"/>
    <n v="1"/>
    <n v="1"/>
    <x v="4"/>
    <s v="vs Markos"/>
    <n v="234"/>
    <n v="0.48799999999999999"/>
    <n v="65"/>
    <n v="0.38900000000000001"/>
    <n v="0.77700000000000002"/>
    <n v="620"/>
    <n v="45"/>
    <n v="157"/>
    <n v="111"/>
    <n v="34"/>
    <n v="35"/>
    <n v="64"/>
    <n v="1.734375"/>
  </r>
  <r>
    <x v="1"/>
    <x v="0"/>
    <x v="4"/>
    <n v="43"/>
    <x v="5"/>
    <s v="Markos"/>
    <n v="0"/>
    <n v="1"/>
    <n v="11"/>
    <n v="1"/>
    <x v="7"/>
    <s v="vs Tassos"/>
    <n v="168"/>
    <n v="0.441"/>
    <n v="54"/>
    <n v="0.36"/>
    <n v="0.83699999999999997"/>
    <n v="467"/>
    <n v="37"/>
    <n v="138"/>
    <n v="85"/>
    <n v="22"/>
    <n v="28"/>
    <n v="64"/>
    <n v="1.328125"/>
  </r>
  <r>
    <x v="1"/>
    <x v="0"/>
    <x v="4"/>
    <n v="44"/>
    <x v="4"/>
    <s v="Mpousaras"/>
    <n v="1"/>
    <n v="8"/>
    <n v="5"/>
    <n v="0"/>
    <x v="3"/>
    <s v="vs Fountos"/>
    <n v="163"/>
    <n v="0.47199999999999998"/>
    <n v="61"/>
    <n v="0.40400000000000003"/>
    <n v="0.71199999999999997"/>
    <n v="434"/>
    <n v="24"/>
    <n v="131"/>
    <n v="102"/>
    <n v="36"/>
    <n v="14"/>
    <n v="51"/>
    <n v="2"/>
  </r>
  <r>
    <x v="1"/>
    <x v="0"/>
    <x v="4"/>
    <n v="44"/>
    <x v="2"/>
    <s v="Fountos"/>
    <n v="0"/>
    <n v="5"/>
    <n v="8"/>
    <n v="0"/>
    <x v="5"/>
    <s v="vs Mpousaras"/>
    <n v="162"/>
    <n v="0.47099999999999997"/>
    <n v="38"/>
    <n v="0.4"/>
    <n v="0.79800000000000004"/>
    <n v="445"/>
    <n v="53"/>
    <n v="173"/>
    <n v="61"/>
    <n v="35"/>
    <n v="21"/>
    <n v="61"/>
    <n v="1"/>
  </r>
  <r>
    <x v="1"/>
    <x v="0"/>
    <x v="4"/>
    <n v="45"/>
    <x v="0"/>
    <s v="Miggianis"/>
    <n v="0"/>
    <n v="6"/>
    <n v="7"/>
    <n v="0"/>
    <x v="2"/>
    <s v="vs Sakellariou"/>
    <n v="128"/>
    <n v="0.41699999999999998"/>
    <n v="34"/>
    <n v="0.33"/>
    <n v="0.80800000000000005"/>
    <n v="374"/>
    <n v="40"/>
    <n v="117"/>
    <n v="79"/>
    <n v="29"/>
    <n v="11"/>
    <n v="47"/>
    <n v="1.6808510638297873"/>
  </r>
  <r>
    <x v="1"/>
    <x v="0"/>
    <x v="4"/>
    <n v="45"/>
    <x v="3"/>
    <s v="Sakellariou"/>
    <n v="1"/>
    <n v="7"/>
    <n v="6"/>
    <n v="0"/>
    <x v="1"/>
    <s v="vs Miggianis"/>
    <n v="168"/>
    <n v="0.49"/>
    <n v="37"/>
    <n v="0.42499999999999999"/>
    <n v="0.83"/>
    <n v="466"/>
    <n v="36"/>
    <n v="99"/>
    <n v="83"/>
    <n v="27"/>
    <n v="10"/>
    <n v="58"/>
    <n v="1.4310344827586208"/>
  </r>
  <r>
    <x v="1"/>
    <x v="0"/>
    <x v="4"/>
    <n v="46"/>
    <x v="19"/>
    <s v="Nonis"/>
    <n v="0"/>
    <n v="2"/>
    <n v="10"/>
    <n v="1"/>
    <x v="10"/>
    <s v="vs pi/Sotiris"/>
    <n v="116"/>
    <n v="0.372"/>
    <n v="22"/>
    <n v="0.20799999999999999"/>
    <n v="0.69"/>
    <n v="303"/>
    <n v="31"/>
    <n v="111"/>
    <n v="73"/>
    <n v="31"/>
    <n v="14"/>
    <n v="61"/>
    <n v="1.1967213114754098"/>
  </r>
  <r>
    <x v="1"/>
    <x v="0"/>
    <x v="4"/>
    <n v="46"/>
    <x v="11"/>
    <s v="pi/Sotiris"/>
    <n v="1"/>
    <n v="10"/>
    <n v="2"/>
    <n v="1"/>
    <x v="18"/>
    <s v="vs Nonis"/>
    <n v="150"/>
    <n v="0.48399999999999999"/>
    <n v="38"/>
    <n v="0.40400000000000003"/>
    <n v="0.78600000000000003"/>
    <n v="382"/>
    <n v="40"/>
    <n v="112"/>
    <n v="63"/>
    <n v="22"/>
    <n v="14"/>
    <n v="44"/>
    <n v="1.4318181818181819"/>
  </r>
  <r>
    <x v="1"/>
    <x v="0"/>
    <x v="4"/>
    <n v="47"/>
    <x v="18"/>
    <s v="Kotakis"/>
    <n v="0"/>
    <n v="3"/>
    <n v="10"/>
    <n v="0"/>
    <x v="16"/>
    <s v="vs Spiridaus/Oladipas"/>
    <n v="162"/>
    <n v="0.46300000000000002"/>
    <n v="46"/>
    <n v="0.315"/>
    <n v="0.71199999999999997"/>
    <n v="449"/>
    <n v="28"/>
    <n v="129"/>
    <n v="98"/>
    <n v="34"/>
    <n v="24"/>
    <n v="61"/>
    <n v="1.6065573770491803"/>
  </r>
  <r>
    <x v="1"/>
    <x v="0"/>
    <x v="4"/>
    <n v="47"/>
    <x v="17"/>
    <s v="Spiridaus/Oladipas"/>
    <n v="1"/>
    <n v="10"/>
    <n v="3"/>
    <n v="0"/>
    <x v="19"/>
    <s v="vs Kotakis"/>
    <n v="173"/>
    <n v="0.45800000000000002"/>
    <n v="47"/>
    <n v="0.376"/>
    <n v="0.79300000000000004"/>
    <n v="489"/>
    <n v="54"/>
    <n v="138"/>
    <n v="100"/>
    <n v="25"/>
    <n v="20"/>
    <n v="44"/>
    <n v="2.2727272727272729"/>
  </r>
  <r>
    <x v="1"/>
    <x v="0"/>
    <x v="4"/>
    <n v="48"/>
    <x v="16"/>
    <s v="Aris"/>
    <n v="1"/>
    <n v="7"/>
    <n v="6"/>
    <n v="0"/>
    <x v="15"/>
    <s v="vs Panagopoulos"/>
    <n v="187"/>
    <n v="0.432"/>
    <n v="25"/>
    <n v="0.23799999999999999"/>
    <n v="0.81299999999999994"/>
    <n v="499"/>
    <n v="31"/>
    <n v="146"/>
    <n v="110"/>
    <n v="30"/>
    <n v="15"/>
    <n v="71"/>
    <n v="1.5492957746478873"/>
  </r>
  <r>
    <x v="1"/>
    <x v="0"/>
    <x v="4"/>
    <n v="48"/>
    <x v="14"/>
    <s v="Panagopoulos"/>
    <n v="0"/>
    <n v="6"/>
    <n v="7"/>
    <n v="0"/>
    <x v="17"/>
    <s v="vs Aris"/>
    <n v="162"/>
    <n v="0.46"/>
    <n v="49"/>
    <n v="0.41199999999999998"/>
    <n v="0.71199999999999997"/>
    <n v="452"/>
    <n v="29"/>
    <n v="111"/>
    <n v="108"/>
    <n v="20"/>
    <n v="17"/>
    <n v="50"/>
    <n v="2.16"/>
  </r>
  <r>
    <x v="1"/>
    <x v="0"/>
    <x v="4"/>
    <n v="49"/>
    <x v="15"/>
    <s v="Vasilis"/>
    <n v="1"/>
    <n v="10"/>
    <n v="3"/>
    <n v="0"/>
    <x v="12"/>
    <s v="vs Kousidis"/>
    <n v="149"/>
    <n v="0.498"/>
    <n v="39"/>
    <n v="0.379"/>
    <n v="0.78300000000000003"/>
    <n v="409"/>
    <n v="48"/>
    <n v="155"/>
    <n v="107"/>
    <n v="31"/>
    <n v="19"/>
    <n v="56"/>
    <n v="1.9107142857142858"/>
  </r>
  <r>
    <x v="1"/>
    <x v="0"/>
    <x v="4"/>
    <n v="49"/>
    <x v="13"/>
    <s v="Kousidis"/>
    <n v="0"/>
    <n v="3"/>
    <n v="10"/>
    <n v="0"/>
    <x v="14"/>
    <s v="vs Vasilis"/>
    <n v="112"/>
    <n v="0.46500000000000002"/>
    <n v="20"/>
    <n v="0.40799999999999997"/>
    <n v="0.90100000000000002"/>
    <n v="308"/>
    <n v="8"/>
    <n v="74"/>
    <n v="66"/>
    <n v="10"/>
    <n v="6"/>
    <n v="43"/>
    <n v="1.5348837209302326"/>
  </r>
  <r>
    <x v="1"/>
    <x v="0"/>
    <x v="4"/>
    <n v="50"/>
    <x v="10"/>
    <s v="Lagios"/>
    <n v="1"/>
    <n v="7"/>
    <n v="6"/>
    <n v="0"/>
    <x v="13"/>
    <s v="vs Stavros"/>
    <n v="145"/>
    <n v="0.495"/>
    <n v="35"/>
    <n v="0.35699999999999998"/>
    <n v="0.82"/>
    <n v="398"/>
    <n v="45"/>
    <n v="111"/>
    <n v="78"/>
    <n v="26"/>
    <n v="18"/>
    <n v="52"/>
    <n v="1.5"/>
  </r>
  <r>
    <x v="1"/>
    <x v="0"/>
    <x v="4"/>
    <n v="50"/>
    <x v="12"/>
    <s v="Stavros"/>
    <n v="0"/>
    <n v="6"/>
    <n v="7"/>
    <n v="0"/>
    <x v="11"/>
    <s v="vs Lagios"/>
    <n v="147"/>
    <n v="0.46200000000000002"/>
    <n v="44"/>
    <n v="0.34100000000000003"/>
    <n v="0.80600000000000005"/>
    <n v="421"/>
    <n v="34"/>
    <n v="113"/>
    <n v="91"/>
    <n v="24"/>
    <n v="16"/>
    <n v="56"/>
    <n v="1.625"/>
  </r>
  <r>
    <x v="1"/>
    <x v="0"/>
    <x v="5"/>
    <n v="51"/>
    <x v="1"/>
    <s v="Fanis"/>
    <n v="1"/>
    <n v="7"/>
    <n v="6"/>
    <n v="0"/>
    <x v="8"/>
    <s v="vs Ziogas/Christof"/>
    <n v="150"/>
    <n v="0.46"/>
    <n v="33"/>
    <n v="0.27700000000000002"/>
    <n v="0.628"/>
    <n v="382"/>
    <n v="56"/>
    <n v="130"/>
    <n v="98"/>
    <n v="42"/>
    <n v="26"/>
    <n v="46"/>
    <n v="2.1304347826086958"/>
  </r>
  <r>
    <x v="1"/>
    <x v="0"/>
    <x v="5"/>
    <n v="51"/>
    <x v="9"/>
    <s v="Ziogas/Christof"/>
    <n v="0"/>
    <n v="6"/>
    <n v="7"/>
    <n v="0"/>
    <x v="0"/>
    <s v="vs Fanis"/>
    <n v="145"/>
    <n v="0.47199999999999998"/>
    <n v="34"/>
    <n v="0.30399999999999999"/>
    <n v="0.77800000000000002"/>
    <n v="387"/>
    <n v="33"/>
    <n v="124"/>
    <n v="82"/>
    <n v="22"/>
    <n v="22"/>
    <n v="42"/>
    <n v="1.9523809523809523"/>
  </r>
  <r>
    <x v="1"/>
    <x v="0"/>
    <x v="5"/>
    <n v="52"/>
    <x v="6"/>
    <s v="Tassos"/>
    <n v="1"/>
    <n v="8"/>
    <n v="5"/>
    <n v="0"/>
    <x v="9"/>
    <s v="vs Antoniou"/>
    <n v="221"/>
    <n v="0.46300000000000002"/>
    <n v="38"/>
    <n v="0.28799999999999998"/>
    <n v="0.7"/>
    <n v="557"/>
    <n v="83"/>
    <n v="161"/>
    <n v="115"/>
    <n v="41"/>
    <n v="39"/>
    <n v="72"/>
    <n v="1.5972222222222223"/>
  </r>
  <r>
    <x v="1"/>
    <x v="0"/>
    <x v="5"/>
    <n v="52"/>
    <x v="8"/>
    <s v="Antoniou"/>
    <n v="0"/>
    <n v="5"/>
    <n v="8"/>
    <n v="0"/>
    <x v="7"/>
    <s v="vs Tassos"/>
    <n v="181"/>
    <n v="0.50800000000000001"/>
    <n v="51"/>
    <n v="0.38100000000000001"/>
    <n v="0.72099999999999997"/>
    <n v="493"/>
    <n v="38"/>
    <n v="130"/>
    <n v="98"/>
    <n v="28"/>
    <n v="9"/>
    <n v="64"/>
    <n v="1.53125"/>
  </r>
  <r>
    <x v="1"/>
    <x v="0"/>
    <x v="5"/>
    <n v="53"/>
    <x v="7"/>
    <s v="Johnny"/>
    <n v="0"/>
    <n v="6"/>
    <n v="6"/>
    <n v="1"/>
    <x v="5"/>
    <s v="vs Mpousaras"/>
    <n v="177"/>
    <n v="0.45300000000000001"/>
    <n v="42"/>
    <n v="0.32800000000000001"/>
    <n v="0.66"/>
    <n v="458"/>
    <n v="35"/>
    <n v="163"/>
    <n v="153"/>
    <n v="37"/>
    <n v="24"/>
    <n v="74"/>
    <n v="2.0675675675675675"/>
  </r>
  <r>
    <x v="1"/>
    <x v="0"/>
    <x v="5"/>
    <n v="53"/>
    <x v="4"/>
    <s v="Mpousaras"/>
    <n v="0"/>
    <n v="6"/>
    <n v="6"/>
    <n v="1"/>
    <x v="6"/>
    <s v="vs Johnny"/>
    <n v="176"/>
    <n v="0.44800000000000001"/>
    <n v="51"/>
    <n v="0.35699999999999998"/>
    <n v="0.77"/>
    <n v="470"/>
    <n v="58"/>
    <n v="135"/>
    <n v="76"/>
    <n v="37"/>
    <n v="12"/>
    <n v="57"/>
    <n v="1.3333333333333333"/>
  </r>
  <r>
    <x v="1"/>
    <x v="0"/>
    <x v="5"/>
    <n v="54"/>
    <x v="3"/>
    <s v="Sakellariou"/>
    <n v="1"/>
    <n v="10"/>
    <n v="3"/>
    <n v="0"/>
    <x v="4"/>
    <s v="vs Markos"/>
    <n v="228"/>
    <n v="0.47399999999999998"/>
    <n v="53"/>
    <n v="0.376"/>
    <n v="0.81699999999999995"/>
    <n v="616"/>
    <n v="65"/>
    <n v="145"/>
    <n v="134"/>
    <n v="33"/>
    <n v="17"/>
    <n v="54"/>
    <n v="2.4814814814814814"/>
  </r>
  <r>
    <x v="1"/>
    <x v="0"/>
    <x v="5"/>
    <n v="54"/>
    <x v="5"/>
    <s v="Markos"/>
    <n v="0"/>
    <n v="3"/>
    <n v="10"/>
    <n v="0"/>
    <x v="2"/>
    <s v="vs Sakellariou"/>
    <n v="207"/>
    <n v="0.46400000000000002"/>
    <n v="62"/>
    <n v="0.36699999999999999"/>
    <n v="0.83299999999999996"/>
    <n v="601"/>
    <n v="43"/>
    <n v="172"/>
    <n v="121"/>
    <n v="28"/>
    <n v="14"/>
    <n v="80"/>
    <n v="1.5125"/>
  </r>
  <r>
    <x v="1"/>
    <x v="0"/>
    <x v="5"/>
    <n v="55"/>
    <x v="2"/>
    <s v="Fountos"/>
    <n v="1"/>
    <n v="7"/>
    <n v="5"/>
    <n v="1"/>
    <x v="1"/>
    <s v="vs Miggianis"/>
    <n v="194"/>
    <n v="0.439"/>
    <n v="56"/>
    <n v="0.41199999999999998"/>
    <n v="0.82499999999999996"/>
    <n v="543"/>
    <n v="62"/>
    <n v="155"/>
    <n v="98"/>
    <n v="40"/>
    <n v="21"/>
    <n v="51"/>
    <n v="1.9215686274509804"/>
  </r>
  <r>
    <x v="1"/>
    <x v="0"/>
    <x v="5"/>
    <n v="55"/>
    <x v="0"/>
    <s v="Miggianis"/>
    <n v="0"/>
    <n v="5"/>
    <n v="7"/>
    <n v="1"/>
    <x v="3"/>
    <s v="vs Fountos"/>
    <n v="183"/>
    <n v="0.45500000000000002"/>
    <n v="57"/>
    <n v="0.41599999999999998"/>
    <n v="0.85899999999999999"/>
    <n v="490"/>
    <n v="33"/>
    <n v="121"/>
    <n v="100"/>
    <n v="31"/>
    <n v="21"/>
    <n v="53"/>
    <n v="1.8867924528301887"/>
  </r>
  <r>
    <x v="1"/>
    <x v="0"/>
    <x v="5"/>
    <n v="56"/>
    <x v="18"/>
    <s v="Kotakis"/>
    <n v="1"/>
    <n v="8"/>
    <n v="5"/>
    <n v="0"/>
    <x v="10"/>
    <s v="vs pi/Sotiris"/>
    <n v="199"/>
    <n v="0.495"/>
    <n v="61"/>
    <n v="0.38900000000000001"/>
    <n v="0.81299999999999994"/>
    <n v="546"/>
    <n v="27"/>
    <n v="182"/>
    <n v="124"/>
    <n v="32"/>
    <n v="29"/>
    <n v="34"/>
    <n v="3.6470588235294117"/>
  </r>
  <r>
    <x v="1"/>
    <x v="0"/>
    <x v="5"/>
    <n v="56"/>
    <x v="11"/>
    <s v="pi/Sotiris"/>
    <n v="0"/>
    <n v="5"/>
    <n v="8"/>
    <n v="0"/>
    <x v="19"/>
    <s v="vs Kotakis"/>
    <n v="221"/>
    <n v="0.52500000000000002"/>
    <n v="53"/>
    <n v="0.39300000000000002"/>
    <n v="0.73299999999999998"/>
    <n v="558"/>
    <n v="43"/>
    <n v="173"/>
    <n v="69"/>
    <n v="28"/>
    <n v="20"/>
    <n v="56"/>
    <n v="1.2321428571428572"/>
  </r>
  <r>
    <x v="1"/>
    <x v="0"/>
    <x v="5"/>
    <n v="57"/>
    <x v="16"/>
    <s v="Aris"/>
    <n v="1"/>
    <n v="10"/>
    <n v="3"/>
    <n v="0"/>
    <x v="18"/>
    <s v="vs Nonis"/>
    <n v="213"/>
    <n v="0.497"/>
    <n v="41"/>
    <n v="0.36"/>
    <n v="0.77800000000000002"/>
    <n v="579"/>
    <n v="59"/>
    <n v="172"/>
    <n v="97"/>
    <n v="33"/>
    <n v="22"/>
    <n v="69"/>
    <n v="1.4057971014492754"/>
  </r>
  <r>
    <x v="1"/>
    <x v="0"/>
    <x v="5"/>
    <n v="57"/>
    <x v="19"/>
    <s v="Nonis"/>
    <n v="0"/>
    <n v="3"/>
    <n v="10"/>
    <n v="0"/>
    <x v="17"/>
    <s v="vs Aris"/>
    <n v="130"/>
    <n v="0.42099999999999999"/>
    <n v="38"/>
    <n v="0.35499999999999998"/>
    <n v="0.85499999999999998"/>
    <n v="369"/>
    <n v="35"/>
    <n v="109"/>
    <n v="93"/>
    <n v="20"/>
    <n v="15"/>
    <n v="52"/>
    <n v="1.7884615384615385"/>
  </r>
  <r>
    <x v="1"/>
    <x v="0"/>
    <x v="5"/>
    <n v="58"/>
    <x v="15"/>
    <s v="Vasilis"/>
    <n v="1"/>
    <n v="8"/>
    <n v="5"/>
    <n v="0"/>
    <x v="16"/>
    <s v="vs Spiridaus/Oladipas"/>
    <n v="177"/>
    <n v="0.49399999999999999"/>
    <n v="14"/>
    <n v="0.17100000000000001"/>
    <n v="0.64600000000000002"/>
    <n v="441"/>
    <n v="44"/>
    <n v="129"/>
    <n v="112"/>
    <n v="31"/>
    <n v="42"/>
    <n v="58"/>
    <n v="1.9310344827586208"/>
  </r>
  <r>
    <x v="1"/>
    <x v="0"/>
    <x v="5"/>
    <n v="58"/>
    <x v="17"/>
    <s v="Spiridaus/Oladipas"/>
    <n v="0"/>
    <n v="5"/>
    <n v="8"/>
    <n v="0"/>
    <x v="14"/>
    <s v="vs Vasilis"/>
    <n v="148"/>
    <n v="0.433"/>
    <n v="40"/>
    <n v="0.34799999999999998"/>
    <n v="0.74199999999999999"/>
    <n v="402"/>
    <n v="37"/>
    <n v="132"/>
    <n v="89"/>
    <n v="26"/>
    <n v="23"/>
    <n v="47"/>
    <n v="1.8936170212765957"/>
  </r>
  <r>
    <x v="1"/>
    <x v="0"/>
    <x v="5"/>
    <n v="59"/>
    <x v="12"/>
    <s v="Stavros"/>
    <n v="1"/>
    <n v="10"/>
    <n v="3"/>
    <n v="0"/>
    <x v="15"/>
    <s v="vs Panagopoulos"/>
    <n v="205"/>
    <n v="0.48799999999999999"/>
    <n v="62"/>
    <n v="0.38300000000000001"/>
    <n v="0.83699999999999997"/>
    <n v="585"/>
    <n v="44"/>
    <n v="169"/>
    <n v="138"/>
    <n v="32"/>
    <n v="14"/>
    <n v="74"/>
    <n v="1.8648648648648649"/>
  </r>
  <r>
    <x v="1"/>
    <x v="0"/>
    <x v="5"/>
    <n v="59"/>
    <x v="14"/>
    <s v="Panagopoulos"/>
    <n v="0"/>
    <n v="3"/>
    <n v="10"/>
    <n v="0"/>
    <x v="13"/>
    <s v="vs Stavros"/>
    <n v="142"/>
    <n v="0.44400000000000001"/>
    <n v="36"/>
    <n v="0.28299999999999997"/>
    <n v="0.69099999999999995"/>
    <n v="396"/>
    <n v="34"/>
    <n v="139"/>
    <n v="107"/>
    <n v="20"/>
    <n v="27"/>
    <n v="54"/>
    <n v="1.9814814814814814"/>
  </r>
  <r>
    <x v="1"/>
    <x v="0"/>
    <x v="5"/>
    <n v="60"/>
    <x v="13"/>
    <s v="Kousidis"/>
    <n v="1"/>
    <n v="9"/>
    <n v="4"/>
    <n v="0"/>
    <x v="11"/>
    <s v="vs Lagios"/>
    <n v="187"/>
    <n v="0.45500000000000002"/>
    <n v="35"/>
    <n v="0.318"/>
    <n v="0.79500000000000004"/>
    <n v="475"/>
    <n v="51"/>
    <n v="154"/>
    <n v="105"/>
    <n v="32"/>
    <n v="18"/>
    <n v="59"/>
    <n v="1.7796610169491525"/>
  </r>
  <r>
    <x v="1"/>
    <x v="0"/>
    <x v="5"/>
    <n v="60"/>
    <x v="10"/>
    <s v="Lagios"/>
    <n v="0"/>
    <n v="4"/>
    <n v="9"/>
    <n v="0"/>
    <x v="12"/>
    <s v="vs Kousidis"/>
    <n v="159"/>
    <n v="0.52800000000000002"/>
    <n v="31"/>
    <n v="0.30399999999999999"/>
    <n v="0.81200000000000006"/>
    <n v="444"/>
    <n v="35"/>
    <n v="132"/>
    <n v="97"/>
    <n v="25"/>
    <n v="13"/>
    <n v="49"/>
    <n v="1.9795918367346939"/>
  </r>
  <r>
    <x v="1"/>
    <x v="0"/>
    <x v="6"/>
    <n v="61"/>
    <x v="1"/>
    <s v="Fanis"/>
    <n v="0"/>
    <n v="5"/>
    <n v="8"/>
    <n v="0"/>
    <x v="7"/>
    <s v="vs Tassos"/>
    <n v="140"/>
    <n v="0.44400000000000001"/>
    <n v="50"/>
    <n v="0.37"/>
    <n v="0.72199999999999998"/>
    <n v="387"/>
    <n v="50"/>
    <n v="165"/>
    <n v="90"/>
    <n v="57"/>
    <n v="23"/>
    <n v="54"/>
    <n v="1.6666666666666667"/>
  </r>
  <r>
    <x v="1"/>
    <x v="0"/>
    <x v="6"/>
    <n v="61"/>
    <x v="6"/>
    <s v="Tassos"/>
    <n v="1"/>
    <n v="8"/>
    <n v="5"/>
    <n v="0"/>
    <x v="0"/>
    <s v="vs Fanis"/>
    <n v="195"/>
    <n v="0.51900000000000002"/>
    <n v="44"/>
    <n v="0.4"/>
    <n v="0.67300000000000004"/>
    <n v="504"/>
    <n v="65"/>
    <n v="163"/>
    <n v="110"/>
    <n v="28"/>
    <n v="33"/>
    <n v="63"/>
    <n v="1.746031746031746"/>
  </r>
  <r>
    <x v="1"/>
    <x v="0"/>
    <x v="6"/>
    <n v="62"/>
    <x v="4"/>
    <s v="Mpousaras"/>
    <n v="0"/>
    <n v="6"/>
    <n v="6"/>
    <n v="1"/>
    <x v="8"/>
    <s v="vs Ziogas/Christof"/>
    <n v="139"/>
    <n v="0.45400000000000001"/>
    <n v="44"/>
    <n v="0.376"/>
    <n v="0.79400000000000004"/>
    <n v="372"/>
    <n v="32"/>
    <n v="102"/>
    <n v="67"/>
    <n v="35"/>
    <n v="18"/>
    <n v="42"/>
    <n v="1.5952380952380953"/>
  </r>
  <r>
    <x v="1"/>
    <x v="0"/>
    <x v="6"/>
    <n v="62"/>
    <x v="9"/>
    <s v="Ziogas/Christof"/>
    <n v="0"/>
    <n v="6"/>
    <n v="6"/>
    <n v="1"/>
    <x v="5"/>
    <s v="vs Mpousaras"/>
    <n v="137"/>
    <n v="0.46600000000000003"/>
    <n v="38"/>
    <n v="0.40400000000000003"/>
    <n v="0.71299999999999997"/>
    <n v="369"/>
    <n v="32"/>
    <n v="157"/>
    <n v="83"/>
    <n v="21"/>
    <n v="30"/>
    <n v="47"/>
    <n v="1.7659574468085106"/>
  </r>
  <r>
    <x v="1"/>
    <x v="0"/>
    <x v="6"/>
    <n v="63"/>
    <x v="3"/>
    <s v="Sakellariou"/>
    <n v="1"/>
    <n v="8"/>
    <n v="5"/>
    <n v="0"/>
    <x v="9"/>
    <s v="vs Antoniou"/>
    <n v="198"/>
    <n v="0.52200000000000002"/>
    <n v="48"/>
    <n v="0.45700000000000002"/>
    <n v="0.748"/>
    <n v="533"/>
    <n v="45"/>
    <n v="97"/>
    <n v="80"/>
    <n v="28"/>
    <n v="16"/>
    <n v="50"/>
    <n v="1.6"/>
  </r>
  <r>
    <x v="1"/>
    <x v="0"/>
    <x v="6"/>
    <n v="63"/>
    <x v="8"/>
    <s v="Antoniou"/>
    <n v="0"/>
    <n v="5"/>
    <n v="8"/>
    <n v="0"/>
    <x v="2"/>
    <s v="vs Sakellariou"/>
    <n v="146"/>
    <n v="0.46200000000000002"/>
    <n v="44"/>
    <n v="0.34399999999999997"/>
    <n v="0.77900000000000003"/>
    <n v="389"/>
    <n v="20"/>
    <n v="104"/>
    <n v="85"/>
    <n v="22"/>
    <n v="10"/>
    <n v="49"/>
    <n v="1.7346938775510203"/>
  </r>
  <r>
    <x v="1"/>
    <x v="0"/>
    <x v="6"/>
    <n v="64"/>
    <x v="7"/>
    <s v="Johnny"/>
    <n v="0"/>
    <n v="6"/>
    <n v="7"/>
    <n v="0"/>
    <x v="1"/>
    <s v="vs Miggianis"/>
    <n v="141"/>
    <n v="0.46400000000000002"/>
    <n v="27"/>
    <n v="0.35499999999999998"/>
    <n v="0.878"/>
    <n v="374"/>
    <n v="36"/>
    <n v="128"/>
    <n v="88"/>
    <n v="28"/>
    <n v="19"/>
    <n v="62"/>
    <n v="1.4193548387096775"/>
  </r>
  <r>
    <x v="1"/>
    <x v="0"/>
    <x v="6"/>
    <n v="64"/>
    <x v="0"/>
    <s v="Miggianis"/>
    <n v="1"/>
    <n v="7"/>
    <n v="6"/>
    <n v="0"/>
    <x v="6"/>
    <s v="vs Johnny"/>
    <n v="150"/>
    <n v="0.48899999999999999"/>
    <n v="31"/>
    <n v="0.316"/>
    <n v="0.68100000000000005"/>
    <n v="378"/>
    <n v="45"/>
    <n v="121"/>
    <n v="81"/>
    <n v="22"/>
    <n v="16"/>
    <n v="51"/>
    <n v="1.588235294117647"/>
  </r>
  <r>
    <x v="1"/>
    <x v="0"/>
    <x v="6"/>
    <n v="65"/>
    <x v="2"/>
    <s v="Fountos"/>
    <n v="1"/>
    <n v="7"/>
    <n v="6"/>
    <n v="0"/>
    <x v="4"/>
    <s v="vs Markos"/>
    <n v="175"/>
    <n v="0.443"/>
    <n v="43"/>
    <n v="0.33600000000000002"/>
    <n v="0.75600000000000001"/>
    <n v="492"/>
    <n v="37"/>
    <n v="138"/>
    <n v="78"/>
    <n v="37"/>
    <n v="11"/>
    <n v="75"/>
    <n v="1.04"/>
  </r>
  <r>
    <x v="1"/>
    <x v="0"/>
    <x v="6"/>
    <n v="65"/>
    <x v="5"/>
    <s v="Markos"/>
    <n v="0"/>
    <n v="6"/>
    <n v="7"/>
    <n v="0"/>
    <x v="3"/>
    <s v="vs Fountos"/>
    <n v="152"/>
    <n v="0.48699999999999999"/>
    <n v="41"/>
    <n v="0.373"/>
    <n v="0.79600000000000004"/>
    <n v="419"/>
    <n v="24"/>
    <n v="131"/>
    <n v="62"/>
    <n v="22"/>
    <n v="17"/>
    <n v="32"/>
    <n v="1.9375"/>
  </r>
  <r>
    <x v="1"/>
    <x v="0"/>
    <x v="6"/>
    <n v="66"/>
    <x v="16"/>
    <s v="Aris"/>
    <n v="1"/>
    <n v="10"/>
    <n v="3"/>
    <n v="0"/>
    <x v="10"/>
    <s v="vs pi/Sotiris"/>
    <n v="176"/>
    <n v="0.48799999999999999"/>
    <n v="36"/>
    <n v="0.34"/>
    <n v="0.82299999999999995"/>
    <n v="467"/>
    <n v="38"/>
    <n v="129"/>
    <n v="86"/>
    <n v="26"/>
    <n v="21"/>
    <n v="55"/>
    <n v="1.5636363636363637"/>
  </r>
  <r>
    <x v="1"/>
    <x v="0"/>
    <x v="6"/>
    <n v="66"/>
    <x v="11"/>
    <s v="pi/Sotiris"/>
    <n v="0"/>
    <n v="3"/>
    <n v="10"/>
    <n v="0"/>
    <x v="17"/>
    <s v="vs Aris"/>
    <n v="161"/>
    <n v="0.48199999999999998"/>
    <n v="41"/>
    <n v="0.32"/>
    <n v="0.78200000000000003"/>
    <n v="442"/>
    <n v="42"/>
    <n v="153"/>
    <n v="77"/>
    <n v="22"/>
    <n v="19"/>
    <n v="58"/>
    <n v="1.3275862068965518"/>
  </r>
  <r>
    <x v="1"/>
    <x v="0"/>
    <x v="6"/>
    <n v="67"/>
    <x v="18"/>
    <s v="Kotakis"/>
    <n v="1"/>
    <n v="8"/>
    <n v="5"/>
    <n v="0"/>
    <x v="14"/>
    <s v="vs Vasilis"/>
    <n v="172"/>
    <n v="0.47"/>
    <n v="62"/>
    <n v="0.45600000000000002"/>
    <n v="0.80800000000000005"/>
    <n v="465"/>
    <n v="29"/>
    <n v="135"/>
    <n v="85"/>
    <n v="39"/>
    <n v="16"/>
    <n v="43"/>
    <n v="1.9767441860465116"/>
  </r>
  <r>
    <x v="1"/>
    <x v="0"/>
    <x v="6"/>
    <n v="67"/>
    <x v="15"/>
    <s v="Vasilis"/>
    <n v="0"/>
    <n v="5"/>
    <n v="8"/>
    <n v="0"/>
    <x v="19"/>
    <s v="vs Kotakis"/>
    <n v="142"/>
    <n v="0.5"/>
    <n v="33"/>
    <n v="0.33700000000000002"/>
    <n v="0.74299999999999999"/>
    <n v="369"/>
    <n v="39"/>
    <n v="142"/>
    <n v="106"/>
    <n v="31"/>
    <n v="28"/>
    <n v="55"/>
    <n v="1.9272727272727272"/>
  </r>
  <r>
    <x v="1"/>
    <x v="0"/>
    <x v="6"/>
    <n v="68"/>
    <x v="12"/>
    <s v="Stavros"/>
    <n v="1"/>
    <n v="11"/>
    <n v="2"/>
    <n v="0"/>
    <x v="18"/>
    <s v="vs Nonis"/>
    <n v="201"/>
    <n v="0.47399999999999998"/>
    <n v="69"/>
    <n v="0.38300000000000001"/>
    <n v="0.78600000000000003"/>
    <n v="570"/>
    <n v="39"/>
    <n v="154"/>
    <n v="132"/>
    <n v="33"/>
    <n v="21"/>
    <n v="83"/>
    <n v="1.5903614457831325"/>
  </r>
  <r>
    <x v="1"/>
    <x v="0"/>
    <x v="6"/>
    <n v="68"/>
    <x v="19"/>
    <s v="Nonis"/>
    <n v="0"/>
    <n v="2"/>
    <n v="11"/>
    <n v="0"/>
    <x v="13"/>
    <s v="vs Stavros"/>
    <n v="100"/>
    <n v="0.38500000000000001"/>
    <n v="17"/>
    <n v="0.224"/>
    <n v="0.78900000000000003"/>
    <n v="277"/>
    <n v="34"/>
    <n v="97"/>
    <n v="58"/>
    <n v="17"/>
    <n v="16"/>
    <n v="53"/>
    <n v="1.0943396226415094"/>
  </r>
  <r>
    <x v="1"/>
    <x v="0"/>
    <x v="6"/>
    <n v="69"/>
    <x v="17"/>
    <s v="Spiridaus/Oladipas"/>
    <n v="1"/>
    <n v="9"/>
    <n v="3"/>
    <n v="1"/>
    <x v="11"/>
    <s v="vs Lagios"/>
    <n v="177"/>
    <n v="0.5"/>
    <n v="37"/>
    <n v="0.378"/>
    <n v="0.81499999999999995"/>
    <n v="488"/>
    <n v="43"/>
    <n v="138"/>
    <n v="93"/>
    <n v="38"/>
    <n v="21"/>
    <n v="55"/>
    <n v="1.6909090909090909"/>
  </r>
  <r>
    <x v="1"/>
    <x v="0"/>
    <x v="6"/>
    <n v="69"/>
    <x v="10"/>
    <s v="Lagios"/>
    <n v="0"/>
    <n v="3"/>
    <n v="9"/>
    <n v="1"/>
    <x v="16"/>
    <s v="vs Spiridaus/Oladipas"/>
    <n v="134"/>
    <n v="0.49299999999999999"/>
    <n v="28"/>
    <n v="0.36399999999999999"/>
    <n v="0.77200000000000002"/>
    <n v="374"/>
    <n v="30"/>
    <n v="120"/>
    <n v="98"/>
    <n v="18"/>
    <n v="21"/>
    <n v="44"/>
    <n v="2.2272727272727271"/>
  </r>
  <r>
    <x v="1"/>
    <x v="0"/>
    <x v="6"/>
    <n v="70"/>
    <x v="13"/>
    <s v="Kousidis"/>
    <n v="0"/>
    <n v="2"/>
    <n v="11"/>
    <n v="0"/>
    <x v="15"/>
    <s v="vs Panagopoulos"/>
    <n v="122"/>
    <n v="0.40899999999999997"/>
    <n v="20"/>
    <n v="0.26700000000000002"/>
    <n v="0.84899999999999998"/>
    <n v="309"/>
    <n v="23"/>
    <n v="92"/>
    <n v="78"/>
    <n v="31"/>
    <n v="11"/>
    <n v="66"/>
    <n v="1.1818181818181819"/>
  </r>
  <r>
    <x v="1"/>
    <x v="0"/>
    <x v="6"/>
    <n v="70"/>
    <x v="14"/>
    <s v="Panagopoulos"/>
    <n v="1"/>
    <n v="11"/>
    <n v="2"/>
    <n v="0"/>
    <x v="12"/>
    <s v="vs Kousidis"/>
    <n v="138"/>
    <n v="0.45200000000000001"/>
    <n v="37"/>
    <n v="0.32700000000000001"/>
    <n v="0.77200000000000002"/>
    <n v="384"/>
    <n v="25"/>
    <n v="110"/>
    <n v="102"/>
    <n v="27"/>
    <n v="16"/>
    <n v="50"/>
    <n v="2.04"/>
  </r>
  <r>
    <x v="1"/>
    <x v="0"/>
    <x v="7"/>
    <n v="71"/>
    <x v="1"/>
    <s v="Fanis"/>
    <n v="1"/>
    <n v="10"/>
    <n v="3"/>
    <n v="0"/>
    <x v="5"/>
    <s v="vs Mpousaras"/>
    <n v="157"/>
    <n v="0.49099999999999999"/>
    <n v="48"/>
    <n v="0.42499999999999999"/>
    <n v="0.76300000000000001"/>
    <n v="423"/>
    <n v="49"/>
    <n v="174"/>
    <n v="88"/>
    <n v="29"/>
    <n v="14"/>
    <n v="53"/>
    <n v="1.6603773584905661"/>
  </r>
  <r>
    <x v="1"/>
    <x v="0"/>
    <x v="7"/>
    <n v="71"/>
    <x v="4"/>
    <s v="Mpousaras"/>
    <n v="0"/>
    <n v="3"/>
    <n v="10"/>
    <n v="0"/>
    <x v="0"/>
    <s v="vs Fanis"/>
    <n v="140"/>
    <n v="0.47"/>
    <n v="40"/>
    <n v="0.35699999999999998"/>
    <n v="0.76700000000000002"/>
    <n v="353"/>
    <n v="37"/>
    <n v="110"/>
    <n v="77"/>
    <n v="21"/>
    <n v="11"/>
    <n v="35"/>
    <n v="2.2000000000000002"/>
  </r>
  <r>
    <x v="1"/>
    <x v="0"/>
    <x v="7"/>
    <n v="72"/>
    <x v="6"/>
    <s v="Tassos"/>
    <n v="1"/>
    <n v="8"/>
    <n v="5"/>
    <n v="0"/>
    <x v="2"/>
    <s v="vs Sakellariou"/>
    <n v="167"/>
    <n v="0.5"/>
    <n v="41"/>
    <n v="0.373"/>
    <n v="0.82199999999999995"/>
    <n v="449"/>
    <n v="48"/>
    <n v="122"/>
    <n v="94"/>
    <n v="37"/>
    <n v="20"/>
    <n v="48"/>
    <n v="1.9583333333333333"/>
  </r>
  <r>
    <x v="1"/>
    <x v="0"/>
    <x v="7"/>
    <n v="72"/>
    <x v="3"/>
    <s v="Sakellariou"/>
    <n v="0"/>
    <n v="5"/>
    <n v="8"/>
    <n v="0"/>
    <x v="7"/>
    <s v="vs Tassos"/>
    <n v="184"/>
    <n v="0.48799999999999999"/>
    <n v="35"/>
    <n v="0.36099999999999999"/>
    <n v="0.72399999999999998"/>
    <n v="479"/>
    <n v="51"/>
    <n v="128"/>
    <n v="91"/>
    <n v="15"/>
    <n v="12"/>
    <n v="47"/>
    <n v="1.94"/>
  </r>
  <r>
    <x v="1"/>
    <x v="0"/>
    <x v="7"/>
    <n v="73"/>
    <x v="0"/>
    <s v="Miggianis"/>
    <n v="1"/>
    <n v="11"/>
    <n v="2"/>
    <n v="0"/>
    <x v="8"/>
    <s v="vs Ziogas/Christof"/>
    <n v="140"/>
    <n v="0.42299999999999999"/>
    <n v="43"/>
    <n v="0.33600000000000002"/>
    <n v="0.76700000000000002"/>
    <n v="369"/>
    <n v="34"/>
    <n v="104"/>
    <n v="77"/>
    <n v="27"/>
    <n v="17"/>
    <n v="42"/>
    <n v="1.8333333333333333"/>
  </r>
  <r>
    <x v="1"/>
    <x v="0"/>
    <x v="7"/>
    <n v="73"/>
    <x v="9"/>
    <s v="Ziogas/Christof"/>
    <n v="0"/>
    <n v="2"/>
    <n v="11"/>
    <n v="0"/>
    <x v="1"/>
    <s v="vs Miggianis"/>
    <n v="121"/>
    <n v="0.432"/>
    <n v="23"/>
    <n v="0.29099999999999998"/>
    <n v="0.73599999999999999"/>
    <n v="318"/>
    <n v="31"/>
    <n v="93"/>
    <n v="108"/>
    <n v="25"/>
    <n v="14"/>
    <n v="62"/>
    <n v="1.7419354838709677"/>
  </r>
  <r>
    <x v="1"/>
    <x v="0"/>
    <x v="7"/>
    <n v="74"/>
    <x v="2"/>
    <s v="Fountos"/>
    <n v="1"/>
    <n v="10"/>
    <n v="3"/>
    <n v="0"/>
    <x v="9"/>
    <s v="vs Antoniou"/>
    <n v="167"/>
    <n v="0.45800000000000002"/>
    <n v="31"/>
    <n v="0.28699999999999998"/>
    <n v="0.85699999999999998"/>
    <n v="455"/>
    <n v="39"/>
    <n v="110"/>
    <n v="79"/>
    <n v="29"/>
    <n v="15"/>
    <n v="61"/>
    <n v="1.2950819672131149"/>
  </r>
  <r>
    <x v="1"/>
    <x v="0"/>
    <x v="7"/>
    <n v="74"/>
    <x v="8"/>
    <s v="Antoniou"/>
    <n v="0"/>
    <n v="3"/>
    <n v="10"/>
    <n v="0"/>
    <x v="3"/>
    <s v="vs Fountos"/>
    <n v="110"/>
    <n v="0.43"/>
    <n v="28"/>
    <n v="0.33300000000000002"/>
    <n v="0.76100000000000001"/>
    <n v="302"/>
    <n v="30"/>
    <n v="101"/>
    <n v="44"/>
    <n v="17"/>
    <n v="26"/>
    <n v="36"/>
    <n v="1.2222222222222223"/>
  </r>
  <r>
    <x v="1"/>
    <x v="0"/>
    <x v="7"/>
    <n v="75"/>
    <x v="7"/>
    <s v="Johnny"/>
    <n v="1"/>
    <n v="11"/>
    <n v="1"/>
    <n v="1"/>
    <x v="4"/>
    <s v="vs Markos"/>
    <n v="174"/>
    <n v="0.46800000000000003"/>
    <n v="42"/>
    <n v="0.35"/>
    <n v="0.77700000000000002"/>
    <n v="463"/>
    <n v="44"/>
    <n v="150"/>
    <n v="137"/>
    <n v="42"/>
    <n v="22"/>
    <n v="59"/>
    <n v="2.3220338983050848"/>
  </r>
  <r>
    <x v="1"/>
    <x v="0"/>
    <x v="7"/>
    <n v="75"/>
    <x v="5"/>
    <s v="Markos"/>
    <n v="0"/>
    <n v="1"/>
    <n v="11"/>
    <n v="1"/>
    <x v="6"/>
    <s v="vs Johnny"/>
    <n v="144"/>
    <n v="0.42899999999999999"/>
    <n v="44"/>
    <n v="0.34899999999999998"/>
    <n v="0.73"/>
    <n v="413"/>
    <n v="32"/>
    <n v="150"/>
    <n v="102"/>
    <n v="30"/>
    <n v="16"/>
    <n v="66"/>
    <n v="1.5454545454545454"/>
  </r>
  <r>
    <x v="1"/>
    <x v="0"/>
    <x v="7"/>
    <n v="76"/>
    <x v="15"/>
    <s v="Vasilis"/>
    <n v="0"/>
    <n v="4"/>
    <n v="9"/>
    <n v="0"/>
    <x v="10"/>
    <s v="vs pi/Sotiris"/>
    <n v="151"/>
    <n v="0.47199999999999998"/>
    <n v="34"/>
    <n v="0.30599999999999999"/>
    <n v="0.82499999999999996"/>
    <n v="383"/>
    <n v="39"/>
    <n v="137"/>
    <n v="88"/>
    <n v="32"/>
    <n v="16"/>
    <n v="65"/>
    <n v="1.3538461538461539"/>
  </r>
  <r>
    <x v="1"/>
    <x v="0"/>
    <x v="7"/>
    <n v="76"/>
    <x v="11"/>
    <s v="pi/Sotiris"/>
    <n v="1"/>
    <n v="9"/>
    <n v="4"/>
    <n v="0"/>
    <x v="14"/>
    <s v="vs Vasilis"/>
    <n v="164"/>
    <n v="0.47399999999999998"/>
    <n v="44"/>
    <n v="0.35499999999999998"/>
    <n v="0.81399999999999995"/>
    <n v="407"/>
    <n v="44"/>
    <n v="123"/>
    <n v="81"/>
    <n v="23"/>
    <n v="17"/>
    <n v="45"/>
    <n v="1.8"/>
  </r>
  <r>
    <x v="1"/>
    <x v="0"/>
    <x v="7"/>
    <n v="77"/>
    <x v="16"/>
    <s v="Aris"/>
    <n v="1"/>
    <n v="8"/>
    <n v="5"/>
    <n v="0"/>
    <x v="13"/>
    <s v="vs Stavros"/>
    <n v="179"/>
    <n v="0.52200000000000002"/>
    <n v="39"/>
    <n v="0.42899999999999999"/>
    <n v="0.83499999999999996"/>
    <n v="473"/>
    <n v="52"/>
    <n v="143"/>
    <n v="76"/>
    <n v="34"/>
    <n v="23"/>
    <n v="58"/>
    <n v="1.3103448275862069"/>
  </r>
  <r>
    <x v="1"/>
    <x v="0"/>
    <x v="7"/>
    <n v="77"/>
    <x v="12"/>
    <s v="Stavros"/>
    <n v="0"/>
    <n v="5"/>
    <n v="8"/>
    <n v="0"/>
    <x v="17"/>
    <s v="vs Aris"/>
    <n v="142"/>
    <n v="0.438"/>
    <n v="41"/>
    <n v="0.32300000000000001"/>
    <n v="0.82399999999999995"/>
    <n v="400"/>
    <n v="41"/>
    <n v="144"/>
    <n v="110"/>
    <n v="32"/>
    <n v="29"/>
    <n v="70"/>
    <n v="1.5714285714285714"/>
  </r>
  <r>
    <x v="1"/>
    <x v="0"/>
    <x v="7"/>
    <n v="78"/>
    <x v="18"/>
    <s v="Kotakis"/>
    <n v="1"/>
    <n v="8"/>
    <n v="5"/>
    <n v="0"/>
    <x v="11"/>
    <s v="vs Lagios"/>
    <n v="144"/>
    <n v="0.40799999999999997"/>
    <n v="44"/>
    <n v="0.314"/>
    <n v="0.79"/>
    <n v="396"/>
    <n v="30"/>
    <n v="157"/>
    <n v="96"/>
    <n v="26"/>
    <n v="22"/>
    <n v="59"/>
    <n v="1.6271186440677967"/>
  </r>
  <r>
    <x v="1"/>
    <x v="0"/>
    <x v="7"/>
    <n v="78"/>
    <x v="10"/>
    <s v="Lagios"/>
    <n v="0"/>
    <n v="5"/>
    <n v="8"/>
    <n v="0"/>
    <x v="19"/>
    <s v="vs Kotakis"/>
    <n v="129"/>
    <n v="0.47399999999999998"/>
    <n v="33"/>
    <n v="0.35099999999999998"/>
    <n v="0.66200000000000003"/>
    <n v="342"/>
    <n v="31"/>
    <n v="96"/>
    <n v="81"/>
    <n v="21"/>
    <n v="13"/>
    <n v="39"/>
    <n v="2.0769230769230771"/>
  </r>
  <r>
    <x v="1"/>
    <x v="0"/>
    <x v="7"/>
    <n v="79"/>
    <x v="13"/>
    <s v="Kousidis"/>
    <n v="1"/>
    <n v="8"/>
    <n v="5"/>
    <n v="0"/>
    <x v="18"/>
    <s v="vs Nonis"/>
    <n v="137"/>
    <n v="0.44900000000000001"/>
    <n v="35"/>
    <n v="0.40200000000000002"/>
    <n v="0.79700000000000004"/>
    <n v="368"/>
    <n v="28"/>
    <n v="109"/>
    <n v="96"/>
    <n v="18"/>
    <n v="12"/>
    <n v="44"/>
    <n v="2.1818181818181817"/>
  </r>
  <r>
    <x v="1"/>
    <x v="0"/>
    <x v="7"/>
    <n v="79"/>
    <x v="19"/>
    <s v="Nonis"/>
    <n v="0"/>
    <n v="5"/>
    <n v="8"/>
    <n v="0"/>
    <x v="12"/>
    <s v="vs Kousidis"/>
    <n v="147"/>
    <n v="0.47599999999999998"/>
    <n v="32"/>
    <n v="0.36399999999999999"/>
    <n v="0.66700000000000004"/>
    <n v="392"/>
    <n v="33"/>
    <n v="100"/>
    <n v="57"/>
    <n v="17"/>
    <n v="15"/>
    <n v="52"/>
    <n v="1.0961538461538463"/>
  </r>
  <r>
    <x v="1"/>
    <x v="0"/>
    <x v="7"/>
    <n v="80"/>
    <x v="17"/>
    <s v="Spiridaus/Oladipas"/>
    <n v="1"/>
    <n v="12"/>
    <n v="1"/>
    <n v="0"/>
    <x v="15"/>
    <s v="vs Panagopoulos"/>
    <n v="151"/>
    <n v="0.46200000000000002"/>
    <n v="38"/>
    <n v="0.33300000000000002"/>
    <n v="0.79"/>
    <n v="419"/>
    <n v="30"/>
    <n v="127"/>
    <n v="126"/>
    <n v="34"/>
    <n v="32"/>
    <n v="58"/>
    <n v="2.1724137931034484"/>
  </r>
  <r>
    <x v="1"/>
    <x v="0"/>
    <x v="7"/>
    <n v="80"/>
    <x v="14"/>
    <s v="Panagopoulos"/>
    <n v="0"/>
    <n v="1"/>
    <n v="12"/>
    <n v="0"/>
    <x v="16"/>
    <s v="vs Spiridaus/Oladipas"/>
    <n v="114"/>
    <n v="0.44"/>
    <n v="35"/>
    <n v="0.31"/>
    <n v="0.76800000000000002"/>
    <n v="306"/>
    <n v="15"/>
    <n v="83"/>
    <n v="93"/>
    <n v="20"/>
    <n v="14"/>
    <n v="46"/>
    <n v="2.0217391304347827"/>
  </r>
  <r>
    <x v="1"/>
    <x v="0"/>
    <x v="8"/>
    <n v="81"/>
    <x v="1"/>
    <s v="Fanis"/>
    <n v="1"/>
    <n v="7"/>
    <n v="6"/>
    <n v="0"/>
    <x v="2"/>
    <s v="vs Sakellariou"/>
    <n v="138"/>
    <n v="0.438"/>
    <n v="37"/>
    <n v="0.32500000000000001"/>
    <n v="0.747"/>
    <n v="384"/>
    <n v="51"/>
    <n v="144"/>
    <n v="104"/>
    <n v="30"/>
    <n v="24"/>
    <n v="55"/>
    <n v="1.89"/>
  </r>
  <r>
    <x v="1"/>
    <x v="0"/>
    <x v="8"/>
    <n v="81"/>
    <x v="3"/>
    <s v="Sakellariou"/>
    <n v="0"/>
    <n v="6"/>
    <n v="7"/>
    <n v="0"/>
    <x v="0"/>
    <s v="vs Fanis"/>
    <n v="201"/>
    <n v="0.51300000000000001"/>
    <n v="47"/>
    <n v="0.41599999999999998"/>
    <n v="0.84099999999999997"/>
    <n v="555"/>
    <n v="41"/>
    <n v="128"/>
    <n v="81"/>
    <n v="27"/>
    <n v="15"/>
    <n v="66"/>
    <n v="1.23"/>
  </r>
  <r>
    <x v="1"/>
    <x v="0"/>
    <x v="8"/>
    <n v="82"/>
    <x v="4"/>
    <s v="Mpousaras"/>
    <n v="0"/>
    <n v="4"/>
    <n v="9"/>
    <n v="0"/>
    <x v="1"/>
    <s v="vs Miggianis"/>
    <n v="104"/>
    <n v="0.40799999999999997"/>
    <n v="29"/>
    <n v="0.28199999999999997"/>
    <n v="0.77300000000000002"/>
    <n v="295"/>
    <n v="23"/>
    <n v="96"/>
    <n v="58"/>
    <n v="26"/>
    <n v="10"/>
    <n v="49"/>
    <n v="1.18"/>
  </r>
  <r>
    <x v="1"/>
    <x v="0"/>
    <x v="8"/>
    <n v="82"/>
    <x v="0"/>
    <s v="Miggianis"/>
    <n v="1"/>
    <n v="9"/>
    <n v="4"/>
    <n v="0"/>
    <x v="5"/>
    <s v="vs Mpousaras"/>
    <n v="133"/>
    <n v="0.433"/>
    <n v="24"/>
    <n v="0.25800000000000001"/>
    <n v="0.82199999999999995"/>
    <n v="350"/>
    <n v="22"/>
    <n v="107"/>
    <n v="80"/>
    <n v="23"/>
    <n v="17"/>
    <n v="47"/>
    <n v="1.7"/>
  </r>
  <r>
    <x v="1"/>
    <x v="0"/>
    <x v="8"/>
    <n v="83"/>
    <x v="6"/>
    <s v="Tassos"/>
    <n v="1"/>
    <n v="11"/>
    <n v="2"/>
    <n v="0"/>
    <x v="3"/>
    <s v="vs Fountos"/>
    <n v="188"/>
    <n v="0.48699999999999999"/>
    <n v="46"/>
    <n v="0.39"/>
    <n v="0.80400000000000005"/>
    <n v="496"/>
    <n v="46"/>
    <n v="121"/>
    <n v="109"/>
    <n v="43"/>
    <n v="20"/>
    <n v="65"/>
    <n v="1.68"/>
  </r>
  <r>
    <x v="1"/>
    <x v="0"/>
    <x v="8"/>
    <n v="83"/>
    <x v="2"/>
    <s v="Fountos"/>
    <n v="0"/>
    <n v="2"/>
    <n v="11"/>
    <n v="0"/>
    <x v="7"/>
    <s v="vs Tassos"/>
    <n v="149"/>
    <n v="0.46400000000000002"/>
    <n v="29"/>
    <n v="0.32200000000000001"/>
    <n v="0.75"/>
    <n v="411"/>
    <n v="33"/>
    <n v="118"/>
    <n v="78"/>
    <n v="27"/>
    <n v="13"/>
    <n v="37"/>
    <n v="2.11"/>
  </r>
  <r>
    <x v="1"/>
    <x v="0"/>
    <x v="8"/>
    <n v="84"/>
    <x v="5"/>
    <s v="Markos"/>
    <n v="1"/>
    <n v="9"/>
    <n v="4"/>
    <n v="0"/>
    <x v="8"/>
    <s v="vs Ziogas/Christof"/>
    <n v="179"/>
    <n v="0.44900000000000001"/>
    <n v="58"/>
    <n v="0.35199999999999998"/>
    <n v="0.78200000000000003"/>
    <n v="520"/>
    <n v="45"/>
    <n v="159"/>
    <n v="108"/>
    <n v="35"/>
    <n v="14"/>
    <n v="62"/>
    <n v="1.74"/>
  </r>
  <r>
    <x v="1"/>
    <x v="0"/>
    <x v="8"/>
    <n v="84"/>
    <x v="9"/>
    <s v="Ziogas/Christof"/>
    <n v="0"/>
    <n v="4"/>
    <n v="9"/>
    <n v="0"/>
    <x v="4"/>
    <s v="vs Markos"/>
    <n v="122"/>
    <n v="0.46600000000000003"/>
    <n v="28"/>
    <n v="0.318"/>
    <n v="0.79500000000000004"/>
    <n v="307"/>
    <n v="38"/>
    <n v="124"/>
    <n v="86"/>
    <n v="30"/>
    <n v="24"/>
    <n v="52"/>
    <n v="1.65"/>
  </r>
  <r>
    <x v="1"/>
    <x v="0"/>
    <x v="8"/>
    <n v="85"/>
    <x v="7"/>
    <s v="Johnny"/>
    <n v="1"/>
    <n v="10"/>
    <n v="3"/>
    <n v="0"/>
    <x v="9"/>
    <s v="vs Antoniou"/>
    <n v="196"/>
    <n v="0.47"/>
    <n v="45"/>
    <n v="0.375"/>
    <n v="0.72099999999999997"/>
    <n v="517"/>
    <n v="55"/>
    <n v="164"/>
    <n v="121"/>
    <n v="57"/>
    <n v="23"/>
    <n v="91"/>
    <n v="1.33"/>
  </r>
  <r>
    <x v="1"/>
    <x v="0"/>
    <x v="8"/>
    <n v="85"/>
    <x v="8"/>
    <s v="Antoniou"/>
    <n v="0"/>
    <n v="3"/>
    <n v="10"/>
    <n v="0"/>
    <x v="6"/>
    <s v="vs Johnny"/>
    <n v="129"/>
    <n v="0.46600000000000003"/>
    <n v="42"/>
    <n v="0.372"/>
    <n v="0.76300000000000001"/>
    <n v="358"/>
    <n v="32"/>
    <n v="114"/>
    <n v="50"/>
    <n v="15"/>
    <n v="22"/>
    <n v="30"/>
    <n v="1.67"/>
  </r>
  <r>
    <x v="1"/>
    <x v="0"/>
    <x v="8"/>
    <n v="86"/>
    <x v="11"/>
    <s v="pi/Sotiris"/>
    <n v="1"/>
    <n v="8"/>
    <n v="5"/>
    <n v="0"/>
    <x v="13"/>
    <s v="vs Stavros"/>
    <n v="208"/>
    <n v="0.52700000000000002"/>
    <n v="39"/>
    <n v="0.32500000000000001"/>
    <n v="0.85699999999999998"/>
    <n v="515"/>
    <n v="48"/>
    <n v="148"/>
    <n v="93"/>
    <n v="31"/>
    <n v="31"/>
    <n v="60"/>
    <n v="1.55"/>
  </r>
  <r>
    <x v="1"/>
    <x v="0"/>
    <x v="8"/>
    <n v="86"/>
    <x v="12"/>
    <s v="Stavros"/>
    <n v="0"/>
    <n v="5"/>
    <n v="8"/>
    <n v="0"/>
    <x v="10"/>
    <s v="vs pi/Sotiris"/>
    <n v="142"/>
    <n v="0.45800000000000002"/>
    <n v="32"/>
    <n v="0.32700000000000001"/>
    <n v="0.83599999999999997"/>
    <n v="423"/>
    <n v="46"/>
    <n v="152"/>
    <n v="133"/>
    <n v="29"/>
    <n v="18"/>
    <n v="49"/>
    <n v="2.71"/>
  </r>
  <r>
    <x v="1"/>
    <x v="0"/>
    <x v="8"/>
    <n v="87"/>
    <x v="15"/>
    <s v="Vasilis"/>
    <n v="1"/>
    <n v="9"/>
    <n v="4"/>
    <n v="0"/>
    <x v="11"/>
    <s v="vs Lagios"/>
    <n v="195"/>
    <n v="0.45700000000000002"/>
    <n v="45"/>
    <n v="0.35699999999999998"/>
    <n v="0.72499999999999998"/>
    <n v="514"/>
    <n v="58"/>
    <n v="150"/>
    <n v="140"/>
    <n v="42"/>
    <n v="34"/>
    <n v="79"/>
    <n v="1.77"/>
  </r>
  <r>
    <x v="1"/>
    <x v="0"/>
    <x v="8"/>
    <n v="87"/>
    <x v="10"/>
    <s v="Lagios"/>
    <n v="0"/>
    <n v="4"/>
    <n v="9"/>
    <n v="0"/>
    <x v="14"/>
    <s v="vs Vasilis"/>
    <n v="142"/>
    <n v="0.44400000000000001"/>
    <n v="46"/>
    <n v="0.374"/>
    <n v="0.78200000000000003"/>
    <n v="409"/>
    <n v="36"/>
    <n v="117"/>
    <n v="109"/>
    <n v="24"/>
    <n v="15"/>
    <n v="66"/>
    <n v="1.65"/>
  </r>
  <r>
    <x v="1"/>
    <x v="0"/>
    <x v="8"/>
    <n v="88"/>
    <x v="16"/>
    <s v="Aris"/>
    <n v="1"/>
    <n v="7"/>
    <n v="5"/>
    <n v="1"/>
    <x v="12"/>
    <s v="vs Kousidis"/>
    <n v="133"/>
    <n v="0.47"/>
    <n v="29"/>
    <n v="0.35399999999999998"/>
    <n v="0.73599999999999999"/>
    <n v="359"/>
    <n v="57"/>
    <n v="117"/>
    <n v="89"/>
    <n v="22"/>
    <n v="17"/>
    <n v="61"/>
    <n v="1.46"/>
  </r>
  <r>
    <x v="1"/>
    <x v="0"/>
    <x v="8"/>
    <n v="88"/>
    <x v="13"/>
    <s v="Kousidis"/>
    <n v="0"/>
    <n v="5"/>
    <n v="7"/>
    <n v="1"/>
    <x v="17"/>
    <s v="vs Aris"/>
    <n v="120"/>
    <n v="0.41799999999999998"/>
    <n v="40"/>
    <n v="0.40400000000000003"/>
    <n v="0.75"/>
    <n v="313"/>
    <n v="23"/>
    <n v="89"/>
    <n v="89"/>
    <n v="19"/>
    <n v="11"/>
    <n v="47"/>
    <n v="1.89"/>
  </r>
  <r>
    <x v="1"/>
    <x v="0"/>
    <x v="8"/>
    <n v="89"/>
    <x v="14"/>
    <s v="Panagopoulos"/>
    <n v="1"/>
    <n v="10"/>
    <n v="3"/>
    <n v="0"/>
    <x v="19"/>
    <s v="vs Kotakis"/>
    <n v="175"/>
    <n v="0.51800000000000002"/>
    <n v="53"/>
    <n v="0.42099999999999999"/>
    <n v="0.72399999999999998"/>
    <n v="487"/>
    <n v="18"/>
    <n v="125"/>
    <n v="125"/>
    <n v="29"/>
    <n v="13"/>
    <n v="55"/>
    <n v="2.27"/>
  </r>
  <r>
    <x v="1"/>
    <x v="0"/>
    <x v="8"/>
    <n v="89"/>
    <x v="18"/>
    <s v="Kotakis"/>
    <n v="0"/>
    <n v="3"/>
    <n v="10"/>
    <n v="0"/>
    <x v="15"/>
    <s v="vs Panagopoulos"/>
    <n v="119"/>
    <n v="0.39700000000000002"/>
    <n v="42"/>
    <n v="0.35"/>
    <n v="0.77800000000000002"/>
    <n v="315"/>
    <n v="16"/>
    <n v="96"/>
    <n v="68"/>
    <n v="16"/>
    <n v="14"/>
    <n v="41"/>
    <n v="1.66"/>
  </r>
  <r>
    <x v="1"/>
    <x v="0"/>
    <x v="8"/>
    <n v="90"/>
    <x v="17"/>
    <s v="Spiridaus/Oladipas"/>
    <n v="1"/>
    <n v="13"/>
    <n v="0"/>
    <n v="0"/>
    <x v="18"/>
    <s v="vs Nonis"/>
    <n v="179"/>
    <n v="0.48"/>
    <n v="34"/>
    <n v="0.39100000000000001"/>
    <n v="0.76"/>
    <n v="471"/>
    <n v="59"/>
    <n v="138"/>
    <n v="99"/>
    <n v="41"/>
    <n v="22"/>
    <n v="44"/>
    <n v="2.25"/>
  </r>
  <r>
    <x v="1"/>
    <x v="0"/>
    <x v="8"/>
    <n v="90"/>
    <x v="19"/>
    <s v="Nonis"/>
    <n v="0"/>
    <n v="0"/>
    <n v="13"/>
    <n v="0"/>
    <x v="16"/>
    <s v="vs Spiridaus/Oladipas"/>
    <n v="149"/>
    <n v="0.46400000000000002"/>
    <n v="30"/>
    <n v="0.29099999999999998"/>
    <n v="0.68300000000000005"/>
    <n v="412"/>
    <n v="31"/>
    <n v="112"/>
    <n v="97"/>
    <n v="22"/>
    <n v="15"/>
    <n v="65"/>
    <n v="1.49"/>
  </r>
  <r>
    <x v="1"/>
    <x v="0"/>
    <x v="9"/>
    <n v="91"/>
    <x v="1"/>
    <s v="Fanis"/>
    <n v="0"/>
    <n v="6"/>
    <n v="7"/>
    <n v="0"/>
    <x v="10"/>
    <s v="vs pi/Sotiris"/>
    <n v="187"/>
    <n v="0.45700000000000002"/>
    <n v="71"/>
    <n v="0.372"/>
    <n v="0.67"/>
    <n v="516"/>
    <n v="64"/>
    <n v="194"/>
    <n v="97"/>
    <n v="50"/>
    <n v="17"/>
    <n v="63"/>
    <n v="1.54"/>
  </r>
  <r>
    <x v="1"/>
    <x v="0"/>
    <x v="9"/>
    <n v="91"/>
    <x v="11"/>
    <s v="pi/Sotiris"/>
    <n v="1"/>
    <n v="7"/>
    <n v="6"/>
    <n v="0"/>
    <x v="0"/>
    <s v="vs Fanis"/>
    <n v="198"/>
    <n v="0.495"/>
    <n v="58"/>
    <n v="0.377"/>
    <n v="0.78800000000000003"/>
    <n v="521"/>
    <n v="47"/>
    <n v="167"/>
    <n v="69"/>
    <n v="32"/>
    <n v="18"/>
    <n v="47"/>
    <n v="1.47"/>
  </r>
  <r>
    <x v="1"/>
    <x v="0"/>
    <x v="9"/>
    <n v="92"/>
    <x v="0"/>
    <s v="Miggianis"/>
    <n v="1"/>
    <n v="7"/>
    <n v="6"/>
    <n v="0"/>
    <x v="11"/>
    <s v="vs Lagios"/>
    <n v="158"/>
    <n v="0.47199999999999998"/>
    <n v="27"/>
    <n v="0.30299999999999999"/>
    <n v="0.70799999999999996"/>
    <n v="411"/>
    <n v="40"/>
    <n v="121"/>
    <n v="107"/>
    <n v="27"/>
    <n v="20"/>
    <n v="66"/>
    <n v="1.62"/>
  </r>
  <r>
    <x v="1"/>
    <x v="0"/>
    <x v="9"/>
    <n v="92"/>
    <x v="10"/>
    <s v="Lagios"/>
    <n v="0"/>
    <n v="6"/>
    <n v="7"/>
    <n v="0"/>
    <x v="1"/>
    <s v="vs Miggianis"/>
    <n v="146"/>
    <n v="0.46200000000000002"/>
    <n v="45"/>
    <n v="0.38100000000000001"/>
    <n v="0.78200000000000003"/>
    <n v="430"/>
    <n v="25"/>
    <n v="100"/>
    <n v="96"/>
    <n v="15"/>
    <n v="19"/>
    <n v="59"/>
    <n v="1.63"/>
  </r>
  <r>
    <x v="1"/>
    <x v="0"/>
    <x v="9"/>
    <n v="93"/>
    <x v="2"/>
    <s v="Fountos"/>
    <n v="1"/>
    <n v="8"/>
    <n v="5"/>
    <n v="0"/>
    <x v="12"/>
    <s v="vs Kousidis"/>
    <n v="153"/>
    <n v="0.48899999999999999"/>
    <n v="28"/>
    <n v="0.308"/>
    <n v="0.79500000000000004"/>
    <n v="404"/>
    <n v="27"/>
    <n v="118"/>
    <n v="78"/>
    <n v="31"/>
    <n v="15"/>
    <n v="34"/>
    <n v="2.2909999999999999"/>
  </r>
  <r>
    <x v="1"/>
    <x v="0"/>
    <x v="9"/>
    <n v="93"/>
    <x v="13"/>
    <s v="Kousidis"/>
    <n v="0"/>
    <n v="5"/>
    <n v="8"/>
    <n v="0"/>
    <x v="3"/>
    <s v="vs Fountos"/>
    <n v="147"/>
    <n v="0.42499999999999999"/>
    <n v="35"/>
    <n v="0.376"/>
    <n v="0.73399999999999999"/>
    <n v="387"/>
    <n v="37"/>
    <n v="135"/>
    <n v="119"/>
    <n v="13"/>
    <n v="12"/>
    <n v="52"/>
    <n v="2.29"/>
  </r>
  <r>
    <x v="1"/>
    <x v="0"/>
    <x v="9"/>
    <n v="94"/>
    <x v="5"/>
    <s v="Markos"/>
    <n v="1"/>
    <n v="7"/>
    <n v="5"/>
    <n v="1"/>
    <x v="15"/>
    <s v="vs Panagopoulos"/>
    <n v="148"/>
    <n v="0.435"/>
    <n v="38"/>
    <n v="0.28999999999999998"/>
    <n v="0.75900000000000001"/>
    <n v="419"/>
    <n v="33"/>
    <n v="156"/>
    <n v="102"/>
    <n v="32"/>
    <n v="13"/>
    <n v="60"/>
    <n v="1.7"/>
  </r>
  <r>
    <x v="1"/>
    <x v="0"/>
    <x v="9"/>
    <n v="94"/>
    <x v="14"/>
    <s v="Panagopoulos"/>
    <n v="0"/>
    <n v="5"/>
    <n v="7"/>
    <n v="1"/>
    <x v="4"/>
    <s v="vs Markos"/>
    <n v="134"/>
    <n v="0.45300000000000001"/>
    <n v="55"/>
    <n v="0.39900000000000002"/>
    <n v="0.82899999999999996"/>
    <n v="381"/>
    <n v="20"/>
    <n v="119"/>
    <n v="85"/>
    <n v="18"/>
    <n v="13"/>
    <n v="55"/>
    <n v="1.55"/>
  </r>
  <r>
    <x v="1"/>
    <x v="0"/>
    <x v="9"/>
    <n v="95"/>
    <x v="7"/>
    <s v="Johnny"/>
    <n v="1"/>
    <n v="7"/>
    <n v="6"/>
    <n v="0"/>
    <x v="16"/>
    <s v="vs Spiridaus/Oladipas"/>
    <n v="189"/>
    <n v="0.46700000000000003"/>
    <n v="51"/>
    <n v="0.44700000000000001"/>
    <n v="0.74299999999999999"/>
    <n v="510"/>
    <n v="53"/>
    <n v="157"/>
    <n v="127"/>
    <n v="42"/>
    <n v="30"/>
    <n v="78"/>
    <n v="1.63"/>
  </r>
  <r>
    <x v="1"/>
    <x v="0"/>
    <x v="9"/>
    <n v="95"/>
    <x v="17"/>
    <s v="Spiridaus/Oladipas"/>
    <n v="0"/>
    <n v="6"/>
    <n v="7"/>
    <n v="0"/>
    <x v="6"/>
    <s v="vs Johnny"/>
    <n v="194"/>
    <n v="0.497"/>
    <n v="43"/>
    <n v="0.40600000000000003"/>
    <n v="0.754"/>
    <n v="529"/>
    <n v="50"/>
    <n v="145"/>
    <n v="82"/>
    <n v="31"/>
    <n v="28"/>
    <n v="48"/>
    <n v="1.71"/>
  </r>
  <r>
    <x v="1"/>
    <x v="0"/>
    <x v="9"/>
    <n v="96"/>
    <x v="19"/>
    <s v="Nonis"/>
    <n v="0"/>
    <n v="4"/>
    <n v="8"/>
    <n v="1"/>
    <x v="9"/>
    <s v="vs Antoniou"/>
    <n v="143"/>
    <n v="0.42399999999999999"/>
    <n v="34"/>
    <n v="0.34699999999999998"/>
    <n v="0.752"/>
    <n v="408"/>
    <n v="35"/>
    <n v="120"/>
    <n v="84"/>
    <n v="23"/>
    <n v="10"/>
    <n v="55"/>
    <n v="1.53"/>
  </r>
  <r>
    <x v="1"/>
    <x v="0"/>
    <x v="9"/>
    <n v="96"/>
    <x v="8"/>
    <s v="Antoniou"/>
    <n v="1"/>
    <n v="8"/>
    <n v="4"/>
    <n v="1"/>
    <x v="18"/>
    <s v="vs Nonis"/>
    <n v="127"/>
    <n v="0.47"/>
    <n v="46"/>
    <n v="0.42199999999999999"/>
    <n v="0.82"/>
    <n v="341"/>
    <n v="22"/>
    <n v="133"/>
    <n v="58"/>
    <n v="23"/>
    <n v="35"/>
    <n v="34"/>
    <n v="1.71"/>
  </r>
  <r>
    <x v="1"/>
    <x v="0"/>
    <x v="9"/>
    <n v="97"/>
    <x v="9"/>
    <s v="Ziogas/Christof"/>
    <n v="1"/>
    <n v="9"/>
    <n v="4"/>
    <n v="0"/>
    <x v="19"/>
    <s v="vs Kotakis"/>
    <n v="153"/>
    <n v="0.44"/>
    <n v="34"/>
    <n v="0.32700000000000001"/>
    <n v="0.78200000000000003"/>
    <n v="419"/>
    <n v="31"/>
    <n v="164"/>
    <n v="118"/>
    <n v="31"/>
    <n v="22"/>
    <n v="52"/>
    <n v="2.27"/>
  </r>
  <r>
    <x v="1"/>
    <x v="0"/>
    <x v="9"/>
    <n v="97"/>
    <x v="18"/>
    <s v="Kotakis"/>
    <n v="0"/>
    <n v="4"/>
    <n v="9"/>
    <n v="0"/>
    <x v="8"/>
    <s v="vs Ziogas/Christof"/>
    <n v="140"/>
    <n v="0.43099999999999999"/>
    <n v="44"/>
    <n v="0.35799999999999998"/>
    <n v="0.79100000000000004"/>
    <n v="396"/>
    <n v="20"/>
    <n v="115"/>
    <n v="75"/>
    <n v="16"/>
    <n v="13"/>
    <n v="39"/>
    <n v="1.92"/>
  </r>
  <r>
    <x v="1"/>
    <x v="0"/>
    <x v="9"/>
    <n v="98"/>
    <x v="6"/>
    <s v="Tassos"/>
    <n v="1"/>
    <n v="9"/>
    <n v="4"/>
    <n v="0"/>
    <x v="17"/>
    <s v="vs Aris"/>
    <n v="243"/>
    <n v="0.47599999999999998"/>
    <n v="48"/>
    <n v="0.33300000000000002"/>
    <n v="0.68100000000000005"/>
    <n v="630"/>
    <n v="77"/>
    <n v="242"/>
    <n v="154"/>
    <n v="44"/>
    <n v="30"/>
    <n v="84"/>
    <n v="1.83"/>
  </r>
  <r>
    <x v="1"/>
    <x v="0"/>
    <x v="9"/>
    <n v="98"/>
    <x v="16"/>
    <s v="Aris"/>
    <n v="0"/>
    <n v="4"/>
    <n v="9"/>
    <n v="0"/>
    <x v="7"/>
    <s v="vs Tassos"/>
    <n v="182"/>
    <n v="0.48299999999999998"/>
    <n v="30"/>
    <n v="0.316"/>
    <n v="0.80300000000000005"/>
    <n v="504"/>
    <n v="56"/>
    <n v="129"/>
    <n v="105"/>
    <n v="25"/>
    <n v="25"/>
    <n v="56"/>
    <n v="1.88"/>
  </r>
  <r>
    <x v="1"/>
    <x v="0"/>
    <x v="9"/>
    <n v="99"/>
    <x v="15"/>
    <s v="Vasilis"/>
    <n v="1"/>
    <n v="11"/>
    <n v="2"/>
    <n v="0"/>
    <x v="5"/>
    <s v="vs Mpousaras"/>
    <n v="156"/>
    <n v="0.48799999999999999"/>
    <n v="40"/>
    <n v="0.35399999999999998"/>
    <n v="0.79700000000000004"/>
    <n v="411"/>
    <n v="30"/>
    <n v="136"/>
    <n v="122"/>
    <n v="34"/>
    <n v="19"/>
    <n v="52"/>
    <n v="2.35"/>
  </r>
  <r>
    <x v="1"/>
    <x v="0"/>
    <x v="9"/>
    <n v="99"/>
    <x v="4"/>
    <s v="Mpousaras"/>
    <n v="0"/>
    <n v="2"/>
    <n v="11"/>
    <n v="0"/>
    <x v="14"/>
    <s v="vs Vasilis"/>
    <n v="128"/>
    <n v="0.39600000000000002"/>
    <n v="41"/>
    <n v="0.35"/>
    <n v="0.77600000000000002"/>
    <n v="363"/>
    <n v="38"/>
    <n v="102"/>
    <n v="66"/>
    <n v="22"/>
    <n v="16"/>
    <n v="54"/>
    <n v="1.22"/>
  </r>
  <r>
    <x v="1"/>
    <x v="0"/>
    <x v="9"/>
    <n v="100"/>
    <x v="12"/>
    <s v="Stavros"/>
    <n v="0"/>
    <n v="6"/>
    <n v="7"/>
    <n v="0"/>
    <x v="2"/>
    <s v="vs Sakellariou"/>
    <n v="186"/>
    <n v="0.45400000000000001"/>
    <n v="75"/>
    <n v="0.39900000000000002"/>
    <n v="0.78"/>
    <n v="543"/>
    <n v="45"/>
    <n v="170"/>
    <n v="129"/>
    <n v="41"/>
    <n v="11"/>
    <n v="61"/>
    <n v="2.11"/>
  </r>
  <r>
    <x v="1"/>
    <x v="0"/>
    <x v="9"/>
    <n v="100"/>
    <x v="3"/>
    <s v="Sakellariou"/>
    <n v="1"/>
    <n v="7"/>
    <n v="6"/>
    <n v="0"/>
    <x v="13"/>
    <s v="vs Stavros"/>
    <n v="200"/>
    <n v="0.50900000000000001"/>
    <n v="50"/>
    <n v="0.43099999999999999"/>
    <n v="0.86"/>
    <n v="536"/>
    <n v="43"/>
    <n v="117"/>
    <n v="94"/>
    <n v="21"/>
    <n v="15"/>
    <n v="40"/>
    <n v="2.35"/>
  </r>
  <r>
    <x v="1"/>
    <x v="0"/>
    <x v="10"/>
    <n v="101"/>
    <x v="1"/>
    <s v="Fanis"/>
    <n v="0"/>
    <n v="5"/>
    <n v="8"/>
    <n v="0"/>
    <x v="13"/>
    <s v="vs Stavros"/>
    <n v="146"/>
    <n v="0.45300000000000001"/>
    <n v="39"/>
    <n v="0.31"/>
    <n v="0.73699999999999999"/>
    <n v="387"/>
    <n v="62"/>
    <n v="139"/>
    <n v="73"/>
    <n v="33"/>
    <n v="24"/>
    <n v="49"/>
    <n v="1.49"/>
  </r>
  <r>
    <x v="1"/>
    <x v="0"/>
    <x v="10"/>
    <n v="101"/>
    <x v="12"/>
    <s v="Stavros"/>
    <n v="1"/>
    <n v="8"/>
    <n v="5"/>
    <n v="0"/>
    <x v="0"/>
    <s v="vs Fanis"/>
    <n v="167"/>
    <n v="0.45500000000000002"/>
    <n v="51"/>
    <n v="0.34899999999999998"/>
    <n v="0.83299999999999996"/>
    <n v="485"/>
    <n v="41"/>
    <n v="142"/>
    <n v="91"/>
    <n v="28"/>
    <n v="22"/>
    <n v="77"/>
    <n v="1.18"/>
  </r>
  <r>
    <x v="1"/>
    <x v="0"/>
    <x v="10"/>
    <n v="102"/>
    <x v="11"/>
    <s v="pi/Sotiris"/>
    <n v="1"/>
    <n v="10"/>
    <n v="3"/>
    <n v="0"/>
    <x v="1"/>
    <s v="vs Miggianis"/>
    <n v="148"/>
    <n v="0.438"/>
    <n v="28"/>
    <n v="0.26700000000000002"/>
    <n v="0.73899999999999999"/>
    <n v="392"/>
    <n v="48"/>
    <n v="155"/>
    <n v="83"/>
    <n v="32"/>
    <n v="19"/>
    <n v="66"/>
    <n v="1.26"/>
  </r>
  <r>
    <x v="1"/>
    <x v="0"/>
    <x v="10"/>
    <n v="102"/>
    <x v="0"/>
    <s v="Miggianis"/>
    <n v="0"/>
    <n v="3"/>
    <n v="10"/>
    <n v="0"/>
    <x v="10"/>
    <s v="vs pi/Sotiris"/>
    <n v="120"/>
    <n v="0.42899999999999999"/>
    <n v="24"/>
    <n v="0.32"/>
    <n v="0.8"/>
    <n v="316"/>
    <n v="30"/>
    <n v="89"/>
    <n v="55"/>
    <n v="20"/>
    <n v="12"/>
    <n v="57"/>
    <n v="0.96"/>
  </r>
  <r>
    <x v="1"/>
    <x v="0"/>
    <x v="10"/>
    <n v="103"/>
    <x v="10"/>
    <s v="Lagios"/>
    <n v="0"/>
    <n v="6"/>
    <n v="7"/>
    <n v="0"/>
    <x v="3"/>
    <s v="vs Fountos"/>
    <n v="152"/>
    <n v="0.49199999999999999"/>
    <n v="37"/>
    <n v="0.378"/>
    <n v="0.70699999999999996"/>
    <n v="394"/>
    <n v="24"/>
    <n v="122"/>
    <n v="100"/>
    <n v="33"/>
    <n v="18"/>
    <n v="46"/>
    <n v="2.17"/>
  </r>
  <r>
    <x v="1"/>
    <x v="0"/>
    <x v="10"/>
    <n v="103"/>
    <x v="2"/>
    <s v="Fountos"/>
    <n v="1"/>
    <n v="7"/>
    <n v="6"/>
    <n v="0"/>
    <x v="11"/>
    <s v="vs Lagios"/>
    <n v="171"/>
    <n v="0.48599999999999999"/>
    <n v="36"/>
    <n v="0.38700000000000001"/>
    <n v="0.81200000000000006"/>
    <n v="434"/>
    <n v="25"/>
    <n v="102"/>
    <n v="75"/>
    <n v="25"/>
    <n v="17"/>
    <n v="30"/>
    <n v="2.5"/>
  </r>
  <r>
    <x v="1"/>
    <x v="0"/>
    <x v="10"/>
    <n v="104"/>
    <x v="5"/>
    <s v="Markos"/>
    <n v="1"/>
    <n v="10"/>
    <n v="3"/>
    <n v="0"/>
    <x v="12"/>
    <s v="vs Kousidis"/>
    <n v="136"/>
    <n v="0.44"/>
    <n v="58"/>
    <n v="0.42599999999999999"/>
    <n v="0.84399999999999997"/>
    <n v="406"/>
    <n v="31"/>
    <n v="152"/>
    <n v="84"/>
    <n v="37"/>
    <n v="18"/>
    <n v="53"/>
    <n v="1.58"/>
  </r>
  <r>
    <x v="1"/>
    <x v="0"/>
    <x v="10"/>
    <n v="104"/>
    <x v="13"/>
    <s v="Kousidis"/>
    <n v="0"/>
    <n v="3"/>
    <n v="10"/>
    <n v="0"/>
    <x v="4"/>
    <s v="vs Markos"/>
    <n v="121"/>
    <n v="0.45500000000000002"/>
    <n v="30"/>
    <n v="0.34499999999999997"/>
    <n v="0.79"/>
    <n v="336"/>
    <n v="24"/>
    <n v="116"/>
    <n v="70"/>
    <n v="19"/>
    <n v="16"/>
    <n v="39"/>
    <n v="1.79"/>
  </r>
  <r>
    <x v="1"/>
    <x v="0"/>
    <x v="10"/>
    <n v="105"/>
    <x v="7"/>
    <s v="Johnny"/>
    <n v="1"/>
    <n v="7"/>
    <n v="6"/>
    <n v="0"/>
    <x v="15"/>
    <s v="vs Panagopoulos"/>
    <n v="145"/>
    <n v="0.44800000000000001"/>
    <n v="25"/>
    <n v="0.26900000000000002"/>
    <n v="0.68899999999999995"/>
    <n v="366"/>
    <n v="26"/>
    <n v="140"/>
    <n v="111"/>
    <n v="39"/>
    <n v="19"/>
    <n v="73"/>
    <n v="1.52"/>
  </r>
  <r>
    <x v="1"/>
    <x v="0"/>
    <x v="10"/>
    <n v="105"/>
    <x v="14"/>
    <s v="Panagopoulos"/>
    <n v="0"/>
    <n v="6"/>
    <n v="7"/>
    <n v="0"/>
    <x v="6"/>
    <s v="vs Johnny"/>
    <n v="116"/>
    <n v="0.47899999999999998"/>
    <n v="50"/>
    <n v="0.4"/>
    <n v="0.81799999999999995"/>
    <n v="336"/>
    <n v="17"/>
    <n v="77"/>
    <n v="59"/>
    <n v="19"/>
    <n v="9"/>
    <n v="32"/>
    <n v="1.84"/>
  </r>
  <r>
    <x v="1"/>
    <x v="0"/>
    <x v="10"/>
    <n v="106"/>
    <x v="17"/>
    <s v="Spiridaus/Oladipas"/>
    <n v="1"/>
    <n v="12"/>
    <n v="1"/>
    <n v="0"/>
    <x v="9"/>
    <s v="vs Antoniou"/>
    <n v="194"/>
    <n v="0.49399999999999999"/>
    <n v="45"/>
    <n v="0.38100000000000001"/>
    <n v="0.74299999999999999"/>
    <n v="488"/>
    <n v="35"/>
    <n v="140"/>
    <n v="94"/>
    <n v="39"/>
    <n v="21"/>
    <n v="46"/>
    <n v="2.04"/>
  </r>
  <r>
    <x v="1"/>
    <x v="0"/>
    <x v="10"/>
    <n v="106"/>
    <x v="8"/>
    <s v="Antoniou"/>
    <n v="0"/>
    <n v="1"/>
    <n v="12"/>
    <n v="0"/>
    <x v="16"/>
    <s v="vs Spiridaus/Oladipas"/>
    <n v="106"/>
    <n v="0.46700000000000003"/>
    <n v="29"/>
    <n v="0.34100000000000003"/>
    <n v="0.69499999999999995"/>
    <n v="298"/>
    <n v="31"/>
    <n v="103"/>
    <n v="55"/>
    <n v="12"/>
    <n v="20"/>
    <n v="43"/>
    <n v="1.28"/>
  </r>
  <r>
    <x v="1"/>
    <x v="0"/>
    <x v="10"/>
    <n v="107"/>
    <x v="9"/>
    <s v="Ziogas/Christof"/>
    <n v="0"/>
    <n v="6"/>
    <n v="7"/>
    <n v="0"/>
    <x v="18"/>
    <s v="vs Nonis"/>
    <n v="127"/>
    <n v="0.45800000000000002"/>
    <n v="30"/>
    <n v="0.32600000000000001"/>
    <n v="0.68100000000000005"/>
    <n v="333"/>
    <n v="49"/>
    <n v="148"/>
    <n v="103"/>
    <n v="30"/>
    <n v="19"/>
    <n v="60"/>
    <n v="1.72"/>
  </r>
  <r>
    <x v="1"/>
    <x v="0"/>
    <x v="10"/>
    <n v="107"/>
    <x v="19"/>
    <s v="Nonis"/>
    <n v="1"/>
    <n v="7"/>
    <n v="6"/>
    <n v="0"/>
    <x v="8"/>
    <s v="vs Ziogas/Christof"/>
    <n v="131"/>
    <n v="0.45500000000000002"/>
    <n v="33"/>
    <n v="0.38400000000000001"/>
    <n v="0.68200000000000005"/>
    <n v="370"/>
    <n v="37"/>
    <n v="110"/>
    <n v="87"/>
    <n v="19"/>
    <n v="12"/>
    <n v="45"/>
    <n v="1.93"/>
  </r>
  <r>
    <x v="1"/>
    <x v="0"/>
    <x v="10"/>
    <n v="108"/>
    <x v="6"/>
    <s v="Tassos"/>
    <n v="1"/>
    <n v="9"/>
    <n v="4"/>
    <n v="0"/>
    <x v="19"/>
    <s v="vs Kotakis"/>
    <n v="164"/>
    <n v="0.45300000000000001"/>
    <n v="35"/>
    <n v="0.315"/>
    <n v="0.74399999999999999"/>
    <n v="430"/>
    <n v="67"/>
    <n v="144"/>
    <n v="102"/>
    <n v="34"/>
    <n v="24"/>
    <n v="57"/>
    <n v="1.79"/>
  </r>
  <r>
    <x v="1"/>
    <x v="0"/>
    <x v="10"/>
    <n v="108"/>
    <x v="18"/>
    <s v="Kotakis"/>
    <n v="0"/>
    <n v="4"/>
    <n v="9"/>
    <n v="0"/>
    <x v="7"/>
    <s v="vs Tassos"/>
    <n v="124"/>
    <n v="0.438"/>
    <n v="38"/>
    <n v="0.39600000000000002"/>
    <n v="0.84799999999999998"/>
    <n v="342"/>
    <n v="27"/>
    <n v="88"/>
    <n v="71"/>
    <n v="20"/>
    <n v="8"/>
    <n v="45"/>
    <n v="1.58"/>
  </r>
  <r>
    <x v="1"/>
    <x v="0"/>
    <x v="10"/>
    <n v="109"/>
    <x v="4"/>
    <s v="Mpousaras"/>
    <n v="0"/>
    <n v="4"/>
    <n v="9"/>
    <n v="0"/>
    <x v="17"/>
    <s v="vs Aris"/>
    <n v="109"/>
    <n v="0.42099999999999999"/>
    <n v="39"/>
    <n v="0.33600000000000002"/>
    <n v="0.84799999999999998"/>
    <n v="285"/>
    <n v="23"/>
    <n v="68"/>
    <n v="64"/>
    <n v="29"/>
    <n v="15"/>
    <n v="42"/>
    <n v="1.52"/>
  </r>
  <r>
    <x v="1"/>
    <x v="0"/>
    <x v="10"/>
    <n v="109"/>
    <x v="16"/>
    <s v="Aris"/>
    <n v="1"/>
    <n v="9"/>
    <n v="4"/>
    <n v="0"/>
    <x v="5"/>
    <s v="vs Mpousaras"/>
    <n v="143"/>
    <n v="0.47399999999999998"/>
    <n v="29"/>
    <n v="0.33"/>
    <n v="0.85199999999999998"/>
    <n v="384"/>
    <n v="31"/>
    <n v="106"/>
    <n v="92"/>
    <n v="21"/>
    <n v="5"/>
    <n v="34"/>
    <n v="2.71"/>
  </r>
  <r>
    <x v="1"/>
    <x v="0"/>
    <x v="10"/>
    <n v="110"/>
    <x v="3"/>
    <s v="Sakellariou"/>
    <n v="1"/>
    <n v="11"/>
    <n v="2"/>
    <n v="0"/>
    <x v="14"/>
    <s v="vs Vasilis"/>
    <n v="172"/>
    <n v="0.501"/>
    <n v="42"/>
    <n v="0.442"/>
    <n v="0.90400000000000003"/>
    <n v="490"/>
    <n v="40"/>
    <n v="112"/>
    <n v="92"/>
    <n v="33"/>
    <n v="11"/>
    <n v="41"/>
    <n v="2.2400000000000002"/>
  </r>
  <r>
    <x v="1"/>
    <x v="0"/>
    <x v="10"/>
    <n v="110"/>
    <x v="15"/>
    <s v="Vasilis"/>
    <n v="0"/>
    <n v="2"/>
    <n v="11"/>
    <n v="0"/>
    <x v="2"/>
    <s v="vs Sakellariou"/>
    <n v="141"/>
    <n v="0.45900000000000002"/>
    <n v="34"/>
    <n v="0.33700000000000002"/>
    <n v="0.72199999999999998"/>
    <n v="373"/>
    <n v="32"/>
    <n v="143"/>
    <n v="79"/>
    <n v="29"/>
    <n v="20"/>
    <n v="55"/>
    <n v="1.44"/>
  </r>
  <r>
    <x v="1"/>
    <x v="0"/>
    <x v="11"/>
    <n v="111"/>
    <x v="1"/>
    <s v="Fanis"/>
    <n v="1"/>
    <n v="10"/>
    <n v="3"/>
    <n v="0"/>
    <x v="14"/>
    <s v="vs Vasilis"/>
    <n v="165"/>
    <n v="0.53400000000000003"/>
    <n v="54"/>
    <n v="0.435"/>
    <n v="0.67100000000000004"/>
    <n v="435"/>
    <n v="38"/>
    <n v="160"/>
    <n v="84"/>
    <n v="35"/>
    <n v="9"/>
    <n v="53"/>
    <n v="1.58"/>
  </r>
  <r>
    <x v="1"/>
    <x v="0"/>
    <x v="11"/>
    <n v="111"/>
    <x v="15"/>
    <s v="Vasilis"/>
    <n v="0"/>
    <n v="3"/>
    <n v="10"/>
    <n v="0"/>
    <x v="0"/>
    <s v="vs Fanis"/>
    <n v="148"/>
    <n v="0.46300000000000002"/>
    <n v="37"/>
    <n v="0.37"/>
    <n v="0.745"/>
    <n v="415"/>
    <n v="26"/>
    <n v="125"/>
    <n v="73"/>
    <n v="27"/>
    <n v="19"/>
    <n v="47"/>
    <n v="1.55"/>
  </r>
  <r>
    <x v="1"/>
    <x v="0"/>
    <x v="11"/>
    <n v="112"/>
    <x v="11"/>
    <s v="pi/Sotiris"/>
    <n v="1"/>
    <n v="10"/>
    <n v="3"/>
    <n v="0"/>
    <x v="3"/>
    <s v="vs Fountos"/>
    <n v="172"/>
    <n v="0.51300000000000001"/>
    <n v="48"/>
    <n v="0.44400000000000001"/>
    <n v="0.79100000000000004"/>
    <n v="460"/>
    <n v="48"/>
    <n v="142"/>
    <n v="71"/>
    <n v="19"/>
    <n v="26"/>
    <n v="49"/>
    <n v="1.45"/>
  </r>
  <r>
    <x v="1"/>
    <x v="0"/>
    <x v="11"/>
    <n v="112"/>
    <x v="2"/>
    <s v="Fountos"/>
    <n v="0"/>
    <n v="3"/>
    <n v="10"/>
    <n v="0"/>
    <x v="10"/>
    <s v="vs pi/Sotiris"/>
    <n v="159"/>
    <n v="0.44400000000000001"/>
    <n v="30"/>
    <n v="0.32300000000000001"/>
    <n v="0.77200000000000002"/>
    <n v="446"/>
    <n v="40"/>
    <n v="130"/>
    <n v="98"/>
    <n v="18"/>
    <n v="7"/>
    <n v="48"/>
    <n v="2.04"/>
  </r>
  <r>
    <x v="1"/>
    <x v="0"/>
    <x v="11"/>
    <n v="113"/>
    <x v="5"/>
    <s v="Markos"/>
    <n v="1"/>
    <n v="9"/>
    <n v="4"/>
    <n v="0"/>
    <x v="11"/>
    <s v="vs Lagios"/>
    <n v="157"/>
    <n v="0.47899999999999998"/>
    <n v="60"/>
    <n v="0.438"/>
    <n v="0.81200000000000006"/>
    <n v="456"/>
    <n v="51"/>
    <n v="149"/>
    <n v="86"/>
    <n v="35"/>
    <n v="15"/>
    <n v="48"/>
    <n v="1.79"/>
  </r>
  <r>
    <x v="1"/>
    <x v="0"/>
    <x v="11"/>
    <n v="113"/>
    <x v="10"/>
    <s v="Lagios"/>
    <n v="0"/>
    <n v="4"/>
    <n v="9"/>
    <n v="0"/>
    <x v="4"/>
    <s v="vs Markos"/>
    <n v="123"/>
    <n v="0.47699999999999998"/>
    <n v="24"/>
    <n v="0.3"/>
    <n v="0.70399999999999996"/>
    <n v="320"/>
    <n v="20"/>
    <n v="112"/>
    <n v="96"/>
    <n v="30"/>
    <n v="20"/>
    <n v="44"/>
    <n v="2.1800000000000002"/>
  </r>
  <r>
    <x v="1"/>
    <x v="0"/>
    <x v="11"/>
    <n v="114"/>
    <x v="7"/>
    <s v="Johnny"/>
    <n v="1"/>
    <n v="9"/>
    <n v="4"/>
    <n v="0"/>
    <x v="12"/>
    <s v="vs Kousidis"/>
    <n v="218"/>
    <n v="0.46899999999999997"/>
    <n v="37"/>
    <n v="0.32500000000000001"/>
    <n v="0.75900000000000001"/>
    <n v="558"/>
    <n v="54"/>
    <n v="164"/>
    <n v="139"/>
    <n v="37"/>
    <n v="20"/>
    <n v="79"/>
    <n v="1.76"/>
  </r>
  <r>
    <x v="1"/>
    <x v="0"/>
    <x v="11"/>
    <n v="114"/>
    <x v="13"/>
    <s v="Kousidis"/>
    <n v="0"/>
    <n v="4"/>
    <n v="9"/>
    <n v="0"/>
    <x v="6"/>
    <s v="vs Johnny"/>
    <n v="130"/>
    <n v="0.41899999999999998"/>
    <n v="46"/>
    <n v="0.377"/>
    <n v="0.73299999999999998"/>
    <n v="361"/>
    <n v="33"/>
    <n v="119"/>
    <n v="107"/>
    <n v="22"/>
    <n v="13"/>
    <n v="48"/>
    <n v="2.23"/>
  </r>
  <r>
    <x v="1"/>
    <x v="0"/>
    <x v="11"/>
    <n v="115"/>
    <x v="8"/>
    <s v="Antoniou"/>
    <n v="1"/>
    <n v="9"/>
    <n v="3"/>
    <n v="1"/>
    <x v="15"/>
    <s v="vs Panagopoulos"/>
    <n v="151"/>
    <n v="0.45900000000000002"/>
    <n v="31"/>
    <n v="0.33300000000000002"/>
    <n v="0.80500000000000005"/>
    <n v="395"/>
    <n v="35"/>
    <n v="130"/>
    <n v="97"/>
    <n v="23"/>
    <n v="21"/>
    <n v="51"/>
    <n v="1.9"/>
  </r>
  <r>
    <x v="1"/>
    <x v="0"/>
    <x v="11"/>
    <n v="115"/>
    <x v="14"/>
    <s v="Panagopoulos"/>
    <n v="0"/>
    <n v="3"/>
    <n v="9"/>
    <n v="1"/>
    <x v="9"/>
    <s v="vs Antoniou"/>
    <n v="82"/>
    <n v="0.5"/>
    <n v="31"/>
    <n v="0.36899999999999999"/>
    <n v="0.77800000000000002"/>
    <n v="216"/>
    <n v="16"/>
    <n v="59"/>
    <n v="41"/>
    <n v="13"/>
    <n v="7"/>
    <n v="24"/>
    <n v="1.71"/>
  </r>
  <r>
    <x v="1"/>
    <x v="0"/>
    <x v="11"/>
    <n v="116"/>
    <x v="9"/>
    <s v="Ziogas/Christof"/>
    <n v="1"/>
    <n v="10"/>
    <n v="3"/>
    <n v="0"/>
    <x v="16"/>
    <s v="vs Spiridaus/Oladipas"/>
    <n v="181"/>
    <n v="0.51700000000000002"/>
    <n v="40"/>
    <n v="0.38100000000000001"/>
    <n v="0.77100000000000002"/>
    <n v="466"/>
    <n v="41"/>
    <n v="124"/>
    <n v="133"/>
    <n v="40"/>
    <n v="23"/>
    <n v="50"/>
    <n v="2.66"/>
  </r>
  <r>
    <x v="1"/>
    <x v="0"/>
    <x v="11"/>
    <n v="116"/>
    <x v="17"/>
    <s v="Spiridaus/Oladipas"/>
    <n v="0"/>
    <n v="3"/>
    <n v="10"/>
    <n v="0"/>
    <x v="8"/>
    <s v="vs Ziogas/Christof"/>
    <n v="138"/>
    <n v="0.46899999999999997"/>
    <n v="39"/>
    <n v="0.32800000000000001"/>
    <n v="0.78500000000000003"/>
    <n v="388"/>
    <n v="35"/>
    <n v="130"/>
    <n v="90"/>
    <n v="29"/>
    <n v="18"/>
    <n v="37"/>
    <n v="2.4300000000000002"/>
  </r>
  <r>
    <x v="1"/>
    <x v="0"/>
    <x v="11"/>
    <n v="117"/>
    <x v="6"/>
    <s v="Tassos"/>
    <n v="1"/>
    <n v="10"/>
    <n v="3"/>
    <n v="0"/>
    <x v="18"/>
    <s v="vs Nonis"/>
    <n v="185"/>
    <n v="0.47399999999999998"/>
    <n v="37"/>
    <n v="0.35199999999999998"/>
    <n v="0.78900000000000003"/>
    <n v="497"/>
    <n v="58"/>
    <n v="149"/>
    <n v="86"/>
    <n v="36"/>
    <n v="20"/>
    <n v="44"/>
    <n v="1.95"/>
  </r>
  <r>
    <x v="1"/>
    <x v="0"/>
    <x v="11"/>
    <n v="117"/>
    <x v="19"/>
    <s v="Nonis"/>
    <n v="0"/>
    <n v="3"/>
    <n v="10"/>
    <n v="0"/>
    <x v="7"/>
    <s v="vs Tassos"/>
    <n v="148"/>
    <n v="0.42299999999999999"/>
    <n v="45"/>
    <n v="0.36299999999999999"/>
    <n v="0.73499999999999999"/>
    <n v="413"/>
    <n v="28"/>
    <n v="123"/>
    <n v="95"/>
    <n v="23"/>
    <n v="10"/>
    <n v="51"/>
    <n v="1.86"/>
  </r>
  <r>
    <x v="1"/>
    <x v="0"/>
    <x v="11"/>
    <n v="118"/>
    <x v="4"/>
    <s v="Mpousaras"/>
    <n v="1"/>
    <n v="7"/>
    <n v="6"/>
    <n v="0"/>
    <x v="19"/>
    <s v="vs Kotakis"/>
    <n v="166"/>
    <n v="0.42899999999999999"/>
    <n v="47"/>
    <n v="0.34100000000000003"/>
    <n v="0.69699999999999995"/>
    <n v="432"/>
    <n v="46"/>
    <n v="115"/>
    <n v="101"/>
    <n v="31"/>
    <n v="14"/>
    <n v="60"/>
    <n v="1.68"/>
  </r>
  <r>
    <x v="1"/>
    <x v="0"/>
    <x v="11"/>
    <n v="118"/>
    <x v="18"/>
    <s v="Kotakis"/>
    <n v="0"/>
    <n v="6"/>
    <n v="7"/>
    <n v="0"/>
    <x v="5"/>
    <s v="vs Mpousaras"/>
    <n v="127"/>
    <n v="0.47699999999999998"/>
    <n v="38"/>
    <n v="0.38400000000000001"/>
    <n v="0.79700000000000004"/>
    <n v="343"/>
    <n v="22"/>
    <n v="108"/>
    <n v="86"/>
    <n v="23"/>
    <n v="15"/>
    <n v="31"/>
    <n v="2.77"/>
  </r>
  <r>
    <x v="1"/>
    <x v="0"/>
    <x v="11"/>
    <n v="119"/>
    <x v="3"/>
    <s v="Sakellariou"/>
    <n v="0"/>
    <n v="4"/>
    <n v="9"/>
    <n v="0"/>
    <x v="17"/>
    <s v="vs Aris"/>
    <n v="126"/>
    <n v="0.46"/>
    <n v="25"/>
    <n v="0.29799999999999999"/>
    <n v="0.78500000000000003"/>
    <n v="361"/>
    <n v="23"/>
    <n v="82"/>
    <n v="78"/>
    <n v="25"/>
    <n v="11"/>
    <n v="33"/>
    <n v="2.36"/>
  </r>
  <r>
    <x v="1"/>
    <x v="0"/>
    <x v="11"/>
    <n v="119"/>
    <x v="16"/>
    <s v="Aris"/>
    <n v="1"/>
    <n v="9"/>
    <n v="4"/>
    <n v="0"/>
    <x v="2"/>
    <s v="vs Sakellariou"/>
    <n v="156"/>
    <n v="0.50600000000000001"/>
    <n v="26"/>
    <n v="0.35099999999999998"/>
    <n v="0.746"/>
    <n v="429"/>
    <n v="33"/>
    <n v="100"/>
    <n v="98"/>
    <n v="21"/>
    <n v="13"/>
    <n v="43"/>
    <n v="2.2799999999999998"/>
  </r>
  <r>
    <x v="1"/>
    <x v="0"/>
    <x v="11"/>
    <n v="120"/>
    <x v="12"/>
    <s v="Stavros"/>
    <n v="1"/>
    <n v="8"/>
    <n v="5"/>
    <n v="0"/>
    <x v="1"/>
    <s v="vs Miggianis"/>
    <n v="148"/>
    <n v="0.434"/>
    <n v="46"/>
    <n v="0.35899999999999999"/>
    <n v="0.80500000000000005"/>
    <n v="441"/>
    <n v="38"/>
    <n v="148"/>
    <n v="106"/>
    <n v="31"/>
    <n v="18"/>
    <n v="58"/>
    <n v="1.83"/>
  </r>
  <r>
    <x v="1"/>
    <x v="0"/>
    <x v="11"/>
    <n v="120"/>
    <x v="0"/>
    <s v="Miggianis"/>
    <n v="0"/>
    <n v="5"/>
    <n v="8"/>
    <n v="0"/>
    <x v="13"/>
    <s v="vs Stavros"/>
    <n v="160"/>
    <n v="0.50600000000000001"/>
    <n v="34"/>
    <n v="0.32700000000000001"/>
    <n v="0.69299999999999995"/>
    <n v="406"/>
    <n v="33"/>
    <n v="122"/>
    <n v="91"/>
    <n v="19"/>
    <n v="20"/>
    <n v="46"/>
    <n v="1.98"/>
  </r>
  <r>
    <x v="1"/>
    <x v="0"/>
    <x v="12"/>
    <n v="121"/>
    <x v="1"/>
    <s v="Fanis"/>
    <n v="1"/>
    <n v="8"/>
    <n v="5"/>
    <n v="0"/>
    <x v="17"/>
    <s v="vs Aris"/>
    <n v="179"/>
    <n v="0.47399999999999998"/>
    <n v="40"/>
    <n v="0.377"/>
    <n v="0.73799999999999999"/>
    <n v="474"/>
    <n v="70"/>
    <n v="179"/>
    <n v="142"/>
    <n v="47"/>
    <n v="14"/>
    <n v="73"/>
    <n v="1.95"/>
  </r>
  <r>
    <x v="1"/>
    <x v="0"/>
    <x v="12"/>
    <n v="121"/>
    <x v="16"/>
    <s v="Aris"/>
    <n v="0"/>
    <n v="5"/>
    <n v="8"/>
    <n v="0"/>
    <x v="0"/>
    <s v="vs Fanis"/>
    <n v="156"/>
    <n v="0.53100000000000003"/>
    <n v="38"/>
    <n v="0.40899999999999997"/>
    <n v="0.77900000000000003"/>
    <n v="417"/>
    <n v="46"/>
    <n v="104"/>
    <n v="83"/>
    <n v="35"/>
    <n v="20"/>
    <n v="46"/>
    <n v="1.8"/>
  </r>
  <r>
    <x v="1"/>
    <x v="0"/>
    <x v="12"/>
    <n v="122"/>
    <x v="5"/>
    <s v="Markos"/>
    <n v="1"/>
    <n v="10"/>
    <n v="3"/>
    <n v="0"/>
    <x v="10"/>
    <s v="vs pi/Sotiris"/>
    <n v="188"/>
    <n v="0.48799999999999999"/>
    <n v="66"/>
    <n v="0.375"/>
    <n v="0.84699999999999998"/>
    <n v="536"/>
    <n v="29"/>
    <n v="130"/>
    <n v="89"/>
    <n v="30"/>
    <n v="25"/>
    <n v="55"/>
    <n v="1.62"/>
  </r>
  <r>
    <x v="1"/>
    <x v="0"/>
    <x v="12"/>
    <n v="122"/>
    <x v="11"/>
    <s v="pi/Sotiris"/>
    <n v="0"/>
    <n v="3"/>
    <n v="10"/>
    <n v="0"/>
    <x v="4"/>
    <s v="vs Markos"/>
    <n v="184"/>
    <n v="0.44700000000000001"/>
    <n v="55"/>
    <n v="0.36699999999999999"/>
    <n v="0.74"/>
    <n v="497"/>
    <n v="53"/>
    <n v="171"/>
    <n v="81"/>
    <n v="28"/>
    <n v="26"/>
    <n v="56"/>
    <n v="1.45"/>
  </r>
  <r>
    <x v="1"/>
    <x v="0"/>
    <x v="12"/>
    <n v="123"/>
    <x v="7"/>
    <s v="Johnny"/>
    <n v="1"/>
    <n v="12"/>
    <n v="1"/>
    <n v="0"/>
    <x v="11"/>
    <s v="vs Lagios"/>
    <n v="230"/>
    <n v="0.51900000000000002"/>
    <n v="38"/>
    <n v="0.33900000000000002"/>
    <n v="0.79800000000000004"/>
    <n v="589"/>
    <n v="46"/>
    <n v="163"/>
    <n v="153"/>
    <n v="40"/>
    <n v="22"/>
    <n v="70"/>
    <n v="2.19"/>
  </r>
  <r>
    <x v="1"/>
    <x v="0"/>
    <x v="12"/>
    <n v="123"/>
    <x v="10"/>
    <s v="Lagios"/>
    <n v="0"/>
    <n v="1"/>
    <n v="12"/>
    <n v="0"/>
    <x v="6"/>
    <s v="vs Johnny"/>
    <n v="137"/>
    <n v="0.42399999999999999"/>
    <n v="35"/>
    <n v="0.33300000000000002"/>
    <n v="0.73699999999999999"/>
    <n v="382"/>
    <n v="27"/>
    <n v="114"/>
    <n v="95"/>
    <n v="32"/>
    <n v="14"/>
    <n v="48"/>
    <n v="1.98"/>
  </r>
  <r>
    <x v="1"/>
    <x v="0"/>
    <x v="12"/>
    <n v="124"/>
    <x v="13"/>
    <s v="Kousidis"/>
    <n v="0"/>
    <n v="4"/>
    <n v="9"/>
    <n v="0"/>
    <x v="9"/>
    <s v="vs Antoniou"/>
    <n v="158"/>
    <n v="0.44500000000000001"/>
    <n v="35"/>
    <n v="0.36799999999999999"/>
    <n v="0.85499999999999998"/>
    <n v="422"/>
    <n v="32"/>
    <n v="132"/>
    <n v="111"/>
    <n v="34"/>
    <n v="16"/>
    <n v="65"/>
    <n v="1.71"/>
  </r>
  <r>
    <x v="1"/>
    <x v="0"/>
    <x v="12"/>
    <n v="124"/>
    <x v="8"/>
    <s v="Antoniou"/>
    <n v="1"/>
    <n v="9"/>
    <n v="4"/>
    <n v="0"/>
    <x v="12"/>
    <s v="vs Kousidis"/>
    <n v="169"/>
    <n v="0.47299999999999998"/>
    <n v="45"/>
    <n v="0.38100000000000001"/>
    <n v="0.70599999999999996"/>
    <n v="431"/>
    <n v="44"/>
    <n v="128"/>
    <n v="87"/>
    <n v="33"/>
    <n v="22"/>
    <n v="43"/>
    <n v="2.02"/>
  </r>
  <r>
    <x v="1"/>
    <x v="0"/>
    <x v="12"/>
    <n v="125"/>
    <x v="9"/>
    <s v="Ziogas/Christof"/>
    <n v="1"/>
    <n v="9"/>
    <n v="4"/>
    <n v="0"/>
    <x v="15"/>
    <s v="vs Panagopoulos"/>
    <n v="178"/>
    <n v="0.46200000000000002"/>
    <n v="35"/>
    <n v="0.313"/>
    <n v="0.68400000000000005"/>
    <n v="471"/>
    <n v="53"/>
    <n v="166"/>
    <n v="155"/>
    <n v="40"/>
    <n v="22"/>
    <n v="79"/>
    <n v="1.96"/>
  </r>
  <r>
    <x v="1"/>
    <x v="0"/>
    <x v="12"/>
    <n v="125"/>
    <x v="14"/>
    <s v="Panagopoulos"/>
    <n v="0"/>
    <n v="4"/>
    <n v="9"/>
    <n v="0"/>
    <x v="8"/>
    <s v="vs Ziogas/Christof"/>
    <n v="95"/>
    <n v="0.438"/>
    <n v="48"/>
    <n v="0.41399999999999998"/>
    <n v="0.83099999999999996"/>
    <n v="287"/>
    <n v="24"/>
    <n v="89"/>
    <n v="41"/>
    <n v="20"/>
    <n v="13"/>
    <n v="35"/>
    <n v="1.17"/>
  </r>
  <r>
    <x v="1"/>
    <x v="0"/>
    <x v="12"/>
    <n v="126"/>
    <x v="17"/>
    <s v="Spiridaus/Oladipas"/>
    <n v="0"/>
    <n v="5"/>
    <n v="8"/>
    <n v="0"/>
    <x v="7"/>
    <s v="vs Tassos"/>
    <n v="163"/>
    <n v="0.45500000000000002"/>
    <n v="47"/>
    <n v="0.33300000000000002"/>
    <n v="0.85"/>
    <n v="469"/>
    <n v="37"/>
    <n v="135"/>
    <n v="89"/>
    <n v="33"/>
    <n v="28"/>
    <n v="51"/>
    <n v="1.75"/>
  </r>
  <r>
    <x v="1"/>
    <x v="0"/>
    <x v="12"/>
    <n v="126"/>
    <x v="6"/>
    <s v="Tassos"/>
    <n v="1"/>
    <n v="8"/>
    <n v="5"/>
    <n v="0"/>
    <x v="16"/>
    <s v="vs Spiridaus/Oladipas"/>
    <n v="187"/>
    <n v="0.47299999999999998"/>
    <n v="40"/>
    <n v="0.35399999999999998"/>
    <n v="0.74299999999999999"/>
    <n v="498"/>
    <n v="45"/>
    <n v="131"/>
    <n v="95"/>
    <n v="25"/>
    <n v="19"/>
    <n v="41"/>
    <n v="2.3199999999999998"/>
  </r>
  <r>
    <x v="1"/>
    <x v="0"/>
    <x v="12"/>
    <n v="127"/>
    <x v="19"/>
    <s v="Nonis"/>
    <n v="1"/>
    <n v="11"/>
    <n v="2"/>
    <n v="0"/>
    <x v="5"/>
    <s v="vs Mpousaras"/>
    <n v="175"/>
    <n v="0.46400000000000002"/>
    <n v="54"/>
    <n v="0.38800000000000001"/>
    <n v="0.8"/>
    <n v="528"/>
    <n v="37"/>
    <n v="129"/>
    <n v="89"/>
    <n v="28"/>
    <n v="15"/>
    <n v="62"/>
    <n v="1.44"/>
  </r>
  <r>
    <x v="1"/>
    <x v="0"/>
    <x v="12"/>
    <n v="127"/>
    <x v="4"/>
    <s v="Mpousaras"/>
    <n v="0"/>
    <n v="2"/>
    <n v="11"/>
    <n v="0"/>
    <x v="18"/>
    <s v="vs Nonis"/>
    <n v="147"/>
    <n v="0.42099999999999999"/>
    <n v="39"/>
    <n v="0.32800000000000001"/>
    <n v="0.77600000000000002"/>
    <n v="385"/>
    <n v="36"/>
    <n v="103"/>
    <n v="66"/>
    <n v="21"/>
    <n v="13"/>
    <n v="40"/>
    <n v="1.65"/>
  </r>
  <r>
    <x v="1"/>
    <x v="0"/>
    <x v="12"/>
    <n v="128"/>
    <x v="18"/>
    <s v="Kotakis"/>
    <n v="1"/>
    <n v="9"/>
    <n v="4"/>
    <n v="0"/>
    <x v="2"/>
    <s v="vs Sakellariou"/>
    <n v="187"/>
    <n v="0.45500000000000002"/>
    <n v="51"/>
    <n v="0.34499999999999997"/>
    <n v="0.84799999999999998"/>
    <n v="537"/>
    <n v="42"/>
    <n v="172"/>
    <n v="111"/>
    <n v="43"/>
    <n v="19"/>
    <n v="59"/>
    <n v="1.88"/>
  </r>
  <r>
    <x v="1"/>
    <x v="0"/>
    <x v="12"/>
    <n v="128"/>
    <x v="3"/>
    <s v="Sakellariou"/>
    <n v="0"/>
    <n v="4"/>
    <n v="9"/>
    <n v="0"/>
    <x v="19"/>
    <s v="vs Kotakis"/>
    <n v="182"/>
    <n v="0.48499999999999999"/>
    <n v="43"/>
    <n v="0.35"/>
    <n v="0.8"/>
    <n v="479"/>
    <n v="43"/>
    <n v="125"/>
    <n v="96"/>
    <n v="28"/>
    <n v="17"/>
    <n v="53"/>
    <n v="1.81"/>
  </r>
  <r>
    <x v="1"/>
    <x v="0"/>
    <x v="12"/>
    <n v="129"/>
    <x v="15"/>
    <s v="Vasilis"/>
    <n v="1"/>
    <n v="10"/>
    <n v="3"/>
    <n v="0"/>
    <x v="1"/>
    <s v="vs Miggianis"/>
    <n v="229"/>
    <n v="0.53400000000000003"/>
    <n v="67"/>
    <n v="0.48199999999999998"/>
    <n v="0.69"/>
    <n v="583"/>
    <n v="47"/>
    <n v="174"/>
    <n v="129"/>
    <n v="36"/>
    <n v="32"/>
    <n v="74"/>
    <n v="1.74"/>
  </r>
  <r>
    <x v="1"/>
    <x v="0"/>
    <x v="12"/>
    <n v="129"/>
    <x v="0"/>
    <s v="Miggianis"/>
    <n v="0"/>
    <n v="3"/>
    <n v="10"/>
    <n v="0"/>
    <x v="14"/>
    <s v="vs Vasilis"/>
    <n v="116"/>
    <n v="0.46"/>
    <n v="35"/>
    <n v="0.38500000000000001"/>
    <n v="0.76900000000000002"/>
    <n v="297"/>
    <n v="24"/>
    <n v="90"/>
    <n v="62"/>
    <n v="16"/>
    <n v="9"/>
    <n v="33"/>
    <n v="1.88"/>
  </r>
  <r>
    <x v="1"/>
    <x v="0"/>
    <x v="12"/>
    <n v="130"/>
    <x v="12"/>
    <s v="Stavros"/>
    <n v="1"/>
    <n v="10"/>
    <n v="3"/>
    <n v="0"/>
    <x v="3"/>
    <s v="vs Fountos"/>
    <n v="172"/>
    <n v="0.44600000000000001"/>
    <n v="50"/>
    <n v="0.32700000000000001"/>
    <n v="0.78200000000000003"/>
    <n v="509"/>
    <n v="60"/>
    <n v="168"/>
    <n v="136"/>
    <n v="43"/>
    <n v="26"/>
    <n v="80"/>
    <n v="1.7"/>
  </r>
  <r>
    <x v="1"/>
    <x v="0"/>
    <x v="12"/>
    <n v="130"/>
    <x v="2"/>
    <s v="Fountos"/>
    <n v="0"/>
    <n v="3"/>
    <n v="10"/>
    <n v="0"/>
    <x v="13"/>
    <s v="vs Stavros"/>
    <n v="199"/>
    <n v="0.44400000000000001"/>
    <n v="36"/>
    <n v="0.32400000000000001"/>
    <n v="0.76600000000000001"/>
    <n v="542"/>
    <n v="53"/>
    <n v="138"/>
    <n v="107"/>
    <n v="27"/>
    <n v="16"/>
    <n v="71"/>
    <n v="1.51"/>
  </r>
  <r>
    <x v="1"/>
    <x v="0"/>
    <x v="13"/>
    <n v="131"/>
    <x v="1"/>
    <s v="Fanis"/>
    <n v="1"/>
    <n v="10"/>
    <n v="3"/>
    <n v="0"/>
    <x v="19"/>
    <s v="vs Kotakis"/>
    <n v="156"/>
    <n v="0.50600000000000001"/>
    <n v="53"/>
    <n v="0.46100000000000002"/>
    <n v="0.80600000000000005"/>
    <n v="423"/>
    <n v="39"/>
    <n v="135"/>
    <n v="118"/>
    <n v="27"/>
    <n v="8"/>
    <n v="54"/>
    <n v="2.19"/>
  </r>
  <r>
    <x v="1"/>
    <x v="0"/>
    <x v="13"/>
    <n v="131"/>
    <x v="18"/>
    <s v="Kotakis"/>
    <n v="0"/>
    <n v="3"/>
    <n v="10"/>
    <n v="0"/>
    <x v="0"/>
    <s v="vs Fanis"/>
    <n v="133"/>
    <n v="0.44900000000000001"/>
    <n v="36"/>
    <n v="0.34599999999999997"/>
    <n v="0.80500000000000005"/>
    <n v="364"/>
    <n v="31"/>
    <n v="119"/>
    <n v="93"/>
    <n v="15"/>
    <n v="12"/>
    <n v="42"/>
    <n v="2.21"/>
  </r>
  <r>
    <x v="1"/>
    <x v="0"/>
    <x v="13"/>
    <n v="132"/>
    <x v="7"/>
    <s v="Johnny"/>
    <n v="0"/>
    <n v="5"/>
    <n v="7"/>
    <n v="1"/>
    <x v="10"/>
    <s v="vs pi/Sotiris"/>
    <n v="188"/>
    <n v="0.45100000000000001"/>
    <n v="59"/>
    <n v="0.39300000000000002"/>
    <n v="0.74099999999999999"/>
    <n v="544"/>
    <n v="62"/>
    <n v="148"/>
    <n v="127"/>
    <n v="31"/>
    <n v="22"/>
    <n v="55"/>
    <n v="2.31"/>
  </r>
  <r>
    <x v="1"/>
    <x v="0"/>
    <x v="13"/>
    <n v="132"/>
    <x v="11"/>
    <s v="pi/Sotiris"/>
    <n v="1"/>
    <n v="7"/>
    <n v="5"/>
    <n v="1"/>
    <x v="6"/>
    <s v="vs Johnny"/>
    <n v="199"/>
    <n v="0.52600000000000002"/>
    <n v="52"/>
    <n v="0.441"/>
    <n v="0.76400000000000001"/>
    <n v="505"/>
    <n v="62"/>
    <n v="168"/>
    <n v="78"/>
    <n v="24"/>
    <n v="34"/>
    <n v="46"/>
    <n v="1.7"/>
  </r>
  <r>
    <x v="1"/>
    <x v="0"/>
    <x v="13"/>
    <n v="133"/>
    <x v="8"/>
    <s v="Antoniou"/>
    <n v="0"/>
    <n v="4"/>
    <n v="8"/>
    <n v="1"/>
    <x v="11"/>
    <s v="vs Lagios"/>
    <n v="116"/>
    <n v="0.41299999999999998"/>
    <n v="35"/>
    <n v="0.313"/>
    <n v="0.83099999999999996"/>
    <n v="321"/>
    <n v="29"/>
    <n v="85"/>
    <n v="87"/>
    <n v="23"/>
    <n v="16"/>
    <n v="50"/>
    <n v="1.74"/>
  </r>
  <r>
    <x v="1"/>
    <x v="0"/>
    <x v="13"/>
    <n v="133"/>
    <x v="10"/>
    <s v="Lagios"/>
    <n v="1"/>
    <n v="8"/>
    <n v="4"/>
    <n v="1"/>
    <x v="9"/>
    <s v="vs Antoniou"/>
    <n v="150"/>
    <n v="0.48699999999999999"/>
    <n v="42"/>
    <n v="0.40400000000000003"/>
    <n v="0.746"/>
    <n v="392"/>
    <n v="29"/>
    <n v="119"/>
    <n v="101"/>
    <n v="14"/>
    <n v="14"/>
    <n v="58"/>
    <n v="1.7410000000000001"/>
  </r>
  <r>
    <x v="1"/>
    <x v="0"/>
    <x v="13"/>
    <n v="134"/>
    <x v="9"/>
    <s v="Ziogas/Christof"/>
    <n v="1"/>
    <n v="11"/>
    <n v="2"/>
    <n v="0"/>
    <x v="12"/>
    <s v="vs Kousidis"/>
    <n v="155"/>
    <n v="0.45710000000000001"/>
    <n v="50"/>
    <n v="0.38500000000000001"/>
    <n v="0.78900000000000003"/>
    <n v="431"/>
    <n v="31"/>
    <n v="157"/>
    <n v="164"/>
    <n v="34"/>
    <n v="19"/>
    <n v="38"/>
    <n v="4.32"/>
  </r>
  <r>
    <x v="1"/>
    <x v="0"/>
    <x v="13"/>
    <n v="134"/>
    <x v="13"/>
    <s v="Kousidis"/>
    <n v="0"/>
    <n v="2"/>
    <n v="11"/>
    <n v="0"/>
    <x v="8"/>
    <s v="vs Ziogas/Christof"/>
    <n v="117"/>
    <n v="0.45700000000000002"/>
    <n v="30"/>
    <n v="0.41099999999999998"/>
    <n v="0.67400000000000004"/>
    <n v="293"/>
    <n v="38"/>
    <n v="137"/>
    <n v="91"/>
    <n v="15"/>
    <n v="13"/>
    <n v="45"/>
    <n v="2.02"/>
  </r>
  <r>
    <x v="1"/>
    <x v="0"/>
    <x v="13"/>
    <n v="135"/>
    <x v="6"/>
    <s v="Tassos"/>
    <n v="1"/>
    <n v="8"/>
    <n v="5"/>
    <n v="0"/>
    <x v="15"/>
    <s v="vs Panagopoulos"/>
    <n v="147"/>
    <n v="0.44500000000000001"/>
    <n v="44"/>
    <n v="0.33600000000000002"/>
    <n v="0.69699999999999995"/>
    <n v="414"/>
    <n v="32"/>
    <n v="102"/>
    <n v="85"/>
    <n v="30"/>
    <n v="15"/>
    <n v="45"/>
    <n v="1.89"/>
  </r>
  <r>
    <x v="1"/>
    <x v="0"/>
    <x v="13"/>
    <n v="135"/>
    <x v="14"/>
    <s v="Panagopoulos"/>
    <n v="0"/>
    <n v="5"/>
    <n v="8"/>
    <n v="0"/>
    <x v="7"/>
    <s v="vs Tassos"/>
    <n v="111"/>
    <n v="0.46600000000000003"/>
    <n v="35"/>
    <n v="0.35399999999999998"/>
    <n v="0.70199999999999996"/>
    <n v="290"/>
    <n v="23"/>
    <n v="103"/>
    <n v="45"/>
    <n v="11"/>
    <n v="12"/>
    <n v="30"/>
    <n v="1.5"/>
  </r>
  <r>
    <x v="1"/>
    <x v="0"/>
    <x v="13"/>
    <n v="136"/>
    <x v="17"/>
    <s v="Spiridaus/Oladipas"/>
    <n v="1"/>
    <n v="12"/>
    <n v="1"/>
    <n v="0"/>
    <x v="5"/>
    <s v="vs Mpousaras"/>
    <n v="171"/>
    <n v="0.44600000000000001"/>
    <n v="45"/>
    <n v="0.33100000000000002"/>
    <n v="0.86"/>
    <n v="485"/>
    <n v="44"/>
    <n v="140"/>
    <n v="86"/>
    <n v="42"/>
    <n v="29"/>
    <n v="34"/>
    <n v="2.5299999999999998"/>
  </r>
  <r>
    <x v="1"/>
    <x v="0"/>
    <x v="13"/>
    <n v="136"/>
    <x v="4"/>
    <s v="Mpousaras"/>
    <n v="0"/>
    <n v="1"/>
    <n v="12"/>
    <n v="0"/>
    <x v="16"/>
    <s v="vs Spiridaus/Oladipas"/>
    <n v="128"/>
    <n v="0.437"/>
    <n v="38"/>
    <n v="0.36499999999999999"/>
    <n v="0.79700000000000004"/>
    <n v="345"/>
    <n v="17"/>
    <n v="95"/>
    <n v="68"/>
    <n v="34"/>
    <n v="13"/>
    <n v="39"/>
    <n v="1.74"/>
  </r>
  <r>
    <x v="1"/>
    <x v="0"/>
    <x v="13"/>
    <n v="137"/>
    <x v="3"/>
    <s v="Sakellariou"/>
    <n v="1"/>
    <n v="13"/>
    <n v="0"/>
    <n v="0"/>
    <x v="18"/>
    <s v="vs Nonis"/>
    <n v="177"/>
    <n v="0.48599999999999999"/>
    <n v="43"/>
    <n v="0.39800000000000002"/>
    <n v="0.82799999999999996"/>
    <n v="474"/>
    <n v="27"/>
    <n v="97"/>
    <n v="95"/>
    <n v="23"/>
    <n v="9"/>
    <n v="42"/>
    <n v="2.2599999999999998"/>
  </r>
  <r>
    <x v="1"/>
    <x v="0"/>
    <x v="13"/>
    <n v="137"/>
    <x v="19"/>
    <s v="Nonis"/>
    <n v="0"/>
    <n v="0"/>
    <n v="13"/>
    <n v="0"/>
    <x v="2"/>
    <s v="vs Sakellariou"/>
    <n v="118"/>
    <n v="0.45200000000000001"/>
    <n v="36"/>
    <n v="0.39100000000000001"/>
    <n v="0.71"/>
    <n v="316"/>
    <n v="17"/>
    <n v="85"/>
    <n v="72"/>
    <n v="16"/>
    <n v="7"/>
    <n v="49"/>
    <n v="1.47"/>
  </r>
  <r>
    <x v="1"/>
    <x v="0"/>
    <x v="13"/>
    <n v="138"/>
    <x v="16"/>
    <s v="Aris"/>
    <n v="1"/>
    <n v="11"/>
    <n v="2"/>
    <n v="0"/>
    <x v="1"/>
    <s v="vs Miggianis"/>
    <n v="149"/>
    <n v="0.52300000000000002"/>
    <n v="40"/>
    <n v="0.377"/>
    <n v="0.76"/>
    <n v="395"/>
    <n v="42"/>
    <n v="103"/>
    <n v="83"/>
    <n v="28"/>
    <n v="13"/>
    <n v="51"/>
    <n v="1.63"/>
  </r>
  <r>
    <x v="1"/>
    <x v="0"/>
    <x v="13"/>
    <n v="138"/>
    <x v="0"/>
    <s v="Miggianis"/>
    <n v="0"/>
    <n v="2"/>
    <n v="11"/>
    <n v="0"/>
    <x v="17"/>
    <s v="vs Aris"/>
    <n v="107"/>
    <n v="0.49099999999999999"/>
    <n v="20"/>
    <n v="0.34499999999999997"/>
    <n v="0.73799999999999999"/>
    <n v="279"/>
    <n v="28"/>
    <n v="98"/>
    <n v="49"/>
    <n v="16"/>
    <n v="11"/>
    <n v="26"/>
    <n v="1.88"/>
  </r>
  <r>
    <x v="1"/>
    <x v="0"/>
    <x v="13"/>
    <n v="139"/>
    <x v="2"/>
    <s v="Fountos"/>
    <n v="1"/>
    <n v="8"/>
    <n v="5"/>
    <n v="0"/>
    <x v="14"/>
    <s v="vs Vasilis"/>
    <n v="199"/>
    <n v="0.48699999999999999"/>
    <n v="51"/>
    <n v="0.40799999999999997"/>
    <n v="0.80800000000000005"/>
    <n v="533"/>
    <n v="51"/>
    <n v="114"/>
    <n v="96"/>
    <n v="35"/>
    <n v="23"/>
    <n v="61"/>
    <n v="1.57"/>
  </r>
  <r>
    <x v="1"/>
    <x v="0"/>
    <x v="13"/>
    <n v="139"/>
    <x v="15"/>
    <s v="Vasilis"/>
    <n v="0"/>
    <n v="5"/>
    <n v="8"/>
    <n v="0"/>
    <x v="3"/>
    <s v="vs Fountos"/>
    <n v="141"/>
    <n v="0.45600000000000002"/>
    <n v="48"/>
    <n v="0.38400000000000001"/>
    <n v="0.75900000000000001"/>
    <n v="393"/>
    <n v="31"/>
    <n v="144"/>
    <n v="102"/>
    <n v="29"/>
    <n v="35"/>
    <n v="49"/>
    <n v="2.08"/>
  </r>
  <r>
    <x v="1"/>
    <x v="0"/>
    <x v="13"/>
    <n v="140"/>
    <x v="5"/>
    <s v="Markos"/>
    <n v="1"/>
    <n v="7"/>
    <n v="6"/>
    <n v="0"/>
    <x v="13"/>
    <s v="vs Stavros"/>
    <n v="169"/>
    <n v="0.48599999999999999"/>
    <n v="52"/>
    <n v="0.39400000000000002"/>
    <n v="0.77400000000000002"/>
    <n v="479"/>
    <n v="27"/>
    <n v="139"/>
    <n v="99"/>
    <n v="36"/>
    <n v="16"/>
    <n v="67"/>
    <n v="1.48"/>
  </r>
  <r>
    <x v="1"/>
    <x v="0"/>
    <x v="13"/>
    <n v="140"/>
    <x v="12"/>
    <s v="Stavros"/>
    <n v="0"/>
    <n v="6"/>
    <n v="7"/>
    <n v="0"/>
    <x v="4"/>
    <s v="vs Markos"/>
    <n v="131"/>
    <n v="0.49399999999999999"/>
    <n v="33"/>
    <n v="0.33300000000000002"/>
    <n v="0.82599999999999996"/>
    <n v="385"/>
    <n v="36"/>
    <n v="113"/>
    <n v="83"/>
    <n v="23"/>
    <n v="17"/>
    <n v="44"/>
    <n v="1.89"/>
  </r>
  <r>
    <x v="1"/>
    <x v="0"/>
    <x v="14"/>
    <n v="141"/>
    <x v="1"/>
    <s v="Fanis"/>
    <n v="1"/>
    <n v="12"/>
    <n v="1"/>
    <n v="0"/>
    <x v="18"/>
    <s v="vs Nonis"/>
    <n v="169"/>
    <n v="0.51200000000000001"/>
    <n v="49"/>
    <n v="0.377"/>
    <n v="0.77100000000000002"/>
    <n v="451"/>
    <n v="45"/>
    <n v="131"/>
    <n v="137"/>
    <n v="38"/>
    <n v="25"/>
    <n v="46"/>
    <n v="2.98"/>
  </r>
  <r>
    <x v="1"/>
    <x v="0"/>
    <x v="14"/>
    <n v="141"/>
    <x v="19"/>
    <s v="Nonis"/>
    <n v="0"/>
    <n v="1"/>
    <n v="12"/>
    <n v="0"/>
    <x v="0"/>
    <s v="vs Fanis"/>
    <n v="146"/>
    <n v="0.433"/>
    <n v="30"/>
    <n v="0.28299999999999997"/>
    <n v="0.75"/>
    <n v="397"/>
    <n v="34"/>
    <n v="142"/>
    <n v="120"/>
    <n v="31"/>
    <n v="14"/>
    <n v="68"/>
    <n v="1.76"/>
  </r>
  <r>
    <x v="1"/>
    <x v="0"/>
    <x v="14"/>
    <n v="142"/>
    <x v="8"/>
    <s v="Antoniou"/>
    <n v="1"/>
    <n v="8"/>
    <n v="5"/>
    <n v="0"/>
    <x v="10"/>
    <s v="vs pi/Sotiris"/>
    <n v="149"/>
    <n v="0.49299999999999999"/>
    <n v="41"/>
    <n v="0.38700000000000001"/>
    <n v="0.77200000000000002"/>
    <n v="400"/>
    <n v="38"/>
    <n v="112"/>
    <n v="103"/>
    <n v="36"/>
    <n v="20"/>
    <n v="43"/>
    <n v="2.4"/>
  </r>
  <r>
    <x v="1"/>
    <x v="0"/>
    <x v="14"/>
    <n v="142"/>
    <x v="11"/>
    <s v="pi/Sotiris"/>
    <n v="0"/>
    <n v="5"/>
    <n v="8"/>
    <n v="0"/>
    <x v="9"/>
    <s v="vs Antoniou"/>
    <n v="159"/>
    <n v="0.47199999999999998"/>
    <n v="29"/>
    <n v="0.35399999999999998"/>
    <n v="0.84499999999999997"/>
    <n v="429"/>
    <n v="48"/>
    <n v="138"/>
    <n v="62"/>
    <n v="19"/>
    <n v="16"/>
    <n v="50"/>
    <n v="1.24"/>
  </r>
  <r>
    <x v="1"/>
    <x v="0"/>
    <x v="14"/>
    <n v="143"/>
    <x v="9"/>
    <s v="Ziogas/Christof"/>
    <n v="0"/>
    <n v="6"/>
    <n v="7"/>
    <n v="0"/>
    <x v="11"/>
    <s v="vs Lagios"/>
    <n v="127"/>
    <n v="0.45700000000000002"/>
    <n v="28"/>
    <n v="0.28599999999999998"/>
    <n v="0.78600000000000003"/>
    <n v="359"/>
    <n v="41"/>
    <n v="126"/>
    <n v="92"/>
    <n v="28"/>
    <n v="23"/>
    <n v="60"/>
    <n v="1.53"/>
  </r>
  <r>
    <x v="1"/>
    <x v="0"/>
    <x v="14"/>
    <n v="143"/>
    <x v="10"/>
    <s v="Lagios"/>
    <n v="1"/>
    <n v="7"/>
    <n v="6"/>
    <n v="0"/>
    <x v="8"/>
    <s v="vs Ziogas/Christof"/>
    <n v="166"/>
    <n v="0.44400000000000001"/>
    <n v="31"/>
    <n v="0.27200000000000002"/>
    <n v="0.76500000000000001"/>
    <n v="441"/>
    <n v="35"/>
    <n v="138"/>
    <n v="101"/>
    <n v="26"/>
    <n v="19"/>
    <n v="57"/>
    <n v="1.77"/>
  </r>
  <r>
    <x v="1"/>
    <x v="0"/>
    <x v="14"/>
    <n v="144"/>
    <x v="6"/>
    <s v="Tassos"/>
    <n v="1"/>
    <n v="12"/>
    <n v="1"/>
    <n v="0"/>
    <x v="12"/>
    <s v="vs Kousidis"/>
    <n v="228"/>
    <n v="0.49399999999999999"/>
    <n v="67"/>
    <n v="0.41099999999999998"/>
    <n v="0.73799999999999999"/>
    <n v="633"/>
    <n v="54"/>
    <n v="183"/>
    <n v="118"/>
    <n v="34"/>
    <n v="24"/>
    <n v="61"/>
    <n v="1.93"/>
  </r>
  <r>
    <x v="1"/>
    <x v="0"/>
    <x v="14"/>
    <n v="144"/>
    <x v="13"/>
    <s v="Kousidis"/>
    <n v="0"/>
    <n v="1"/>
    <n v="12"/>
    <n v="0"/>
    <x v="7"/>
    <s v="vs Tassos"/>
    <n v="128"/>
    <n v="0.46700000000000003"/>
    <n v="35"/>
    <n v="0.36799999999999999"/>
    <n v="0.68"/>
    <n v="325"/>
    <n v="39"/>
    <n v="120"/>
    <n v="68"/>
    <n v="15"/>
    <n v="16"/>
    <n v="37"/>
    <n v="1.84"/>
  </r>
  <r>
    <x v="1"/>
    <x v="0"/>
    <x v="14"/>
    <n v="145"/>
    <x v="4"/>
    <s v="Mpousaras"/>
    <n v="1"/>
    <n v="7"/>
    <n v="6"/>
    <n v="0"/>
    <x v="15"/>
    <s v="vs Panagopoulos"/>
    <n v="118"/>
    <n v="0.40300000000000002"/>
    <n v="45"/>
    <n v="0.33800000000000002"/>
    <n v="0.8"/>
    <n v="313"/>
    <n v="14"/>
    <n v="94"/>
    <n v="86"/>
    <n v="21"/>
    <n v="9"/>
    <n v="34"/>
    <n v="2.5299999999999998"/>
  </r>
  <r>
    <x v="1"/>
    <x v="0"/>
    <x v="14"/>
    <n v="145"/>
    <x v="14"/>
    <s v="Panagopoulos"/>
    <n v="0"/>
    <n v="6"/>
    <n v="7"/>
    <n v="0"/>
    <x v="5"/>
    <s v="vs Mpousaras"/>
    <n v="126"/>
    <n v="0.43"/>
    <n v="33"/>
    <n v="0.32400000000000001"/>
    <n v="0.77500000000000002"/>
    <n v="347"/>
    <n v="50"/>
    <n v="126"/>
    <n v="61"/>
    <n v="18"/>
    <n v="15"/>
    <n v="41"/>
    <n v="1.49"/>
  </r>
  <r>
    <x v="1"/>
    <x v="0"/>
    <x v="14"/>
    <n v="146"/>
    <x v="17"/>
    <s v="Spiridaus/Oladipas"/>
    <n v="1"/>
    <n v="9"/>
    <n v="4"/>
    <n v="0"/>
    <x v="2"/>
    <s v="vs Sakellariou"/>
    <n v="144"/>
    <n v="0.45100000000000001"/>
    <n v="50"/>
    <n v="0.38500000000000001"/>
    <n v="0.85099999999999998"/>
    <n v="395"/>
    <n v="22"/>
    <n v="107"/>
    <n v="92"/>
    <n v="34"/>
    <n v="25"/>
    <n v="37"/>
    <n v="2.4900000000000002"/>
  </r>
  <r>
    <x v="1"/>
    <x v="0"/>
    <x v="14"/>
    <n v="146"/>
    <x v="3"/>
    <s v="Sakellariou"/>
    <n v="0"/>
    <n v="4"/>
    <n v="9"/>
    <n v="0"/>
    <x v="16"/>
    <s v="vs Spiridaus/Oladipas"/>
    <n v="145"/>
    <n v="0.45900000000000002"/>
    <n v="32"/>
    <n v="0.28799999999999998"/>
    <n v="0.76900000000000002"/>
    <n v="392"/>
    <n v="32"/>
    <n v="106"/>
    <n v="99"/>
    <n v="23"/>
    <n v="12"/>
    <n v="50"/>
    <n v="1.98"/>
  </r>
  <r>
    <x v="1"/>
    <x v="0"/>
    <x v="14"/>
    <n v="147"/>
    <x v="18"/>
    <s v="Kotakis"/>
    <n v="1"/>
    <n v="10"/>
    <n v="3"/>
    <n v="0"/>
    <x v="1"/>
    <s v="vs Miggianis"/>
    <n v="164"/>
    <n v="0.42199999999999999"/>
    <n v="52"/>
    <n v="0.35599999999999998"/>
    <n v="0.78800000000000003"/>
    <n v="458"/>
    <n v="45"/>
    <n v="165"/>
    <n v="106"/>
    <n v="32"/>
    <n v="19"/>
    <n v="63"/>
    <n v="1.68"/>
  </r>
  <r>
    <x v="1"/>
    <x v="0"/>
    <x v="14"/>
    <n v="147"/>
    <x v="0"/>
    <s v="Miggianis"/>
    <n v="0"/>
    <n v="3"/>
    <n v="10"/>
    <n v="0"/>
    <x v="19"/>
    <s v="vs Kotakis"/>
    <n v="142"/>
    <n v="0.44"/>
    <n v="36"/>
    <n v="0.34300000000000003"/>
    <n v="0.755"/>
    <n v="400"/>
    <n v="50"/>
    <n v="104"/>
    <n v="80"/>
    <n v="19"/>
    <n v="17"/>
    <n v="51"/>
    <n v="1.57"/>
  </r>
  <r>
    <x v="1"/>
    <x v="0"/>
    <x v="14"/>
    <n v="148"/>
    <x v="2"/>
    <s v="Fountos"/>
    <n v="1"/>
    <n v="7"/>
    <n v="6"/>
    <n v="0"/>
    <x v="17"/>
    <s v="vs Aris"/>
    <n v="142"/>
    <n v="0.44900000000000001"/>
    <n v="43"/>
    <n v="0.38100000000000001"/>
    <n v="0.81699999999999995"/>
    <n v="385"/>
    <n v="32"/>
    <n v="103"/>
    <n v="71"/>
    <n v="25"/>
    <n v="15"/>
    <n v="44"/>
    <n v="1.61"/>
  </r>
  <r>
    <x v="1"/>
    <x v="0"/>
    <x v="14"/>
    <n v="148"/>
    <x v="16"/>
    <s v="Aris"/>
    <n v="0"/>
    <n v="6"/>
    <n v="7"/>
    <n v="0"/>
    <x v="3"/>
    <s v="vs Fountos"/>
    <n v="182"/>
    <n v="0.53500000000000003"/>
    <n v="33"/>
    <n v="0.375"/>
    <n v="0.90600000000000003"/>
    <n v="484"/>
    <n v="31"/>
    <n v="113"/>
    <n v="73"/>
    <n v="20"/>
    <n v="13"/>
    <n v="62"/>
    <n v="1.18"/>
  </r>
  <r>
    <x v="1"/>
    <x v="0"/>
    <x v="14"/>
    <n v="149"/>
    <x v="15"/>
    <s v="Vasilis"/>
    <n v="0"/>
    <n v="4"/>
    <n v="8"/>
    <n v="1"/>
    <x v="4"/>
    <s v="vs Markos"/>
    <n v="178"/>
    <n v="0.48"/>
    <n v="49"/>
    <n v="0.377"/>
    <n v="0.75"/>
    <n v="480"/>
    <n v="31"/>
    <n v="163"/>
    <n v="101"/>
    <n v="20"/>
    <n v="25"/>
    <n v="55"/>
    <n v="1.84"/>
  </r>
  <r>
    <x v="1"/>
    <x v="0"/>
    <x v="14"/>
    <n v="149"/>
    <x v="5"/>
    <s v="Markos"/>
    <n v="1"/>
    <n v="8"/>
    <n v="4"/>
    <n v="1"/>
    <x v="14"/>
    <s v="vs Vasilis"/>
    <n v="209"/>
    <n v="0.54300000000000004"/>
    <n v="59"/>
    <n v="0.434"/>
    <n v="0.72699999999999998"/>
    <n v="557"/>
    <n v="41"/>
    <n v="177"/>
    <n v="82"/>
    <n v="14"/>
    <n v="26"/>
    <n v="55"/>
    <n v="1.49"/>
  </r>
  <r>
    <x v="1"/>
    <x v="0"/>
    <x v="14"/>
    <n v="150"/>
    <x v="12"/>
    <s v="Stavros"/>
    <n v="1"/>
    <n v="9"/>
    <n v="4"/>
    <n v="0"/>
    <x v="6"/>
    <s v="vs Johnny"/>
    <n v="207"/>
    <n v="0.45100000000000001"/>
    <n v="56"/>
    <n v="0.318"/>
    <n v="0.82399999999999995"/>
    <n v="610"/>
    <n v="60"/>
    <n v="180"/>
    <n v="97"/>
    <n v="37"/>
    <n v="30"/>
    <n v="65"/>
    <n v="1.49"/>
  </r>
  <r>
    <x v="1"/>
    <x v="0"/>
    <x v="14"/>
    <n v="150"/>
    <x v="7"/>
    <s v="Johnny"/>
    <n v="0"/>
    <n v="4"/>
    <n v="9"/>
    <n v="0"/>
    <x v="13"/>
    <s v="vs Stavros"/>
    <n v="172"/>
    <n v="0.43"/>
    <n v="43"/>
    <n v="0.34699999999999998"/>
    <n v="0.80300000000000005"/>
    <n v="485"/>
    <n v="48"/>
    <n v="162"/>
    <n v="111"/>
    <n v="26"/>
    <n v="24"/>
    <n v="58"/>
    <n v="1.91"/>
  </r>
  <r>
    <x v="1"/>
    <x v="0"/>
    <x v="15"/>
    <n v="151"/>
    <x v="17"/>
    <s v="Spiridaus/Oladipas"/>
    <n v="0"/>
    <n v="4"/>
    <n v="9"/>
    <n v="0"/>
    <x v="0"/>
    <s v="vs Fanis"/>
    <n v="141"/>
    <n v="0.45200000000000001"/>
    <n v="38"/>
    <n v="0.35799999999999998"/>
    <n v="0.77400000000000002"/>
    <n v="361"/>
    <n v="44"/>
    <n v="128"/>
    <n v="73"/>
    <n v="37"/>
    <n v="17"/>
    <n v="39"/>
    <n v="1.87"/>
  </r>
  <r>
    <x v="1"/>
    <x v="0"/>
    <x v="15"/>
    <n v="151"/>
    <x v="1"/>
    <s v="Fanis"/>
    <n v="1"/>
    <n v="9"/>
    <n v="4"/>
    <n v="0"/>
    <x v="16"/>
    <s v="vs Spiridaus/Oladipas"/>
    <n v="187"/>
    <n v="0.54"/>
    <n v="47"/>
    <n v="0.45200000000000001"/>
    <n v="0.747"/>
    <n v="492"/>
    <n v="61"/>
    <n v="155"/>
    <n v="113"/>
    <n v="26"/>
    <n v="22"/>
    <n v="62"/>
    <n v="1.82"/>
  </r>
  <r>
    <x v="1"/>
    <x v="0"/>
    <x v="15"/>
    <n v="152"/>
    <x v="9"/>
    <s v="Ziogas/Christof"/>
    <n v="1"/>
    <n v="9"/>
    <n v="3"/>
    <n v="1"/>
    <x v="10"/>
    <s v="vs pi/Sotiris"/>
    <n v="110"/>
    <n v="0.48199999999999998"/>
    <n v="29"/>
    <n v="0.35399999999999998"/>
    <n v="0.76300000000000001"/>
    <n v="294"/>
    <n v="32"/>
    <n v="107"/>
    <n v="81"/>
    <n v="29"/>
    <n v="23"/>
    <n v="34"/>
    <n v="2.38"/>
  </r>
  <r>
    <x v="1"/>
    <x v="0"/>
    <x v="15"/>
    <n v="152"/>
    <x v="11"/>
    <s v="pi/Sotiris"/>
    <n v="0"/>
    <n v="3"/>
    <n v="9"/>
    <n v="1"/>
    <x v="8"/>
    <s v="vs Ziogas/Christof"/>
    <n v="110"/>
    <n v="0.44"/>
    <n v="23"/>
    <n v="0.31900000000000001"/>
    <n v="0.81299999999999994"/>
    <n v="304"/>
    <n v="34"/>
    <n v="104"/>
    <n v="64"/>
    <n v="21"/>
    <n v="16"/>
    <n v="46"/>
    <n v="1.39"/>
  </r>
  <r>
    <x v="1"/>
    <x v="0"/>
    <x v="15"/>
    <n v="153"/>
    <x v="10"/>
    <s v="Lagios"/>
    <n v="0"/>
    <n v="4"/>
    <n v="9"/>
    <n v="0"/>
    <x v="7"/>
    <s v="vs Tassos"/>
    <n v="133"/>
    <n v="0.44900000000000001"/>
    <n v="32"/>
    <n v="0.28799999999999998"/>
    <n v="0.82799999999999996"/>
    <n v="346"/>
    <n v="26"/>
    <n v="99"/>
    <n v="85"/>
    <n v="32"/>
    <n v="21"/>
    <n v="41"/>
    <n v="2.0699999999999998"/>
  </r>
  <r>
    <x v="1"/>
    <x v="0"/>
    <x v="15"/>
    <n v="153"/>
    <x v="6"/>
    <s v="Tassos"/>
    <n v="1"/>
    <n v="9"/>
    <n v="4"/>
    <n v="0"/>
    <x v="11"/>
    <s v="vs Lagios"/>
    <n v="186"/>
    <n v="0.45100000000000001"/>
    <n v="52"/>
    <n v="0.34"/>
    <n v="0.76500000000000001"/>
    <n v="502"/>
    <n v="44"/>
    <n v="122"/>
    <n v="94"/>
    <n v="31"/>
    <n v="22"/>
    <n v="61"/>
    <n v="1.54"/>
  </r>
  <r>
    <x v="1"/>
    <x v="0"/>
    <x v="15"/>
    <n v="154"/>
    <x v="13"/>
    <s v="Kousidis"/>
    <n v="1"/>
    <n v="9"/>
    <n v="4"/>
    <n v="0"/>
    <x v="5"/>
    <s v="vs Mpousaras"/>
    <n v="149"/>
    <n v="0.45"/>
    <n v="45"/>
    <n v="0.36599999999999999"/>
    <n v="0.82299999999999995"/>
    <n v="408"/>
    <n v="40"/>
    <n v="105"/>
    <n v="90"/>
    <n v="25"/>
    <n v="13"/>
    <n v="45"/>
    <n v="2"/>
  </r>
  <r>
    <x v="1"/>
    <x v="0"/>
    <x v="15"/>
    <n v="154"/>
    <x v="4"/>
    <s v="Mpousaras"/>
    <n v="0"/>
    <n v="4"/>
    <n v="9"/>
    <n v="0"/>
    <x v="12"/>
    <s v="vs Kousidis"/>
    <n v="152"/>
    <n v="0.47499999999999998"/>
    <n v="52"/>
    <n v="0.40600000000000003"/>
    <n v="0.80400000000000005"/>
    <n v="393"/>
    <n v="26"/>
    <n v="97"/>
    <n v="88"/>
    <n v="24"/>
    <n v="8"/>
    <n v="54"/>
    <n v="1.63"/>
  </r>
  <r>
    <x v="1"/>
    <x v="0"/>
    <x v="15"/>
    <n v="155"/>
    <x v="3"/>
    <s v="Sakellariou"/>
    <n v="0"/>
    <n v="6"/>
    <n v="7"/>
    <n v="0"/>
    <x v="15"/>
    <s v="vs Panagopoulos"/>
    <n v="159"/>
    <n v="0.49099999999999999"/>
    <n v="32"/>
    <n v="0.34"/>
    <n v="0.81299999999999994"/>
    <n v="424"/>
    <n v="22"/>
    <n v="87"/>
    <n v="83"/>
    <n v="26"/>
    <n v="19"/>
    <n v="45"/>
    <n v="1.84"/>
  </r>
  <r>
    <x v="1"/>
    <x v="0"/>
    <x v="15"/>
    <n v="155"/>
    <x v="14"/>
    <s v="Panagopoulos"/>
    <n v="1"/>
    <n v="7"/>
    <n v="6"/>
    <n v="0"/>
    <x v="2"/>
    <s v="vs Sakellariou"/>
    <n v="143"/>
    <n v="0.47399999999999998"/>
    <n v="40"/>
    <n v="0.34200000000000003"/>
    <n v="0.88"/>
    <n v="392"/>
    <n v="37"/>
    <n v="119"/>
    <n v="79"/>
    <n v="23"/>
    <n v="14"/>
    <n v="40"/>
    <n v="1.98"/>
  </r>
  <r>
    <x v="1"/>
    <x v="0"/>
    <x v="15"/>
    <n v="156"/>
    <x v="0"/>
    <s v="Miggianis"/>
    <n v="0"/>
    <n v="3"/>
    <n v="10"/>
    <n v="0"/>
    <x v="18"/>
    <s v="vs Nonis"/>
    <n v="82"/>
    <n v="0.41799999999999998"/>
    <n v="23"/>
    <n v="0.30299999999999999"/>
    <n v="0.78300000000000003"/>
    <n v="234"/>
    <n v="17"/>
    <n v="76"/>
    <n v="51"/>
    <n v="25"/>
    <n v="11"/>
    <n v="30"/>
    <n v="1.7"/>
  </r>
  <r>
    <x v="1"/>
    <x v="0"/>
    <x v="15"/>
    <n v="156"/>
    <x v="19"/>
    <s v="Nonis"/>
    <n v="1"/>
    <n v="10"/>
    <n v="3"/>
    <n v="0"/>
    <x v="1"/>
    <s v="vs Miggianis"/>
    <n v="131"/>
    <n v="0.44400000000000001"/>
    <n v="48"/>
    <n v="0.35799999999999998"/>
    <n v="0.79400000000000004"/>
    <n v="360"/>
    <n v="24"/>
    <n v="83"/>
    <n v="81"/>
    <n v="11"/>
    <n v="10"/>
    <n v="42"/>
    <n v="1.93"/>
  </r>
  <r>
    <x v="1"/>
    <x v="0"/>
    <x v="15"/>
    <n v="157"/>
    <x v="18"/>
    <s v="Kotakis"/>
    <n v="1"/>
    <n v="10"/>
    <n v="3"/>
    <n v="0"/>
    <x v="3"/>
    <s v="vs Fountos"/>
    <n v="179"/>
    <n v="0.46100000000000002"/>
    <n v="40"/>
    <n v="0.313"/>
    <n v="0.81399999999999995"/>
    <n v="468"/>
    <n v="51"/>
    <n v="138"/>
    <n v="102"/>
    <n v="25"/>
    <n v="23"/>
    <n v="54"/>
    <n v="1.89"/>
  </r>
  <r>
    <x v="1"/>
    <x v="0"/>
    <x v="15"/>
    <n v="157"/>
    <x v="2"/>
    <s v="Fountos"/>
    <n v="0"/>
    <n v="3"/>
    <n v="10"/>
    <n v="0"/>
    <x v="19"/>
    <s v="vs Kotakis"/>
    <n v="130"/>
    <n v="0.44400000000000001"/>
    <n v="29"/>
    <n v="0.32600000000000001"/>
    <n v="0.82599999999999996"/>
    <n v="365"/>
    <n v="40"/>
    <n v="97"/>
    <n v="71"/>
    <n v="16"/>
    <n v="10"/>
    <n v="43"/>
    <n v="1.65"/>
  </r>
  <r>
    <x v="1"/>
    <x v="0"/>
    <x v="15"/>
    <n v="158"/>
    <x v="16"/>
    <s v="Aris"/>
    <n v="0"/>
    <n v="6"/>
    <n v="7"/>
    <n v="0"/>
    <x v="4"/>
    <s v="vs Markos"/>
    <n v="179"/>
    <n v="0.47699999999999998"/>
    <n v="43"/>
    <n v="0.36099999999999999"/>
    <n v="0.76600000000000001"/>
    <n v="450"/>
    <n v="33"/>
    <n v="145"/>
    <n v="122"/>
    <n v="37"/>
    <n v="9"/>
    <n v="52"/>
    <n v="2.35"/>
  </r>
  <r>
    <x v="1"/>
    <x v="0"/>
    <x v="15"/>
    <n v="158"/>
    <x v="5"/>
    <s v="Markos"/>
    <n v="1"/>
    <n v="7"/>
    <n v="6"/>
    <n v="0"/>
    <x v="17"/>
    <s v="vs Aris"/>
    <n v="173"/>
    <n v="0.442"/>
    <n v="49"/>
    <n v="0.33600000000000002"/>
    <n v="0.80600000000000005"/>
    <n v="470"/>
    <n v="50"/>
    <n v="166"/>
    <n v="134"/>
    <n v="31"/>
    <n v="23"/>
    <n v="69"/>
    <n v="1.94"/>
  </r>
  <r>
    <x v="1"/>
    <x v="0"/>
    <x v="15"/>
    <n v="159"/>
    <x v="7"/>
    <s v="Johnny"/>
    <n v="0"/>
    <n v="5"/>
    <n v="8"/>
    <n v="0"/>
    <x v="14"/>
    <s v="vs Vasilis"/>
    <n v="145"/>
    <n v="0.433"/>
    <n v="30"/>
    <n v="0.29099999999999998"/>
    <n v="0.75700000000000001"/>
    <n v="404"/>
    <n v="52"/>
    <n v="174"/>
    <n v="137"/>
    <n v="31"/>
    <n v="20"/>
    <n v="64"/>
    <n v="2.14"/>
  </r>
  <r>
    <x v="1"/>
    <x v="0"/>
    <x v="15"/>
    <n v="159"/>
    <x v="15"/>
    <s v="Vasilis"/>
    <n v="1"/>
    <n v="8"/>
    <n v="5"/>
    <n v="0"/>
    <x v="6"/>
    <s v="vs Johnny"/>
    <n v="190"/>
    <n v="0.50900000000000001"/>
    <n v="45"/>
    <n v="0.34399999999999997"/>
    <n v="0.8"/>
    <n v="493"/>
    <n v="32"/>
    <n v="134"/>
    <n v="91"/>
    <n v="24"/>
    <n v="22"/>
    <n v="45"/>
    <n v="2.02"/>
  </r>
  <r>
    <x v="1"/>
    <x v="0"/>
    <x v="15"/>
    <n v="160"/>
    <x v="12"/>
    <s v="Stavros"/>
    <n v="1"/>
    <n v="7"/>
    <n v="5"/>
    <n v="1"/>
    <x v="9"/>
    <s v="vs Antoniou"/>
    <n v="134"/>
    <n v="0.44700000000000001"/>
    <n v="51"/>
    <n v="0.32500000000000001"/>
    <n v="0.79"/>
    <n v="398"/>
    <n v="20"/>
    <n v="132"/>
    <n v="81"/>
    <n v="32"/>
    <n v="21"/>
    <n v="49"/>
    <n v="1.65"/>
  </r>
  <r>
    <x v="1"/>
    <x v="0"/>
    <x v="15"/>
    <n v="160"/>
    <x v="8"/>
    <s v="Antoniou"/>
    <n v="0"/>
    <n v="5"/>
    <n v="7"/>
    <n v="1"/>
    <x v="13"/>
    <s v="vs Stavros"/>
    <n v="134"/>
    <n v="0.52300000000000002"/>
    <n v="24"/>
    <n v="0.34799999999999998"/>
    <n v="0.63"/>
    <n v="326"/>
    <n v="25"/>
    <n v="89"/>
    <n v="68"/>
    <n v="20"/>
    <n v="14"/>
    <n v="39"/>
    <n v="1.74"/>
  </r>
  <r>
    <x v="1"/>
    <x v="0"/>
    <x v="16"/>
    <n v="161"/>
    <x v="14"/>
    <s v="Panagopoulos"/>
    <n v="0"/>
    <n v="3"/>
    <n v="10"/>
    <n v="0"/>
    <x v="0"/>
    <s v="vs Fanis"/>
    <n v="122"/>
    <n v="0.49"/>
    <n v="21"/>
    <n v="0.28799999999999998"/>
    <n v="0.83699999999999997"/>
    <n v="352"/>
    <n v="29"/>
    <n v="98"/>
    <n v="69"/>
    <n v="24"/>
    <n v="18"/>
    <n v="25"/>
    <n v="2.76"/>
  </r>
  <r>
    <x v="1"/>
    <x v="0"/>
    <x v="16"/>
    <n v="161"/>
    <x v="1"/>
    <s v="Fanis"/>
    <n v="1"/>
    <n v="10"/>
    <n v="3"/>
    <n v="0"/>
    <x v="15"/>
    <s v="vs Panagopoulos"/>
    <n v="173"/>
    <n v="0.52100000000000002"/>
    <n v="39"/>
    <n v="0.38200000000000001"/>
    <n v="0.79600000000000004"/>
    <n v="467"/>
    <n v="65"/>
    <n v="172"/>
    <n v="119"/>
    <n v="22"/>
    <n v="36"/>
    <n v="39"/>
    <n v="3.05"/>
  </r>
  <r>
    <x v="1"/>
    <x v="0"/>
    <x v="16"/>
    <n v="162"/>
    <x v="6"/>
    <s v="Tassos"/>
    <n v="0"/>
    <n v="6"/>
    <n v="6"/>
    <n v="1"/>
    <x v="10"/>
    <s v="vs pi/Sotiris"/>
    <n v="193"/>
    <n v="0.45300000000000001"/>
    <n v="56"/>
    <n v="0.373"/>
    <n v="0.82499999999999996"/>
    <n v="536"/>
    <n v="56"/>
    <n v="149"/>
    <n v="109"/>
    <n v="38"/>
    <n v="19"/>
    <n v="54"/>
    <n v="2.02"/>
  </r>
  <r>
    <x v="1"/>
    <x v="0"/>
    <x v="16"/>
    <n v="162"/>
    <x v="11"/>
    <s v="pi/Sotiris"/>
    <n v="0"/>
    <n v="6"/>
    <n v="6"/>
    <n v="1"/>
    <x v="7"/>
    <s v="vs Tassos"/>
    <n v="207"/>
    <n v="0.5"/>
    <n v="46"/>
    <n v="0.374"/>
    <n v="0.752"/>
    <n v="536"/>
    <n v="49"/>
    <n v="179"/>
    <n v="99"/>
    <n v="22"/>
    <n v="13"/>
    <n v="47"/>
    <n v="2.11"/>
  </r>
  <r>
    <x v="1"/>
    <x v="0"/>
    <x v="16"/>
    <n v="163"/>
    <x v="4"/>
    <s v="Mpousaras"/>
    <n v="1"/>
    <n v="7"/>
    <n v="6"/>
    <n v="0"/>
    <x v="11"/>
    <s v="vs Lagios"/>
    <n v="164"/>
    <n v="0.44800000000000001"/>
    <n v="53"/>
    <n v="0.35299999999999998"/>
    <n v="0.755"/>
    <n v="461"/>
    <n v="25"/>
    <n v="88"/>
    <n v="106"/>
    <n v="32"/>
    <n v="9"/>
    <n v="52"/>
    <n v="2.04"/>
  </r>
  <r>
    <x v="1"/>
    <x v="0"/>
    <x v="16"/>
    <n v="163"/>
    <x v="10"/>
    <s v="Lagios"/>
    <n v="0"/>
    <n v="6"/>
    <n v="7"/>
    <n v="0"/>
    <x v="5"/>
    <s v="vs Mpousaras"/>
    <n v="138"/>
    <n v="0.48599999999999999"/>
    <n v="32"/>
    <n v="0.39500000000000002"/>
    <n v="0.73199999999999998"/>
    <n v="349"/>
    <n v="34"/>
    <n v="106"/>
    <n v="88"/>
    <n v="15"/>
    <n v="16"/>
    <n v="49"/>
    <n v="1.8"/>
  </r>
  <r>
    <x v="1"/>
    <x v="0"/>
    <x v="16"/>
    <n v="164"/>
    <x v="13"/>
    <s v="Kousidis"/>
    <n v="1"/>
    <n v="7"/>
    <n v="6"/>
    <n v="0"/>
    <x v="2"/>
    <s v="vs Sakellariou"/>
    <n v="136"/>
    <n v="0.5"/>
    <n v="26"/>
    <n v="0.38800000000000001"/>
    <n v="0.81299999999999994"/>
    <n v="359"/>
    <n v="28"/>
    <n v="109"/>
    <n v="68"/>
    <n v="18"/>
    <n v="16"/>
    <n v="52"/>
    <n v="1.31"/>
  </r>
  <r>
    <x v="1"/>
    <x v="0"/>
    <x v="16"/>
    <n v="164"/>
    <x v="3"/>
    <s v="Sakellariou"/>
    <n v="0"/>
    <n v="6"/>
    <n v="7"/>
    <n v="0"/>
    <x v="12"/>
    <s v="vs Kousidis"/>
    <n v="151"/>
    <n v="0.45200000000000001"/>
    <n v="44"/>
    <n v="0.38300000000000001"/>
    <n v="0.8"/>
    <n v="422"/>
    <n v="26"/>
    <n v="71"/>
    <n v="86"/>
    <n v="16"/>
    <n v="10"/>
    <n v="42"/>
    <n v="2.0499999999999998"/>
  </r>
  <r>
    <x v="1"/>
    <x v="0"/>
    <x v="16"/>
    <n v="165"/>
    <x v="17"/>
    <s v="Spiridaus/Oladipas"/>
    <n v="1"/>
    <n v="10"/>
    <n v="3"/>
    <n v="0"/>
    <x v="1"/>
    <s v="vs Miggianis"/>
    <n v="158"/>
    <n v="0.48499999999999999"/>
    <n v="52"/>
    <n v="0.39100000000000001"/>
    <n v="0.71399999999999997"/>
    <n v="408"/>
    <n v="36"/>
    <n v="121"/>
    <n v="79"/>
    <n v="40"/>
    <n v="25"/>
    <n v="45"/>
    <n v="1.76"/>
  </r>
  <r>
    <x v="1"/>
    <x v="0"/>
    <x v="16"/>
    <n v="165"/>
    <x v="0"/>
    <s v="Miggianis"/>
    <n v="0"/>
    <n v="3"/>
    <n v="10"/>
    <n v="0"/>
    <x v="16"/>
    <s v="vs Spiridaus/Oladipas"/>
    <n v="124"/>
    <n v="0.45100000000000001"/>
    <n v="27"/>
    <n v="0.307"/>
    <n v="0.73799999999999999"/>
    <n v="323"/>
    <n v="24"/>
    <n v="96"/>
    <n v="72"/>
    <n v="27"/>
    <n v="12"/>
    <n v="37"/>
    <n v="1.95"/>
  </r>
  <r>
    <x v="1"/>
    <x v="0"/>
    <x v="16"/>
    <n v="166"/>
    <x v="19"/>
    <s v="Nonis"/>
    <n v="1"/>
    <n v="7"/>
    <n v="6"/>
    <n v="0"/>
    <x v="3"/>
    <s v="vs Fountos"/>
    <n v="138"/>
    <n v="0.39700000000000002"/>
    <n v="41"/>
    <n v="0.311"/>
    <n v="0.64600000000000002"/>
    <n v="381"/>
    <n v="40"/>
    <n v="121"/>
    <n v="108"/>
    <n v="21"/>
    <n v="17"/>
    <n v="60"/>
    <n v="1.8"/>
  </r>
  <r>
    <x v="1"/>
    <x v="0"/>
    <x v="16"/>
    <n v="166"/>
    <x v="2"/>
    <s v="Fountos"/>
    <n v="0"/>
    <n v="6"/>
    <n v="7"/>
    <n v="0"/>
    <x v="18"/>
    <s v="vs Nonis"/>
    <n v="125"/>
    <n v="0.443"/>
    <n v="42"/>
    <n v="0.40799999999999997"/>
    <n v="0.69099999999999995"/>
    <n v="330"/>
    <n v="18"/>
    <n v="88"/>
    <n v="85"/>
    <n v="19"/>
    <n v="12"/>
    <n v="34"/>
    <n v="2.5"/>
  </r>
  <r>
    <x v="1"/>
    <x v="0"/>
    <x v="16"/>
    <n v="167"/>
    <x v="18"/>
    <s v="Kotakis"/>
    <n v="0"/>
    <n v="3"/>
    <n v="9"/>
    <n v="1"/>
    <x v="4"/>
    <s v="vs Markos"/>
    <n v="144"/>
    <n v="0.439"/>
    <n v="36"/>
    <n v="0.316"/>
    <n v="0.78500000000000003"/>
    <n v="386"/>
    <n v="45"/>
    <n v="129"/>
    <n v="76"/>
    <n v="29"/>
    <n v="19"/>
    <n v="43"/>
    <n v="1.77"/>
  </r>
  <r>
    <x v="1"/>
    <x v="0"/>
    <x v="16"/>
    <n v="167"/>
    <x v="5"/>
    <s v="Markos"/>
    <n v="1"/>
    <n v="9"/>
    <n v="3"/>
    <n v="1"/>
    <x v="19"/>
    <s v="vs Kotakis"/>
    <n v="162"/>
    <n v="0.50800000000000001"/>
    <n v="47"/>
    <n v="0.39200000000000002"/>
    <n v="0.80900000000000005"/>
    <n v="447"/>
    <n v="29"/>
    <n v="132"/>
    <n v="92"/>
    <n v="18"/>
    <n v="19"/>
    <n v="47"/>
    <n v="1.96"/>
  </r>
  <r>
    <x v="1"/>
    <x v="0"/>
    <x v="16"/>
    <n v="168"/>
    <x v="7"/>
    <s v="Johnny"/>
    <n v="1"/>
    <n v="9"/>
    <n v="4"/>
    <n v="0"/>
    <x v="17"/>
    <s v="vs Aris"/>
    <n v="210"/>
    <n v="0.52200000000000002"/>
    <n v="49"/>
    <n v="0.42199999999999999"/>
    <n v="0.75600000000000001"/>
    <n v="562"/>
    <n v="36"/>
    <n v="192"/>
    <n v="145"/>
    <n v="44"/>
    <n v="12"/>
    <n v="77"/>
    <n v="1.88"/>
  </r>
  <r>
    <x v="1"/>
    <x v="0"/>
    <x v="16"/>
    <n v="168"/>
    <x v="16"/>
    <s v="Aris"/>
    <n v="0"/>
    <n v="4"/>
    <n v="9"/>
    <n v="0"/>
    <x v="6"/>
    <s v="vs Johnny"/>
    <n v="141"/>
    <n v="0.505"/>
    <n v="36"/>
    <n v="0.38300000000000001"/>
    <n v="0.80500000000000005"/>
    <n v="380"/>
    <n v="33"/>
    <n v="113"/>
    <n v="98"/>
    <n v="24"/>
    <n v="16"/>
    <n v="49"/>
    <n v="2"/>
  </r>
  <r>
    <x v="1"/>
    <x v="0"/>
    <x v="16"/>
    <n v="169"/>
    <x v="15"/>
    <s v="Vasilis"/>
    <n v="1"/>
    <n v="9"/>
    <n v="4"/>
    <n v="0"/>
    <x v="9"/>
    <s v="vs Antoniou"/>
    <n v="211"/>
    <n v="0.5"/>
    <n v="42"/>
    <n v="0.33900000000000002"/>
    <n v="0.84099999999999997"/>
    <n v="538"/>
    <n v="46"/>
    <n v="134"/>
    <n v="112"/>
    <n v="39"/>
    <n v="19"/>
    <n v="72"/>
    <n v="1.56"/>
  </r>
  <r>
    <x v="1"/>
    <x v="0"/>
    <x v="16"/>
    <n v="169"/>
    <x v="8"/>
    <s v="Antoniou"/>
    <n v="0"/>
    <n v="4"/>
    <n v="9"/>
    <n v="0"/>
    <x v="14"/>
    <s v="vs Vasilis"/>
    <n v="124"/>
    <n v="0.502"/>
    <n v="28"/>
    <n v="0.35399999999999998"/>
    <n v="0.80600000000000005"/>
    <n v="330"/>
    <n v="40"/>
    <n v="89"/>
    <n v="82"/>
    <n v="22"/>
    <n v="14"/>
    <n v="43"/>
    <n v="1.91"/>
  </r>
  <r>
    <x v="1"/>
    <x v="0"/>
    <x v="16"/>
    <n v="170"/>
    <x v="9"/>
    <s v="Ziogas/Christof"/>
    <n v="1"/>
    <n v="7"/>
    <n v="6"/>
    <n v="0"/>
    <x v="13"/>
    <s v="vs Stavros"/>
    <n v="194"/>
    <n v="0.52700000000000002"/>
    <n v="45"/>
    <n v="0.378"/>
    <n v="0.74099999999999999"/>
    <n v="519"/>
    <n v="46"/>
    <n v="163"/>
    <n v="156"/>
    <n v="32"/>
    <n v="23"/>
    <n v="64"/>
    <n v="2.44"/>
  </r>
  <r>
    <x v="1"/>
    <x v="0"/>
    <x v="16"/>
    <n v="170"/>
    <x v="12"/>
    <s v="Stavros"/>
    <n v="0"/>
    <n v="6"/>
    <n v="7"/>
    <n v="0"/>
    <x v="8"/>
    <s v="vs Ziogas/Christof"/>
    <n v="186"/>
    <n v="0.503"/>
    <n v="70"/>
    <n v="0.41399999999999998"/>
    <n v="0.84899999999999998"/>
    <n v="521"/>
    <n v="44"/>
    <n v="102"/>
    <n v="96"/>
    <n v="31"/>
    <n v="26"/>
    <n v="53"/>
    <n v="1.81"/>
  </r>
  <r>
    <x v="1"/>
    <x v="0"/>
    <x v="17"/>
    <n v="171"/>
    <x v="1"/>
    <s v="Fanis"/>
    <n v="1"/>
    <n v="12"/>
    <n v="1"/>
    <n v="0"/>
    <x v="12"/>
    <s v="vs Kousidis"/>
    <n v="205"/>
    <n v="0.496"/>
    <n v="64"/>
    <n v="0.42099999999999999"/>
    <n v="0.78900000000000003"/>
    <n v="575"/>
    <n v="71"/>
    <n v="236"/>
    <n v="107"/>
    <n v="45"/>
    <n v="35"/>
    <n v="58"/>
    <n v="1.84"/>
  </r>
  <r>
    <x v="1"/>
    <x v="0"/>
    <x v="17"/>
    <n v="171"/>
    <x v="13"/>
    <s v="Kousidis"/>
    <n v="0"/>
    <n v="1"/>
    <n v="12"/>
    <n v="0"/>
    <x v="0"/>
    <s v="vs Fanis"/>
    <n v="104"/>
    <n v="0.432"/>
    <n v="19"/>
    <n v="0.34499999999999997"/>
    <n v="0.78"/>
    <n v="291"/>
    <n v="27"/>
    <n v="108"/>
    <n v="68"/>
    <n v="18"/>
    <n v="13"/>
    <n v="39"/>
    <n v="1.74"/>
  </r>
  <r>
    <x v="1"/>
    <x v="0"/>
    <x v="17"/>
    <n v="172"/>
    <x v="4"/>
    <s v="Mpousaras"/>
    <n v="0"/>
    <n v="5"/>
    <n v="8"/>
    <n v="0"/>
    <x v="10"/>
    <s v="vs pi/Sotiris"/>
    <n v="158"/>
    <n v="0.45"/>
    <n v="51"/>
    <n v="0.36199999999999999"/>
    <n v="0.747"/>
    <n v="435"/>
    <n v="24"/>
    <n v="106"/>
    <n v="118"/>
    <n v="32"/>
    <n v="14"/>
    <n v="63"/>
    <n v="1.87"/>
  </r>
  <r>
    <x v="1"/>
    <x v="0"/>
    <x v="17"/>
    <n v="172"/>
    <x v="11"/>
    <s v="pi/Sotiris"/>
    <n v="1"/>
    <n v="8"/>
    <n v="5"/>
    <n v="0"/>
    <x v="5"/>
    <s v="vs Mpousaras"/>
    <n v="229"/>
    <n v="0.46500000000000002"/>
    <n v="50"/>
    <n v="0.35499999999999998"/>
    <n v="0.80500000000000005"/>
    <n v="599"/>
    <n v="50"/>
    <n v="170"/>
    <n v="126"/>
    <n v="29"/>
    <n v="23"/>
    <n v="75"/>
    <n v="1.68"/>
  </r>
  <r>
    <x v="1"/>
    <x v="0"/>
    <x v="17"/>
    <n v="173"/>
    <x v="10"/>
    <s v="Lagios"/>
    <n v="1"/>
    <n v="9"/>
    <n v="3"/>
    <n v="1"/>
    <x v="2"/>
    <s v="vs Sakellariou"/>
    <n v="203"/>
    <n v="0.48899999999999999"/>
    <n v="58"/>
    <n v="0.40600000000000003"/>
    <n v="0.748"/>
    <n v="562"/>
    <n v="44"/>
    <n v="185"/>
    <n v="118"/>
    <n v="38"/>
    <n v="22"/>
    <n v="65"/>
    <n v="1.82"/>
  </r>
  <r>
    <x v="1"/>
    <x v="0"/>
    <x v="17"/>
    <n v="173"/>
    <x v="3"/>
    <s v="Sakellariou"/>
    <n v="0"/>
    <n v="3"/>
    <n v="9"/>
    <n v="1"/>
    <x v="11"/>
    <s v="vs Lagios"/>
    <n v="207"/>
    <n v="0.47199999999999998"/>
    <n v="41"/>
    <n v="0.313"/>
    <n v="0.85599999999999998"/>
    <n v="586"/>
    <n v="25"/>
    <n v="100"/>
    <n v="110"/>
    <n v="23"/>
    <n v="17"/>
    <n v="65"/>
    <n v="1.69"/>
  </r>
  <r>
    <x v="1"/>
    <x v="0"/>
    <x v="17"/>
    <n v="174"/>
    <x v="14"/>
    <s v="Panagopoulos"/>
    <n v="1"/>
    <n v="8"/>
    <n v="4"/>
    <n v="1"/>
    <x v="1"/>
    <s v="vs Miggianis"/>
    <n v="158"/>
    <n v="0.45700000000000002"/>
    <n v="50"/>
    <n v="0.42699999999999999"/>
    <n v="0.77500000000000002"/>
    <n v="452"/>
    <n v="37"/>
    <n v="154"/>
    <n v="86"/>
    <n v="25"/>
    <n v="22"/>
    <n v="48"/>
    <n v="1.79"/>
  </r>
  <r>
    <x v="1"/>
    <x v="0"/>
    <x v="17"/>
    <n v="174"/>
    <x v="0"/>
    <s v="Miggianis"/>
    <n v="0"/>
    <n v="4"/>
    <n v="8"/>
    <n v="1"/>
    <x v="15"/>
    <s v="vs Panagopoulos"/>
    <n v="145"/>
    <n v="0.45200000000000001"/>
    <n v="21"/>
    <n v="0.253"/>
    <n v="0.91300000000000003"/>
    <n v="374"/>
    <n v="47"/>
    <n v="98"/>
    <n v="77"/>
    <n v="25"/>
    <n v="16"/>
    <n v="34"/>
    <n v="2.2599999999999998"/>
  </r>
  <r>
    <x v="1"/>
    <x v="0"/>
    <x v="17"/>
    <n v="175"/>
    <x v="17"/>
    <s v="Spiridaus/Oladipas"/>
    <n v="1"/>
    <n v="9"/>
    <n v="4"/>
    <n v="0"/>
    <x v="3"/>
    <s v="vs Fountos"/>
    <n v="141"/>
    <n v="0.435"/>
    <n v="42"/>
    <n v="0.33300000000000002"/>
    <n v="0.88100000000000001"/>
    <n v="398"/>
    <n v="44"/>
    <n v="137"/>
    <n v="88"/>
    <n v="43"/>
    <n v="35"/>
    <n v="44"/>
    <n v="1.96"/>
  </r>
  <r>
    <x v="1"/>
    <x v="0"/>
    <x v="17"/>
    <n v="175"/>
    <x v="2"/>
    <s v="Fountos"/>
    <n v="0"/>
    <n v="4"/>
    <n v="9"/>
    <n v="0"/>
    <x v="16"/>
    <s v="vs Spiridaus/Oladipas"/>
    <n v="166"/>
    <n v="0.41599999999999998"/>
    <n v="71"/>
    <n v="0.38400000000000001"/>
    <n v="0.76800000000000002"/>
    <n v="466"/>
    <n v="25"/>
    <n v="109"/>
    <n v="84"/>
    <n v="40"/>
    <n v="13"/>
    <n v="45"/>
    <n v="1.87"/>
  </r>
  <r>
    <x v="1"/>
    <x v="0"/>
    <x v="17"/>
    <n v="176"/>
    <x v="5"/>
    <s v="Markos"/>
    <n v="1"/>
    <n v="10"/>
    <n v="3"/>
    <n v="0"/>
    <x v="18"/>
    <s v="vs Nonis"/>
    <n v="184"/>
    <n v="0.443"/>
    <n v="57"/>
    <n v="0.34799999999999998"/>
    <n v="0.77200000000000002"/>
    <n v="503"/>
    <n v="48"/>
    <n v="182"/>
    <n v="125"/>
    <n v="30"/>
    <n v="14"/>
    <n v="54"/>
    <n v="2.31"/>
  </r>
  <r>
    <x v="1"/>
    <x v="0"/>
    <x v="17"/>
    <n v="176"/>
    <x v="19"/>
    <s v="Nonis"/>
    <n v="0"/>
    <n v="3"/>
    <n v="10"/>
    <n v="0"/>
    <x v="4"/>
    <s v="vs Markos"/>
    <n v="128"/>
    <n v="0.45600000000000002"/>
    <n v="53"/>
    <n v="0.434"/>
    <n v="0.77900000000000003"/>
    <n v="376"/>
    <n v="19"/>
    <n v="93"/>
    <n v="99"/>
    <n v="17"/>
    <n v="8"/>
    <n v="59"/>
    <n v="1.68"/>
  </r>
  <r>
    <x v="1"/>
    <x v="0"/>
    <x v="17"/>
    <n v="177"/>
    <x v="7"/>
    <s v="Johnny"/>
    <n v="0"/>
    <n v="5"/>
    <n v="7"/>
    <n v="1"/>
    <x v="19"/>
    <s v="vs Kotakis"/>
    <n v="217"/>
    <n v="0.45600000000000002"/>
    <n v="58"/>
    <n v="0.372"/>
    <n v="0.78700000000000003"/>
    <n v="614"/>
    <n v="54"/>
    <n v="228"/>
    <n v="134"/>
    <n v="38"/>
    <n v="21"/>
    <n v="88"/>
    <n v="1.52"/>
  </r>
  <r>
    <x v="1"/>
    <x v="0"/>
    <x v="17"/>
    <n v="177"/>
    <x v="18"/>
    <s v="Kotakis"/>
    <n v="1"/>
    <n v="7"/>
    <n v="5"/>
    <n v="1"/>
    <x v="6"/>
    <s v="vs Johnny"/>
    <n v="217"/>
    <n v="0.47499999999999998"/>
    <n v="59"/>
    <n v="0.38300000000000001"/>
    <n v="0.84499999999999997"/>
    <n v="580"/>
    <n v="71"/>
    <n v="180"/>
    <n v="127"/>
    <n v="33"/>
    <n v="12"/>
    <n v="43"/>
    <n v="2.95"/>
  </r>
  <r>
    <x v="1"/>
    <x v="0"/>
    <x v="17"/>
    <n v="178"/>
    <x v="16"/>
    <s v="Aris"/>
    <n v="1"/>
    <n v="8"/>
    <n v="5"/>
    <n v="0"/>
    <x v="9"/>
    <s v="vs Antoniou"/>
    <n v="186"/>
    <n v="0.47199999999999998"/>
    <n v="43"/>
    <n v="0.32800000000000001"/>
    <n v="0.77600000000000002"/>
    <n v="519"/>
    <n v="43"/>
    <n v="118"/>
    <n v="98"/>
    <n v="29"/>
    <n v="31"/>
    <n v="71"/>
    <n v="1.38"/>
  </r>
  <r>
    <x v="1"/>
    <x v="0"/>
    <x v="17"/>
    <n v="178"/>
    <x v="8"/>
    <s v="Antoniou"/>
    <n v="0"/>
    <n v="5"/>
    <n v="8"/>
    <n v="0"/>
    <x v="17"/>
    <s v="vs Aris"/>
    <n v="140"/>
    <n v="0.48599999999999999"/>
    <n v="32"/>
    <n v="0.39"/>
    <n v="0.77900000000000003"/>
    <n v="372"/>
    <n v="34"/>
    <n v="101"/>
    <n v="80"/>
    <n v="11"/>
    <n v="10"/>
    <n v="48"/>
    <n v="1.67"/>
  </r>
  <r>
    <x v="1"/>
    <x v="0"/>
    <x v="17"/>
    <n v="179"/>
    <x v="15"/>
    <s v="Vasilis"/>
    <n v="1"/>
    <n v="9"/>
    <n v="4"/>
    <n v="0"/>
    <x v="8"/>
    <s v="vs Ziogas/Christof"/>
    <n v="232"/>
    <n v="0.5"/>
    <n v="66"/>
    <n v="0.35899999999999999"/>
    <n v="0.77500000000000002"/>
    <n v="664"/>
    <n v="44"/>
    <n v="192"/>
    <n v="142"/>
    <n v="31"/>
    <n v="36"/>
    <n v="62"/>
    <n v="2.29"/>
  </r>
  <r>
    <x v="1"/>
    <x v="0"/>
    <x v="17"/>
    <n v="179"/>
    <x v="9"/>
    <s v="Ziogas/Christof"/>
    <n v="0"/>
    <n v="4"/>
    <n v="9"/>
    <n v="0"/>
    <x v="14"/>
    <s v="vs Vasilis"/>
    <n v="186"/>
    <n v="0.505"/>
    <n v="48"/>
    <n v="0.36599999999999999"/>
    <n v="0.76700000000000002"/>
    <n v="535"/>
    <n v="61"/>
    <n v="181"/>
    <n v="148"/>
    <n v="27"/>
    <n v="33"/>
    <n v="79"/>
    <n v="1.87"/>
  </r>
  <r>
    <x v="1"/>
    <x v="0"/>
    <x v="17"/>
    <n v="180"/>
    <x v="12"/>
    <s v="Stavros"/>
    <n v="0"/>
    <n v="5"/>
    <n v="8"/>
    <n v="0"/>
    <x v="7"/>
    <s v="vs Tassos"/>
    <n v="209"/>
    <n v="0.442"/>
    <n v="71"/>
    <n v="0.33200000000000002"/>
    <n v="0.81100000000000005"/>
    <n v="609"/>
    <n v="59"/>
    <n v="197"/>
    <n v="108"/>
    <n v="38"/>
    <n v="27"/>
    <n v="67"/>
    <n v="1.61"/>
  </r>
  <r>
    <x v="1"/>
    <x v="0"/>
    <x v="17"/>
    <n v="180"/>
    <x v="6"/>
    <s v="Tassos"/>
    <n v="1"/>
    <n v="8"/>
    <n v="5"/>
    <n v="0"/>
    <x v="13"/>
    <s v="vs Stavros"/>
    <n v="235"/>
    <n v="0.45600000000000002"/>
    <n v="67"/>
    <n v="0.34499999999999997"/>
    <n v="0.79800000000000004"/>
    <n v="624"/>
    <n v="53"/>
    <n v="187"/>
    <n v="139"/>
    <n v="33"/>
    <n v="29"/>
    <n v="65"/>
    <n v="2.14"/>
  </r>
  <r>
    <x v="1"/>
    <x v="0"/>
    <x v="18"/>
    <n v="181"/>
    <x v="1"/>
    <s v="Fanis"/>
    <n v="1"/>
    <n v="9"/>
    <n v="4"/>
    <n v="0"/>
    <x v="11"/>
    <s v="vs Lagios"/>
    <n v="195"/>
    <n v="0.47599999999999998"/>
    <n v="47"/>
    <n v="0.35099999999999998"/>
    <n v="0.81200000000000006"/>
    <n v="545"/>
    <n v="69"/>
    <n v="184"/>
    <n v="133"/>
    <n v="44"/>
    <n v="23"/>
    <n v="63"/>
    <n v="2.11"/>
  </r>
  <r>
    <x v="1"/>
    <x v="0"/>
    <x v="18"/>
    <n v="181"/>
    <x v="10"/>
    <s v="Lagios"/>
    <n v="0"/>
    <n v="4"/>
    <n v="9"/>
    <n v="0"/>
    <x v="0"/>
    <s v="vs Fanis"/>
    <n v="165"/>
    <n v="0.45"/>
    <n v="53"/>
    <n v="0.38400000000000001"/>
    <n v="0.78200000000000003"/>
    <n v="469"/>
    <n v="40"/>
    <n v="156"/>
    <n v="104"/>
    <n v="29"/>
    <n v="25"/>
    <n v="57"/>
    <n v="1.82"/>
  </r>
  <r>
    <x v="1"/>
    <x v="0"/>
    <x v="18"/>
    <n v="182"/>
    <x v="3"/>
    <s v="Sakellariou"/>
    <n v="1"/>
    <n v="7"/>
    <n v="6"/>
    <n v="0"/>
    <x v="10"/>
    <s v="vs pi/Sotiris"/>
    <n v="228"/>
    <n v="0.49399999999999999"/>
    <n v="46"/>
    <n v="0.33100000000000002"/>
    <n v="0.82899999999999996"/>
    <n v="618"/>
    <n v="42"/>
    <n v="133"/>
    <n v="78"/>
    <n v="31"/>
    <n v="12"/>
    <n v="53"/>
    <n v="1.47"/>
  </r>
  <r>
    <x v="1"/>
    <x v="0"/>
    <x v="18"/>
    <n v="182"/>
    <x v="11"/>
    <s v="pi/Sotiris"/>
    <n v="0"/>
    <n v="6"/>
    <n v="7"/>
    <n v="0"/>
    <x v="2"/>
    <s v="vs Sakellariou"/>
    <n v="178"/>
    <n v="0.45200000000000001"/>
    <n v="41"/>
    <n v="0.32500000000000001"/>
    <n v="0.78900000000000003"/>
    <n v="472"/>
    <n v="44"/>
    <n v="139"/>
    <n v="97"/>
    <n v="30"/>
    <n v="14"/>
    <n v="52"/>
    <n v="1.87"/>
  </r>
  <r>
    <x v="1"/>
    <x v="0"/>
    <x v="18"/>
    <n v="183"/>
    <x v="13"/>
    <s v="Kousidis"/>
    <n v="0"/>
    <n v="5"/>
    <n v="8"/>
    <n v="0"/>
    <x v="1"/>
    <s v="vs Miggianis"/>
    <n v="148"/>
    <n v="0.46100000000000002"/>
    <n v="17"/>
    <n v="0.28799999999999998"/>
    <n v="0.7"/>
    <n v="369"/>
    <n v="51"/>
    <n v="164"/>
    <n v="114"/>
    <n v="23"/>
    <n v="14"/>
    <n v="58"/>
    <n v="1.97"/>
  </r>
  <r>
    <x v="1"/>
    <x v="0"/>
    <x v="18"/>
    <n v="183"/>
    <x v="0"/>
    <s v="Miggianis"/>
    <n v="1"/>
    <n v="8"/>
    <n v="5"/>
    <n v="0"/>
    <x v="12"/>
    <s v="vs Kousidis"/>
    <n v="156"/>
    <n v="0.48099999999999998"/>
    <n v="52"/>
    <n v="0.42299999999999999"/>
    <n v="0.70199999999999996"/>
    <n v="423"/>
    <n v="38"/>
    <n v="129"/>
    <n v="66"/>
    <n v="14"/>
    <n v="21"/>
    <n v="37"/>
    <n v="1.78"/>
  </r>
  <r>
    <x v="1"/>
    <x v="0"/>
    <x v="18"/>
    <n v="184"/>
    <x v="2"/>
    <s v="Fountos"/>
    <n v="1"/>
    <n v="10"/>
    <n v="3"/>
    <n v="0"/>
    <x v="15"/>
    <s v="vs Panagopoulos"/>
    <n v="155"/>
    <n v="0.41799999999999998"/>
    <n v="50"/>
    <n v="0.33800000000000002"/>
    <n v="0.77200000000000002"/>
    <n v="431"/>
    <n v="29"/>
    <n v="107"/>
    <n v="78"/>
    <n v="25"/>
    <n v="10"/>
    <n v="44"/>
    <n v="1.77"/>
  </r>
  <r>
    <x v="1"/>
    <x v="0"/>
    <x v="18"/>
    <n v="184"/>
    <x v="14"/>
    <s v="Panagopoulos"/>
    <n v="0"/>
    <n v="3"/>
    <n v="10"/>
    <n v="0"/>
    <x v="3"/>
    <s v="vs Fountos"/>
    <n v="141"/>
    <n v="0.40200000000000002"/>
    <n v="36"/>
    <n v="0.28999999999999998"/>
    <n v="0.73399999999999999"/>
    <n v="387"/>
    <n v="43"/>
    <n v="111"/>
    <n v="75"/>
    <n v="24"/>
    <n v="20"/>
    <n v="54"/>
    <n v="1.39"/>
  </r>
  <r>
    <x v="1"/>
    <x v="0"/>
    <x v="18"/>
    <n v="185"/>
    <x v="17"/>
    <s v="Spiridaus/Oladipas"/>
    <n v="1"/>
    <n v="9"/>
    <n v="4"/>
    <n v="0"/>
    <x v="4"/>
    <s v="vs Markos"/>
    <n v="185"/>
    <n v="0.49199999999999999"/>
    <n v="61"/>
    <n v="0.40100000000000002"/>
    <n v="0.71599999999999997"/>
    <n v="484"/>
    <n v="51"/>
    <n v="165"/>
    <n v="107"/>
    <n v="40"/>
    <n v="39"/>
    <n v="49"/>
    <n v="2.1800000000000002"/>
  </r>
  <r>
    <x v="1"/>
    <x v="0"/>
    <x v="18"/>
    <n v="185"/>
    <x v="5"/>
    <s v="Markos"/>
    <n v="0"/>
    <n v="4"/>
    <n v="9"/>
    <n v="0"/>
    <x v="16"/>
    <s v="vs Spiridaus/Oladipas"/>
    <n v="148"/>
    <n v="0.46"/>
    <n v="53"/>
    <n v="0.42699999999999999"/>
    <n v="0.71899999999999997"/>
    <n v="395"/>
    <n v="40"/>
    <n v="114"/>
    <n v="97"/>
    <n v="27"/>
    <n v="18"/>
    <n v="44"/>
    <n v="2.2000000000000002"/>
  </r>
  <r>
    <x v="1"/>
    <x v="0"/>
    <x v="18"/>
    <n v="186"/>
    <x v="7"/>
    <s v="Johnny"/>
    <n v="1"/>
    <n v="8"/>
    <n v="5"/>
    <n v="0"/>
    <x v="18"/>
    <s v="vs Nonis"/>
    <n v="182"/>
    <n v="0.42799999999999999"/>
    <n v="43"/>
    <n v="0.30099999999999999"/>
    <n v="0.745"/>
    <n v="515"/>
    <n v="44"/>
    <n v="187"/>
    <n v="136"/>
    <n v="31"/>
    <n v="19"/>
    <n v="68"/>
    <n v="2"/>
  </r>
  <r>
    <x v="1"/>
    <x v="0"/>
    <x v="18"/>
    <n v="186"/>
    <x v="19"/>
    <s v="Nonis"/>
    <n v="0"/>
    <n v="5"/>
    <n v="8"/>
    <n v="0"/>
    <x v="6"/>
    <s v="vs Johnny"/>
    <n v="165"/>
    <n v="0.48399999999999999"/>
    <n v="58"/>
    <n v="0.40300000000000002"/>
    <n v="0.79800000000000004"/>
    <n v="491"/>
    <n v="34"/>
    <n v="107"/>
    <n v="101"/>
    <n v="16"/>
    <n v="16"/>
    <n v="63"/>
    <n v="1.6"/>
  </r>
  <r>
    <x v="1"/>
    <x v="0"/>
    <x v="18"/>
    <n v="187"/>
    <x v="18"/>
    <s v="Kotakis"/>
    <n v="0"/>
    <n v="6"/>
    <n v="7"/>
    <n v="0"/>
    <x v="9"/>
    <s v="vs Antoniou"/>
    <n v="170"/>
    <n v="0.47899999999999998"/>
    <n v="55"/>
    <n v="0.38700000000000001"/>
    <n v="0.77800000000000002"/>
    <n v="486"/>
    <n v="39"/>
    <n v="153"/>
    <n v="106"/>
    <n v="31"/>
    <n v="23"/>
    <n v="48"/>
    <n v="2.21"/>
  </r>
  <r>
    <x v="1"/>
    <x v="0"/>
    <x v="18"/>
    <n v="187"/>
    <x v="8"/>
    <s v="Antoniou"/>
    <n v="1"/>
    <n v="7"/>
    <n v="6"/>
    <n v="0"/>
    <x v="19"/>
    <s v="vs Kotakis"/>
    <n v="206"/>
    <n v="0.53200000000000003"/>
    <n v="50"/>
    <n v="0.442"/>
    <n v="0.79"/>
    <n v="545"/>
    <n v="48"/>
    <n v="177"/>
    <n v="95"/>
    <n v="25"/>
    <n v="19"/>
    <n v="53"/>
    <n v="1.79"/>
  </r>
  <r>
    <x v="1"/>
    <x v="0"/>
    <x v="18"/>
    <n v="188"/>
    <x v="16"/>
    <s v="Aris"/>
    <n v="0"/>
    <n v="3"/>
    <n v="10"/>
    <n v="0"/>
    <x v="8"/>
    <s v="vs Ziogas/Christof"/>
    <n v="176"/>
    <n v="0.46600000000000003"/>
    <n v="39"/>
    <n v="0.312"/>
    <n v="0.72899999999999998"/>
    <n v="477"/>
    <n v="58"/>
    <n v="143"/>
    <n v="104"/>
    <n v="29"/>
    <n v="15"/>
    <n v="67"/>
    <n v="1.55"/>
  </r>
  <r>
    <x v="1"/>
    <x v="0"/>
    <x v="18"/>
    <n v="188"/>
    <x v="9"/>
    <s v="Ziogas/Christof"/>
    <n v="1"/>
    <n v="10"/>
    <n v="3"/>
    <n v="0"/>
    <x v="17"/>
    <s v="vs Aris"/>
    <n v="209"/>
    <n v="0.496"/>
    <n v="44"/>
    <n v="0.36099999999999999"/>
    <n v="0.69199999999999995"/>
    <n v="554"/>
    <n v="53"/>
    <n v="179"/>
    <n v="162"/>
    <n v="28"/>
    <n v="33"/>
    <n v="66"/>
    <n v="2.4500000000000002"/>
  </r>
  <r>
    <x v="1"/>
    <x v="0"/>
    <x v="18"/>
    <n v="189"/>
    <x v="6"/>
    <s v="Tassos"/>
    <n v="1"/>
    <n v="7"/>
    <n v="6"/>
    <n v="0"/>
    <x v="14"/>
    <s v="vs Vasilis"/>
    <n v="193"/>
    <n v="0.499"/>
    <n v="50"/>
    <n v="0.36"/>
    <n v="0.78700000000000003"/>
    <n v="521"/>
    <n v="42"/>
    <n v="134"/>
    <n v="120"/>
    <n v="40"/>
    <n v="12"/>
    <n v="67"/>
    <n v="1.79"/>
  </r>
  <r>
    <x v="1"/>
    <x v="0"/>
    <x v="18"/>
    <n v="189"/>
    <x v="15"/>
    <s v="Vasilis"/>
    <n v="0"/>
    <n v="6"/>
    <n v="7"/>
    <n v="0"/>
    <x v="7"/>
    <s v="vs Tassos"/>
    <n v="203"/>
    <n v="0.502"/>
    <n v="44"/>
    <n v="0.29099999999999998"/>
    <n v="0.82"/>
    <n v="532"/>
    <n v="41"/>
    <n v="190"/>
    <n v="109"/>
    <n v="39"/>
    <n v="43"/>
    <n v="72"/>
    <n v="1.51"/>
  </r>
  <r>
    <x v="1"/>
    <x v="0"/>
    <x v="18"/>
    <n v="190"/>
    <x v="4"/>
    <s v="Mpousaras"/>
    <n v="0"/>
    <n v="5"/>
    <n v="8"/>
    <n v="0"/>
    <x v="13"/>
    <s v="vs Stavros"/>
    <n v="141"/>
    <n v="0.40300000000000002"/>
    <n v="50"/>
    <n v="0.32700000000000001"/>
    <n v="0.73099999999999998"/>
    <n v="389"/>
    <n v="22"/>
    <n v="91"/>
    <n v="97"/>
    <n v="30"/>
    <n v="14"/>
    <n v="44"/>
    <n v="2.2000000000000002"/>
  </r>
  <r>
    <x v="1"/>
    <x v="0"/>
    <x v="18"/>
    <n v="190"/>
    <x v="12"/>
    <s v="Stavros"/>
    <n v="1"/>
    <n v="8"/>
    <n v="5"/>
    <n v="0"/>
    <x v="5"/>
    <s v="vs Mpousaras"/>
    <n v="180"/>
    <n v="0.44600000000000001"/>
    <n v="45"/>
    <n v="0.31900000000000001"/>
    <n v="0.86"/>
    <n v="534"/>
    <n v="39"/>
    <n v="120"/>
    <n v="128"/>
    <n v="29"/>
    <n v="19"/>
    <n v="60"/>
    <n v="2.13"/>
  </r>
  <r>
    <x v="1"/>
    <x v="1"/>
    <x v="19"/>
    <n v="191"/>
    <x v="5"/>
    <s v="Markos"/>
    <n v="0"/>
    <n v="5"/>
    <n v="8"/>
    <n v="0"/>
    <x v="0"/>
    <s v="vs Fanis"/>
    <n v="143"/>
    <n v="0.47799999999999998"/>
    <n v="41"/>
    <n v="0.34200000000000003"/>
    <n v="0.73799999999999999"/>
    <n v="389"/>
    <n v="28"/>
    <n v="120"/>
    <n v="94"/>
    <n v="35"/>
    <n v="10"/>
    <n v="48"/>
    <n v="1.96"/>
  </r>
  <r>
    <x v="1"/>
    <x v="1"/>
    <x v="19"/>
    <n v="191"/>
    <x v="1"/>
    <s v="Fanis"/>
    <n v="1"/>
    <n v="8"/>
    <n v="5"/>
    <n v="0"/>
    <x v="4"/>
    <s v="vs Markos"/>
    <n v="168"/>
    <n v="0.48099999999999998"/>
    <n v="37"/>
    <n v="0.30599999999999999"/>
    <n v="0.73599999999999999"/>
    <n v="462"/>
    <n v="56"/>
    <n v="191"/>
    <n v="136"/>
    <n v="30"/>
    <n v="40"/>
    <n v="66"/>
    <n v="2.06"/>
  </r>
  <r>
    <x v="1"/>
    <x v="1"/>
    <x v="19"/>
    <n v="192"/>
    <x v="6"/>
    <s v="Tassos"/>
    <n v="0"/>
    <n v="5"/>
    <n v="8"/>
    <n v="0"/>
    <x v="8"/>
    <s v="vs Ziogas/Christof"/>
    <n v="179"/>
    <n v="0.443"/>
    <n v="46"/>
    <n v="0.34300000000000003"/>
    <n v="0.76400000000000001"/>
    <n v="488"/>
    <n v="60"/>
    <n v="130"/>
    <n v="87"/>
    <n v="36"/>
    <n v="22"/>
    <n v="60"/>
    <n v="1.45"/>
  </r>
  <r>
    <x v="1"/>
    <x v="1"/>
    <x v="19"/>
    <n v="192"/>
    <x v="9"/>
    <s v="Ziogas/Christof"/>
    <n v="1"/>
    <n v="8"/>
    <n v="5"/>
    <n v="0"/>
    <x v="7"/>
    <s v="vs Tassos"/>
    <n v="211"/>
    <n v="0.53400000000000003"/>
    <n v="39"/>
    <n v="0.375"/>
    <n v="0.61199999999999999"/>
    <n v="540"/>
    <n v="46"/>
    <n v="166"/>
    <n v="104"/>
    <n v="26"/>
    <n v="28"/>
    <n v="63"/>
    <n v="1.65"/>
  </r>
  <r>
    <x v="1"/>
    <x v="1"/>
    <x v="19"/>
    <n v="193"/>
    <x v="15"/>
    <s v="Vasilis"/>
    <n v="0"/>
    <n v="6"/>
    <n v="7"/>
    <n v="0"/>
    <x v="16"/>
    <s v="vs Spiridaus/Oladipas"/>
    <n v="166"/>
    <n v="0.44900000000000001"/>
    <n v="34"/>
    <n v="0.318"/>
    <n v="0.83899999999999997"/>
    <n v="444"/>
    <n v="36"/>
    <n v="157"/>
    <n v="111"/>
    <n v="38"/>
    <n v="24"/>
    <n v="54"/>
    <n v="2.06"/>
  </r>
  <r>
    <x v="1"/>
    <x v="1"/>
    <x v="19"/>
    <n v="193"/>
    <x v="17"/>
    <s v="Spiridaus/Oladipas"/>
    <n v="1"/>
    <n v="7"/>
    <n v="6"/>
    <n v="0"/>
    <x v="14"/>
    <s v="vs Vasilis"/>
    <n v="120"/>
    <n v="0.45600000000000002"/>
    <n v="48"/>
    <n v="0.42099999999999999"/>
    <n v="0.81799999999999995"/>
    <n v="342"/>
    <n v="46"/>
    <n v="123"/>
    <n v="83"/>
    <n v="28"/>
    <n v="29"/>
    <n v="37"/>
    <n v="2.2400000000000002"/>
  </r>
  <r>
    <x v="1"/>
    <x v="1"/>
    <x v="19"/>
    <n v="194"/>
    <x v="7"/>
    <s v="Johnny"/>
    <n v="1"/>
    <n v="7"/>
    <n v="6"/>
    <n v="0"/>
    <x v="10"/>
    <s v="vs pi/Sotiris"/>
    <n v="196"/>
    <n v="0.46200000000000002"/>
    <n v="59"/>
    <n v="0.36599999999999999"/>
    <n v="0.74399999999999999"/>
    <n v="544"/>
    <n v="36"/>
    <n v="174"/>
    <n v="99"/>
    <n v="32"/>
    <n v="12"/>
    <n v="61"/>
    <n v="1.62"/>
  </r>
  <r>
    <x v="1"/>
    <x v="1"/>
    <x v="19"/>
    <n v="194"/>
    <x v="11"/>
    <s v="pi/Sotiris"/>
    <n v="0"/>
    <n v="6"/>
    <n v="7"/>
    <n v="0"/>
    <x v="6"/>
    <s v="vs Johnny"/>
    <n v="182"/>
    <n v="0.47299999999999998"/>
    <n v="40"/>
    <n v="0.34499999999999997"/>
    <n v="0.77500000000000002"/>
    <n v="473"/>
    <n v="38"/>
    <n v="141"/>
    <n v="94"/>
    <n v="29"/>
    <n v="29"/>
    <n v="52"/>
    <n v="1.81"/>
  </r>
  <r>
    <x v="1"/>
    <x v="1"/>
    <x v="20"/>
    <n v="195"/>
    <x v="1"/>
    <s v="Fanis"/>
    <n v="1"/>
    <n v="8"/>
    <n v="5"/>
    <n v="0"/>
    <x v="6"/>
    <s v="vs Johnny"/>
    <n v="154"/>
    <n v="0.46500000000000002"/>
    <n v="35"/>
    <n v="0.34"/>
    <n v="0.78"/>
    <n v="421"/>
    <n v="66"/>
    <n v="144"/>
    <n v="135"/>
    <n v="33"/>
    <n v="20"/>
    <n v="56"/>
    <n v="2.41"/>
  </r>
  <r>
    <x v="1"/>
    <x v="1"/>
    <x v="20"/>
    <n v="195"/>
    <x v="7"/>
    <s v="Johnny"/>
    <n v="0"/>
    <n v="5"/>
    <n v="8"/>
    <n v="0"/>
    <x v="0"/>
    <s v="vs Fanis"/>
    <n v="178"/>
    <n v="0.45400000000000001"/>
    <n v="48"/>
    <n v="0.36899999999999999"/>
    <n v="0.70899999999999996"/>
    <n v="482"/>
    <n v="41"/>
    <n v="147"/>
    <n v="121"/>
    <n v="30"/>
    <n v="19"/>
    <n v="75"/>
    <n v="1.61"/>
  </r>
  <r>
    <x v="1"/>
    <x v="1"/>
    <x v="20"/>
    <n v="196"/>
    <x v="17"/>
    <s v="Spiridaus/Oladipas"/>
    <n v="1"/>
    <n v="8"/>
    <n v="5"/>
    <n v="0"/>
    <x v="8"/>
    <s v="vs Ziogas/Christof"/>
    <n v="130"/>
    <n v="0.43"/>
    <n v="36"/>
    <n v="0.3"/>
    <n v="0.76300000000000001"/>
    <n v="341"/>
    <n v="52"/>
    <n v="140"/>
    <n v="88"/>
    <n v="49"/>
    <n v="29"/>
    <n v="33"/>
    <n v="2.67"/>
  </r>
  <r>
    <x v="1"/>
    <x v="1"/>
    <x v="20"/>
    <n v="196"/>
    <x v="9"/>
    <s v="Ziogas/Christof"/>
    <n v="0"/>
    <n v="5"/>
    <n v="8"/>
    <n v="0"/>
    <x v="16"/>
    <s v="vs Spiridaus/Oladipas"/>
    <n v="162"/>
    <n v="0.50800000000000001"/>
    <n v="23"/>
    <n v="0.33800000000000002"/>
    <n v="0.68300000000000005"/>
    <n v="431"/>
    <n v="43"/>
    <n v="139"/>
    <n v="93"/>
    <n v="25"/>
    <n v="26"/>
    <n v="62"/>
    <n v="1.5"/>
  </r>
  <r>
    <x v="1"/>
    <x v="1"/>
    <x v="21"/>
    <n v="197"/>
    <x v="1"/>
    <s v="Fanis"/>
    <n v="1"/>
    <n v="8"/>
    <n v="5"/>
    <n v="0"/>
    <x v="16"/>
    <s v="vs Spiridaus/Oladipas"/>
    <n v="204"/>
    <n v="0.48199999999999998"/>
    <n v="75"/>
    <n v="0.44600000000000001"/>
    <n v="0.77200000000000002"/>
    <n v="544"/>
    <n v="71"/>
    <n v="182"/>
    <n v="145"/>
    <n v="45"/>
    <n v="22"/>
    <n v="54"/>
    <n v="2.69"/>
  </r>
  <r>
    <x v="1"/>
    <x v="1"/>
    <x v="21"/>
    <n v="197"/>
    <x v="17"/>
    <s v="Spiridaus/Oladipas"/>
    <n v="0"/>
    <n v="5"/>
    <n v="8"/>
    <n v="0"/>
    <x v="0"/>
    <s v="vs Fanis"/>
    <n v="165"/>
    <n v="0.49099999999999999"/>
    <n v="56"/>
    <n v="0.42099999999999999"/>
    <n v="0.83299999999999996"/>
    <n v="441"/>
    <n v="61"/>
    <n v="157"/>
    <n v="121"/>
    <n v="33"/>
    <n v="25"/>
    <n v="45"/>
    <n v="2.6909999999999998"/>
  </r>
  <r>
    <x v="1"/>
    <x v="1"/>
    <x v="22"/>
    <n v="198"/>
    <x v="9"/>
    <s v="Ziogas/Christof"/>
    <n v="1"/>
    <n v="7"/>
    <n v="6"/>
    <n v="0"/>
    <x v="6"/>
    <s v="vs Johnny"/>
    <n v="161"/>
    <n v="0.505"/>
    <n v="31"/>
    <n v="0.36499999999999999"/>
    <n v="0.76900000000000002"/>
    <n v="456"/>
    <n v="47"/>
    <n v="177"/>
    <n v="135"/>
    <n v="30"/>
    <n v="35"/>
    <n v="66"/>
    <n v="2.0499999999999998"/>
  </r>
  <r>
    <x v="1"/>
    <x v="1"/>
    <x v="22"/>
    <n v="198"/>
    <x v="7"/>
    <s v="Johnny"/>
    <n v="0"/>
    <n v="6"/>
    <n v="7"/>
    <n v="0"/>
    <x v="8"/>
    <s v="vs Ziogas/Christof"/>
    <n v="156"/>
    <n v="0.42199999999999999"/>
    <n v="49"/>
    <n v="0.36799999999999999"/>
    <n v="0.78900000000000003"/>
    <n v="432"/>
    <n v="49"/>
    <n v="163"/>
    <n v="134"/>
    <n v="25"/>
    <n v="21"/>
    <n v="52"/>
    <n v="2.58"/>
  </r>
  <r>
    <x v="2"/>
    <x v="0"/>
    <x v="0"/>
    <n v="1"/>
    <x v="1"/>
    <s v="Fanis"/>
    <n v="1"/>
    <n v="9"/>
    <n v="3"/>
    <n v="1"/>
    <x v="6"/>
    <s v="vs Johnny"/>
    <n v="135"/>
    <n v="0.49270072992700731"/>
    <n v="45"/>
    <n v="0.39130434782608697"/>
    <n v="0.6966292134831461"/>
    <n v="377"/>
    <n v="35"/>
    <n v="142"/>
    <n v="68"/>
    <n v="37"/>
    <n v="20"/>
    <n v="48"/>
    <n v="1.4166666666666667"/>
  </r>
  <r>
    <x v="2"/>
    <x v="0"/>
    <x v="0"/>
    <n v="1"/>
    <x v="7"/>
    <s v="Johnny"/>
    <n v="0"/>
    <n v="3"/>
    <n v="9"/>
    <n v="1"/>
    <x v="0"/>
    <s v="vs Fanis"/>
    <n v="133"/>
    <n v="0.45238095238095238"/>
    <n v="38"/>
    <n v="0.33333333333333331"/>
    <n v="0.79824561403508776"/>
    <n v="395"/>
    <n v="29"/>
    <n v="142"/>
    <n v="83"/>
    <n v="21"/>
    <n v="13"/>
    <n v="67"/>
    <n v="1.2388059701492538"/>
  </r>
  <r>
    <x v="2"/>
    <x v="0"/>
    <x v="0"/>
    <n v="2"/>
    <x v="17"/>
    <s v="Spiridaus/Oladipas"/>
    <n v="1"/>
    <n v="8"/>
    <n v="4"/>
    <n v="1"/>
    <x v="3"/>
    <s v="vs Fountos"/>
    <n v="136"/>
    <n v="0.43312101910828027"/>
    <n v="40"/>
    <n v="0.32786885245901637"/>
    <n v="0.81904761904761902"/>
    <n v="398"/>
    <n v="28"/>
    <n v="133"/>
    <n v="80"/>
    <n v="30"/>
    <n v="29"/>
    <n v="55"/>
    <n v="1.4545454545454546"/>
  </r>
  <r>
    <x v="2"/>
    <x v="0"/>
    <x v="0"/>
    <n v="2"/>
    <x v="2"/>
    <s v="Fountos"/>
    <n v="0"/>
    <n v="4"/>
    <n v="8"/>
    <n v="1"/>
    <x v="16"/>
    <s v="vs Spiridaus/Oladipas"/>
    <n v="106"/>
    <n v="0.44915254237288138"/>
    <n v="35"/>
    <n v="0.38461538461538464"/>
    <n v="0.74390243902439024"/>
    <n v="308"/>
    <n v="28"/>
    <n v="129"/>
    <n v="56"/>
    <n v="18"/>
    <n v="18"/>
    <n v="37"/>
    <n v="1.5135135135135136"/>
  </r>
  <r>
    <x v="2"/>
    <x v="0"/>
    <x v="0"/>
    <n v="3"/>
    <x v="20"/>
    <s v="Guru"/>
    <n v="1"/>
    <n v="9"/>
    <n v="4"/>
    <n v="0"/>
    <x v="4"/>
    <s v="vs Markos"/>
    <n v="104"/>
    <n v="0.46636771300448432"/>
    <n v="32"/>
    <n v="0.43243243243243246"/>
    <n v="0.77142857142857146"/>
    <n v="267"/>
    <n v="26"/>
    <n v="92"/>
    <n v="36"/>
    <n v="17"/>
    <n v="12"/>
    <n v="31"/>
    <n v="1.1612903225806452"/>
  </r>
  <r>
    <x v="2"/>
    <x v="0"/>
    <x v="0"/>
    <n v="3"/>
    <x v="5"/>
    <s v="Markos"/>
    <n v="0"/>
    <n v="4"/>
    <n v="9"/>
    <n v="0"/>
    <x v="20"/>
    <s v="vs Panos"/>
    <n v="73"/>
    <n v="0.44785276073619634"/>
    <n v="16"/>
    <n v="0.35555555555555557"/>
    <n v="0.65957446808510634"/>
    <n v="193"/>
    <n v="29"/>
    <n v="75"/>
    <n v="54"/>
    <n v="9"/>
    <n v="11"/>
    <n v="25"/>
    <n v="2.16"/>
  </r>
  <r>
    <x v="2"/>
    <x v="0"/>
    <x v="0"/>
    <n v="4"/>
    <x v="6"/>
    <s v="Tassos"/>
    <n v="0"/>
    <n v="5"/>
    <n v="8"/>
    <n v="0"/>
    <x v="18"/>
    <s v="vs Nonis"/>
    <n v="127"/>
    <n v="0.43793103448275861"/>
    <n v="23"/>
    <n v="0.25274725274725274"/>
    <n v="0.79381443298969068"/>
    <n v="354"/>
    <n v="31"/>
    <n v="100"/>
    <n v="90"/>
    <n v="29"/>
    <n v="24"/>
    <n v="46"/>
    <n v="1.9565217391304348"/>
  </r>
  <r>
    <x v="2"/>
    <x v="0"/>
    <x v="0"/>
    <n v="4"/>
    <x v="19"/>
    <s v="Nonis"/>
    <n v="1"/>
    <n v="8"/>
    <n v="5"/>
    <n v="0"/>
    <x v="7"/>
    <s v="vs Tassos"/>
    <n v="158"/>
    <n v="0.45272206303724927"/>
    <n v="46"/>
    <n v="0.34328358208955223"/>
    <n v="0.73584905660377353"/>
    <n v="440"/>
    <n v="44"/>
    <n v="128"/>
    <n v="96"/>
    <n v="25"/>
    <n v="16"/>
    <n v="59"/>
    <n v="1.6271186440677967"/>
  </r>
  <r>
    <x v="2"/>
    <x v="0"/>
    <x v="0"/>
    <n v="5"/>
    <x v="9"/>
    <s v="Ziogas/Christof"/>
    <n v="1"/>
    <n v="7"/>
    <n v="5"/>
    <n v="1"/>
    <x v="2"/>
    <s v="vs Sakellariou"/>
    <n v="115"/>
    <n v="0.48728813559322032"/>
    <n v="27"/>
    <n v="0.47368421052631576"/>
    <n v="0.81333333333333335"/>
    <n v="318"/>
    <n v="25"/>
    <n v="109"/>
    <n v="78"/>
    <n v="16"/>
    <n v="11"/>
    <n v="52"/>
    <n v="1.5"/>
  </r>
  <r>
    <x v="2"/>
    <x v="0"/>
    <x v="0"/>
    <n v="5"/>
    <x v="3"/>
    <s v="Sakellariou"/>
    <n v="0"/>
    <n v="5"/>
    <n v="7"/>
    <n v="1"/>
    <x v="8"/>
    <s v="vs Ziogas/Christof"/>
    <n v="139"/>
    <n v="0.49642857142857144"/>
    <n v="32"/>
    <n v="0.33684210526315789"/>
    <n v="0.78409090909090906"/>
    <n v="379"/>
    <n v="21"/>
    <n v="65"/>
    <n v="54"/>
    <n v="16"/>
    <n v="7"/>
    <n v="48"/>
    <n v="1.125"/>
  </r>
  <r>
    <x v="2"/>
    <x v="0"/>
    <x v="0"/>
    <n v="6"/>
    <x v="15"/>
    <s v="Vasilis"/>
    <n v="0"/>
    <n v="4"/>
    <n v="7"/>
    <n v="2"/>
    <x v="10"/>
    <s v="vs pi/Sotiris"/>
    <n v="121"/>
    <n v="0.47826086956521741"/>
    <n v="21"/>
    <n v="0.27272727272727271"/>
    <n v="0.73611111111111116"/>
    <n v="316"/>
    <n v="36"/>
    <n v="112"/>
    <n v="79"/>
    <n v="26"/>
    <n v="12"/>
    <n v="51"/>
    <n v="1.5490196078431373"/>
  </r>
  <r>
    <x v="2"/>
    <x v="0"/>
    <x v="0"/>
    <n v="6"/>
    <x v="11"/>
    <s v="pi/Sotiris"/>
    <n v="1"/>
    <n v="7"/>
    <n v="4"/>
    <n v="2"/>
    <x v="14"/>
    <s v="vs Vasilis"/>
    <n v="165"/>
    <n v="0.4532967032967033"/>
    <n v="48"/>
    <n v="0.40677966101694918"/>
    <n v="0.77876106194690264"/>
    <n v="466"/>
    <n v="36"/>
    <n v="129"/>
    <n v="79"/>
    <n v="24"/>
    <n v="22"/>
    <n v="68"/>
    <n v="1.161764705882353"/>
  </r>
  <r>
    <x v="2"/>
    <x v="0"/>
    <x v="0"/>
    <n v="7"/>
    <x v="13"/>
    <s v="Kousidis"/>
    <n v="0"/>
    <n v="5"/>
    <n v="7"/>
    <n v="1"/>
    <x v="21"/>
    <s v="vs Tzokos"/>
    <n v="101"/>
    <n v="0.44493392070484583"/>
    <n v="26"/>
    <n v="0.38235294117647056"/>
    <n v="0.73972602739726023"/>
    <n v="282"/>
    <n v="18"/>
    <n v="94"/>
    <n v="70"/>
    <n v="38"/>
    <n v="11"/>
    <n v="45"/>
    <n v="1.5555555555555556"/>
  </r>
  <r>
    <x v="2"/>
    <x v="0"/>
    <x v="0"/>
    <n v="7"/>
    <x v="21"/>
    <s v="Tzokos"/>
    <n v="1"/>
    <n v="7"/>
    <n v="5"/>
    <n v="1"/>
    <x v="12"/>
    <s v="vs Kousidis"/>
    <n v="112"/>
    <n v="0.47863247863247865"/>
    <n v="25"/>
    <n v="0.29761904761904762"/>
    <n v="0.84"/>
    <n v="291"/>
    <n v="35"/>
    <n v="94"/>
    <n v="40"/>
    <n v="15"/>
    <n v="15"/>
    <n v="39"/>
    <n v="1.0256410256410255"/>
  </r>
  <r>
    <x v="2"/>
    <x v="0"/>
    <x v="0"/>
    <n v="8"/>
    <x v="8"/>
    <s v="Antoniou"/>
    <n v="1"/>
    <n v="9"/>
    <n v="3"/>
    <n v="1"/>
    <x v="5"/>
    <s v="vs Mpousaras"/>
    <n v="131"/>
    <n v="0.44256756756756754"/>
    <n v="33"/>
    <n v="0.31730769230769229"/>
    <n v="0.82894736842105265"/>
    <n v="358"/>
    <n v="21"/>
    <n v="117"/>
    <n v="80"/>
    <n v="26"/>
    <n v="16"/>
    <n v="70"/>
    <n v="1.1428571428571428"/>
  </r>
  <r>
    <x v="2"/>
    <x v="0"/>
    <x v="0"/>
    <n v="8"/>
    <x v="4"/>
    <s v="Mpousaras"/>
    <n v="0"/>
    <n v="3"/>
    <n v="9"/>
    <n v="1"/>
    <x v="9"/>
    <s v="vs Antoniou"/>
    <n v="91"/>
    <n v="0.43127962085308058"/>
    <n v="13"/>
    <n v="0.22807017543859648"/>
    <n v="0.71153846153846156"/>
    <n v="232"/>
    <n v="29"/>
    <n v="92"/>
    <n v="35"/>
    <n v="16"/>
    <n v="16"/>
    <n v="30"/>
    <n v="1.1666666666666667"/>
  </r>
  <r>
    <x v="2"/>
    <x v="0"/>
    <x v="0"/>
    <n v="9"/>
    <x v="12"/>
    <s v="Stavros"/>
    <n v="1"/>
    <n v="11"/>
    <n v="2"/>
    <n v="0"/>
    <x v="22"/>
    <s v="vs Miggianis"/>
    <n v="167"/>
    <n v="0.47851002865329512"/>
    <n v="55"/>
    <n v="0.38194444444444442"/>
    <n v="0.79545454545454541"/>
    <n v="494"/>
    <n v="26"/>
    <n v="131"/>
    <n v="93"/>
    <n v="31"/>
    <n v="23"/>
    <n v="60"/>
    <n v="1.55"/>
  </r>
  <r>
    <x v="2"/>
    <x v="0"/>
    <x v="0"/>
    <n v="9"/>
    <x v="22"/>
    <s v="Miggianis"/>
    <n v="0"/>
    <n v="2"/>
    <n v="11"/>
    <n v="0"/>
    <x v="13"/>
    <s v="vs Stavros"/>
    <n v="89"/>
    <n v="0.39732142857142855"/>
    <n v="27"/>
    <n v="0.31034482758620691"/>
    <n v="0.76470588235294112"/>
    <n v="244"/>
    <n v="17"/>
    <n v="78"/>
    <n v="62"/>
    <n v="20"/>
    <n v="6"/>
    <n v="38"/>
    <n v="1.631578947368421"/>
  </r>
  <r>
    <x v="2"/>
    <x v="0"/>
    <x v="0"/>
    <n v="10"/>
    <x v="18"/>
    <s v="Kotakis"/>
    <n v="0"/>
    <n v="5"/>
    <n v="8"/>
    <n v="0"/>
    <x v="17"/>
    <s v="vs Aris"/>
    <n v="115"/>
    <n v="0.40636042402826855"/>
    <n v="42"/>
    <n v="0.35"/>
    <n v="0.7722772277227723"/>
    <n v="350"/>
    <n v="24"/>
    <n v="98"/>
    <n v="78"/>
    <n v="25"/>
    <n v="9"/>
    <n v="46"/>
    <n v="1.6956521739130435"/>
  </r>
  <r>
    <x v="2"/>
    <x v="0"/>
    <x v="0"/>
    <n v="10"/>
    <x v="16"/>
    <s v="Aris"/>
    <n v="1"/>
    <n v="8"/>
    <n v="5"/>
    <n v="0"/>
    <x v="19"/>
    <s v="vs Kotakis"/>
    <n v="133"/>
    <n v="0.4889705882352941"/>
    <n v="28"/>
    <n v="0.38356164383561642"/>
    <n v="0.66129032258064513"/>
    <n v="335"/>
    <n v="30"/>
    <n v="116"/>
    <n v="84"/>
    <n v="18"/>
    <n v="13"/>
    <n v="49"/>
    <n v="1.7142857142857142"/>
  </r>
  <r>
    <x v="2"/>
    <x v="0"/>
    <x v="1"/>
    <n v="11"/>
    <x v="9"/>
    <s v="Ziogas/Christof"/>
    <n v="1"/>
    <n v="11"/>
    <n v="2"/>
    <n v="0"/>
    <x v="22"/>
    <s v="vs Miggianis"/>
    <n v="172"/>
    <n v="0.46612466124661245"/>
    <n v="35"/>
    <n v="0.3125"/>
    <n v="0.74809160305343514"/>
    <n v="477"/>
    <n v="44"/>
    <n v="197"/>
    <n v="169"/>
    <n v="33"/>
    <n v="24"/>
    <n v="73"/>
    <n v="2.3150684931506849"/>
  </r>
  <r>
    <x v="2"/>
    <x v="0"/>
    <x v="1"/>
    <n v="11"/>
    <x v="22"/>
    <s v="Miggianis"/>
    <n v="0"/>
    <n v="2"/>
    <n v="11"/>
    <n v="0"/>
    <x v="8"/>
    <s v="vs Ziogas/Christof"/>
    <n v="116"/>
    <n v="0.36708860759493672"/>
    <n v="40"/>
    <n v="0.28169014084507044"/>
    <n v="0.70769230769230773"/>
    <n v="318"/>
    <n v="12"/>
    <n v="100"/>
    <n v="72"/>
    <n v="23"/>
    <n v="14"/>
    <n v="61"/>
    <n v="1.180327868852459"/>
  </r>
  <r>
    <x v="2"/>
    <x v="0"/>
    <x v="1"/>
    <n v="12"/>
    <x v="5"/>
    <s v="Markos"/>
    <n v="0"/>
    <n v="3"/>
    <n v="10"/>
    <n v="0"/>
    <x v="18"/>
    <s v="vs Nonis"/>
    <n v="98"/>
    <n v="0.43555555555555553"/>
    <n v="25"/>
    <n v="0.37878787878787878"/>
    <n v="0.75409836065573765"/>
    <n v="267"/>
    <n v="29"/>
    <n v="112"/>
    <n v="71"/>
    <n v="26"/>
    <n v="14"/>
    <n v="50"/>
    <n v="1.42"/>
  </r>
  <r>
    <x v="2"/>
    <x v="0"/>
    <x v="1"/>
    <n v="12"/>
    <x v="19"/>
    <s v="Nonis"/>
    <n v="1"/>
    <n v="10"/>
    <n v="3"/>
    <n v="0"/>
    <x v="4"/>
    <s v="vs Markos"/>
    <n v="155"/>
    <n v="0.49050632911392406"/>
    <n v="44"/>
    <n v="0.38260869565217392"/>
    <n v="0.8125"/>
    <n v="445"/>
    <n v="47"/>
    <n v="135"/>
    <n v="113"/>
    <n v="24"/>
    <n v="11"/>
    <n v="75"/>
    <n v="1.5066666666666666"/>
  </r>
  <r>
    <x v="2"/>
    <x v="0"/>
    <x v="1"/>
    <n v="13"/>
    <x v="7"/>
    <s v="Johnny"/>
    <n v="1"/>
    <n v="7"/>
    <n v="5"/>
    <n v="1"/>
    <x v="20"/>
    <s v="vs Panos"/>
    <n v="190"/>
    <n v="0.44811320754716982"/>
    <n v="43"/>
    <n v="0.29251700680272108"/>
    <n v="0.70588235294117652"/>
    <n v="507"/>
    <n v="37"/>
    <n v="165"/>
    <n v="133"/>
    <n v="36"/>
    <n v="19"/>
    <n v="66"/>
    <n v="2.0151515151515151"/>
  </r>
  <r>
    <x v="2"/>
    <x v="0"/>
    <x v="1"/>
    <n v="13"/>
    <x v="20"/>
    <s v="Guru"/>
    <n v="0"/>
    <n v="5"/>
    <n v="7"/>
    <n v="1"/>
    <x v="6"/>
    <s v="vs Johnny"/>
    <n v="135"/>
    <n v="0.46551724137931033"/>
    <n v="37"/>
    <n v="0.34579439252336447"/>
    <n v="0.7142857142857143"/>
    <n v="362"/>
    <n v="41"/>
    <n v="98"/>
    <n v="98"/>
    <n v="36"/>
    <n v="16"/>
    <n v="55"/>
    <n v="1.7818181818181817"/>
  </r>
  <r>
    <x v="2"/>
    <x v="0"/>
    <x v="1"/>
    <n v="14"/>
    <x v="16"/>
    <s v="Aris"/>
    <n v="0"/>
    <n v="4"/>
    <n v="9"/>
    <n v="0"/>
    <x v="9"/>
    <s v="vs Antoniou"/>
    <n v="143"/>
    <n v="0.43465045592705165"/>
    <n v="45"/>
    <n v="0.38793103448275862"/>
    <n v="0.79411764705882348"/>
    <n v="385"/>
    <n v="28"/>
    <n v="92"/>
    <n v="56"/>
    <n v="26"/>
    <n v="16"/>
    <n v="55"/>
    <n v="1.0181818181818181"/>
  </r>
  <r>
    <x v="2"/>
    <x v="0"/>
    <x v="1"/>
    <n v="14"/>
    <x v="8"/>
    <s v="Antoniou"/>
    <n v="1"/>
    <n v="9"/>
    <n v="4"/>
    <n v="0"/>
    <x v="17"/>
    <s v="vs Aris"/>
    <n v="158"/>
    <n v="0.46198830409356723"/>
    <n v="57"/>
    <n v="0.37748344370860926"/>
    <n v="0.88"/>
    <n v="483"/>
    <n v="36"/>
    <n v="109"/>
    <n v="105"/>
    <n v="24"/>
    <n v="10"/>
    <n v="66"/>
    <n v="1.5909090909090908"/>
  </r>
  <r>
    <x v="2"/>
    <x v="0"/>
    <x v="1"/>
    <n v="15"/>
    <x v="6"/>
    <s v="Tassos"/>
    <n v="1"/>
    <n v="8"/>
    <n v="3"/>
    <n v="2"/>
    <x v="3"/>
    <s v="vs Fountos"/>
    <n v="154"/>
    <n v="0.42307692307692307"/>
    <n v="48"/>
    <n v="0.375"/>
    <n v="0.74257425742574257"/>
    <n v="431"/>
    <n v="31"/>
    <n v="130"/>
    <n v="96"/>
    <n v="29"/>
    <n v="20"/>
    <n v="57"/>
    <n v="1.6842105263157894"/>
  </r>
  <r>
    <x v="2"/>
    <x v="0"/>
    <x v="1"/>
    <n v="15"/>
    <x v="2"/>
    <s v="Fountos"/>
    <n v="0"/>
    <n v="3"/>
    <n v="8"/>
    <n v="2"/>
    <x v="7"/>
    <s v="vs Tassos"/>
    <n v="149"/>
    <n v="0.47003154574132494"/>
    <n v="45"/>
    <n v="0.3543307086614173"/>
    <n v="0.84"/>
    <n v="406"/>
    <n v="31"/>
    <n v="174"/>
    <n v="72"/>
    <n v="29"/>
    <n v="17"/>
    <n v="58"/>
    <n v="1.2413793103448276"/>
  </r>
  <r>
    <x v="2"/>
    <x v="0"/>
    <x v="1"/>
    <n v="16"/>
    <x v="15"/>
    <s v="Vasilis"/>
    <n v="0"/>
    <n v="4"/>
    <n v="9"/>
    <n v="0"/>
    <x v="12"/>
    <s v="vs Kousidis"/>
    <n v="116"/>
    <n v="0.48535564853556484"/>
    <n v="23"/>
    <n v="0.34328358208955223"/>
    <n v="0.79220779220779225"/>
    <n v="316"/>
    <n v="32"/>
    <n v="110"/>
    <n v="55"/>
    <n v="29"/>
    <n v="24"/>
    <n v="43"/>
    <n v="1.2790697674418605"/>
  </r>
  <r>
    <x v="2"/>
    <x v="0"/>
    <x v="1"/>
    <n v="16"/>
    <x v="13"/>
    <s v="Kousidis"/>
    <n v="1"/>
    <n v="9"/>
    <n v="4"/>
    <n v="0"/>
    <x v="14"/>
    <s v="vs Vasilis"/>
    <n v="148"/>
    <n v="0.49169435215946844"/>
    <n v="27"/>
    <n v="0.375"/>
    <n v="0.66315789473684206"/>
    <n v="386"/>
    <n v="47"/>
    <n v="126"/>
    <n v="98"/>
    <n v="24"/>
    <n v="18"/>
    <n v="57"/>
    <n v="1.7192982456140351"/>
  </r>
  <r>
    <x v="2"/>
    <x v="0"/>
    <x v="1"/>
    <n v="17"/>
    <x v="1"/>
    <s v="Fanis"/>
    <n v="1"/>
    <n v="9"/>
    <n v="4"/>
    <n v="0"/>
    <x v="21"/>
    <s v="vs Tzokos"/>
    <n v="180"/>
    <n v="0.52023121387283233"/>
    <n v="38"/>
    <n v="0.34234234234234234"/>
    <n v="0.69911504424778759"/>
    <n v="477"/>
    <n v="50"/>
    <n v="204"/>
    <n v="126"/>
    <n v="33"/>
    <n v="31"/>
    <n v="91"/>
    <n v="1.3846153846153846"/>
  </r>
  <r>
    <x v="2"/>
    <x v="0"/>
    <x v="1"/>
    <n v="17"/>
    <x v="21"/>
    <s v="Tzokos"/>
    <n v="0"/>
    <n v="4"/>
    <n v="9"/>
    <n v="0"/>
    <x v="0"/>
    <s v="vs Fanis"/>
    <n v="111"/>
    <n v="0.43023255813953487"/>
    <n v="37"/>
    <n v="0.35576923076923078"/>
    <n v="0.8651685393258427"/>
    <n v="336"/>
    <n v="31"/>
    <n v="111"/>
    <n v="70"/>
    <n v="20"/>
    <n v="17"/>
    <n v="47"/>
    <n v="1.4893617021276595"/>
  </r>
  <r>
    <x v="2"/>
    <x v="0"/>
    <x v="1"/>
    <n v="18"/>
    <x v="12"/>
    <s v="Stavros"/>
    <n v="1"/>
    <n v="7"/>
    <n v="6"/>
    <n v="0"/>
    <x v="10"/>
    <s v="vs pi/Sotiris"/>
    <n v="180"/>
    <n v="0.4466501240694789"/>
    <n v="60"/>
    <n v="0.38709677419354838"/>
    <n v="0.76543209876543206"/>
    <n v="482"/>
    <n v="27"/>
    <n v="149"/>
    <n v="96"/>
    <n v="29"/>
    <n v="20"/>
    <n v="68"/>
    <n v="1.411764705882353"/>
  </r>
  <r>
    <x v="2"/>
    <x v="0"/>
    <x v="1"/>
    <n v="18"/>
    <x v="11"/>
    <s v="pi/Sotiris"/>
    <n v="0"/>
    <n v="6"/>
    <n v="7"/>
    <n v="0"/>
    <x v="13"/>
    <s v="vs Stavros"/>
    <n v="181"/>
    <n v="0.46410256410256412"/>
    <n v="45"/>
    <n v="0.34090909090909088"/>
    <n v="0.70370370370370372"/>
    <n v="483"/>
    <n v="30"/>
    <n v="135"/>
    <n v="92"/>
    <n v="23"/>
    <n v="25"/>
    <n v="67"/>
    <n v="1.3731343283582089"/>
  </r>
  <r>
    <x v="2"/>
    <x v="0"/>
    <x v="1"/>
    <n v="19"/>
    <x v="18"/>
    <s v="Kotakis"/>
    <n v="1"/>
    <n v="9"/>
    <n v="4"/>
    <n v="0"/>
    <x v="16"/>
    <s v="vs Spiridaus/Oladipas"/>
    <n v="200"/>
    <n v="0.46728971962616822"/>
    <n v="70"/>
    <n v="0.39772727272727271"/>
    <n v="0.80327868852459017"/>
    <n v="568"/>
    <n v="47"/>
    <n v="151"/>
    <n v="95"/>
    <n v="28"/>
    <n v="21"/>
    <n v="58"/>
    <n v="1.6379310344827587"/>
  </r>
  <r>
    <x v="2"/>
    <x v="0"/>
    <x v="1"/>
    <n v="19"/>
    <x v="17"/>
    <s v="Spiridaus/Oladipas"/>
    <n v="0"/>
    <n v="4"/>
    <n v="9"/>
    <n v="0"/>
    <x v="19"/>
    <s v="vs Kotakis"/>
    <n v="149"/>
    <n v="0.39839572192513367"/>
    <n v="41"/>
    <n v="0.28472222222222221"/>
    <n v="0.91752577319587625"/>
    <n v="428"/>
    <n v="50"/>
    <n v="142"/>
    <n v="93"/>
    <n v="26"/>
    <n v="20"/>
    <n v="50"/>
    <n v="1.86"/>
  </r>
  <r>
    <x v="2"/>
    <x v="0"/>
    <x v="1"/>
    <n v="20"/>
    <x v="4"/>
    <s v="Mpousaras"/>
    <n v="0"/>
    <n v="6"/>
    <n v="7"/>
    <n v="0"/>
    <x v="2"/>
    <s v="vs Sakellariou"/>
    <n v="131"/>
    <n v="0.44406779661016949"/>
    <n v="19"/>
    <n v="0.26760563380281688"/>
    <n v="0.67123287671232879"/>
    <n v="330"/>
    <n v="51"/>
    <n v="134"/>
    <n v="62"/>
    <n v="31"/>
    <n v="20"/>
    <n v="29"/>
    <n v="2.1379310344827585"/>
  </r>
  <r>
    <x v="2"/>
    <x v="0"/>
    <x v="1"/>
    <n v="20"/>
    <x v="3"/>
    <s v="Sakellariou"/>
    <n v="1"/>
    <n v="7"/>
    <n v="6"/>
    <n v="0"/>
    <x v="5"/>
    <s v="vs Mpousaras"/>
    <n v="183"/>
    <n v="0.46923076923076923"/>
    <n v="57"/>
    <n v="0.34969325153374231"/>
    <n v="0.8303571428571429"/>
    <n v="516"/>
    <n v="23"/>
    <n v="95"/>
    <n v="81"/>
    <n v="29"/>
    <n v="15"/>
    <n v="62"/>
    <n v="1.3064516129032258"/>
  </r>
  <r>
    <x v="2"/>
    <x v="0"/>
    <x v="2"/>
    <n v="21"/>
    <x v="1"/>
    <s v="Fanis"/>
    <n v="1"/>
    <n v="9"/>
    <n v="3"/>
    <n v="1"/>
    <x v="19"/>
    <s v="vs Kotakis"/>
    <n v="184"/>
    <n v="0.47668393782383417"/>
    <n v="47"/>
    <n v="0.37301587301587302"/>
    <n v="0.7846153846153846"/>
    <n v="517"/>
    <n v="56"/>
    <n v="167"/>
    <n v="122"/>
    <n v="44"/>
    <n v="24"/>
    <n v="73"/>
    <n v="1.6712328767123288"/>
  </r>
  <r>
    <x v="2"/>
    <x v="0"/>
    <x v="2"/>
    <n v="21"/>
    <x v="18"/>
    <s v="Kotakis"/>
    <n v="0"/>
    <n v="3"/>
    <n v="9"/>
    <n v="1"/>
    <x v="0"/>
    <s v="vs Fanis"/>
    <n v="151"/>
    <n v="0.45345345345345345"/>
    <n v="60"/>
    <n v="0.44117647058823528"/>
    <n v="0.7846153846153846"/>
    <n v="413"/>
    <n v="32"/>
    <n v="108"/>
    <n v="89"/>
    <n v="31"/>
    <n v="12"/>
    <n v="55"/>
    <n v="1.6181818181818182"/>
  </r>
  <r>
    <x v="2"/>
    <x v="0"/>
    <x v="2"/>
    <n v="22"/>
    <x v="17"/>
    <s v="Spiridaus/Oladipas"/>
    <n v="1"/>
    <n v="7"/>
    <n v="6"/>
    <n v="0"/>
    <x v="6"/>
    <s v="vs Johnny"/>
    <n v="155"/>
    <n v="0.45722713864306785"/>
    <n v="52"/>
    <n v="0.38518518518518519"/>
    <n v="0.91860465116279066"/>
    <n v="441"/>
    <n v="43"/>
    <n v="124"/>
    <n v="87"/>
    <n v="39"/>
    <n v="22"/>
    <n v="56"/>
    <n v="1.5535714285714286"/>
  </r>
  <r>
    <x v="2"/>
    <x v="0"/>
    <x v="2"/>
    <n v="22"/>
    <x v="7"/>
    <s v="Johnny"/>
    <n v="0"/>
    <n v="6"/>
    <n v="7"/>
    <n v="0"/>
    <x v="16"/>
    <s v="vs Spiridaus/Oladipas"/>
    <n v="172"/>
    <n v="0.46236559139784944"/>
    <n v="44"/>
    <n v="0.36065573770491804"/>
    <n v="0.68518518518518523"/>
    <n v="462"/>
    <n v="35"/>
    <n v="151"/>
    <n v="88"/>
    <n v="26"/>
    <n v="31"/>
    <n v="65"/>
    <n v="1.3538461538461539"/>
  </r>
  <r>
    <x v="2"/>
    <x v="0"/>
    <x v="2"/>
    <n v="23"/>
    <x v="8"/>
    <s v="Antoniou"/>
    <n v="1"/>
    <n v="9"/>
    <n v="4"/>
    <n v="0"/>
    <x v="14"/>
    <s v="vs Vasilis"/>
    <n v="186"/>
    <n v="0.4720812182741117"/>
    <n v="55"/>
    <n v="0.36184210526315791"/>
    <n v="0.74"/>
    <n v="501"/>
    <n v="30"/>
    <n v="133"/>
    <n v="98"/>
    <n v="29"/>
    <n v="12"/>
    <n v="79"/>
    <n v="1.240506329113924"/>
  </r>
  <r>
    <x v="2"/>
    <x v="0"/>
    <x v="2"/>
    <n v="23"/>
    <x v="15"/>
    <s v="Vasilis"/>
    <n v="0"/>
    <n v="4"/>
    <n v="9"/>
    <n v="0"/>
    <x v="9"/>
    <s v="vs Antoniou"/>
    <n v="103"/>
    <n v="0.43459915611814348"/>
    <n v="16"/>
    <n v="0.29090909090909089"/>
    <n v="0.73239436619718312"/>
    <n v="274"/>
    <n v="47"/>
    <n v="122"/>
    <n v="65"/>
    <n v="25"/>
    <n v="20"/>
    <n v="45"/>
    <n v="1.4444444444444444"/>
  </r>
  <r>
    <x v="2"/>
    <x v="0"/>
    <x v="2"/>
    <n v="24"/>
    <x v="2"/>
    <s v="Fountos"/>
    <n v="1"/>
    <n v="8"/>
    <n v="5"/>
    <n v="0"/>
    <x v="2"/>
    <s v="vs Sakellariou"/>
    <n v="141"/>
    <n v="0.46229508196721314"/>
    <n v="32"/>
    <n v="0.36363636363636365"/>
    <n v="0.82417582417582413"/>
    <n v="389"/>
    <n v="36"/>
    <n v="131"/>
    <n v="73"/>
    <n v="26"/>
    <n v="21"/>
    <n v="62"/>
    <n v="1.1774193548387097"/>
  </r>
  <r>
    <x v="2"/>
    <x v="0"/>
    <x v="2"/>
    <n v="24"/>
    <x v="3"/>
    <s v="Sakellariou"/>
    <n v="0"/>
    <n v="5"/>
    <n v="8"/>
    <n v="0"/>
    <x v="3"/>
    <s v="vs Fountos"/>
    <n v="140"/>
    <n v="0.43613707165109034"/>
    <n v="48"/>
    <n v="0.39344262295081966"/>
    <n v="0.7865168539325843"/>
    <n v="398"/>
    <n v="28"/>
    <n v="100"/>
    <n v="47"/>
    <n v="24"/>
    <n v="15"/>
    <n v="38"/>
    <n v="1.236842105263158"/>
  </r>
  <r>
    <x v="2"/>
    <x v="0"/>
    <x v="2"/>
    <n v="25"/>
    <x v="6"/>
    <s v="Tassos"/>
    <n v="1"/>
    <n v="8"/>
    <n v="5"/>
    <n v="0"/>
    <x v="20"/>
    <s v="vs Panos"/>
    <n v="191"/>
    <n v="0.48354430379746838"/>
    <n v="40"/>
    <n v="0.34188034188034189"/>
    <n v="0.84615384615384615"/>
    <n v="477"/>
    <n v="30"/>
    <n v="131"/>
    <n v="124"/>
    <n v="42"/>
    <n v="21"/>
    <n v="68"/>
    <n v="1.8235294117647058"/>
  </r>
  <r>
    <x v="2"/>
    <x v="0"/>
    <x v="2"/>
    <n v="25"/>
    <x v="20"/>
    <s v="Guru"/>
    <n v="0"/>
    <n v="5"/>
    <n v="8"/>
    <n v="0"/>
    <x v="7"/>
    <s v="vs Tassos"/>
    <n v="122"/>
    <n v="0.43884892086330934"/>
    <n v="42"/>
    <n v="0.37168141592920356"/>
    <n v="0.77173913043478259"/>
    <n v="357"/>
    <n v="43"/>
    <n v="101"/>
    <n v="76"/>
    <n v="33"/>
    <n v="9"/>
    <n v="39"/>
    <n v="1.9487179487179487"/>
  </r>
  <r>
    <x v="2"/>
    <x v="0"/>
    <x v="2"/>
    <n v="26"/>
    <x v="12"/>
    <s v="Stavros"/>
    <n v="1"/>
    <n v="8"/>
    <n v="5"/>
    <n v="0"/>
    <x v="5"/>
    <s v="vs Mpousaras"/>
    <n v="152"/>
    <n v="0.4779874213836478"/>
    <n v="42"/>
    <n v="0.33600000000000002"/>
    <n v="0.83908045977011492"/>
    <n v="419"/>
    <n v="47"/>
    <n v="135"/>
    <n v="74"/>
    <n v="27"/>
    <n v="26"/>
    <n v="55"/>
    <n v="1.3454545454545455"/>
  </r>
  <r>
    <x v="2"/>
    <x v="0"/>
    <x v="2"/>
    <n v="26"/>
    <x v="4"/>
    <s v="Mpousaras"/>
    <n v="0"/>
    <n v="5"/>
    <n v="8"/>
    <n v="0"/>
    <x v="13"/>
    <s v="vs Stavros"/>
    <n v="163"/>
    <n v="0.49847094801223241"/>
    <n v="28"/>
    <n v="0.3146067415730337"/>
    <n v="0.73972602739726023"/>
    <n v="408"/>
    <n v="39"/>
    <n v="109"/>
    <n v="67"/>
    <n v="24"/>
    <n v="29"/>
    <n v="44"/>
    <n v="1.5227272727272727"/>
  </r>
  <r>
    <x v="2"/>
    <x v="0"/>
    <x v="2"/>
    <n v="27"/>
    <x v="16"/>
    <s v="Aris"/>
    <n v="0"/>
    <n v="2"/>
    <n v="10"/>
    <n v="1"/>
    <x v="8"/>
    <s v="vs Ziogas/Christof"/>
    <n v="164"/>
    <n v="0.52229299363057324"/>
    <n v="31"/>
    <n v="0.30693069306930693"/>
    <n v="0.71287128712871284"/>
    <n v="431"/>
    <n v="31"/>
    <n v="115"/>
    <n v="63"/>
    <n v="23"/>
    <n v="21"/>
    <n v="52"/>
    <n v="1.2115384615384615"/>
  </r>
  <r>
    <x v="2"/>
    <x v="0"/>
    <x v="2"/>
    <n v="27"/>
    <x v="9"/>
    <s v="Ziogas/Christof"/>
    <n v="1"/>
    <n v="10"/>
    <n v="2"/>
    <n v="1"/>
    <x v="17"/>
    <s v="vs Aris"/>
    <n v="197"/>
    <n v="0.53243243243243243"/>
    <n v="40"/>
    <n v="0.36363636363636365"/>
    <n v="0.80487804878048785"/>
    <n v="500"/>
    <n v="33"/>
    <n v="151"/>
    <n v="145"/>
    <n v="20"/>
    <n v="21"/>
    <n v="63"/>
    <n v="2.3015873015873014"/>
  </r>
  <r>
    <x v="2"/>
    <x v="0"/>
    <x v="2"/>
    <n v="28"/>
    <x v="22"/>
    <s v="Miggianis"/>
    <n v="0"/>
    <n v="3"/>
    <n v="10"/>
    <n v="0"/>
    <x v="18"/>
    <s v="vs Nonis"/>
    <n v="136"/>
    <n v="0.38746438746438744"/>
    <n v="43"/>
    <n v="0.32575757575757575"/>
    <n v="0.73015873015873012"/>
    <n v="361"/>
    <n v="33"/>
    <n v="93"/>
    <n v="79"/>
    <n v="29"/>
    <n v="20"/>
    <n v="59"/>
    <n v="1.3389830508474576"/>
  </r>
  <r>
    <x v="2"/>
    <x v="0"/>
    <x v="2"/>
    <n v="28"/>
    <x v="19"/>
    <s v="Nonis"/>
    <n v="1"/>
    <n v="10"/>
    <n v="3"/>
    <n v="0"/>
    <x v="22"/>
    <s v="vs Miggianis"/>
    <n v="189"/>
    <n v="0.45323741007194246"/>
    <n v="53"/>
    <n v="0.3271604938271605"/>
    <n v="0.78030303030303028"/>
    <n v="534"/>
    <n v="47"/>
    <n v="137"/>
    <n v="129"/>
    <n v="24"/>
    <n v="10"/>
    <n v="87"/>
    <n v="1.4827586206896552"/>
  </r>
  <r>
    <x v="2"/>
    <x v="0"/>
    <x v="2"/>
    <n v="29"/>
    <x v="21"/>
    <s v="Tzokos"/>
    <n v="1"/>
    <n v="11"/>
    <n v="2"/>
    <n v="0"/>
    <x v="4"/>
    <s v="vs Markos"/>
    <n v="130"/>
    <n v="0.47794117647058826"/>
    <n v="39"/>
    <n v="0.43333333333333335"/>
    <n v="0.80597014925373134"/>
    <n v="353"/>
    <n v="51"/>
    <n v="125"/>
    <n v="56"/>
    <n v="18"/>
    <n v="25"/>
    <n v="28"/>
    <n v="2"/>
  </r>
  <r>
    <x v="2"/>
    <x v="0"/>
    <x v="2"/>
    <n v="29"/>
    <x v="5"/>
    <s v="Markos"/>
    <n v="0"/>
    <n v="2"/>
    <n v="11"/>
    <n v="0"/>
    <x v="21"/>
    <s v="vs Tzokos"/>
    <n v="74"/>
    <n v="0.38341968911917096"/>
    <n v="21"/>
    <n v="0.28378378378378377"/>
    <n v="0.84126984126984128"/>
    <n v="222"/>
    <n v="30"/>
    <n v="99"/>
    <n v="58"/>
    <n v="17"/>
    <n v="13"/>
    <n v="36"/>
    <n v="1.6111111111111112"/>
  </r>
  <r>
    <x v="2"/>
    <x v="0"/>
    <x v="2"/>
    <n v="30"/>
    <x v="11"/>
    <s v="pi/Sotiris"/>
    <n v="1"/>
    <n v="10"/>
    <n v="2"/>
    <n v="1"/>
    <x v="12"/>
    <s v="vs Kousidis"/>
    <n v="179"/>
    <n v="0.45547073791348602"/>
    <n v="47"/>
    <n v="0.376"/>
    <n v="0.77570093457943923"/>
    <n v="488"/>
    <n v="36"/>
    <n v="163"/>
    <n v="89"/>
    <n v="27"/>
    <n v="24"/>
    <n v="61"/>
    <n v="1.459016393442623"/>
  </r>
  <r>
    <x v="2"/>
    <x v="0"/>
    <x v="2"/>
    <n v="30"/>
    <x v="13"/>
    <s v="Kousidis"/>
    <n v="0"/>
    <n v="2"/>
    <n v="10"/>
    <n v="1"/>
    <x v="10"/>
    <s v="vs pi/Sotiris"/>
    <n v="89"/>
    <n v="0.37083333333333335"/>
    <n v="14"/>
    <n v="0.23333333333333334"/>
    <n v="0.64615384615384619"/>
    <n v="234"/>
    <n v="35"/>
    <n v="91"/>
    <n v="74"/>
    <n v="27"/>
    <n v="13"/>
    <n v="39"/>
    <n v="1.8974358974358974"/>
  </r>
  <r>
    <x v="2"/>
    <x v="0"/>
    <x v="3"/>
    <n v="31"/>
    <x v="19"/>
    <s v="Nonis"/>
    <n v="1"/>
    <n v="10"/>
    <n v="3"/>
    <n v="0"/>
    <x v="6"/>
    <s v="vs Johnny"/>
    <n v="192"/>
    <n v="0.48120300751879697"/>
    <n v="50"/>
    <n v="0.3401360544217687"/>
    <n v="0.80921052631578949"/>
    <n v="557"/>
    <n v="36"/>
    <n v="127"/>
    <n v="133"/>
    <n v="28"/>
    <n v="7"/>
    <n v="66"/>
    <n v="2.0151515151515151"/>
  </r>
  <r>
    <x v="2"/>
    <x v="0"/>
    <x v="3"/>
    <n v="31"/>
    <x v="7"/>
    <s v="Johnny"/>
    <n v="0"/>
    <n v="3"/>
    <n v="10"/>
    <n v="0"/>
    <x v="18"/>
    <s v="vs Nonis"/>
    <n v="134"/>
    <n v="0.43506493506493504"/>
    <n v="46"/>
    <n v="0.31724137931034485"/>
    <n v="0.79710144927536231"/>
    <n v="369"/>
    <n v="22"/>
    <n v="153"/>
    <n v="79"/>
    <n v="19"/>
    <n v="12"/>
    <n v="47"/>
    <n v="1.6808510638297873"/>
  </r>
  <r>
    <x v="2"/>
    <x v="0"/>
    <x v="3"/>
    <n v="32"/>
    <x v="5"/>
    <s v="Markos"/>
    <n v="0"/>
    <n v="4"/>
    <n v="8"/>
    <n v="1"/>
    <x v="13"/>
    <s v="vs Stavros"/>
    <n v="122"/>
    <n v="0.4206896551724138"/>
    <n v="40"/>
    <n v="0.37383177570093457"/>
    <n v="0.72499999999999998"/>
    <n v="342"/>
    <n v="26"/>
    <n v="100"/>
    <n v="88"/>
    <n v="25"/>
    <n v="10"/>
    <n v="37"/>
    <n v="2.3783783783783785"/>
  </r>
  <r>
    <x v="2"/>
    <x v="0"/>
    <x v="3"/>
    <n v="32"/>
    <x v="12"/>
    <s v="Stavros"/>
    <n v="1"/>
    <n v="8"/>
    <n v="4"/>
    <n v="1"/>
    <x v="4"/>
    <s v="vs Markos"/>
    <n v="167"/>
    <n v="0.46388888888888891"/>
    <n v="45"/>
    <n v="0.34090909090909088"/>
    <n v="0.84496124031007747"/>
    <n v="488"/>
    <n v="44"/>
    <n v="109"/>
    <n v="112"/>
    <n v="24"/>
    <n v="10"/>
    <n v="57"/>
    <n v="1.9649122807017543"/>
  </r>
  <r>
    <x v="2"/>
    <x v="0"/>
    <x v="3"/>
    <n v="33"/>
    <x v="22"/>
    <s v="Miggianis"/>
    <n v="1"/>
    <n v="7"/>
    <n v="6"/>
    <n v="0"/>
    <x v="3"/>
    <s v="vs Fountos"/>
    <n v="154"/>
    <n v="0.46525679758308158"/>
    <n v="49"/>
    <n v="0.36842105263157893"/>
    <n v="0.61702127659574468"/>
    <n v="386"/>
    <n v="33"/>
    <n v="87"/>
    <n v="86"/>
    <n v="35"/>
    <n v="15"/>
    <n v="52"/>
    <n v="1.6538461538461537"/>
  </r>
  <r>
    <x v="2"/>
    <x v="0"/>
    <x v="3"/>
    <n v="33"/>
    <x v="2"/>
    <s v="Fountos"/>
    <n v="0"/>
    <n v="6"/>
    <n v="7"/>
    <n v="0"/>
    <x v="22"/>
    <s v="vs Miggianis"/>
    <n v="151"/>
    <n v="0.47335423197492166"/>
    <n v="27"/>
    <n v="0.28421052631578947"/>
    <n v="0.81111111111111112"/>
    <n v="402"/>
    <n v="42"/>
    <n v="152"/>
    <n v="73"/>
    <n v="33"/>
    <n v="21"/>
    <n v="54"/>
    <n v="1.3518518518518519"/>
  </r>
  <r>
    <x v="2"/>
    <x v="0"/>
    <x v="3"/>
    <n v="34"/>
    <x v="9"/>
    <s v="Ziogas/Christof"/>
    <n v="1"/>
    <n v="8"/>
    <n v="4"/>
    <n v="1"/>
    <x v="14"/>
    <s v="vs Vasilis"/>
    <n v="188"/>
    <n v="0.55621301775147924"/>
    <n v="41"/>
    <n v="0.39423076923076922"/>
    <n v="0.67532467532467533"/>
    <n v="469"/>
    <n v="30"/>
    <n v="140"/>
    <n v="109"/>
    <n v="26"/>
    <n v="21"/>
    <n v="41"/>
    <n v="2.6585365853658538"/>
  </r>
  <r>
    <x v="2"/>
    <x v="0"/>
    <x v="3"/>
    <n v="34"/>
    <x v="15"/>
    <s v="Vasilis"/>
    <n v="0"/>
    <n v="4"/>
    <n v="8"/>
    <n v="1"/>
    <x v="8"/>
    <s v="vs Ziogas/Christof"/>
    <n v="169"/>
    <n v="0.50297619047619047"/>
    <n v="28"/>
    <n v="0.38356164383561642"/>
    <n v="0.73809523809523814"/>
    <n v="428"/>
    <n v="68"/>
    <n v="158"/>
    <n v="116"/>
    <n v="23"/>
    <n v="21"/>
    <n v="61"/>
    <n v="1.901639344262295"/>
  </r>
  <r>
    <x v="2"/>
    <x v="0"/>
    <x v="3"/>
    <n v="35"/>
    <x v="18"/>
    <s v="Kotakis"/>
    <n v="1"/>
    <n v="8"/>
    <n v="5"/>
    <n v="0"/>
    <x v="5"/>
    <s v="vs Mpousaras"/>
    <n v="133"/>
    <n v="0.41823899371069184"/>
    <n v="52"/>
    <n v="0.39694656488549618"/>
    <n v="0.8089887640449438"/>
    <n v="390"/>
    <n v="22"/>
    <n v="91"/>
    <n v="98"/>
    <n v="24"/>
    <n v="14"/>
    <n v="52"/>
    <n v="1.8846153846153846"/>
  </r>
  <r>
    <x v="2"/>
    <x v="0"/>
    <x v="3"/>
    <n v="35"/>
    <x v="4"/>
    <s v="Mpousaras"/>
    <n v="0"/>
    <n v="5"/>
    <n v="8"/>
    <n v="0"/>
    <x v="19"/>
    <s v="vs Kotakis"/>
    <n v="118"/>
    <n v="0.47011952191235062"/>
    <n v="25"/>
    <n v="0.33333333333333331"/>
    <n v="0.68"/>
    <n v="312"/>
    <n v="37"/>
    <n v="114"/>
    <n v="70"/>
    <n v="17"/>
    <n v="21"/>
    <n v="39"/>
    <n v="1.7948717948717949"/>
  </r>
  <r>
    <x v="2"/>
    <x v="0"/>
    <x v="3"/>
    <n v="36"/>
    <x v="17"/>
    <s v="Spiridaus/Oladipas"/>
    <n v="1"/>
    <n v="7"/>
    <n v="5"/>
    <n v="1"/>
    <x v="10"/>
    <s v="vs pi/Sotiris"/>
    <n v="127"/>
    <n v="0.4584837545126354"/>
    <n v="36"/>
    <n v="0.33333333333333331"/>
    <n v="0.8"/>
    <n v="386"/>
    <n v="36"/>
    <n v="104"/>
    <n v="86"/>
    <n v="26"/>
    <n v="21"/>
    <n v="43"/>
    <n v="2"/>
  </r>
  <r>
    <x v="2"/>
    <x v="0"/>
    <x v="3"/>
    <n v="36"/>
    <x v="11"/>
    <s v="pi/Sotiris"/>
    <n v="0"/>
    <n v="5"/>
    <n v="7"/>
    <n v="1"/>
    <x v="16"/>
    <s v="vs Spiridaus/Oladipas"/>
    <n v="185"/>
    <n v="0.43735224586288418"/>
    <n v="41"/>
    <n v="0.29710144927536231"/>
    <n v="0.78"/>
    <n v="489"/>
    <n v="48"/>
    <n v="150"/>
    <n v="86"/>
    <n v="22"/>
    <n v="20"/>
    <n v="67"/>
    <n v="1.2835820895522387"/>
  </r>
  <r>
    <x v="2"/>
    <x v="0"/>
    <x v="3"/>
    <n v="37"/>
    <x v="20"/>
    <s v="Guru"/>
    <n v="0"/>
    <n v="4"/>
    <n v="9"/>
    <n v="0"/>
    <x v="21"/>
    <s v="vs Tzokos"/>
    <n v="134"/>
    <n v="0.46366782006920415"/>
    <n v="31"/>
    <n v="0.31632653061224492"/>
    <n v="0.82051282051282048"/>
    <n v="363"/>
    <n v="32"/>
    <n v="99"/>
    <n v="87"/>
    <n v="29"/>
    <n v="12"/>
    <n v="44"/>
    <n v="1.9772727272727273"/>
  </r>
  <r>
    <x v="2"/>
    <x v="0"/>
    <x v="3"/>
    <n v="37"/>
    <x v="21"/>
    <s v="Tzokos"/>
    <n v="1"/>
    <n v="9"/>
    <n v="4"/>
    <n v="0"/>
    <x v="20"/>
    <s v="vs Panos"/>
    <n v="129"/>
    <n v="0.46739130434782611"/>
    <n v="38"/>
    <n v="0.36893203883495146"/>
    <n v="0.83529411764705885"/>
    <n v="367"/>
    <n v="36"/>
    <n v="109"/>
    <n v="59"/>
    <n v="10"/>
    <n v="19"/>
    <n v="33"/>
    <n v="1.7878787878787878"/>
  </r>
  <r>
    <x v="2"/>
    <x v="0"/>
    <x v="3"/>
    <n v="38"/>
    <x v="13"/>
    <s v="Kousidis"/>
    <n v="0"/>
    <n v="4"/>
    <n v="9"/>
    <n v="0"/>
    <x v="2"/>
    <s v="vs Sakellariou"/>
    <n v="133"/>
    <n v="0.46830985915492956"/>
    <n v="25"/>
    <n v="0.32467532467532467"/>
    <n v="0.75"/>
    <n v="333"/>
    <n v="26"/>
    <n v="117"/>
    <n v="68"/>
    <n v="22"/>
    <n v="16"/>
    <n v="40"/>
    <n v="1.7"/>
  </r>
  <r>
    <x v="2"/>
    <x v="0"/>
    <x v="3"/>
    <n v="38"/>
    <x v="3"/>
    <s v="Sakellariou"/>
    <n v="1"/>
    <n v="9"/>
    <n v="4"/>
    <n v="0"/>
    <x v="12"/>
    <s v="vs Kousidis"/>
    <n v="134"/>
    <n v="0.43648208469055377"/>
    <n v="37"/>
    <n v="0.37"/>
    <n v="0.7558139534883721"/>
    <n v="370"/>
    <n v="30"/>
    <n v="79"/>
    <n v="65"/>
    <n v="15"/>
    <n v="17"/>
    <n v="36"/>
    <n v="1.8055555555555556"/>
  </r>
  <r>
    <x v="2"/>
    <x v="0"/>
    <x v="3"/>
    <n v="39"/>
    <x v="1"/>
    <s v="Fanis"/>
    <n v="1"/>
    <n v="7"/>
    <n v="6"/>
    <n v="0"/>
    <x v="9"/>
    <s v="vs Antoniou"/>
    <n v="128"/>
    <n v="0.47232472324723246"/>
    <n v="42"/>
    <n v="0.3925233644859813"/>
    <n v="0.76699029126213591"/>
    <n v="377"/>
    <n v="48"/>
    <n v="142"/>
    <n v="83"/>
    <n v="35"/>
    <n v="17"/>
    <n v="52"/>
    <n v="1.5961538461538463"/>
  </r>
  <r>
    <x v="2"/>
    <x v="0"/>
    <x v="3"/>
    <n v="39"/>
    <x v="8"/>
    <s v="Antoniou"/>
    <n v="0"/>
    <n v="6"/>
    <n v="7"/>
    <n v="0"/>
    <x v="0"/>
    <s v="vs Fanis"/>
    <n v="169"/>
    <n v="0.4733893557422969"/>
    <n v="52"/>
    <n v="0.38518518518518519"/>
    <n v="0.81415929203539827"/>
    <n v="482"/>
    <n v="24"/>
    <n v="117"/>
    <n v="85"/>
    <n v="23"/>
    <n v="10"/>
    <n v="71"/>
    <n v="1.1971830985915493"/>
  </r>
  <r>
    <x v="2"/>
    <x v="0"/>
    <x v="3"/>
    <n v="40"/>
    <x v="6"/>
    <s v="Tassos"/>
    <n v="1"/>
    <n v="11"/>
    <n v="2"/>
    <n v="0"/>
    <x v="17"/>
    <s v="vs Aris"/>
    <n v="188"/>
    <n v="0.44339622641509435"/>
    <n v="57"/>
    <n v="0.37748344370860926"/>
    <n v="0.875"/>
    <n v="538"/>
    <n v="40"/>
    <n v="135"/>
    <n v="105"/>
    <n v="32"/>
    <n v="16"/>
    <n v="67"/>
    <n v="1.5671641791044777"/>
  </r>
  <r>
    <x v="2"/>
    <x v="0"/>
    <x v="3"/>
    <n v="40"/>
    <x v="16"/>
    <s v="Aris"/>
    <n v="0"/>
    <n v="2"/>
    <n v="11"/>
    <n v="0"/>
    <x v="7"/>
    <s v="vs Tassos"/>
    <n v="157"/>
    <n v="0.47005988023952094"/>
    <n v="43"/>
    <n v="0.36134453781512604"/>
    <n v="0.81159420289855078"/>
    <n v="413"/>
    <n v="32"/>
    <n v="123"/>
    <n v="89"/>
    <n v="28"/>
    <n v="13"/>
    <n v="58"/>
    <n v="1.5344827586206897"/>
  </r>
  <r>
    <x v="2"/>
    <x v="0"/>
    <x v="4"/>
    <n v="41"/>
    <x v="1"/>
    <s v="Fanis"/>
    <n v="1"/>
    <n v="9"/>
    <n v="4"/>
    <n v="0"/>
    <x v="20"/>
    <s v="vs Panos"/>
    <n v="166"/>
    <n v="0.48396501457725949"/>
    <n v="48"/>
    <n v="0.38095238095238093"/>
    <n v="0.68421052631578949"/>
    <n v="458"/>
    <n v="40"/>
    <n v="179"/>
    <n v="127"/>
    <n v="53"/>
    <n v="27"/>
    <n v="69"/>
    <n v="1.8405797101449275"/>
  </r>
  <r>
    <x v="2"/>
    <x v="0"/>
    <x v="4"/>
    <n v="41"/>
    <x v="20"/>
    <s v="Guru"/>
    <n v="0"/>
    <n v="4"/>
    <n v="9"/>
    <n v="0"/>
    <x v="0"/>
    <s v="vs Fanis"/>
    <n v="153"/>
    <n v="0.42265193370165743"/>
    <n v="70"/>
    <n v="0.39106145251396646"/>
    <n v="0.82558139534883723"/>
    <n v="447"/>
    <n v="25"/>
    <n v="113"/>
    <n v="95"/>
    <n v="29"/>
    <n v="21"/>
    <n v="65"/>
    <n v="1.4615384615384615"/>
  </r>
  <r>
    <x v="2"/>
    <x v="0"/>
    <x v="4"/>
    <n v="42"/>
    <x v="7"/>
    <s v="Johnny"/>
    <n v="1"/>
    <n v="8"/>
    <n v="5"/>
    <n v="0"/>
    <x v="8"/>
    <s v="vs Ziogas/Christof"/>
    <n v="221"/>
    <n v="0.44918699186991867"/>
    <n v="62"/>
    <n v="0.34831460674157305"/>
    <n v="0.77906976744186052"/>
    <n v="638"/>
    <n v="61"/>
    <n v="216"/>
    <n v="105"/>
    <n v="40"/>
    <n v="17"/>
    <n v="68"/>
    <n v="1.5441176470588236"/>
  </r>
  <r>
    <x v="2"/>
    <x v="0"/>
    <x v="4"/>
    <n v="42"/>
    <x v="9"/>
    <s v="Ziogas/Christof"/>
    <n v="0"/>
    <n v="5"/>
    <n v="8"/>
    <n v="0"/>
    <x v="6"/>
    <s v="vs Johnny"/>
    <n v="150"/>
    <n v="0.47318611987381703"/>
    <n v="41"/>
    <n v="0.39047619047619048"/>
    <n v="0.77272727272727271"/>
    <n v="392"/>
    <n v="40"/>
    <n v="123"/>
    <n v="100"/>
    <n v="23"/>
    <n v="27"/>
    <n v="56"/>
    <n v="1.7857142857142858"/>
  </r>
  <r>
    <x v="2"/>
    <x v="0"/>
    <x v="4"/>
    <n v="43"/>
    <x v="5"/>
    <s v="Markos"/>
    <n v="0"/>
    <n v="5"/>
    <n v="7"/>
    <n v="1"/>
    <x v="19"/>
    <s v="vs Kotakis"/>
    <n v="133"/>
    <n v="0.47499999999999998"/>
    <n v="40"/>
    <n v="0.35714285714285715"/>
    <n v="0.79104477611940294"/>
    <n v="359"/>
    <n v="31"/>
    <n v="111"/>
    <n v="94"/>
    <n v="22"/>
    <n v="12"/>
    <n v="48"/>
    <n v="1.9583333333333333"/>
  </r>
  <r>
    <x v="2"/>
    <x v="0"/>
    <x v="4"/>
    <n v="43"/>
    <x v="18"/>
    <s v="Kotakis"/>
    <n v="1"/>
    <n v="7"/>
    <n v="5"/>
    <n v="1"/>
    <x v="4"/>
    <s v="vs Markos"/>
    <n v="151"/>
    <n v="0.46749226006191952"/>
    <n v="64"/>
    <n v="0.50793650793650791"/>
    <n v="0.84146341463414631"/>
    <n v="435"/>
    <n v="24"/>
    <n v="120"/>
    <n v="90"/>
    <n v="22"/>
    <n v="13"/>
    <n v="55"/>
    <n v="1.6363636363636365"/>
  </r>
  <r>
    <x v="2"/>
    <x v="0"/>
    <x v="4"/>
    <n v="44"/>
    <x v="2"/>
    <s v="Fountos"/>
    <n v="0"/>
    <n v="5"/>
    <n v="8"/>
    <n v="0"/>
    <x v="18"/>
    <s v="vs Nonis"/>
    <n v="147"/>
    <n v="0.44277108433734941"/>
    <n v="42"/>
    <n v="0.35"/>
    <n v="0.81914893617021278"/>
    <n v="413"/>
    <n v="38"/>
    <n v="155"/>
    <n v="90"/>
    <n v="40"/>
    <n v="16"/>
    <n v="53"/>
    <n v="1.6981132075471699"/>
  </r>
  <r>
    <x v="2"/>
    <x v="0"/>
    <x v="4"/>
    <n v="44"/>
    <x v="19"/>
    <s v="Nonis"/>
    <n v="1"/>
    <n v="8"/>
    <n v="5"/>
    <n v="0"/>
    <x v="3"/>
    <s v="vs Fountos"/>
    <n v="206"/>
    <n v="0.49519230769230771"/>
    <n v="58"/>
    <n v="0.37908496732026142"/>
    <n v="0.77477477477477474"/>
    <n v="556"/>
    <n v="40"/>
    <n v="152"/>
    <n v="147"/>
    <n v="34"/>
    <n v="12"/>
    <n v="64"/>
    <n v="2.296875"/>
  </r>
  <r>
    <x v="2"/>
    <x v="0"/>
    <x v="4"/>
    <n v="45"/>
    <x v="22"/>
    <s v="Miggianis"/>
    <n v="1"/>
    <n v="9"/>
    <n v="4"/>
    <n v="0"/>
    <x v="14"/>
    <s v="vs Vasilis"/>
    <n v="147"/>
    <n v="0.48675496688741721"/>
    <n v="49"/>
    <n v="0.3888888888888889"/>
    <n v="0.68918918918918914"/>
    <n v="394"/>
    <n v="29"/>
    <n v="99"/>
    <n v="64"/>
    <n v="20"/>
    <n v="26"/>
    <n v="42"/>
    <n v="1.5238095238095237"/>
  </r>
  <r>
    <x v="2"/>
    <x v="0"/>
    <x v="4"/>
    <n v="45"/>
    <x v="15"/>
    <s v="Vasilis"/>
    <n v="0"/>
    <n v="4"/>
    <n v="9"/>
    <n v="0"/>
    <x v="22"/>
    <s v="vs Miggianis"/>
    <n v="107"/>
    <n v="0.48636363636363639"/>
    <n v="20"/>
    <n v="0.35714285714285715"/>
    <n v="0.60606060606060608"/>
    <n v="274"/>
    <n v="34"/>
    <n v="126"/>
    <n v="81"/>
    <n v="18"/>
    <n v="9"/>
    <n v="49"/>
    <n v="1.653061224489796"/>
  </r>
  <r>
    <x v="2"/>
    <x v="0"/>
    <x v="4"/>
    <n v="46"/>
    <x v="16"/>
    <s v="Aris"/>
    <n v="1"/>
    <n v="8"/>
    <n v="5"/>
    <n v="0"/>
    <x v="10"/>
    <s v="vs pi/Sotiris"/>
    <n v="205"/>
    <n v="0.47126436781609193"/>
    <n v="56"/>
    <n v="0.35668789808917195"/>
    <n v="0.80909090909090908"/>
    <n v="555"/>
    <n v="38"/>
    <n v="134"/>
    <n v="110"/>
    <n v="33"/>
    <n v="8"/>
    <n v="72"/>
    <n v="1.5277777777777777"/>
  </r>
  <r>
    <x v="2"/>
    <x v="0"/>
    <x v="4"/>
    <n v="46"/>
    <x v="11"/>
    <s v="pi/Sotiris"/>
    <n v="0"/>
    <n v="5"/>
    <n v="8"/>
    <n v="0"/>
    <x v="17"/>
    <s v="vs Aris"/>
    <n v="167"/>
    <n v="0.47308781869688388"/>
    <n v="36"/>
    <n v="0.33333333333333331"/>
    <n v="0.75454545454545452"/>
    <n v="453"/>
    <n v="57"/>
    <n v="133"/>
    <n v="73"/>
    <n v="28"/>
    <n v="20"/>
    <n v="45"/>
    <n v="1.6222222222222222"/>
  </r>
  <r>
    <x v="2"/>
    <x v="0"/>
    <x v="4"/>
    <n v="47"/>
    <x v="6"/>
    <s v="Tassos"/>
    <n v="1"/>
    <n v="9"/>
    <n v="4"/>
    <n v="0"/>
    <x v="13"/>
    <s v="vs Stavros"/>
    <n v="174"/>
    <n v="0.43718592964824121"/>
    <n v="65"/>
    <n v="0.38461538461538464"/>
    <n v="0.84337349397590367"/>
    <n v="483"/>
    <n v="19"/>
    <n v="104"/>
    <n v="102"/>
    <n v="32"/>
    <n v="24"/>
    <n v="52"/>
    <n v="1.9615384615384615"/>
  </r>
  <r>
    <x v="2"/>
    <x v="0"/>
    <x v="4"/>
    <n v="47"/>
    <x v="12"/>
    <s v="Stavros"/>
    <n v="0"/>
    <n v="4"/>
    <n v="9"/>
    <n v="0"/>
    <x v="7"/>
    <s v="vs Tassos"/>
    <n v="145"/>
    <n v="0.41786743515850144"/>
    <n v="63"/>
    <n v="0.40384615384615385"/>
    <n v="0.73913043478260865"/>
    <n v="404"/>
    <n v="38"/>
    <n v="134"/>
    <n v="111"/>
    <n v="22"/>
    <n v="13"/>
    <n v="66"/>
    <n v="1.6818181818181819"/>
  </r>
  <r>
    <x v="2"/>
    <x v="0"/>
    <x v="4"/>
    <n v="48"/>
    <x v="3"/>
    <s v="Sakellariou"/>
    <n v="1"/>
    <n v="12"/>
    <n v="1"/>
    <n v="0"/>
    <x v="21"/>
    <s v="vs Tzokos"/>
    <n v="174"/>
    <n v="0.47411444141689374"/>
    <n v="56"/>
    <n v="0.40579710144927539"/>
    <n v="0.78991596638655459"/>
    <n v="498"/>
    <n v="53"/>
    <n v="130"/>
    <n v="101"/>
    <n v="26"/>
    <n v="23"/>
    <n v="54"/>
    <n v="1.8703703703703705"/>
  </r>
  <r>
    <x v="2"/>
    <x v="0"/>
    <x v="4"/>
    <n v="48"/>
    <x v="21"/>
    <s v="Tzokos"/>
    <n v="0"/>
    <n v="1"/>
    <n v="12"/>
    <n v="0"/>
    <x v="2"/>
    <s v="vs Sakellariou"/>
    <n v="125"/>
    <n v="0.45787545787545786"/>
    <n v="55"/>
    <n v="0.40145985401459855"/>
    <n v="0.71875"/>
    <n v="328"/>
    <n v="31"/>
    <n v="81"/>
    <n v="62"/>
    <n v="18"/>
    <n v="10"/>
    <n v="53"/>
    <n v="1.1698113207547169"/>
  </r>
  <r>
    <x v="2"/>
    <x v="0"/>
    <x v="4"/>
    <n v="49"/>
    <x v="8"/>
    <s v="Antoniou"/>
    <n v="1"/>
    <n v="8"/>
    <n v="4"/>
    <n v="1"/>
    <x v="16"/>
    <s v="vs Spiridaus/Oladipas"/>
    <n v="178"/>
    <n v="0.47593582887700536"/>
    <n v="56"/>
    <n v="0.3783783783783784"/>
    <n v="0.78504672897196259"/>
    <n v="496"/>
    <n v="32"/>
    <n v="130"/>
    <n v="113"/>
    <n v="37"/>
    <n v="21"/>
    <n v="72"/>
    <n v="1.5694444444444444"/>
  </r>
  <r>
    <x v="2"/>
    <x v="0"/>
    <x v="4"/>
    <n v="49"/>
    <x v="17"/>
    <s v="Spiridaus/Oladipas"/>
    <n v="0"/>
    <n v="4"/>
    <n v="8"/>
    <n v="1"/>
    <x v="9"/>
    <s v="vs Antoniou"/>
    <n v="137"/>
    <n v="0.42812499999999998"/>
    <n v="50"/>
    <n v="0.37593984962406013"/>
    <n v="0.87209302325581395"/>
    <n v="399"/>
    <n v="40"/>
    <n v="101"/>
    <n v="92"/>
    <n v="32"/>
    <n v="21"/>
    <n v="50"/>
    <n v="1.84"/>
  </r>
  <r>
    <x v="2"/>
    <x v="0"/>
    <x v="4"/>
    <n v="50"/>
    <x v="13"/>
    <s v="Kousidis"/>
    <n v="1"/>
    <n v="10"/>
    <n v="3"/>
    <n v="0"/>
    <x v="5"/>
    <s v="vs Mpousaras"/>
    <n v="149"/>
    <n v="0.48220064724919093"/>
    <n v="19"/>
    <n v="0.35849056603773582"/>
    <n v="0.70526315789473681"/>
    <n v="384"/>
    <n v="45"/>
    <n v="117"/>
    <n v="94"/>
    <n v="27"/>
    <n v="15"/>
    <n v="47"/>
    <n v="2"/>
  </r>
  <r>
    <x v="2"/>
    <x v="0"/>
    <x v="4"/>
    <n v="50"/>
    <x v="4"/>
    <s v="Mpousaras"/>
    <n v="0"/>
    <n v="3"/>
    <n v="10"/>
    <n v="0"/>
    <x v="12"/>
    <s v="vs Kousidis"/>
    <n v="143"/>
    <n v="0.47826086956521741"/>
    <n v="25"/>
    <n v="0.32051282051282054"/>
    <n v="0.7857142857142857"/>
    <n v="366"/>
    <n v="41"/>
    <n v="92"/>
    <n v="79"/>
    <n v="22"/>
    <n v="11"/>
    <n v="45"/>
    <n v="1.7555555555555555"/>
  </r>
  <r>
    <x v="2"/>
    <x v="0"/>
    <x v="5"/>
    <n v="51"/>
    <x v="6"/>
    <s v="Tassos"/>
    <n v="1"/>
    <n v="9"/>
    <n v="4"/>
    <n v="0"/>
    <x v="21"/>
    <s v="vs Tzokos"/>
    <n v="184"/>
    <n v="0.42790697674418604"/>
    <n v="68"/>
    <n v="0.36956521739130432"/>
    <n v="0.83908045977011492"/>
    <n v="509"/>
    <n v="25"/>
    <n v="131"/>
    <n v="101"/>
    <n v="35"/>
    <n v="27"/>
    <n v="59"/>
    <n v="1.7118644067796611"/>
  </r>
  <r>
    <x v="2"/>
    <x v="0"/>
    <x v="5"/>
    <n v="51"/>
    <x v="21"/>
    <s v="Tzokos"/>
    <n v="0"/>
    <n v="4"/>
    <n v="9"/>
    <n v="0"/>
    <x v="7"/>
    <s v="vs Tassos"/>
    <n v="133"/>
    <n v="0.43181818181818182"/>
    <n v="48"/>
    <n v="0.36923076923076925"/>
    <n v="0.81818181818181823"/>
    <n v="359"/>
    <n v="28"/>
    <n v="114"/>
    <n v="72"/>
    <n v="24"/>
    <n v="25"/>
    <n v="39"/>
    <n v="1.8461538461538463"/>
  </r>
  <r>
    <x v="2"/>
    <x v="0"/>
    <x v="5"/>
    <n v="52"/>
    <x v="1"/>
    <s v="Fanis"/>
    <n v="1"/>
    <n v="10"/>
    <n v="3"/>
    <n v="0"/>
    <x v="5"/>
    <s v="vs Mpousaras"/>
    <n v="193"/>
    <n v="0.46394230769230771"/>
    <n v="57"/>
    <n v="0.35403726708074534"/>
    <n v="0.65546218487394958"/>
    <n v="521"/>
    <n v="64"/>
    <n v="186"/>
    <n v="119"/>
    <n v="32"/>
    <n v="23"/>
    <n v="65"/>
    <n v="1.8307692307692307"/>
  </r>
  <r>
    <x v="2"/>
    <x v="0"/>
    <x v="5"/>
    <n v="52"/>
    <x v="4"/>
    <s v="Mpousaras"/>
    <n v="0"/>
    <n v="3"/>
    <n v="10"/>
    <n v="0"/>
    <x v="0"/>
    <s v="vs Fanis"/>
    <n v="162"/>
    <n v="0.50943396226415094"/>
    <n v="38"/>
    <n v="0.4175824175824176"/>
    <n v="0.62790697674418605"/>
    <n v="416"/>
    <n v="40"/>
    <n v="121"/>
    <n v="79"/>
    <n v="26"/>
    <n v="18"/>
    <n v="57"/>
    <n v="1.3859649122807018"/>
  </r>
  <r>
    <x v="2"/>
    <x v="0"/>
    <x v="5"/>
    <n v="53"/>
    <x v="8"/>
    <s v="Antoniou"/>
    <n v="1"/>
    <n v="10"/>
    <n v="3"/>
    <n v="0"/>
    <x v="6"/>
    <s v="vs Johnny"/>
    <n v="156"/>
    <n v="0.44067796610169491"/>
    <n v="52"/>
    <n v="0.3611111111111111"/>
    <n v="0.84269662921348309"/>
    <n v="439"/>
    <n v="42"/>
    <n v="131"/>
    <n v="94"/>
    <n v="22"/>
    <n v="17"/>
    <n v="54"/>
    <n v="1.7407407407407407"/>
  </r>
  <r>
    <x v="2"/>
    <x v="0"/>
    <x v="5"/>
    <n v="53"/>
    <x v="7"/>
    <s v="Johnny"/>
    <n v="0"/>
    <n v="3"/>
    <n v="10"/>
    <n v="0"/>
    <x v="9"/>
    <s v="vs Antoniou"/>
    <n v="136"/>
    <n v="0.43729903536977494"/>
    <n v="49"/>
    <n v="0.36296296296296299"/>
    <n v="0.79710144927536231"/>
    <n v="376"/>
    <n v="20"/>
    <n v="132"/>
    <n v="62"/>
    <n v="20"/>
    <n v="9"/>
    <n v="48"/>
    <n v="1.2916666666666667"/>
  </r>
  <r>
    <x v="2"/>
    <x v="0"/>
    <x v="5"/>
    <n v="54"/>
    <x v="5"/>
    <s v="Markos"/>
    <n v="0"/>
    <n v="4"/>
    <n v="9"/>
    <n v="0"/>
    <x v="2"/>
    <s v="vs Sakellariou"/>
    <n v="129"/>
    <n v="0.39209726443769"/>
    <n v="31"/>
    <n v="0.23846153846153847"/>
    <n v="0.82407407407407407"/>
    <n v="378"/>
    <n v="45"/>
    <n v="147"/>
    <n v="69"/>
    <n v="31"/>
    <n v="23"/>
    <n v="62"/>
    <n v="1.1129032258064515"/>
  </r>
  <r>
    <x v="2"/>
    <x v="0"/>
    <x v="5"/>
    <n v="54"/>
    <x v="3"/>
    <s v="Sakellariou"/>
    <n v="1"/>
    <n v="9"/>
    <n v="4"/>
    <n v="0"/>
    <x v="4"/>
    <s v="vs Markos"/>
    <n v="187"/>
    <n v="0.4605911330049261"/>
    <n v="60"/>
    <n v="0.40268456375838924"/>
    <n v="0.77011494252873558"/>
    <n v="501"/>
    <n v="41"/>
    <n v="148"/>
    <n v="108"/>
    <n v="23"/>
    <n v="13"/>
    <n v="49"/>
    <n v="2.204081632653061"/>
  </r>
  <r>
    <x v="2"/>
    <x v="0"/>
    <x v="5"/>
    <n v="55"/>
    <x v="16"/>
    <s v="Aris"/>
    <n v="1"/>
    <n v="8"/>
    <n v="4"/>
    <n v="1"/>
    <x v="22"/>
    <s v="vs Miggianis"/>
    <n v="173"/>
    <n v="0.46380697050938335"/>
    <n v="29"/>
    <n v="0.27884615384615385"/>
    <n v="0.7558139534883721"/>
    <n v="440"/>
    <n v="55"/>
    <n v="145"/>
    <n v="89"/>
    <n v="32"/>
    <n v="19"/>
    <n v="47"/>
    <n v="1.8936170212765957"/>
  </r>
  <r>
    <x v="2"/>
    <x v="0"/>
    <x v="5"/>
    <n v="55"/>
    <x v="22"/>
    <s v="Miggianis"/>
    <n v="0"/>
    <n v="4"/>
    <n v="8"/>
    <n v="1"/>
    <x v="17"/>
    <s v="vs Aris"/>
    <n v="133"/>
    <n v="0.43181818181818182"/>
    <n v="47"/>
    <n v="0.38524590163934425"/>
    <n v="0.71153846153846156"/>
    <n v="350"/>
    <n v="38"/>
    <n v="97"/>
    <n v="73"/>
    <n v="18"/>
    <n v="19"/>
    <n v="36"/>
    <n v="2.0277777777777777"/>
  </r>
  <r>
    <x v="2"/>
    <x v="0"/>
    <x v="5"/>
    <n v="56"/>
    <x v="11"/>
    <s v="pi/Sotiris"/>
    <n v="1"/>
    <n v="7"/>
    <n v="6"/>
    <n v="0"/>
    <x v="19"/>
    <s v="vs Kotakis"/>
    <n v="198"/>
    <n v="0.44"/>
    <n v="58"/>
    <n v="0.35802469135802467"/>
    <n v="0.74015748031496065"/>
    <n v="548"/>
    <n v="67"/>
    <n v="203"/>
    <n v="97"/>
    <n v="34"/>
    <n v="25"/>
    <n v="75"/>
    <n v="1.2933333333333332"/>
  </r>
  <r>
    <x v="2"/>
    <x v="0"/>
    <x v="5"/>
    <n v="56"/>
    <x v="18"/>
    <s v="Kotakis"/>
    <n v="0"/>
    <n v="6"/>
    <n v="7"/>
    <n v="0"/>
    <x v="10"/>
    <s v="vs pi/Sotiris"/>
    <n v="171"/>
    <n v="0.46091644204851751"/>
    <n v="55"/>
    <n v="0.38461538461538464"/>
    <n v="0.74489795918367352"/>
    <n v="470"/>
    <n v="24"/>
    <n v="118"/>
    <n v="133"/>
    <n v="27"/>
    <n v="18"/>
    <n v="48"/>
    <n v="2.7708333333333335"/>
  </r>
  <r>
    <x v="2"/>
    <x v="0"/>
    <x v="5"/>
    <n v="57"/>
    <x v="13"/>
    <s v="Kousidis"/>
    <n v="0"/>
    <n v="6"/>
    <n v="7"/>
    <n v="0"/>
    <x v="3"/>
    <s v="vs Fountos"/>
    <n v="140"/>
    <n v="0.50724637681159424"/>
    <n v="29"/>
    <n v="0.453125"/>
    <n v="0.77215189873417722"/>
    <n v="370"/>
    <n v="38"/>
    <n v="111"/>
    <n v="88"/>
    <n v="29"/>
    <n v="11"/>
    <n v="40"/>
    <n v="2.2000000000000002"/>
  </r>
  <r>
    <x v="2"/>
    <x v="0"/>
    <x v="5"/>
    <n v="57"/>
    <x v="2"/>
    <s v="Fountos"/>
    <n v="1"/>
    <n v="7"/>
    <n v="6"/>
    <n v="0"/>
    <x v="12"/>
    <s v="vs Kousidis"/>
    <n v="167"/>
    <n v="0.44063324538258575"/>
    <n v="38"/>
    <n v="0.3392857142857143"/>
    <n v="0.81914893617021278"/>
    <n v="449"/>
    <n v="34"/>
    <n v="148"/>
    <n v="97"/>
    <n v="25"/>
    <n v="23"/>
    <n v="53"/>
    <n v="1.8301886792452831"/>
  </r>
  <r>
    <x v="2"/>
    <x v="0"/>
    <x v="5"/>
    <n v="58"/>
    <x v="17"/>
    <s v="Spiridaus/Oladipas"/>
    <n v="0"/>
    <n v="6"/>
    <n v="6"/>
    <n v="1"/>
    <x v="18"/>
    <s v="vs Nonis"/>
    <n v="191"/>
    <n v="0.45584725536992843"/>
    <n v="54"/>
    <n v="0.35526315789473684"/>
    <n v="0.8125"/>
    <n v="527"/>
    <n v="41"/>
    <n v="145"/>
    <n v="105"/>
    <n v="40"/>
    <n v="32"/>
    <n v="53"/>
    <n v="1.9811320754716981"/>
  </r>
  <r>
    <x v="2"/>
    <x v="0"/>
    <x v="5"/>
    <n v="58"/>
    <x v="19"/>
    <s v="Nonis"/>
    <n v="0"/>
    <n v="6"/>
    <n v="6"/>
    <n v="1"/>
    <x v="16"/>
    <s v="vs Spiridaus/Oladipas"/>
    <n v="221"/>
    <n v="0.47323340471092079"/>
    <n v="68"/>
    <n v="0.37988826815642457"/>
    <n v="0.78888888888888886"/>
    <n v="652"/>
    <n v="41"/>
    <n v="144"/>
    <n v="133"/>
    <n v="39"/>
    <n v="23"/>
    <n v="81"/>
    <n v="1.6419753086419753"/>
  </r>
  <r>
    <x v="2"/>
    <x v="0"/>
    <x v="5"/>
    <n v="59"/>
    <x v="9"/>
    <s v="Ziogas/Christof"/>
    <n v="0"/>
    <n v="5"/>
    <n v="8"/>
    <n v="0"/>
    <x v="20"/>
    <s v="vs Panos"/>
    <n v="181"/>
    <n v="0.50138504155124652"/>
    <n v="51"/>
    <n v="0.40799999999999997"/>
    <n v="0.72448979591836737"/>
    <n v="484"/>
    <n v="32"/>
    <n v="142"/>
    <n v="162"/>
    <n v="35"/>
    <n v="20"/>
    <n v="72"/>
    <n v="2.25"/>
  </r>
  <r>
    <x v="2"/>
    <x v="0"/>
    <x v="5"/>
    <n v="59"/>
    <x v="20"/>
    <s v="Guru"/>
    <n v="1"/>
    <n v="8"/>
    <n v="5"/>
    <n v="0"/>
    <x v="8"/>
    <s v="vs Ziogas/Christof"/>
    <n v="191"/>
    <n v="0.47044334975369456"/>
    <n v="62"/>
    <n v="0.38509316770186336"/>
    <n v="0.84090909090909094"/>
    <n v="518"/>
    <n v="40"/>
    <n v="143"/>
    <n v="129"/>
    <n v="30"/>
    <n v="19"/>
    <n v="53"/>
    <n v="2.4339622641509435"/>
  </r>
  <r>
    <x v="2"/>
    <x v="0"/>
    <x v="5"/>
    <n v="60"/>
    <x v="15"/>
    <s v="Vasilis"/>
    <n v="1"/>
    <n v="7"/>
    <n v="6"/>
    <n v="0"/>
    <x v="13"/>
    <s v="vs Stavros"/>
    <n v="154"/>
    <n v="0.51677852348993292"/>
    <n v="31"/>
    <n v="0.36904761904761907"/>
    <n v="0.75471698113207553"/>
    <n v="419"/>
    <n v="39"/>
    <n v="150"/>
    <n v="115"/>
    <n v="39"/>
    <n v="12"/>
    <n v="58"/>
    <n v="1.9827586206896552"/>
  </r>
  <r>
    <x v="2"/>
    <x v="0"/>
    <x v="5"/>
    <n v="60"/>
    <x v="12"/>
    <s v="Stavros"/>
    <n v="0"/>
    <n v="6"/>
    <n v="7"/>
    <n v="0"/>
    <x v="14"/>
    <s v="vs Vasilis"/>
    <n v="157"/>
    <n v="0.41315789473684211"/>
    <n v="59"/>
    <n v="0.3597560975609756"/>
    <n v="0.86792452830188682"/>
    <n v="465"/>
    <n v="34"/>
    <n v="131"/>
    <n v="128"/>
    <n v="27"/>
    <n v="21"/>
    <n v="75"/>
    <n v="1.7066666666666668"/>
  </r>
  <r>
    <x v="2"/>
    <x v="0"/>
    <x v="6"/>
    <n v="61"/>
    <x v="18"/>
    <s v="Kotakis"/>
    <n v="0"/>
    <n v="6"/>
    <n v="6"/>
    <n v="1"/>
    <x v="7"/>
    <s v="vs Tassos"/>
    <n v="141"/>
    <n v="0.45192307692307693"/>
    <n v="43"/>
    <n v="0.36440677966101692"/>
    <n v="0.81308411214953269"/>
    <n v="412"/>
    <n v="26"/>
    <n v="123"/>
    <n v="98"/>
    <n v="40"/>
    <n v="15"/>
    <n v="53"/>
    <n v="1.8490566037735849"/>
  </r>
  <r>
    <x v="2"/>
    <x v="0"/>
    <x v="6"/>
    <n v="61"/>
    <x v="6"/>
    <s v="Tassos"/>
    <n v="0"/>
    <n v="6"/>
    <n v="6"/>
    <n v="1"/>
    <x v="19"/>
    <s v="vs Kotakis"/>
    <n v="175"/>
    <n v="0.4475703324808184"/>
    <n v="43"/>
    <n v="0.3282442748091603"/>
    <n v="0.76190476190476186"/>
    <n v="457"/>
    <n v="31"/>
    <n v="105"/>
    <n v="113"/>
    <n v="30"/>
    <n v="20"/>
    <n v="59"/>
    <n v="1.9152542372881356"/>
  </r>
  <r>
    <x v="2"/>
    <x v="0"/>
    <x v="6"/>
    <n v="62"/>
    <x v="2"/>
    <s v="Fountos"/>
    <n v="0"/>
    <n v="5"/>
    <n v="8"/>
    <n v="0"/>
    <x v="5"/>
    <s v="vs Mpousaras"/>
    <n v="135"/>
    <n v="0.45302013422818793"/>
    <n v="21"/>
    <n v="0.2413793103448276"/>
    <n v="0.74226804123711343"/>
    <n v="363"/>
    <n v="39"/>
    <n v="106"/>
    <n v="86"/>
    <n v="29"/>
    <n v="18"/>
    <n v="47"/>
    <n v="1.8297872340425532"/>
  </r>
  <r>
    <x v="2"/>
    <x v="0"/>
    <x v="6"/>
    <n v="62"/>
    <x v="4"/>
    <s v="Mpousaras"/>
    <n v="1"/>
    <n v="8"/>
    <n v="5"/>
    <n v="0"/>
    <x v="3"/>
    <s v="vs Fountos"/>
    <n v="147"/>
    <n v="0.4637223974763407"/>
    <n v="37"/>
    <n v="0.39784946236559138"/>
    <n v="0.77142857142857146"/>
    <n v="385"/>
    <n v="27"/>
    <n v="103"/>
    <n v="83"/>
    <n v="18"/>
    <n v="17"/>
    <n v="38"/>
    <n v="2.1842105263157894"/>
  </r>
  <r>
    <x v="2"/>
    <x v="0"/>
    <x v="6"/>
    <n v="63"/>
    <x v="1"/>
    <s v="Fanis"/>
    <n v="1"/>
    <n v="13"/>
    <n v="0"/>
    <n v="0"/>
    <x v="2"/>
    <s v="vs Sakellariou"/>
    <n v="190"/>
    <n v="0.48969072164948452"/>
    <n v="55"/>
    <n v="0.38732394366197181"/>
    <n v="0.75229357798165142"/>
    <n v="517"/>
    <n v="50"/>
    <n v="171"/>
    <n v="107"/>
    <n v="42"/>
    <n v="28"/>
    <n v="38"/>
    <n v="2.8157894736842106"/>
  </r>
  <r>
    <x v="2"/>
    <x v="0"/>
    <x v="6"/>
    <n v="63"/>
    <x v="3"/>
    <s v="Sakellariou"/>
    <n v="0"/>
    <n v="0"/>
    <n v="13"/>
    <n v="0"/>
    <x v="0"/>
    <s v="vs Fanis"/>
    <n v="135"/>
    <n v="0.4804270462633452"/>
    <n v="29"/>
    <n v="0.32222222222222224"/>
    <n v="0.71604938271604934"/>
    <n v="357"/>
    <n v="45"/>
    <n v="99"/>
    <n v="67"/>
    <n v="15"/>
    <n v="17"/>
    <n v="44"/>
    <n v="1.5227272727272727"/>
  </r>
  <r>
    <x v="2"/>
    <x v="0"/>
    <x v="6"/>
    <n v="64"/>
    <x v="7"/>
    <s v="Johnny"/>
    <n v="1"/>
    <n v="10"/>
    <n v="3"/>
    <n v="0"/>
    <x v="22"/>
    <s v="vs Miggianis"/>
    <n v="220"/>
    <n v="0.44624746450304259"/>
    <n v="68"/>
    <n v="0.34343434343434343"/>
    <n v="0.82075471698113212"/>
    <n v="595"/>
    <n v="57"/>
    <n v="175"/>
    <n v="107"/>
    <n v="34"/>
    <n v="23"/>
    <n v="68"/>
    <n v="1.5735294117647058"/>
  </r>
  <r>
    <x v="2"/>
    <x v="0"/>
    <x v="6"/>
    <n v="64"/>
    <x v="22"/>
    <s v="Miggianis"/>
    <n v="0"/>
    <n v="3"/>
    <n v="10"/>
    <n v="0"/>
    <x v="6"/>
    <s v="vs Johnny"/>
    <n v="129"/>
    <n v="0.45583038869257952"/>
    <n v="45"/>
    <n v="0.37190082644628097"/>
    <n v="0.71794871794871795"/>
    <n v="331"/>
    <n v="30"/>
    <n v="108"/>
    <n v="57"/>
    <n v="21"/>
    <n v="20"/>
    <n v="39"/>
    <n v="1.4615384615384615"/>
  </r>
  <r>
    <x v="2"/>
    <x v="0"/>
    <x v="6"/>
    <n v="65"/>
    <x v="9"/>
    <s v="Ziogas/Christof"/>
    <n v="1"/>
    <n v="10"/>
    <n v="3"/>
    <n v="0"/>
    <x v="12"/>
    <s v="vs Kousidis"/>
    <n v="144"/>
    <n v="0.50526315789473686"/>
    <n v="44"/>
    <n v="0.41904761904761906"/>
    <n v="0.7142857142857143"/>
    <n v="377"/>
    <n v="29"/>
    <n v="122"/>
    <n v="113"/>
    <n v="25"/>
    <n v="13"/>
    <n v="47"/>
    <n v="2.4042553191489362"/>
  </r>
  <r>
    <x v="2"/>
    <x v="0"/>
    <x v="6"/>
    <n v="65"/>
    <x v="13"/>
    <s v="Kousidis"/>
    <n v="0"/>
    <n v="3"/>
    <n v="10"/>
    <n v="0"/>
    <x v="8"/>
    <s v="vs Ziogas/Christof"/>
    <n v="88"/>
    <n v="0.38766519823788548"/>
    <n v="28"/>
    <n v="0.3783783783783784"/>
    <n v="0.77083333333333337"/>
    <n v="241"/>
    <n v="31"/>
    <n v="109"/>
    <n v="102"/>
    <n v="24"/>
    <n v="17"/>
    <n v="49"/>
    <n v="2.0816326530612246"/>
  </r>
  <r>
    <x v="2"/>
    <x v="0"/>
    <x v="6"/>
    <n v="66"/>
    <x v="8"/>
    <s v="Antoniou"/>
    <n v="0"/>
    <n v="6"/>
    <n v="6"/>
    <n v="1"/>
    <x v="10"/>
    <s v="vs pi/Sotiris"/>
    <n v="162"/>
    <n v="0.45125348189415043"/>
    <n v="55"/>
    <n v="0.36912751677852351"/>
    <n v="0.81521739130434778"/>
    <n v="454"/>
    <n v="35"/>
    <n v="130"/>
    <n v="65"/>
    <n v="46"/>
    <n v="20"/>
    <n v="59"/>
    <n v="1.1016949152542372"/>
  </r>
  <r>
    <x v="2"/>
    <x v="0"/>
    <x v="6"/>
    <n v="66"/>
    <x v="11"/>
    <s v="pi/Sotiris"/>
    <n v="0"/>
    <n v="6"/>
    <n v="6"/>
    <n v="1"/>
    <x v="9"/>
    <s v="vs Antoniou"/>
    <n v="170"/>
    <n v="0.44973544973544971"/>
    <n v="41"/>
    <n v="0.30597014925373134"/>
    <n v="0.77419354838709675"/>
    <n v="453"/>
    <n v="44"/>
    <n v="139"/>
    <n v="76"/>
    <n v="21"/>
    <n v="20"/>
    <n v="54"/>
    <n v="1.4074074074074074"/>
  </r>
  <r>
    <x v="2"/>
    <x v="0"/>
    <x v="6"/>
    <n v="67"/>
    <x v="5"/>
    <s v="Markos"/>
    <n v="0"/>
    <n v="4"/>
    <n v="9"/>
    <n v="0"/>
    <x v="17"/>
    <s v="vs Aris"/>
    <n v="110"/>
    <n v="0.44176706827309237"/>
    <n v="35"/>
    <n v="0.37234042553191488"/>
    <n v="0.79347826086956519"/>
    <n v="328"/>
    <n v="30"/>
    <n v="120"/>
    <n v="87"/>
    <n v="28"/>
    <n v="19"/>
    <n v="53"/>
    <n v="1.6415094339622642"/>
  </r>
  <r>
    <x v="2"/>
    <x v="0"/>
    <x v="6"/>
    <n v="67"/>
    <x v="16"/>
    <s v="Aris"/>
    <n v="1"/>
    <n v="9"/>
    <n v="4"/>
    <n v="0"/>
    <x v="4"/>
    <s v="vs Markos"/>
    <n v="185"/>
    <n v="0.46835443037974683"/>
    <n v="53"/>
    <n v="0.35570469798657717"/>
    <n v="0.80188679245283023"/>
    <n v="508"/>
    <n v="55"/>
    <n v="128"/>
    <n v="104"/>
    <n v="27"/>
    <n v="24"/>
    <n v="68"/>
    <n v="1.5294117647058822"/>
  </r>
  <r>
    <x v="2"/>
    <x v="0"/>
    <x v="6"/>
    <n v="68"/>
    <x v="17"/>
    <s v="Spiridaus/Oladipas"/>
    <n v="1"/>
    <n v="8"/>
    <n v="5"/>
    <n v="0"/>
    <x v="13"/>
    <s v="vs Stavros"/>
    <n v="188"/>
    <n v="0.46534653465346537"/>
    <n v="53"/>
    <n v="0.34640522875816993"/>
    <n v="0.85906040268456374"/>
    <n v="557"/>
    <n v="35"/>
    <n v="136"/>
    <n v="98"/>
    <n v="46"/>
    <n v="26"/>
    <n v="52"/>
    <n v="1.8846153846153846"/>
  </r>
  <r>
    <x v="2"/>
    <x v="0"/>
    <x v="6"/>
    <n v="68"/>
    <x v="12"/>
    <s v="Stavros"/>
    <n v="0"/>
    <n v="5"/>
    <n v="8"/>
    <n v="0"/>
    <x v="16"/>
    <s v="vs Spiridaus/Oladipas"/>
    <n v="178"/>
    <n v="0.49307479224376732"/>
    <n v="58"/>
    <n v="0.43609022556390975"/>
    <n v="0.8"/>
    <n v="454"/>
    <n v="39"/>
    <n v="114"/>
    <n v="103"/>
    <n v="24"/>
    <n v="23"/>
    <n v="64"/>
    <n v="1.609375"/>
  </r>
  <r>
    <x v="2"/>
    <x v="0"/>
    <x v="6"/>
    <n v="69"/>
    <x v="20"/>
    <s v="Guru"/>
    <n v="1"/>
    <n v="11"/>
    <n v="2"/>
    <n v="0"/>
    <x v="18"/>
    <s v="vs Nonis"/>
    <n v="211"/>
    <n v="0.47309417040358742"/>
    <n v="70"/>
    <n v="0.40697674418604651"/>
    <n v="0.83333333333333337"/>
    <n v="597"/>
    <n v="57"/>
    <n v="130"/>
    <n v="134"/>
    <n v="31"/>
    <n v="11"/>
    <n v="58"/>
    <n v="2.3103448275862069"/>
  </r>
  <r>
    <x v="2"/>
    <x v="0"/>
    <x v="6"/>
    <n v="69"/>
    <x v="19"/>
    <s v="Nonis"/>
    <n v="0"/>
    <n v="2"/>
    <n v="11"/>
    <n v="0"/>
    <x v="20"/>
    <s v="vs Panos"/>
    <n v="183"/>
    <n v="0.46446700507614214"/>
    <n v="40"/>
    <n v="0.31496062992125984"/>
    <n v="0.79591836734693877"/>
    <n v="523"/>
    <n v="46"/>
    <n v="149"/>
    <n v="107"/>
    <n v="23"/>
    <n v="15"/>
    <n v="76"/>
    <n v="1.4078947368421053"/>
  </r>
  <r>
    <x v="2"/>
    <x v="0"/>
    <x v="6"/>
    <n v="70"/>
    <x v="15"/>
    <s v="Vasilis"/>
    <n v="0"/>
    <n v="5"/>
    <n v="7"/>
    <n v="1"/>
    <x v="21"/>
    <s v="vs Tzokos"/>
    <n v="143"/>
    <n v="0.53558052434456926"/>
    <n v="38"/>
    <n v="0.43678160919540232"/>
    <n v="0.69333333333333336"/>
    <n v="376"/>
    <n v="35"/>
    <n v="120"/>
    <n v="95"/>
    <n v="29"/>
    <n v="14"/>
    <n v="59"/>
    <n v="1.6101694915254237"/>
  </r>
  <r>
    <x v="2"/>
    <x v="0"/>
    <x v="6"/>
    <n v="70"/>
    <x v="21"/>
    <s v="Tzokos"/>
    <n v="1"/>
    <n v="7"/>
    <n v="5"/>
    <n v="1"/>
    <x v="14"/>
    <s v="vs Vasilis"/>
    <n v="144"/>
    <n v="0.5"/>
    <n v="47"/>
    <n v="0.38211382113821141"/>
    <n v="0.81578947368421051"/>
    <n v="397"/>
    <n v="45"/>
    <n v="115"/>
    <n v="74"/>
    <n v="29"/>
    <n v="24"/>
    <n v="47"/>
    <n v="1.574468085106383"/>
  </r>
  <r>
    <x v="2"/>
    <x v="0"/>
    <x v="7"/>
    <n v="71"/>
    <x v="19"/>
    <s v="Nonis"/>
    <n v="1"/>
    <n v="8"/>
    <n v="4"/>
    <n v="1"/>
    <x v="10"/>
    <s v="vs pi/Sotiris"/>
    <n v="186"/>
    <n v="0.44497607655502391"/>
    <n v="42"/>
    <n v="0.2937062937062937"/>
    <n v="0.7615384615384615"/>
    <n v="513"/>
    <n v="47"/>
    <n v="153"/>
    <n v="107"/>
    <n v="32"/>
    <n v="26"/>
    <n v="63"/>
    <n v="1.6984126984126984"/>
  </r>
  <r>
    <x v="2"/>
    <x v="0"/>
    <x v="7"/>
    <n v="71"/>
    <x v="11"/>
    <s v="pi/Sotiris"/>
    <n v="0"/>
    <n v="4"/>
    <n v="8"/>
    <n v="1"/>
    <x v="18"/>
    <s v="vs Nonis"/>
    <n v="170"/>
    <n v="0.42606516290726815"/>
    <n v="52"/>
    <n v="0.34899328859060402"/>
    <n v="0.73809523809523814"/>
    <n v="454"/>
    <n v="26"/>
    <n v="131"/>
    <n v="101"/>
    <n v="32"/>
    <n v="21"/>
    <n v="59"/>
    <n v="1.7118644067796611"/>
  </r>
  <r>
    <x v="2"/>
    <x v="0"/>
    <x v="7"/>
    <n v="72"/>
    <x v="12"/>
    <s v="Stavros"/>
    <n v="1"/>
    <n v="12"/>
    <n v="1"/>
    <n v="0"/>
    <x v="2"/>
    <s v="vs Sakellariou"/>
    <n v="184"/>
    <n v="0.44660194174757284"/>
    <n v="53"/>
    <n v="0.36301369863013699"/>
    <n v="0.82051282051282048"/>
    <n v="517"/>
    <n v="58"/>
    <n v="164"/>
    <n v="91"/>
    <n v="35"/>
    <n v="21"/>
    <n v="53"/>
    <n v="1.7169811320754718"/>
  </r>
  <r>
    <x v="2"/>
    <x v="0"/>
    <x v="7"/>
    <n v="72"/>
    <x v="3"/>
    <s v="Sakellariou"/>
    <n v="0"/>
    <n v="1"/>
    <n v="12"/>
    <n v="0"/>
    <x v="13"/>
    <s v="vs Stavros"/>
    <n v="144"/>
    <n v="0.43113772455089822"/>
    <n v="44"/>
    <n v="0.35199999999999998"/>
    <n v="0.78873239436619713"/>
    <n v="388"/>
    <n v="33"/>
    <n v="94"/>
    <n v="64"/>
    <n v="18"/>
    <n v="24"/>
    <n v="58"/>
    <n v="1.103448275862069"/>
  </r>
  <r>
    <x v="2"/>
    <x v="0"/>
    <x v="7"/>
    <n v="73"/>
    <x v="13"/>
    <s v="Kousidis"/>
    <n v="0"/>
    <n v="5"/>
    <n v="7"/>
    <n v="1"/>
    <x v="16"/>
    <s v="vs Spiridaus/Oladipas"/>
    <n v="123"/>
    <n v="0.45387453874538747"/>
    <n v="14"/>
    <n v="0.24561403508771928"/>
    <n v="0.59756097560975607"/>
    <n v="309"/>
    <n v="43"/>
    <n v="127"/>
    <n v="87"/>
    <n v="23"/>
    <n v="14"/>
    <n v="44"/>
    <n v="1.9772727272727273"/>
  </r>
  <r>
    <x v="2"/>
    <x v="0"/>
    <x v="7"/>
    <n v="73"/>
    <x v="17"/>
    <s v="Spiridaus/Oladipas"/>
    <n v="1"/>
    <n v="7"/>
    <n v="5"/>
    <n v="1"/>
    <x v="12"/>
    <s v="vs Kousidis"/>
    <n v="139"/>
    <n v="0.44838709677419353"/>
    <n v="52"/>
    <n v="0.35862068965517241"/>
    <n v="0.76470588235294112"/>
    <n v="369"/>
    <n v="34"/>
    <n v="110"/>
    <n v="63"/>
    <n v="23"/>
    <n v="27"/>
    <n v="43"/>
    <n v="1.4651162790697674"/>
  </r>
  <r>
    <x v="2"/>
    <x v="0"/>
    <x v="7"/>
    <n v="74"/>
    <x v="9"/>
    <s v="Ziogas/Christof"/>
    <n v="0"/>
    <n v="5"/>
    <n v="7"/>
    <n v="1"/>
    <x v="9"/>
    <s v="vs Antoniou"/>
    <n v="171"/>
    <n v="0.49279538904899134"/>
    <n v="39"/>
    <n v="0.32773109243697479"/>
    <n v="0.75471698113207553"/>
    <n v="461"/>
    <n v="44"/>
    <n v="170"/>
    <n v="127"/>
    <n v="30"/>
    <n v="20"/>
    <n v="74"/>
    <n v="1.7162162162162162"/>
  </r>
  <r>
    <x v="2"/>
    <x v="0"/>
    <x v="7"/>
    <n v="74"/>
    <x v="8"/>
    <s v="Antoniou"/>
    <n v="1"/>
    <n v="7"/>
    <n v="5"/>
    <n v="1"/>
    <x v="8"/>
    <s v="vs Ziogas/Christof"/>
    <n v="177"/>
    <n v="0.41943127962085308"/>
    <n v="69"/>
    <n v="0.39204545454545453"/>
    <n v="0.83157894736842108"/>
    <n v="502"/>
    <n v="28"/>
    <n v="155"/>
    <n v="113"/>
    <n v="30"/>
    <n v="22"/>
    <n v="73"/>
    <n v="1.547945205479452"/>
  </r>
  <r>
    <x v="2"/>
    <x v="0"/>
    <x v="7"/>
    <n v="75"/>
    <x v="6"/>
    <s v="Tassos"/>
    <n v="1"/>
    <n v="7"/>
    <n v="6"/>
    <n v="0"/>
    <x v="6"/>
    <s v="vs Johnny"/>
    <n v="234"/>
    <n v="0.45086705202312138"/>
    <n v="73"/>
    <n v="0.35960591133004927"/>
    <n v="0.74242424242424243"/>
    <n v="639"/>
    <n v="38"/>
    <n v="164"/>
    <n v="142"/>
    <n v="27"/>
    <n v="28"/>
    <n v="83"/>
    <n v="1.7108433734939759"/>
  </r>
  <r>
    <x v="2"/>
    <x v="0"/>
    <x v="7"/>
    <n v="75"/>
    <x v="7"/>
    <s v="Johnny"/>
    <n v="0"/>
    <n v="6"/>
    <n v="7"/>
    <n v="0"/>
    <x v="7"/>
    <s v="vs Tassos"/>
    <n v="213"/>
    <n v="0.47651006711409394"/>
    <n v="55"/>
    <n v="0.34375"/>
    <n v="0.83177570093457942"/>
    <n v="570"/>
    <n v="46"/>
    <n v="209"/>
    <n v="119"/>
    <n v="26"/>
    <n v="27"/>
    <n v="54"/>
    <n v="2.2037037037037037"/>
  </r>
  <r>
    <x v="2"/>
    <x v="0"/>
    <x v="7"/>
    <n v="76"/>
    <x v="1"/>
    <s v="Fanis"/>
    <n v="1"/>
    <n v="8"/>
    <n v="5"/>
    <n v="0"/>
    <x v="14"/>
    <s v="vs Vasilis"/>
    <n v="169"/>
    <n v="0.49415204678362573"/>
    <n v="42"/>
    <n v="0.32061068702290074"/>
    <n v="0.79797979797979801"/>
    <n v="459"/>
    <n v="41"/>
    <n v="131"/>
    <n v="123"/>
    <n v="42"/>
    <n v="13"/>
    <n v="60"/>
    <n v="2.0499999999999998"/>
  </r>
  <r>
    <x v="2"/>
    <x v="0"/>
    <x v="7"/>
    <n v="76"/>
    <x v="15"/>
    <s v="Vasilis"/>
    <n v="0"/>
    <n v="5"/>
    <n v="8"/>
    <n v="0"/>
    <x v="0"/>
    <s v="vs Fanis"/>
    <n v="133"/>
    <n v="0.4907749077490775"/>
    <n v="30"/>
    <n v="0.41666666666666669"/>
    <n v="0.69411764705882351"/>
    <n v="355"/>
    <n v="30"/>
    <n v="141"/>
    <n v="109"/>
    <n v="39"/>
    <n v="20"/>
    <n v="50"/>
    <n v="2.1800000000000002"/>
  </r>
  <r>
    <x v="2"/>
    <x v="0"/>
    <x v="7"/>
    <n v="77"/>
    <x v="21"/>
    <s v="Tzokos"/>
    <n v="1"/>
    <n v="9"/>
    <n v="4"/>
    <n v="0"/>
    <x v="17"/>
    <s v="vs Aris"/>
    <n v="154"/>
    <n v="0.52920962199312716"/>
    <n v="58"/>
    <n v="0.43283582089552236"/>
    <n v="0.74193548387096775"/>
    <n v="412"/>
    <n v="25"/>
    <n v="79"/>
    <n v="61"/>
    <n v="21"/>
    <n v="17"/>
    <n v="27"/>
    <n v="2.2592592592592591"/>
  </r>
  <r>
    <x v="2"/>
    <x v="0"/>
    <x v="7"/>
    <n v="77"/>
    <x v="16"/>
    <s v="Aris"/>
    <n v="0"/>
    <n v="4"/>
    <n v="9"/>
    <n v="0"/>
    <x v="21"/>
    <s v="vs Tzokos"/>
    <n v="145"/>
    <n v="0.46925566343042069"/>
    <n v="31"/>
    <n v="0.31958762886597936"/>
    <n v="0.77906976744186052"/>
    <n v="388"/>
    <n v="39"/>
    <n v="128"/>
    <n v="80"/>
    <n v="17"/>
    <n v="15"/>
    <n v="47"/>
    <n v="1.7021276595744681"/>
  </r>
  <r>
    <x v="2"/>
    <x v="0"/>
    <x v="7"/>
    <n v="78"/>
    <x v="18"/>
    <s v="Kotakis"/>
    <n v="1"/>
    <n v="11"/>
    <n v="2"/>
    <n v="0"/>
    <x v="20"/>
    <s v="vs Panos"/>
    <n v="183"/>
    <n v="0.42657342657342656"/>
    <n v="64"/>
    <n v="0.34042553191489361"/>
    <n v="0.83760683760683763"/>
    <n v="528"/>
    <n v="41"/>
    <n v="147"/>
    <n v="117"/>
    <n v="43"/>
    <n v="18"/>
    <n v="65"/>
    <n v="1.8"/>
  </r>
  <r>
    <x v="2"/>
    <x v="0"/>
    <x v="7"/>
    <n v="78"/>
    <x v="20"/>
    <s v="Guru"/>
    <n v="0"/>
    <n v="2"/>
    <n v="11"/>
    <n v="0"/>
    <x v="19"/>
    <s v="vs Kotakis"/>
    <n v="154"/>
    <n v="0.43137254901960786"/>
    <n v="50"/>
    <n v="0.33112582781456956"/>
    <n v="0.78846153846153844"/>
    <n v="440"/>
    <n v="26"/>
    <n v="117"/>
    <n v="103"/>
    <n v="25"/>
    <n v="8"/>
    <n v="62"/>
    <n v="1.6612903225806452"/>
  </r>
  <r>
    <x v="2"/>
    <x v="0"/>
    <x v="7"/>
    <n v="79"/>
    <x v="4"/>
    <s v="Mpousaras"/>
    <n v="1"/>
    <n v="12"/>
    <n v="1"/>
    <n v="0"/>
    <x v="22"/>
    <s v="vs Miggianis"/>
    <n v="174"/>
    <n v="0.49431818181818182"/>
    <n v="33"/>
    <n v="0.35483870967741937"/>
    <n v="0.68604651162790697"/>
    <n v="440"/>
    <n v="67"/>
    <n v="134"/>
    <n v="74"/>
    <n v="32"/>
    <n v="16"/>
    <n v="50"/>
    <n v="1.48"/>
  </r>
  <r>
    <x v="2"/>
    <x v="0"/>
    <x v="7"/>
    <n v="79"/>
    <x v="22"/>
    <s v="Miggianis"/>
    <n v="0"/>
    <n v="1"/>
    <n v="12"/>
    <n v="0"/>
    <x v="5"/>
    <s v="vs Mpousaras"/>
    <n v="123"/>
    <n v="0.42268041237113402"/>
    <n v="39"/>
    <n v="0.33620689655172414"/>
    <n v="0.67142857142857137"/>
    <n v="332"/>
    <n v="48"/>
    <n v="131"/>
    <n v="60"/>
    <n v="13"/>
    <n v="15"/>
    <n v="53"/>
    <n v="1.1320754716981132"/>
  </r>
  <r>
    <x v="2"/>
    <x v="0"/>
    <x v="7"/>
    <n v="80"/>
    <x v="5"/>
    <s v="Markos"/>
    <n v="0"/>
    <n v="6"/>
    <n v="7"/>
    <n v="0"/>
    <x v="3"/>
    <s v="vs Fountos"/>
    <n v="121"/>
    <n v="0.44"/>
    <n v="28"/>
    <n v="0.2978723404255319"/>
    <n v="0.79629629629629628"/>
    <n v="356"/>
    <n v="19"/>
    <n v="119"/>
    <n v="87"/>
    <n v="32"/>
    <n v="15"/>
    <n v="41"/>
    <n v="2.1219512195121952"/>
  </r>
  <r>
    <x v="2"/>
    <x v="0"/>
    <x v="7"/>
    <n v="80"/>
    <x v="2"/>
    <s v="Fountos"/>
    <n v="1"/>
    <n v="7"/>
    <n v="6"/>
    <n v="0"/>
    <x v="4"/>
    <s v="vs Markos"/>
    <n v="162"/>
    <n v="0.46022727272727271"/>
    <n v="42"/>
    <n v="0.31111111111111112"/>
    <n v="0.76344086021505375"/>
    <n v="437"/>
    <n v="30"/>
    <n v="117"/>
    <n v="81"/>
    <n v="30"/>
    <n v="17"/>
    <n v="52"/>
    <n v="1.5576923076923077"/>
  </r>
  <r>
    <x v="2"/>
    <x v="0"/>
    <x v="8"/>
    <n v="81"/>
    <x v="11"/>
    <s v="pi/Sotiris"/>
    <n v="1"/>
    <n v="8"/>
    <n v="4"/>
    <n v="1"/>
    <x v="3"/>
    <s v="vs Fountos"/>
    <n v="173"/>
    <n v="0.45767195767195767"/>
    <n v="54"/>
    <n v="0.375"/>
    <n v="0.83333333333333337"/>
    <n v="460"/>
    <n v="35"/>
    <n v="141"/>
    <n v="81"/>
    <n v="27"/>
    <n v="29"/>
    <n v="49"/>
    <n v="1.653061224489796"/>
  </r>
  <r>
    <x v="2"/>
    <x v="0"/>
    <x v="8"/>
    <n v="81"/>
    <x v="2"/>
    <s v="Fountos"/>
    <n v="0"/>
    <n v="4"/>
    <n v="8"/>
    <n v="1"/>
    <x v="10"/>
    <s v="vs pi/Sotiris"/>
    <n v="204"/>
    <n v="0.51256281407035176"/>
    <n v="37"/>
    <n v="0.29365079365079366"/>
    <n v="0.77685950413223137"/>
    <n v="539"/>
    <n v="47"/>
    <n v="103"/>
    <n v="73"/>
    <n v="27"/>
    <n v="10"/>
    <n v="60"/>
    <n v="1.2166666666666666"/>
  </r>
  <r>
    <x v="2"/>
    <x v="0"/>
    <x v="8"/>
    <n v="82"/>
    <x v="22"/>
    <s v="Miggianis"/>
    <n v="0"/>
    <n v="5"/>
    <n v="8"/>
    <n v="0"/>
    <x v="4"/>
    <s v="vs Markos"/>
    <n v="159"/>
    <n v="0.46355685131195334"/>
    <n v="51"/>
    <n v="0.38636363636363635"/>
    <n v="0.82432432432432434"/>
    <n v="430"/>
    <n v="40"/>
    <n v="98"/>
    <n v="88"/>
    <n v="35"/>
    <n v="15"/>
    <n v="51"/>
    <n v="1.7254901960784315"/>
  </r>
  <r>
    <x v="2"/>
    <x v="0"/>
    <x v="8"/>
    <n v="82"/>
    <x v="5"/>
    <s v="Markos"/>
    <n v="1"/>
    <n v="8"/>
    <n v="5"/>
    <n v="0"/>
    <x v="22"/>
    <s v="vs Miggianis"/>
    <n v="125"/>
    <n v="0.47709923664122139"/>
    <n v="30"/>
    <n v="0.375"/>
    <n v="0.85245901639344257"/>
    <n v="332"/>
    <n v="49"/>
    <n v="121"/>
    <n v="92"/>
    <n v="30"/>
    <n v="26"/>
    <n v="32"/>
    <n v="2.875"/>
  </r>
  <r>
    <x v="2"/>
    <x v="0"/>
    <x v="8"/>
    <n v="83"/>
    <x v="8"/>
    <s v="Antoniou"/>
    <n v="1"/>
    <n v="9"/>
    <n v="4"/>
    <n v="0"/>
    <x v="2"/>
    <s v="vs Sakellariou"/>
    <n v="181"/>
    <n v="0.49725274725274726"/>
    <n v="55"/>
    <n v="0.39285714285714285"/>
    <n v="0.74358974358974361"/>
    <n v="475"/>
    <n v="26"/>
    <n v="135"/>
    <n v="117"/>
    <n v="26"/>
    <n v="20"/>
    <n v="59"/>
    <n v="1.9830508474576272"/>
  </r>
  <r>
    <x v="2"/>
    <x v="0"/>
    <x v="8"/>
    <n v="83"/>
    <x v="3"/>
    <s v="Sakellariou"/>
    <n v="0"/>
    <n v="4"/>
    <n v="9"/>
    <n v="0"/>
    <x v="9"/>
    <s v="vs Antoniou"/>
    <n v="159"/>
    <n v="0.47747747747747749"/>
    <n v="44"/>
    <n v="0.41509433962264153"/>
    <n v="0.76086956521739135"/>
    <n v="432"/>
    <n v="50"/>
    <n v="119"/>
    <n v="57"/>
    <n v="14"/>
    <n v="16"/>
    <n v="49"/>
    <n v="1.1632653061224489"/>
  </r>
  <r>
    <x v="2"/>
    <x v="0"/>
    <x v="8"/>
    <n v="84"/>
    <x v="4"/>
    <s v="Mpousaras"/>
    <n v="0"/>
    <n v="4"/>
    <n v="8"/>
    <n v="1"/>
    <x v="18"/>
    <s v="vs Nonis"/>
    <n v="177"/>
    <n v="0.48360655737704916"/>
    <n v="35"/>
    <n v="0.39772727272727271"/>
    <n v="0.84090909090909094"/>
    <n v="463"/>
    <n v="50"/>
    <n v="166"/>
    <n v="104"/>
    <n v="27"/>
    <n v="24"/>
    <n v="85"/>
    <n v="1.223529411764706"/>
  </r>
  <r>
    <x v="2"/>
    <x v="0"/>
    <x v="8"/>
    <n v="84"/>
    <x v="19"/>
    <s v="Nonis"/>
    <n v="1"/>
    <n v="8"/>
    <n v="4"/>
    <n v="1"/>
    <x v="5"/>
    <s v="vs Mpousaras"/>
    <n v="219"/>
    <n v="0.49547511312217196"/>
    <n v="54"/>
    <n v="0.35761589403973509"/>
    <n v="0.78343949044585992"/>
    <n v="615"/>
    <n v="50"/>
    <n v="176"/>
    <n v="115"/>
    <n v="21"/>
    <n v="20"/>
    <n v="67"/>
    <n v="1.7164179104477613"/>
  </r>
  <r>
    <x v="2"/>
    <x v="0"/>
    <x v="8"/>
    <n v="85"/>
    <x v="6"/>
    <s v="Tassos"/>
    <n v="1"/>
    <n v="10"/>
    <n v="3"/>
    <n v="0"/>
    <x v="14"/>
    <s v="vs Vasilis"/>
    <n v="207"/>
    <n v="0.42418032786885246"/>
    <n v="57"/>
    <n v="0.33333333333333331"/>
    <n v="0.8529411764705882"/>
    <n v="558"/>
    <n v="37"/>
    <n v="138"/>
    <n v="123"/>
    <n v="35"/>
    <n v="31"/>
    <n v="65"/>
    <n v="1.8923076923076922"/>
  </r>
  <r>
    <x v="2"/>
    <x v="0"/>
    <x v="8"/>
    <n v="85"/>
    <x v="15"/>
    <s v="Vasilis"/>
    <n v="0"/>
    <n v="3"/>
    <n v="10"/>
    <n v="0"/>
    <x v="7"/>
    <s v="vs Tassos"/>
    <n v="114"/>
    <n v="0.48510638297872338"/>
    <n v="25"/>
    <n v="0.4098360655737705"/>
    <n v="0.70270270270270274"/>
    <n v="305"/>
    <n v="36"/>
    <n v="120"/>
    <n v="91"/>
    <n v="26"/>
    <n v="18"/>
    <n v="50"/>
    <n v="1.82"/>
  </r>
  <r>
    <x v="2"/>
    <x v="0"/>
    <x v="8"/>
    <n v="86"/>
    <x v="1"/>
    <s v="Fanis"/>
    <n v="1"/>
    <n v="9"/>
    <n v="4"/>
    <n v="0"/>
    <x v="17"/>
    <s v="vs Aris"/>
    <n v="166"/>
    <n v="0.47838616714697407"/>
    <n v="59"/>
    <n v="0.38562091503267976"/>
    <n v="0.80722891566265065"/>
    <n v="458"/>
    <n v="49"/>
    <n v="159"/>
    <n v="97"/>
    <n v="47"/>
    <n v="20"/>
    <n v="74"/>
    <n v="1.3108108108108107"/>
  </r>
  <r>
    <x v="2"/>
    <x v="0"/>
    <x v="8"/>
    <n v="86"/>
    <x v="16"/>
    <s v="Aris"/>
    <n v="0"/>
    <n v="4"/>
    <n v="9"/>
    <n v="0"/>
    <x v="0"/>
    <s v="vs Fanis"/>
    <n v="147"/>
    <n v="0.49830508474576274"/>
    <n v="30"/>
    <n v="0.34883720930232559"/>
    <n v="0.73770491803278693"/>
    <n v="369"/>
    <n v="51"/>
    <n v="125"/>
    <n v="84"/>
    <n v="23"/>
    <n v="13"/>
    <n v="56"/>
    <n v="1.5"/>
  </r>
  <r>
    <x v="2"/>
    <x v="0"/>
    <x v="8"/>
    <n v="87"/>
    <x v="21"/>
    <s v="Tzokos"/>
    <n v="1"/>
    <n v="8"/>
    <n v="5"/>
    <n v="0"/>
    <x v="16"/>
    <s v="vs Spiridaus/Oladipas"/>
    <n v="153"/>
    <n v="0.47076923076923077"/>
    <n v="58"/>
    <n v="0.40559440559440557"/>
    <n v="0.81176470588235294"/>
    <n v="433"/>
    <n v="38"/>
    <n v="152"/>
    <n v="69"/>
    <n v="35"/>
    <n v="34"/>
    <n v="50"/>
    <n v="1.38"/>
  </r>
  <r>
    <x v="2"/>
    <x v="0"/>
    <x v="8"/>
    <n v="87"/>
    <x v="17"/>
    <s v="Spiridaus/Oladipas"/>
    <n v="0"/>
    <n v="5"/>
    <n v="8"/>
    <n v="0"/>
    <x v="21"/>
    <s v="vs Tzokos"/>
    <n v="166"/>
    <n v="0.44986449864498645"/>
    <n v="55"/>
    <n v="0.33536585365853661"/>
    <n v="0.80645161290322576"/>
    <n v="462"/>
    <n v="33"/>
    <n v="126"/>
    <n v="75"/>
    <n v="27"/>
    <n v="29"/>
    <n v="40"/>
    <n v="1.875"/>
  </r>
  <r>
    <x v="2"/>
    <x v="0"/>
    <x v="8"/>
    <n v="88"/>
    <x v="13"/>
    <s v="Kousidis"/>
    <n v="0"/>
    <n v="6"/>
    <n v="7"/>
    <n v="0"/>
    <x v="20"/>
    <s v="vs Panos"/>
    <n v="125"/>
    <n v="0.47169811320754718"/>
    <n v="23"/>
    <n v="0.31944444444444442"/>
    <n v="0.6853932584269663"/>
    <n v="334"/>
    <n v="36"/>
    <n v="114"/>
    <n v="108"/>
    <n v="43"/>
    <n v="8"/>
    <n v="47"/>
    <n v="2.2978723404255321"/>
  </r>
  <r>
    <x v="2"/>
    <x v="0"/>
    <x v="8"/>
    <n v="88"/>
    <x v="20"/>
    <s v="Guru"/>
    <n v="1"/>
    <n v="7"/>
    <n v="6"/>
    <n v="0"/>
    <x v="12"/>
    <s v="vs Kousidis"/>
    <n v="130"/>
    <n v="0.41935483870967744"/>
    <n v="42"/>
    <n v="0.35"/>
    <n v="0.78888888888888886"/>
    <n v="373"/>
    <n v="40"/>
    <n v="106"/>
    <n v="91"/>
    <n v="26"/>
    <n v="16"/>
    <n v="48"/>
    <n v="1.8958333333333333"/>
  </r>
  <r>
    <x v="2"/>
    <x v="0"/>
    <x v="8"/>
    <n v="89"/>
    <x v="12"/>
    <s v="Stavros"/>
    <n v="0"/>
    <n v="6"/>
    <n v="7"/>
    <n v="0"/>
    <x v="8"/>
    <s v="vs Ziogas/Christof"/>
    <n v="141"/>
    <n v="0.43518518518518517"/>
    <n v="37"/>
    <n v="0.31623931623931623"/>
    <n v="0.76086956521739135"/>
    <n v="389"/>
    <n v="33"/>
    <n v="109"/>
    <n v="84"/>
    <n v="22"/>
    <n v="18"/>
    <n v="55"/>
    <n v="1.5272727272727273"/>
  </r>
  <r>
    <x v="2"/>
    <x v="0"/>
    <x v="8"/>
    <n v="89"/>
    <x v="9"/>
    <s v="Ziogas/Christof"/>
    <n v="1"/>
    <n v="7"/>
    <n v="6"/>
    <n v="0"/>
    <x v="13"/>
    <s v="vs Stavros"/>
    <n v="118"/>
    <n v="0.4573643410852713"/>
    <n v="32"/>
    <n v="0.35164835164835168"/>
    <n v="0.74647887323943662"/>
    <n v="321"/>
    <n v="36"/>
    <n v="140"/>
    <n v="82"/>
    <n v="17"/>
    <n v="21"/>
    <n v="37"/>
    <n v="2.2162162162162162"/>
  </r>
  <r>
    <x v="2"/>
    <x v="0"/>
    <x v="8"/>
    <n v="90"/>
    <x v="7"/>
    <s v="Johnny"/>
    <n v="1"/>
    <n v="8"/>
    <n v="5"/>
    <n v="0"/>
    <x v="19"/>
    <s v="vs Kotakis"/>
    <n v="210"/>
    <n v="0.47191011235955055"/>
    <n v="56"/>
    <n v="0.35443037974683544"/>
    <n v="0.7946428571428571"/>
    <n v="565"/>
    <n v="40"/>
    <n v="140"/>
    <n v="118"/>
    <n v="41"/>
    <n v="22"/>
    <n v="73"/>
    <n v="1.6164383561643836"/>
  </r>
  <r>
    <x v="2"/>
    <x v="0"/>
    <x v="8"/>
    <n v="90"/>
    <x v="18"/>
    <s v="Kotakis"/>
    <n v="0"/>
    <n v="5"/>
    <n v="8"/>
    <n v="0"/>
    <x v="6"/>
    <s v="vs Johnny"/>
    <n v="167"/>
    <n v="0.44533333333333336"/>
    <n v="61"/>
    <n v="0.37888198757763975"/>
    <n v="0.875"/>
    <n v="500"/>
    <n v="21"/>
    <n v="105"/>
    <n v="110"/>
    <n v="24"/>
    <n v="7"/>
    <n v="48"/>
    <n v="2.2916666666666665"/>
  </r>
  <r>
    <x v="2"/>
    <x v="0"/>
    <x v="9"/>
    <n v="91"/>
    <x v="1"/>
    <s v="Fanis"/>
    <n v="1"/>
    <n v="12"/>
    <n v="1"/>
    <n v="0"/>
    <x v="12"/>
    <s v="vs Kousidis"/>
    <n v="189"/>
    <n v="0.49476439790575916"/>
    <n v="60"/>
    <n v="0.40268456375838924"/>
    <n v="0.77450980392156865"/>
    <n v="517"/>
    <n v="43"/>
    <n v="164"/>
    <n v="123"/>
    <n v="37"/>
    <n v="22"/>
    <n v="49"/>
    <n v="2.510204081632653"/>
  </r>
  <r>
    <x v="2"/>
    <x v="0"/>
    <x v="9"/>
    <n v="91"/>
    <x v="13"/>
    <s v="Kousidis"/>
    <n v="0"/>
    <n v="1"/>
    <n v="12"/>
    <n v="0"/>
    <x v="0"/>
    <s v="vs Fanis"/>
    <n v="137"/>
    <n v="0.48239436619718312"/>
    <n v="29"/>
    <n v="0.35365853658536583"/>
    <n v="0.75409836065573765"/>
    <n v="349"/>
    <n v="48"/>
    <n v="118"/>
    <n v="108"/>
    <n v="27"/>
    <n v="15"/>
    <n v="65"/>
    <n v="1.6615384615384616"/>
  </r>
  <r>
    <x v="2"/>
    <x v="0"/>
    <x v="9"/>
    <n v="92"/>
    <x v="21"/>
    <s v="Tzokos"/>
    <n v="1"/>
    <n v="10"/>
    <n v="3"/>
    <n v="0"/>
    <x v="22"/>
    <s v="vs Miggianis"/>
    <n v="136"/>
    <n v="0.45484949832775917"/>
    <n v="47"/>
    <n v="0.35877862595419846"/>
    <n v="0.70833333333333337"/>
    <n v="353"/>
    <n v="34"/>
    <n v="124"/>
    <n v="52"/>
    <n v="18"/>
    <n v="27"/>
    <n v="41"/>
    <n v="1.2682926829268293"/>
  </r>
  <r>
    <x v="2"/>
    <x v="0"/>
    <x v="9"/>
    <n v="92"/>
    <x v="22"/>
    <s v="Miggianis"/>
    <n v="0"/>
    <n v="3"/>
    <n v="10"/>
    <n v="0"/>
    <x v="21"/>
    <s v="vs Tzokos"/>
    <n v="102"/>
    <n v="0.43776824034334766"/>
    <n v="29"/>
    <n v="0.30208333333333331"/>
    <n v="0.65789473684210531"/>
    <n v="258"/>
    <n v="21"/>
    <n v="74"/>
    <n v="68"/>
    <n v="15"/>
    <n v="15"/>
    <n v="30"/>
    <n v="2.2666666666666666"/>
  </r>
  <r>
    <x v="2"/>
    <x v="0"/>
    <x v="9"/>
    <n v="93"/>
    <x v="7"/>
    <s v="Johnny"/>
    <n v="1"/>
    <n v="8"/>
    <n v="5"/>
    <n v="0"/>
    <x v="2"/>
    <s v="vs Sakellariou"/>
    <n v="191"/>
    <n v="0.45476190476190476"/>
    <n v="50"/>
    <n v="0.34246575342465752"/>
    <n v="0.85416666666666663"/>
    <n v="514"/>
    <n v="46"/>
    <n v="150"/>
    <n v="111"/>
    <n v="20"/>
    <n v="5"/>
    <n v="58"/>
    <n v="1.9137931034482758"/>
  </r>
  <r>
    <x v="2"/>
    <x v="0"/>
    <x v="9"/>
    <n v="93"/>
    <x v="3"/>
    <s v="Sakellariou"/>
    <n v="0"/>
    <n v="5"/>
    <n v="8"/>
    <n v="0"/>
    <x v="6"/>
    <s v="vs Johnny"/>
    <n v="111"/>
    <n v="0.53883495145631066"/>
    <n v="28"/>
    <n v="0.41176470588235292"/>
    <n v="0.90697674418604646"/>
    <n v="289"/>
    <n v="30"/>
    <n v="81"/>
    <n v="48"/>
    <n v="15"/>
    <n v="17"/>
    <n v="32"/>
    <n v="1.5"/>
  </r>
  <r>
    <x v="2"/>
    <x v="0"/>
    <x v="9"/>
    <n v="94"/>
    <x v="20"/>
    <s v="Guru"/>
    <n v="0"/>
    <n v="4"/>
    <n v="9"/>
    <n v="0"/>
    <x v="9"/>
    <s v="vs Antoniou"/>
    <n v="128"/>
    <n v="0.42809364548494983"/>
    <n v="24"/>
    <n v="0.27586206896551724"/>
    <n v="0.79381443298969068"/>
    <n v="357"/>
    <n v="60"/>
    <n v="120"/>
    <n v="78"/>
    <n v="31"/>
    <n v="16"/>
    <n v="56"/>
    <n v="1.3928571428571428"/>
  </r>
  <r>
    <x v="2"/>
    <x v="0"/>
    <x v="9"/>
    <n v="94"/>
    <x v="8"/>
    <s v="Antoniou"/>
    <n v="1"/>
    <n v="9"/>
    <n v="4"/>
    <n v="0"/>
    <x v="20"/>
    <s v="vs Panos"/>
    <n v="185"/>
    <n v="0.50408719346049047"/>
    <n v="61"/>
    <n v="0.42657342657342656"/>
    <n v="0.72"/>
    <n v="485"/>
    <n v="28"/>
    <n v="141"/>
    <n v="98"/>
    <n v="22"/>
    <n v="14"/>
    <n v="51"/>
    <n v="1.9215686274509804"/>
  </r>
  <r>
    <x v="2"/>
    <x v="0"/>
    <x v="9"/>
    <n v="95"/>
    <x v="17"/>
    <s v="Spiridaus/Oladipas"/>
    <n v="1"/>
    <n v="9"/>
    <n v="3"/>
    <n v="1"/>
    <x v="17"/>
    <s v="vs Aris"/>
    <n v="176"/>
    <n v="0.44783715012722647"/>
    <n v="66"/>
    <n v="0.36263736263736263"/>
    <n v="0.83333333333333337"/>
    <n v="498"/>
    <n v="24"/>
    <n v="144"/>
    <n v="107"/>
    <n v="41"/>
    <n v="20"/>
    <n v="53"/>
    <n v="2.0188679245283021"/>
  </r>
  <r>
    <x v="2"/>
    <x v="0"/>
    <x v="9"/>
    <n v="95"/>
    <x v="16"/>
    <s v="Aris"/>
    <n v="0"/>
    <n v="3"/>
    <n v="9"/>
    <n v="1"/>
    <x v="16"/>
    <s v="vs Spiridaus/Oladipas"/>
    <n v="131"/>
    <n v="0.47292418772563177"/>
    <n v="26"/>
    <n v="0.30588235294117649"/>
    <n v="0.83333333333333337"/>
    <n v="348"/>
    <n v="29"/>
    <n v="96"/>
    <n v="60"/>
    <n v="19"/>
    <n v="10"/>
    <n v="41"/>
    <n v="1.4634146341463414"/>
  </r>
  <r>
    <x v="2"/>
    <x v="0"/>
    <x v="9"/>
    <n v="96"/>
    <x v="15"/>
    <s v="Vasilis"/>
    <n v="1"/>
    <n v="10"/>
    <n v="3"/>
    <n v="0"/>
    <x v="18"/>
    <s v="vs Nonis"/>
    <n v="148"/>
    <n v="0.50684931506849318"/>
    <n v="30"/>
    <n v="0.43478260869565216"/>
    <n v="0.66304347826086951"/>
    <n v="387"/>
    <n v="49"/>
    <n v="162"/>
    <n v="125"/>
    <n v="31"/>
    <n v="16"/>
    <n v="57"/>
    <n v="2.192982456140351"/>
  </r>
  <r>
    <x v="2"/>
    <x v="0"/>
    <x v="9"/>
    <n v="96"/>
    <x v="19"/>
    <s v="Nonis"/>
    <n v="0"/>
    <n v="3"/>
    <n v="10"/>
    <n v="0"/>
    <x v="14"/>
    <s v="vs Vasilis"/>
    <n v="121"/>
    <n v="0.44649446494464945"/>
    <n v="27"/>
    <n v="0.29347826086956524"/>
    <n v="0.75324675324675328"/>
    <n v="327"/>
    <n v="35"/>
    <n v="93"/>
    <n v="51"/>
    <n v="26"/>
    <n v="17"/>
    <n v="48"/>
    <n v="1.0625"/>
  </r>
  <r>
    <x v="2"/>
    <x v="0"/>
    <x v="9"/>
    <n v="97"/>
    <x v="18"/>
    <s v="Kotakis"/>
    <n v="0"/>
    <n v="6"/>
    <n v="7"/>
    <n v="0"/>
    <x v="8"/>
    <s v="vs Ziogas/Christof"/>
    <n v="150"/>
    <n v="0.42134831460674155"/>
    <n v="53"/>
    <n v="0.37588652482269502"/>
    <n v="0.86315789473684212"/>
    <n v="435"/>
    <n v="33"/>
    <n v="120"/>
    <n v="100"/>
    <n v="28"/>
    <n v="11"/>
    <n v="64"/>
    <n v="1.5625"/>
  </r>
  <r>
    <x v="2"/>
    <x v="0"/>
    <x v="9"/>
    <n v="97"/>
    <x v="9"/>
    <s v="Ziogas/Christof"/>
    <n v="1"/>
    <n v="7"/>
    <n v="6"/>
    <n v="0"/>
    <x v="19"/>
    <s v="vs Kotakis"/>
    <n v="149"/>
    <n v="0.50168350168350173"/>
    <n v="39"/>
    <n v="0.3577981651376147"/>
    <n v="0.77777777777777779"/>
    <n v="386"/>
    <n v="45"/>
    <n v="166"/>
    <n v="106"/>
    <n v="23"/>
    <n v="25"/>
    <n v="42"/>
    <n v="2.5238095238095237"/>
  </r>
  <r>
    <x v="2"/>
    <x v="0"/>
    <x v="9"/>
    <n v="98"/>
    <x v="11"/>
    <s v="pi/Sotiris"/>
    <n v="1"/>
    <n v="10"/>
    <n v="3"/>
    <n v="0"/>
    <x v="5"/>
    <s v="vs Mpousaras"/>
    <n v="166"/>
    <n v="0.44743935309973049"/>
    <n v="66"/>
    <n v="0.38823529411764707"/>
    <n v="0.81609195402298851"/>
    <n v="469"/>
    <n v="33"/>
    <n v="132"/>
    <n v="96"/>
    <n v="25"/>
    <n v="19"/>
    <n v="61"/>
    <n v="1.5737704918032787"/>
  </r>
  <r>
    <x v="2"/>
    <x v="0"/>
    <x v="9"/>
    <n v="98"/>
    <x v="4"/>
    <s v="Mpousaras"/>
    <n v="0"/>
    <n v="3"/>
    <n v="10"/>
    <n v="0"/>
    <x v="10"/>
    <s v="vs pi/Sotiris"/>
    <n v="132"/>
    <n v="0.45993031358885017"/>
    <n v="28"/>
    <n v="0.32183908045977011"/>
    <n v="0.69135802469135799"/>
    <n v="348"/>
    <n v="27"/>
    <n v="114"/>
    <n v="72"/>
    <n v="21"/>
    <n v="13"/>
    <n v="42"/>
    <n v="1.7142857142857142"/>
  </r>
  <r>
    <x v="2"/>
    <x v="0"/>
    <x v="9"/>
    <n v="99"/>
    <x v="6"/>
    <s v="Tassos"/>
    <n v="1"/>
    <n v="9"/>
    <n v="4"/>
    <n v="0"/>
    <x v="4"/>
    <s v="vs Markos"/>
    <n v="210"/>
    <n v="0.45356371490280778"/>
    <n v="64"/>
    <n v="0.3595505617977528"/>
    <n v="0.76041666666666663"/>
    <n v="557"/>
    <n v="28"/>
    <n v="117"/>
    <n v="120"/>
    <n v="37"/>
    <n v="32"/>
    <n v="72"/>
    <n v="1.6666666666666667"/>
  </r>
  <r>
    <x v="2"/>
    <x v="0"/>
    <x v="9"/>
    <n v="99"/>
    <x v="5"/>
    <s v="Markos"/>
    <n v="0"/>
    <n v="4"/>
    <n v="9"/>
    <n v="0"/>
    <x v="7"/>
    <s v="vs Tassos"/>
    <n v="137"/>
    <n v="0.45065789473684209"/>
    <n v="34"/>
    <n v="0.30630630630630629"/>
    <n v="0.82352941176470584"/>
    <n v="378"/>
    <n v="29"/>
    <n v="124"/>
    <n v="85"/>
    <n v="26"/>
    <n v="21"/>
    <n v="54"/>
    <n v="1.5740740740740742"/>
  </r>
  <r>
    <x v="2"/>
    <x v="0"/>
    <x v="9"/>
    <n v="100"/>
    <x v="2"/>
    <s v="Fountos"/>
    <n v="1"/>
    <n v="10"/>
    <n v="3"/>
    <n v="0"/>
    <x v="13"/>
    <s v="vs Stavros"/>
    <n v="182"/>
    <n v="0.46786632390745503"/>
    <n v="44"/>
    <n v="0.35772357723577236"/>
    <n v="0.81395348837209303"/>
    <n v="513"/>
    <n v="43"/>
    <n v="156"/>
    <n v="95"/>
    <n v="38"/>
    <n v="23"/>
    <n v="65"/>
    <n v="1.4615384615384615"/>
  </r>
  <r>
    <x v="2"/>
    <x v="0"/>
    <x v="9"/>
    <n v="100"/>
    <x v="12"/>
    <s v="Stavros"/>
    <n v="0"/>
    <n v="3"/>
    <n v="10"/>
    <n v="0"/>
    <x v="3"/>
    <s v="vs Fountos"/>
    <n v="123"/>
    <n v="0.49003984063745021"/>
    <n v="32"/>
    <n v="0.37209302325581395"/>
    <n v="0.76666666666666672"/>
    <n v="324"/>
    <n v="27"/>
    <n v="111"/>
    <n v="65"/>
    <n v="32"/>
    <n v="15"/>
    <n v="45"/>
    <n v="1.4444444444444444"/>
  </r>
  <r>
    <x v="2"/>
    <x v="0"/>
    <x v="10"/>
    <n v="101"/>
    <x v="3"/>
    <s v="Sakellariou"/>
    <n v="1"/>
    <n v="7"/>
    <n v="6"/>
    <n v="0"/>
    <x v="22"/>
    <s v="vs Miggianis"/>
    <n v="167"/>
    <n v="0.46005509641873277"/>
    <n v="31"/>
    <n v="0.35227272727272729"/>
    <n v="0.76033057851239672"/>
    <n v="457"/>
    <n v="44"/>
    <n v="117"/>
    <n v="66"/>
    <n v="20"/>
    <n v="30"/>
    <n v="54"/>
    <n v="1.2222222222222223"/>
  </r>
  <r>
    <x v="2"/>
    <x v="0"/>
    <x v="10"/>
    <n v="101"/>
    <x v="22"/>
    <s v="Miggianis"/>
    <n v="0"/>
    <n v="6"/>
    <n v="7"/>
    <n v="0"/>
    <x v="2"/>
    <s v="vs Sakellariou"/>
    <n v="105"/>
    <n v="0.45652173913043476"/>
    <n v="33"/>
    <n v="0.37931034482758619"/>
    <n v="0.7857142857142857"/>
    <n v="276"/>
    <n v="26"/>
    <n v="82"/>
    <n v="78"/>
    <n v="13"/>
    <n v="10"/>
    <n v="30"/>
    <n v="2.6"/>
  </r>
  <r>
    <x v="2"/>
    <x v="0"/>
    <x v="10"/>
    <n v="102"/>
    <x v="2"/>
    <s v="Fountos"/>
    <n v="0"/>
    <n v="3"/>
    <n v="9"/>
    <n v="1"/>
    <x v="9"/>
    <s v="vs Antoniou"/>
    <n v="153"/>
    <n v="0.45671641791044776"/>
    <n v="39"/>
    <n v="0.35454545454545455"/>
    <n v="0.81318681318681318"/>
    <n v="419"/>
    <n v="30"/>
    <n v="93"/>
    <n v="69"/>
    <n v="20"/>
    <n v="16"/>
    <n v="53"/>
    <n v="1.3018867924528301"/>
  </r>
  <r>
    <x v="2"/>
    <x v="0"/>
    <x v="10"/>
    <n v="102"/>
    <x v="8"/>
    <s v="Antoniou"/>
    <n v="1"/>
    <n v="9"/>
    <n v="3"/>
    <n v="1"/>
    <x v="3"/>
    <s v="vs Fountos"/>
    <n v="153"/>
    <n v="0.46932515337423314"/>
    <n v="59"/>
    <n v="0.40136054421768708"/>
    <n v="0.84615384615384615"/>
    <n v="442"/>
    <n v="27"/>
    <n v="149"/>
    <n v="100"/>
    <n v="16"/>
    <n v="19"/>
    <n v="68"/>
    <n v="1.4705882352941178"/>
  </r>
  <r>
    <x v="2"/>
    <x v="0"/>
    <x v="10"/>
    <n v="103"/>
    <x v="17"/>
    <s v="Spiridaus/Oladipas"/>
    <n v="1"/>
    <n v="10"/>
    <n v="3"/>
    <n v="0"/>
    <x v="4"/>
    <s v="vs Markos"/>
    <n v="192"/>
    <n v="0.45823389021479716"/>
    <n v="58"/>
    <n v="0.3473053892215569"/>
    <n v="0.8029197080291971"/>
    <n v="552"/>
    <n v="28"/>
    <n v="150"/>
    <n v="89"/>
    <n v="27"/>
    <n v="26"/>
    <n v="38"/>
    <n v="2.3421052631578947"/>
  </r>
  <r>
    <x v="2"/>
    <x v="0"/>
    <x v="10"/>
    <n v="103"/>
    <x v="5"/>
    <s v="Markos"/>
    <n v="0"/>
    <n v="3"/>
    <n v="10"/>
    <n v="0"/>
    <x v="16"/>
    <s v="vs Spiridaus/Oladipas"/>
    <n v="87"/>
    <n v="0.41826923076923078"/>
    <n v="16"/>
    <n v="0.23529411764705882"/>
    <n v="0.81632653061224492"/>
    <n v="230"/>
    <n v="20"/>
    <n v="83"/>
    <n v="79"/>
    <n v="24"/>
    <n v="15"/>
    <n v="27"/>
    <n v="2.925925925925926"/>
  </r>
  <r>
    <x v="2"/>
    <x v="0"/>
    <x v="10"/>
    <n v="104"/>
    <x v="20"/>
    <s v="Guru"/>
    <n v="1"/>
    <n v="9"/>
    <n v="4"/>
    <n v="0"/>
    <x v="10"/>
    <s v="vs pi/Sotiris"/>
    <n v="148"/>
    <n v="0.44444444444444442"/>
    <n v="42"/>
    <n v="0.33600000000000002"/>
    <n v="0.79562043795620441"/>
    <n v="447"/>
    <n v="47"/>
    <n v="144"/>
    <n v="134"/>
    <n v="30"/>
    <n v="25"/>
    <n v="54"/>
    <n v="2.4814814814814814"/>
  </r>
  <r>
    <x v="2"/>
    <x v="0"/>
    <x v="10"/>
    <n v="104"/>
    <x v="11"/>
    <s v="pi/Sotiris"/>
    <n v="0"/>
    <n v="4"/>
    <n v="9"/>
    <n v="0"/>
    <x v="20"/>
    <s v="vs Panos"/>
    <n v="126"/>
    <n v="0.5"/>
    <n v="26"/>
    <n v="0.42622950819672129"/>
    <n v="0.78787878787878785"/>
    <n v="330"/>
    <n v="50"/>
    <n v="134"/>
    <n v="56"/>
    <n v="17"/>
    <n v="16"/>
    <n v="52"/>
    <n v="1.0769230769230769"/>
  </r>
  <r>
    <x v="2"/>
    <x v="0"/>
    <x v="10"/>
    <n v="105"/>
    <x v="18"/>
    <s v="Kotakis"/>
    <n v="1"/>
    <n v="8"/>
    <n v="4"/>
    <n v="1"/>
    <x v="12"/>
    <s v="vs Kousidis"/>
    <n v="177"/>
    <n v="0.42548076923076922"/>
    <n v="81"/>
    <n v="0.41538461538461541"/>
    <n v="0.77622377622377625"/>
    <n v="546"/>
    <n v="23"/>
    <n v="85"/>
    <n v="121"/>
    <n v="29"/>
    <n v="13"/>
    <n v="41"/>
    <n v="2.9512195121951219"/>
  </r>
  <r>
    <x v="2"/>
    <x v="0"/>
    <x v="10"/>
    <n v="105"/>
    <x v="13"/>
    <s v="Kousidis"/>
    <n v="0"/>
    <n v="4"/>
    <n v="8"/>
    <n v="1"/>
    <x v="19"/>
    <s v="vs Kotakis"/>
    <n v="116"/>
    <n v="0.46963562753036436"/>
    <n v="16"/>
    <n v="0.34042553191489361"/>
    <n v="0.69736842105263153"/>
    <n v="301"/>
    <n v="38"/>
    <n v="91"/>
    <n v="68"/>
    <n v="16"/>
    <n v="13"/>
    <n v="39"/>
    <n v="1.7435897435897436"/>
  </r>
  <r>
    <x v="2"/>
    <x v="0"/>
    <x v="10"/>
    <n v="106"/>
    <x v="6"/>
    <s v="Tassos"/>
    <n v="1"/>
    <n v="10"/>
    <n v="3"/>
    <n v="0"/>
    <x v="8"/>
    <s v="vs Ziogas/Christof"/>
    <n v="162"/>
    <n v="0.48214285714285715"/>
    <n v="46"/>
    <n v="0.36799999999999999"/>
    <n v="0.82558139534883723"/>
    <n v="441"/>
    <n v="16"/>
    <n v="117"/>
    <n v="125"/>
    <n v="29"/>
    <n v="28"/>
    <n v="53"/>
    <n v="2.358490566037736"/>
  </r>
  <r>
    <x v="2"/>
    <x v="0"/>
    <x v="10"/>
    <n v="106"/>
    <x v="9"/>
    <s v="Ziogas/Christof"/>
    <n v="0"/>
    <n v="3"/>
    <n v="10"/>
    <n v="0"/>
    <x v="7"/>
    <s v="vs Tassos"/>
    <n v="155"/>
    <n v="0.45321637426900585"/>
    <n v="44"/>
    <n v="0.35199999999999998"/>
    <n v="0.75"/>
    <n v="408"/>
    <n v="52"/>
    <n v="173"/>
    <n v="108"/>
    <n v="23"/>
    <n v="19"/>
    <n v="51"/>
    <n v="2.1176470588235294"/>
  </r>
  <r>
    <x v="2"/>
    <x v="0"/>
    <x v="10"/>
    <n v="107"/>
    <x v="19"/>
    <s v="Nonis"/>
    <n v="1"/>
    <n v="9"/>
    <n v="4"/>
    <n v="0"/>
    <x v="21"/>
    <s v="vs Tzokos"/>
    <n v="142"/>
    <n v="0.46710526315789475"/>
    <n v="35"/>
    <n v="0.35"/>
    <n v="0.77570093457943923"/>
    <n v="402"/>
    <n v="47"/>
    <n v="156"/>
    <n v="71"/>
    <n v="21"/>
    <n v="23"/>
    <n v="46"/>
    <n v="1.5434782608695652"/>
  </r>
  <r>
    <x v="2"/>
    <x v="0"/>
    <x v="10"/>
    <n v="107"/>
    <x v="21"/>
    <s v="Tzokos"/>
    <n v="0"/>
    <n v="4"/>
    <n v="9"/>
    <n v="0"/>
    <x v="18"/>
    <s v="vs Nonis"/>
    <n v="121"/>
    <n v="0.44160583941605841"/>
    <n v="33"/>
    <n v="0.34375"/>
    <n v="0.78431372549019607"/>
    <n v="315"/>
    <n v="48"/>
    <n v="129"/>
    <n v="45"/>
    <n v="15"/>
    <n v="20"/>
    <n v="26"/>
    <n v="1.7307692307692308"/>
  </r>
  <r>
    <x v="2"/>
    <x v="0"/>
    <x v="10"/>
    <n v="108"/>
    <x v="4"/>
    <s v="Mpousaras"/>
    <n v="1"/>
    <n v="9"/>
    <n v="4"/>
    <n v="0"/>
    <x v="17"/>
    <s v="vs Aris"/>
    <n v="156"/>
    <n v="0.47560975609756095"/>
    <n v="21"/>
    <n v="0.27272727272727271"/>
    <n v="0.81395348837209303"/>
    <n v="403"/>
    <n v="45"/>
    <n v="158"/>
    <n v="95"/>
    <n v="33"/>
    <n v="19"/>
    <n v="39"/>
    <n v="2.4358974358974357"/>
  </r>
  <r>
    <x v="2"/>
    <x v="0"/>
    <x v="10"/>
    <n v="108"/>
    <x v="16"/>
    <s v="Aris"/>
    <n v="0"/>
    <n v="4"/>
    <n v="9"/>
    <n v="0"/>
    <x v="5"/>
    <s v="vs Mpousaras"/>
    <n v="147"/>
    <n v="0.43620178041543028"/>
    <n v="30"/>
    <n v="0.29126213592233008"/>
    <n v="0.8529411764705882"/>
    <n v="411"/>
    <n v="30"/>
    <n v="94"/>
    <n v="88"/>
    <n v="23"/>
    <n v="7"/>
    <n v="48"/>
    <n v="1.8333333333333333"/>
  </r>
  <r>
    <x v="2"/>
    <x v="0"/>
    <x v="10"/>
    <n v="109"/>
    <x v="7"/>
    <s v="Johnny"/>
    <n v="1"/>
    <n v="8"/>
    <n v="5"/>
    <n v="0"/>
    <x v="14"/>
    <s v="vs Vasilis"/>
    <n v="176"/>
    <n v="0.49025069637883006"/>
    <n v="53"/>
    <n v="0.44915254237288138"/>
    <n v="0.75728155339805825"/>
    <n v="483"/>
    <n v="33"/>
    <n v="111"/>
    <n v="76"/>
    <n v="37"/>
    <n v="9"/>
    <n v="36"/>
    <n v="2.1111111111111112"/>
  </r>
  <r>
    <x v="2"/>
    <x v="0"/>
    <x v="10"/>
    <n v="109"/>
    <x v="15"/>
    <s v="Vasilis"/>
    <n v="0"/>
    <n v="5"/>
    <n v="8"/>
    <n v="0"/>
    <x v="6"/>
    <s v="vs Johnny"/>
    <n v="125"/>
    <n v="0.51440329218106995"/>
    <n v="16"/>
    <n v="0.26666666666666666"/>
    <n v="0.6470588235294118"/>
    <n v="310"/>
    <n v="38"/>
    <n v="117"/>
    <n v="84"/>
    <n v="18"/>
    <n v="18"/>
    <n v="47"/>
    <n v="1.7872340425531914"/>
  </r>
  <r>
    <x v="2"/>
    <x v="0"/>
    <x v="10"/>
    <n v="110"/>
    <x v="1"/>
    <s v="Fanis"/>
    <n v="1"/>
    <n v="11"/>
    <n v="2"/>
    <n v="0"/>
    <x v="13"/>
    <s v="vs Stavros"/>
    <n v="197"/>
    <n v="0.43973214285714285"/>
    <n v="62"/>
    <n v="0.37349397590361444"/>
    <n v="0.8"/>
    <n v="560"/>
    <n v="46"/>
    <n v="194"/>
    <n v="132"/>
    <n v="43"/>
    <n v="28"/>
    <n v="74"/>
    <n v="1.7837837837837838"/>
  </r>
  <r>
    <x v="2"/>
    <x v="0"/>
    <x v="10"/>
    <n v="110"/>
    <x v="12"/>
    <s v="Stavros"/>
    <n v="0"/>
    <n v="2"/>
    <n v="11"/>
    <n v="0"/>
    <x v="0"/>
    <s v="vs Fanis"/>
    <n v="124"/>
    <n v="0.43971631205673761"/>
    <n v="38"/>
    <n v="0.35514018691588783"/>
    <n v="0.80645161290322576"/>
    <n v="336"/>
    <n v="44"/>
    <n v="92"/>
    <n v="58"/>
    <n v="21"/>
    <n v="14"/>
    <n v="49"/>
    <n v="1.1836734693877551"/>
  </r>
  <r>
    <x v="2"/>
    <x v="0"/>
    <x v="11"/>
    <n v="111"/>
    <x v="20"/>
    <s v="Guru"/>
    <n v="0"/>
    <n v="4"/>
    <n v="9"/>
    <n v="0"/>
    <x v="2"/>
    <s v="vs Sakellariou"/>
    <n v="140"/>
    <n v="0.44585987261146498"/>
    <n v="38"/>
    <n v="0.31147540983606559"/>
    <n v="0.82499999999999996"/>
    <n v="384"/>
    <n v="32"/>
    <n v="117"/>
    <n v="114"/>
    <n v="36"/>
    <n v="13"/>
    <n v="65"/>
    <n v="1.7538461538461538"/>
  </r>
  <r>
    <x v="2"/>
    <x v="0"/>
    <x v="11"/>
    <n v="111"/>
    <x v="3"/>
    <s v="Sakellariou"/>
    <n v="1"/>
    <n v="9"/>
    <n v="4"/>
    <n v="0"/>
    <x v="20"/>
    <s v="vs Panos"/>
    <n v="183"/>
    <n v="0.5"/>
    <n v="46"/>
    <n v="0.35114503816793891"/>
    <n v="0.77884615384615385"/>
    <n v="493"/>
    <n v="37"/>
    <n v="139"/>
    <n v="73"/>
    <n v="17"/>
    <n v="17"/>
    <n v="62"/>
    <n v="1.1774193548387097"/>
  </r>
  <r>
    <x v="2"/>
    <x v="0"/>
    <x v="11"/>
    <n v="112"/>
    <x v="21"/>
    <s v="Tzokos"/>
    <n v="0"/>
    <n v="5"/>
    <n v="8"/>
    <n v="0"/>
    <x v="8"/>
    <s v="vs Ziogas/Christof"/>
    <n v="141"/>
    <n v="0.42215568862275449"/>
    <n v="52"/>
    <n v="0.33333333333333331"/>
    <n v="0.7466666666666667"/>
    <n v="390"/>
    <n v="41"/>
    <n v="149"/>
    <n v="64"/>
    <n v="28"/>
    <n v="36"/>
    <n v="36"/>
    <n v="1.7777777777777777"/>
  </r>
  <r>
    <x v="2"/>
    <x v="0"/>
    <x v="11"/>
    <n v="112"/>
    <x v="9"/>
    <s v="Ziogas/Christof"/>
    <n v="1"/>
    <n v="8"/>
    <n v="5"/>
    <n v="0"/>
    <x v="21"/>
    <s v="vs Tzokos"/>
    <n v="168"/>
    <n v="0.48137535816618909"/>
    <n v="58"/>
    <n v="0.40277777777777779"/>
    <n v="0.75757575757575757"/>
    <n v="469"/>
    <n v="33"/>
    <n v="144"/>
    <n v="99"/>
    <n v="18"/>
    <n v="23"/>
    <n v="50"/>
    <n v="1.98"/>
  </r>
  <r>
    <x v="2"/>
    <x v="0"/>
    <x v="11"/>
    <n v="113"/>
    <x v="13"/>
    <s v="Kousidis"/>
    <n v="1"/>
    <n v="10"/>
    <n v="2"/>
    <n v="1"/>
    <x v="18"/>
    <s v="vs Nonis"/>
    <n v="187"/>
    <n v="0.48571428571428571"/>
    <n v="22"/>
    <n v="0.26829268292682928"/>
    <n v="0.782258064516129"/>
    <n v="493"/>
    <n v="55"/>
    <n v="153"/>
    <n v="131"/>
    <n v="41"/>
    <n v="16"/>
    <n v="56"/>
    <n v="2.3392857142857144"/>
  </r>
  <r>
    <x v="2"/>
    <x v="0"/>
    <x v="11"/>
    <n v="113"/>
    <x v="19"/>
    <s v="Nonis"/>
    <n v="0"/>
    <n v="2"/>
    <n v="10"/>
    <n v="1"/>
    <x v="12"/>
    <s v="vs Kousidis"/>
    <n v="159"/>
    <n v="0.46764705882352942"/>
    <n v="31"/>
    <n v="0.32978723404255317"/>
    <n v="0.76190476190476186"/>
    <n v="429"/>
    <n v="41"/>
    <n v="134"/>
    <n v="77"/>
    <n v="26"/>
    <n v="16"/>
    <n v="59"/>
    <n v="1.3050847457627119"/>
  </r>
  <r>
    <x v="2"/>
    <x v="0"/>
    <x v="11"/>
    <n v="114"/>
    <x v="8"/>
    <s v="Antoniou"/>
    <n v="1"/>
    <n v="9"/>
    <n v="2"/>
    <n v="2"/>
    <x v="19"/>
    <s v="vs Kotakis"/>
    <n v="213"/>
    <n v="0.48853211009174313"/>
    <n v="64"/>
    <n v="0.35754189944134079"/>
    <n v="0.80582524271844658"/>
    <n v="573"/>
    <n v="39"/>
    <n v="194"/>
    <n v="116"/>
    <n v="31"/>
    <n v="13"/>
    <n v="82"/>
    <n v="1.4146341463414633"/>
  </r>
  <r>
    <x v="2"/>
    <x v="0"/>
    <x v="11"/>
    <n v="114"/>
    <x v="18"/>
    <s v="Kotakis"/>
    <n v="0"/>
    <n v="2"/>
    <n v="9"/>
    <n v="2"/>
    <x v="9"/>
    <s v="vs Antoniou"/>
    <n v="169"/>
    <n v="0.46944444444444444"/>
    <n v="52"/>
    <n v="0.34666666666666668"/>
    <n v="0.75454545454545452"/>
    <n v="473"/>
    <n v="28"/>
    <n v="93"/>
    <n v="116"/>
    <n v="25"/>
    <n v="13"/>
    <n v="46"/>
    <n v="2.5217391304347827"/>
  </r>
  <r>
    <x v="2"/>
    <x v="0"/>
    <x v="11"/>
    <n v="115"/>
    <x v="15"/>
    <s v="Vasilis"/>
    <n v="1"/>
    <n v="7"/>
    <n v="6"/>
    <n v="0"/>
    <x v="16"/>
    <s v="vs Spiridaus/Oladipas"/>
    <n v="122"/>
    <n v="0.4485294117647059"/>
    <n v="21"/>
    <n v="0.26923076923076922"/>
    <n v="0.80612244897959184"/>
    <n v="344"/>
    <n v="39"/>
    <n v="113"/>
    <n v="83"/>
    <n v="35"/>
    <n v="23"/>
    <n v="38"/>
    <n v="2.1842105263157894"/>
  </r>
  <r>
    <x v="2"/>
    <x v="0"/>
    <x v="11"/>
    <n v="115"/>
    <x v="17"/>
    <s v="Spiridaus/Oladipas"/>
    <n v="0"/>
    <n v="6"/>
    <n v="7"/>
    <n v="0"/>
    <x v="14"/>
    <s v="vs Vasilis"/>
    <n v="127"/>
    <n v="0.40836012861736337"/>
    <n v="44"/>
    <n v="0.30344827586206896"/>
    <n v="0.81176470588235294"/>
    <n v="367"/>
    <n v="36"/>
    <n v="134"/>
    <n v="72"/>
    <n v="29"/>
    <n v="16"/>
    <n v="44"/>
    <n v="1.6363636363636365"/>
  </r>
  <r>
    <x v="2"/>
    <x v="0"/>
    <x v="11"/>
    <n v="116"/>
    <x v="1"/>
    <s v="Fanis"/>
    <n v="1"/>
    <n v="11"/>
    <n v="1"/>
    <n v="1"/>
    <x v="22"/>
    <s v="vs Miggianis"/>
    <n v="228"/>
    <n v="0.46153846153846156"/>
    <n v="64"/>
    <n v="0.39751552795031053"/>
    <n v="0.76190476190476186"/>
    <n v="648"/>
    <n v="53"/>
    <n v="186"/>
    <n v="161"/>
    <n v="39"/>
    <n v="18"/>
    <n v="73"/>
    <n v="2.2054794520547945"/>
  </r>
  <r>
    <x v="2"/>
    <x v="0"/>
    <x v="11"/>
    <n v="116"/>
    <x v="22"/>
    <s v="Miggianis"/>
    <n v="0"/>
    <n v="1"/>
    <n v="11"/>
    <n v="1"/>
    <x v="0"/>
    <s v="vs Fanis"/>
    <n v="124"/>
    <n v="0.42758620689655175"/>
    <n v="35"/>
    <n v="0.32110091743119268"/>
    <n v="0.76190476190476186"/>
    <n v="331"/>
    <n v="29"/>
    <n v="83"/>
    <n v="73"/>
    <n v="31"/>
    <n v="14"/>
    <n v="37"/>
    <n v="1.972972972972973"/>
  </r>
  <r>
    <x v="2"/>
    <x v="0"/>
    <x v="11"/>
    <n v="117"/>
    <x v="4"/>
    <s v="Mpousaras"/>
    <n v="1"/>
    <n v="7"/>
    <n v="5"/>
    <n v="1"/>
    <x v="7"/>
    <s v="vs Tassos"/>
    <n v="185"/>
    <n v="0.48429319371727747"/>
    <n v="23"/>
    <n v="0.26436781609195403"/>
    <n v="0.69387755102040816"/>
    <n v="461"/>
    <n v="62"/>
    <n v="145"/>
    <n v="97"/>
    <n v="22"/>
    <n v="21"/>
    <n v="57"/>
    <n v="1.7017543859649122"/>
  </r>
  <r>
    <x v="2"/>
    <x v="0"/>
    <x v="11"/>
    <n v="117"/>
    <x v="6"/>
    <s v="Tassos"/>
    <n v="0"/>
    <n v="5"/>
    <n v="7"/>
    <n v="1"/>
    <x v="5"/>
    <s v="vs Mpousaras"/>
    <n v="122"/>
    <n v="0.46037735849056605"/>
    <n v="30"/>
    <n v="0.31914893617021278"/>
    <n v="0.83098591549295775"/>
    <n v="333"/>
    <n v="20"/>
    <n v="87"/>
    <n v="72"/>
    <n v="22"/>
    <n v="11"/>
    <n v="33"/>
    <n v="2.1818181818181817"/>
  </r>
  <r>
    <x v="2"/>
    <x v="0"/>
    <x v="11"/>
    <n v="118"/>
    <x v="16"/>
    <s v="Aris"/>
    <n v="0"/>
    <n v="4"/>
    <n v="9"/>
    <n v="0"/>
    <x v="3"/>
    <s v="vs Fountos"/>
    <n v="144"/>
    <n v="0.50526315789473686"/>
    <n v="28"/>
    <n v="0.31818181818181818"/>
    <n v="0.7303370786516854"/>
    <n v="381"/>
    <n v="34"/>
    <n v="116"/>
    <n v="62"/>
    <n v="25"/>
    <n v="13"/>
    <n v="46"/>
    <n v="1.3478260869565217"/>
  </r>
  <r>
    <x v="2"/>
    <x v="0"/>
    <x v="11"/>
    <n v="118"/>
    <x v="2"/>
    <s v="Fountos"/>
    <n v="1"/>
    <n v="9"/>
    <n v="4"/>
    <n v="0"/>
    <x v="17"/>
    <s v="vs Aris"/>
    <n v="159"/>
    <n v="0.41191709844559588"/>
    <n v="38"/>
    <n v="0.29921259842519687"/>
    <n v="0.77477477477477474"/>
    <n v="442"/>
    <n v="47"/>
    <n v="144"/>
    <n v="119"/>
    <n v="20"/>
    <n v="24"/>
    <n v="50"/>
    <n v="2.38"/>
  </r>
  <r>
    <x v="2"/>
    <x v="0"/>
    <x v="11"/>
    <n v="119"/>
    <x v="5"/>
    <s v="Markos"/>
    <n v="1"/>
    <n v="7"/>
    <n v="6"/>
    <n v="0"/>
    <x v="10"/>
    <s v="vs pi/Sotiris"/>
    <n v="127"/>
    <n v="0.46863468634686345"/>
    <n v="38"/>
    <n v="0.33628318584070799"/>
    <n v="0.8"/>
    <n v="332"/>
    <n v="19"/>
    <n v="102"/>
    <n v="99"/>
    <n v="33"/>
    <n v="23"/>
    <n v="31"/>
    <n v="3.193548387096774"/>
  </r>
  <r>
    <x v="2"/>
    <x v="0"/>
    <x v="11"/>
    <n v="119"/>
    <x v="11"/>
    <s v="pi/Sotiris"/>
    <n v="0"/>
    <n v="6"/>
    <n v="7"/>
    <n v="0"/>
    <x v="4"/>
    <s v="vs Markos"/>
    <n v="165"/>
    <n v="0.47277936962750716"/>
    <n v="35"/>
    <n v="0.34653465346534651"/>
    <n v="0.76190476190476186"/>
    <n v="413"/>
    <n v="41"/>
    <n v="126"/>
    <n v="87"/>
    <n v="27"/>
    <n v="18"/>
    <n v="49"/>
    <n v="1.7755102040816326"/>
  </r>
  <r>
    <x v="2"/>
    <x v="0"/>
    <x v="11"/>
    <n v="120"/>
    <x v="12"/>
    <s v="Stavros"/>
    <n v="0"/>
    <n v="2"/>
    <n v="11"/>
    <n v="0"/>
    <x v="6"/>
    <s v="vs Johnny"/>
    <n v="159"/>
    <n v="0.47891566265060243"/>
    <n v="55"/>
    <n v="0.38461538461538464"/>
    <n v="0.76923076923076927"/>
    <n v="413"/>
    <n v="46"/>
    <n v="125"/>
    <n v="76"/>
    <n v="28"/>
    <n v="13"/>
    <n v="45"/>
    <n v="1.6888888888888889"/>
  </r>
  <r>
    <x v="2"/>
    <x v="0"/>
    <x v="11"/>
    <n v="120"/>
    <x v="7"/>
    <s v="Johnny"/>
    <n v="1"/>
    <n v="11"/>
    <n v="2"/>
    <n v="0"/>
    <x v="13"/>
    <s v="vs Stavros"/>
    <n v="234"/>
    <n v="0.5"/>
    <n v="77"/>
    <n v="0.43502824858757061"/>
    <n v="0.82352941176470584"/>
    <n v="643"/>
    <n v="47"/>
    <n v="181"/>
    <n v="104"/>
    <n v="26"/>
    <n v="15"/>
    <n v="53"/>
    <n v="1.9622641509433962"/>
  </r>
  <r>
    <x v="2"/>
    <x v="0"/>
    <x v="12"/>
    <n v="121"/>
    <x v="5"/>
    <s v="Markos"/>
    <n v="0"/>
    <n v="6"/>
    <n v="7"/>
    <n v="0"/>
    <x v="9"/>
    <s v="vs Antoniou"/>
    <n v="87"/>
    <n v="0.42028985507246375"/>
    <n v="35"/>
    <n v="0.36842105263157893"/>
    <n v="0.88372093023255816"/>
    <n v="247"/>
    <n v="27"/>
    <n v="83"/>
    <n v="72"/>
    <n v="31"/>
    <n v="18"/>
    <n v="27"/>
    <n v="2.6666666666666665"/>
  </r>
  <r>
    <x v="2"/>
    <x v="0"/>
    <x v="12"/>
    <n v="121"/>
    <x v="8"/>
    <s v="Antoniou"/>
    <n v="1"/>
    <n v="7"/>
    <n v="6"/>
    <n v="0"/>
    <x v="4"/>
    <s v="vs Markos"/>
    <n v="143"/>
    <n v="0.44"/>
    <n v="46"/>
    <n v="0.34848484848484851"/>
    <n v="0.82474226804123707"/>
    <n v="412"/>
    <n v="34"/>
    <n v="120"/>
    <n v="91"/>
    <n v="18"/>
    <n v="17"/>
    <n v="50"/>
    <n v="1.82"/>
  </r>
  <r>
    <x v="2"/>
    <x v="0"/>
    <x v="12"/>
    <n v="122"/>
    <x v="7"/>
    <s v="Johnny"/>
    <n v="1"/>
    <n v="7"/>
    <n v="5"/>
    <n v="1"/>
    <x v="12"/>
    <s v="vs Kousidis"/>
    <n v="197"/>
    <n v="0.51436031331592691"/>
    <n v="43"/>
    <n v="0.36134453781512604"/>
    <n v="0.66666666666666663"/>
    <n v="499"/>
    <n v="38"/>
    <n v="175"/>
    <n v="108"/>
    <n v="28"/>
    <n v="16"/>
    <n v="61"/>
    <n v="1.7704918032786885"/>
  </r>
  <r>
    <x v="2"/>
    <x v="0"/>
    <x v="12"/>
    <n v="122"/>
    <x v="13"/>
    <s v="Kousidis"/>
    <n v="0"/>
    <n v="5"/>
    <n v="7"/>
    <n v="1"/>
    <x v="6"/>
    <s v="vs Johnny"/>
    <n v="117"/>
    <n v="0.48148148148148145"/>
    <n v="19"/>
    <n v="0.3392857142857143"/>
    <n v="0.67021276595744683"/>
    <n v="316"/>
    <n v="38"/>
    <n v="130"/>
    <n v="120"/>
    <n v="23"/>
    <n v="19"/>
    <n v="47"/>
    <n v="2.5531914893617023"/>
  </r>
  <r>
    <x v="2"/>
    <x v="0"/>
    <x v="12"/>
    <n v="123"/>
    <x v="11"/>
    <s v="pi/Sotiris"/>
    <n v="1"/>
    <n v="7"/>
    <n v="6"/>
    <n v="0"/>
    <x v="7"/>
    <s v="vs Tassos"/>
    <n v="182"/>
    <n v="0.46075949367088609"/>
    <n v="33"/>
    <n v="0.29729729729729731"/>
    <n v="0.80208333333333337"/>
    <n v="474"/>
    <n v="35"/>
    <n v="150"/>
    <n v="102"/>
    <n v="32"/>
    <n v="19"/>
    <n v="64"/>
    <n v="1.59375"/>
  </r>
  <r>
    <x v="2"/>
    <x v="0"/>
    <x v="12"/>
    <n v="123"/>
    <x v="6"/>
    <s v="Tassos"/>
    <n v="0"/>
    <n v="6"/>
    <n v="7"/>
    <n v="0"/>
    <x v="10"/>
    <s v="vs pi/Sotiris"/>
    <n v="144"/>
    <n v="0.45425867507886436"/>
    <n v="42"/>
    <n v="0.34146341463414637"/>
    <n v="0.86363636363636365"/>
    <n v="406"/>
    <n v="21"/>
    <n v="102"/>
    <n v="100"/>
    <n v="23"/>
    <n v="22"/>
    <n v="48"/>
    <n v="2.0833333333333335"/>
  </r>
  <r>
    <x v="2"/>
    <x v="0"/>
    <x v="12"/>
    <n v="124"/>
    <x v="20"/>
    <s v="Guru"/>
    <n v="1"/>
    <n v="9"/>
    <n v="3"/>
    <n v="1"/>
    <x v="3"/>
    <s v="vs Fountos"/>
    <n v="160"/>
    <n v="0.45584045584045585"/>
    <n v="57"/>
    <n v="0.40425531914893614"/>
    <n v="0.84523809523809523"/>
    <n v="448"/>
    <n v="29"/>
    <n v="101"/>
    <n v="100"/>
    <n v="25"/>
    <n v="10"/>
    <n v="60"/>
    <n v="1.6666666666666667"/>
  </r>
  <r>
    <x v="2"/>
    <x v="0"/>
    <x v="12"/>
    <n v="124"/>
    <x v="2"/>
    <s v="Fountos"/>
    <n v="0"/>
    <n v="3"/>
    <n v="9"/>
    <n v="1"/>
    <x v="20"/>
    <s v="vs Panos"/>
    <n v="155"/>
    <n v="0.49679487179487181"/>
    <n v="43"/>
    <n v="0.38053097345132741"/>
    <n v="0.75609756097560976"/>
    <n v="415"/>
    <n v="44"/>
    <n v="100"/>
    <n v="74"/>
    <n v="21"/>
    <n v="10"/>
    <n v="54"/>
    <n v="1.3703703703703705"/>
  </r>
  <r>
    <x v="2"/>
    <x v="0"/>
    <x v="12"/>
    <n v="125"/>
    <x v="12"/>
    <s v="Stavros"/>
    <n v="0"/>
    <n v="3"/>
    <n v="10"/>
    <n v="0"/>
    <x v="21"/>
    <s v="vs Tzokos"/>
    <n v="145"/>
    <n v="0.46178343949044587"/>
    <n v="37"/>
    <n v="0.34579439252336447"/>
    <n v="0.80519480519480524"/>
    <n v="389"/>
    <n v="29"/>
    <n v="84"/>
    <n v="96"/>
    <n v="25"/>
    <n v="7"/>
    <n v="48"/>
    <n v="2"/>
  </r>
  <r>
    <x v="2"/>
    <x v="0"/>
    <x v="12"/>
    <n v="125"/>
    <x v="21"/>
    <s v="Tzokos"/>
    <n v="1"/>
    <n v="10"/>
    <n v="3"/>
    <n v="0"/>
    <x v="13"/>
    <s v="vs Stavros"/>
    <n v="203"/>
    <n v="0.50372208436724564"/>
    <n v="67"/>
    <n v="0.40119760479041916"/>
    <n v="0.84782608695652173"/>
    <n v="551"/>
    <n v="47"/>
    <n v="159"/>
    <n v="55"/>
    <n v="18"/>
    <n v="33"/>
    <n v="40"/>
    <n v="1.375"/>
  </r>
  <r>
    <x v="2"/>
    <x v="0"/>
    <x v="12"/>
    <n v="126"/>
    <x v="15"/>
    <s v="Vasilis"/>
    <n v="1"/>
    <n v="7"/>
    <n v="6"/>
    <n v="0"/>
    <x v="5"/>
    <s v="vs Mpousaras"/>
    <n v="153"/>
    <n v="0.54838709677419351"/>
    <n v="16"/>
    <n v="0.30188679245283018"/>
    <n v="0.62222222222222223"/>
    <n v="378"/>
    <n v="58"/>
    <n v="123"/>
    <n v="92"/>
    <n v="33"/>
    <n v="24"/>
    <n v="48"/>
    <n v="1.9166666666666667"/>
  </r>
  <r>
    <x v="2"/>
    <x v="0"/>
    <x v="12"/>
    <n v="126"/>
    <x v="4"/>
    <s v="Mpousaras"/>
    <n v="0"/>
    <n v="6"/>
    <n v="7"/>
    <n v="0"/>
    <x v="14"/>
    <s v="vs Vasilis"/>
    <n v="156"/>
    <n v="0.50485436893203883"/>
    <n v="40"/>
    <n v="0.43010752688172044"/>
    <n v="0.77777777777777779"/>
    <n v="408"/>
    <n v="31"/>
    <n v="105"/>
    <n v="100"/>
    <n v="26"/>
    <n v="19"/>
    <n v="53"/>
    <n v="1.8867924528301887"/>
  </r>
  <r>
    <x v="2"/>
    <x v="0"/>
    <x v="12"/>
    <n v="127"/>
    <x v="16"/>
    <s v="Aris"/>
    <n v="1"/>
    <n v="7"/>
    <n v="6"/>
    <n v="0"/>
    <x v="2"/>
    <s v="vs Sakellariou"/>
    <n v="169"/>
    <n v="0.52"/>
    <n v="41"/>
    <n v="0.41414141414141414"/>
    <n v="0.87128712871287128"/>
    <n v="467"/>
    <n v="23"/>
    <n v="113"/>
    <n v="89"/>
    <n v="30"/>
    <n v="13"/>
    <n v="44"/>
    <n v="2.0227272727272729"/>
  </r>
  <r>
    <x v="2"/>
    <x v="0"/>
    <x v="12"/>
    <n v="127"/>
    <x v="3"/>
    <s v="Sakellariou"/>
    <n v="0"/>
    <n v="6"/>
    <n v="7"/>
    <n v="0"/>
    <x v="17"/>
    <s v="vs Aris"/>
    <n v="189"/>
    <n v="0.53541076487252126"/>
    <n v="52"/>
    <n v="0.37956204379562042"/>
    <n v="0.77419354838709675"/>
    <n v="502"/>
    <n v="22"/>
    <n v="101"/>
    <n v="56"/>
    <n v="18"/>
    <n v="23"/>
    <n v="40"/>
    <n v="1.4"/>
  </r>
  <r>
    <x v="2"/>
    <x v="0"/>
    <x v="12"/>
    <n v="128"/>
    <x v="1"/>
    <s v="Fanis"/>
    <n v="1"/>
    <n v="7"/>
    <n v="6"/>
    <n v="0"/>
    <x v="8"/>
    <s v="vs Ziogas/Christof"/>
    <n v="182"/>
    <n v="0.45273631840796019"/>
    <n v="64"/>
    <n v="0.36363636363636365"/>
    <n v="0.71171171171171166"/>
    <n v="507"/>
    <n v="26"/>
    <n v="165"/>
    <n v="148"/>
    <n v="50"/>
    <n v="9"/>
    <n v="71"/>
    <n v="2.084507042253521"/>
  </r>
  <r>
    <x v="2"/>
    <x v="0"/>
    <x v="12"/>
    <n v="128"/>
    <x v="9"/>
    <s v="Ziogas/Christof"/>
    <n v="0"/>
    <n v="6"/>
    <n v="7"/>
    <n v="0"/>
    <x v="0"/>
    <s v="vs Fanis"/>
    <n v="167"/>
    <n v="0.46648044692737428"/>
    <n v="41"/>
    <n v="0.32800000000000001"/>
    <n v="0.83673469387755106"/>
    <n v="457"/>
    <n v="29"/>
    <n v="136"/>
    <n v="136"/>
    <n v="17"/>
    <n v="17"/>
    <n v="51"/>
    <n v="2.6666666666666665"/>
  </r>
  <r>
    <x v="2"/>
    <x v="0"/>
    <x v="12"/>
    <n v="129"/>
    <x v="17"/>
    <s v="Spiridaus/Oladipas"/>
    <n v="1"/>
    <n v="8"/>
    <n v="5"/>
    <n v="0"/>
    <x v="22"/>
    <s v="vs Miggianis"/>
    <n v="135"/>
    <n v="0.42586750788643535"/>
    <n v="46"/>
    <n v="0.30463576158940397"/>
    <n v="0.78947368421052633"/>
    <n v="391"/>
    <n v="26"/>
    <n v="113"/>
    <n v="90"/>
    <n v="30"/>
    <n v="12"/>
    <n v="48"/>
    <n v="1.875"/>
  </r>
  <r>
    <x v="2"/>
    <x v="0"/>
    <x v="12"/>
    <n v="129"/>
    <x v="22"/>
    <s v="Miggianis"/>
    <n v="0"/>
    <n v="5"/>
    <n v="8"/>
    <n v="0"/>
    <x v="16"/>
    <s v="vs Spiridaus/Oladipas"/>
    <n v="113"/>
    <n v="0.45200000000000001"/>
    <n v="39"/>
    <n v="0.40625"/>
    <n v="0.75"/>
    <n v="298"/>
    <n v="23"/>
    <n v="67"/>
    <n v="54"/>
    <n v="24"/>
    <n v="22"/>
    <n v="24"/>
    <n v="2.25"/>
  </r>
  <r>
    <x v="2"/>
    <x v="0"/>
    <x v="12"/>
    <n v="130"/>
    <x v="18"/>
    <s v="Kotakis"/>
    <n v="1"/>
    <n v="7"/>
    <n v="4"/>
    <n v="2"/>
    <x v="18"/>
    <s v="vs Nonis"/>
    <n v="181"/>
    <n v="0.49589041095890413"/>
    <n v="55"/>
    <n v="0.3716216216216216"/>
    <n v="0.859375"/>
    <n v="472"/>
    <n v="29"/>
    <n v="121"/>
    <n v="90"/>
    <n v="20"/>
    <n v="9"/>
    <n v="46"/>
    <n v="1.9565217391304348"/>
  </r>
  <r>
    <x v="2"/>
    <x v="0"/>
    <x v="12"/>
    <n v="130"/>
    <x v="19"/>
    <s v="Nonis"/>
    <n v="0"/>
    <n v="4"/>
    <n v="7"/>
    <n v="2"/>
    <x v="19"/>
    <s v="vs Kotakis"/>
    <n v="158"/>
    <n v="0.52145214521452143"/>
    <n v="44"/>
    <n v="0.41121495327102803"/>
    <n v="0.70588235294117652"/>
    <n v="432"/>
    <n v="29"/>
    <n v="127"/>
    <n v="77"/>
    <n v="20"/>
    <n v="13"/>
    <n v="56"/>
    <n v="1.375"/>
  </r>
  <r>
    <x v="2"/>
    <x v="0"/>
    <x v="13"/>
    <n v="131"/>
    <x v="4"/>
    <s v="Mpousaras"/>
    <n v="0"/>
    <n v="6"/>
    <n v="7"/>
    <n v="0"/>
    <x v="8"/>
    <s v="vs Ziogas/Christof"/>
    <n v="181"/>
    <n v="0.48010610079575594"/>
    <n v="46"/>
    <n v="0.38016528925619836"/>
    <n v="0.73972602739726023"/>
    <n v="462"/>
    <n v="41"/>
    <n v="106"/>
    <n v="109"/>
    <n v="34"/>
    <n v="11"/>
    <n v="47"/>
    <n v="2.3191489361702127"/>
  </r>
  <r>
    <x v="2"/>
    <x v="0"/>
    <x v="13"/>
    <n v="131"/>
    <x v="9"/>
    <s v="Ziogas/Christof"/>
    <n v="1"/>
    <n v="7"/>
    <n v="6"/>
    <n v="0"/>
    <x v="5"/>
    <s v="vs Mpousaras"/>
    <n v="166"/>
    <n v="0.51234567901234573"/>
    <n v="49"/>
    <n v="0.40163934426229508"/>
    <n v="0.78431372549019607"/>
    <n v="461"/>
    <n v="40"/>
    <n v="158"/>
    <n v="121"/>
    <n v="31"/>
    <n v="21"/>
    <n v="72"/>
    <n v="1.6805555555555556"/>
  </r>
  <r>
    <x v="2"/>
    <x v="0"/>
    <x v="13"/>
    <n v="132"/>
    <x v="8"/>
    <s v="Antoniou"/>
    <n v="1"/>
    <n v="8"/>
    <n v="5"/>
    <n v="0"/>
    <x v="18"/>
    <s v="vs Nonis"/>
    <n v="182"/>
    <n v="0.4538653366583541"/>
    <n v="55"/>
    <n v="0.34810126582278483"/>
    <n v="0.78151260504201681"/>
    <n v="512"/>
    <n v="43"/>
    <n v="156"/>
    <n v="114"/>
    <n v="38"/>
    <n v="13"/>
    <n v="57"/>
    <n v="2"/>
  </r>
  <r>
    <x v="2"/>
    <x v="0"/>
    <x v="13"/>
    <n v="132"/>
    <x v="19"/>
    <s v="Nonis"/>
    <n v="0"/>
    <n v="5"/>
    <n v="8"/>
    <n v="0"/>
    <x v="9"/>
    <s v="vs Antoniou"/>
    <n v="195"/>
    <n v="0.52702702702702697"/>
    <n v="34"/>
    <n v="0.30357142857142855"/>
    <n v="0.76296296296296295"/>
    <n v="527"/>
    <n v="42"/>
    <n v="143"/>
    <n v="116"/>
    <n v="18"/>
    <n v="24"/>
    <n v="72"/>
    <n v="1.6111111111111112"/>
  </r>
  <r>
    <x v="2"/>
    <x v="0"/>
    <x v="13"/>
    <n v="133"/>
    <x v="13"/>
    <s v="Kousidis"/>
    <n v="0"/>
    <n v="6"/>
    <n v="7"/>
    <n v="0"/>
    <x v="4"/>
    <s v="vs Markos"/>
    <n v="110"/>
    <n v="0.43307086614173229"/>
    <n v="19"/>
    <n v="0.31666666666666665"/>
    <n v="0.72826086956521741"/>
    <n v="306"/>
    <n v="46"/>
    <n v="132"/>
    <n v="141"/>
    <n v="27"/>
    <n v="13"/>
    <n v="49"/>
    <n v="2.8775510204081631"/>
  </r>
  <r>
    <x v="2"/>
    <x v="0"/>
    <x v="13"/>
    <n v="133"/>
    <x v="5"/>
    <s v="Markos"/>
    <n v="1"/>
    <n v="7"/>
    <n v="6"/>
    <n v="0"/>
    <x v="12"/>
    <s v="vs Kousidis"/>
    <n v="119"/>
    <n v="0.47791164658634538"/>
    <n v="31"/>
    <n v="0.36470588235294116"/>
    <n v="0.76315789473684215"/>
    <n v="298"/>
    <n v="30"/>
    <n v="102"/>
    <n v="88"/>
    <n v="26"/>
    <n v="20"/>
    <n v="38"/>
    <n v="2.3157894736842106"/>
  </r>
  <r>
    <x v="2"/>
    <x v="0"/>
    <x v="13"/>
    <n v="134"/>
    <x v="17"/>
    <s v="Spiridaus/Oladipas"/>
    <n v="1"/>
    <n v="11"/>
    <n v="2"/>
    <n v="0"/>
    <x v="20"/>
    <s v="vs Panos"/>
    <n v="195"/>
    <n v="0.48029556650246308"/>
    <n v="81"/>
    <n v="0.44021739130434784"/>
    <n v="0.84"/>
    <n v="576"/>
    <n v="22"/>
    <n v="157"/>
    <n v="106"/>
    <n v="40"/>
    <n v="24"/>
    <n v="39"/>
    <n v="2.7179487179487181"/>
  </r>
  <r>
    <x v="2"/>
    <x v="0"/>
    <x v="13"/>
    <n v="134"/>
    <x v="20"/>
    <s v="Guru"/>
    <n v="0"/>
    <n v="2"/>
    <n v="11"/>
    <n v="0"/>
    <x v="16"/>
    <s v="vs Spiridaus/Oladipas"/>
    <n v="143"/>
    <n v="0.40740740740740738"/>
    <n v="49"/>
    <n v="0.31612903225806449"/>
    <n v="0.86868686868686873"/>
    <n v="421"/>
    <n v="35"/>
    <n v="130"/>
    <n v="82"/>
    <n v="24"/>
    <n v="15"/>
    <n v="52"/>
    <n v="1.5769230769230769"/>
  </r>
  <r>
    <x v="2"/>
    <x v="0"/>
    <x v="13"/>
    <n v="135"/>
    <x v="6"/>
    <s v="Tassos"/>
    <n v="0"/>
    <n v="3"/>
    <n v="7"/>
    <n v="3"/>
    <x v="2"/>
    <s v="vs Sakellariou"/>
    <n v="179"/>
    <n v="0.45897435897435895"/>
    <n v="50"/>
    <n v="0.36496350364963503"/>
    <n v="0.65979381443298968"/>
    <n v="472"/>
    <n v="31"/>
    <n v="139"/>
    <n v="97"/>
    <n v="34"/>
    <n v="30"/>
    <n v="59"/>
    <n v="1.6440677966101696"/>
  </r>
  <r>
    <x v="2"/>
    <x v="0"/>
    <x v="13"/>
    <n v="135"/>
    <x v="3"/>
    <s v="Sakellariou"/>
    <n v="1"/>
    <n v="7"/>
    <n v="3"/>
    <n v="3"/>
    <x v="7"/>
    <s v="vs Tassos"/>
    <n v="184"/>
    <n v="0.46347607052896728"/>
    <n v="50"/>
    <n v="0.36496350364963503"/>
    <n v="0.79130434782608694"/>
    <n v="509"/>
    <n v="47"/>
    <n v="120"/>
    <n v="97"/>
    <n v="23"/>
    <n v="15"/>
    <n v="51"/>
    <n v="1.9019607843137254"/>
  </r>
  <r>
    <x v="2"/>
    <x v="0"/>
    <x v="13"/>
    <n v="136"/>
    <x v="7"/>
    <s v="Johnny"/>
    <n v="0"/>
    <n v="6"/>
    <n v="7"/>
    <n v="0"/>
    <x v="21"/>
    <s v="vs Tzokos"/>
    <n v="236"/>
    <n v="0.45297504798464494"/>
    <n v="49"/>
    <n v="0.32236842105263158"/>
    <n v="0.78082191780821919"/>
    <n v="635"/>
    <n v="63"/>
    <n v="188"/>
    <n v="122"/>
    <n v="36"/>
    <n v="29"/>
    <n v="83"/>
    <n v="1.4698795180722892"/>
  </r>
  <r>
    <x v="2"/>
    <x v="0"/>
    <x v="13"/>
    <n v="136"/>
    <x v="21"/>
    <s v="Tzokos"/>
    <n v="1"/>
    <n v="7"/>
    <n v="6"/>
    <n v="0"/>
    <x v="6"/>
    <s v="vs Johnny"/>
    <n v="197"/>
    <n v="0.47931873479318737"/>
    <n v="64"/>
    <n v="0.35754189944134079"/>
    <n v="0.8904109589041096"/>
    <n v="523"/>
    <n v="59"/>
    <n v="167"/>
    <n v="76"/>
    <n v="32"/>
    <n v="37"/>
    <n v="47"/>
    <n v="1.6170212765957446"/>
  </r>
  <r>
    <x v="2"/>
    <x v="0"/>
    <x v="13"/>
    <n v="137"/>
    <x v="1"/>
    <s v="Fanis"/>
    <n v="1"/>
    <n v="9"/>
    <n v="4"/>
    <n v="0"/>
    <x v="3"/>
    <s v="vs Fountos"/>
    <n v="173"/>
    <n v="0.46256684491978611"/>
    <n v="50"/>
    <n v="0.29761904761904762"/>
    <n v="0.71875"/>
    <n v="465"/>
    <n v="42"/>
    <n v="152"/>
    <n v="120"/>
    <n v="40"/>
    <n v="24"/>
    <n v="66"/>
    <n v="1.8181818181818181"/>
  </r>
  <r>
    <x v="2"/>
    <x v="0"/>
    <x v="13"/>
    <n v="137"/>
    <x v="2"/>
    <s v="Fountos"/>
    <n v="0"/>
    <n v="4"/>
    <n v="9"/>
    <n v="0"/>
    <x v="0"/>
    <s v="vs Fanis"/>
    <n v="134"/>
    <n v="0.4281150159744409"/>
    <n v="32"/>
    <n v="0.32989690721649484"/>
    <n v="0.7567567567567568"/>
    <n v="384"/>
    <n v="50"/>
    <n v="133"/>
    <n v="89"/>
    <n v="25"/>
    <n v="17"/>
    <n v="51"/>
    <n v="1.7450980392156863"/>
  </r>
  <r>
    <x v="2"/>
    <x v="0"/>
    <x v="13"/>
    <n v="138"/>
    <x v="12"/>
    <s v="Stavros"/>
    <n v="1"/>
    <n v="11"/>
    <n v="2"/>
    <n v="0"/>
    <x v="17"/>
    <s v="vs Aris"/>
    <n v="172"/>
    <n v="0.48314606741573035"/>
    <n v="53"/>
    <n v="0.38405797101449274"/>
    <n v="0.77941176470588236"/>
    <n v="450"/>
    <n v="45"/>
    <n v="128"/>
    <n v="102"/>
    <n v="30"/>
    <n v="18"/>
    <n v="54"/>
    <n v="1.8888888888888888"/>
  </r>
  <r>
    <x v="2"/>
    <x v="0"/>
    <x v="13"/>
    <n v="138"/>
    <x v="16"/>
    <s v="Aris"/>
    <n v="0"/>
    <n v="2"/>
    <n v="11"/>
    <n v="0"/>
    <x v="13"/>
    <s v="vs Stavros"/>
    <n v="137"/>
    <n v="0.42812499999999998"/>
    <n v="35"/>
    <n v="0.31818181818181818"/>
    <n v="0.8833333333333333"/>
    <n v="415"/>
    <n v="25"/>
    <n v="104"/>
    <n v="80"/>
    <n v="22"/>
    <n v="24"/>
    <n v="57"/>
    <n v="1.4035087719298245"/>
  </r>
  <r>
    <x v="2"/>
    <x v="0"/>
    <x v="13"/>
    <n v="139"/>
    <x v="15"/>
    <s v="Vasilis"/>
    <n v="1"/>
    <n v="7"/>
    <n v="6"/>
    <n v="0"/>
    <x v="19"/>
    <s v="vs Kotakis"/>
    <n v="197"/>
    <n v="0.55492957746478877"/>
    <n v="31"/>
    <n v="0.38271604938271603"/>
    <n v="0.73913043478260865"/>
    <n v="527"/>
    <n v="71"/>
    <n v="158"/>
    <n v="118"/>
    <n v="47"/>
    <n v="26"/>
    <n v="77"/>
    <n v="1.5324675324675325"/>
  </r>
  <r>
    <x v="2"/>
    <x v="0"/>
    <x v="13"/>
    <n v="139"/>
    <x v="18"/>
    <s v="Kotakis"/>
    <n v="0"/>
    <n v="6"/>
    <n v="7"/>
    <n v="0"/>
    <x v="14"/>
    <s v="vs Vasilis"/>
    <n v="209"/>
    <n v="0.47499999999999998"/>
    <n v="71"/>
    <n v="0.39226519337016574"/>
    <n v="0.8125"/>
    <n v="593"/>
    <n v="28"/>
    <n v="135"/>
    <n v="87"/>
    <n v="29"/>
    <n v="11"/>
    <n v="59"/>
    <n v="1.4745762711864407"/>
  </r>
  <r>
    <x v="2"/>
    <x v="0"/>
    <x v="13"/>
    <n v="140"/>
    <x v="11"/>
    <s v="pi/Sotiris"/>
    <n v="1"/>
    <n v="9"/>
    <n v="4"/>
    <n v="0"/>
    <x v="22"/>
    <s v="vs Miggianis"/>
    <n v="208"/>
    <n v="0.45614035087719296"/>
    <n v="61"/>
    <n v="0.38364779874213839"/>
    <n v="0.77083333333333337"/>
    <n v="551"/>
    <n v="53"/>
    <n v="175"/>
    <n v="111"/>
    <n v="31"/>
    <n v="15"/>
    <n v="64"/>
    <n v="1.734375"/>
  </r>
  <r>
    <x v="2"/>
    <x v="0"/>
    <x v="13"/>
    <n v="140"/>
    <x v="22"/>
    <s v="Miggianis"/>
    <n v="0"/>
    <n v="4"/>
    <n v="9"/>
    <n v="0"/>
    <x v="10"/>
    <s v="vs pi/Sotiris"/>
    <n v="119"/>
    <n v="0.41754385964912283"/>
    <n v="58"/>
    <n v="0.39455782312925169"/>
    <n v="0.81132075471698117"/>
    <n v="339"/>
    <n v="25"/>
    <n v="99"/>
    <n v="56"/>
    <n v="16"/>
    <n v="19"/>
    <n v="40"/>
    <n v="1.4"/>
  </r>
  <r>
    <x v="2"/>
    <x v="0"/>
    <x v="14"/>
    <n v="141"/>
    <x v="8"/>
    <s v="Antoniou"/>
    <n v="1"/>
    <n v="11"/>
    <n v="2"/>
    <n v="0"/>
    <x v="12"/>
    <s v="vs Kousidis"/>
    <n v="166"/>
    <n v="0.45479452054794522"/>
    <n v="62"/>
    <n v="0.4"/>
    <n v="0.81818181818181823"/>
    <n v="457"/>
    <n v="44"/>
    <n v="159"/>
    <n v="111"/>
    <n v="33"/>
    <n v="24"/>
    <n v="52"/>
    <n v="2.1346153846153846"/>
  </r>
  <r>
    <x v="2"/>
    <x v="0"/>
    <x v="14"/>
    <n v="141"/>
    <x v="13"/>
    <s v="Kousidis"/>
    <n v="0"/>
    <n v="2"/>
    <n v="11"/>
    <n v="0"/>
    <x v="9"/>
    <s v="vs Antoniou"/>
    <n v="95"/>
    <n v="0.46568627450980393"/>
    <n v="17"/>
    <n v="0.34"/>
    <n v="0.7846153846153846"/>
    <n v="258"/>
    <n v="26"/>
    <n v="96"/>
    <n v="96"/>
    <n v="18"/>
    <n v="9"/>
    <n v="45"/>
    <n v="2.1333333333333333"/>
  </r>
  <r>
    <x v="2"/>
    <x v="0"/>
    <x v="14"/>
    <n v="142"/>
    <x v="9"/>
    <s v="Ziogas/Christof"/>
    <n v="0"/>
    <n v="5"/>
    <n v="7"/>
    <n v="1"/>
    <x v="3"/>
    <s v="vs Fountos"/>
    <n v="133"/>
    <n v="0.45862068965517239"/>
    <n v="44"/>
    <n v="0.36363636363636365"/>
    <n v="0.67"/>
    <n v="377"/>
    <n v="43"/>
    <n v="165"/>
    <n v="131"/>
    <n v="21"/>
    <n v="20"/>
    <n v="51"/>
    <n v="2.5686274509803924"/>
  </r>
  <r>
    <x v="2"/>
    <x v="0"/>
    <x v="14"/>
    <n v="142"/>
    <x v="2"/>
    <s v="Fountos"/>
    <n v="1"/>
    <n v="7"/>
    <n v="5"/>
    <n v="1"/>
    <x v="8"/>
    <s v="vs Ziogas/Christof"/>
    <n v="156"/>
    <n v="0.50322580645161286"/>
    <n v="48"/>
    <n v="0.43636363636363634"/>
    <n v="0.80821917808219179"/>
    <n v="419"/>
    <n v="30"/>
    <n v="85"/>
    <n v="73"/>
    <n v="21"/>
    <n v="15"/>
    <n v="43"/>
    <n v="1.6976744186046511"/>
  </r>
  <r>
    <x v="2"/>
    <x v="0"/>
    <x v="14"/>
    <n v="143"/>
    <x v="17"/>
    <s v="Spiridaus/Oladipas"/>
    <n v="1"/>
    <n v="11"/>
    <n v="2"/>
    <n v="0"/>
    <x v="5"/>
    <s v="vs Mpousaras"/>
    <n v="152"/>
    <n v="0.47204968944099379"/>
    <n v="62"/>
    <n v="0.42758620689655175"/>
    <n v="0.8529411764705882"/>
    <n v="424"/>
    <n v="41"/>
    <n v="119"/>
    <n v="111"/>
    <n v="23"/>
    <n v="15"/>
    <n v="42"/>
    <n v="2.6428571428571428"/>
  </r>
  <r>
    <x v="2"/>
    <x v="0"/>
    <x v="14"/>
    <n v="143"/>
    <x v="4"/>
    <s v="Mpousaras"/>
    <n v="0"/>
    <n v="2"/>
    <n v="11"/>
    <n v="0"/>
    <x v="16"/>
    <s v="vs Spiridaus/Oladipas"/>
    <n v="147"/>
    <n v="0.46815286624203822"/>
    <n v="45"/>
    <n v="0.43269230769230771"/>
    <n v="0.810126582278481"/>
    <n v="403"/>
    <n v="37"/>
    <n v="118"/>
    <n v="116"/>
    <n v="21"/>
    <n v="14"/>
    <n v="44"/>
    <n v="2.6363636363636362"/>
  </r>
  <r>
    <x v="2"/>
    <x v="0"/>
    <x v="14"/>
    <n v="144"/>
    <x v="21"/>
    <s v="Tzokos"/>
    <n v="0"/>
    <n v="4"/>
    <n v="9"/>
    <n v="0"/>
    <x v="10"/>
    <s v="vs pi/Sotiris"/>
    <n v="158"/>
    <n v="0.48765432098765432"/>
    <n v="48"/>
    <n v="0.34532374100719426"/>
    <n v="0.78666666666666663"/>
    <n v="423"/>
    <n v="45"/>
    <n v="152"/>
    <n v="48"/>
    <n v="36"/>
    <n v="32"/>
    <n v="36"/>
    <n v="1.3333333333333333"/>
  </r>
  <r>
    <x v="2"/>
    <x v="0"/>
    <x v="14"/>
    <n v="144"/>
    <x v="11"/>
    <s v="pi/Sotiris"/>
    <n v="1"/>
    <n v="9"/>
    <n v="4"/>
    <n v="0"/>
    <x v="21"/>
    <s v="vs Tzokos"/>
    <n v="209"/>
    <n v="0.49643705463182897"/>
    <n v="60"/>
    <n v="0.40540540540540543"/>
    <n v="0.8165137614678899"/>
    <n v="567"/>
    <n v="46"/>
    <n v="148"/>
    <n v="88"/>
    <n v="33"/>
    <n v="21"/>
    <n v="54"/>
    <n v="1.6296296296296295"/>
  </r>
  <r>
    <x v="2"/>
    <x v="0"/>
    <x v="14"/>
    <n v="145"/>
    <x v="19"/>
    <s v="Nonis"/>
    <n v="1"/>
    <n v="7"/>
    <n v="6"/>
    <n v="0"/>
    <x v="2"/>
    <s v="vs Sakellariou"/>
    <n v="153"/>
    <n v="0.45945945945945948"/>
    <n v="30"/>
    <n v="0.27272727272727271"/>
    <n v="0.77419354838709675"/>
    <n v="456"/>
    <n v="50"/>
    <n v="131"/>
    <n v="101"/>
    <n v="28"/>
    <n v="20"/>
    <n v="61"/>
    <n v="1.6557377049180328"/>
  </r>
  <r>
    <x v="2"/>
    <x v="0"/>
    <x v="14"/>
    <n v="145"/>
    <x v="3"/>
    <s v="Sakellariou"/>
    <n v="0"/>
    <n v="6"/>
    <n v="7"/>
    <n v="0"/>
    <x v="18"/>
    <s v="vs Nonis"/>
    <n v="167"/>
    <n v="0.49408284023668642"/>
    <n v="55"/>
    <n v="0.38732394366197181"/>
    <n v="0.74528301886792447"/>
    <n v="468"/>
    <n v="30"/>
    <n v="99"/>
    <n v="61"/>
    <n v="19"/>
    <n v="16"/>
    <n v="40"/>
    <n v="1.5249999999999999"/>
  </r>
  <r>
    <x v="2"/>
    <x v="0"/>
    <x v="14"/>
    <n v="146"/>
    <x v="1"/>
    <s v="Fanis"/>
    <n v="1"/>
    <n v="8"/>
    <n v="5"/>
    <n v="0"/>
    <x v="7"/>
    <s v="vs Tassos"/>
    <n v="146"/>
    <n v="0.46496815286624205"/>
    <n v="52"/>
    <n v="0.41599999999999998"/>
    <n v="0.77064220183486243"/>
    <n v="428"/>
    <n v="50"/>
    <n v="143"/>
    <n v="124"/>
    <n v="28"/>
    <n v="24"/>
    <n v="57"/>
    <n v="2.1754385964912282"/>
  </r>
  <r>
    <x v="2"/>
    <x v="0"/>
    <x v="14"/>
    <n v="146"/>
    <x v="6"/>
    <s v="Tassos"/>
    <n v="0"/>
    <n v="5"/>
    <n v="8"/>
    <n v="0"/>
    <x v="0"/>
    <s v="vs Fanis"/>
    <n v="154"/>
    <n v="0.42191780821917807"/>
    <n v="43"/>
    <n v="0.31851851851851853"/>
    <n v="0.83333333333333337"/>
    <n v="401"/>
    <n v="19"/>
    <n v="105"/>
    <n v="105"/>
    <n v="24"/>
    <n v="35"/>
    <n v="38"/>
    <n v="2.763157894736842"/>
  </r>
  <r>
    <x v="2"/>
    <x v="0"/>
    <x v="14"/>
    <n v="147"/>
    <x v="18"/>
    <s v="Kotakis"/>
    <n v="1"/>
    <n v="8"/>
    <n v="5"/>
    <n v="0"/>
    <x v="22"/>
    <s v="vs Miggianis"/>
    <n v="134"/>
    <n v="0.41230769230769232"/>
    <n v="39"/>
    <n v="0.29545454545454547"/>
    <n v="0.85576923076923073"/>
    <n v="396"/>
    <n v="19"/>
    <n v="90"/>
    <n v="97"/>
    <n v="21"/>
    <n v="8"/>
    <n v="53"/>
    <n v="1.8301886792452831"/>
  </r>
  <r>
    <x v="2"/>
    <x v="0"/>
    <x v="14"/>
    <n v="147"/>
    <x v="22"/>
    <s v="Miggianis"/>
    <n v="0"/>
    <n v="5"/>
    <n v="8"/>
    <n v="0"/>
    <x v="19"/>
    <s v="vs Kotakis"/>
    <n v="100"/>
    <n v="0.45662100456621002"/>
    <n v="37"/>
    <n v="0.33944954128440369"/>
    <n v="0.77500000000000002"/>
    <n v="268"/>
    <n v="16"/>
    <n v="95"/>
    <n v="43"/>
    <n v="15"/>
    <n v="18"/>
    <n v="31"/>
    <n v="1.3870967741935485"/>
  </r>
  <r>
    <x v="2"/>
    <x v="0"/>
    <x v="14"/>
    <n v="148"/>
    <x v="12"/>
    <s v="Stavros"/>
    <n v="1"/>
    <n v="11"/>
    <n v="1"/>
    <n v="1"/>
    <x v="20"/>
    <s v="vs Panos"/>
    <n v="160"/>
    <n v="0.47058823529411764"/>
    <n v="54"/>
    <n v="0.38571428571428573"/>
    <n v="0.759493670886076"/>
    <n v="434"/>
    <n v="38"/>
    <n v="133"/>
    <n v="102"/>
    <n v="28"/>
    <n v="13"/>
    <n v="54"/>
    <n v="1.8888888888888888"/>
  </r>
  <r>
    <x v="2"/>
    <x v="0"/>
    <x v="14"/>
    <n v="148"/>
    <x v="20"/>
    <s v="Guru"/>
    <n v="0"/>
    <n v="1"/>
    <n v="11"/>
    <n v="1"/>
    <x v="13"/>
    <s v="vs Stavros"/>
    <n v="145"/>
    <n v="0.4380664652567976"/>
    <n v="45"/>
    <n v="0.31468531468531469"/>
    <n v="0.83333333333333337"/>
    <n v="405"/>
    <n v="23"/>
    <n v="81"/>
    <n v="99"/>
    <n v="28"/>
    <n v="7"/>
    <n v="55"/>
    <n v="1.8"/>
  </r>
  <r>
    <x v="2"/>
    <x v="0"/>
    <x v="14"/>
    <n v="149"/>
    <x v="15"/>
    <s v="Vasilis"/>
    <n v="1"/>
    <n v="9"/>
    <n v="4"/>
    <n v="0"/>
    <x v="4"/>
    <s v="vs Markos"/>
    <n v="164"/>
    <n v="0.53770491803278686"/>
    <n v="27"/>
    <n v="0.34177215189873417"/>
    <n v="0.717741935483871"/>
    <n v="444"/>
    <n v="60"/>
    <n v="119"/>
    <n v="63"/>
    <n v="22"/>
    <n v="19"/>
    <n v="52"/>
    <n v="1.2115384615384615"/>
  </r>
  <r>
    <x v="2"/>
    <x v="0"/>
    <x v="14"/>
    <n v="149"/>
    <x v="5"/>
    <s v="Markos"/>
    <n v="0"/>
    <n v="4"/>
    <n v="9"/>
    <n v="0"/>
    <x v="14"/>
    <s v="vs Vasilis"/>
    <n v="104"/>
    <n v="0.50731707317073171"/>
    <n v="31"/>
    <n v="0.37804878048780488"/>
    <n v="0.64615384615384619"/>
    <n v="281"/>
    <n v="33"/>
    <n v="87"/>
    <n v="61"/>
    <n v="12"/>
    <n v="16"/>
    <n v="37"/>
    <n v="1.6486486486486487"/>
  </r>
  <r>
    <x v="2"/>
    <x v="0"/>
    <x v="14"/>
    <n v="150"/>
    <x v="7"/>
    <s v="Johnny"/>
    <n v="0"/>
    <n v="6"/>
    <n v="7"/>
    <n v="0"/>
    <x v="17"/>
    <s v="vs Aris"/>
    <n v="200"/>
    <n v="0.46728971962616822"/>
    <n v="50"/>
    <n v="0.35714285714285715"/>
    <n v="0.78632478632478631"/>
    <n v="542"/>
    <n v="22"/>
    <n v="137"/>
    <n v="115"/>
    <n v="32"/>
    <n v="9"/>
    <n v="76"/>
    <n v="1.513157894736842"/>
  </r>
  <r>
    <x v="2"/>
    <x v="0"/>
    <x v="14"/>
    <n v="150"/>
    <x v="16"/>
    <s v="Aris"/>
    <n v="1"/>
    <n v="7"/>
    <n v="6"/>
    <n v="0"/>
    <x v="6"/>
    <s v="vs Johnny"/>
    <n v="121"/>
    <n v="0.5307017543859649"/>
    <n v="34"/>
    <n v="0.4"/>
    <n v="0.81578947368421051"/>
    <n v="338"/>
    <n v="29"/>
    <n v="83"/>
    <n v="68"/>
    <n v="13"/>
    <n v="15"/>
    <n v="35"/>
    <n v="1.9428571428571428"/>
  </r>
  <r>
    <x v="2"/>
    <x v="0"/>
    <x v="15"/>
    <n v="151"/>
    <x v="11"/>
    <s v="pi/Sotiris"/>
    <n v="1"/>
    <n v="11"/>
    <n v="2"/>
    <n v="0"/>
    <x v="8"/>
    <s v="vs Ziogas/Christof"/>
    <n v="239"/>
    <n v="0.48380566801619435"/>
    <n v="68"/>
    <n v="0.43870967741935485"/>
    <n v="0.76315789473684215"/>
    <n v="633"/>
    <n v="60"/>
    <n v="193"/>
    <n v="111"/>
    <n v="35"/>
    <n v="27"/>
    <n v="59"/>
    <n v="1.8813559322033899"/>
  </r>
  <r>
    <x v="2"/>
    <x v="0"/>
    <x v="15"/>
    <n v="151"/>
    <x v="9"/>
    <s v="Ziogas/Christof"/>
    <n v="0"/>
    <n v="2"/>
    <n v="11"/>
    <n v="0"/>
    <x v="10"/>
    <s v="vs pi/Sotiris"/>
    <n v="178"/>
    <n v="0.478494623655914"/>
    <n v="52"/>
    <n v="0.38235294117647056"/>
    <n v="0.75268817204301075"/>
    <n v="478"/>
    <n v="41"/>
    <n v="174"/>
    <n v="137"/>
    <n v="23"/>
    <n v="20"/>
    <n v="67"/>
    <n v="2.044776119402985"/>
  </r>
  <r>
    <x v="2"/>
    <x v="0"/>
    <x v="15"/>
    <n v="152"/>
    <x v="8"/>
    <s v="Antoniou"/>
    <n v="1"/>
    <n v="8"/>
    <n v="5"/>
    <n v="0"/>
    <x v="21"/>
    <s v="vs Tzokos"/>
    <n v="174"/>
    <n v="0.50144092219020175"/>
    <n v="46"/>
    <n v="0.33823529411764708"/>
    <n v="0.81"/>
    <n v="475"/>
    <n v="39"/>
    <n v="165"/>
    <n v="111"/>
    <n v="22"/>
    <n v="20"/>
    <n v="56"/>
    <n v="1.9821428571428572"/>
  </r>
  <r>
    <x v="2"/>
    <x v="0"/>
    <x v="15"/>
    <n v="152"/>
    <x v="21"/>
    <s v="Tzokos"/>
    <n v="0"/>
    <n v="5"/>
    <n v="8"/>
    <n v="0"/>
    <x v="9"/>
    <s v="vs Antoniou"/>
    <n v="157"/>
    <n v="0.48456790123456789"/>
    <n v="48"/>
    <n v="0.34782608695652173"/>
    <n v="0.73170731707317072"/>
    <n v="422"/>
    <n v="57"/>
    <n v="160"/>
    <n v="61"/>
    <n v="18"/>
    <n v="27"/>
    <n v="32"/>
    <n v="1.90625"/>
  </r>
  <r>
    <x v="2"/>
    <x v="0"/>
    <x v="15"/>
    <n v="153"/>
    <x v="4"/>
    <s v="Mpousaras"/>
    <n v="0"/>
    <n v="4"/>
    <n v="9"/>
    <n v="0"/>
    <x v="20"/>
    <s v="vs Panos"/>
    <n v="136"/>
    <n v="0.44884488448844884"/>
    <n v="33"/>
    <n v="0.38823529411764707"/>
    <n v="0.77647058823529413"/>
    <n v="371"/>
    <n v="34"/>
    <n v="117"/>
    <n v="89"/>
    <n v="28"/>
    <n v="20"/>
    <n v="68"/>
    <n v="1.3088235294117647"/>
  </r>
  <r>
    <x v="2"/>
    <x v="0"/>
    <x v="15"/>
    <n v="153"/>
    <x v="20"/>
    <s v="Guru"/>
    <n v="1"/>
    <n v="9"/>
    <n v="4"/>
    <n v="0"/>
    <x v="5"/>
    <s v="vs Mpousaras"/>
    <n v="149"/>
    <n v="0.48376623376623379"/>
    <n v="47"/>
    <n v="0.38842975206611569"/>
    <n v="0.83116883116883122"/>
    <n v="409"/>
    <n v="21"/>
    <n v="91"/>
    <n v="100"/>
    <n v="14"/>
    <n v="3"/>
    <n v="45"/>
    <n v="2.2222222222222223"/>
  </r>
  <r>
    <x v="2"/>
    <x v="0"/>
    <x v="15"/>
    <n v="154"/>
    <x v="18"/>
    <s v="Kotakis"/>
    <n v="1"/>
    <n v="7"/>
    <n v="6"/>
    <n v="0"/>
    <x v="2"/>
    <s v="vs Sakellariou"/>
    <n v="163"/>
    <n v="0.44054054054054054"/>
    <n v="57"/>
    <n v="0.36075949367088606"/>
    <n v="0.81666666666666665"/>
    <n v="432"/>
    <n v="21"/>
    <n v="102"/>
    <n v="109"/>
    <n v="23"/>
    <n v="6"/>
    <n v="35"/>
    <n v="3.1142857142857143"/>
  </r>
  <r>
    <x v="2"/>
    <x v="0"/>
    <x v="15"/>
    <n v="154"/>
    <x v="3"/>
    <s v="Sakellariou"/>
    <n v="0"/>
    <n v="6"/>
    <n v="7"/>
    <n v="0"/>
    <x v="19"/>
    <s v="vs Kotakis"/>
    <n v="157"/>
    <n v="0.48159509202453987"/>
    <n v="44"/>
    <n v="0.34375"/>
    <n v="0.79"/>
    <n v="437"/>
    <n v="43"/>
    <n v="127"/>
    <n v="69"/>
    <n v="16"/>
    <n v="14"/>
    <n v="30"/>
    <n v="2.2999999999999998"/>
  </r>
  <r>
    <x v="2"/>
    <x v="0"/>
    <x v="15"/>
    <n v="155"/>
    <x v="6"/>
    <s v="Tassos"/>
    <n v="1"/>
    <n v="9"/>
    <n v="4"/>
    <n v="0"/>
    <x v="16"/>
    <s v="vs Spiridaus/Oladipas"/>
    <n v="189"/>
    <n v="0.43851508120649652"/>
    <n v="64"/>
    <n v="0.35164835164835168"/>
    <n v="0.76363636363636367"/>
    <n v="526"/>
    <n v="26"/>
    <n v="158"/>
    <n v="148"/>
    <n v="34"/>
    <n v="25"/>
    <n v="69"/>
    <n v="2.1449275362318843"/>
  </r>
  <r>
    <x v="2"/>
    <x v="0"/>
    <x v="15"/>
    <n v="155"/>
    <x v="17"/>
    <s v="Spiridaus/Oladipas"/>
    <n v="0"/>
    <n v="4"/>
    <n v="9"/>
    <n v="0"/>
    <x v="7"/>
    <s v="vs Tassos"/>
    <n v="177"/>
    <n v="0.45268542199488493"/>
    <n v="63"/>
    <n v="0.36842105263157893"/>
    <n v="0.8202247191011236"/>
    <n v="490"/>
    <n v="24"/>
    <n v="146"/>
    <n v="117"/>
    <n v="28"/>
    <n v="23"/>
    <n v="59"/>
    <n v="1.9830508474576272"/>
  </r>
  <r>
    <x v="2"/>
    <x v="0"/>
    <x v="15"/>
    <n v="156"/>
    <x v="19"/>
    <s v="Nonis"/>
    <n v="1"/>
    <n v="7"/>
    <n v="6"/>
    <n v="0"/>
    <x v="13"/>
    <s v="vs Stavros"/>
    <n v="194"/>
    <n v="0.48743718592964824"/>
    <n v="43"/>
    <n v="0.37719298245614036"/>
    <n v="0.83088235294117652"/>
    <n v="544"/>
    <n v="37"/>
    <n v="145"/>
    <n v="99"/>
    <n v="36"/>
    <n v="18"/>
    <n v="74"/>
    <n v="1.3378378378378379"/>
  </r>
  <r>
    <x v="2"/>
    <x v="0"/>
    <x v="15"/>
    <n v="156"/>
    <x v="12"/>
    <s v="Stavros"/>
    <n v="0"/>
    <n v="6"/>
    <n v="7"/>
    <n v="0"/>
    <x v="18"/>
    <s v="vs Nonis"/>
    <n v="158"/>
    <n v="0.46064139941690962"/>
    <n v="59"/>
    <n v="0.45384615384615384"/>
    <n v="0.8351648351648352"/>
    <n v="451"/>
    <n v="32"/>
    <n v="135"/>
    <n v="103"/>
    <n v="35"/>
    <n v="11"/>
    <n v="59"/>
    <n v="1.7457627118644068"/>
  </r>
  <r>
    <x v="2"/>
    <x v="0"/>
    <x v="15"/>
    <n v="157"/>
    <x v="2"/>
    <s v="Fountos"/>
    <n v="0"/>
    <n v="4"/>
    <n v="9"/>
    <n v="0"/>
    <x v="6"/>
    <s v="vs Johnny"/>
    <n v="177"/>
    <n v="0.49441340782122906"/>
    <n v="44"/>
    <n v="0.38938053097345132"/>
    <n v="0.75"/>
    <n v="458"/>
    <n v="31"/>
    <n v="101"/>
    <n v="76"/>
    <n v="26"/>
    <n v="11"/>
    <n v="44"/>
    <n v="1.7272727272727273"/>
  </r>
  <r>
    <x v="2"/>
    <x v="0"/>
    <x v="15"/>
    <n v="157"/>
    <x v="7"/>
    <s v="Johnny"/>
    <n v="1"/>
    <n v="9"/>
    <n v="4"/>
    <n v="0"/>
    <x v="3"/>
    <s v="vs Fountos"/>
    <n v="236"/>
    <n v="0.49269311064718163"/>
    <n v="71"/>
    <n v="0.43558282208588955"/>
    <n v="0.78431372549019607"/>
    <n v="623"/>
    <n v="30"/>
    <n v="125"/>
    <n v="126"/>
    <n v="19"/>
    <n v="19"/>
    <n v="49"/>
    <n v="2.5714285714285716"/>
  </r>
  <r>
    <x v="2"/>
    <x v="0"/>
    <x v="15"/>
    <n v="158"/>
    <x v="13"/>
    <s v="Kousidis"/>
    <n v="0"/>
    <n v="5"/>
    <n v="8"/>
    <n v="0"/>
    <x v="22"/>
    <s v="vs Miggianis"/>
    <n v="113"/>
    <n v="0.45564516129032256"/>
    <n v="23"/>
    <n v="0.33333333333333331"/>
    <n v="0.64516129032258063"/>
    <n v="289"/>
    <n v="40"/>
    <n v="105"/>
    <n v="134"/>
    <n v="23"/>
    <n v="10"/>
    <n v="50"/>
    <n v="2.68"/>
  </r>
  <r>
    <x v="2"/>
    <x v="0"/>
    <x v="15"/>
    <n v="158"/>
    <x v="22"/>
    <s v="Miggianis"/>
    <n v="1"/>
    <n v="8"/>
    <n v="5"/>
    <n v="0"/>
    <x v="12"/>
    <s v="vs Kousidis"/>
    <n v="124"/>
    <n v="0.45588235294117646"/>
    <n v="46"/>
    <n v="0.39316239316239315"/>
    <n v="0.76363636363636367"/>
    <n v="336"/>
    <n v="26"/>
    <n v="85"/>
    <n v="77"/>
    <n v="19"/>
    <n v="22"/>
    <n v="39"/>
    <n v="1.9743589743589745"/>
  </r>
  <r>
    <x v="2"/>
    <x v="0"/>
    <x v="15"/>
    <n v="159"/>
    <x v="15"/>
    <s v="Vasilis"/>
    <n v="1"/>
    <n v="8"/>
    <n v="5"/>
    <n v="0"/>
    <x v="17"/>
    <s v="vs Aris"/>
    <n v="164"/>
    <n v="0.55405405405405406"/>
    <n v="14"/>
    <n v="0.26415094339622641"/>
    <n v="0.78333333333333333"/>
    <n v="436"/>
    <n v="38"/>
    <n v="152"/>
    <n v="104"/>
    <n v="27"/>
    <n v="23"/>
    <n v="65"/>
    <n v="1.6"/>
  </r>
  <r>
    <x v="2"/>
    <x v="0"/>
    <x v="15"/>
    <n v="159"/>
    <x v="16"/>
    <s v="Aris"/>
    <n v="0"/>
    <n v="5"/>
    <n v="8"/>
    <n v="0"/>
    <x v="14"/>
    <s v="vs Vasilis"/>
    <n v="127"/>
    <n v="0.40836012861736337"/>
    <n v="42"/>
    <n v="0.35897435897435898"/>
    <n v="0.83582089552238803"/>
    <n v="352"/>
    <n v="33"/>
    <n v="124"/>
    <n v="92"/>
    <n v="11"/>
    <n v="11"/>
    <n v="44"/>
    <n v="2.0909090909090908"/>
  </r>
  <r>
    <x v="2"/>
    <x v="0"/>
    <x v="15"/>
    <n v="160"/>
    <x v="1"/>
    <s v="Fanis"/>
    <n v="1"/>
    <n v="10"/>
    <n v="2"/>
    <n v="1"/>
    <x v="4"/>
    <s v="vs Markos"/>
    <n v="181"/>
    <n v="0.54518072289156627"/>
    <n v="59"/>
    <n v="0.44696969696969696"/>
    <n v="0.74193548387096775"/>
    <n v="467"/>
    <n v="48"/>
    <n v="146"/>
    <n v="105"/>
    <n v="38"/>
    <n v="16"/>
    <n v="47"/>
    <n v="2.2340425531914891"/>
  </r>
  <r>
    <x v="2"/>
    <x v="0"/>
    <x v="15"/>
    <n v="160"/>
    <x v="5"/>
    <s v="Markos"/>
    <n v="0"/>
    <n v="2"/>
    <n v="10"/>
    <n v="1"/>
    <x v="0"/>
    <s v="vs Fanis"/>
    <n v="120"/>
    <n v="0.43010752688172044"/>
    <n v="36"/>
    <n v="0.36363636363636365"/>
    <n v="0.74117647058823533"/>
    <n v="339"/>
    <n v="42"/>
    <n v="104"/>
    <n v="77"/>
    <n v="38"/>
    <n v="18"/>
    <n v="39"/>
    <n v="1.9743589743589745"/>
  </r>
  <r>
    <x v="2"/>
    <x v="0"/>
    <x v="16"/>
    <n v="161"/>
    <x v="6"/>
    <s v="Tassos"/>
    <n v="1"/>
    <n v="10"/>
    <n v="3"/>
    <n v="0"/>
    <x v="22"/>
    <s v="vs Miggianis"/>
    <n v="186"/>
    <n v="0.46733668341708545"/>
    <n v="47"/>
    <n v="0.35338345864661652"/>
    <n v="0.81538461538461537"/>
    <n v="525"/>
    <n v="44"/>
    <n v="147"/>
    <n v="143"/>
    <n v="28"/>
    <n v="28"/>
    <n v="77"/>
    <n v="1.8571428571428572"/>
  </r>
  <r>
    <x v="2"/>
    <x v="0"/>
    <x v="16"/>
    <n v="161"/>
    <x v="22"/>
    <s v="Miggianis"/>
    <n v="0"/>
    <n v="3"/>
    <n v="10"/>
    <n v="0"/>
    <x v="7"/>
    <s v="vs Tassos"/>
    <n v="155"/>
    <n v="0.4353932584269663"/>
    <n v="59"/>
    <n v="0.37341772151898733"/>
    <n v="0.77333333333333332"/>
    <n v="427"/>
    <n v="33"/>
    <n v="111"/>
    <n v="73"/>
    <n v="27"/>
    <n v="11"/>
    <n v="42"/>
    <n v="1.7380952380952381"/>
  </r>
  <r>
    <x v="2"/>
    <x v="0"/>
    <x v="16"/>
    <n v="162"/>
    <x v="21"/>
    <s v="Tzokos"/>
    <n v="1"/>
    <n v="8"/>
    <n v="4"/>
    <n v="1"/>
    <x v="5"/>
    <s v="vs Mpousaras"/>
    <n v="188"/>
    <n v="0.48578811369509045"/>
    <n v="69"/>
    <n v="0.37297297297297299"/>
    <n v="0.90243902439024393"/>
    <n v="519"/>
    <n v="40"/>
    <n v="143"/>
    <n v="70"/>
    <n v="41"/>
    <n v="24"/>
    <n v="35"/>
    <n v="2"/>
  </r>
  <r>
    <x v="2"/>
    <x v="0"/>
    <x v="16"/>
    <n v="162"/>
    <x v="4"/>
    <s v="Mpousaras"/>
    <n v="0"/>
    <n v="4"/>
    <n v="8"/>
    <n v="1"/>
    <x v="21"/>
    <s v="vs Tzokos"/>
    <n v="162"/>
    <n v="0.48214285714285715"/>
    <n v="43"/>
    <n v="0.37719298245614036"/>
    <n v="0.78205128205128205"/>
    <n v="428"/>
    <n v="49"/>
    <n v="130"/>
    <n v="131"/>
    <n v="40"/>
    <n v="24"/>
    <n v="50"/>
    <n v="2.62"/>
  </r>
  <r>
    <x v="2"/>
    <x v="0"/>
    <x v="16"/>
    <n v="163"/>
    <x v="16"/>
    <s v="Aris"/>
    <n v="1"/>
    <n v="9"/>
    <n v="4"/>
    <n v="0"/>
    <x v="12"/>
    <s v="vs Kousidis"/>
    <n v="205"/>
    <n v="0.44468546637744033"/>
    <n v="60"/>
    <n v="0.38961038961038963"/>
    <n v="0.86466165413533835"/>
    <n v="585"/>
    <n v="42"/>
    <n v="169"/>
    <n v="106"/>
    <n v="35"/>
    <n v="24"/>
    <n v="61"/>
    <n v="1.7377049180327868"/>
  </r>
  <r>
    <x v="2"/>
    <x v="0"/>
    <x v="16"/>
    <n v="163"/>
    <x v="13"/>
    <s v="Kousidis"/>
    <n v="0"/>
    <n v="4"/>
    <n v="9"/>
    <n v="0"/>
    <x v="17"/>
    <s v="vs Aris"/>
    <n v="125"/>
    <n v="0.45289855072463769"/>
    <n v="28"/>
    <n v="0.2978723404255319"/>
    <n v="0.77272727272727271"/>
    <n v="363"/>
    <n v="32"/>
    <n v="121"/>
    <n v="119"/>
    <n v="24"/>
    <n v="20"/>
    <n v="57"/>
    <n v="2.0877192982456139"/>
  </r>
  <r>
    <x v="2"/>
    <x v="0"/>
    <x v="16"/>
    <n v="164"/>
    <x v="19"/>
    <s v="Nonis"/>
    <n v="0"/>
    <n v="5"/>
    <n v="8"/>
    <n v="0"/>
    <x v="0"/>
    <s v="vs Fanis"/>
    <n v="199"/>
    <n v="0.49135802469135803"/>
    <n v="47"/>
    <n v="0.3263888888888889"/>
    <n v="0.78260869565217395"/>
    <n v="571"/>
    <n v="32"/>
    <n v="150"/>
    <n v="103"/>
    <n v="36"/>
    <n v="25"/>
    <n v="85"/>
    <n v="1.2117647058823529"/>
  </r>
  <r>
    <x v="2"/>
    <x v="0"/>
    <x v="16"/>
    <n v="164"/>
    <x v="1"/>
    <s v="Fanis"/>
    <n v="1"/>
    <n v="8"/>
    <n v="5"/>
    <n v="0"/>
    <x v="18"/>
    <s v="vs Nonis"/>
    <n v="176"/>
    <n v="0.48888888888888887"/>
    <n v="62"/>
    <n v="0.38993710691823902"/>
    <n v="0.76842105263157889"/>
    <n v="487"/>
    <n v="35"/>
    <n v="161"/>
    <n v="131"/>
    <n v="27"/>
    <n v="28"/>
    <n v="70"/>
    <n v="1.8714285714285714"/>
  </r>
  <r>
    <x v="2"/>
    <x v="0"/>
    <x v="16"/>
    <n v="165"/>
    <x v="12"/>
    <s v="Stavros"/>
    <n v="0"/>
    <n v="6"/>
    <n v="6"/>
    <n v="1"/>
    <x v="9"/>
    <s v="vs Antoniou"/>
    <n v="156"/>
    <n v="0.50160771704180063"/>
    <n v="48"/>
    <n v="0.3902439024390244"/>
    <n v="0.80952380952380953"/>
    <n v="411"/>
    <n v="37"/>
    <n v="124"/>
    <n v="74"/>
    <n v="49"/>
    <n v="19"/>
    <n v="50"/>
    <n v="1.48"/>
  </r>
  <r>
    <x v="2"/>
    <x v="0"/>
    <x v="16"/>
    <n v="165"/>
    <x v="8"/>
    <s v="Antoniou"/>
    <n v="0"/>
    <n v="6"/>
    <n v="6"/>
    <n v="1"/>
    <x v="13"/>
    <s v="vs Stavros"/>
    <n v="152"/>
    <n v="0.45103857566765576"/>
    <n v="57"/>
    <n v="0.3825503355704698"/>
    <n v="0.75"/>
    <n v="442"/>
    <n v="37"/>
    <n v="160"/>
    <n v="125"/>
    <n v="30"/>
    <n v="21"/>
    <n v="67"/>
    <n v="1.8656716417910448"/>
  </r>
  <r>
    <x v="2"/>
    <x v="0"/>
    <x v="16"/>
    <n v="166"/>
    <x v="18"/>
    <s v="Kotakis"/>
    <n v="0"/>
    <n v="5"/>
    <n v="8"/>
    <n v="0"/>
    <x v="3"/>
    <s v="vs Fountos"/>
    <n v="178"/>
    <n v="0.419811320754717"/>
    <n v="67"/>
    <n v="0.34895833333333331"/>
    <n v="0.75510204081632648"/>
    <n v="497"/>
    <n v="24"/>
    <n v="131"/>
    <n v="97"/>
    <n v="32"/>
    <n v="17"/>
    <n v="73"/>
    <n v="1.3287671232876712"/>
  </r>
  <r>
    <x v="2"/>
    <x v="0"/>
    <x v="16"/>
    <n v="166"/>
    <x v="2"/>
    <s v="Fountos"/>
    <n v="1"/>
    <n v="8"/>
    <n v="5"/>
    <n v="0"/>
    <x v="19"/>
    <s v="vs Kotakis"/>
    <n v="189"/>
    <n v="0.50534759358288772"/>
    <n v="45"/>
    <n v="0.35714285714285715"/>
    <n v="0.75206611570247939"/>
    <n v="514"/>
    <n v="36"/>
    <n v="108"/>
    <n v="100"/>
    <n v="20"/>
    <n v="11"/>
    <n v="65"/>
    <n v="1.5384615384615385"/>
  </r>
  <r>
    <x v="2"/>
    <x v="0"/>
    <x v="16"/>
    <n v="167"/>
    <x v="5"/>
    <s v="Markos"/>
    <n v="0"/>
    <n v="6"/>
    <n v="7"/>
    <n v="0"/>
    <x v="6"/>
    <s v="vs Johnny"/>
    <n v="145"/>
    <n v="0.46325878594249204"/>
    <n v="41"/>
    <n v="0.3867924528301887"/>
    <n v="0.78761061946902655"/>
    <n v="420"/>
    <n v="46"/>
    <n v="131"/>
    <n v="81"/>
    <n v="41"/>
    <n v="19"/>
    <n v="54"/>
    <n v="1.5"/>
  </r>
  <r>
    <x v="2"/>
    <x v="0"/>
    <x v="16"/>
    <n v="167"/>
    <x v="7"/>
    <s v="Johnny"/>
    <n v="1"/>
    <n v="7"/>
    <n v="6"/>
    <n v="0"/>
    <x v="4"/>
    <s v="vs Markos"/>
    <n v="235"/>
    <n v="0.46078431372549017"/>
    <n v="63"/>
    <n v="0.33870967741935482"/>
    <n v="0.78947368421052633"/>
    <n v="623"/>
    <n v="28"/>
    <n v="165"/>
    <n v="140"/>
    <n v="33"/>
    <n v="17"/>
    <n v="60"/>
    <n v="2.3333333333333335"/>
  </r>
  <r>
    <x v="2"/>
    <x v="0"/>
    <x v="16"/>
    <n v="168"/>
    <x v="11"/>
    <s v="pi/Sotiris"/>
    <n v="1"/>
    <n v="9"/>
    <n v="4"/>
    <n v="0"/>
    <x v="2"/>
    <s v="vs Sakellariou"/>
    <n v="258"/>
    <n v="0.4777777777777778"/>
    <n v="70"/>
    <n v="0.37634408602150538"/>
    <n v="0.8125"/>
    <n v="716"/>
    <n v="53"/>
    <n v="189"/>
    <n v="148"/>
    <n v="52"/>
    <n v="32"/>
    <n v="83"/>
    <n v="1.7831325301204819"/>
  </r>
  <r>
    <x v="2"/>
    <x v="0"/>
    <x v="16"/>
    <n v="168"/>
    <x v="3"/>
    <s v="Sakellariou"/>
    <n v="0"/>
    <n v="4"/>
    <n v="9"/>
    <n v="0"/>
    <x v="10"/>
    <s v="vs pi/Sotiris"/>
    <n v="152"/>
    <n v="0.48101265822784811"/>
    <n v="43"/>
    <n v="0.38392857142857145"/>
    <n v="0.85148514851485146"/>
    <n v="433"/>
    <n v="37"/>
    <n v="148"/>
    <n v="65"/>
    <n v="23"/>
    <n v="14"/>
    <n v="54"/>
    <n v="1.2037037037037037"/>
  </r>
  <r>
    <x v="2"/>
    <x v="0"/>
    <x v="16"/>
    <n v="169"/>
    <x v="15"/>
    <s v="Vasilis"/>
    <n v="1"/>
    <n v="9"/>
    <n v="4"/>
    <n v="0"/>
    <x v="20"/>
    <s v="vs Panos"/>
    <n v="184"/>
    <n v="0.51396648044692739"/>
    <n v="22"/>
    <n v="0.3188405797101449"/>
    <n v="0.73684210526315785"/>
    <n v="488"/>
    <n v="51"/>
    <n v="146"/>
    <n v="88"/>
    <n v="26"/>
    <n v="20"/>
    <n v="45"/>
    <n v="1.9555555555555555"/>
  </r>
  <r>
    <x v="2"/>
    <x v="0"/>
    <x v="16"/>
    <n v="169"/>
    <x v="20"/>
    <s v="Guru"/>
    <n v="0"/>
    <n v="4"/>
    <n v="9"/>
    <n v="0"/>
    <x v="14"/>
    <s v="vs Vasilis"/>
    <n v="153"/>
    <n v="0.43465909090909088"/>
    <n v="44"/>
    <n v="0.3235294117647059"/>
    <n v="0.80555555555555558"/>
    <n v="408"/>
    <n v="25"/>
    <n v="94"/>
    <n v="104"/>
    <n v="24"/>
    <n v="15"/>
    <n v="61"/>
    <n v="1.7049180327868851"/>
  </r>
  <r>
    <x v="2"/>
    <x v="0"/>
    <x v="16"/>
    <n v="170"/>
    <x v="17"/>
    <s v="Spiridaus/Oladipas"/>
    <n v="0"/>
    <n v="5"/>
    <n v="8"/>
    <n v="0"/>
    <x v="8"/>
    <s v="vs Ziogas/Christof"/>
    <n v="200"/>
    <n v="0.45351473922902497"/>
    <n v="46"/>
    <n v="0.3087248322147651"/>
    <n v="0.76923076923076927"/>
    <n v="556"/>
    <n v="66"/>
    <n v="188"/>
    <n v="117"/>
    <n v="40"/>
    <n v="30"/>
    <n v="69"/>
    <n v="1.6956521739130435"/>
  </r>
  <r>
    <x v="2"/>
    <x v="0"/>
    <x v="16"/>
    <n v="170"/>
    <x v="9"/>
    <s v="Ziogas/Christof"/>
    <n v="1"/>
    <n v="8"/>
    <n v="5"/>
    <n v="0"/>
    <x v="16"/>
    <s v="vs Spiridaus/Oladipas"/>
    <n v="217"/>
    <n v="0.45684210526315788"/>
    <n v="59"/>
    <n v="0.32596685082872928"/>
    <n v="0.76190476190476186"/>
    <n v="589"/>
    <n v="41"/>
    <n v="217"/>
    <n v="184"/>
    <n v="27"/>
    <n v="22"/>
    <n v="79"/>
    <n v="2.3291139240506329"/>
  </r>
  <r>
    <x v="2"/>
    <x v="0"/>
    <x v="17"/>
    <n v="171"/>
    <x v="12"/>
    <s v="Stavros"/>
    <n v="0"/>
    <n v="6"/>
    <n v="7"/>
    <n v="0"/>
    <x v="12"/>
    <s v="vs Kousidis"/>
    <n v="122"/>
    <n v="0.45864661654135336"/>
    <n v="36"/>
    <n v="0.33962264150943394"/>
    <n v="0.72972972972972971"/>
    <n v="334"/>
    <n v="30"/>
    <n v="75"/>
    <n v="91"/>
    <n v="41"/>
    <n v="8"/>
    <n v="43"/>
    <n v="2.1162790697674421"/>
  </r>
  <r>
    <x v="2"/>
    <x v="0"/>
    <x v="17"/>
    <n v="171"/>
    <x v="13"/>
    <s v="Kousidis"/>
    <n v="1"/>
    <n v="7"/>
    <n v="6"/>
    <n v="0"/>
    <x v="13"/>
    <s v="vs Stavros"/>
    <n v="138"/>
    <n v="0.46"/>
    <n v="28"/>
    <n v="0.31818181818181818"/>
    <n v="0.71794871794871795"/>
    <n v="360"/>
    <n v="26"/>
    <n v="118"/>
    <n v="142"/>
    <n v="17"/>
    <n v="13"/>
    <n v="58"/>
    <n v="2.4482758620689653"/>
  </r>
  <r>
    <x v="2"/>
    <x v="0"/>
    <x v="17"/>
    <n v="172"/>
    <x v="3"/>
    <s v="Sakellariou"/>
    <n v="1"/>
    <n v="7"/>
    <n v="6"/>
    <n v="0"/>
    <x v="16"/>
    <s v="vs Spiridaus/Oladipas"/>
    <n v="167"/>
    <n v="0.47175141242937851"/>
    <n v="39"/>
    <n v="0.33620689655172414"/>
    <n v="0.84693877551020413"/>
    <n v="456"/>
    <n v="46"/>
    <n v="111"/>
    <n v="53"/>
    <n v="25"/>
    <n v="19"/>
    <n v="54"/>
    <n v="0.98148148148148151"/>
  </r>
  <r>
    <x v="2"/>
    <x v="0"/>
    <x v="17"/>
    <n v="172"/>
    <x v="17"/>
    <s v="Spiridaus/Oladipas"/>
    <n v="0"/>
    <n v="6"/>
    <n v="7"/>
    <n v="0"/>
    <x v="2"/>
    <s v="vs Sakellariou"/>
    <n v="134"/>
    <n v="0.45733788395904434"/>
    <n v="38"/>
    <n v="0.35514018691588783"/>
    <n v="0.83076923076923082"/>
    <n v="360"/>
    <n v="45"/>
    <n v="144"/>
    <n v="62"/>
    <n v="20"/>
    <n v="24"/>
    <n v="42"/>
    <n v="1.4761904761904763"/>
  </r>
  <r>
    <x v="2"/>
    <x v="0"/>
    <x v="17"/>
    <n v="173"/>
    <x v="11"/>
    <s v="pi/Sotiris"/>
    <n v="1"/>
    <n v="9"/>
    <n v="4"/>
    <n v="0"/>
    <x v="0"/>
    <s v="vs Fanis"/>
    <n v="279"/>
    <n v="0.47288135593220337"/>
    <n v="86"/>
    <n v="0.38053097345132741"/>
    <n v="0.75882352941176467"/>
    <n v="773"/>
    <n v="45"/>
    <n v="220"/>
    <n v="133"/>
    <n v="34"/>
    <n v="36"/>
    <n v="85"/>
    <n v="1.5647058823529412"/>
  </r>
  <r>
    <x v="2"/>
    <x v="0"/>
    <x v="17"/>
    <n v="173"/>
    <x v="1"/>
    <s v="Fanis"/>
    <n v="0"/>
    <n v="4"/>
    <n v="9"/>
    <n v="0"/>
    <x v="10"/>
    <s v="vs pi/Sotiris"/>
    <n v="162"/>
    <n v="0.47507331378299122"/>
    <n v="48"/>
    <n v="0.33333333333333331"/>
    <n v="0.76190476190476186"/>
    <n v="436"/>
    <n v="33"/>
    <n v="143"/>
    <n v="100"/>
    <n v="32"/>
    <n v="29"/>
    <n v="45"/>
    <n v="2.2222222222222223"/>
  </r>
  <r>
    <x v="2"/>
    <x v="0"/>
    <x v="17"/>
    <n v="174"/>
    <x v="22"/>
    <s v="Miggianis"/>
    <n v="1"/>
    <n v="10"/>
    <n v="3"/>
    <n v="0"/>
    <x v="20"/>
    <s v="vs Panos"/>
    <n v="158"/>
    <n v="0.4305177111716621"/>
    <n v="57"/>
    <n v="0.38"/>
    <n v="0.6875"/>
    <n v="428"/>
    <n v="40"/>
    <n v="130"/>
    <n v="106"/>
    <n v="25"/>
    <n v="27"/>
    <n v="43"/>
    <n v="2.4651162790697674"/>
  </r>
  <r>
    <x v="2"/>
    <x v="0"/>
    <x v="17"/>
    <n v="174"/>
    <x v="20"/>
    <s v="Guru"/>
    <n v="0"/>
    <n v="3"/>
    <n v="10"/>
    <n v="0"/>
    <x v="22"/>
    <s v="vs Miggianis"/>
    <n v="140"/>
    <n v="0.40697674418604651"/>
    <n v="59"/>
    <n v="0.39864864864864863"/>
    <n v="0.70454545454545459"/>
    <n v="401"/>
    <n v="22"/>
    <n v="89"/>
    <n v="101"/>
    <n v="19"/>
    <n v="8"/>
    <n v="62"/>
    <n v="1.6290322580645162"/>
  </r>
  <r>
    <x v="2"/>
    <x v="0"/>
    <x v="17"/>
    <n v="175"/>
    <x v="5"/>
    <s v="Markos"/>
    <n v="1"/>
    <n v="7"/>
    <n v="6"/>
    <n v="0"/>
    <x v="8"/>
    <s v="vs Ziogas/Christof"/>
    <n v="146"/>
    <n v="0.49324324324324326"/>
    <n v="41"/>
    <n v="0.37272727272727274"/>
    <n v="0.87323943661971826"/>
    <n v="395"/>
    <n v="51"/>
    <n v="137"/>
    <n v="82"/>
    <n v="33"/>
    <n v="24"/>
    <n v="48"/>
    <n v="1.7083333333333333"/>
  </r>
  <r>
    <x v="2"/>
    <x v="0"/>
    <x v="17"/>
    <n v="175"/>
    <x v="9"/>
    <s v="Ziogas/Christof"/>
    <n v="0"/>
    <n v="6"/>
    <n v="7"/>
    <n v="0"/>
    <x v="4"/>
    <s v="vs Markos"/>
    <n v="154"/>
    <n v="0.54035087719298247"/>
    <n v="47"/>
    <n v="0.41592920353982299"/>
    <n v="0.73134328358208955"/>
    <n v="404"/>
    <n v="33"/>
    <n v="122"/>
    <n v="108"/>
    <n v="23"/>
    <n v="22"/>
    <n v="75"/>
    <n v="1.44"/>
  </r>
  <r>
    <x v="2"/>
    <x v="0"/>
    <x v="17"/>
    <n v="176"/>
    <x v="18"/>
    <s v="Kotakis"/>
    <n v="1"/>
    <n v="7"/>
    <n v="5"/>
    <n v="1"/>
    <x v="21"/>
    <s v="vs Tzokos"/>
    <n v="197"/>
    <n v="0.43777777777777777"/>
    <n v="62"/>
    <n v="0.33879781420765026"/>
    <n v="0.76699029126213591"/>
    <n v="535"/>
    <n v="33"/>
    <n v="107"/>
    <n v="132"/>
    <n v="27"/>
    <n v="15"/>
    <n v="62"/>
    <n v="2.129032258064516"/>
  </r>
  <r>
    <x v="2"/>
    <x v="0"/>
    <x v="17"/>
    <n v="176"/>
    <x v="21"/>
    <s v="Tzokos"/>
    <n v="0"/>
    <n v="5"/>
    <n v="7"/>
    <n v="1"/>
    <x v="19"/>
    <s v="vs Kotakis"/>
    <n v="160"/>
    <n v="0.47058823529411764"/>
    <n v="48"/>
    <n v="0.32876712328767121"/>
    <n v="0.64150943396226412"/>
    <n v="402"/>
    <n v="38"/>
    <n v="154"/>
    <n v="63"/>
    <n v="27"/>
    <n v="30"/>
    <n v="37"/>
    <n v="1.7027027027027026"/>
  </r>
  <r>
    <x v="2"/>
    <x v="0"/>
    <x v="17"/>
    <n v="177"/>
    <x v="19"/>
    <s v="Nonis"/>
    <n v="1"/>
    <n v="12"/>
    <n v="1"/>
    <n v="0"/>
    <x v="17"/>
    <s v="vs Aris"/>
    <n v="268"/>
    <n v="0.51538461538461533"/>
    <n v="77"/>
    <n v="0.41847826086956524"/>
    <n v="0.82738095238095233"/>
    <n v="752"/>
    <n v="47"/>
    <n v="183"/>
    <n v="159"/>
    <n v="41"/>
    <n v="18"/>
    <n v="69"/>
    <n v="2.3043478260869565"/>
  </r>
  <r>
    <x v="2"/>
    <x v="0"/>
    <x v="17"/>
    <n v="177"/>
    <x v="16"/>
    <s v="Aris"/>
    <n v="0"/>
    <n v="1"/>
    <n v="12"/>
    <n v="0"/>
    <x v="18"/>
    <s v="vs Nonis"/>
    <n v="211"/>
    <n v="0.50843373493975907"/>
    <n v="51"/>
    <n v="0.38059701492537312"/>
    <n v="0.78761061946902655"/>
    <n v="562"/>
    <n v="41"/>
    <n v="131"/>
    <n v="93"/>
    <n v="28"/>
    <n v="10"/>
    <n v="45"/>
    <n v="2.0666666666666669"/>
  </r>
  <r>
    <x v="2"/>
    <x v="0"/>
    <x v="17"/>
    <n v="178"/>
    <x v="4"/>
    <s v="Mpousaras"/>
    <n v="1"/>
    <n v="7"/>
    <n v="6"/>
    <n v="0"/>
    <x v="6"/>
    <s v="vs Johnny"/>
    <n v="138"/>
    <n v="0.46308724832214765"/>
    <n v="26"/>
    <n v="0.28260869565217389"/>
    <n v="0.75555555555555554"/>
    <n v="370"/>
    <n v="43"/>
    <n v="129"/>
    <n v="112"/>
    <n v="36"/>
    <n v="22"/>
    <n v="45"/>
    <n v="2.4888888888888889"/>
  </r>
  <r>
    <x v="2"/>
    <x v="0"/>
    <x v="17"/>
    <n v="178"/>
    <x v="7"/>
    <s v="Johnny"/>
    <n v="0"/>
    <n v="6"/>
    <n v="7"/>
    <n v="0"/>
    <x v="5"/>
    <s v="vs Mpousaras"/>
    <n v="184"/>
    <n v="0.51111111111111107"/>
    <n v="51"/>
    <n v="0.40157480314960631"/>
    <n v="0.76146788990825687"/>
    <n v="502"/>
    <n v="24"/>
    <n v="108"/>
    <n v="104"/>
    <n v="33"/>
    <n v="10"/>
    <n v="46"/>
    <n v="2.2608695652173911"/>
  </r>
  <r>
    <x v="2"/>
    <x v="0"/>
    <x v="17"/>
    <n v="179"/>
    <x v="15"/>
    <s v="Vasilis"/>
    <n v="1"/>
    <n v="10"/>
    <n v="3"/>
    <n v="0"/>
    <x v="3"/>
    <s v="vs Fountos"/>
    <n v="172"/>
    <n v="0.54258675078864349"/>
    <n v="30"/>
    <n v="0.41666666666666669"/>
    <n v="0.7410714285714286"/>
    <n v="457"/>
    <n v="49"/>
    <n v="126"/>
    <n v="74"/>
    <n v="26"/>
    <n v="20"/>
    <n v="43"/>
    <n v="1.7209302325581395"/>
  </r>
  <r>
    <x v="2"/>
    <x v="0"/>
    <x v="17"/>
    <n v="179"/>
    <x v="2"/>
    <s v="Fountos"/>
    <n v="0"/>
    <n v="3"/>
    <n v="10"/>
    <n v="0"/>
    <x v="14"/>
    <s v="vs Vasilis"/>
    <n v="134"/>
    <n v="0.47017543859649125"/>
    <n v="38"/>
    <n v="0.38"/>
    <n v="0.81176470588235294"/>
    <n v="375"/>
    <n v="21"/>
    <n v="83"/>
    <n v="89"/>
    <n v="22"/>
    <n v="10"/>
    <n v="52"/>
    <n v="1.7115384615384615"/>
  </r>
  <r>
    <x v="2"/>
    <x v="0"/>
    <x v="17"/>
    <n v="180"/>
    <x v="6"/>
    <s v="Tassos"/>
    <n v="1"/>
    <n v="8"/>
    <n v="5"/>
    <n v="0"/>
    <x v="9"/>
    <s v="vs Antoniou"/>
    <n v="186"/>
    <n v="0.47448979591836737"/>
    <n v="54"/>
    <n v="0.40298507462686567"/>
    <n v="0.71900826446280997"/>
    <n v="513"/>
    <n v="35"/>
    <n v="134"/>
    <n v="117"/>
    <n v="32"/>
    <n v="24"/>
    <n v="67"/>
    <n v="1.7462686567164178"/>
  </r>
  <r>
    <x v="2"/>
    <x v="0"/>
    <x v="17"/>
    <n v="180"/>
    <x v="8"/>
    <s v="Antoniou"/>
    <n v="0"/>
    <n v="5"/>
    <n v="8"/>
    <n v="0"/>
    <x v="7"/>
    <s v="vs Tassos"/>
    <n v="184"/>
    <n v="0.43498817966903075"/>
    <n v="52"/>
    <n v="0.27513227513227512"/>
    <n v="0.77118644067796616"/>
    <n v="511"/>
    <n v="57"/>
    <n v="181"/>
    <n v="130"/>
    <n v="26"/>
    <n v="17"/>
    <n v="70"/>
    <n v="1.8571428571428572"/>
  </r>
  <r>
    <x v="2"/>
    <x v="0"/>
    <x v="18"/>
    <n v="181"/>
    <x v="1"/>
    <s v="Fanis"/>
    <n v="0"/>
    <n v="6"/>
    <n v="6"/>
    <n v="1"/>
    <x v="16"/>
    <s v="vs Spiridaus/Oladipas"/>
    <n v="202"/>
    <n v="0.46330275229357798"/>
    <n v="71"/>
    <n v="0.35148514851485146"/>
    <n v="0.75"/>
    <n v="562"/>
    <n v="37"/>
    <n v="168"/>
    <n v="135"/>
    <n v="37"/>
    <n v="21"/>
    <n v="74"/>
    <n v="1.8243243243243243"/>
  </r>
  <r>
    <x v="2"/>
    <x v="0"/>
    <x v="18"/>
    <n v="181"/>
    <x v="17"/>
    <s v="Spiridaus/Oladipas"/>
    <n v="0"/>
    <n v="6"/>
    <n v="6"/>
    <n v="1"/>
    <x v="0"/>
    <s v="vs Fanis"/>
    <n v="192"/>
    <n v="0.5161290322580645"/>
    <n v="54"/>
    <n v="0.38848920863309355"/>
    <n v="0.8125"/>
    <n v="529"/>
    <n v="37"/>
    <n v="168"/>
    <n v="84"/>
    <n v="30"/>
    <n v="27"/>
    <n v="53"/>
    <n v="1.5849056603773586"/>
  </r>
  <r>
    <x v="2"/>
    <x v="0"/>
    <x v="18"/>
    <n v="182"/>
    <x v="12"/>
    <s v="Stavros"/>
    <n v="1"/>
    <n v="10"/>
    <n v="3"/>
    <n v="0"/>
    <x v="19"/>
    <s v="vs Kotakis"/>
    <n v="124"/>
    <n v="0.46096654275092935"/>
    <n v="35"/>
    <n v="0.34313725490196079"/>
    <n v="0.6875"/>
    <n v="338"/>
    <n v="37"/>
    <n v="97"/>
    <n v="90"/>
    <n v="35"/>
    <n v="10"/>
    <n v="40"/>
    <n v="2.25"/>
  </r>
  <r>
    <x v="2"/>
    <x v="0"/>
    <x v="18"/>
    <n v="182"/>
    <x v="18"/>
    <s v="Kotakis"/>
    <n v="0"/>
    <n v="3"/>
    <n v="10"/>
    <n v="0"/>
    <x v="13"/>
    <s v="vs Stavros"/>
    <n v="111"/>
    <n v="0.38675958188153309"/>
    <n v="38"/>
    <n v="0.31404958677685951"/>
    <n v="0.77142857142857146"/>
    <n v="314"/>
    <n v="23"/>
    <n v="93"/>
    <n v="74"/>
    <n v="14"/>
    <n v="9"/>
    <n v="35"/>
    <n v="2.1142857142857143"/>
  </r>
  <r>
    <x v="2"/>
    <x v="0"/>
    <x v="18"/>
    <n v="183"/>
    <x v="15"/>
    <s v="Vasilis"/>
    <n v="0"/>
    <n v="6"/>
    <n v="7"/>
    <n v="0"/>
    <x v="2"/>
    <s v="vs Sakellariou"/>
    <n v="145"/>
    <n v="0.53308823529411764"/>
    <n v="23"/>
    <n v="0.41818181818181815"/>
    <n v="0.72115384615384615"/>
    <n v="388"/>
    <n v="50"/>
    <n v="137"/>
    <n v="68"/>
    <n v="29"/>
    <n v="29"/>
    <n v="61"/>
    <n v="1.1147540983606556"/>
  </r>
  <r>
    <x v="2"/>
    <x v="0"/>
    <x v="18"/>
    <n v="183"/>
    <x v="3"/>
    <s v="Sakellariou"/>
    <n v="1"/>
    <n v="7"/>
    <n v="6"/>
    <n v="0"/>
    <x v="14"/>
    <s v="vs Vasilis"/>
    <n v="191"/>
    <n v="0.5"/>
    <n v="70"/>
    <n v="0.40229885057471265"/>
    <n v="0.77500000000000002"/>
    <n v="545"/>
    <n v="33"/>
    <n v="111"/>
    <n v="69"/>
    <n v="26"/>
    <n v="11"/>
    <n v="53"/>
    <n v="1.3018867924528301"/>
  </r>
  <r>
    <x v="2"/>
    <x v="0"/>
    <x v="18"/>
    <n v="184"/>
    <x v="11"/>
    <s v="pi/Sotiris"/>
    <n v="1"/>
    <n v="9"/>
    <n v="4"/>
    <n v="0"/>
    <x v="6"/>
    <s v="vs Johnny"/>
    <n v="237"/>
    <n v="0.4438202247191011"/>
    <n v="69"/>
    <n v="0.38333333333333336"/>
    <n v="0.74829931972789121"/>
    <n v="653"/>
    <n v="41"/>
    <n v="184"/>
    <n v="147"/>
    <n v="42"/>
    <n v="31"/>
    <n v="88"/>
    <n v="1.6704545454545454"/>
  </r>
  <r>
    <x v="2"/>
    <x v="0"/>
    <x v="18"/>
    <n v="184"/>
    <x v="7"/>
    <s v="Johnny"/>
    <n v="0"/>
    <n v="4"/>
    <n v="9"/>
    <n v="0"/>
    <x v="10"/>
    <s v="vs pi/Sotiris"/>
    <n v="192"/>
    <n v="0.46265060240963857"/>
    <n v="49"/>
    <n v="0.34507042253521125"/>
    <n v="0.85057471264367812"/>
    <n v="507"/>
    <n v="46"/>
    <n v="123"/>
    <n v="113"/>
    <n v="37"/>
    <n v="12"/>
    <n v="71"/>
    <n v="1.591549295774648"/>
  </r>
  <r>
    <x v="2"/>
    <x v="0"/>
    <x v="18"/>
    <n v="185"/>
    <x v="9"/>
    <s v="Ziogas/Christof"/>
    <n v="1"/>
    <n v="9"/>
    <n v="3"/>
    <n v="1"/>
    <x v="18"/>
    <s v="vs Nonis"/>
    <n v="171"/>
    <n v="0.52941176470588236"/>
    <n v="56"/>
    <n v="0.42424242424242425"/>
    <n v="0.76041666666666663"/>
    <n v="471"/>
    <n v="29"/>
    <n v="145"/>
    <n v="112"/>
    <n v="28"/>
    <n v="27"/>
    <n v="54"/>
    <n v="2.074074074074074"/>
  </r>
  <r>
    <x v="2"/>
    <x v="0"/>
    <x v="18"/>
    <n v="185"/>
    <x v="19"/>
    <s v="Nonis"/>
    <n v="0"/>
    <n v="3"/>
    <n v="9"/>
    <n v="1"/>
    <x v="8"/>
    <s v="vs Ziogas/Christof"/>
    <n v="171"/>
    <n v="0.46091644204851751"/>
    <n v="38"/>
    <n v="0.34234234234234234"/>
    <n v="0.79545454545454541"/>
    <n v="485"/>
    <n v="42"/>
    <n v="142"/>
    <n v="81"/>
    <n v="27"/>
    <n v="18"/>
    <n v="69"/>
    <n v="1.173913043478261"/>
  </r>
  <r>
    <x v="2"/>
    <x v="0"/>
    <x v="18"/>
    <n v="186"/>
    <x v="13"/>
    <s v="Kousidis"/>
    <n v="0"/>
    <n v="3"/>
    <n v="10"/>
    <n v="0"/>
    <x v="7"/>
    <s v="vs Tassos"/>
    <n v="174"/>
    <n v="0.51632047477744802"/>
    <n v="57"/>
    <n v="0.45238095238095238"/>
    <n v="0.72566371681415931"/>
    <n v="487"/>
    <n v="36"/>
    <n v="135"/>
    <n v="131"/>
    <n v="42"/>
    <n v="14"/>
    <n v="67"/>
    <n v="1.955223880597015"/>
  </r>
  <r>
    <x v="2"/>
    <x v="0"/>
    <x v="18"/>
    <n v="186"/>
    <x v="6"/>
    <s v="Tassos"/>
    <n v="1"/>
    <n v="10"/>
    <n v="3"/>
    <n v="0"/>
    <x v="12"/>
    <s v="vs Kousidis"/>
    <n v="234"/>
    <n v="0.48547717842323651"/>
    <n v="66"/>
    <n v="0.3350253807106599"/>
    <n v="0.75193798449612403"/>
    <n v="631"/>
    <n v="41"/>
    <n v="173"/>
    <n v="144"/>
    <n v="41"/>
    <n v="21"/>
    <n v="57"/>
    <n v="2.5263157894736841"/>
  </r>
  <r>
    <x v="2"/>
    <x v="0"/>
    <x v="18"/>
    <n v="187"/>
    <x v="21"/>
    <s v="Tzokos"/>
    <n v="1"/>
    <n v="12"/>
    <n v="1"/>
    <n v="0"/>
    <x v="3"/>
    <s v="vs Fountos"/>
    <n v="187"/>
    <n v="0.47341772151898737"/>
    <n v="64"/>
    <n v="0.34408602150537637"/>
    <n v="0.87254901960784315"/>
    <n v="527"/>
    <n v="29"/>
    <n v="152"/>
    <n v="80"/>
    <n v="35"/>
    <n v="38"/>
    <n v="36"/>
    <n v="2.2222222222222223"/>
  </r>
  <r>
    <x v="2"/>
    <x v="0"/>
    <x v="18"/>
    <n v="187"/>
    <x v="2"/>
    <s v="Fountos"/>
    <n v="0"/>
    <n v="1"/>
    <n v="12"/>
    <n v="0"/>
    <x v="21"/>
    <s v="vs Tzokos"/>
    <n v="174"/>
    <n v="0.46031746031746029"/>
    <n v="42"/>
    <n v="0.32061068702290074"/>
    <n v="0.81081081081081086"/>
    <n v="480"/>
    <n v="24"/>
    <n v="109"/>
    <n v="113"/>
    <n v="29"/>
    <n v="6"/>
    <n v="60"/>
    <n v="1.8833333333333333"/>
  </r>
  <r>
    <x v="2"/>
    <x v="0"/>
    <x v="18"/>
    <n v="188"/>
    <x v="8"/>
    <s v="Antoniou"/>
    <n v="1"/>
    <n v="8"/>
    <n v="5"/>
    <n v="0"/>
    <x v="22"/>
    <s v="vs Miggianis"/>
    <n v="189"/>
    <n v="0.45107398568019091"/>
    <n v="67"/>
    <n v="0.3641304347826087"/>
    <n v="0.82692307692307687"/>
    <n v="574"/>
    <n v="61"/>
    <n v="209"/>
    <n v="129"/>
    <n v="31"/>
    <n v="13"/>
    <n v="80"/>
    <n v="1.6125"/>
  </r>
  <r>
    <x v="2"/>
    <x v="0"/>
    <x v="18"/>
    <n v="188"/>
    <x v="22"/>
    <s v="Miggianis"/>
    <n v="0"/>
    <n v="5"/>
    <n v="8"/>
    <n v="0"/>
    <x v="9"/>
    <s v="vs Antoniou"/>
    <n v="160"/>
    <n v="0.471976401179941"/>
    <n v="61"/>
    <n v="0.36969696969696969"/>
    <n v="0.72368421052631582"/>
    <n v="436"/>
    <n v="35"/>
    <n v="130"/>
    <n v="91"/>
    <n v="27"/>
    <n v="18"/>
    <n v="41"/>
    <n v="2.2195121951219514"/>
  </r>
  <r>
    <x v="2"/>
    <x v="0"/>
    <x v="18"/>
    <n v="189"/>
    <x v="16"/>
    <s v="Aris"/>
    <n v="1"/>
    <n v="10"/>
    <n v="3"/>
    <n v="0"/>
    <x v="20"/>
    <s v="vs Panos"/>
    <n v="207"/>
    <n v="0.50487804878048781"/>
    <n v="54"/>
    <n v="0.38297872340425532"/>
    <n v="0.72641509433962259"/>
    <n v="545"/>
    <n v="45"/>
    <n v="143"/>
    <n v="94"/>
    <n v="31"/>
    <n v="17"/>
    <n v="61"/>
    <n v="1.540983606557377"/>
  </r>
  <r>
    <x v="2"/>
    <x v="0"/>
    <x v="18"/>
    <n v="189"/>
    <x v="20"/>
    <s v="Guru"/>
    <n v="0"/>
    <n v="3"/>
    <n v="10"/>
    <n v="0"/>
    <x v="17"/>
    <s v="vs Aris"/>
    <n v="133"/>
    <n v="0.42356687898089174"/>
    <n v="36"/>
    <n v="0.30769230769230771"/>
    <n v="0.81318681318681318"/>
    <n v="376"/>
    <n v="31"/>
    <n v="129"/>
    <n v="85"/>
    <n v="27"/>
    <n v="15"/>
    <n v="48"/>
    <n v="1.7708333333333333"/>
  </r>
  <r>
    <x v="2"/>
    <x v="0"/>
    <x v="18"/>
    <n v="190"/>
    <x v="5"/>
    <s v="Markos"/>
    <n v="1"/>
    <n v="9"/>
    <n v="4"/>
    <n v="0"/>
    <x v="5"/>
    <s v="vs Mpousaras"/>
    <n v="161"/>
    <n v="0.45224719101123595"/>
    <n v="53"/>
    <n v="0.33333333333333331"/>
    <n v="0.78021978021978022"/>
    <n v="446"/>
    <n v="45"/>
    <n v="139"/>
    <n v="79"/>
    <n v="34"/>
    <n v="22"/>
    <n v="55"/>
    <n v="1.4363636363636363"/>
  </r>
  <r>
    <x v="2"/>
    <x v="0"/>
    <x v="18"/>
    <n v="190"/>
    <x v="4"/>
    <s v="Mpousaras"/>
    <n v="0"/>
    <n v="4"/>
    <n v="9"/>
    <n v="0"/>
    <x v="4"/>
    <s v="vs Markos"/>
    <n v="108"/>
    <n v="0.47787610619469029"/>
    <n v="27"/>
    <n v="0.32142857142857145"/>
    <n v="0.70149253731343286"/>
    <n v="290"/>
    <n v="30"/>
    <n v="114"/>
    <n v="98"/>
    <n v="16"/>
    <n v="15"/>
    <n v="43"/>
    <n v="2.2790697674418605"/>
  </r>
  <r>
    <x v="3"/>
    <x v="0"/>
    <x v="0"/>
    <n v="1"/>
    <x v="20"/>
    <s v="Guru"/>
    <n v="1"/>
    <n v="9"/>
    <n v="4"/>
    <n v="0"/>
    <x v="10"/>
    <s v="vs pi/Sotiris"/>
    <n v="150"/>
    <n v="0.51200000000000001"/>
    <n v="47"/>
    <n v="0.46100000000000002"/>
    <n v="0.78800000000000003"/>
    <n v="399"/>
    <n v="34"/>
    <n v="106"/>
    <n v="73"/>
    <n v="25"/>
    <n v="25"/>
    <n v="45"/>
    <n v="1.62"/>
  </r>
  <r>
    <x v="3"/>
    <x v="0"/>
    <x v="0"/>
    <n v="1"/>
    <x v="11"/>
    <s v="pi/Sotiris"/>
    <n v="0"/>
    <n v="4"/>
    <n v="9"/>
    <n v="0"/>
    <x v="20"/>
    <s v="vs Panos"/>
    <n v="165"/>
    <n v="0.45700000000000002"/>
    <n v="45"/>
    <n v="0.35199999999999998"/>
    <n v="0.74"/>
    <n v="432"/>
    <n v="24"/>
    <n v="129"/>
    <n v="90"/>
    <n v="24"/>
    <n v="16"/>
    <n v="81"/>
    <n v="1.1100000000000001"/>
  </r>
  <r>
    <x v="3"/>
    <x v="0"/>
    <x v="0"/>
    <n v="2"/>
    <x v="15"/>
    <s v="Vasilis"/>
    <n v="1"/>
    <n v="8"/>
    <n v="4"/>
    <n v="1"/>
    <x v="4"/>
    <s v="vs Markos"/>
    <n v="122"/>
    <n v="0.45500000000000002"/>
    <n v="21"/>
    <n v="0.25900000000000001"/>
    <n v="0.67500000000000004"/>
    <n v="319"/>
    <n v="41"/>
    <n v="115"/>
    <n v="46"/>
    <n v="28"/>
    <n v="26"/>
    <n v="47"/>
    <n v="0.98"/>
  </r>
  <r>
    <x v="3"/>
    <x v="0"/>
    <x v="0"/>
    <n v="2"/>
    <x v="5"/>
    <s v="Markos"/>
    <n v="0"/>
    <n v="4"/>
    <n v="8"/>
    <n v="1"/>
    <x v="14"/>
    <s v="vs Vasilis"/>
    <n v="109"/>
    <n v="0.45200000000000001"/>
    <n v="21"/>
    <n v="0.29599999999999999"/>
    <n v="0.58299999999999996"/>
    <n v="267"/>
    <n v="36"/>
    <n v="102"/>
    <n v="67"/>
    <n v="20"/>
    <n v="20"/>
    <n v="34"/>
    <n v="1.97"/>
  </r>
  <r>
    <x v="3"/>
    <x v="0"/>
    <x v="0"/>
    <n v="3"/>
    <x v="12"/>
    <s v="Stavros"/>
    <n v="0"/>
    <n v="6"/>
    <n v="7"/>
    <n v="0"/>
    <x v="3"/>
    <s v="vs Fountos"/>
    <n v="122"/>
    <n v="0.47699999999999998"/>
    <n v="32"/>
    <n v="0.36399999999999999"/>
    <n v="0.874"/>
    <n v="352"/>
    <n v="19"/>
    <n v="76"/>
    <n v="79"/>
    <n v="27"/>
    <n v="14"/>
    <n v="38"/>
    <n v="2.08"/>
  </r>
  <r>
    <x v="3"/>
    <x v="0"/>
    <x v="0"/>
    <n v="3"/>
    <x v="2"/>
    <s v="Fountos"/>
    <n v="1"/>
    <n v="7"/>
    <n v="6"/>
    <n v="0"/>
    <x v="13"/>
    <s v="vs Stavros"/>
    <n v="146"/>
    <n v="0.46600000000000003"/>
    <n v="36"/>
    <n v="0.41399999999999998"/>
    <n v="0.78200000000000003"/>
    <n v="414"/>
    <n v="18"/>
    <n v="92"/>
    <n v="85"/>
    <n v="22"/>
    <n v="8"/>
    <n v="40"/>
    <n v="2.13"/>
  </r>
  <r>
    <x v="3"/>
    <x v="0"/>
    <x v="0"/>
    <n v="4"/>
    <x v="17"/>
    <s v="Spiridaus/Oladipas"/>
    <n v="0"/>
    <n v="6"/>
    <n v="7"/>
    <n v="0"/>
    <x v="23"/>
    <s v="vs Sarantos"/>
    <n v="113"/>
    <n v="0.46899999999999997"/>
    <n v="36"/>
    <n v="0.36399999999999999"/>
    <n v="0.77100000000000002"/>
    <n v="316"/>
    <n v="32"/>
    <n v="109"/>
    <n v="54"/>
    <n v="24"/>
    <n v="14"/>
    <n v="56"/>
    <n v="0.96"/>
  </r>
  <r>
    <x v="3"/>
    <x v="0"/>
    <x v="0"/>
    <n v="4"/>
    <x v="23"/>
    <s v="Sarantos"/>
    <n v="1"/>
    <n v="7"/>
    <n v="6"/>
    <n v="0"/>
    <x v="16"/>
    <s v="vs Spiridaus/Oladipas"/>
    <n v="137"/>
    <n v="0.44900000000000001"/>
    <n v="48"/>
    <n v="0.36899999999999999"/>
    <n v="0.83299999999999996"/>
    <n v="367"/>
    <n v="30"/>
    <n v="98"/>
    <n v="50"/>
    <n v="20"/>
    <n v="12"/>
    <n v="28"/>
    <n v="1.79"/>
  </r>
  <r>
    <x v="3"/>
    <x v="0"/>
    <x v="0"/>
    <n v="5"/>
    <x v="13"/>
    <s v="Kousidis"/>
    <n v="0"/>
    <n v="4"/>
    <n v="9"/>
    <n v="0"/>
    <x v="24"/>
    <s v="vs Tolios"/>
    <n v="101"/>
    <n v="0.45300000000000001"/>
    <n v="28"/>
    <n v="0.33700000000000002"/>
    <n v="0.73099999999999998"/>
    <n v="287"/>
    <n v="20"/>
    <n v="99"/>
    <n v="70"/>
    <n v="20"/>
    <n v="12"/>
    <n v="46"/>
    <n v="1.52"/>
  </r>
  <r>
    <x v="3"/>
    <x v="0"/>
    <x v="0"/>
    <n v="5"/>
    <x v="24"/>
    <s v="Tolios"/>
    <n v="1"/>
    <n v="9"/>
    <n v="4"/>
    <n v="0"/>
    <x v="12"/>
    <s v="vs Kousidis"/>
    <n v="117"/>
    <n v="0.432"/>
    <n v="40"/>
    <n v="0.38100000000000001"/>
    <n v="0.83499999999999996"/>
    <n v="345"/>
    <n v="28"/>
    <n v="80"/>
    <n v="103"/>
    <n v="14"/>
    <n v="15"/>
    <n v="47"/>
    <n v="2.19"/>
  </r>
  <r>
    <x v="3"/>
    <x v="0"/>
    <x v="0"/>
    <n v="6"/>
    <x v="16"/>
    <s v="Aris"/>
    <n v="1"/>
    <n v="11"/>
    <n v="2"/>
    <n v="0"/>
    <x v="2"/>
    <s v="vs Sakellariou"/>
    <n v="126"/>
    <n v="0.436"/>
    <n v="40"/>
    <n v="0.313"/>
    <n v="0.85699999999999998"/>
    <n v="346"/>
    <n v="22"/>
    <n v="82"/>
    <n v="74"/>
    <n v="26"/>
    <n v="11"/>
    <n v="41"/>
    <n v="1.8"/>
  </r>
  <r>
    <x v="3"/>
    <x v="0"/>
    <x v="0"/>
    <n v="6"/>
    <x v="3"/>
    <s v="Sakellariou"/>
    <n v="0"/>
    <n v="2"/>
    <n v="11"/>
    <n v="0"/>
    <x v="17"/>
    <s v="vs Aris"/>
    <n v="90"/>
    <n v="0.50600000000000001"/>
    <n v="18"/>
    <n v="0.36"/>
    <n v="0.74399999999999999"/>
    <n v="230"/>
    <n v="18"/>
    <n v="73"/>
    <n v="38"/>
    <n v="5"/>
    <n v="6"/>
    <n v="42"/>
    <n v="0.9"/>
  </r>
  <r>
    <x v="3"/>
    <x v="0"/>
    <x v="0"/>
    <n v="7"/>
    <x v="1"/>
    <s v="Fanis"/>
    <n v="1"/>
    <n v="7"/>
    <n v="5"/>
    <n v="1"/>
    <x v="18"/>
    <s v="vs Nonis"/>
    <n v="135"/>
    <n v="0.45300000000000001"/>
    <n v="31"/>
    <n v="0.32300000000000001"/>
    <n v="0.78"/>
    <n v="372"/>
    <n v="34"/>
    <n v="131"/>
    <n v="112"/>
    <n v="30"/>
    <n v="19"/>
    <n v="45"/>
    <n v="2.4900000000000002"/>
  </r>
  <r>
    <x v="3"/>
    <x v="0"/>
    <x v="0"/>
    <n v="7"/>
    <x v="19"/>
    <s v="Nonis"/>
    <n v="0"/>
    <n v="5"/>
    <n v="7"/>
    <n v="1"/>
    <x v="0"/>
    <s v="vs Fanis"/>
    <n v="167"/>
    <n v="0.499"/>
    <n v="32"/>
    <n v="0.33700000000000002"/>
    <n v="0.77600000000000002"/>
    <n v="487"/>
    <n v="32"/>
    <n v="131"/>
    <n v="89"/>
    <n v="20"/>
    <n v="10"/>
    <n v="53"/>
    <n v="1.68"/>
  </r>
  <r>
    <x v="3"/>
    <x v="0"/>
    <x v="0"/>
    <n v="8"/>
    <x v="7"/>
    <s v="Johnny"/>
    <n v="1"/>
    <n v="10"/>
    <n v="3"/>
    <n v="0"/>
    <x v="19"/>
    <s v="vs Kotakis"/>
    <n v="138"/>
    <n v="0.46500000000000002"/>
    <n v="37"/>
    <n v="0.35199999999999998"/>
    <n v="0.73499999999999999"/>
    <n v="374"/>
    <n v="36"/>
    <n v="124"/>
    <n v="99"/>
    <n v="25"/>
    <n v="14"/>
    <n v="47"/>
    <n v="2.11"/>
  </r>
  <r>
    <x v="3"/>
    <x v="0"/>
    <x v="0"/>
    <n v="8"/>
    <x v="18"/>
    <s v="Kotakis"/>
    <n v="0"/>
    <n v="3"/>
    <n v="10"/>
    <n v="0"/>
    <x v="6"/>
    <s v="vs Johnny"/>
    <n v="71"/>
    <n v="0.40300000000000002"/>
    <n v="27"/>
    <n v="0.31"/>
    <n v="0.86199999999999999"/>
    <n v="194"/>
    <n v="17"/>
    <n v="61"/>
    <n v="49"/>
    <n v="22"/>
    <n v="8"/>
    <n v="23"/>
    <n v="2.13"/>
  </r>
  <r>
    <x v="3"/>
    <x v="0"/>
    <x v="0"/>
    <n v="9"/>
    <x v="0"/>
    <s v="Miggianis"/>
    <n v="0"/>
    <n v="4"/>
    <n v="8"/>
    <n v="1"/>
    <x v="7"/>
    <s v="vs Tassos"/>
    <n v="79"/>
    <n v="0.42199999999999999"/>
    <n v="29"/>
    <n v="0.315"/>
    <n v="0.70599999999999996"/>
    <n v="223"/>
    <n v="29"/>
    <n v="105"/>
    <n v="50"/>
    <n v="22"/>
    <n v="9"/>
    <n v="35"/>
    <n v="1.43"/>
  </r>
  <r>
    <x v="3"/>
    <x v="0"/>
    <x v="0"/>
    <n v="9"/>
    <x v="6"/>
    <s v="Tassos"/>
    <n v="1"/>
    <n v="8"/>
    <n v="4"/>
    <n v="1"/>
    <x v="1"/>
    <s v="vs Miggianis"/>
    <n v="118"/>
    <n v="0.49"/>
    <n v="29"/>
    <n v="0.33700000000000002"/>
    <n v="0.79700000000000004"/>
    <n v="320"/>
    <n v="21"/>
    <n v="77"/>
    <n v="83"/>
    <n v="20"/>
    <n v="16"/>
    <n v="50"/>
    <n v="1.66"/>
  </r>
  <r>
    <x v="3"/>
    <x v="0"/>
    <x v="0"/>
    <n v="10"/>
    <x v="21"/>
    <s v="Tzokos"/>
    <n v="1"/>
    <n v="8"/>
    <n v="5"/>
    <n v="0"/>
    <x v="8"/>
    <s v="vs Ziogas/Christof"/>
    <n v="179"/>
    <n v="0.48199999999999998"/>
    <n v="43"/>
    <n v="0.316"/>
    <n v="0.66900000000000004"/>
    <n v="480"/>
    <n v="45"/>
    <n v="135"/>
    <n v="92"/>
    <n v="30"/>
    <n v="27"/>
    <n v="47"/>
    <n v="1.96"/>
  </r>
  <r>
    <x v="3"/>
    <x v="0"/>
    <x v="0"/>
    <n v="10"/>
    <x v="9"/>
    <s v="Ziogas/Christof"/>
    <n v="0"/>
    <n v="5"/>
    <n v="8"/>
    <n v="0"/>
    <x v="21"/>
    <s v="vs Tzokos"/>
    <n v="164"/>
    <n v="0.5"/>
    <n v="47"/>
    <n v="0.37"/>
    <n v="0.79700000000000004"/>
    <n v="430"/>
    <n v="30"/>
    <n v="125"/>
    <n v="97"/>
    <n v="22"/>
    <n v="8"/>
    <n v="59"/>
    <n v="1.64"/>
  </r>
  <r>
    <x v="3"/>
    <x v="0"/>
    <x v="1"/>
    <n v="11"/>
    <x v="11"/>
    <s v="pi/Sotiris"/>
    <n v="1"/>
    <n v="10"/>
    <n v="3"/>
    <n v="0"/>
    <x v="0"/>
    <s v="vs Fanis"/>
    <n v="219"/>
    <n v="0.45500000000000002"/>
    <n v="50"/>
    <n v="0.32700000000000001"/>
    <n v="0.77100000000000002"/>
    <n v="562"/>
    <n v="37"/>
    <n v="180"/>
    <n v="150"/>
    <n v="48"/>
    <n v="25"/>
    <n v="83"/>
    <n v="1.81"/>
  </r>
  <r>
    <x v="3"/>
    <x v="0"/>
    <x v="1"/>
    <n v="11"/>
    <x v="1"/>
    <s v="Fanis"/>
    <n v="0"/>
    <n v="3"/>
    <n v="10"/>
    <n v="0"/>
    <x v="10"/>
    <s v="vs pi/Sotiris"/>
    <n v="122"/>
    <n v="0.45500000000000002"/>
    <n v="32"/>
    <n v="0.33700000000000002"/>
    <n v="0.76"/>
    <n v="333"/>
    <n v="44"/>
    <n v="140"/>
    <n v="90"/>
    <n v="28"/>
    <n v="22"/>
    <n v="50"/>
    <n v="1.8"/>
  </r>
  <r>
    <x v="3"/>
    <x v="0"/>
    <x v="1"/>
    <n v="12"/>
    <x v="7"/>
    <s v="Johnny"/>
    <n v="1"/>
    <n v="11"/>
    <n v="2"/>
    <n v="0"/>
    <x v="7"/>
    <s v="vs Tassos"/>
    <n v="214"/>
    <n v="0.504"/>
    <n v="71"/>
    <n v="0.46400000000000002"/>
    <n v="0.747"/>
    <n v="555"/>
    <n v="57"/>
    <n v="180"/>
    <n v="163"/>
    <n v="46"/>
    <n v="18"/>
    <n v="60"/>
    <n v="2.72"/>
  </r>
  <r>
    <x v="3"/>
    <x v="0"/>
    <x v="1"/>
    <n v="12"/>
    <x v="6"/>
    <s v="Tassos"/>
    <n v="0"/>
    <n v="2"/>
    <n v="11"/>
    <n v="0"/>
    <x v="6"/>
    <s v="vs Johnny"/>
    <n v="148"/>
    <n v="0.434"/>
    <n v="47"/>
    <n v="0.35099999999999998"/>
    <n v="0.77400000000000002"/>
    <n v="408"/>
    <n v="26"/>
    <n v="143"/>
    <n v="103"/>
    <n v="38"/>
    <n v="26"/>
    <n v="66"/>
    <n v="1.56"/>
  </r>
  <r>
    <x v="3"/>
    <x v="0"/>
    <x v="1"/>
    <n v="13"/>
    <x v="12"/>
    <s v="Stavros"/>
    <n v="0"/>
    <n v="4"/>
    <n v="8"/>
    <n v="1"/>
    <x v="1"/>
    <s v="vs Miggianis"/>
    <n v="107"/>
    <n v="0.41299999999999998"/>
    <n v="36"/>
    <n v="0.34300000000000003"/>
    <n v="0.89600000000000002"/>
    <n v="293"/>
    <n v="19"/>
    <n v="76"/>
    <n v="96"/>
    <n v="27"/>
    <n v="8"/>
    <n v="42"/>
    <n v="2.29"/>
  </r>
  <r>
    <x v="3"/>
    <x v="0"/>
    <x v="1"/>
    <n v="13"/>
    <x v="0"/>
    <s v="Miggianis"/>
    <n v="1"/>
    <n v="8"/>
    <n v="4"/>
    <n v="1"/>
    <x v="13"/>
    <s v="vs Stavros"/>
    <n v="115"/>
    <n v="0.44400000000000001"/>
    <n v="43"/>
    <n v="0.35499999999999998"/>
    <n v="0.78900000000000003"/>
    <n v="318"/>
    <n v="27"/>
    <n v="103"/>
    <n v="64"/>
    <n v="27"/>
    <n v="10"/>
    <n v="46"/>
    <n v="1.39"/>
  </r>
  <r>
    <x v="3"/>
    <x v="0"/>
    <x v="1"/>
    <n v="14"/>
    <x v="9"/>
    <s v="Ziogas/Christof"/>
    <n v="1"/>
    <n v="7"/>
    <n v="6"/>
    <n v="0"/>
    <x v="18"/>
    <s v="vs Nonis"/>
    <n v="155"/>
    <n v="0.48299999999999998"/>
    <n v="49"/>
    <n v="0.42199999999999999"/>
    <n v="0.72499999999999998"/>
    <n v="433"/>
    <n v="37"/>
    <n v="178"/>
    <n v="106"/>
    <n v="37"/>
    <n v="22"/>
    <n v="46"/>
    <n v="2.2999999999999998"/>
  </r>
  <r>
    <x v="3"/>
    <x v="0"/>
    <x v="1"/>
    <n v="14"/>
    <x v="19"/>
    <s v="Nonis"/>
    <n v="0"/>
    <n v="6"/>
    <n v="7"/>
    <n v="0"/>
    <x v="8"/>
    <s v="vs Ziogas/Christof"/>
    <n v="204"/>
    <n v="0.46899999999999997"/>
    <n v="57"/>
    <n v="0.40100000000000002"/>
    <n v="0.82399999999999995"/>
    <n v="619"/>
    <n v="40"/>
    <n v="153"/>
    <n v="152"/>
    <n v="33"/>
    <n v="21"/>
    <n v="86"/>
    <n v="1.77"/>
  </r>
  <r>
    <x v="3"/>
    <x v="0"/>
    <x v="1"/>
    <n v="15"/>
    <x v="21"/>
    <s v="Tzokos"/>
    <n v="0"/>
    <n v="4"/>
    <n v="9"/>
    <n v="0"/>
    <x v="14"/>
    <s v="vs Vasilis"/>
    <n v="183"/>
    <n v="0.47499999999999998"/>
    <n v="53"/>
    <n v="0.36799999999999999"/>
    <n v="0.81100000000000005"/>
    <n v="492"/>
    <n v="45"/>
    <n v="146"/>
    <n v="96"/>
    <n v="35"/>
    <n v="23"/>
    <n v="63"/>
    <n v="1.52"/>
  </r>
  <r>
    <x v="3"/>
    <x v="0"/>
    <x v="1"/>
    <n v="15"/>
    <x v="15"/>
    <s v="Vasilis"/>
    <n v="1"/>
    <n v="9"/>
    <n v="4"/>
    <n v="0"/>
    <x v="21"/>
    <s v="vs Tzokos"/>
    <n v="204"/>
    <n v="0.52300000000000002"/>
    <n v="64"/>
    <n v="0.41599999999999998"/>
    <n v="0.746"/>
    <n v="560"/>
    <n v="46"/>
    <n v="153"/>
    <n v="60"/>
    <n v="27"/>
    <n v="26"/>
    <n v="56"/>
    <n v="1.07"/>
  </r>
  <r>
    <x v="3"/>
    <x v="0"/>
    <x v="1"/>
    <n v="16"/>
    <x v="3"/>
    <s v="Sakellariou"/>
    <n v="0"/>
    <n v="4"/>
    <n v="9"/>
    <n v="0"/>
    <x v="3"/>
    <s v="vs Fountos"/>
    <n v="147"/>
    <n v="0.47599999999999998"/>
    <n v="44"/>
    <n v="0.36399999999999999"/>
    <n v="0.80600000000000005"/>
    <n v="392"/>
    <n v="38"/>
    <n v="112"/>
    <n v="96"/>
    <n v="27"/>
    <n v="13"/>
    <n v="61"/>
    <n v="1.57"/>
  </r>
  <r>
    <x v="3"/>
    <x v="0"/>
    <x v="1"/>
    <n v="16"/>
    <x v="2"/>
    <s v="Fountos"/>
    <n v="1"/>
    <n v="9"/>
    <n v="4"/>
    <n v="0"/>
    <x v="2"/>
    <s v="vs Sakellariou"/>
    <n v="194"/>
    <n v="0.46500000000000002"/>
    <n v="54"/>
    <n v="0.39100000000000001"/>
    <n v="0.71299999999999997"/>
    <n v="529"/>
    <n v="29"/>
    <n v="134"/>
    <n v="104"/>
    <n v="21"/>
    <n v="19"/>
    <n v="42"/>
    <n v="2.48"/>
  </r>
  <r>
    <x v="3"/>
    <x v="0"/>
    <x v="1"/>
    <n v="17"/>
    <x v="18"/>
    <s v="Kotakis"/>
    <n v="1"/>
    <n v="7"/>
    <n v="6"/>
    <n v="0"/>
    <x v="16"/>
    <s v="vs Spiridaus/Oladipas"/>
    <n v="129"/>
    <n v="0.45600000000000002"/>
    <n v="59"/>
    <n v="0.40400000000000003"/>
    <n v="0.85"/>
    <n v="368"/>
    <n v="28"/>
    <n v="101"/>
    <n v="64"/>
    <n v="34"/>
    <n v="9"/>
    <n v="41"/>
    <n v="1.56"/>
  </r>
  <r>
    <x v="3"/>
    <x v="0"/>
    <x v="1"/>
    <n v="17"/>
    <x v="17"/>
    <s v="Spiridaus/Oladipas"/>
    <n v="0"/>
    <n v="6"/>
    <n v="7"/>
    <n v="0"/>
    <x v="19"/>
    <s v="vs Kotakis"/>
    <n v="133"/>
    <n v="0.47"/>
    <n v="50"/>
    <n v="0.40300000000000002"/>
    <n v="0.747"/>
    <n v="375"/>
    <n v="29"/>
    <n v="141"/>
    <n v="57"/>
    <n v="23"/>
    <n v="19"/>
    <n v="55"/>
    <n v="1.04"/>
  </r>
  <r>
    <x v="3"/>
    <x v="0"/>
    <x v="1"/>
    <n v="18"/>
    <x v="20"/>
    <s v="Guru"/>
    <n v="0"/>
    <n v="6"/>
    <n v="7"/>
    <n v="0"/>
    <x v="24"/>
    <s v="vs Tolios"/>
    <n v="175"/>
    <n v="0.47"/>
    <n v="49"/>
    <n v="0.371"/>
    <n v="0.81799999999999995"/>
    <n v="471"/>
    <n v="50"/>
    <n v="126"/>
    <n v="92"/>
    <n v="24"/>
    <n v="23"/>
    <n v="47"/>
    <n v="1.96"/>
  </r>
  <r>
    <x v="3"/>
    <x v="0"/>
    <x v="1"/>
    <n v="18"/>
    <x v="24"/>
    <s v="Tolios"/>
    <n v="1"/>
    <n v="7"/>
    <n v="6"/>
    <n v="0"/>
    <x v="20"/>
    <s v="vs Panos"/>
    <n v="177"/>
    <n v="0.433"/>
    <n v="63"/>
    <n v="0.377"/>
    <n v="0.82099999999999995"/>
    <n v="495"/>
    <n v="29"/>
    <n v="128"/>
    <n v="101"/>
    <n v="22"/>
    <n v="12"/>
    <n v="79"/>
    <n v="1.28"/>
  </r>
  <r>
    <x v="3"/>
    <x v="0"/>
    <x v="1"/>
    <n v="19"/>
    <x v="16"/>
    <s v="Aris"/>
    <n v="1"/>
    <n v="11"/>
    <n v="2"/>
    <n v="0"/>
    <x v="23"/>
    <s v="vs Sarantos"/>
    <n v="186"/>
    <n v="0.46"/>
    <n v="55"/>
    <n v="0.36399999999999999"/>
    <n v="0.82299999999999995"/>
    <n v="529"/>
    <n v="40"/>
    <n v="146"/>
    <n v="109"/>
    <n v="23"/>
    <n v="15"/>
    <n v="63"/>
    <n v="1.73"/>
  </r>
  <r>
    <x v="3"/>
    <x v="0"/>
    <x v="1"/>
    <n v="19"/>
    <x v="23"/>
    <s v="Sarantos"/>
    <n v="0"/>
    <n v="2"/>
    <n v="11"/>
    <n v="0"/>
    <x v="17"/>
    <s v="vs Aris"/>
    <n v="131"/>
    <n v="0.443"/>
    <n v="46"/>
    <n v="0.35699999999999998"/>
    <n v="0.68700000000000006"/>
    <n v="365"/>
    <n v="33"/>
    <n v="101"/>
    <n v="69"/>
    <n v="18"/>
    <n v="26"/>
    <n v="47"/>
    <n v="1.47"/>
  </r>
  <r>
    <x v="3"/>
    <x v="0"/>
    <x v="1"/>
    <n v="20"/>
    <x v="13"/>
    <s v="Kousidis"/>
    <n v="1"/>
    <n v="7"/>
    <n v="5"/>
    <n v="1"/>
    <x v="4"/>
    <s v="vs Markos"/>
    <n v="144"/>
    <n v="0.432"/>
    <n v="40"/>
    <n v="0.308"/>
    <n v="0.78400000000000003"/>
    <n v="386"/>
    <n v="35"/>
    <n v="117"/>
    <n v="85"/>
    <n v="25"/>
    <n v="25"/>
    <n v="55"/>
    <n v="1.55"/>
  </r>
  <r>
    <x v="3"/>
    <x v="0"/>
    <x v="1"/>
    <n v="20"/>
    <x v="5"/>
    <s v="Markos"/>
    <n v="0"/>
    <n v="5"/>
    <n v="7"/>
    <n v="1"/>
    <x v="12"/>
    <s v="vs Kousidis"/>
    <n v="120"/>
    <n v="0.435"/>
    <n v="50"/>
    <n v="0.38200000000000001"/>
    <n v="0.755"/>
    <n v="364"/>
    <n v="34"/>
    <n v="87"/>
    <n v="83"/>
    <n v="25"/>
    <n v="9"/>
    <n v="49"/>
    <n v="1.69"/>
  </r>
  <r>
    <x v="3"/>
    <x v="0"/>
    <x v="2"/>
    <n v="21"/>
    <x v="1"/>
    <s v="Fanis"/>
    <n v="0"/>
    <n v="6"/>
    <n v="7"/>
    <n v="0"/>
    <x v="21"/>
    <s v="vs Tzokos"/>
    <n v="196"/>
    <n v="0.49199999999999999"/>
    <n v="45"/>
    <n v="0.34899999999999998"/>
    <n v="0.72699999999999998"/>
    <n v="501"/>
    <n v="62"/>
    <n v="214"/>
    <n v="169"/>
    <n v="39"/>
    <n v="25"/>
    <n v="78"/>
    <n v="2.17"/>
  </r>
  <r>
    <x v="3"/>
    <x v="0"/>
    <x v="2"/>
    <n v="21"/>
    <x v="21"/>
    <s v="Tzokos"/>
    <n v="1"/>
    <n v="7"/>
    <n v="6"/>
    <n v="0"/>
    <x v="0"/>
    <s v="vs Fanis"/>
    <n v="217"/>
    <n v="0.48099999999999998"/>
    <n v="67"/>
    <n v="0.40899999999999997"/>
    <n v="0.68700000000000006"/>
    <n v="580"/>
    <n v="63"/>
    <n v="185"/>
    <n v="106"/>
    <n v="36"/>
    <n v="34"/>
    <n v="67"/>
    <n v="1.58"/>
  </r>
  <r>
    <x v="3"/>
    <x v="0"/>
    <x v="2"/>
    <n v="22"/>
    <x v="6"/>
    <s v="Tassos"/>
    <n v="0"/>
    <n v="6"/>
    <n v="6"/>
    <n v="1"/>
    <x v="3"/>
    <s v="vs Fountos"/>
    <n v="155"/>
    <n v="0.48399999999999999"/>
    <n v="64"/>
    <n v="0.44800000000000001"/>
    <n v="0.78500000000000003"/>
    <n v="447"/>
    <n v="20"/>
    <n v="123"/>
    <n v="98"/>
    <n v="36"/>
    <n v="15"/>
    <n v="52"/>
    <n v="1.88"/>
  </r>
  <r>
    <x v="3"/>
    <x v="0"/>
    <x v="2"/>
    <n v="22"/>
    <x v="2"/>
    <s v="Fountos"/>
    <n v="0"/>
    <n v="6"/>
    <n v="6"/>
    <n v="1"/>
    <x v="7"/>
    <s v="vs Tassos"/>
    <n v="182"/>
    <n v="0.44700000000000001"/>
    <n v="43"/>
    <n v="0.31900000000000001"/>
    <n v="0.83499999999999996"/>
    <n v="498"/>
    <n v="30"/>
    <n v="118"/>
    <n v="114"/>
    <n v="24"/>
    <n v="12"/>
    <n v="52"/>
    <n v="2.19"/>
  </r>
  <r>
    <x v="3"/>
    <x v="0"/>
    <x v="2"/>
    <n v="23"/>
    <x v="17"/>
    <s v="Spiridaus/Oladipas"/>
    <n v="1"/>
    <n v="10"/>
    <n v="3"/>
    <n v="0"/>
    <x v="13"/>
    <s v="vs Stavros"/>
    <n v="167"/>
    <n v="0.48"/>
    <n v="49"/>
    <n v="0.36"/>
    <n v="0.80200000000000005"/>
    <n v="484"/>
    <n v="47"/>
    <n v="148"/>
    <n v="103"/>
    <n v="28"/>
    <n v="12"/>
    <n v="44"/>
    <n v="2.34"/>
  </r>
  <r>
    <x v="3"/>
    <x v="0"/>
    <x v="2"/>
    <n v="23"/>
    <x v="12"/>
    <s v="Stavros"/>
    <n v="0"/>
    <n v="3"/>
    <n v="10"/>
    <n v="0"/>
    <x v="16"/>
    <s v="vs Spiridaus/Oladipas"/>
    <n v="126"/>
    <n v="0.5"/>
    <n v="35"/>
    <n v="0.41199999999999998"/>
    <n v="0.75600000000000001"/>
    <n v="321"/>
    <n v="28"/>
    <n v="110"/>
    <n v="68"/>
    <n v="25"/>
    <n v="11"/>
    <n v="34"/>
    <n v="2"/>
  </r>
  <r>
    <x v="3"/>
    <x v="0"/>
    <x v="2"/>
    <n v="24"/>
    <x v="9"/>
    <s v="Ziogas/Christof"/>
    <n v="1"/>
    <n v="12"/>
    <n v="1"/>
    <n v="0"/>
    <x v="24"/>
    <s v="vs Tolios"/>
    <n v="208"/>
    <n v="0.46500000000000002"/>
    <n v="69"/>
    <n v="0.39900000000000002"/>
    <n v="0.748"/>
    <n v="568"/>
    <n v="49"/>
    <n v="195"/>
    <n v="137"/>
    <n v="42"/>
    <n v="28"/>
    <n v="67"/>
    <n v="2.04"/>
  </r>
  <r>
    <x v="3"/>
    <x v="0"/>
    <x v="2"/>
    <n v="24"/>
    <x v="24"/>
    <s v="Tolios"/>
    <n v="0"/>
    <n v="1"/>
    <n v="12"/>
    <n v="0"/>
    <x v="8"/>
    <s v="vs Ziogas/Christof"/>
    <n v="177"/>
    <n v="0.41299999999999998"/>
    <n v="52"/>
    <n v="0.30099999999999999"/>
    <n v="0.81599999999999995"/>
    <n v="499"/>
    <n v="34"/>
    <n v="144"/>
    <n v="130"/>
    <n v="28"/>
    <n v="18"/>
    <n v="80"/>
    <n v="1.63"/>
  </r>
  <r>
    <x v="3"/>
    <x v="0"/>
    <x v="2"/>
    <n v="25"/>
    <x v="15"/>
    <s v="Vasilis"/>
    <n v="0"/>
    <n v="5"/>
    <n v="8"/>
    <n v="0"/>
    <x v="18"/>
    <s v="vs Nonis"/>
    <n v="169"/>
    <n v="0.46"/>
    <n v="43"/>
    <n v="0.35199999999999998"/>
    <n v="0.78"/>
    <n v="459"/>
    <n v="55"/>
    <n v="120"/>
    <n v="76"/>
    <n v="28"/>
    <n v="23"/>
    <n v="44"/>
    <n v="1.73"/>
  </r>
  <r>
    <x v="3"/>
    <x v="0"/>
    <x v="2"/>
    <n v="25"/>
    <x v="19"/>
    <s v="Nonis"/>
    <n v="1"/>
    <n v="8"/>
    <n v="5"/>
    <n v="0"/>
    <x v="14"/>
    <s v="vs Vasilis"/>
    <n v="224"/>
    <n v="0.51300000000000001"/>
    <n v="52"/>
    <n v="0.41899999999999998"/>
    <n v="0.81100000000000005"/>
    <n v="637"/>
    <n v="27"/>
    <n v="161"/>
    <n v="129"/>
    <n v="20"/>
    <n v="17"/>
    <n v="91"/>
    <n v="1.42"/>
  </r>
  <r>
    <x v="3"/>
    <x v="0"/>
    <x v="2"/>
    <n v="26"/>
    <x v="0"/>
    <s v="Miggianis"/>
    <n v="0"/>
    <n v="5"/>
    <n v="7"/>
    <n v="1"/>
    <x v="2"/>
    <s v="vs Sakellariou"/>
    <n v="107"/>
    <n v="0.43099999999999999"/>
    <n v="40"/>
    <n v="0.33300000000000002"/>
    <n v="0.75600000000000001"/>
    <n v="288"/>
    <n v="30"/>
    <n v="133"/>
    <n v="61"/>
    <n v="27"/>
    <n v="10"/>
    <n v="37"/>
    <n v="1.65"/>
  </r>
  <r>
    <x v="3"/>
    <x v="0"/>
    <x v="2"/>
    <n v="26"/>
    <x v="3"/>
    <s v="Sakellariou"/>
    <n v="1"/>
    <n v="7"/>
    <n v="5"/>
    <n v="1"/>
    <x v="1"/>
    <s v="vs Miggianis"/>
    <n v="135"/>
    <n v="0.47499999999999998"/>
    <n v="38"/>
    <n v="0.35199999999999998"/>
    <n v="0.79700000000000004"/>
    <n v="359"/>
    <n v="30"/>
    <n v="113"/>
    <n v="66"/>
    <n v="17"/>
    <n v="12"/>
    <n v="45"/>
    <n v="1.47"/>
  </r>
  <r>
    <x v="3"/>
    <x v="0"/>
    <x v="2"/>
    <n v="27"/>
    <x v="16"/>
    <s v="Aris"/>
    <n v="1"/>
    <n v="11"/>
    <n v="1"/>
    <n v="1"/>
    <x v="19"/>
    <s v="vs Kotakis"/>
    <n v="218"/>
    <n v="0.47899999999999998"/>
    <n v="72"/>
    <n v="0.40899999999999997"/>
    <n v="0.80200000000000005"/>
    <n v="589"/>
    <n v="27"/>
    <n v="154"/>
    <n v="127"/>
    <n v="30"/>
    <n v="13"/>
    <n v="69"/>
    <n v="1.84"/>
  </r>
  <r>
    <x v="3"/>
    <x v="0"/>
    <x v="2"/>
    <n v="27"/>
    <x v="18"/>
    <s v="Kotakis"/>
    <n v="0"/>
    <n v="1"/>
    <n v="11"/>
    <n v="1"/>
    <x v="17"/>
    <s v="vs Aris"/>
    <n v="106"/>
    <n v="0.45100000000000001"/>
    <n v="44"/>
    <n v="0.40400000000000003"/>
    <n v="0.70699999999999996"/>
    <n v="285"/>
    <n v="27"/>
    <n v="80"/>
    <n v="53"/>
    <n v="25"/>
    <n v="11"/>
    <n v="38"/>
    <n v="1.39"/>
  </r>
  <r>
    <x v="3"/>
    <x v="0"/>
    <x v="2"/>
    <n v="28"/>
    <x v="5"/>
    <s v="Markos"/>
    <n v="0"/>
    <n v="4"/>
    <n v="8"/>
    <n v="1"/>
    <x v="20"/>
    <s v="vs Panos"/>
    <n v="96"/>
    <n v="0.4"/>
    <n v="33"/>
    <n v="0.32400000000000001"/>
    <n v="0.8"/>
    <n v="289"/>
    <n v="30"/>
    <n v="112"/>
    <n v="83"/>
    <n v="27"/>
    <n v="18"/>
    <n v="30"/>
    <n v="2.77"/>
  </r>
  <r>
    <x v="3"/>
    <x v="0"/>
    <x v="2"/>
    <n v="28"/>
    <x v="20"/>
    <s v="Guru"/>
    <n v="1"/>
    <n v="8"/>
    <n v="4"/>
    <n v="1"/>
    <x v="4"/>
    <s v="vs Markos"/>
    <n v="173"/>
    <n v="0.49299999999999999"/>
    <n v="43"/>
    <n v="0.374"/>
    <n v="0.747"/>
    <n v="448"/>
    <n v="49"/>
    <n v="143"/>
    <n v="78"/>
    <n v="27"/>
    <n v="42"/>
    <n v="39"/>
    <n v="2"/>
  </r>
  <r>
    <x v="3"/>
    <x v="0"/>
    <x v="2"/>
    <n v="29"/>
    <x v="23"/>
    <s v="Sarantos"/>
    <n v="0"/>
    <n v="3"/>
    <n v="10"/>
    <n v="0"/>
    <x v="6"/>
    <s v="vs Johnny"/>
    <n v="127"/>
    <n v="0.377"/>
    <n v="44"/>
    <n v="0.28199999999999997"/>
    <n v="0.77600000000000002"/>
    <n v="357"/>
    <n v="28"/>
    <n v="101"/>
    <n v="105"/>
    <n v="36"/>
    <n v="13"/>
    <n v="49"/>
    <n v="2.14"/>
  </r>
  <r>
    <x v="3"/>
    <x v="0"/>
    <x v="2"/>
    <n v="29"/>
    <x v="7"/>
    <s v="Johnny"/>
    <n v="1"/>
    <n v="10"/>
    <n v="3"/>
    <n v="0"/>
    <x v="23"/>
    <s v="vs Sarantos"/>
    <n v="234"/>
    <n v="0.48499999999999999"/>
    <n v="84"/>
    <n v="0.41799999999999998"/>
    <n v="0.76500000000000001"/>
    <n v="617"/>
    <n v="42"/>
    <n v="201"/>
    <n v="133"/>
    <n v="33"/>
    <n v="22"/>
    <n v="61"/>
    <n v="2.1800000000000002"/>
  </r>
  <r>
    <x v="3"/>
    <x v="0"/>
    <x v="2"/>
    <n v="30"/>
    <x v="13"/>
    <s v="Kousidis"/>
    <n v="0"/>
    <n v="4"/>
    <n v="9"/>
    <n v="0"/>
    <x v="10"/>
    <s v="vs pi/Sotiris"/>
    <n v="161"/>
    <n v="0.441"/>
    <n v="44"/>
    <n v="0.35799999999999998"/>
    <n v="0.68500000000000005"/>
    <n v="416"/>
    <n v="44"/>
    <n v="143"/>
    <n v="83"/>
    <n v="25"/>
    <n v="18"/>
    <n v="48"/>
    <n v="1.73"/>
  </r>
  <r>
    <x v="3"/>
    <x v="0"/>
    <x v="2"/>
    <n v="30"/>
    <x v="11"/>
    <s v="pi/Sotiris"/>
    <n v="1"/>
    <n v="9"/>
    <n v="4"/>
    <n v="0"/>
    <x v="12"/>
    <s v="vs Kousidis"/>
    <n v="266"/>
    <n v="0.48599999999999999"/>
    <n v="79"/>
    <n v="0.41099999999999998"/>
    <n v="0.81899999999999995"/>
    <n v="715"/>
    <n v="32"/>
    <n v="199"/>
    <n v="163"/>
    <n v="24"/>
    <n v="17"/>
    <n v="78"/>
    <n v="2.09"/>
  </r>
  <r>
    <x v="3"/>
    <x v="0"/>
    <x v="3"/>
    <n v="31"/>
    <x v="1"/>
    <s v="Fanis"/>
    <n v="1"/>
    <n v="10"/>
    <n v="3"/>
    <n v="0"/>
    <x v="4"/>
    <s v="vs Markos"/>
    <n v="166"/>
    <n v="0.44"/>
    <n v="42"/>
    <n v="0.32800000000000001"/>
    <n v="0.64"/>
    <n v="422"/>
    <n v="62"/>
    <n v="156"/>
    <n v="137"/>
    <n v="35"/>
    <n v="23"/>
    <n v="55"/>
    <n v="2.4900000000000002"/>
  </r>
  <r>
    <x v="3"/>
    <x v="0"/>
    <x v="3"/>
    <n v="31"/>
    <x v="5"/>
    <s v="Markos"/>
    <n v="0"/>
    <n v="3"/>
    <n v="10"/>
    <n v="0"/>
    <x v="0"/>
    <s v="vs Fanis"/>
    <n v="138"/>
    <n v="0.45100000000000001"/>
    <n v="34"/>
    <n v="0.29599999999999999"/>
    <n v="0.83299999999999996"/>
    <n v="385"/>
    <n v="53"/>
    <n v="100"/>
    <n v="87"/>
    <n v="22"/>
    <n v="18"/>
    <n v="48"/>
    <n v="1.81"/>
  </r>
  <r>
    <x v="3"/>
    <x v="0"/>
    <x v="3"/>
    <n v="32"/>
    <x v="6"/>
    <s v="Tassos"/>
    <n v="1"/>
    <n v="8"/>
    <n v="5"/>
    <n v="0"/>
    <x v="17"/>
    <s v="vs Aris"/>
    <n v="177"/>
    <n v="0.47499999999999998"/>
    <n v="61"/>
    <n v="0.39400000000000002"/>
    <n v="0.77400000000000002"/>
    <n v="487"/>
    <n v="24"/>
    <n v="127"/>
    <n v="110"/>
    <n v="28"/>
    <n v="15"/>
    <n v="66"/>
    <n v="1.67"/>
  </r>
  <r>
    <x v="3"/>
    <x v="0"/>
    <x v="3"/>
    <n v="32"/>
    <x v="16"/>
    <s v="Aris"/>
    <n v="0"/>
    <n v="5"/>
    <n v="8"/>
    <n v="0"/>
    <x v="7"/>
    <s v="vs Tassos"/>
    <n v="117"/>
    <n v="0.50600000000000001"/>
    <n v="30"/>
    <n v="0.375"/>
    <n v="0.79200000000000004"/>
    <n v="321"/>
    <n v="36"/>
    <n v="93"/>
    <n v="70"/>
    <n v="12"/>
    <n v="11"/>
    <n v="26"/>
    <n v="2.69"/>
  </r>
  <r>
    <x v="3"/>
    <x v="0"/>
    <x v="3"/>
    <n v="33"/>
    <x v="11"/>
    <s v="pi/Sotiris"/>
    <n v="1"/>
    <n v="11"/>
    <n v="2"/>
    <n v="0"/>
    <x v="13"/>
    <s v="vs Stavros"/>
    <n v="109"/>
    <n v="0.45600000000000002"/>
    <n v="41"/>
    <n v="0.38700000000000001"/>
    <n v="0.81699999999999995"/>
    <n v="308"/>
    <n v="26"/>
    <n v="90"/>
    <n v="80"/>
    <n v="21"/>
    <n v="12"/>
    <n v="38"/>
    <n v="2.11"/>
  </r>
  <r>
    <x v="3"/>
    <x v="0"/>
    <x v="3"/>
    <n v="33"/>
    <x v="12"/>
    <s v="Stavros"/>
    <n v="0"/>
    <n v="2"/>
    <n v="11"/>
    <n v="0"/>
    <x v="10"/>
    <s v="vs pi/Sotiris"/>
    <n v="57"/>
    <n v="0.442"/>
    <n v="12"/>
    <n v="0.29299999999999998"/>
    <n v="0.75600000000000001"/>
    <n v="157"/>
    <n v="11"/>
    <n v="64"/>
    <n v="46"/>
    <n v="14"/>
    <n v="11"/>
    <n v="17"/>
    <n v="2.71"/>
  </r>
  <r>
    <x v="3"/>
    <x v="0"/>
    <x v="3"/>
    <n v="34"/>
    <x v="7"/>
    <s v="Johnny"/>
    <n v="1"/>
    <n v="11"/>
    <n v="2"/>
    <n v="0"/>
    <x v="8"/>
    <s v="vs Ziogas/Christof"/>
    <n v="197"/>
    <n v="0.497"/>
    <n v="59"/>
    <n v="0.378"/>
    <n v="0.86499999999999999"/>
    <n v="517"/>
    <n v="51"/>
    <n v="148"/>
    <n v="105"/>
    <n v="43"/>
    <n v="23"/>
    <n v="45"/>
    <n v="2.33"/>
  </r>
  <r>
    <x v="3"/>
    <x v="0"/>
    <x v="3"/>
    <n v="34"/>
    <x v="9"/>
    <s v="Ziogas/Christof"/>
    <n v="0"/>
    <n v="2"/>
    <n v="11"/>
    <n v="0"/>
    <x v="6"/>
    <s v="vs Johnny"/>
    <n v="164"/>
    <n v="0.45800000000000002"/>
    <n v="55"/>
    <n v="0.39300000000000002"/>
    <n v="0.72299999999999998"/>
    <n v="456"/>
    <n v="29"/>
    <n v="125"/>
    <n v="130"/>
    <n v="26"/>
    <n v="17"/>
    <n v="58"/>
    <n v="2.2400000000000002"/>
  </r>
  <r>
    <x v="3"/>
    <x v="0"/>
    <x v="3"/>
    <n v="35"/>
    <x v="15"/>
    <s v="Vasilis"/>
    <n v="0"/>
    <n v="5"/>
    <n v="8"/>
    <n v="0"/>
    <x v="24"/>
    <s v="vs Tolios"/>
    <n v="112"/>
    <n v="0.44400000000000001"/>
    <n v="46"/>
    <n v="0.38"/>
    <n v="0.73299999999999998"/>
    <n v="314"/>
    <n v="30"/>
    <n v="122"/>
    <n v="83"/>
    <n v="27"/>
    <n v="25"/>
    <n v="51"/>
    <n v="1.63"/>
  </r>
  <r>
    <x v="3"/>
    <x v="0"/>
    <x v="3"/>
    <n v="35"/>
    <x v="24"/>
    <s v="Tolios"/>
    <n v="1"/>
    <n v="8"/>
    <n v="5"/>
    <n v="0"/>
    <x v="14"/>
    <s v="vs Vasilis"/>
    <n v="142"/>
    <n v="0.44900000000000001"/>
    <n v="53"/>
    <n v="0.41399999999999998"/>
    <n v="0.84399999999999997"/>
    <n v="402"/>
    <n v="35"/>
    <n v="119"/>
    <n v="98"/>
    <n v="23"/>
    <n v="12"/>
    <n v="65"/>
    <n v="1.51"/>
  </r>
  <r>
    <x v="3"/>
    <x v="0"/>
    <x v="3"/>
    <n v="36"/>
    <x v="17"/>
    <s v="Spiridaus/Oladipas"/>
    <n v="0"/>
    <n v="4"/>
    <n v="8"/>
    <n v="1"/>
    <x v="2"/>
    <s v="vs Sakellariou"/>
    <n v="83"/>
    <n v="0.42599999999999999"/>
    <n v="23"/>
    <n v="0.315"/>
    <n v="0.81"/>
    <n v="223"/>
    <n v="21"/>
    <n v="73"/>
    <n v="61"/>
    <n v="21"/>
    <n v="11"/>
    <n v="30"/>
    <n v="2.0299999999999998"/>
  </r>
  <r>
    <x v="3"/>
    <x v="0"/>
    <x v="3"/>
    <n v="36"/>
    <x v="3"/>
    <s v="Sakellariou"/>
    <n v="1"/>
    <n v="8"/>
    <n v="4"/>
    <n v="1"/>
    <x v="16"/>
    <s v="vs Spiridaus/Oladipas"/>
    <n v="127"/>
    <n v="0.49"/>
    <n v="35"/>
    <n v="0.42699999999999999"/>
    <n v="0.69499999999999995"/>
    <n v="330"/>
    <n v="38"/>
    <n v="109"/>
    <n v="61"/>
    <n v="16"/>
    <n v="24"/>
    <n v="41"/>
    <n v="1.49"/>
  </r>
  <r>
    <x v="3"/>
    <x v="0"/>
    <x v="3"/>
    <n v="37"/>
    <x v="2"/>
    <s v="Fountos"/>
    <n v="1"/>
    <n v="7"/>
    <n v="5"/>
    <n v="1"/>
    <x v="19"/>
    <s v="vs Kotakis"/>
    <n v="158"/>
    <n v="0.45100000000000001"/>
    <n v="49"/>
    <n v="0.36299999999999999"/>
    <n v="0.72699999999999998"/>
    <n v="413"/>
    <n v="30"/>
    <n v="82"/>
    <n v="67"/>
    <n v="33"/>
    <n v="16"/>
    <n v="43"/>
    <n v="1.56"/>
  </r>
  <r>
    <x v="3"/>
    <x v="0"/>
    <x v="3"/>
    <n v="37"/>
    <x v="18"/>
    <s v="Kotakis"/>
    <n v="0"/>
    <n v="5"/>
    <n v="7"/>
    <n v="1"/>
    <x v="3"/>
    <s v="vs Fountos"/>
    <n v="111"/>
    <n v="0.48099999999999998"/>
    <n v="46"/>
    <n v="0.434"/>
    <n v="0.8"/>
    <n v="296"/>
    <n v="17"/>
    <n v="82"/>
    <n v="66"/>
    <n v="27"/>
    <n v="11"/>
    <n v="30"/>
    <n v="2.2000000000000002"/>
  </r>
  <r>
    <x v="3"/>
    <x v="0"/>
    <x v="3"/>
    <n v="38"/>
    <x v="21"/>
    <s v="Tzokos"/>
    <n v="1"/>
    <n v="7"/>
    <n v="6"/>
    <n v="0"/>
    <x v="20"/>
    <s v="vs Panos"/>
    <n v="204"/>
    <n v="0.48599999999999999"/>
    <n v="56"/>
    <n v="0.34799999999999998"/>
    <n v="0.70199999999999996"/>
    <n v="537"/>
    <n v="52"/>
    <n v="154"/>
    <n v="118"/>
    <n v="30"/>
    <n v="25"/>
    <n v="60"/>
    <n v="1.97"/>
  </r>
  <r>
    <x v="3"/>
    <x v="0"/>
    <x v="3"/>
    <n v="38"/>
    <x v="20"/>
    <s v="Guru"/>
    <n v="0"/>
    <n v="6"/>
    <n v="7"/>
    <n v="0"/>
    <x v="21"/>
    <s v="vs Tzokos"/>
    <n v="163"/>
    <n v="0.54700000000000004"/>
    <n v="46"/>
    <n v="0.41799999999999998"/>
    <n v="0.81599999999999995"/>
    <n v="443"/>
    <n v="36"/>
    <n v="136"/>
    <n v="80"/>
    <n v="19"/>
    <n v="34"/>
    <n v="39"/>
    <n v="2.0499999999999998"/>
  </r>
  <r>
    <x v="3"/>
    <x v="0"/>
    <x v="3"/>
    <n v="39"/>
    <x v="23"/>
    <s v="Sarantos"/>
    <n v="1"/>
    <n v="8"/>
    <n v="4"/>
    <n v="1"/>
    <x v="1"/>
    <s v="vs Miggianis"/>
    <n v="100"/>
    <n v="0.47199999999999998"/>
    <n v="35"/>
    <n v="0.38500000000000001"/>
    <n v="0.6"/>
    <n v="253"/>
    <n v="14"/>
    <n v="66"/>
    <n v="59"/>
    <n v="16"/>
    <n v="12"/>
    <n v="30"/>
    <n v="1.97"/>
  </r>
  <r>
    <x v="3"/>
    <x v="0"/>
    <x v="3"/>
    <n v="39"/>
    <x v="0"/>
    <s v="Miggianis"/>
    <n v="0"/>
    <n v="4"/>
    <n v="8"/>
    <n v="1"/>
    <x v="23"/>
    <s v="vs Sarantos"/>
    <n v="58"/>
    <n v="0.45700000000000002"/>
    <n v="20"/>
    <n v="0.38500000000000001"/>
    <n v="0.65400000000000003"/>
    <n v="153"/>
    <n v="16"/>
    <n v="65"/>
    <n v="29"/>
    <n v="7"/>
    <n v="6"/>
    <n v="12"/>
    <n v="2.42"/>
  </r>
  <r>
    <x v="3"/>
    <x v="0"/>
    <x v="3"/>
    <n v="40"/>
    <x v="19"/>
    <s v="Nonis"/>
    <n v="1"/>
    <n v="9"/>
    <n v="3"/>
    <n v="1"/>
    <x v="12"/>
    <s v="vs Kousidis"/>
    <n v="161"/>
    <n v="0.47899999999999998"/>
    <n v="35"/>
    <n v="0.34699999999999998"/>
    <n v="0.78200000000000003"/>
    <n v="454"/>
    <n v="17"/>
    <n v="127"/>
    <n v="100"/>
    <n v="30"/>
    <n v="12"/>
    <n v="55"/>
    <n v="1.82"/>
  </r>
  <r>
    <x v="3"/>
    <x v="0"/>
    <x v="3"/>
    <n v="40"/>
    <x v="13"/>
    <s v="Kousidis"/>
    <n v="0"/>
    <n v="3"/>
    <n v="9"/>
    <n v="1"/>
    <x v="18"/>
    <s v="vs Nonis"/>
    <n v="108"/>
    <n v="0.42499999999999999"/>
    <n v="30"/>
    <n v="0.34499999999999997"/>
    <n v="0.73099999999999998"/>
    <n v="284"/>
    <n v="34"/>
    <n v="94"/>
    <n v="64"/>
    <n v="15"/>
    <n v="12"/>
    <n v="32"/>
    <n v="2"/>
  </r>
  <r>
    <x v="3"/>
    <x v="0"/>
    <x v="4"/>
    <n v="41"/>
    <x v="1"/>
    <s v="Fanis"/>
    <n v="1"/>
    <n v="8"/>
    <n v="5"/>
    <n v="0"/>
    <x v="24"/>
    <s v="vs Tolios"/>
    <n v="136"/>
    <n v="0.46899999999999997"/>
    <n v="24"/>
    <n v="0.25800000000000001"/>
    <n v="0.75"/>
    <n v="353"/>
    <n v="37"/>
    <n v="135"/>
    <n v="118"/>
    <n v="28"/>
    <n v="24"/>
    <n v="53"/>
    <n v="2.23"/>
  </r>
  <r>
    <x v="3"/>
    <x v="0"/>
    <x v="4"/>
    <n v="41"/>
    <x v="24"/>
    <s v="Tolios"/>
    <n v="0"/>
    <n v="5"/>
    <n v="8"/>
    <n v="0"/>
    <x v="0"/>
    <s v="vs Fanis"/>
    <n v="123"/>
    <n v="0.432"/>
    <n v="45"/>
    <n v="0.378"/>
    <n v="0.86499999999999999"/>
    <n v="368"/>
    <n v="40"/>
    <n v="129"/>
    <n v="111"/>
    <n v="17"/>
    <n v="18"/>
    <n v="63"/>
    <n v="1.76"/>
  </r>
  <r>
    <x v="3"/>
    <x v="0"/>
    <x v="4"/>
    <n v="42"/>
    <x v="6"/>
    <s v="Tassos"/>
    <n v="1"/>
    <n v="9"/>
    <n v="4"/>
    <n v="0"/>
    <x v="16"/>
    <s v="vs Spiridaus/Oladipas"/>
    <n v="141"/>
    <n v="0.46100000000000002"/>
    <n v="36"/>
    <n v="0.34300000000000003"/>
    <n v="0.66300000000000003"/>
    <n v="381"/>
    <n v="17"/>
    <n v="119"/>
    <n v="105"/>
    <n v="27"/>
    <n v="18"/>
    <n v="56"/>
    <n v="1.88"/>
  </r>
  <r>
    <x v="3"/>
    <x v="0"/>
    <x v="4"/>
    <n v="42"/>
    <x v="17"/>
    <s v="Spiridaus/Oladipas"/>
    <n v="0"/>
    <n v="4"/>
    <n v="9"/>
    <n v="0"/>
    <x v="7"/>
    <s v="vs Tassos"/>
    <n v="119"/>
    <n v="0.47799999999999998"/>
    <n v="22"/>
    <n v="0.27800000000000002"/>
    <n v="0.81799999999999995"/>
    <n v="305"/>
    <n v="35"/>
    <n v="98"/>
    <n v="54"/>
    <n v="21"/>
    <n v="9"/>
    <n v="47"/>
    <n v="1.1499999999999999"/>
  </r>
  <r>
    <x v="3"/>
    <x v="0"/>
    <x v="4"/>
    <n v="43"/>
    <x v="16"/>
    <s v="Aris"/>
    <n v="1"/>
    <n v="10"/>
    <n v="3"/>
    <n v="0"/>
    <x v="13"/>
    <s v="vs Stavros"/>
    <n v="172"/>
    <n v="0.45600000000000002"/>
    <n v="60"/>
    <n v="0.36599999999999999"/>
    <n v="0.85699999999999998"/>
    <n v="470"/>
    <n v="32"/>
    <n v="119"/>
    <n v="120"/>
    <n v="32"/>
    <n v="13"/>
    <n v="49"/>
    <n v="2.4500000000000002"/>
  </r>
  <r>
    <x v="3"/>
    <x v="0"/>
    <x v="4"/>
    <n v="43"/>
    <x v="12"/>
    <s v="Stavros"/>
    <n v="0"/>
    <n v="3"/>
    <n v="10"/>
    <n v="0"/>
    <x v="17"/>
    <s v="vs Aris"/>
    <n v="116"/>
    <n v="0.48699999999999999"/>
    <n v="37"/>
    <n v="0.39400000000000002"/>
    <n v="0.71199999999999997"/>
    <n v="311"/>
    <n v="17"/>
    <n v="69"/>
    <n v="73"/>
    <n v="23"/>
    <n v="11"/>
    <n v="39"/>
    <n v="1.87"/>
  </r>
  <r>
    <x v="3"/>
    <x v="0"/>
    <x v="4"/>
    <n v="44"/>
    <x v="5"/>
    <s v="Markos"/>
    <n v="0"/>
    <n v="5"/>
    <n v="8"/>
    <n v="0"/>
    <x v="8"/>
    <s v="vs Ziogas/Christof"/>
    <n v="137"/>
    <n v="0.52100000000000002"/>
    <n v="30"/>
    <n v="0.36599999999999999"/>
    <n v="0.75"/>
    <n v="364"/>
    <n v="34"/>
    <n v="83"/>
    <n v="67"/>
    <n v="34"/>
    <n v="25"/>
    <n v="48"/>
    <n v="1.4"/>
  </r>
  <r>
    <x v="3"/>
    <x v="0"/>
    <x v="4"/>
    <n v="44"/>
    <x v="9"/>
    <s v="Ziogas/Christof"/>
    <n v="1"/>
    <n v="8"/>
    <n v="5"/>
    <n v="0"/>
    <x v="4"/>
    <s v="vs Markos"/>
    <n v="198"/>
    <n v="0.48099999999999998"/>
    <n v="60"/>
    <n v="0.38500000000000001"/>
    <n v="0.69099999999999995"/>
    <n v="521"/>
    <n v="38"/>
    <n v="146"/>
    <n v="124"/>
    <n v="23"/>
    <n v="21"/>
    <n v="75"/>
    <n v="1.65"/>
  </r>
  <r>
    <x v="3"/>
    <x v="0"/>
    <x v="4"/>
    <n v="45"/>
    <x v="15"/>
    <s v="Vasilis"/>
    <n v="0"/>
    <n v="4"/>
    <n v="9"/>
    <n v="0"/>
    <x v="10"/>
    <s v="vs pi/Sotiris"/>
    <n v="172"/>
    <n v="0.46"/>
    <n v="39"/>
    <n v="0.32"/>
    <n v="0.72899999999999998"/>
    <n v="485"/>
    <n v="59"/>
    <n v="141"/>
    <n v="87"/>
    <n v="33"/>
    <n v="24"/>
    <n v="41"/>
    <n v="2.12"/>
  </r>
  <r>
    <x v="3"/>
    <x v="0"/>
    <x v="4"/>
    <n v="45"/>
    <x v="11"/>
    <s v="pi/Sotiris"/>
    <n v="1"/>
    <n v="9"/>
    <n v="4"/>
    <n v="0"/>
    <x v="14"/>
    <s v="vs Vasilis"/>
    <n v="188"/>
    <n v="0.52800000000000002"/>
    <n v="41"/>
    <n v="0.376"/>
    <n v="0.88800000000000001"/>
    <n v="496"/>
    <n v="49"/>
    <n v="159"/>
    <n v="114"/>
    <n v="21"/>
    <n v="26"/>
    <n v="57"/>
    <n v="2"/>
  </r>
  <r>
    <x v="3"/>
    <x v="0"/>
    <x v="4"/>
    <n v="46"/>
    <x v="7"/>
    <s v="Johnny"/>
    <n v="1"/>
    <n v="9"/>
    <n v="4"/>
    <n v="0"/>
    <x v="2"/>
    <s v="vs Sakellariou"/>
    <n v="245"/>
    <n v="0.47599999999999998"/>
    <n v="58"/>
    <n v="0.372"/>
    <n v="0.78"/>
    <n v="633"/>
    <n v="72"/>
    <n v="185"/>
    <n v="95"/>
    <n v="29"/>
    <n v="31"/>
    <n v="50"/>
    <n v="1.9"/>
  </r>
  <r>
    <x v="3"/>
    <x v="0"/>
    <x v="4"/>
    <n v="46"/>
    <x v="3"/>
    <s v="Sakellariou"/>
    <n v="0"/>
    <n v="4"/>
    <n v="9"/>
    <n v="0"/>
    <x v="6"/>
    <s v="vs Johnny"/>
    <n v="75"/>
    <n v="0.52400000000000002"/>
    <n v="25"/>
    <n v="0.39100000000000001"/>
    <n v="0.86099999999999999"/>
    <n v="206"/>
    <n v="10"/>
    <n v="72"/>
    <n v="27"/>
    <n v="13"/>
    <n v="9"/>
    <n v="24"/>
    <n v="1.1299999999999999"/>
  </r>
  <r>
    <x v="3"/>
    <x v="0"/>
    <x v="4"/>
    <n v="47"/>
    <x v="0"/>
    <s v="Miggianis"/>
    <n v="1"/>
    <n v="10"/>
    <n v="3"/>
    <n v="0"/>
    <x v="19"/>
    <s v="vs Kotakis"/>
    <n v="109"/>
    <n v="0.47"/>
    <n v="31"/>
    <n v="0.33"/>
    <n v="0.83299999999999996"/>
    <n v="294"/>
    <n v="19"/>
    <n v="91"/>
    <n v="53"/>
    <n v="31"/>
    <n v="17"/>
    <n v="24"/>
    <n v="2.21"/>
  </r>
  <r>
    <x v="3"/>
    <x v="0"/>
    <x v="4"/>
    <n v="47"/>
    <x v="18"/>
    <s v="Kotakis"/>
    <n v="0"/>
    <n v="3"/>
    <n v="10"/>
    <n v="0"/>
    <x v="1"/>
    <s v="vs Miggianis"/>
    <n v="71"/>
    <n v="0.433"/>
    <n v="29"/>
    <n v="0.35799999999999998"/>
    <n v="0.77800000000000002"/>
    <n v="185"/>
    <n v="26"/>
    <n v="57"/>
    <n v="22"/>
    <n v="20"/>
    <n v="12"/>
    <n v="21"/>
    <n v="1.05"/>
  </r>
  <r>
    <x v="3"/>
    <x v="0"/>
    <x v="4"/>
    <n v="48"/>
    <x v="19"/>
    <s v="Nonis"/>
    <n v="1"/>
    <n v="8"/>
    <n v="5"/>
    <n v="0"/>
    <x v="20"/>
    <s v="vs Panos"/>
    <n v="163"/>
    <n v="0.47799999999999998"/>
    <n v="47"/>
    <n v="0.42299999999999999"/>
    <n v="0.8"/>
    <n v="517"/>
    <n v="30"/>
    <n v="164"/>
    <n v="105"/>
    <n v="18"/>
    <n v="7"/>
    <n v="65"/>
    <n v="1.62"/>
  </r>
  <r>
    <x v="3"/>
    <x v="0"/>
    <x v="4"/>
    <n v="48"/>
    <x v="20"/>
    <s v="Guru"/>
    <n v="0"/>
    <n v="5"/>
    <n v="8"/>
    <n v="0"/>
    <x v="18"/>
    <s v="vs Nonis"/>
    <n v="142"/>
    <n v="0.46"/>
    <n v="58"/>
    <n v="0.41099999999999998"/>
    <n v="0.86199999999999999"/>
    <n v="392"/>
    <n v="36"/>
    <n v="159"/>
    <n v="73"/>
    <n v="12"/>
    <n v="28"/>
    <n v="47"/>
    <n v="1.55"/>
  </r>
  <r>
    <x v="3"/>
    <x v="0"/>
    <x v="4"/>
    <n v="49"/>
    <x v="2"/>
    <s v="Fountos"/>
    <n v="1"/>
    <n v="7"/>
    <n v="6"/>
    <n v="0"/>
    <x v="23"/>
    <s v="vs Sarantos"/>
    <n v="173"/>
    <n v="0.45400000000000001"/>
    <n v="40"/>
    <n v="0.33900000000000002"/>
    <n v="0.85199999999999998"/>
    <n v="484"/>
    <n v="15"/>
    <n v="83"/>
    <n v="114"/>
    <n v="31"/>
    <n v="11"/>
    <n v="59"/>
    <n v="1.93"/>
  </r>
  <r>
    <x v="3"/>
    <x v="0"/>
    <x v="4"/>
    <n v="49"/>
    <x v="23"/>
    <s v="Sarantos"/>
    <n v="0"/>
    <n v="6"/>
    <n v="7"/>
    <n v="0"/>
    <x v="3"/>
    <s v="vs Fountos"/>
    <n v="127"/>
    <n v="0.45"/>
    <n v="43"/>
    <n v="0.39100000000000001"/>
    <n v="0.68"/>
    <n v="348"/>
    <n v="31"/>
    <n v="133"/>
    <n v="68"/>
    <n v="16"/>
    <n v="24"/>
    <n v="54"/>
    <n v="1.26"/>
  </r>
  <r>
    <x v="3"/>
    <x v="0"/>
    <x v="4"/>
    <n v="50"/>
    <x v="21"/>
    <s v="Tzokos"/>
    <n v="1"/>
    <n v="10"/>
    <n v="3"/>
    <n v="0"/>
    <x v="12"/>
    <s v="vs Kousidis"/>
    <n v="177"/>
    <n v="0.45500000000000002"/>
    <n v="48"/>
    <n v="0.35"/>
    <n v="0.73599999999999999"/>
    <n v="491"/>
    <n v="48"/>
    <n v="150"/>
    <n v="120"/>
    <n v="31"/>
    <n v="17"/>
    <n v="62"/>
    <n v="1.94"/>
  </r>
  <r>
    <x v="3"/>
    <x v="0"/>
    <x v="4"/>
    <n v="50"/>
    <x v="13"/>
    <s v="Kousidis"/>
    <n v="0"/>
    <n v="3"/>
    <n v="10"/>
    <n v="0"/>
    <x v="21"/>
    <s v="vs Tzokos"/>
    <n v="157"/>
    <n v="0.47699999999999998"/>
    <n v="31"/>
    <n v="0.33"/>
    <n v="0.76300000000000001"/>
    <n v="416"/>
    <n v="37"/>
    <n v="141"/>
    <n v="76"/>
    <n v="26"/>
    <n v="15"/>
    <n v="44"/>
    <n v="1.73"/>
  </r>
  <r>
    <x v="3"/>
    <x v="0"/>
    <x v="5"/>
    <n v="51"/>
    <x v="21"/>
    <s v="Tzokos"/>
    <n v="1"/>
    <n v="9"/>
    <n v="4"/>
    <n v="0"/>
    <x v="17"/>
    <s v="vs Aris"/>
    <n v="217"/>
    <n v="0.45600000000000002"/>
    <n v="65"/>
    <n v="0.40600000000000003"/>
    <n v="0.71299999999999997"/>
    <n v="591"/>
    <n v="49"/>
    <n v="169"/>
    <n v="130"/>
    <n v="40"/>
    <n v="20"/>
    <n v="79"/>
    <n v="1.65"/>
  </r>
  <r>
    <x v="3"/>
    <x v="0"/>
    <x v="5"/>
    <n v="51"/>
    <x v="16"/>
    <s v="Aris"/>
    <n v="0"/>
    <n v="4"/>
    <n v="9"/>
    <n v="0"/>
    <x v="21"/>
    <s v="vs Tzokos"/>
    <n v="166"/>
    <n v="0.47799999999999998"/>
    <n v="61"/>
    <n v="0.41499999999999998"/>
    <n v="0.76100000000000001"/>
    <n v="444"/>
    <n v="40"/>
    <n v="109"/>
    <n v="82"/>
    <n v="21"/>
    <n v="7"/>
    <n v="54"/>
    <n v="1.52"/>
  </r>
  <r>
    <x v="3"/>
    <x v="0"/>
    <x v="5"/>
    <n v="52"/>
    <x v="7"/>
    <s v="Johnny"/>
    <n v="1"/>
    <n v="10"/>
    <n v="3"/>
    <n v="0"/>
    <x v="24"/>
    <s v="vs Tolios"/>
    <n v="239"/>
    <n v="0.47399999999999998"/>
    <n v="69"/>
    <n v="0.41599999999999998"/>
    <n v="0.77300000000000002"/>
    <n v="622"/>
    <n v="64"/>
    <n v="199"/>
    <n v="107"/>
    <n v="28"/>
    <n v="28"/>
    <n v="68"/>
    <n v="1.57"/>
  </r>
  <r>
    <x v="3"/>
    <x v="0"/>
    <x v="5"/>
    <n v="52"/>
    <x v="24"/>
    <s v="Tolios"/>
    <n v="0"/>
    <n v="3"/>
    <n v="10"/>
    <n v="0"/>
    <x v="6"/>
    <s v="vs Johnny"/>
    <n v="153"/>
    <n v="0.44700000000000001"/>
    <n v="64"/>
    <n v="0.41"/>
    <n v="0.76300000000000001"/>
    <n v="460"/>
    <n v="46"/>
    <n v="138"/>
    <n v="122"/>
    <n v="18"/>
    <n v="21"/>
    <n v="65"/>
    <n v="1.88"/>
  </r>
  <r>
    <x v="3"/>
    <x v="0"/>
    <x v="5"/>
    <n v="53"/>
    <x v="19"/>
    <s v="Nonis"/>
    <n v="1"/>
    <n v="10"/>
    <n v="3"/>
    <n v="0"/>
    <x v="16"/>
    <s v="vs Spiridaus/Oladipas"/>
    <n v="221"/>
    <n v="0.46400000000000002"/>
    <n v="55"/>
    <n v="0.35299999999999998"/>
    <n v="0.83399999999999996"/>
    <n v="658"/>
    <n v="27"/>
    <n v="138"/>
    <n v="132"/>
    <n v="24"/>
    <n v="14"/>
    <n v="72"/>
    <n v="1.83"/>
  </r>
  <r>
    <x v="3"/>
    <x v="0"/>
    <x v="5"/>
    <n v="53"/>
    <x v="17"/>
    <s v="Spiridaus/Oladipas"/>
    <n v="0"/>
    <n v="3"/>
    <n v="10"/>
    <n v="0"/>
    <x v="18"/>
    <s v="vs Nonis"/>
    <n v="114"/>
    <n v="0.44400000000000001"/>
    <n v="18"/>
    <n v="0.24299999999999999"/>
    <n v="0.84699999999999998"/>
    <n v="307"/>
    <n v="34"/>
    <n v="88"/>
    <n v="62"/>
    <n v="19"/>
    <n v="9"/>
    <n v="37"/>
    <n v="1.68"/>
  </r>
  <r>
    <x v="3"/>
    <x v="0"/>
    <x v="5"/>
    <n v="54"/>
    <x v="2"/>
    <s v="Fountos"/>
    <n v="1"/>
    <n v="9"/>
    <n v="3"/>
    <n v="1"/>
    <x v="1"/>
    <s v="vs Miggianis"/>
    <n v="205"/>
    <n v="0.47899999999999998"/>
    <n v="61"/>
    <n v="0.372"/>
    <n v="0.84599999999999997"/>
    <n v="548"/>
    <n v="22"/>
    <n v="128"/>
    <n v="112"/>
    <n v="24"/>
    <n v="12"/>
    <n v="53"/>
    <n v="2.11"/>
  </r>
  <r>
    <x v="3"/>
    <x v="0"/>
    <x v="5"/>
    <n v="54"/>
    <x v="0"/>
    <s v="Miggianis"/>
    <n v="0"/>
    <n v="3"/>
    <n v="9"/>
    <n v="1"/>
    <x v="3"/>
    <s v="vs Fountos"/>
    <n v="84"/>
    <n v="0.47699999999999998"/>
    <n v="30"/>
    <n v="0.38"/>
    <n v="0.73"/>
    <n v="225"/>
    <n v="22"/>
    <n v="62"/>
    <n v="48"/>
    <n v="16"/>
    <n v="13"/>
    <n v="36"/>
    <n v="1.33"/>
  </r>
  <r>
    <x v="3"/>
    <x v="0"/>
    <x v="5"/>
    <n v="55"/>
    <x v="11"/>
    <s v="pi/Sotiris"/>
    <n v="1"/>
    <n v="8"/>
    <n v="5"/>
    <n v="0"/>
    <x v="4"/>
    <s v="vs Markos"/>
    <n v="184"/>
    <n v="0.47199999999999998"/>
    <n v="51"/>
    <n v="0.41099999999999998"/>
    <n v="0.78300000000000003"/>
    <n v="484"/>
    <n v="42"/>
    <n v="161"/>
    <n v="89"/>
    <n v="33"/>
    <n v="12"/>
    <n v="72"/>
    <n v="1.24"/>
  </r>
  <r>
    <x v="3"/>
    <x v="0"/>
    <x v="5"/>
    <n v="55"/>
    <x v="5"/>
    <s v="Markos"/>
    <n v="0"/>
    <n v="5"/>
    <n v="8"/>
    <n v="0"/>
    <x v="10"/>
    <s v="vs pi/Sotiris"/>
    <n v="126"/>
    <n v="0.48799999999999999"/>
    <n v="30"/>
    <n v="0.38"/>
    <n v="0.77800000000000002"/>
    <n v="324"/>
    <n v="46"/>
    <n v="92"/>
    <n v="87"/>
    <n v="23"/>
    <n v="26"/>
    <n v="48"/>
    <n v="1.81"/>
  </r>
  <r>
    <x v="3"/>
    <x v="0"/>
    <x v="5"/>
    <n v="56"/>
    <x v="9"/>
    <s v="Ziogas/Christof"/>
    <n v="1"/>
    <n v="10"/>
    <n v="3"/>
    <n v="0"/>
    <x v="2"/>
    <s v="vs Sakellariou"/>
    <n v="236"/>
    <n v="0.48599999999999999"/>
    <n v="80"/>
    <n v="0.39600000000000002"/>
    <n v="0.79400000000000004"/>
    <n v="656"/>
    <n v="57"/>
    <n v="183"/>
    <n v="165"/>
    <n v="27"/>
    <n v="29"/>
    <n v="76"/>
    <n v="2.17"/>
  </r>
  <r>
    <x v="3"/>
    <x v="0"/>
    <x v="5"/>
    <n v="56"/>
    <x v="3"/>
    <s v="Sakellariou"/>
    <n v="0"/>
    <n v="3"/>
    <n v="10"/>
    <n v="0"/>
    <x v="8"/>
    <s v="vs Ziogas/Christof"/>
    <n v="66"/>
    <n v="0.60599999999999998"/>
    <n v="14"/>
    <n v="0.45200000000000001"/>
    <n v="0.77100000000000002"/>
    <n v="173"/>
    <n v="28"/>
    <n v="75"/>
    <n v="10"/>
    <n v="11"/>
    <n v="6"/>
    <n v="21"/>
    <n v="0.48"/>
  </r>
  <r>
    <x v="3"/>
    <x v="0"/>
    <x v="5"/>
    <n v="57"/>
    <x v="23"/>
    <s v="Sarantos"/>
    <n v="1"/>
    <n v="8"/>
    <n v="3"/>
    <n v="2"/>
    <x v="7"/>
    <s v="vs Tassos"/>
    <n v="149"/>
    <n v="0.441"/>
    <n v="46"/>
    <n v="0.371"/>
    <n v="0.75"/>
    <n v="410"/>
    <n v="37"/>
    <n v="109"/>
    <n v="100"/>
    <n v="28"/>
    <n v="19"/>
    <n v="51"/>
    <n v="1.96"/>
  </r>
  <r>
    <x v="3"/>
    <x v="0"/>
    <x v="5"/>
    <n v="57"/>
    <x v="6"/>
    <s v="Tassos"/>
    <n v="0"/>
    <n v="3"/>
    <n v="8"/>
    <n v="2"/>
    <x v="23"/>
    <s v="vs Sarantos"/>
    <n v="149"/>
    <n v="0.46400000000000002"/>
    <n v="46"/>
    <n v="0.34599999999999997"/>
    <n v="0.72299999999999998"/>
    <n v="425"/>
    <n v="26"/>
    <n v="125"/>
    <n v="88"/>
    <n v="20"/>
    <n v="18"/>
    <n v="59"/>
    <n v="1.49"/>
  </r>
  <r>
    <x v="3"/>
    <x v="0"/>
    <x v="5"/>
    <n v="58"/>
    <x v="15"/>
    <s v="Vasilis"/>
    <n v="1"/>
    <n v="8"/>
    <n v="5"/>
    <n v="0"/>
    <x v="13"/>
    <s v="vs Stavros"/>
    <n v="183"/>
    <n v="0.48199999999999998"/>
    <n v="52"/>
    <n v="0.36099999999999999"/>
    <n v="0.80900000000000005"/>
    <n v="524"/>
    <n v="36"/>
    <n v="149"/>
    <n v="99"/>
    <n v="32"/>
    <n v="24"/>
    <n v="49"/>
    <n v="2.02"/>
  </r>
  <r>
    <x v="3"/>
    <x v="0"/>
    <x v="5"/>
    <n v="58"/>
    <x v="12"/>
    <s v="Stavros"/>
    <n v="0"/>
    <n v="5"/>
    <n v="8"/>
    <n v="0"/>
    <x v="14"/>
    <s v="vs Vasilis"/>
    <n v="123"/>
    <n v="0.438"/>
    <n v="32"/>
    <n v="0.34799999999999998"/>
    <n v="0.82"/>
    <n v="328"/>
    <n v="37"/>
    <n v="111"/>
    <n v="110"/>
    <n v="21"/>
    <n v="12"/>
    <n v="31"/>
    <n v="3.55"/>
  </r>
  <r>
    <x v="3"/>
    <x v="0"/>
    <x v="5"/>
    <n v="59"/>
    <x v="18"/>
    <s v="Kotakis"/>
    <n v="0"/>
    <n v="4"/>
    <n v="9"/>
    <n v="0"/>
    <x v="20"/>
    <s v="vs Panos"/>
    <n v="93"/>
    <n v="0.46500000000000002"/>
    <n v="42"/>
    <n v="0.375"/>
    <n v="0.77300000000000002"/>
    <n v="262"/>
    <n v="13"/>
    <n v="64"/>
    <n v="59"/>
    <n v="35"/>
    <n v="7"/>
    <n v="21"/>
    <n v="2.81"/>
  </r>
  <r>
    <x v="3"/>
    <x v="0"/>
    <x v="5"/>
    <n v="59"/>
    <x v="20"/>
    <s v="Guru"/>
    <n v="1"/>
    <n v="9"/>
    <n v="4"/>
    <n v="0"/>
    <x v="19"/>
    <s v="vs Kotakis"/>
    <n v="170"/>
    <n v="0.45"/>
    <n v="70"/>
    <n v="0.38500000000000001"/>
    <n v="0.83499999999999996"/>
    <n v="496"/>
    <n v="36"/>
    <n v="140"/>
    <n v="103"/>
    <n v="25"/>
    <n v="24"/>
    <n v="45"/>
    <n v="2.29"/>
  </r>
  <r>
    <x v="3"/>
    <x v="0"/>
    <x v="5"/>
    <n v="60"/>
    <x v="13"/>
    <s v="Kousidis"/>
    <n v="0"/>
    <n v="6"/>
    <n v="7"/>
    <n v="0"/>
    <x v="0"/>
    <s v="vs Fanis"/>
    <n v="153"/>
    <n v="0.47799999999999998"/>
    <n v="48"/>
    <n v="0.41399999999999998"/>
    <n v="0.78400000000000003"/>
    <n v="434"/>
    <n v="48"/>
    <n v="128"/>
    <n v="94"/>
    <n v="37"/>
    <n v="13"/>
    <n v="45"/>
    <n v="2.09"/>
  </r>
  <r>
    <x v="3"/>
    <x v="0"/>
    <x v="5"/>
    <n v="60"/>
    <x v="1"/>
    <s v="Fanis"/>
    <n v="1"/>
    <n v="7"/>
    <n v="6"/>
    <n v="0"/>
    <x v="12"/>
    <s v="vs Kousidis"/>
    <n v="172"/>
    <n v="0.496"/>
    <n v="54"/>
    <n v="0.372"/>
    <n v="0.81699999999999995"/>
    <n v="487"/>
    <n v="29"/>
    <n v="127"/>
    <n v="119"/>
    <n v="33"/>
    <n v="23"/>
    <n v="58"/>
    <n v="2.0499999999999998"/>
  </r>
  <r>
    <x v="3"/>
    <x v="0"/>
    <x v="6"/>
    <n v="61"/>
    <x v="7"/>
    <s v="Johnny"/>
    <n v="1"/>
    <n v="11"/>
    <n v="0"/>
    <n v="2"/>
    <x v="17"/>
    <s v="vs Aris"/>
    <n v="234"/>
    <n v="0.50900000000000001"/>
    <n v="63"/>
    <n v="0.40600000000000003"/>
    <n v="0.78700000000000003"/>
    <n v="594"/>
    <n v="62"/>
    <n v="195"/>
    <n v="124"/>
    <n v="33"/>
    <n v="28"/>
    <n v="62"/>
    <n v="2"/>
  </r>
  <r>
    <x v="3"/>
    <x v="0"/>
    <x v="6"/>
    <n v="61"/>
    <x v="16"/>
    <s v="Aris"/>
    <n v="0"/>
    <n v="0"/>
    <n v="11"/>
    <n v="2"/>
    <x v="6"/>
    <s v="vs Johnny"/>
    <n v="209"/>
    <n v="0.495"/>
    <n v="63"/>
    <n v="0.36"/>
    <n v="0.77400000000000002"/>
    <n v="563"/>
    <n v="49"/>
    <n v="127"/>
    <n v="113"/>
    <n v="28"/>
    <n v="18"/>
    <n v="62"/>
    <n v="1.82"/>
  </r>
  <r>
    <x v="3"/>
    <x v="0"/>
    <x v="6"/>
    <n v="62"/>
    <x v="19"/>
    <s v="Nonis"/>
    <n v="1"/>
    <n v="8"/>
    <n v="5"/>
    <n v="0"/>
    <x v="21"/>
    <s v="vs Tzokos"/>
    <n v="229"/>
    <n v="0.48299999999999998"/>
    <n v="63"/>
    <n v="0.38400000000000001"/>
    <n v="0.83499999999999996"/>
    <n v="668"/>
    <n v="35"/>
    <n v="160"/>
    <n v="156"/>
    <n v="31"/>
    <n v="20"/>
    <n v="90"/>
    <n v="1.73"/>
  </r>
  <r>
    <x v="3"/>
    <x v="0"/>
    <x v="6"/>
    <n v="62"/>
    <x v="21"/>
    <s v="Tzokos"/>
    <n v="0"/>
    <n v="5"/>
    <n v="8"/>
    <n v="0"/>
    <x v="18"/>
    <s v="vs Nonis"/>
    <n v="181"/>
    <n v="0.49099999999999999"/>
    <n v="55"/>
    <n v="0.45800000000000002"/>
    <n v="0.73799999999999999"/>
    <n v="496"/>
    <n v="39"/>
    <n v="135"/>
    <n v="86"/>
    <n v="26"/>
    <n v="17"/>
    <n v="45"/>
    <n v="1.91"/>
  </r>
  <r>
    <x v="3"/>
    <x v="0"/>
    <x v="6"/>
    <n v="63"/>
    <x v="24"/>
    <s v="Tolios"/>
    <n v="1"/>
    <n v="9"/>
    <n v="4"/>
    <n v="0"/>
    <x v="1"/>
    <s v="vs Miggianis"/>
    <n v="148"/>
    <n v="0.50900000000000001"/>
    <n v="44"/>
    <n v="0.436"/>
    <n v="0.84"/>
    <n v="424"/>
    <n v="31"/>
    <n v="124"/>
    <n v="110"/>
    <n v="28"/>
    <n v="8"/>
    <n v="51"/>
    <n v="2.16"/>
  </r>
  <r>
    <x v="3"/>
    <x v="0"/>
    <x v="6"/>
    <n v="63"/>
    <x v="0"/>
    <s v="Miggianis"/>
    <n v="0"/>
    <n v="4"/>
    <n v="9"/>
    <n v="0"/>
    <x v="24"/>
    <s v="vs Tolios"/>
    <n v="147"/>
    <n v="0.46100000000000002"/>
    <n v="43"/>
    <n v="0.36099999999999999"/>
    <n v="0.745"/>
    <n v="372"/>
    <n v="34"/>
    <n v="115"/>
    <n v="90"/>
    <n v="26"/>
    <n v="11"/>
    <n v="37"/>
    <n v="2.4300000000000002"/>
  </r>
  <r>
    <x v="3"/>
    <x v="0"/>
    <x v="6"/>
    <n v="64"/>
    <x v="17"/>
    <s v="Spiridaus/Oladipas"/>
    <n v="0"/>
    <n v="5"/>
    <n v="8"/>
    <n v="0"/>
    <x v="10"/>
    <s v="vs pi/Sotiris"/>
    <n v="155"/>
    <n v="0.439"/>
    <n v="36"/>
    <n v="0.313"/>
    <n v="0.82"/>
    <n v="428"/>
    <n v="53"/>
    <n v="156"/>
    <n v="93"/>
    <n v="32"/>
    <n v="29"/>
    <n v="42"/>
    <n v="2.21"/>
  </r>
  <r>
    <x v="3"/>
    <x v="0"/>
    <x v="6"/>
    <n v="64"/>
    <x v="11"/>
    <s v="pi/Sotiris"/>
    <n v="1"/>
    <n v="8"/>
    <n v="5"/>
    <n v="0"/>
    <x v="16"/>
    <s v="vs Spiridaus/Oladipas"/>
    <n v="233"/>
    <n v="0.44600000000000001"/>
    <n v="64"/>
    <n v="0.33700000000000002"/>
    <n v="0.84099999999999997"/>
    <n v="620"/>
    <n v="47"/>
    <n v="197"/>
    <n v="118"/>
    <n v="25"/>
    <n v="21"/>
    <n v="57"/>
    <n v="2.0699999999999998"/>
  </r>
  <r>
    <x v="3"/>
    <x v="0"/>
    <x v="6"/>
    <n v="65"/>
    <x v="5"/>
    <s v="Markos"/>
    <n v="0"/>
    <n v="5"/>
    <n v="8"/>
    <n v="0"/>
    <x v="3"/>
    <s v="vs Fountos"/>
    <n v="112"/>
    <n v="0.47299999999999998"/>
    <n v="15"/>
    <n v="0.29399999999999998"/>
    <n v="0.65100000000000002"/>
    <n v="267"/>
    <n v="36"/>
    <n v="97"/>
    <n v="68"/>
    <n v="25"/>
    <n v="23"/>
    <n v="38"/>
    <n v="1.79"/>
  </r>
  <r>
    <x v="3"/>
    <x v="0"/>
    <x v="6"/>
    <n v="65"/>
    <x v="2"/>
    <s v="Fountos"/>
    <n v="1"/>
    <n v="8"/>
    <n v="5"/>
    <n v="0"/>
    <x v="4"/>
    <s v="vs Markos"/>
    <n v="192"/>
    <n v="0.45"/>
    <n v="40"/>
    <n v="0.34499999999999997"/>
    <n v="0.86899999999999999"/>
    <n v="517"/>
    <n v="26"/>
    <n v="114"/>
    <n v="99"/>
    <n v="22"/>
    <n v="18"/>
    <n v="47"/>
    <n v="2.11"/>
  </r>
  <r>
    <x v="3"/>
    <x v="0"/>
    <x v="6"/>
    <n v="66"/>
    <x v="6"/>
    <s v="Tassos"/>
    <n v="1"/>
    <n v="7"/>
    <n v="6"/>
    <n v="0"/>
    <x v="2"/>
    <s v="vs Sakellariou"/>
    <n v="193"/>
    <n v="0.48699999999999999"/>
    <n v="41"/>
    <n v="0.315"/>
    <n v="0.77600000000000002"/>
    <n v="517"/>
    <n v="30"/>
    <n v="146"/>
    <n v="127"/>
    <n v="23"/>
    <n v="16"/>
    <n v="65"/>
    <n v="1.95"/>
  </r>
  <r>
    <x v="3"/>
    <x v="0"/>
    <x v="6"/>
    <n v="66"/>
    <x v="3"/>
    <s v="Sakellariou"/>
    <n v="0"/>
    <n v="6"/>
    <n v="7"/>
    <n v="0"/>
    <x v="7"/>
    <s v="vs Tassos"/>
    <n v="161"/>
    <n v="0.45900000000000002"/>
    <n v="60"/>
    <n v="0.438"/>
    <n v="0.85299999999999998"/>
    <n v="446"/>
    <n v="40"/>
    <n v="132"/>
    <n v="80"/>
    <n v="21"/>
    <n v="17"/>
    <n v="56"/>
    <n v="1.43"/>
  </r>
  <r>
    <x v="3"/>
    <x v="0"/>
    <x v="6"/>
    <n v="67"/>
    <x v="12"/>
    <s v="Stavros"/>
    <n v="0"/>
    <n v="6"/>
    <n v="7"/>
    <n v="0"/>
    <x v="8"/>
    <s v="vs Ziogas/Christof"/>
    <n v="146"/>
    <n v="0.50900000000000001"/>
    <n v="39"/>
    <n v="0.433"/>
    <n v="0.746"/>
    <n v="381"/>
    <n v="44"/>
    <n v="102"/>
    <n v="91"/>
    <n v="30"/>
    <n v="19"/>
    <n v="56"/>
    <n v="1.63"/>
  </r>
  <r>
    <x v="3"/>
    <x v="0"/>
    <x v="6"/>
    <n v="67"/>
    <x v="9"/>
    <s v="Ziogas/Christof"/>
    <n v="1"/>
    <n v="7"/>
    <n v="6"/>
    <n v="0"/>
    <x v="13"/>
    <s v="vs Stavros"/>
    <n v="193"/>
    <n v="0.48199999999999998"/>
    <n v="56"/>
    <n v="0.376"/>
    <n v="0.70199999999999996"/>
    <n v="508"/>
    <n v="35"/>
    <n v="168"/>
    <n v="124"/>
    <n v="26"/>
    <n v="21"/>
    <n v="63"/>
    <n v="1.97"/>
  </r>
  <r>
    <x v="3"/>
    <x v="0"/>
    <x v="6"/>
    <n v="68"/>
    <x v="23"/>
    <s v="Sarantos"/>
    <n v="0"/>
    <n v="6"/>
    <n v="7"/>
    <n v="0"/>
    <x v="19"/>
    <s v="vs Kotakis"/>
    <n v="153"/>
    <n v="0.442"/>
    <n v="35"/>
    <n v="0.26500000000000001"/>
    <n v="0.70799999999999996"/>
    <n v="404"/>
    <n v="39"/>
    <n v="131"/>
    <n v="100"/>
    <n v="29"/>
    <n v="19"/>
    <n v="57"/>
    <n v="1.75"/>
  </r>
  <r>
    <x v="3"/>
    <x v="0"/>
    <x v="6"/>
    <n v="68"/>
    <x v="18"/>
    <s v="Kotakis"/>
    <n v="1"/>
    <n v="7"/>
    <n v="6"/>
    <n v="0"/>
    <x v="23"/>
    <s v="vs Sarantos"/>
    <n v="156"/>
    <n v="0.437"/>
    <n v="72"/>
    <n v="0.39300000000000002"/>
    <n v="0.80300000000000005"/>
    <n v="437"/>
    <n v="27"/>
    <n v="97"/>
    <n v="78"/>
    <n v="19"/>
    <n v="17"/>
    <n v="32"/>
    <n v="2.44"/>
  </r>
  <r>
    <x v="3"/>
    <x v="0"/>
    <x v="6"/>
    <n v="69"/>
    <x v="13"/>
    <s v="Kousidis"/>
    <n v="0"/>
    <n v="4"/>
    <n v="9"/>
    <n v="0"/>
    <x v="14"/>
    <s v="vs Vasilis"/>
    <n v="139"/>
    <n v="0.433"/>
    <n v="38"/>
    <n v="0.34200000000000003"/>
    <n v="0.73799999999999999"/>
    <n v="361"/>
    <n v="40"/>
    <n v="126"/>
    <n v="78"/>
    <n v="29"/>
    <n v="15"/>
    <n v="43"/>
    <n v="1.81"/>
  </r>
  <r>
    <x v="3"/>
    <x v="0"/>
    <x v="6"/>
    <n v="69"/>
    <x v="15"/>
    <s v="Vasilis"/>
    <n v="1"/>
    <n v="9"/>
    <n v="4"/>
    <n v="0"/>
    <x v="12"/>
    <s v="vs Kousidis"/>
    <n v="176"/>
    <n v="0.48899999999999999"/>
    <n v="50"/>
    <n v="0.39400000000000002"/>
    <n v="0.81599999999999995"/>
    <n v="464"/>
    <n v="34"/>
    <n v="101"/>
    <n v="116"/>
    <n v="26"/>
    <n v="27"/>
    <n v="54"/>
    <n v="2.15"/>
  </r>
  <r>
    <x v="3"/>
    <x v="0"/>
    <x v="6"/>
    <n v="70"/>
    <x v="1"/>
    <s v="Fanis"/>
    <n v="0"/>
    <n v="6"/>
    <n v="7"/>
    <n v="0"/>
    <x v="20"/>
    <s v="vs Panos"/>
    <n v="184"/>
    <n v="0.47399999999999998"/>
    <n v="68"/>
    <n v="0.41"/>
    <n v="0.89100000000000001"/>
    <n v="526"/>
    <n v="40"/>
    <n v="155"/>
    <n v="124"/>
    <n v="40"/>
    <n v="22"/>
    <n v="76"/>
    <n v="1.63"/>
  </r>
  <r>
    <x v="3"/>
    <x v="0"/>
    <x v="6"/>
    <n v="70"/>
    <x v="20"/>
    <s v="Guru"/>
    <n v="1"/>
    <n v="7"/>
    <n v="6"/>
    <n v="0"/>
    <x v="0"/>
    <s v="vs Fanis"/>
    <n v="178"/>
    <n v="0.51400000000000001"/>
    <n v="58"/>
    <n v="0.436"/>
    <n v="0.77200000000000002"/>
    <n v="502"/>
    <n v="51"/>
    <n v="169"/>
    <n v="117"/>
    <n v="26"/>
    <n v="37"/>
    <n v="51"/>
    <n v="2.29"/>
  </r>
  <r>
    <x v="3"/>
    <x v="0"/>
    <x v="7"/>
    <n v="71"/>
    <x v="19"/>
    <s v="Nonis"/>
    <n v="1"/>
    <n v="7"/>
    <n v="6"/>
    <n v="0"/>
    <x v="17"/>
    <s v="vs Aris"/>
    <n v="206"/>
    <n v="0.46400000000000002"/>
    <n v="44"/>
    <n v="0.34100000000000003"/>
    <n v="0.81599999999999995"/>
    <n v="616"/>
    <n v="37"/>
    <n v="159"/>
    <n v="130"/>
    <n v="29"/>
    <n v="17"/>
    <n v="72"/>
    <n v="1.81"/>
  </r>
  <r>
    <x v="3"/>
    <x v="0"/>
    <x v="7"/>
    <n v="71"/>
    <x v="16"/>
    <s v="Aris"/>
    <n v="0"/>
    <n v="6"/>
    <n v="7"/>
    <n v="0"/>
    <x v="18"/>
    <s v="vs Nonis"/>
    <n v="200"/>
    <n v="0.51800000000000002"/>
    <n v="92"/>
    <n v="0.44900000000000001"/>
    <n v="0.86"/>
    <n v="572"/>
    <n v="36"/>
    <n v="114"/>
    <n v="92"/>
    <n v="24"/>
    <n v="7"/>
    <n v="50"/>
    <n v="1.84"/>
  </r>
  <r>
    <x v="3"/>
    <x v="0"/>
    <x v="7"/>
    <n v="72"/>
    <x v="0"/>
    <s v="Miggianis"/>
    <n v="0"/>
    <n v="2"/>
    <n v="11"/>
    <n v="0"/>
    <x v="6"/>
    <s v="vs Johnny"/>
    <n v="115"/>
    <n v="0.442"/>
    <n v="38"/>
    <n v="0.35499999999999998"/>
    <n v="0.68400000000000005"/>
    <n v="307"/>
    <n v="26"/>
    <n v="104"/>
    <n v="71"/>
    <n v="29"/>
    <n v="12"/>
    <n v="27"/>
    <n v="2.63"/>
  </r>
  <r>
    <x v="3"/>
    <x v="0"/>
    <x v="7"/>
    <n v="72"/>
    <x v="7"/>
    <s v="Johnny"/>
    <n v="1"/>
    <n v="11"/>
    <n v="2"/>
    <n v="0"/>
    <x v="1"/>
    <s v="vs Miggianis"/>
    <n v="199"/>
    <n v="0.52900000000000003"/>
    <n v="53"/>
    <n v="0.39300000000000002"/>
    <n v="0.84699999999999998"/>
    <n v="534"/>
    <n v="39"/>
    <n v="173"/>
    <n v="111"/>
    <n v="22"/>
    <n v="21"/>
    <n v="40"/>
    <n v="2.77"/>
  </r>
  <r>
    <x v="3"/>
    <x v="0"/>
    <x v="7"/>
    <n v="73"/>
    <x v="21"/>
    <s v="Tzokos"/>
    <n v="1"/>
    <n v="9"/>
    <n v="4"/>
    <n v="0"/>
    <x v="10"/>
    <s v="vs pi/Sotiris"/>
    <n v="232"/>
    <n v="0.497"/>
    <n v="64"/>
    <n v="0.41599999999999998"/>
    <n v="0.78"/>
    <n v="631"/>
    <n v="54"/>
    <n v="145"/>
    <n v="106"/>
    <n v="35"/>
    <n v="22"/>
    <n v="75"/>
    <n v="1.41"/>
  </r>
  <r>
    <x v="3"/>
    <x v="0"/>
    <x v="7"/>
    <n v="73"/>
    <x v="11"/>
    <s v="pi/Sotiris"/>
    <n v="0"/>
    <n v="4"/>
    <n v="9"/>
    <n v="0"/>
    <x v="21"/>
    <s v="vs Tzokos"/>
    <n v="202"/>
    <n v="0.46700000000000003"/>
    <n v="60"/>
    <n v="0.39700000000000002"/>
    <n v="0.86"/>
    <n v="562"/>
    <n v="51"/>
    <n v="170"/>
    <n v="96"/>
    <n v="26"/>
    <n v="18"/>
    <n v="60"/>
    <n v="1.6"/>
  </r>
  <r>
    <x v="3"/>
    <x v="0"/>
    <x v="7"/>
    <n v="74"/>
    <x v="24"/>
    <s v="Tolios"/>
    <n v="1"/>
    <n v="9"/>
    <n v="4"/>
    <n v="0"/>
    <x v="4"/>
    <s v="vs Markos"/>
    <n v="134"/>
    <n v="0.47899999999999998"/>
    <n v="31"/>
    <n v="0.32300000000000001"/>
    <n v="0.81799999999999995"/>
    <n v="380"/>
    <n v="52"/>
    <n v="155"/>
    <n v="92"/>
    <n v="20"/>
    <n v="17"/>
    <n v="55"/>
    <n v="1.67"/>
  </r>
  <r>
    <x v="3"/>
    <x v="0"/>
    <x v="7"/>
    <n v="74"/>
    <x v="5"/>
    <s v="Markos"/>
    <n v="0"/>
    <n v="4"/>
    <n v="9"/>
    <n v="0"/>
    <x v="24"/>
    <s v="vs Tolios"/>
    <n v="110"/>
    <n v="0.52600000000000002"/>
    <n v="19"/>
    <n v="0.311"/>
    <n v="0.71399999999999997"/>
    <n v="269"/>
    <n v="38"/>
    <n v="105"/>
    <n v="65"/>
    <n v="14"/>
    <n v="29"/>
    <n v="30"/>
    <n v="2.17"/>
  </r>
  <r>
    <x v="3"/>
    <x v="0"/>
    <x v="7"/>
    <n v="75"/>
    <x v="2"/>
    <s v="Fountos"/>
    <n v="0"/>
    <n v="5"/>
    <n v="8"/>
    <n v="0"/>
    <x v="16"/>
    <s v="vs Spiridaus/Oladipas"/>
    <n v="202"/>
    <n v="0.45300000000000001"/>
    <n v="66"/>
    <n v="0.36499999999999999"/>
    <n v="0.86699999999999999"/>
    <n v="574"/>
    <n v="21"/>
    <n v="108"/>
    <n v="129"/>
    <n v="25"/>
    <n v="6"/>
    <n v="58"/>
    <n v="2.2200000000000002"/>
  </r>
  <r>
    <x v="3"/>
    <x v="0"/>
    <x v="7"/>
    <n v="75"/>
    <x v="17"/>
    <s v="Spiridaus/Oladipas"/>
    <n v="1"/>
    <n v="8"/>
    <n v="5"/>
    <n v="0"/>
    <x v="3"/>
    <s v="vs Fountos"/>
    <n v="213"/>
    <n v="0.53500000000000003"/>
    <n v="65"/>
    <n v="0.46100000000000002"/>
    <n v="0.73"/>
    <n v="575"/>
    <n v="44"/>
    <n v="162"/>
    <n v="97"/>
    <n v="24"/>
    <n v="15"/>
    <n v="54"/>
    <n v="1.8"/>
  </r>
  <r>
    <x v="3"/>
    <x v="0"/>
    <x v="7"/>
    <n v="76"/>
    <x v="12"/>
    <s v="Stavros"/>
    <n v="1"/>
    <n v="7"/>
    <n v="5"/>
    <n v="1"/>
    <x v="2"/>
    <s v="vs Sakellariou"/>
    <n v="170"/>
    <n v="0.51700000000000002"/>
    <n v="32"/>
    <n v="0.33700000000000002"/>
    <n v="0.88100000000000001"/>
    <n v="424"/>
    <n v="38"/>
    <n v="147"/>
    <n v="86"/>
    <n v="30"/>
    <n v="18"/>
    <n v="46"/>
    <n v="1.87"/>
  </r>
  <r>
    <x v="3"/>
    <x v="0"/>
    <x v="7"/>
    <n v="76"/>
    <x v="3"/>
    <s v="Sakellariou"/>
    <n v="0"/>
    <n v="5"/>
    <n v="7"/>
    <n v="1"/>
    <x v="13"/>
    <s v="vs Stavros"/>
    <n v="164"/>
    <n v="0.502"/>
    <n v="60"/>
    <n v="0.38500000000000001"/>
    <n v="0.83299999999999996"/>
    <n v="443"/>
    <n v="38"/>
    <n v="113"/>
    <n v="69"/>
    <n v="20"/>
    <n v="9"/>
    <n v="31"/>
    <n v="2.23"/>
  </r>
  <r>
    <x v="3"/>
    <x v="0"/>
    <x v="7"/>
    <n v="77"/>
    <x v="18"/>
    <s v="Kotakis"/>
    <n v="0"/>
    <n v="5"/>
    <n v="7"/>
    <n v="1"/>
    <x v="7"/>
    <s v="vs Tassos"/>
    <n v="134"/>
    <n v="0.45600000000000002"/>
    <n v="62"/>
    <n v="0.42199999999999999"/>
    <n v="0.81"/>
    <n v="364"/>
    <n v="26"/>
    <n v="78"/>
    <n v="54"/>
    <n v="28"/>
    <n v="13"/>
    <n v="33"/>
    <n v="1.64"/>
  </r>
  <r>
    <x v="3"/>
    <x v="0"/>
    <x v="7"/>
    <n v="77"/>
    <x v="6"/>
    <s v="Tassos"/>
    <n v="1"/>
    <n v="7"/>
    <n v="5"/>
    <n v="1"/>
    <x v="19"/>
    <s v="vs Kotakis"/>
    <n v="162"/>
    <n v="0.41399999999999998"/>
    <n v="37"/>
    <n v="0.30299999999999999"/>
    <n v="0.81"/>
    <n v="446"/>
    <n v="40"/>
    <n v="126"/>
    <n v="113"/>
    <n v="19"/>
    <n v="19"/>
    <n v="45"/>
    <n v="2.5099999999999998"/>
  </r>
  <r>
    <x v="3"/>
    <x v="0"/>
    <x v="7"/>
    <n v="78"/>
    <x v="9"/>
    <s v="Ziogas/Christof"/>
    <n v="1"/>
    <n v="8"/>
    <n v="5"/>
    <n v="0"/>
    <x v="12"/>
    <s v="vs Kousidis"/>
    <n v="179"/>
    <n v="0.44400000000000001"/>
    <n v="49"/>
    <n v="0.32"/>
    <n v="0.74299999999999999"/>
    <n v="485"/>
    <n v="32"/>
    <n v="197"/>
    <n v="160"/>
    <n v="22"/>
    <n v="32"/>
    <n v="72"/>
    <n v="2.2200000000000002"/>
  </r>
  <r>
    <x v="3"/>
    <x v="0"/>
    <x v="7"/>
    <n v="78"/>
    <x v="13"/>
    <s v="Kousidis"/>
    <n v="0"/>
    <n v="5"/>
    <n v="8"/>
    <n v="0"/>
    <x v="8"/>
    <s v="vs Ziogas/Christof"/>
    <n v="131"/>
    <n v="0.435"/>
    <n v="38"/>
    <n v="0.39600000000000002"/>
    <n v="0.82199999999999995"/>
    <n v="360"/>
    <n v="45"/>
    <n v="89"/>
    <n v="102"/>
    <n v="17"/>
    <n v="12"/>
    <n v="43"/>
    <n v="2.37"/>
  </r>
  <r>
    <x v="3"/>
    <x v="0"/>
    <x v="7"/>
    <n v="79"/>
    <x v="1"/>
    <s v="Fanis"/>
    <n v="1"/>
    <n v="10"/>
    <n v="3"/>
    <n v="0"/>
    <x v="23"/>
    <s v="vs Sarantos"/>
    <n v="192"/>
    <n v="0.47899999999999998"/>
    <n v="71"/>
    <n v="0.39400000000000002"/>
    <n v="0.76300000000000001"/>
    <n v="529"/>
    <n v="30"/>
    <n v="183"/>
    <n v="143"/>
    <n v="42"/>
    <n v="24"/>
    <n v="72"/>
    <n v="1.99"/>
  </r>
  <r>
    <x v="3"/>
    <x v="0"/>
    <x v="7"/>
    <n v="79"/>
    <x v="23"/>
    <s v="Sarantos"/>
    <n v="0"/>
    <n v="3"/>
    <n v="10"/>
    <n v="0"/>
    <x v="0"/>
    <s v="vs Fanis"/>
    <n v="168"/>
    <n v="0.46500000000000002"/>
    <n v="46"/>
    <n v="0.34599999999999997"/>
    <n v="0.73299999999999998"/>
    <n v="459"/>
    <n v="32"/>
    <n v="127"/>
    <n v="123"/>
    <n v="28"/>
    <n v="17"/>
    <n v="53"/>
    <n v="2.3199999999999998"/>
  </r>
  <r>
    <x v="3"/>
    <x v="0"/>
    <x v="7"/>
    <n v="80"/>
    <x v="15"/>
    <s v="Vasilis"/>
    <n v="1"/>
    <n v="7"/>
    <n v="6"/>
    <n v="0"/>
    <x v="20"/>
    <s v="vs Panos"/>
    <n v="187"/>
    <n v="0.495"/>
    <n v="39"/>
    <n v="0.312"/>
    <n v="0.78200000000000003"/>
    <n v="506"/>
    <n v="26"/>
    <n v="101"/>
    <n v="108"/>
    <n v="32"/>
    <n v="12"/>
    <n v="51"/>
    <n v="2.12"/>
  </r>
  <r>
    <x v="3"/>
    <x v="0"/>
    <x v="7"/>
    <n v="80"/>
    <x v="20"/>
    <s v="Guru"/>
    <n v="0"/>
    <n v="6"/>
    <n v="7"/>
    <n v="0"/>
    <x v="14"/>
    <s v="vs Vasilis"/>
    <n v="167"/>
    <n v="0.44500000000000001"/>
    <n v="59"/>
    <n v="0.40100000000000002"/>
    <n v="0.83299999999999996"/>
    <n v="503"/>
    <n v="37"/>
    <n v="153"/>
    <n v="106"/>
    <n v="25"/>
    <n v="23"/>
    <n v="53"/>
    <n v="2"/>
  </r>
  <r>
    <x v="3"/>
    <x v="0"/>
    <x v="8"/>
    <n v="81"/>
    <x v="0"/>
    <s v="Miggianis"/>
    <n v="0"/>
    <n v="6"/>
    <n v="7"/>
    <n v="0"/>
    <x v="17"/>
    <s v="vs Aris"/>
    <n v="108"/>
    <n v="0.47"/>
    <n v="37"/>
    <n v="0.38900000000000001"/>
    <n v="0.86399999999999999"/>
    <n v="304"/>
    <n v="22"/>
    <n v="112"/>
    <n v="54"/>
    <n v="29"/>
    <n v="16"/>
    <n v="27"/>
    <n v="2"/>
  </r>
  <r>
    <x v="3"/>
    <x v="0"/>
    <x v="8"/>
    <n v="81"/>
    <x v="16"/>
    <s v="Aris"/>
    <n v="1"/>
    <n v="7"/>
    <n v="6"/>
    <n v="0"/>
    <x v="1"/>
    <s v="vs Miggianis"/>
    <n v="148"/>
    <n v="0.44400000000000001"/>
    <n v="72"/>
    <n v="0.40400000000000003"/>
    <n v="0.88"/>
    <n v="412"/>
    <n v="16"/>
    <n v="89"/>
    <n v="85"/>
    <n v="18"/>
    <n v="10"/>
    <n v="40"/>
    <n v="2.13"/>
  </r>
  <r>
    <x v="3"/>
    <x v="0"/>
    <x v="8"/>
    <n v="82"/>
    <x v="19"/>
    <s v="Nonis"/>
    <n v="1"/>
    <n v="7"/>
    <n v="6"/>
    <n v="0"/>
    <x v="10"/>
    <s v="vs pi/Sotiris"/>
    <n v="232"/>
    <n v="0.49199999999999999"/>
    <n v="48"/>
    <n v="0.33800000000000002"/>
    <n v="0.81100000000000005"/>
    <n v="688"/>
    <n v="28"/>
    <n v="170"/>
    <n v="150"/>
    <n v="32"/>
    <n v="15"/>
    <n v="100"/>
    <n v="1.5"/>
  </r>
  <r>
    <x v="3"/>
    <x v="0"/>
    <x v="8"/>
    <n v="82"/>
    <x v="11"/>
    <s v="pi/Sotiris"/>
    <n v="0"/>
    <n v="6"/>
    <n v="7"/>
    <n v="0"/>
    <x v="18"/>
    <s v="vs Nonis"/>
    <n v="185"/>
    <n v="0.49199999999999999"/>
    <n v="43"/>
    <n v="0.33600000000000002"/>
    <n v="0.83299999999999996"/>
    <n v="488"/>
    <n v="30"/>
    <n v="136"/>
    <n v="109"/>
    <n v="30"/>
    <n v="18"/>
    <n v="61"/>
    <n v="1.79"/>
  </r>
  <r>
    <x v="3"/>
    <x v="0"/>
    <x v="8"/>
    <n v="83"/>
    <x v="7"/>
    <s v="Johnny"/>
    <n v="1"/>
    <n v="11"/>
    <n v="2"/>
    <n v="0"/>
    <x v="4"/>
    <s v="vs Markos"/>
    <n v="190"/>
    <n v="0.52300000000000002"/>
    <n v="32"/>
    <n v="0.311"/>
    <n v="0.876"/>
    <n v="497"/>
    <n v="45"/>
    <n v="186"/>
    <n v="102"/>
    <n v="29"/>
    <n v="23"/>
    <n v="44"/>
    <n v="2.3199999999999998"/>
  </r>
  <r>
    <x v="3"/>
    <x v="0"/>
    <x v="8"/>
    <n v="83"/>
    <x v="5"/>
    <s v="Markos"/>
    <n v="0"/>
    <n v="2"/>
    <n v="11"/>
    <n v="0"/>
    <x v="6"/>
    <s v="vs Johnny"/>
    <n v="98"/>
    <n v="0.46200000000000002"/>
    <n v="24"/>
    <n v="0.38100000000000001"/>
    <n v="0.81799999999999995"/>
    <n v="256"/>
    <n v="38"/>
    <n v="99"/>
    <n v="62"/>
    <n v="22"/>
    <n v="21"/>
    <n v="38"/>
    <n v="1.63"/>
  </r>
  <r>
    <x v="3"/>
    <x v="0"/>
    <x v="8"/>
    <n v="84"/>
    <x v="21"/>
    <s v="Tzokos"/>
    <n v="1"/>
    <n v="11"/>
    <n v="2"/>
    <n v="0"/>
    <x v="3"/>
    <s v="vs Fountos"/>
    <n v="193"/>
    <n v="0.47699999999999998"/>
    <n v="73"/>
    <n v="0.44500000000000001"/>
    <n v="0.84399999999999997"/>
    <n v="562"/>
    <n v="35"/>
    <n v="139"/>
    <n v="108"/>
    <n v="29"/>
    <n v="23"/>
    <n v="67"/>
    <n v="1.61"/>
  </r>
  <r>
    <x v="3"/>
    <x v="0"/>
    <x v="8"/>
    <n v="84"/>
    <x v="2"/>
    <s v="Fountos"/>
    <n v="0"/>
    <n v="2"/>
    <n v="11"/>
    <n v="0"/>
    <x v="21"/>
    <s v="vs Tzokos"/>
    <n v="171"/>
    <n v="0.49299999999999999"/>
    <n v="50"/>
    <n v="0.4"/>
    <n v="0.84399999999999997"/>
    <n v="446"/>
    <n v="24"/>
    <n v="90"/>
    <n v="78"/>
    <n v="28"/>
    <n v="12"/>
    <n v="54"/>
    <n v="1.44"/>
  </r>
  <r>
    <x v="3"/>
    <x v="0"/>
    <x v="8"/>
    <n v="85"/>
    <x v="24"/>
    <s v="Tolios"/>
    <n v="0"/>
    <n v="5"/>
    <n v="8"/>
    <n v="0"/>
    <x v="16"/>
    <s v="vs Spiridaus/Oladipas"/>
    <n v="163"/>
    <n v="0.53400000000000003"/>
    <n v="39"/>
    <n v="0.41099999999999998"/>
    <n v="0.78900000000000003"/>
    <n v="425"/>
    <n v="51"/>
    <n v="141"/>
    <n v="87"/>
    <n v="25"/>
    <n v="22"/>
    <n v="53"/>
    <n v="1.64"/>
  </r>
  <r>
    <x v="3"/>
    <x v="0"/>
    <x v="8"/>
    <n v="85"/>
    <x v="17"/>
    <s v="Spiridaus/Oladipas"/>
    <n v="1"/>
    <n v="8"/>
    <n v="5"/>
    <n v="0"/>
    <x v="24"/>
    <s v="vs Tolios"/>
    <n v="155"/>
    <n v="0.45500000000000002"/>
    <n v="47"/>
    <n v="0.33600000000000002"/>
    <n v="0.79800000000000004"/>
    <n v="424"/>
    <n v="53"/>
    <n v="144"/>
    <n v="97"/>
    <n v="19"/>
    <n v="25"/>
    <n v="48"/>
    <n v="2.02"/>
  </r>
  <r>
    <x v="3"/>
    <x v="0"/>
    <x v="8"/>
    <n v="86"/>
    <x v="18"/>
    <s v="Kotakis"/>
    <n v="0"/>
    <n v="6"/>
    <n v="7"/>
    <n v="0"/>
    <x v="2"/>
    <s v="vs Sakellariou"/>
    <n v="117"/>
    <n v="0.46100000000000002"/>
    <n v="46"/>
    <n v="0.39300000000000002"/>
    <n v="0.71399999999999997"/>
    <n v="310"/>
    <n v="20"/>
    <n v="56"/>
    <n v="51"/>
    <n v="34"/>
    <n v="16"/>
    <n v="24"/>
    <n v="2.13"/>
  </r>
  <r>
    <x v="3"/>
    <x v="0"/>
    <x v="8"/>
    <n v="86"/>
    <x v="3"/>
    <s v="Sakellariou"/>
    <n v="1"/>
    <n v="7"/>
    <n v="6"/>
    <n v="0"/>
    <x v="19"/>
    <s v="vs Kotakis"/>
    <n v="125"/>
    <n v="0.434"/>
    <n v="41"/>
    <n v="0.35699999999999998"/>
    <n v="0.75"/>
    <n v="342"/>
    <n v="31"/>
    <n v="104"/>
    <n v="65"/>
    <n v="24"/>
    <n v="8"/>
    <n v="28"/>
    <n v="2.3199999999999998"/>
  </r>
  <r>
    <x v="3"/>
    <x v="0"/>
    <x v="8"/>
    <n v="87"/>
    <x v="13"/>
    <s v="Kousidis"/>
    <n v="1"/>
    <n v="9"/>
    <n v="4"/>
    <n v="0"/>
    <x v="13"/>
    <s v="vs Stavros"/>
    <n v="145"/>
    <n v="0.53700000000000003"/>
    <n v="46"/>
    <n v="0.5"/>
    <n v="0.754"/>
    <n v="379"/>
    <n v="31"/>
    <n v="106"/>
    <n v="73"/>
    <n v="28"/>
    <n v="8"/>
    <n v="35"/>
    <n v="2.09"/>
  </r>
  <r>
    <x v="3"/>
    <x v="0"/>
    <x v="8"/>
    <n v="87"/>
    <x v="12"/>
    <s v="Stavros"/>
    <n v="0"/>
    <n v="4"/>
    <n v="9"/>
    <n v="0"/>
    <x v="12"/>
    <s v="vs Kousidis"/>
    <n v="133"/>
    <n v="0.47199999999999998"/>
    <n v="25"/>
    <n v="0.313"/>
    <n v="0.73"/>
    <n v="345"/>
    <n v="48"/>
    <n v="120"/>
    <n v="74"/>
    <n v="23"/>
    <n v="24"/>
    <n v="41"/>
    <n v="1.8"/>
  </r>
  <r>
    <x v="3"/>
    <x v="0"/>
    <x v="8"/>
    <n v="88"/>
    <x v="6"/>
    <s v="Tassos"/>
    <n v="1"/>
    <n v="7"/>
    <n v="6"/>
    <n v="0"/>
    <x v="0"/>
    <s v="vs Fanis"/>
    <n v="159"/>
    <n v="0.41299999999999998"/>
    <n v="34"/>
    <n v="0.312"/>
    <n v="0.752"/>
    <n v="455"/>
    <n v="40"/>
    <n v="123"/>
    <n v="126"/>
    <n v="26"/>
    <n v="14"/>
    <n v="60"/>
    <n v="2.1"/>
  </r>
  <r>
    <x v="3"/>
    <x v="0"/>
    <x v="8"/>
    <n v="88"/>
    <x v="1"/>
    <s v="Fanis"/>
    <n v="0"/>
    <n v="6"/>
    <n v="7"/>
    <n v="0"/>
    <x v="7"/>
    <s v="vs Tassos"/>
    <n v="111"/>
    <n v="0.5"/>
    <n v="44"/>
    <n v="0.44400000000000001"/>
    <n v="0.88200000000000001"/>
    <n v="311"/>
    <n v="28"/>
    <n v="97"/>
    <n v="81"/>
    <n v="25"/>
    <n v="37"/>
    <n v="40"/>
    <n v="2.02"/>
  </r>
  <r>
    <x v="3"/>
    <x v="0"/>
    <x v="8"/>
    <n v="89"/>
    <x v="20"/>
    <s v="Guru"/>
    <n v="1"/>
    <n v="8"/>
    <n v="3"/>
    <n v="2"/>
    <x v="8"/>
    <s v="vs Ziogas/Christof"/>
    <n v="176"/>
    <n v="0.46"/>
    <n v="65"/>
    <n v="0.41899999999999998"/>
    <n v="0.85899999999999999"/>
    <n v="478"/>
    <n v="36"/>
    <n v="138"/>
    <n v="125"/>
    <n v="28"/>
    <n v="14"/>
    <n v="51"/>
    <n v="2.4500000000000002"/>
  </r>
  <r>
    <x v="3"/>
    <x v="0"/>
    <x v="8"/>
    <n v="89"/>
    <x v="9"/>
    <s v="Ziogas/Christof"/>
    <n v="0"/>
    <n v="3"/>
    <n v="8"/>
    <n v="2"/>
    <x v="20"/>
    <s v="vs Panos"/>
    <n v="166"/>
    <n v="0.50800000000000001"/>
    <n v="49"/>
    <n v="0.39500000000000002"/>
    <n v="0.76700000000000002"/>
    <n v="427"/>
    <n v="36"/>
    <n v="184"/>
    <n v="112"/>
    <n v="28"/>
    <n v="20"/>
    <n v="58"/>
    <n v="1.93"/>
  </r>
  <r>
    <x v="3"/>
    <x v="0"/>
    <x v="8"/>
    <n v="90"/>
    <x v="23"/>
    <s v="Sarantos"/>
    <n v="0"/>
    <n v="5"/>
    <n v="7"/>
    <n v="1"/>
    <x v="14"/>
    <s v="vs Vasilis"/>
    <n v="147"/>
    <n v="0.48499999999999999"/>
    <n v="34"/>
    <n v="0.34300000000000003"/>
    <n v="0.70099999999999996"/>
    <n v="382"/>
    <n v="41"/>
    <n v="123"/>
    <n v="89"/>
    <n v="23"/>
    <n v="17"/>
    <n v="50"/>
    <n v="1.78"/>
  </r>
  <r>
    <x v="3"/>
    <x v="0"/>
    <x v="8"/>
    <n v="90"/>
    <x v="15"/>
    <s v="Vasilis"/>
    <n v="1"/>
    <n v="7"/>
    <n v="5"/>
    <n v="1"/>
    <x v="23"/>
    <s v="vs Sarantos"/>
    <n v="174"/>
    <n v="0.52900000000000003"/>
    <n v="43"/>
    <n v="0.377"/>
    <n v="0.83099999999999996"/>
    <n v="494"/>
    <n v="28"/>
    <n v="75"/>
    <n v="73"/>
    <n v="23"/>
    <n v="12"/>
    <n v="47"/>
    <n v="1.55"/>
  </r>
  <r>
    <x v="3"/>
    <x v="0"/>
    <x v="9"/>
    <n v="91"/>
    <x v="11"/>
    <s v="pi/Sotiris"/>
    <n v="0"/>
    <n v="4"/>
    <n v="9"/>
    <n v="0"/>
    <x v="17"/>
    <s v="vs Aris"/>
    <n v="183"/>
    <n v="0.49099999999999999"/>
    <n v="55"/>
    <n v="0.40699999999999997"/>
    <n v="0.81100000000000005"/>
    <n v="494"/>
    <n v="42"/>
    <n v="140"/>
    <n v="88"/>
    <n v="26"/>
    <n v="23"/>
    <n v="58"/>
    <n v="1.52"/>
  </r>
  <r>
    <x v="3"/>
    <x v="0"/>
    <x v="9"/>
    <n v="91"/>
    <x v="16"/>
    <s v="Aris"/>
    <n v="1"/>
    <n v="9"/>
    <n v="4"/>
    <n v="0"/>
    <x v="10"/>
    <s v="vs pi/Sotiris"/>
    <n v="194"/>
    <n v="0.49399999999999999"/>
    <n v="73"/>
    <n v="0.39500000000000002"/>
    <n v="0.85899999999999999"/>
    <n v="546"/>
    <n v="31"/>
    <n v="148"/>
    <n v="132"/>
    <n v="25"/>
    <n v="14"/>
    <n v="55"/>
    <n v="2.4"/>
  </r>
  <r>
    <x v="3"/>
    <x v="0"/>
    <x v="9"/>
    <n v="92"/>
    <x v="5"/>
    <s v="Markos"/>
    <n v="1"/>
    <n v="11"/>
    <n v="2"/>
    <n v="0"/>
    <x v="1"/>
    <s v="vs Miggianis"/>
    <n v="145"/>
    <n v="0.52900000000000003"/>
    <n v="46"/>
    <n v="0.44700000000000001"/>
    <n v="0.77500000000000002"/>
    <n v="391"/>
    <n v="31"/>
    <n v="130"/>
    <n v="104"/>
    <n v="40"/>
    <n v="20"/>
    <n v="66"/>
    <n v="1.58"/>
  </r>
  <r>
    <x v="3"/>
    <x v="0"/>
    <x v="9"/>
    <n v="92"/>
    <x v="0"/>
    <s v="Miggianis"/>
    <n v="0"/>
    <n v="2"/>
    <n v="11"/>
    <n v="0"/>
    <x v="4"/>
    <s v="vs Markos"/>
    <n v="106"/>
    <n v="0.47299999999999998"/>
    <n v="27"/>
    <n v="0.314"/>
    <n v="0.69599999999999995"/>
    <n v="271"/>
    <n v="17"/>
    <n v="108"/>
    <n v="65"/>
    <n v="30"/>
    <n v="15"/>
    <n v="37"/>
    <n v="1.76"/>
  </r>
  <r>
    <x v="3"/>
    <x v="0"/>
    <x v="9"/>
    <n v="93"/>
    <x v="19"/>
    <s v="Nonis"/>
    <n v="1"/>
    <n v="10"/>
    <n v="3"/>
    <n v="0"/>
    <x v="3"/>
    <s v="vs Fountos"/>
    <n v="265"/>
    <n v="0.45300000000000001"/>
    <n v="66"/>
    <n v="0.36699999999999999"/>
    <n v="0.82"/>
    <n v="765"/>
    <n v="42"/>
    <n v="172"/>
    <n v="176"/>
    <n v="36"/>
    <n v="19"/>
    <n v="91"/>
    <n v="1.93"/>
  </r>
  <r>
    <x v="3"/>
    <x v="0"/>
    <x v="9"/>
    <n v="93"/>
    <x v="2"/>
    <s v="Fountos"/>
    <n v="0"/>
    <n v="3"/>
    <n v="10"/>
    <n v="0"/>
    <x v="18"/>
    <s v="vs Nonis"/>
    <n v="183"/>
    <n v="0.47699999999999998"/>
    <n v="44"/>
    <n v="0.34599999999999997"/>
    <n v="0.86199999999999999"/>
    <n v="491"/>
    <n v="28"/>
    <n v="121"/>
    <n v="87"/>
    <n v="24"/>
    <n v="13"/>
    <n v="45"/>
    <n v="1.93"/>
  </r>
  <r>
    <x v="3"/>
    <x v="0"/>
    <x v="9"/>
    <n v="94"/>
    <x v="7"/>
    <s v="Johnny"/>
    <n v="1"/>
    <n v="11"/>
    <n v="2"/>
    <n v="0"/>
    <x v="16"/>
    <s v="vs Spiridaus/Oladipas"/>
    <n v="243"/>
    <n v="0.5"/>
    <n v="62"/>
    <n v="0.40799999999999997"/>
    <n v="0.69099999999999995"/>
    <n v="615"/>
    <n v="54"/>
    <n v="188"/>
    <n v="129"/>
    <n v="34"/>
    <n v="26"/>
    <n v="51"/>
    <n v="2.5299999999999998"/>
  </r>
  <r>
    <x v="3"/>
    <x v="0"/>
    <x v="9"/>
    <n v="94"/>
    <x v="17"/>
    <s v="Spiridaus/Oladipas"/>
    <n v="0"/>
    <n v="2"/>
    <n v="11"/>
    <n v="0"/>
    <x v="6"/>
    <s v="vs Johnny"/>
    <n v="147"/>
    <n v="0.495"/>
    <n v="42"/>
    <n v="0.372"/>
    <n v="0.79500000000000004"/>
    <n v="394"/>
    <n v="33"/>
    <n v="125"/>
    <n v="78"/>
    <n v="25"/>
    <n v="12"/>
    <n v="32"/>
    <n v="2.44"/>
  </r>
  <r>
    <x v="3"/>
    <x v="0"/>
    <x v="9"/>
    <n v="95"/>
    <x v="21"/>
    <s v="Tzokos"/>
    <n v="1"/>
    <n v="8"/>
    <n v="5"/>
    <n v="0"/>
    <x v="24"/>
    <s v="vs Tolios"/>
    <n v="186"/>
    <n v="0.495"/>
    <n v="44"/>
    <n v="0.33300000000000002"/>
    <n v="0.77300000000000002"/>
    <n v="518"/>
    <n v="42"/>
    <n v="131"/>
    <n v="99"/>
    <n v="32"/>
    <n v="25"/>
    <n v="64"/>
    <n v="1.55"/>
  </r>
  <r>
    <x v="3"/>
    <x v="0"/>
    <x v="9"/>
    <n v="95"/>
    <x v="24"/>
    <s v="Tolios"/>
    <n v="0"/>
    <n v="5"/>
    <n v="8"/>
    <n v="0"/>
    <x v="21"/>
    <s v="vs Tzokos"/>
    <n v="128"/>
    <n v="0.44900000000000001"/>
    <n v="43"/>
    <n v="0.374"/>
    <n v="0.78700000000000003"/>
    <n v="347"/>
    <n v="46"/>
    <n v="153"/>
    <n v="70"/>
    <n v="19"/>
    <n v="21"/>
    <n v="56"/>
    <n v="1.25"/>
  </r>
  <r>
    <x v="3"/>
    <x v="0"/>
    <x v="9"/>
    <n v="96"/>
    <x v="3"/>
    <s v="Sakellariou"/>
    <n v="1"/>
    <n v="8"/>
    <n v="4"/>
    <n v="1"/>
    <x v="12"/>
    <s v="vs Kousidis"/>
    <n v="125"/>
    <n v="0.443"/>
    <n v="40"/>
    <n v="0.35699999999999998"/>
    <n v="0.85499999999999998"/>
    <n v="349"/>
    <n v="45"/>
    <n v="129"/>
    <n v="62"/>
    <n v="29"/>
    <n v="6"/>
    <n v="39"/>
    <n v="1.59"/>
  </r>
  <r>
    <x v="3"/>
    <x v="0"/>
    <x v="9"/>
    <n v="96"/>
    <x v="13"/>
    <s v="Kousidis"/>
    <n v="0"/>
    <n v="4"/>
    <n v="8"/>
    <n v="1"/>
    <x v="2"/>
    <s v="vs Sakellariou"/>
    <n v="110"/>
    <n v="0.45500000000000002"/>
    <n v="35"/>
    <n v="0.35699999999999998"/>
    <n v="0.73499999999999999"/>
    <n v="291"/>
    <n v="24"/>
    <n v="115"/>
    <n v="60"/>
    <n v="17"/>
    <n v="16"/>
    <n v="35"/>
    <n v="1.71"/>
  </r>
  <r>
    <x v="3"/>
    <x v="0"/>
    <x v="9"/>
    <n v="97"/>
    <x v="1"/>
    <s v="Fanis"/>
    <n v="1"/>
    <n v="10"/>
    <n v="3"/>
    <n v="0"/>
    <x v="19"/>
    <s v="vs Kotakis"/>
    <n v="185"/>
    <n v="0.45500000000000002"/>
    <n v="58"/>
    <n v="0.36"/>
    <n v="0.76800000000000002"/>
    <n v="504"/>
    <n v="37"/>
    <n v="164"/>
    <n v="147"/>
    <n v="37"/>
    <n v="37"/>
    <n v="77"/>
    <n v="1.91"/>
  </r>
  <r>
    <x v="3"/>
    <x v="0"/>
    <x v="9"/>
    <n v="97"/>
    <x v="18"/>
    <s v="Kotakis"/>
    <n v="0"/>
    <n v="3"/>
    <n v="10"/>
    <n v="0"/>
    <x v="0"/>
    <s v="vs Fanis"/>
    <n v="127"/>
    <n v="0.46"/>
    <n v="41"/>
    <n v="0.34499999999999997"/>
    <n v="0.87"/>
    <n v="335"/>
    <n v="22"/>
    <n v="76"/>
    <n v="47"/>
    <n v="24"/>
    <n v="15"/>
    <n v="28"/>
    <n v="1.68"/>
  </r>
  <r>
    <x v="3"/>
    <x v="0"/>
    <x v="9"/>
    <n v="98"/>
    <x v="12"/>
    <s v="Stavros"/>
    <n v="0"/>
    <n v="4"/>
    <n v="9"/>
    <n v="0"/>
    <x v="20"/>
    <s v="vs Panos"/>
    <n v="170"/>
    <n v="0.47099999999999997"/>
    <n v="34"/>
    <n v="0.318"/>
    <n v="0.73899999999999999"/>
    <n v="425"/>
    <n v="43"/>
    <n v="122"/>
    <n v="127"/>
    <n v="30"/>
    <n v="20"/>
    <n v="54"/>
    <n v="2.35"/>
  </r>
  <r>
    <x v="3"/>
    <x v="0"/>
    <x v="9"/>
    <n v="98"/>
    <x v="20"/>
    <s v="Guru"/>
    <n v="1"/>
    <n v="9"/>
    <n v="4"/>
    <n v="0"/>
    <x v="13"/>
    <s v="vs Stavros"/>
    <n v="180"/>
    <n v="0.51700000000000002"/>
    <n v="62"/>
    <n v="0.40300000000000002"/>
    <n v="0.89400000000000002"/>
    <n v="506"/>
    <n v="32"/>
    <n v="135"/>
    <n v="91"/>
    <n v="22"/>
    <n v="21"/>
    <n v="43"/>
    <n v="2.12"/>
  </r>
  <r>
    <x v="3"/>
    <x v="0"/>
    <x v="9"/>
    <n v="99"/>
    <x v="6"/>
    <s v="Tassos"/>
    <n v="0"/>
    <n v="4"/>
    <n v="6"/>
    <n v="3"/>
    <x v="14"/>
    <s v="vs Vasilis"/>
    <n v="199"/>
    <n v="0.50800000000000001"/>
    <n v="58"/>
    <n v="0.41399999999999998"/>
    <n v="0.74199999999999999"/>
    <n v="548"/>
    <n v="38"/>
    <n v="140"/>
    <n v="103"/>
    <n v="27"/>
    <n v="18"/>
    <n v="66"/>
    <n v="1.56"/>
  </r>
  <r>
    <x v="3"/>
    <x v="0"/>
    <x v="9"/>
    <n v="99"/>
    <x v="15"/>
    <s v="Vasilis"/>
    <n v="1"/>
    <n v="6"/>
    <n v="4"/>
    <n v="3"/>
    <x v="7"/>
    <s v="vs Tassos"/>
    <n v="204"/>
    <n v="0.45900000000000002"/>
    <n v="58"/>
    <n v="0.33100000000000002"/>
    <n v="0.77"/>
    <n v="563"/>
    <n v="38"/>
    <n v="140"/>
    <n v="125"/>
    <n v="19"/>
    <n v="17"/>
    <n v="65"/>
    <n v="1.92"/>
  </r>
  <r>
    <x v="3"/>
    <x v="0"/>
    <x v="9"/>
    <n v="100"/>
    <x v="9"/>
    <s v="Ziogas/Christof"/>
    <n v="1"/>
    <n v="10"/>
    <n v="3"/>
    <n v="0"/>
    <x v="23"/>
    <s v="vs Sarantos"/>
    <n v="184"/>
    <n v="0.48799999999999999"/>
    <n v="48"/>
    <n v="0.316"/>
    <n v="0.71699999999999997"/>
    <n v="482"/>
    <n v="36"/>
    <n v="203"/>
    <n v="160"/>
    <n v="40"/>
    <n v="33"/>
    <n v="72"/>
    <n v="2.2200000000000002"/>
  </r>
  <r>
    <x v="3"/>
    <x v="0"/>
    <x v="9"/>
    <n v="100"/>
    <x v="23"/>
    <s v="Sarantos"/>
    <n v="0"/>
    <n v="3"/>
    <n v="10"/>
    <n v="0"/>
    <x v="8"/>
    <s v="vs Ziogas/Christof"/>
    <n v="149"/>
    <n v="0.432"/>
    <n v="37"/>
    <n v="0.308"/>
    <n v="0.76200000000000001"/>
    <n v="415"/>
    <n v="47"/>
    <n v="125"/>
    <n v="86"/>
    <n v="35"/>
    <n v="22"/>
    <n v="55"/>
    <n v="1.56"/>
  </r>
  <r>
    <x v="3"/>
    <x v="0"/>
    <x v="10"/>
    <n v="101"/>
    <x v="5"/>
    <s v="Markos"/>
    <n v="0"/>
    <n v="6"/>
    <n v="6"/>
    <n v="1"/>
    <x v="17"/>
    <s v="vs Aris"/>
    <n v="179"/>
    <n v="0.5"/>
    <n v="48"/>
    <n v="0.375"/>
    <n v="0.73299999999999998"/>
    <n v="472"/>
    <n v="44"/>
    <n v="165"/>
    <n v="119"/>
    <n v="39"/>
    <n v="28"/>
    <n v="73"/>
    <n v="1.63"/>
  </r>
  <r>
    <x v="3"/>
    <x v="0"/>
    <x v="10"/>
    <n v="101"/>
    <x v="16"/>
    <s v="Aris"/>
    <n v="0"/>
    <n v="6"/>
    <n v="6"/>
    <n v="1"/>
    <x v="4"/>
    <s v="vs Markos"/>
    <n v="207"/>
    <n v="0.46899999999999997"/>
    <n v="67"/>
    <n v="0.36599999999999999"/>
    <n v="0.77500000000000002"/>
    <n v="543"/>
    <n v="38"/>
    <n v="165"/>
    <n v="114"/>
    <n v="32"/>
    <n v="8"/>
    <n v="66"/>
    <n v="1.73"/>
  </r>
  <r>
    <x v="3"/>
    <x v="0"/>
    <x v="10"/>
    <n v="102"/>
    <x v="2"/>
    <s v="Fountos"/>
    <n v="1"/>
    <n v="8"/>
    <n v="5"/>
    <n v="0"/>
    <x v="10"/>
    <s v="vs pi/Sotiris"/>
    <n v="322"/>
    <n v="0.47399999999999998"/>
    <n v="81"/>
    <n v="0.373"/>
    <n v="0.84"/>
    <n v="882"/>
    <n v="59"/>
    <n v="168"/>
    <n v="189"/>
    <n v="57"/>
    <n v="26"/>
    <n v="93"/>
    <n v="2.0299999999999998"/>
  </r>
  <r>
    <x v="3"/>
    <x v="0"/>
    <x v="10"/>
    <n v="102"/>
    <x v="11"/>
    <s v="pi/Sotiris"/>
    <n v="0"/>
    <n v="5"/>
    <n v="8"/>
    <n v="0"/>
    <x v="3"/>
    <s v="vs Fountos"/>
    <n v="250"/>
    <n v="0.47699999999999998"/>
    <n v="79"/>
    <n v="0.39300000000000002"/>
    <n v="0.78400000000000003"/>
    <n v="659"/>
    <n v="44"/>
    <n v="200"/>
    <n v="143"/>
    <n v="33"/>
    <n v="21"/>
    <n v="63"/>
    <n v="2.27"/>
  </r>
  <r>
    <x v="3"/>
    <x v="0"/>
    <x v="10"/>
    <n v="103"/>
    <x v="0"/>
    <s v="Miggianis"/>
    <n v="1"/>
    <n v="7"/>
    <n v="6"/>
    <n v="0"/>
    <x v="16"/>
    <s v="vs Spiridaus/Oladipas"/>
    <n v="129"/>
    <n v="0.45400000000000001"/>
    <n v="35"/>
    <n v="0.315"/>
    <n v="0.83099999999999996"/>
    <n v="342"/>
    <n v="21"/>
    <n v="125"/>
    <n v="75"/>
    <n v="26"/>
    <n v="15"/>
    <n v="37"/>
    <n v="2.0299999999999998"/>
  </r>
  <r>
    <x v="3"/>
    <x v="0"/>
    <x v="10"/>
    <n v="103"/>
    <x v="17"/>
    <s v="Spiridaus/Oladipas"/>
    <n v="0"/>
    <n v="6"/>
    <n v="7"/>
    <n v="0"/>
    <x v="1"/>
    <s v="vs Miggianis"/>
    <n v="158"/>
    <n v="0.432"/>
    <n v="32"/>
    <n v="0.246"/>
    <n v="0.78400000000000003"/>
    <n v="424"/>
    <n v="42"/>
    <n v="182"/>
    <n v="109"/>
    <n v="25"/>
    <n v="18"/>
    <n v="75"/>
    <n v="1.45"/>
  </r>
  <r>
    <x v="3"/>
    <x v="0"/>
    <x v="10"/>
    <n v="104"/>
    <x v="24"/>
    <s v="Tolios"/>
    <n v="0"/>
    <n v="5"/>
    <n v="8"/>
    <n v="0"/>
    <x v="18"/>
    <s v="vs Nonis"/>
    <n v="213"/>
    <n v="0.48899999999999999"/>
    <n v="49"/>
    <n v="0.34499999999999997"/>
    <n v="0.75"/>
    <n v="571"/>
    <n v="71"/>
    <n v="218"/>
    <n v="128"/>
    <n v="38"/>
    <n v="40"/>
    <n v="70"/>
    <n v="1.83"/>
  </r>
  <r>
    <x v="3"/>
    <x v="0"/>
    <x v="10"/>
    <n v="104"/>
    <x v="19"/>
    <s v="Nonis"/>
    <n v="1"/>
    <n v="8"/>
    <n v="5"/>
    <n v="0"/>
    <x v="24"/>
    <s v="vs Tolios"/>
    <n v="279"/>
    <n v="0.48899999999999999"/>
    <n v="55"/>
    <n v="0.35499999999999998"/>
    <n v="0.81399999999999995"/>
    <n v="788"/>
    <n v="30"/>
    <n v="201"/>
    <n v="202"/>
    <n v="30"/>
    <n v="19"/>
    <n v="106"/>
    <n v="1.91"/>
  </r>
  <r>
    <x v="3"/>
    <x v="0"/>
    <x v="10"/>
    <n v="105"/>
    <x v="7"/>
    <s v="Johnny"/>
    <n v="1"/>
    <n v="10"/>
    <n v="3"/>
    <n v="0"/>
    <x v="21"/>
    <s v="vs Tzokos"/>
    <n v="323"/>
    <n v="0.498"/>
    <n v="68"/>
    <n v="0.34200000000000003"/>
    <n v="0.69899999999999995"/>
    <n v="814"/>
    <n v="75"/>
    <n v="245"/>
    <n v="209"/>
    <n v="45"/>
    <n v="29"/>
    <n v="99"/>
    <n v="2.11"/>
  </r>
  <r>
    <x v="3"/>
    <x v="0"/>
    <x v="10"/>
    <n v="105"/>
    <x v="21"/>
    <s v="Tzokos"/>
    <n v="0"/>
    <n v="3"/>
    <n v="10"/>
    <n v="0"/>
    <x v="6"/>
    <s v="vs Johnny"/>
    <n v="212"/>
    <n v="0.49299999999999999"/>
    <n v="61"/>
    <n v="0.372"/>
    <n v="0.78400000000000003"/>
    <n v="572"/>
    <n v="44"/>
    <n v="131"/>
    <n v="108"/>
    <n v="42"/>
    <n v="15"/>
    <n v="52"/>
    <n v="2.08"/>
  </r>
  <r>
    <x v="3"/>
    <x v="0"/>
    <x v="10"/>
    <n v="106"/>
    <x v="1"/>
    <s v="Fanis"/>
    <n v="1"/>
    <n v="7"/>
    <n v="5"/>
    <n v="1"/>
    <x v="2"/>
    <s v="vs Sakellariou"/>
    <n v="183"/>
    <n v="0.49099999999999999"/>
    <n v="72"/>
    <n v="0.42899999999999999"/>
    <n v="0.81599999999999995"/>
    <n v="531"/>
    <n v="60"/>
    <n v="177"/>
    <n v="140"/>
    <n v="37"/>
    <n v="39"/>
    <n v="83"/>
    <n v="1.69"/>
  </r>
  <r>
    <x v="3"/>
    <x v="0"/>
    <x v="10"/>
    <n v="106"/>
    <x v="3"/>
    <s v="Sakellariou"/>
    <n v="0"/>
    <n v="5"/>
    <n v="7"/>
    <n v="1"/>
    <x v="0"/>
    <s v="vs Fanis"/>
    <n v="197"/>
    <n v="0.45700000000000002"/>
    <n v="59"/>
    <n v="0.36399999999999999"/>
    <n v="0.78100000000000003"/>
    <n v="528"/>
    <n v="62"/>
    <n v="184"/>
    <n v="95"/>
    <n v="37"/>
    <n v="14"/>
    <n v="54"/>
    <n v="1.76"/>
  </r>
  <r>
    <x v="3"/>
    <x v="0"/>
    <x v="10"/>
    <n v="107"/>
    <x v="20"/>
    <s v="Guru"/>
    <n v="1"/>
    <n v="8"/>
    <n v="5"/>
    <n v="0"/>
    <x v="12"/>
    <s v="vs Kousidis"/>
    <n v="257"/>
    <n v="0.48499999999999999"/>
    <n v="88"/>
    <n v="0.378"/>
    <n v="0.82099999999999995"/>
    <n v="735"/>
    <n v="42"/>
    <n v="160"/>
    <n v="145"/>
    <n v="47"/>
    <n v="26"/>
    <n v="73"/>
    <n v="1.99"/>
  </r>
  <r>
    <x v="3"/>
    <x v="0"/>
    <x v="10"/>
    <n v="107"/>
    <x v="13"/>
    <s v="Kousidis"/>
    <n v="0"/>
    <n v="5"/>
    <n v="8"/>
    <n v="0"/>
    <x v="20"/>
    <s v="vs Panos"/>
    <n v="167"/>
    <n v="0.52800000000000002"/>
    <n v="42"/>
    <n v="0.40400000000000003"/>
    <n v="0.68700000000000006"/>
    <n v="422"/>
    <n v="49"/>
    <n v="121"/>
    <n v="81"/>
    <n v="21"/>
    <n v="21"/>
    <n v="40"/>
    <n v="2.02"/>
  </r>
  <r>
    <x v="3"/>
    <x v="0"/>
    <x v="10"/>
    <n v="108"/>
    <x v="18"/>
    <s v="Kotakis"/>
    <n v="0"/>
    <n v="5"/>
    <n v="8"/>
    <n v="0"/>
    <x v="14"/>
    <s v="vs Vasilis"/>
    <n v="143"/>
    <n v="0.433"/>
    <n v="52"/>
    <n v="0.371"/>
    <n v="0.78"/>
    <n v="384"/>
    <n v="40"/>
    <n v="83"/>
    <n v="77"/>
    <n v="54"/>
    <n v="14"/>
    <n v="37"/>
    <n v="2.08"/>
  </r>
  <r>
    <x v="3"/>
    <x v="0"/>
    <x v="10"/>
    <n v="108"/>
    <x v="15"/>
    <s v="Vasilis"/>
    <n v="1"/>
    <n v="8"/>
    <n v="5"/>
    <n v="0"/>
    <x v="19"/>
    <s v="vs Kotakis"/>
    <n v="201"/>
    <n v="0.45400000000000001"/>
    <n v="53"/>
    <n v="0.32900000000000001"/>
    <n v="0.78600000000000003"/>
    <n v="569"/>
    <n v="54"/>
    <n v="106"/>
    <n v="132"/>
    <n v="29"/>
    <n v="13"/>
    <n v="81"/>
    <n v="1.63"/>
  </r>
  <r>
    <x v="3"/>
    <x v="0"/>
    <x v="10"/>
    <n v="109"/>
    <x v="23"/>
    <s v="Sarantos"/>
    <n v="1"/>
    <n v="9"/>
    <n v="4"/>
    <n v="0"/>
    <x v="13"/>
    <s v="vs Stavros"/>
    <n v="215"/>
    <n v="0.502"/>
    <n v="59"/>
    <n v="0.38100000000000001"/>
    <n v="0.84"/>
    <n v="573"/>
    <n v="48"/>
    <n v="128"/>
    <n v="124"/>
    <n v="39"/>
    <n v="20"/>
    <n v="69"/>
    <n v="1.8"/>
  </r>
  <r>
    <x v="3"/>
    <x v="0"/>
    <x v="10"/>
    <n v="109"/>
    <x v="12"/>
    <s v="Stavros"/>
    <n v="0"/>
    <n v="4"/>
    <n v="9"/>
    <n v="0"/>
    <x v="23"/>
    <s v="vs Sarantos"/>
    <n v="196"/>
    <n v="0.497"/>
    <n v="53"/>
    <n v="0.39600000000000002"/>
    <n v="0.80900000000000005"/>
    <n v="517"/>
    <n v="40"/>
    <n v="154"/>
    <n v="101"/>
    <n v="30"/>
    <n v="21"/>
    <n v="63"/>
    <n v="1.6"/>
  </r>
  <r>
    <x v="3"/>
    <x v="0"/>
    <x v="10"/>
    <n v="110"/>
    <x v="9"/>
    <s v="Ziogas/Christof"/>
    <n v="1"/>
    <n v="7"/>
    <n v="6"/>
    <n v="0"/>
    <x v="7"/>
    <s v="vs Tassos"/>
    <n v="211"/>
    <n v="0.50800000000000001"/>
    <n v="64"/>
    <n v="0.41599999999999998"/>
    <n v="0.73299999999999998"/>
    <n v="571"/>
    <n v="42"/>
    <n v="172"/>
    <n v="150"/>
    <n v="43"/>
    <n v="24"/>
    <n v="58"/>
    <n v="2.59"/>
  </r>
  <r>
    <x v="3"/>
    <x v="0"/>
    <x v="10"/>
    <n v="110"/>
    <x v="6"/>
    <s v="Tassos"/>
    <n v="0"/>
    <n v="6"/>
    <n v="7"/>
    <n v="0"/>
    <x v="8"/>
    <s v="vs Ziogas/Christof"/>
    <n v="230"/>
    <n v="0.47299999999999998"/>
    <n v="68"/>
    <n v="0.37"/>
    <n v="0.78300000000000003"/>
    <n v="683"/>
    <n v="47"/>
    <n v="180"/>
    <n v="126"/>
    <n v="25"/>
    <n v="21"/>
    <n v="77"/>
    <n v="1.64"/>
  </r>
  <r>
    <x v="3"/>
    <x v="0"/>
    <x v="11"/>
    <n v="111"/>
    <x v="16"/>
    <s v="Aris"/>
    <n v="0"/>
    <n v="2"/>
    <n v="10"/>
    <n v="1"/>
    <x v="3"/>
    <s v="vs Fountos"/>
    <n v="118"/>
    <n v="0.42599999999999999"/>
    <n v="44"/>
    <n v="0.36699999999999999"/>
    <n v="0.78600000000000003"/>
    <n v="324"/>
    <n v="33"/>
    <n v="104"/>
    <n v="88"/>
    <n v="30"/>
    <n v="2"/>
    <n v="51"/>
    <n v="1.73"/>
  </r>
  <r>
    <x v="3"/>
    <x v="0"/>
    <x v="11"/>
    <n v="111"/>
    <x v="2"/>
    <s v="Fountos"/>
    <n v="1"/>
    <n v="10"/>
    <n v="2"/>
    <n v="1"/>
    <x v="17"/>
    <s v="vs Aris"/>
    <n v="237"/>
    <n v="0.48399999999999999"/>
    <n v="74"/>
    <n v="0.41799999999999998"/>
    <n v="0.83099999999999996"/>
    <n v="651"/>
    <n v="33"/>
    <n v="111"/>
    <n v="137"/>
    <n v="25"/>
    <n v="12"/>
    <n v="65"/>
    <n v="2.11"/>
  </r>
  <r>
    <x v="3"/>
    <x v="0"/>
    <x v="11"/>
    <n v="112"/>
    <x v="17"/>
    <s v="Spiridaus/Oladipas"/>
    <n v="1"/>
    <n v="7"/>
    <n v="6"/>
    <n v="0"/>
    <x v="4"/>
    <s v="vs Markos"/>
    <n v="172"/>
    <n v="0.47899999999999998"/>
    <n v="43"/>
    <n v="0.33600000000000002"/>
    <n v="0.79800000000000004"/>
    <n v="466"/>
    <n v="34"/>
    <n v="153"/>
    <n v="95"/>
    <n v="28"/>
    <n v="14"/>
    <n v="47"/>
    <n v="2.02"/>
  </r>
  <r>
    <x v="3"/>
    <x v="0"/>
    <x v="11"/>
    <n v="112"/>
    <x v="5"/>
    <s v="Markos"/>
    <n v="0"/>
    <n v="6"/>
    <n v="7"/>
    <n v="0"/>
    <x v="16"/>
    <s v="vs Spiridaus/Oladipas"/>
    <n v="165"/>
    <n v="0.495"/>
    <n v="48"/>
    <n v="0.42099999999999999"/>
    <n v="0.80300000000000005"/>
    <n v="435"/>
    <n v="56"/>
    <n v="121"/>
    <n v="90"/>
    <n v="27"/>
    <n v="27"/>
    <n v="71"/>
    <n v="1.27"/>
  </r>
  <r>
    <x v="3"/>
    <x v="0"/>
    <x v="11"/>
    <n v="113"/>
    <x v="11"/>
    <s v="pi/Sotiris"/>
    <n v="1"/>
    <n v="8"/>
    <n v="5"/>
    <n v="0"/>
    <x v="24"/>
    <s v="vs Tolios"/>
    <n v="243"/>
    <n v="0.48"/>
    <n v="87"/>
    <n v="0.41"/>
    <n v="0.88"/>
    <n v="654"/>
    <n v="43"/>
    <n v="177"/>
    <n v="94"/>
    <n v="38"/>
    <n v="25"/>
    <n v="66"/>
    <n v="1.42"/>
  </r>
  <r>
    <x v="3"/>
    <x v="0"/>
    <x v="11"/>
    <n v="113"/>
    <x v="24"/>
    <s v="Tolios"/>
    <n v="0"/>
    <n v="5"/>
    <n v="8"/>
    <n v="0"/>
    <x v="10"/>
    <s v="vs pi/Sotiris"/>
    <n v="165"/>
    <n v="0.46100000000000002"/>
    <n v="41"/>
    <n v="0.32300000000000001"/>
    <n v="0.80200000000000005"/>
    <n v="460"/>
    <n v="45"/>
    <n v="179"/>
    <n v="121"/>
    <n v="27"/>
    <n v="21"/>
    <n v="63"/>
    <n v="1.92"/>
  </r>
  <r>
    <x v="3"/>
    <x v="0"/>
    <x v="11"/>
    <n v="114"/>
    <x v="21"/>
    <s v="Tzokos"/>
    <n v="1"/>
    <n v="10"/>
    <n v="3"/>
    <n v="0"/>
    <x v="1"/>
    <s v="vs Miggianis"/>
    <n v="229"/>
    <n v="0.48599999999999999"/>
    <n v="71"/>
    <n v="0.372"/>
    <n v="0.752"/>
    <n v="614"/>
    <n v="46"/>
    <n v="155"/>
    <n v="117"/>
    <n v="38"/>
    <n v="19"/>
    <n v="57"/>
    <n v="2.0499999999999998"/>
  </r>
  <r>
    <x v="3"/>
    <x v="0"/>
    <x v="11"/>
    <n v="114"/>
    <x v="0"/>
    <s v="Miggianis"/>
    <n v="0"/>
    <n v="3"/>
    <n v="10"/>
    <n v="0"/>
    <x v="21"/>
    <s v="vs Tzokos"/>
    <n v="129"/>
    <n v="0.45300000000000001"/>
    <n v="38"/>
    <n v="0.311"/>
    <n v="0.81399999999999995"/>
    <n v="331"/>
    <n v="25"/>
    <n v="102"/>
    <n v="80"/>
    <n v="20"/>
    <n v="11"/>
    <n v="33"/>
    <n v="2.42"/>
  </r>
  <r>
    <x v="3"/>
    <x v="0"/>
    <x v="11"/>
    <n v="115"/>
    <x v="7"/>
    <s v="Johnny"/>
    <n v="1"/>
    <n v="11"/>
    <n v="2"/>
    <n v="0"/>
    <x v="18"/>
    <s v="vs Nonis"/>
    <n v="248"/>
    <n v="0.46600000000000003"/>
    <n v="69"/>
    <n v="0.41599999999999998"/>
    <n v="0.81499999999999995"/>
    <n v="662"/>
    <n v="53"/>
    <n v="220"/>
    <n v="187"/>
    <n v="46"/>
    <n v="19"/>
    <n v="79"/>
    <n v="2.37"/>
  </r>
  <r>
    <x v="3"/>
    <x v="0"/>
    <x v="11"/>
    <n v="115"/>
    <x v="19"/>
    <s v="Nonis"/>
    <n v="0"/>
    <n v="2"/>
    <n v="11"/>
    <n v="0"/>
    <x v="6"/>
    <s v="vs Johnny"/>
    <n v="190"/>
    <n v="0.48499999999999999"/>
    <n v="40"/>
    <n v="0.33300000000000002"/>
    <n v="0.80700000000000005"/>
    <n v="508"/>
    <n v="35"/>
    <n v="162"/>
    <n v="163"/>
    <n v="23"/>
    <n v="7"/>
    <n v="78"/>
    <n v="2.09"/>
  </r>
  <r>
    <x v="3"/>
    <x v="0"/>
    <x v="11"/>
    <n v="116"/>
    <x v="3"/>
    <s v="Sakellariou"/>
    <n v="0"/>
    <n v="2"/>
    <n v="10"/>
    <n v="1"/>
    <x v="20"/>
    <s v="vs Panos"/>
    <n v="154"/>
    <n v="0.45200000000000001"/>
    <n v="42"/>
    <n v="0.318"/>
    <n v="0.81699999999999995"/>
    <n v="439"/>
    <n v="35"/>
    <n v="127"/>
    <n v="68"/>
    <n v="35"/>
    <n v="15"/>
    <n v="49"/>
    <n v="1.39"/>
  </r>
  <r>
    <x v="3"/>
    <x v="0"/>
    <x v="11"/>
    <n v="116"/>
    <x v="20"/>
    <s v="Guru"/>
    <n v="1"/>
    <n v="10"/>
    <n v="2"/>
    <n v="1"/>
    <x v="2"/>
    <s v="vs Sakellariou"/>
    <n v="198"/>
    <n v="0.497"/>
    <n v="72"/>
    <n v="0.39300000000000002"/>
    <n v="0.89800000000000002"/>
    <n v="565"/>
    <n v="35"/>
    <n v="143"/>
    <n v="88"/>
    <n v="32"/>
    <n v="22"/>
    <n v="50"/>
    <n v="1.76"/>
  </r>
  <r>
    <x v="3"/>
    <x v="0"/>
    <x v="11"/>
    <n v="117"/>
    <x v="1"/>
    <s v="Fanis"/>
    <n v="1"/>
    <n v="10"/>
    <n v="3"/>
    <n v="0"/>
    <x v="14"/>
    <s v="vs Vasilis"/>
    <n v="203"/>
    <n v="0.49199999999999999"/>
    <n v="57"/>
    <n v="0.38500000000000001"/>
    <n v="0.78"/>
    <n v="534"/>
    <n v="30"/>
    <n v="160"/>
    <n v="134"/>
    <n v="45"/>
    <n v="34"/>
    <n v="77"/>
    <n v="1.74"/>
  </r>
  <r>
    <x v="3"/>
    <x v="0"/>
    <x v="11"/>
    <n v="117"/>
    <x v="15"/>
    <s v="Vasilis"/>
    <n v="0"/>
    <n v="3"/>
    <n v="10"/>
    <n v="0"/>
    <x v="0"/>
    <s v="vs Fanis"/>
    <n v="181"/>
    <n v="0.42599999999999999"/>
    <n v="58"/>
    <n v="0.36899999999999999"/>
    <n v="0.79500000000000004"/>
    <n v="513"/>
    <n v="37"/>
    <n v="133"/>
    <n v="131"/>
    <n v="29"/>
    <n v="21"/>
    <n v="83"/>
    <n v="1.58"/>
  </r>
  <r>
    <x v="3"/>
    <x v="0"/>
    <x v="11"/>
    <n v="118"/>
    <x v="23"/>
    <s v="Sarantos"/>
    <n v="1"/>
    <n v="7"/>
    <n v="6"/>
    <n v="0"/>
    <x v="12"/>
    <s v="vs Kousidis"/>
    <n v="163"/>
    <n v="0.495"/>
    <n v="50"/>
    <n v="0.39100000000000001"/>
    <n v="0.71399999999999997"/>
    <n v="446"/>
    <n v="36"/>
    <n v="97"/>
    <n v="93"/>
    <n v="40"/>
    <n v="13"/>
    <n v="44"/>
    <n v="2.11"/>
  </r>
  <r>
    <x v="3"/>
    <x v="0"/>
    <x v="11"/>
    <n v="118"/>
    <x v="13"/>
    <s v="Kousidis"/>
    <n v="0"/>
    <n v="6"/>
    <n v="7"/>
    <n v="0"/>
    <x v="23"/>
    <s v="vs Sarantos"/>
    <n v="137"/>
    <n v="0.47599999999999998"/>
    <n v="28"/>
    <n v="0.311"/>
    <n v="0.70299999999999996"/>
    <n v="347"/>
    <n v="42"/>
    <n v="135"/>
    <n v="98"/>
    <n v="26"/>
    <n v="16"/>
    <n v="40"/>
    <n v="2.4500000000000002"/>
  </r>
  <r>
    <x v="3"/>
    <x v="0"/>
    <x v="11"/>
    <n v="119"/>
    <x v="18"/>
    <s v="Kotakis"/>
    <n v="0"/>
    <n v="3"/>
    <n v="10"/>
    <n v="0"/>
    <x v="8"/>
    <s v="vs Ziogas/Christof"/>
    <n v="117"/>
    <n v="0.40200000000000002"/>
    <n v="43"/>
    <n v="0.30099999999999999"/>
    <n v="0.78600000000000003"/>
    <n v="321"/>
    <n v="20"/>
    <n v="96"/>
    <n v="66"/>
    <n v="30"/>
    <n v="21"/>
    <n v="34"/>
    <n v="1.94"/>
  </r>
  <r>
    <x v="3"/>
    <x v="0"/>
    <x v="11"/>
    <n v="119"/>
    <x v="9"/>
    <s v="Ziogas/Christof"/>
    <n v="1"/>
    <n v="10"/>
    <n v="3"/>
    <n v="0"/>
    <x v="19"/>
    <s v="vs Kotakis"/>
    <n v="156"/>
    <n v="0.51"/>
    <n v="55"/>
    <n v="0.39"/>
    <n v="0.72199999999999998"/>
    <n v="445"/>
    <n v="45"/>
    <n v="202"/>
    <n v="142"/>
    <n v="26"/>
    <n v="25"/>
    <n v="73"/>
    <n v="1.95"/>
  </r>
  <r>
    <x v="3"/>
    <x v="0"/>
    <x v="11"/>
    <n v="120"/>
    <x v="12"/>
    <s v="Stavros"/>
    <n v="1"/>
    <n v="11"/>
    <n v="2"/>
    <n v="0"/>
    <x v="7"/>
    <s v="vs Tassos"/>
    <n v="208"/>
    <n v="0.52800000000000002"/>
    <n v="58"/>
    <n v="0.43"/>
    <n v="0.81899999999999995"/>
    <n v="542"/>
    <n v="24"/>
    <n v="136"/>
    <n v="96"/>
    <n v="35"/>
    <n v="7"/>
    <n v="53"/>
    <n v="1.81"/>
  </r>
  <r>
    <x v="3"/>
    <x v="0"/>
    <x v="11"/>
    <n v="120"/>
    <x v="6"/>
    <s v="Tassos"/>
    <n v="0"/>
    <n v="2"/>
    <n v="11"/>
    <n v="0"/>
    <x v="13"/>
    <s v="vs Stavros"/>
    <n v="193"/>
    <n v="0.46"/>
    <n v="31"/>
    <n v="0.248"/>
    <n v="0.71099999999999997"/>
    <n v="498"/>
    <n v="36"/>
    <n v="121"/>
    <n v="92"/>
    <n v="25"/>
    <n v="20"/>
    <n v="66"/>
    <n v="1.39"/>
  </r>
  <r>
    <x v="3"/>
    <x v="0"/>
    <x v="12"/>
    <n v="121"/>
    <x v="17"/>
    <s v="Spiridaus/Oladipas"/>
    <n v="0"/>
    <n v="6"/>
    <n v="6"/>
    <n v="1"/>
    <x v="17"/>
    <s v="vs Aris"/>
    <n v="157"/>
    <n v="0.45200000000000001"/>
    <n v="47"/>
    <n v="0.34599999999999997"/>
    <n v="0.81599999999999995"/>
    <n v="445"/>
    <n v="39"/>
    <n v="160"/>
    <n v="88"/>
    <n v="22"/>
    <n v="18"/>
    <n v="46"/>
    <n v="1.91"/>
  </r>
  <r>
    <x v="3"/>
    <x v="0"/>
    <x v="12"/>
    <n v="121"/>
    <x v="16"/>
    <s v="Aris"/>
    <n v="0"/>
    <n v="6"/>
    <n v="6"/>
    <n v="1"/>
    <x v="16"/>
    <s v="vs Spiridaus/Oladipas"/>
    <n v="137"/>
    <n v="0.49299999999999999"/>
    <n v="47"/>
    <n v="0.41599999999999998"/>
    <n v="0.85699999999999998"/>
    <n v="363"/>
    <n v="20"/>
    <n v="114"/>
    <n v="85"/>
    <n v="35"/>
    <n v="13"/>
    <n v="34"/>
    <n v="2.5"/>
  </r>
  <r>
    <x v="3"/>
    <x v="0"/>
    <x v="12"/>
    <n v="122"/>
    <x v="24"/>
    <s v="Tolios"/>
    <n v="0"/>
    <n v="6"/>
    <n v="7"/>
    <n v="0"/>
    <x v="3"/>
    <s v="vs Fountos"/>
    <n v="158"/>
    <n v="0.44"/>
    <n v="39"/>
    <n v="0.34499999999999997"/>
    <n v="0.81499999999999995"/>
    <n v="452"/>
    <n v="69"/>
    <n v="171"/>
    <n v="123"/>
    <n v="32"/>
    <n v="19"/>
    <n v="67"/>
    <n v="1.84"/>
  </r>
  <r>
    <x v="3"/>
    <x v="0"/>
    <x v="12"/>
    <n v="122"/>
    <x v="2"/>
    <s v="Fountos"/>
    <n v="1"/>
    <n v="7"/>
    <n v="6"/>
    <n v="0"/>
    <x v="24"/>
    <s v="vs Tolios"/>
    <n v="200"/>
    <n v="0.47599999999999998"/>
    <n v="45"/>
    <n v="0.36899999999999999"/>
    <n v="0.79200000000000004"/>
    <n v="506"/>
    <n v="28"/>
    <n v="104"/>
    <n v="104"/>
    <n v="31"/>
    <n v="15"/>
    <n v="43"/>
    <n v="2.42"/>
  </r>
  <r>
    <x v="3"/>
    <x v="0"/>
    <x v="12"/>
    <n v="123"/>
    <x v="21"/>
    <s v="Tzokos"/>
    <n v="1"/>
    <n v="9"/>
    <n v="4"/>
    <n v="0"/>
    <x v="4"/>
    <s v="vs Markos"/>
    <n v="235"/>
    <n v="0.48099999999999998"/>
    <n v="86"/>
    <n v="0.38900000000000001"/>
    <n v="0.75700000000000001"/>
    <n v="659"/>
    <n v="36"/>
    <n v="151"/>
    <n v="110"/>
    <n v="29"/>
    <n v="19"/>
    <n v="73"/>
    <n v="1.51"/>
  </r>
  <r>
    <x v="3"/>
    <x v="0"/>
    <x v="12"/>
    <n v="123"/>
    <x v="5"/>
    <s v="Markos"/>
    <n v="0"/>
    <n v="4"/>
    <n v="9"/>
    <n v="0"/>
    <x v="21"/>
    <s v="vs Tzokos"/>
    <n v="150"/>
    <n v="0.435"/>
    <n v="41"/>
    <n v="0.32800000000000001"/>
    <n v="0.62"/>
    <n v="385"/>
    <n v="39"/>
    <n v="139"/>
    <n v="85"/>
    <n v="25"/>
    <n v="30"/>
    <n v="54"/>
    <n v="1.57"/>
  </r>
  <r>
    <x v="3"/>
    <x v="0"/>
    <x v="12"/>
    <n v="124"/>
    <x v="7"/>
    <s v="Johnny"/>
    <n v="1"/>
    <n v="8"/>
    <n v="5"/>
    <n v="0"/>
    <x v="10"/>
    <s v="vs pi/Sotiris"/>
    <n v="258"/>
    <n v="0.48599999999999999"/>
    <n v="58"/>
    <n v="0.35599999999999998"/>
    <n v="0.78700000000000003"/>
    <n v="648"/>
    <n v="59"/>
    <n v="203"/>
    <n v="157"/>
    <n v="32"/>
    <n v="27"/>
    <n v="76"/>
    <n v="2.0699999999999998"/>
  </r>
  <r>
    <x v="3"/>
    <x v="0"/>
    <x v="12"/>
    <n v="124"/>
    <x v="11"/>
    <s v="pi/Sotiris"/>
    <n v="0"/>
    <n v="5"/>
    <n v="8"/>
    <n v="0"/>
    <x v="6"/>
    <s v="vs Johnny"/>
    <n v="227"/>
    <n v="0.47699999999999998"/>
    <n v="68"/>
    <n v="0.38900000000000001"/>
    <n v="0.84199999999999997"/>
    <n v="586"/>
    <n v="45"/>
    <n v="168"/>
    <n v="103"/>
    <n v="21"/>
    <n v="25"/>
    <n v="48"/>
    <n v="2.15"/>
  </r>
  <r>
    <x v="3"/>
    <x v="0"/>
    <x v="12"/>
    <n v="125"/>
    <x v="19"/>
    <s v="Nonis"/>
    <n v="0"/>
    <n v="6"/>
    <n v="7"/>
    <n v="0"/>
    <x v="1"/>
    <s v="vs Miggianis"/>
    <n v="180"/>
    <n v="0.41399999999999998"/>
    <n v="46"/>
    <n v="0.309"/>
    <n v="0.81599999999999995"/>
    <n v="499"/>
    <n v="27"/>
    <n v="130"/>
    <n v="162"/>
    <n v="23"/>
    <n v="12"/>
    <n v="79"/>
    <n v="2.0499999999999998"/>
  </r>
  <r>
    <x v="3"/>
    <x v="0"/>
    <x v="12"/>
    <n v="125"/>
    <x v="0"/>
    <s v="Miggianis"/>
    <n v="1"/>
    <n v="7"/>
    <n v="6"/>
    <n v="0"/>
    <x v="18"/>
    <s v="vs Nonis"/>
    <n v="134"/>
    <n v="0.502"/>
    <n v="44"/>
    <n v="0.40699999999999997"/>
    <n v="0.73799999999999999"/>
    <n v="343"/>
    <n v="28"/>
    <n v="94"/>
    <n v="74"/>
    <n v="34"/>
    <n v="14"/>
    <n v="32"/>
    <n v="2.31"/>
  </r>
  <r>
    <x v="3"/>
    <x v="0"/>
    <x v="12"/>
    <n v="126"/>
    <x v="15"/>
    <s v="Vasilis"/>
    <n v="0"/>
    <n v="6"/>
    <n v="7"/>
    <n v="0"/>
    <x v="2"/>
    <s v="vs Sakellariou"/>
    <n v="205"/>
    <n v="0.44600000000000001"/>
    <n v="57"/>
    <n v="0.33900000000000002"/>
    <n v="0.754"/>
    <n v="571"/>
    <n v="38"/>
    <n v="161"/>
    <n v="137"/>
    <n v="32"/>
    <n v="25"/>
    <n v="71"/>
    <n v="1.93"/>
  </r>
  <r>
    <x v="3"/>
    <x v="0"/>
    <x v="12"/>
    <n v="126"/>
    <x v="3"/>
    <s v="Sakellariou"/>
    <n v="1"/>
    <n v="7"/>
    <n v="6"/>
    <n v="0"/>
    <x v="14"/>
    <s v="vs Vasilis"/>
    <n v="189"/>
    <n v="0.51200000000000001"/>
    <n v="58"/>
    <n v="0.433"/>
    <n v="0.81100000000000005"/>
    <n v="496"/>
    <n v="55"/>
    <n v="137"/>
    <n v="93"/>
    <n v="20"/>
    <n v="16"/>
    <n v="38"/>
    <n v="2.4500000000000002"/>
  </r>
  <r>
    <x v="3"/>
    <x v="0"/>
    <x v="12"/>
    <n v="127"/>
    <x v="23"/>
    <s v="Sarantos"/>
    <n v="1"/>
    <n v="7"/>
    <n v="6"/>
    <n v="0"/>
    <x v="20"/>
    <s v="vs Guru"/>
    <n v="138"/>
    <n v="0.40100000000000002"/>
    <n v="52"/>
    <n v="0.34399999999999997"/>
    <n v="0.76900000000000002"/>
    <n v="378"/>
    <n v="36"/>
    <n v="110"/>
    <n v="97"/>
    <n v="31"/>
    <n v="12"/>
    <n v="51"/>
    <n v="1.9"/>
  </r>
  <r>
    <x v="3"/>
    <x v="0"/>
    <x v="12"/>
    <n v="127"/>
    <x v="20"/>
    <s v="Guru"/>
    <n v="0"/>
    <n v="6"/>
    <n v="7"/>
    <n v="0"/>
    <x v="23"/>
    <s v="vs Sarantos"/>
    <n v="122"/>
    <n v="0.40400000000000003"/>
    <n v="38"/>
    <n v="0.27"/>
    <n v="0.88"/>
    <n v="348"/>
    <n v="38"/>
    <n v="106"/>
    <n v="73"/>
    <n v="19"/>
    <n v="25"/>
    <n v="34"/>
    <n v="2.15"/>
  </r>
  <r>
    <x v="3"/>
    <x v="0"/>
    <x v="12"/>
    <n v="128"/>
    <x v="9"/>
    <s v="Ziogas/Christof"/>
    <n v="1"/>
    <n v="7"/>
    <n v="6"/>
    <n v="0"/>
    <x v="0"/>
    <s v="vs Fanis"/>
    <n v="127"/>
    <n v="0.47"/>
    <n v="46"/>
    <n v="0.42599999999999999"/>
    <n v="0.67100000000000004"/>
    <n v="357"/>
    <n v="35"/>
    <n v="159"/>
    <n v="97"/>
    <n v="28"/>
    <n v="27"/>
    <n v="50"/>
    <n v="1.94"/>
  </r>
  <r>
    <x v="3"/>
    <x v="0"/>
    <x v="12"/>
    <n v="128"/>
    <x v="1"/>
    <s v="Fanis"/>
    <n v="0"/>
    <n v="6"/>
    <n v="7"/>
    <n v="0"/>
    <x v="8"/>
    <s v="vs Ziogas/Christof"/>
    <n v="123"/>
    <n v="0.49399999999999999"/>
    <n v="36"/>
    <n v="0.40899999999999997"/>
    <n v="0.72299999999999998"/>
    <n v="329"/>
    <n v="41"/>
    <n v="151"/>
    <n v="76"/>
    <n v="32"/>
    <n v="37"/>
    <n v="41"/>
    <n v="1.85"/>
  </r>
  <r>
    <x v="3"/>
    <x v="0"/>
    <x v="12"/>
    <n v="129"/>
    <x v="6"/>
    <s v="Tassos"/>
    <n v="1"/>
    <n v="11"/>
    <n v="2"/>
    <n v="0"/>
    <x v="12"/>
    <s v="vs Kousidis"/>
    <n v="211"/>
    <n v="0.52900000000000003"/>
    <n v="55"/>
    <n v="0.433"/>
    <n v="0.80200000000000005"/>
    <n v="558"/>
    <n v="32"/>
    <n v="124"/>
    <n v="94"/>
    <n v="24"/>
    <n v="22"/>
    <n v="46"/>
    <n v="2.04"/>
  </r>
  <r>
    <x v="3"/>
    <x v="0"/>
    <x v="12"/>
    <n v="129"/>
    <x v="13"/>
    <s v="Kousidis"/>
    <n v="0"/>
    <n v="2"/>
    <n v="11"/>
    <n v="0"/>
    <x v="7"/>
    <s v="vs Tassos"/>
    <n v="99"/>
    <n v="0.432"/>
    <n v="32"/>
    <n v="0.36399999999999999"/>
    <n v="0.76100000000000001"/>
    <n v="281"/>
    <n v="37"/>
    <n v="96"/>
    <n v="46"/>
    <n v="16"/>
    <n v="21"/>
    <n v="27"/>
    <n v="1.7"/>
  </r>
  <r>
    <x v="3"/>
    <x v="0"/>
    <x v="12"/>
    <n v="130"/>
    <x v="12"/>
    <s v="Stavros"/>
    <n v="1"/>
    <n v="8"/>
    <n v="5"/>
    <n v="0"/>
    <x v="19"/>
    <s v="vs Kotakis"/>
    <n v="138"/>
    <n v="0.45200000000000001"/>
    <n v="42"/>
    <n v="0.35299999999999998"/>
    <n v="0.81599999999999995"/>
    <n v="380"/>
    <n v="40"/>
    <n v="108"/>
    <n v="81"/>
    <n v="16"/>
    <n v="17"/>
    <n v="44"/>
    <n v="1.84"/>
  </r>
  <r>
    <x v="3"/>
    <x v="0"/>
    <x v="12"/>
    <n v="130"/>
    <x v="18"/>
    <s v="Kotakis"/>
    <n v="0"/>
    <n v="5"/>
    <n v="8"/>
    <n v="0"/>
    <x v="13"/>
    <s v="vs Stavros"/>
    <n v="115"/>
    <n v="0.44600000000000001"/>
    <n v="45"/>
    <n v="0.36"/>
    <n v="0.78300000000000003"/>
    <n v="311"/>
    <n v="20"/>
    <n v="83"/>
    <n v="58"/>
    <n v="22"/>
    <n v="11"/>
    <n v="25"/>
    <n v="2.3199999999999998"/>
  </r>
  <r>
    <x v="3"/>
    <x v="0"/>
    <x v="13"/>
    <n v="131"/>
    <x v="16"/>
    <s v="Aris"/>
    <n v="1"/>
    <n v="9"/>
    <n v="4"/>
    <n v="0"/>
    <x v="24"/>
    <s v="vs Tolios"/>
    <n v="207"/>
    <n v="0.499"/>
    <n v="59"/>
    <n v="0.39100000000000001"/>
    <n v="0.79600000000000004"/>
    <n v="555"/>
    <n v="45"/>
    <n v="154"/>
    <n v="134"/>
    <n v="35"/>
    <n v="21"/>
    <n v="76"/>
    <n v="1.76"/>
  </r>
  <r>
    <x v="3"/>
    <x v="0"/>
    <x v="13"/>
    <n v="131"/>
    <x v="24"/>
    <s v="Tolios"/>
    <n v="0"/>
    <n v="4"/>
    <n v="9"/>
    <n v="0"/>
    <x v="17"/>
    <s v="vs Aris"/>
    <n v="142"/>
    <n v="0.5"/>
    <n v="40"/>
    <n v="0.41699999999999998"/>
    <n v="0.78200000000000003"/>
    <n v="385"/>
    <n v="35"/>
    <n v="123"/>
    <n v="102"/>
    <n v="27"/>
    <n v="20"/>
    <n v="39"/>
    <n v="2.62"/>
  </r>
  <r>
    <x v="3"/>
    <x v="0"/>
    <x v="13"/>
    <n v="132"/>
    <x v="17"/>
    <s v="Spiridaus/Oladipas"/>
    <n v="0"/>
    <n v="5"/>
    <n v="7"/>
    <n v="1"/>
    <x v="21"/>
    <s v="vs Tzokos"/>
    <n v="166"/>
    <n v="0.46100000000000002"/>
    <n v="65"/>
    <n v="0.41399999999999998"/>
    <n v="0.92"/>
    <n v="478"/>
    <n v="34"/>
    <n v="138"/>
    <n v="99"/>
    <n v="24"/>
    <n v="16"/>
    <n v="51"/>
    <n v="1.94"/>
  </r>
  <r>
    <x v="3"/>
    <x v="0"/>
    <x v="13"/>
    <n v="132"/>
    <x v="21"/>
    <s v="Tzokos"/>
    <n v="1"/>
    <n v="7"/>
    <n v="5"/>
    <n v="1"/>
    <x v="16"/>
    <s v="vs Spiridaus/Oladipas"/>
    <n v="189"/>
    <n v="0.46400000000000002"/>
    <n v="46"/>
    <n v="0.34599999999999997"/>
    <n v="0.73399999999999999"/>
    <n v="504"/>
    <n v="67"/>
    <n v="142"/>
    <n v="86"/>
    <n v="43"/>
    <n v="20"/>
    <n v="51"/>
    <n v="1.69"/>
  </r>
  <r>
    <x v="3"/>
    <x v="0"/>
    <x v="13"/>
    <n v="133"/>
    <x v="2"/>
    <s v="Fountos"/>
    <n v="0"/>
    <n v="2"/>
    <n v="11"/>
    <n v="0"/>
    <x v="6"/>
    <s v="vs Johnny"/>
    <n v="194"/>
    <n v="0.48499999999999999"/>
    <n v="43"/>
    <n v="0.33300000000000002"/>
    <n v="0.89200000000000002"/>
    <n v="538"/>
    <n v="34"/>
    <n v="112"/>
    <n v="116"/>
    <n v="25"/>
    <n v="17"/>
    <n v="50"/>
    <n v="2.3199999999999998"/>
  </r>
  <r>
    <x v="3"/>
    <x v="0"/>
    <x v="13"/>
    <n v="133"/>
    <x v="7"/>
    <s v="Johnny"/>
    <n v="1"/>
    <n v="11"/>
    <n v="2"/>
    <n v="0"/>
    <x v="3"/>
    <s v="vs Fountos"/>
    <n v="269"/>
    <n v="0.53100000000000003"/>
    <n v="63"/>
    <n v="0.40400000000000003"/>
    <n v="0.77900000000000003"/>
    <n v="703"/>
    <n v="49"/>
    <n v="217"/>
    <n v="175"/>
    <n v="37"/>
    <n v="42"/>
    <n v="71"/>
    <n v="2.46"/>
  </r>
  <r>
    <x v="3"/>
    <x v="0"/>
    <x v="13"/>
    <n v="134"/>
    <x v="5"/>
    <s v="Markos"/>
    <n v="0"/>
    <n v="5"/>
    <n v="8"/>
    <n v="0"/>
    <x v="18"/>
    <s v="vs Nonis"/>
    <n v="145"/>
    <n v="0.443"/>
    <n v="34"/>
    <n v="0.34"/>
    <n v="0.76200000000000001"/>
    <n v="385"/>
    <n v="46"/>
    <n v="136"/>
    <n v="88"/>
    <n v="27"/>
    <n v="25"/>
    <n v="64"/>
    <n v="1.38"/>
  </r>
  <r>
    <x v="3"/>
    <x v="0"/>
    <x v="13"/>
    <n v="134"/>
    <x v="19"/>
    <s v="Nonis"/>
    <n v="1"/>
    <n v="8"/>
    <n v="5"/>
    <n v="0"/>
    <x v="4"/>
    <s v="vs Markos"/>
    <n v="164"/>
    <n v="0.45400000000000001"/>
    <n v="54"/>
    <n v="0.38800000000000001"/>
    <n v="0.8"/>
    <n v="474"/>
    <n v="20"/>
    <n v="120"/>
    <n v="109"/>
    <n v="24"/>
    <n v="13"/>
    <n v="75"/>
    <n v="1.45"/>
  </r>
  <r>
    <x v="3"/>
    <x v="0"/>
    <x v="13"/>
    <n v="135"/>
    <x v="11"/>
    <s v="pi/Sotiris"/>
    <n v="0"/>
    <n v="6"/>
    <n v="6"/>
    <n v="1"/>
    <x v="1"/>
    <s v="vs Miggianis"/>
    <n v="205"/>
    <n v="0.44700000000000001"/>
    <n v="46"/>
    <n v="0.32900000000000001"/>
    <n v="0.71299999999999997"/>
    <n v="548"/>
    <n v="55"/>
    <n v="151"/>
    <n v="136"/>
    <n v="42"/>
    <n v="17"/>
    <n v="65"/>
    <n v="2.09"/>
  </r>
  <r>
    <x v="3"/>
    <x v="0"/>
    <x v="13"/>
    <n v="135"/>
    <x v="0"/>
    <s v="Miggianis"/>
    <n v="0"/>
    <n v="6"/>
    <n v="6"/>
    <n v="1"/>
    <x v="10"/>
    <s v="vs pi/Sotiris"/>
    <n v="146"/>
    <n v="0.45900000000000002"/>
    <n v="46"/>
    <n v="0.35699999999999998"/>
    <n v="0.82699999999999996"/>
    <n v="400"/>
    <n v="26"/>
    <n v="142"/>
    <n v="99"/>
    <n v="24"/>
    <n v="22"/>
    <n v="35"/>
    <n v="2.83"/>
  </r>
  <r>
    <x v="3"/>
    <x v="0"/>
    <x v="13"/>
    <n v="136"/>
    <x v="3"/>
    <s v="Sakellariou"/>
    <n v="1"/>
    <n v="8"/>
    <n v="5"/>
    <n v="0"/>
    <x v="23"/>
    <s v="vs Sarantos"/>
    <n v="154"/>
    <n v="0.46"/>
    <n v="56"/>
    <n v="0.35199999999999998"/>
    <n v="0.86699999999999999"/>
    <n v="429"/>
    <n v="29"/>
    <n v="141"/>
    <n v="79"/>
    <n v="26"/>
    <n v="19"/>
    <n v="30"/>
    <n v="2.63"/>
  </r>
  <r>
    <x v="3"/>
    <x v="0"/>
    <x v="13"/>
    <n v="136"/>
    <x v="23"/>
    <s v="Sarantos"/>
    <n v="0"/>
    <n v="5"/>
    <n v="8"/>
    <n v="0"/>
    <x v="2"/>
    <s v="vs Sakellariou"/>
    <n v="159"/>
    <n v="0.46400000000000002"/>
    <n v="46"/>
    <n v="0.34300000000000003"/>
    <n v="0.69699999999999995"/>
    <n v="410"/>
    <n v="15"/>
    <n v="106"/>
    <n v="86"/>
    <n v="35"/>
    <n v="22"/>
    <n v="51"/>
    <n v="1.69"/>
  </r>
  <r>
    <x v="3"/>
    <x v="0"/>
    <x v="13"/>
    <n v="137"/>
    <x v="15"/>
    <s v="Vasilis"/>
    <n v="0"/>
    <n v="1"/>
    <n v="12"/>
    <n v="0"/>
    <x v="8"/>
    <s v="vs Ziogas/Christof"/>
    <n v="133"/>
    <n v="0.42399999999999999"/>
    <n v="45"/>
    <n v="0.34599999999999997"/>
    <n v="0.745"/>
    <n v="384"/>
    <n v="21"/>
    <n v="96"/>
    <n v="71"/>
    <n v="26"/>
    <n v="15"/>
    <n v="37"/>
    <n v="1.92"/>
  </r>
  <r>
    <x v="3"/>
    <x v="0"/>
    <x v="13"/>
    <n v="137"/>
    <x v="9"/>
    <s v="Ziogas/Christof"/>
    <n v="1"/>
    <n v="12"/>
    <n v="1"/>
    <n v="0"/>
    <x v="14"/>
    <s v="vs Vasilis"/>
    <n v="156"/>
    <n v="0.495"/>
    <n v="62"/>
    <n v="0.41899999999999998"/>
    <n v="0.80200000000000005"/>
    <n v="455"/>
    <n v="33"/>
    <n v="173"/>
    <n v="130"/>
    <n v="28"/>
    <n v="24"/>
    <n v="57"/>
    <n v="2.2799999999999998"/>
  </r>
  <r>
    <x v="3"/>
    <x v="0"/>
    <x v="13"/>
    <n v="138"/>
    <x v="20"/>
    <s v="Guru"/>
    <n v="1"/>
    <n v="8"/>
    <n v="4"/>
    <n v="1"/>
    <x v="7"/>
    <s v="vs Tassos"/>
    <n v="174"/>
    <n v="0.47"/>
    <n v="51"/>
    <n v="0.38300000000000001"/>
    <n v="0.82099999999999995"/>
    <n v="486"/>
    <n v="49"/>
    <n v="153"/>
    <n v="102"/>
    <n v="36"/>
    <n v="23"/>
    <n v="48"/>
    <n v="2.13"/>
  </r>
  <r>
    <x v="3"/>
    <x v="0"/>
    <x v="13"/>
    <n v="138"/>
    <x v="6"/>
    <s v="Tassos"/>
    <n v="0"/>
    <n v="4"/>
    <n v="8"/>
    <n v="1"/>
    <x v="20"/>
    <s v="vs Guru"/>
    <n v="175"/>
    <n v="0.48099999999999998"/>
    <n v="51"/>
    <n v="0.35899999999999999"/>
    <n v="0.73599999999999999"/>
    <n v="468"/>
    <n v="54"/>
    <n v="140"/>
    <n v="109"/>
    <n v="20"/>
    <n v="22"/>
    <n v="55"/>
    <n v="1.98"/>
  </r>
  <r>
    <x v="3"/>
    <x v="0"/>
    <x v="13"/>
    <n v="139"/>
    <x v="1"/>
    <s v="Fanis"/>
    <n v="0"/>
    <n v="6"/>
    <n v="7"/>
    <n v="0"/>
    <x v="13"/>
    <s v="vs Stavros"/>
    <n v="134"/>
    <n v="0.46400000000000002"/>
    <n v="49"/>
    <n v="0.40200000000000002"/>
    <n v="0.63100000000000001"/>
    <n v="370"/>
    <n v="45"/>
    <n v="127"/>
    <n v="50"/>
    <n v="27"/>
    <n v="22"/>
    <n v="53"/>
    <n v="0.94"/>
  </r>
  <r>
    <x v="3"/>
    <x v="0"/>
    <x v="13"/>
    <n v="139"/>
    <x v="12"/>
    <s v="Stavros"/>
    <n v="1"/>
    <n v="7"/>
    <n v="6"/>
    <n v="0"/>
    <x v="0"/>
    <s v="vs Fanis"/>
    <n v="173"/>
    <n v="0.44900000000000001"/>
    <n v="46"/>
    <n v="0.34799999999999998"/>
    <n v="0.75700000000000001"/>
    <n v="445"/>
    <n v="39"/>
    <n v="103"/>
    <n v="89"/>
    <n v="34"/>
    <n v="14"/>
    <n v="43"/>
    <n v="2.0699999999999998"/>
  </r>
  <r>
    <x v="3"/>
    <x v="0"/>
    <x v="13"/>
    <n v="140"/>
    <x v="13"/>
    <s v="Kousidis"/>
    <n v="0"/>
    <n v="5"/>
    <n v="8"/>
    <n v="0"/>
    <x v="19"/>
    <s v="vs Kotakis"/>
    <n v="139"/>
    <n v="0.48299999999999998"/>
    <n v="46"/>
    <n v="0.48399999999999999"/>
    <n v="0.79700000000000004"/>
    <n v="375"/>
    <n v="40"/>
    <n v="123"/>
    <n v="64"/>
    <n v="19"/>
    <n v="22"/>
    <n v="44"/>
    <n v="1.45"/>
  </r>
  <r>
    <x v="3"/>
    <x v="0"/>
    <x v="13"/>
    <n v="140"/>
    <x v="18"/>
    <s v="Kotakis"/>
    <n v="1"/>
    <n v="8"/>
    <n v="5"/>
    <n v="0"/>
    <x v="12"/>
    <s v="vs Kousidis"/>
    <n v="152"/>
    <n v="0.443"/>
    <n v="52"/>
    <n v="0.38800000000000001"/>
    <n v="0.83299999999999996"/>
    <n v="396"/>
    <n v="26"/>
    <n v="115"/>
    <n v="75"/>
    <n v="33"/>
    <n v="15"/>
    <n v="34"/>
    <n v="2.21"/>
  </r>
  <r>
    <x v="3"/>
    <x v="1"/>
    <x v="23"/>
    <n v="141"/>
    <x v="23"/>
    <s v="Sarantos"/>
    <n v="1"/>
    <n v="8"/>
    <n v="5"/>
    <n v="0"/>
    <x v="18"/>
    <s v="vs Nonis"/>
    <n v="151"/>
    <n v="0.45800000000000002"/>
    <n v="52"/>
    <n v="0.39700000000000002"/>
    <n v="0.83299999999999996"/>
    <n v="409"/>
    <n v="25"/>
    <n v="91"/>
    <n v="98"/>
    <n v="32"/>
    <n v="16"/>
    <n v="39"/>
    <n v="2.5099999999999998"/>
  </r>
  <r>
    <x v="3"/>
    <x v="1"/>
    <x v="23"/>
    <n v="141"/>
    <x v="19"/>
    <s v="Nonis"/>
    <n v="0"/>
    <n v="5"/>
    <n v="8"/>
    <n v="0"/>
    <x v="23"/>
    <s v="vs Sarantos"/>
    <n v="169"/>
    <n v="0.45900000000000002"/>
    <n v="49"/>
    <n v="0.35799999999999998"/>
    <n v="0.72499999999999998"/>
    <n v="453"/>
    <n v="12"/>
    <n v="112"/>
    <n v="122"/>
    <n v="19"/>
    <n v="5"/>
    <n v="58"/>
    <n v="2.1"/>
  </r>
  <r>
    <x v="3"/>
    <x v="1"/>
    <x v="23"/>
    <n v="142"/>
    <x v="2"/>
    <s v="Fountos"/>
    <n v="0"/>
    <n v="4"/>
    <n v="6"/>
    <n v="3"/>
    <x v="0"/>
    <s v="vs Fanis"/>
    <n v="168"/>
    <n v="0.47499999999999998"/>
    <n v="31"/>
    <n v="0.34399999999999997"/>
    <n v="0.84899999999999998"/>
    <n v="474"/>
    <n v="46"/>
    <n v="104"/>
    <n v="90"/>
    <n v="27"/>
    <n v="7"/>
    <n v="54"/>
    <n v="1.67"/>
  </r>
  <r>
    <x v="3"/>
    <x v="1"/>
    <x v="23"/>
    <n v="142"/>
    <x v="1"/>
    <s v="Fanis"/>
    <n v="1"/>
    <n v="6"/>
    <n v="4"/>
    <n v="3"/>
    <x v="3"/>
    <s v="vs Fountos"/>
    <n v="146"/>
    <n v="0.47599999999999998"/>
    <n v="42"/>
    <n v="0.38200000000000001"/>
    <n v="0.71199999999999997"/>
    <n v="386"/>
    <n v="48"/>
    <n v="139"/>
    <n v="90"/>
    <n v="24"/>
    <n v="40"/>
    <n v="54"/>
    <n v="1.67"/>
  </r>
  <r>
    <x v="3"/>
    <x v="1"/>
    <x v="23"/>
    <n v="143"/>
    <x v="11"/>
    <s v="pi/Sotiris"/>
    <n v="1"/>
    <n v="9"/>
    <n v="4"/>
    <n v="0"/>
    <x v="14"/>
    <s v="vs Vasilis"/>
    <n v="282"/>
    <n v="0.49"/>
    <n v="67"/>
    <n v="0.33300000000000002"/>
    <n v="0.74399999999999999"/>
    <n v="718"/>
    <n v="32"/>
    <n v="185"/>
    <n v="127"/>
    <n v="37"/>
    <n v="27"/>
    <n v="55"/>
    <n v="2.31"/>
  </r>
  <r>
    <x v="3"/>
    <x v="1"/>
    <x v="23"/>
    <n v="143"/>
    <x v="15"/>
    <s v="Vasilis"/>
    <n v="0"/>
    <n v="4"/>
    <n v="9"/>
    <n v="0"/>
    <x v="10"/>
    <s v="vs pi/Sotiris"/>
    <n v="172"/>
    <n v="0.496"/>
    <n v="43"/>
    <n v="0.371"/>
    <n v="0.76200000000000001"/>
    <n v="483"/>
    <n v="22"/>
    <n v="93"/>
    <n v="99"/>
    <n v="30"/>
    <n v="13"/>
    <n v="47"/>
    <n v="2.11"/>
  </r>
  <r>
    <x v="3"/>
    <x v="1"/>
    <x v="23"/>
    <n v="144"/>
    <x v="6"/>
    <s v="Tassos"/>
    <n v="1"/>
    <n v="8"/>
    <n v="5"/>
    <n v="0"/>
    <x v="17"/>
    <s v="vs Aris"/>
    <n v="192"/>
    <n v="0.47299999999999998"/>
    <n v="59"/>
    <n v="0.36199999999999999"/>
    <n v="0.80600000000000005"/>
    <n v="543"/>
    <n v="44"/>
    <n v="159"/>
    <n v="132"/>
    <n v="19"/>
    <n v="21"/>
    <n v="79"/>
    <n v="1.67"/>
  </r>
  <r>
    <x v="3"/>
    <x v="1"/>
    <x v="23"/>
    <n v="144"/>
    <x v="16"/>
    <s v="Aris"/>
    <n v="0"/>
    <n v="5"/>
    <n v="8"/>
    <n v="0"/>
    <x v="7"/>
    <s v="vs Tassos"/>
    <n v="166"/>
    <n v="0.45700000000000002"/>
    <n v="54"/>
    <n v="0.40300000000000002"/>
    <n v="0.78900000000000003"/>
    <n v="461"/>
    <n v="38"/>
    <n v="123"/>
    <n v="133"/>
    <n v="32"/>
    <n v="9"/>
    <n v="57"/>
    <n v="2.33"/>
  </r>
  <r>
    <x v="3"/>
    <x v="1"/>
    <x v="19"/>
    <n v="145"/>
    <x v="7"/>
    <s v="Johnny"/>
    <n v="1"/>
    <n v="8"/>
    <n v="5"/>
    <n v="0"/>
    <x v="10"/>
    <s v="vs pi/Sotiris"/>
    <n v="232"/>
    <n v="0.497"/>
    <n v="56"/>
    <n v="0.41199999999999998"/>
    <n v="0.72199999999999998"/>
    <n v="603"/>
    <n v="63"/>
    <n v="205"/>
    <n v="142"/>
    <n v="37"/>
    <n v="23"/>
    <n v="50"/>
    <n v="2.84"/>
  </r>
  <r>
    <x v="3"/>
    <x v="1"/>
    <x v="19"/>
    <n v="145"/>
    <x v="11"/>
    <s v="pi/Sotiris"/>
    <n v="0"/>
    <n v="5"/>
    <n v="8"/>
    <n v="0"/>
    <x v="6"/>
    <s v="vs Johnny"/>
    <n v="223"/>
    <n v="0.49299999999999999"/>
    <n v="62"/>
    <n v="0.39200000000000002"/>
    <n v="0.754"/>
    <n v="609"/>
    <n v="57"/>
    <n v="173"/>
    <n v="112"/>
    <n v="47"/>
    <n v="31"/>
    <n v="85"/>
    <n v="1.32"/>
  </r>
  <r>
    <x v="3"/>
    <x v="1"/>
    <x v="19"/>
    <n v="146"/>
    <x v="20"/>
    <s v="Guru"/>
    <n v="1"/>
    <n v="9"/>
    <n v="4"/>
    <n v="0"/>
    <x v="23"/>
    <s v="vs Sarantos"/>
    <n v="151"/>
    <n v="0.51200000000000001"/>
    <n v="47"/>
    <n v="0.42699999999999999"/>
    <n v="0.84899999999999998"/>
    <n v="422"/>
    <n v="31"/>
    <n v="101"/>
    <n v="101"/>
    <n v="23"/>
    <n v="12"/>
    <n v="48"/>
    <n v="2.1"/>
  </r>
  <r>
    <x v="3"/>
    <x v="1"/>
    <x v="19"/>
    <n v="146"/>
    <x v="23"/>
    <s v="Sarantos"/>
    <n v="0"/>
    <n v="4"/>
    <n v="9"/>
    <n v="0"/>
    <x v="20"/>
    <s v="vs Guru"/>
    <n v="145"/>
    <n v="0.42499999999999999"/>
    <n v="49"/>
    <n v="0.36299999999999999"/>
    <n v="0.77900000000000003"/>
    <n v="406"/>
    <n v="18"/>
    <n v="104"/>
    <n v="93"/>
    <n v="38"/>
    <n v="15"/>
    <n v="50"/>
    <n v="1.86"/>
  </r>
  <r>
    <x v="3"/>
    <x v="1"/>
    <x v="19"/>
    <n v="147"/>
    <x v="21"/>
    <s v="Tzokos"/>
    <n v="1"/>
    <n v="9"/>
    <n v="3"/>
    <n v="1"/>
    <x v="0"/>
    <s v="vs Fanis"/>
    <n v="199"/>
    <n v="0.52800000000000002"/>
    <n v="41"/>
    <n v="0.34499999999999997"/>
    <n v="0.84099999999999997"/>
    <n v="497"/>
    <n v="46"/>
    <n v="166"/>
    <n v="107"/>
    <n v="27"/>
    <n v="12"/>
    <n v="59"/>
    <n v="1.81"/>
  </r>
  <r>
    <x v="3"/>
    <x v="1"/>
    <x v="19"/>
    <n v="147"/>
    <x v="1"/>
    <s v="Fanis"/>
    <n v="0"/>
    <n v="3"/>
    <n v="9"/>
    <n v="1"/>
    <x v="21"/>
    <s v="vs Tzokos"/>
    <n v="112"/>
    <n v="0.48299999999999998"/>
    <n v="29"/>
    <n v="0.32600000000000001"/>
    <n v="0.79800000000000004"/>
    <n v="324"/>
    <n v="42"/>
    <n v="120"/>
    <n v="92"/>
    <n v="27"/>
    <n v="26"/>
    <n v="50"/>
    <n v="1.84"/>
  </r>
  <r>
    <x v="3"/>
    <x v="1"/>
    <x v="19"/>
    <n v="148"/>
    <x v="9"/>
    <s v="Ziogas/Christof"/>
    <n v="1"/>
    <n v="8"/>
    <n v="5"/>
    <n v="0"/>
    <x v="7"/>
    <s v="vs Tassos"/>
    <n v="139"/>
    <n v="0.47799999999999998"/>
    <n v="40"/>
    <n v="0.32300000000000001"/>
    <n v="0.75"/>
    <n v="369"/>
    <n v="43"/>
    <n v="148"/>
    <n v="130"/>
    <n v="31"/>
    <n v="23"/>
    <n v="58"/>
    <n v="2.2400000000000002"/>
  </r>
  <r>
    <x v="3"/>
    <x v="1"/>
    <x v="19"/>
    <n v="148"/>
    <x v="6"/>
    <s v="Tassos"/>
    <n v="0"/>
    <n v="5"/>
    <n v="8"/>
    <n v="0"/>
    <x v="8"/>
    <s v="vs Ziogas/Christof"/>
    <n v="167"/>
    <n v="0.43"/>
    <n v="63"/>
    <n v="0.36199999999999999"/>
    <n v="0.75800000000000001"/>
    <n v="469"/>
    <n v="19"/>
    <n v="130"/>
    <n v="106"/>
    <n v="22"/>
    <n v="14"/>
    <n v="76"/>
    <n v="1.39"/>
  </r>
  <r>
    <x v="3"/>
    <x v="1"/>
    <x v="20"/>
    <n v="149"/>
    <x v="20"/>
    <s v="Guru"/>
    <n v="0"/>
    <n v="4"/>
    <n v="9"/>
    <n v="0"/>
    <x v="6"/>
    <s v="vs Johnny"/>
    <n v="143"/>
    <n v="0.49"/>
    <n v="37"/>
    <n v="0.39400000000000002"/>
    <n v="0.86099999999999999"/>
    <n v="385"/>
    <n v="29"/>
    <n v="88"/>
    <n v="81"/>
    <n v="29"/>
    <n v="12"/>
    <n v="39"/>
    <n v="2.08"/>
  </r>
  <r>
    <x v="3"/>
    <x v="1"/>
    <x v="20"/>
    <n v="149"/>
    <x v="7"/>
    <s v="Johnny"/>
    <n v="1"/>
    <n v="9"/>
    <n v="4"/>
    <n v="0"/>
    <x v="20"/>
    <s v="vs Guru"/>
    <n v="241"/>
    <n v="0.48299999999999998"/>
    <n v="49"/>
    <n v="0.308"/>
    <n v="0.71599999999999997"/>
    <n v="604"/>
    <n v="53"/>
    <n v="213"/>
    <n v="182"/>
    <n v="35"/>
    <n v="20"/>
    <n v="85"/>
    <n v="2.14"/>
  </r>
  <r>
    <x v="3"/>
    <x v="1"/>
    <x v="20"/>
    <n v="150"/>
    <x v="9"/>
    <s v="Ziogas/Christof"/>
    <n v="1"/>
    <n v="9"/>
    <n v="4"/>
    <n v="0"/>
    <x v="21"/>
    <s v="vs Tzokos"/>
    <n v="163"/>
    <n v="0.47699999999999998"/>
    <n v="66"/>
    <n v="0.36699999999999999"/>
    <n v="0.85499999999999998"/>
    <n v="445"/>
    <n v="27"/>
    <n v="208"/>
    <n v="163"/>
    <n v="27"/>
    <n v="15"/>
    <n v="54"/>
    <n v="3.02"/>
  </r>
  <r>
    <x v="3"/>
    <x v="1"/>
    <x v="20"/>
    <n v="150"/>
    <x v="21"/>
    <s v="Tzokos"/>
    <n v="0"/>
    <n v="4"/>
    <n v="9"/>
    <n v="0"/>
    <x v="8"/>
    <s v="vs Ziogas/Christof"/>
    <n v="145"/>
    <n v="0.41699999999999998"/>
    <n v="49"/>
    <n v="0.318"/>
    <n v="0.86"/>
    <n v="388"/>
    <n v="33"/>
    <n v="117"/>
    <n v="124"/>
    <n v="31"/>
    <n v="11"/>
    <n v="50"/>
    <n v="2.48"/>
  </r>
  <r>
    <x v="3"/>
    <x v="1"/>
    <x v="21"/>
    <n v="151"/>
    <x v="7"/>
    <s v="Johnny"/>
    <n v="1"/>
    <n v="10"/>
    <n v="3"/>
    <n v="0"/>
    <x v="8"/>
    <s v="vs Ziogas/Christof"/>
    <n v="297"/>
    <n v="0.50700000000000001"/>
    <n v="56"/>
    <n v="0.373"/>
    <n v="0.77700000000000002"/>
    <n v="758"/>
    <n v="80"/>
    <n v="244"/>
    <n v="169"/>
    <n v="36"/>
    <n v="37"/>
    <n v="72"/>
    <n v="2.35"/>
  </r>
  <r>
    <x v="3"/>
    <x v="1"/>
    <x v="21"/>
    <n v="151"/>
    <x v="9"/>
    <s v="Ziogas/Christof"/>
    <n v="0"/>
    <n v="3"/>
    <n v="10"/>
    <n v="0"/>
    <x v="6"/>
    <s v="vs Johnny"/>
    <n v="122"/>
    <n v="0.53"/>
    <n v="48"/>
    <n v="0.39700000000000002"/>
    <n v="0.70599999999999996"/>
    <n v="328"/>
    <n v="21"/>
    <n v="140"/>
    <n v="76"/>
    <n v="24"/>
    <n v="24"/>
    <n v="48"/>
    <n v="1.58"/>
  </r>
  <r>
    <x v="3"/>
    <x v="1"/>
    <x v="22"/>
    <n v="152"/>
    <x v="21"/>
    <s v="Tzokos"/>
    <n v="0"/>
    <n v="3"/>
    <n v="10"/>
    <n v="0"/>
    <x v="20"/>
    <s v="vs Guru"/>
    <n v="212"/>
    <n v="0.46800000000000003"/>
    <n v="60"/>
    <n v="0.35299999999999998"/>
    <n v="0.754"/>
    <n v="588"/>
    <n v="61"/>
    <n v="159"/>
    <n v="111"/>
    <n v="29"/>
    <n v="24"/>
    <n v="54"/>
    <n v="2.06"/>
  </r>
  <r>
    <x v="3"/>
    <x v="1"/>
    <x v="22"/>
    <n v="152"/>
    <x v="20"/>
    <s v="Guru"/>
    <n v="1"/>
    <n v="10"/>
    <n v="3"/>
    <n v="0"/>
    <x v="21"/>
    <s v="vs Tzokos"/>
    <n v="220"/>
    <n v="0.51"/>
    <n v="61"/>
    <n v="0.42099999999999999"/>
    <n v="0.92600000000000005"/>
    <n v="601"/>
    <n v="43"/>
    <n v="147"/>
    <n v="126"/>
    <n v="31"/>
    <n v="14"/>
    <n v="52"/>
    <n v="2.42"/>
  </r>
  <r>
    <x v="4"/>
    <x v="0"/>
    <x v="0"/>
    <n v="1"/>
    <x v="7"/>
    <s v="Johnny"/>
    <n v="1"/>
    <n v="10"/>
    <n v="3"/>
    <n v="0"/>
    <x v="25"/>
    <s v="vs Arvanitis"/>
    <n v="151"/>
    <n v="0.45600000000000002"/>
    <n v="44"/>
    <n v="0.38900000000000001"/>
    <n v="0.75900000000000001"/>
    <n v="387"/>
    <n v="45"/>
    <n v="133"/>
    <n v="86"/>
    <n v="28"/>
    <n v="22"/>
    <n v="57"/>
    <n v="1.51"/>
  </r>
  <r>
    <x v="4"/>
    <x v="0"/>
    <x v="0"/>
    <n v="1"/>
    <x v="25"/>
    <s v="Arvanitis"/>
    <n v="0"/>
    <n v="3"/>
    <n v="10"/>
    <n v="0"/>
    <x v="6"/>
    <s v="vs Johnny"/>
    <n v="82"/>
    <n v="0.40200000000000002"/>
    <n v="35"/>
    <n v="0.40699999999999997"/>
    <n v="0.67500000000000004"/>
    <n v="226"/>
    <n v="26"/>
    <n v="90"/>
    <n v="50"/>
    <n v="21"/>
    <n v="19"/>
    <n v="26"/>
    <n v="1.92"/>
  </r>
  <r>
    <x v="4"/>
    <x v="0"/>
    <x v="0"/>
    <n v="2"/>
    <x v="23"/>
    <s v="Sarantos"/>
    <n v="1"/>
    <n v="10"/>
    <n v="3"/>
    <n v="0"/>
    <x v="19"/>
    <s v="vs Kotakis"/>
    <n v="113"/>
    <n v="0.441"/>
    <n v="45"/>
    <n v="0.36899999999999999"/>
    <n v="0.76600000000000001"/>
    <n v="307"/>
    <n v="31"/>
    <n v="99"/>
    <n v="77"/>
    <n v="31"/>
    <n v="12"/>
    <n v="55"/>
    <n v="1.4"/>
  </r>
  <r>
    <x v="4"/>
    <x v="0"/>
    <x v="0"/>
    <n v="2"/>
    <x v="18"/>
    <s v="Kotakis"/>
    <n v="0"/>
    <n v="3"/>
    <n v="10"/>
    <n v="0"/>
    <x v="23"/>
    <s v="vs Sarantos"/>
    <n v="102"/>
    <n v="0.42499999999999999"/>
    <n v="29"/>
    <n v="0.32600000000000001"/>
    <n v="0.74"/>
    <n v="270"/>
    <n v="21"/>
    <n v="97"/>
    <n v="43"/>
    <n v="29"/>
    <n v="18"/>
    <n v="28"/>
    <n v="1.54"/>
  </r>
  <r>
    <x v="4"/>
    <x v="0"/>
    <x v="0"/>
    <n v="3"/>
    <x v="13"/>
    <s v="Kousidis"/>
    <n v="1"/>
    <n v="7"/>
    <n v="5"/>
    <n v="1"/>
    <x v="20"/>
    <s v="vs Guru"/>
    <n v="132"/>
    <n v="0.48699999999999999"/>
    <n v="27"/>
    <n v="0.32500000000000001"/>
    <n v="0.67200000000000004"/>
    <n v="334"/>
    <n v="37"/>
    <n v="101"/>
    <n v="73"/>
    <n v="20"/>
    <n v="19"/>
    <n v="29"/>
    <n v="2.52"/>
  </r>
  <r>
    <x v="4"/>
    <x v="0"/>
    <x v="0"/>
    <n v="3"/>
    <x v="20"/>
    <s v="Guru"/>
    <n v="0"/>
    <n v="5"/>
    <n v="7"/>
    <n v="1"/>
    <x v="12"/>
    <s v="vs Kousidis"/>
    <n v="123"/>
    <n v="0.47899999999999998"/>
    <n v="27"/>
    <n v="0.28699999999999998"/>
    <n v="0.83099999999999996"/>
    <n v="322"/>
    <n v="24"/>
    <n v="91"/>
    <n v="68"/>
    <n v="22"/>
    <n v="20"/>
    <n v="25"/>
    <n v="2.72"/>
  </r>
  <r>
    <x v="4"/>
    <x v="0"/>
    <x v="0"/>
    <n v="4"/>
    <x v="2"/>
    <s v="Fountos"/>
    <n v="1"/>
    <n v="9"/>
    <n v="4"/>
    <n v="0"/>
    <x v="7"/>
    <s v="vs Tassos"/>
    <n v="146"/>
    <n v="0.46800000000000003"/>
    <n v="43"/>
    <n v="0.38700000000000001"/>
    <n v="0.65200000000000002"/>
    <n v="365"/>
    <n v="26"/>
    <n v="122"/>
    <n v="83"/>
    <n v="21"/>
    <n v="12"/>
    <n v="42"/>
    <n v="1.98"/>
  </r>
  <r>
    <x v="4"/>
    <x v="0"/>
    <x v="0"/>
    <n v="4"/>
    <x v="6"/>
    <s v="Tassos"/>
    <n v="0"/>
    <n v="4"/>
    <n v="9"/>
    <n v="0"/>
    <x v="3"/>
    <s v="vs Fountos"/>
    <n v="128"/>
    <n v="0.47399999999999998"/>
    <n v="39"/>
    <n v="0.36799999999999999"/>
    <n v="0.82"/>
    <n v="336"/>
    <n v="25"/>
    <n v="97"/>
    <n v="69"/>
    <n v="19"/>
    <n v="26"/>
    <n v="38"/>
    <n v="1.82"/>
  </r>
  <r>
    <x v="4"/>
    <x v="0"/>
    <x v="0"/>
    <n v="5"/>
    <x v="15"/>
    <s v="Vasilis"/>
    <n v="0"/>
    <n v="2"/>
    <n v="11"/>
    <n v="0"/>
    <x v="8"/>
    <s v="vs Ziogas/Christof"/>
    <n v="89"/>
    <n v="0.379"/>
    <n v="36"/>
    <n v="0.316"/>
    <n v="0.83099999999999996"/>
    <n v="268"/>
    <n v="23"/>
    <n v="90"/>
    <n v="93"/>
    <n v="18"/>
    <n v="8"/>
    <n v="50"/>
    <n v="1.86"/>
  </r>
  <r>
    <x v="4"/>
    <x v="0"/>
    <x v="0"/>
    <n v="5"/>
    <x v="9"/>
    <s v="Ziogas/Christof"/>
    <n v="1"/>
    <n v="11"/>
    <n v="2"/>
    <n v="0"/>
    <x v="14"/>
    <s v="vs Vasilis"/>
    <n v="168"/>
    <n v="0.45300000000000001"/>
    <n v="53"/>
    <n v="0.376"/>
    <n v="0.71799999999999997"/>
    <n v="473"/>
    <n v="30"/>
    <n v="135"/>
    <n v="127"/>
    <n v="31"/>
    <n v="22"/>
    <n v="67"/>
    <n v="1.9"/>
  </r>
  <r>
    <x v="4"/>
    <x v="0"/>
    <x v="0"/>
    <n v="6"/>
    <x v="12"/>
    <s v="Stavros"/>
    <n v="0"/>
    <n v="2"/>
    <n v="11"/>
    <n v="0"/>
    <x v="21"/>
    <s v="vs Tzokos"/>
    <n v="130"/>
    <n v="0.41399999999999998"/>
    <n v="50"/>
    <n v="0.34200000000000003"/>
    <n v="0.73499999999999999"/>
    <n v="346"/>
    <n v="11"/>
    <n v="79"/>
    <n v="74"/>
    <n v="32"/>
    <n v="7"/>
    <n v="67"/>
    <n v="1.1000000000000001"/>
  </r>
  <r>
    <x v="4"/>
    <x v="0"/>
    <x v="0"/>
    <n v="6"/>
    <x v="21"/>
    <s v="Tzokos"/>
    <n v="1"/>
    <n v="11"/>
    <n v="2"/>
    <n v="0"/>
    <x v="13"/>
    <s v="vs Stavros"/>
    <n v="141"/>
    <n v="0.48"/>
    <n v="41"/>
    <n v="0.373"/>
    <n v="0.78700000000000003"/>
    <n v="393"/>
    <n v="35"/>
    <n v="141"/>
    <n v="76"/>
    <n v="25"/>
    <n v="15"/>
    <n v="56"/>
    <n v="1.36"/>
  </r>
  <r>
    <x v="4"/>
    <x v="0"/>
    <x v="0"/>
    <n v="7"/>
    <x v="19"/>
    <s v="Nonis"/>
    <n v="1"/>
    <n v="12"/>
    <n v="1"/>
    <n v="0"/>
    <x v="2"/>
    <s v="vs Sakellariou"/>
    <n v="142"/>
    <n v="0.47199999999999998"/>
    <n v="48"/>
    <n v="0.49"/>
    <n v="0.78800000000000003"/>
    <n v="425"/>
    <n v="37"/>
    <n v="130"/>
    <n v="85"/>
    <n v="32"/>
    <n v="19"/>
    <n v="49"/>
    <n v="1.73"/>
  </r>
  <r>
    <x v="4"/>
    <x v="0"/>
    <x v="0"/>
    <n v="7"/>
    <x v="3"/>
    <s v="Sakellariou"/>
    <n v="0"/>
    <n v="1"/>
    <n v="12"/>
    <n v="0"/>
    <x v="18"/>
    <s v="vs Nonis"/>
    <n v="113"/>
    <n v="0.40799999999999997"/>
    <n v="31"/>
    <n v="0.27"/>
    <n v="0.71399999999999997"/>
    <n v="292"/>
    <n v="35"/>
    <n v="93"/>
    <n v="49"/>
    <n v="22"/>
    <n v="17"/>
    <n v="41"/>
    <n v="1.2"/>
  </r>
  <r>
    <x v="4"/>
    <x v="0"/>
    <x v="0"/>
    <n v="8"/>
    <x v="24"/>
    <s v="Tolios"/>
    <n v="0"/>
    <n v="6"/>
    <n v="7"/>
    <n v="0"/>
    <x v="16"/>
    <s v="vs Spiridaus/Oladipas"/>
    <n v="84"/>
    <n v="0.51500000000000001"/>
    <n v="17"/>
    <n v="0.33300000000000002"/>
    <n v="0.58299999999999996"/>
    <n v="206"/>
    <n v="26"/>
    <n v="75"/>
    <n v="44"/>
    <n v="22"/>
    <n v="16"/>
    <n v="27"/>
    <n v="1.63"/>
  </r>
  <r>
    <x v="4"/>
    <x v="0"/>
    <x v="0"/>
    <n v="8"/>
    <x v="17"/>
    <s v="Spiridaus/Oladipas"/>
    <n v="1"/>
    <n v="7"/>
    <n v="6"/>
    <n v="0"/>
    <x v="24"/>
    <s v="vs Tolios"/>
    <n v="107"/>
    <n v="0.48"/>
    <n v="20"/>
    <n v="0.30299999999999999"/>
    <n v="0.81"/>
    <n v="281"/>
    <n v="32"/>
    <n v="88"/>
    <n v="42"/>
    <n v="31"/>
    <n v="11"/>
    <n v="34"/>
    <n v="1.24"/>
  </r>
  <r>
    <x v="4"/>
    <x v="0"/>
    <x v="0"/>
    <n v="9"/>
    <x v="11"/>
    <s v="pi/Sotiris"/>
    <n v="1"/>
    <n v="9"/>
    <n v="3"/>
    <n v="1"/>
    <x v="0"/>
    <s v="vs Fanis"/>
    <n v="155"/>
    <n v="0.47399999999999998"/>
    <n v="42"/>
    <n v="0.38200000000000001"/>
    <n v="0.81899999999999995"/>
    <n v="411"/>
    <n v="46"/>
    <n v="153"/>
    <n v="84"/>
    <n v="28"/>
    <n v="14"/>
    <n v="52"/>
    <n v="1.62"/>
  </r>
  <r>
    <x v="4"/>
    <x v="0"/>
    <x v="0"/>
    <n v="9"/>
    <x v="1"/>
    <s v="Fanis"/>
    <n v="0"/>
    <n v="3"/>
    <n v="9"/>
    <n v="1"/>
    <x v="10"/>
    <s v="vs pi/Sotiris"/>
    <n v="139"/>
    <n v="0.44700000000000001"/>
    <n v="40"/>
    <n v="0.35699999999999998"/>
    <n v="0.76700000000000002"/>
    <n v="364"/>
    <n v="27"/>
    <n v="111"/>
    <n v="84"/>
    <n v="24"/>
    <n v="18"/>
    <n v="39"/>
    <n v="2.15"/>
  </r>
  <r>
    <x v="4"/>
    <x v="0"/>
    <x v="0"/>
    <n v="10"/>
    <x v="5"/>
    <s v="Markos"/>
    <n v="0"/>
    <n v="5"/>
    <n v="8"/>
    <n v="0"/>
    <x v="17"/>
    <s v="vs Aris"/>
    <n v="137"/>
    <n v="0.47599999999999998"/>
    <n v="31"/>
    <n v="0.32300000000000001"/>
    <n v="0.83299999999999996"/>
    <n v="340"/>
    <n v="40"/>
    <n v="90"/>
    <n v="73"/>
    <n v="14"/>
    <n v="9"/>
    <n v="41"/>
    <n v="1.78"/>
  </r>
  <r>
    <x v="4"/>
    <x v="0"/>
    <x v="0"/>
    <n v="10"/>
    <x v="16"/>
    <s v="Aris"/>
    <n v="1"/>
    <n v="8"/>
    <n v="5"/>
    <n v="0"/>
    <x v="4"/>
    <s v="vs Markos"/>
    <n v="150"/>
    <n v="0.45600000000000002"/>
    <n v="36"/>
    <n v="0.32700000000000001"/>
    <n v="0.76300000000000001"/>
    <n v="407"/>
    <n v="34"/>
    <n v="129"/>
    <n v="93"/>
    <n v="27"/>
    <n v="18"/>
    <n v="64"/>
    <n v="1.45"/>
  </r>
  <r>
    <x v="4"/>
    <x v="0"/>
    <x v="1"/>
    <n v="11"/>
    <x v="3"/>
    <s v="Sakellariou"/>
    <n v="0"/>
    <n v="3"/>
    <n v="10"/>
    <n v="0"/>
    <x v="14"/>
    <s v="vs Vasilis"/>
    <n v="144"/>
    <n v="0.41099999999999998"/>
    <n v="36"/>
    <n v="0.28599999999999998"/>
    <n v="0.80200000000000005"/>
    <n v="393"/>
    <n v="29"/>
    <n v="97"/>
    <n v="67"/>
    <n v="36"/>
    <n v="19"/>
    <n v="47"/>
    <n v="1.43"/>
  </r>
  <r>
    <x v="4"/>
    <x v="0"/>
    <x v="1"/>
    <n v="11"/>
    <x v="15"/>
    <s v="Vasilis"/>
    <n v="1"/>
    <n v="10"/>
    <n v="3"/>
    <n v="0"/>
    <x v="2"/>
    <s v="vs Sakellariou"/>
    <n v="172"/>
    <n v="0.42099999999999999"/>
    <n v="73"/>
    <n v="0.35399999999999998"/>
    <n v="0.81599999999999995"/>
    <n v="488"/>
    <n v="26"/>
    <n v="156"/>
    <n v="142"/>
    <n v="39"/>
    <n v="13"/>
    <n v="73"/>
    <n v="1.95"/>
  </r>
  <r>
    <x v="4"/>
    <x v="0"/>
    <x v="1"/>
    <n v="12"/>
    <x v="25"/>
    <s v="Arvanitis"/>
    <n v="1"/>
    <n v="8"/>
    <n v="5"/>
    <n v="0"/>
    <x v="23"/>
    <s v="vs Sarantos"/>
    <n v="142"/>
    <n v="0.46899999999999997"/>
    <n v="55"/>
    <n v="0.39"/>
    <n v="0.79600000000000004"/>
    <n v="382"/>
    <n v="32"/>
    <n v="113"/>
    <n v="79"/>
    <n v="34"/>
    <n v="24"/>
    <n v="48"/>
    <n v="1.65"/>
  </r>
  <r>
    <x v="4"/>
    <x v="0"/>
    <x v="1"/>
    <n v="12"/>
    <x v="23"/>
    <s v="Sarantos"/>
    <n v="0"/>
    <n v="5"/>
    <n v="8"/>
    <n v="0"/>
    <x v="25"/>
    <s v="vs Arvanitis"/>
    <n v="149"/>
    <n v="0.38300000000000001"/>
    <n v="38"/>
    <n v="0.23499999999999999"/>
    <n v="0.74199999999999999"/>
    <n v="385"/>
    <n v="45"/>
    <n v="124"/>
    <n v="85"/>
    <n v="27"/>
    <n v="17"/>
    <n v="58"/>
    <n v="1.47"/>
  </r>
  <r>
    <x v="4"/>
    <x v="0"/>
    <x v="1"/>
    <n v="13"/>
    <x v="24"/>
    <s v="Tolios"/>
    <n v="0"/>
    <n v="3"/>
    <n v="10"/>
    <n v="0"/>
    <x v="18"/>
    <s v="vs Nonis"/>
    <n v="78"/>
    <n v="0.45600000000000002"/>
    <n v="18"/>
    <n v="0.28599999999999998"/>
    <n v="0.83299999999999996"/>
    <n v="224"/>
    <n v="35"/>
    <n v="83"/>
    <n v="50"/>
    <n v="17"/>
    <n v="18"/>
    <n v="24"/>
    <n v="2.08"/>
  </r>
  <r>
    <x v="4"/>
    <x v="0"/>
    <x v="1"/>
    <n v="13"/>
    <x v="19"/>
    <s v="Nonis"/>
    <n v="1"/>
    <n v="10"/>
    <n v="3"/>
    <n v="0"/>
    <x v="24"/>
    <s v="vs Tolios"/>
    <n v="210"/>
    <n v="0.46800000000000003"/>
    <n v="37"/>
    <n v="0.29399999999999998"/>
    <n v="0.80200000000000005"/>
    <n v="587"/>
    <n v="44"/>
    <n v="193"/>
    <n v="133"/>
    <n v="30"/>
    <n v="25"/>
    <n v="82"/>
    <n v="1.62"/>
  </r>
  <r>
    <x v="4"/>
    <x v="0"/>
    <x v="1"/>
    <n v="14"/>
    <x v="20"/>
    <s v="Guru"/>
    <n v="1"/>
    <n v="9"/>
    <n v="4"/>
    <n v="0"/>
    <x v="7"/>
    <s v="vs Tassos"/>
    <n v="183"/>
    <n v="0.47399999999999998"/>
    <n v="52"/>
    <n v="0.34200000000000003"/>
    <n v="0.85699999999999998"/>
    <n v="502"/>
    <n v="38"/>
    <n v="152"/>
    <n v="105"/>
    <n v="43"/>
    <n v="19"/>
    <n v="53"/>
    <n v="1.98"/>
  </r>
  <r>
    <x v="4"/>
    <x v="0"/>
    <x v="1"/>
    <n v="14"/>
    <x v="6"/>
    <s v="Tassos"/>
    <n v="0"/>
    <n v="4"/>
    <n v="9"/>
    <n v="0"/>
    <x v="20"/>
    <s v="vs Guru"/>
    <n v="173"/>
    <n v="0.42899999999999999"/>
    <n v="54"/>
    <n v="0.30199999999999999"/>
    <n v="0.80600000000000005"/>
    <n v="458"/>
    <n v="44"/>
    <n v="140"/>
    <n v="113"/>
    <n v="36"/>
    <n v="22"/>
    <n v="74"/>
    <n v="1.53"/>
  </r>
  <r>
    <x v="4"/>
    <x v="0"/>
    <x v="1"/>
    <n v="15"/>
    <x v="18"/>
    <s v="Kotakis"/>
    <n v="0"/>
    <n v="4"/>
    <n v="9"/>
    <n v="0"/>
    <x v="8"/>
    <s v="vs Ziogas/Christof"/>
    <n v="113"/>
    <n v="0.39400000000000002"/>
    <n v="44"/>
    <n v="0.317"/>
    <n v="0.71399999999999997"/>
    <n v="325"/>
    <n v="29"/>
    <n v="127"/>
    <n v="54"/>
    <n v="39"/>
    <n v="18"/>
    <n v="29"/>
    <n v="1.86"/>
  </r>
  <r>
    <x v="4"/>
    <x v="0"/>
    <x v="1"/>
    <n v="15"/>
    <x v="9"/>
    <s v="Ziogas/Christof"/>
    <n v="1"/>
    <n v="9"/>
    <n v="4"/>
    <n v="0"/>
    <x v="19"/>
    <s v="vs Kotakis"/>
    <n v="142"/>
    <n v="0.436"/>
    <n v="46"/>
    <n v="0.33300000000000002"/>
    <n v="0.71199999999999997"/>
    <n v="382"/>
    <n v="38"/>
    <n v="140"/>
    <n v="125"/>
    <n v="30"/>
    <n v="20"/>
    <n v="77"/>
    <n v="1.62"/>
  </r>
  <r>
    <x v="4"/>
    <x v="0"/>
    <x v="1"/>
    <n v="16"/>
    <x v="11"/>
    <s v="pi/Sotiris"/>
    <n v="1"/>
    <n v="11"/>
    <n v="2"/>
    <n v="0"/>
    <x v="13"/>
    <s v="vs Stavros"/>
    <n v="203"/>
    <n v="0.45800000000000002"/>
    <n v="58"/>
    <n v="0.36"/>
    <n v="0.73099999999999998"/>
    <n v="551"/>
    <n v="59"/>
    <n v="215"/>
    <n v="135"/>
    <n v="45"/>
    <n v="17"/>
    <n v="76"/>
    <n v="1.78"/>
  </r>
  <r>
    <x v="4"/>
    <x v="0"/>
    <x v="1"/>
    <n v="16"/>
    <x v="12"/>
    <s v="Stavros"/>
    <n v="0"/>
    <n v="2"/>
    <n v="11"/>
    <n v="0"/>
    <x v="10"/>
    <s v="vs pi/Sotiris"/>
    <n v="135"/>
    <n v="0.42499999999999999"/>
    <n v="50"/>
    <n v="0.35499999999999998"/>
    <n v="0.77300000000000002"/>
    <n v="354"/>
    <n v="32"/>
    <n v="98"/>
    <n v="85"/>
    <n v="22"/>
    <n v="11"/>
    <n v="60"/>
    <n v="1.42"/>
  </r>
  <r>
    <x v="4"/>
    <x v="0"/>
    <x v="1"/>
    <n v="17"/>
    <x v="17"/>
    <s v="Spiridaus/Oladipas"/>
    <n v="0"/>
    <n v="4"/>
    <n v="8"/>
    <n v="1"/>
    <x v="6"/>
    <s v="vs Johnny"/>
    <n v="142"/>
    <n v="0.48299999999999998"/>
    <n v="29"/>
    <n v="0.29299999999999998"/>
    <n v="0.71599999999999997"/>
    <n v="366"/>
    <n v="45"/>
    <n v="159"/>
    <n v="67"/>
    <n v="23"/>
    <n v="19"/>
    <n v="47"/>
    <n v="1.43"/>
  </r>
  <r>
    <x v="4"/>
    <x v="0"/>
    <x v="1"/>
    <n v="17"/>
    <x v="7"/>
    <s v="Johnny"/>
    <n v="1"/>
    <n v="8"/>
    <n v="4"/>
    <n v="1"/>
    <x v="16"/>
    <s v="vs Spiridaus/Oladipas"/>
    <n v="195"/>
    <n v="0.435"/>
    <n v="59"/>
    <n v="0.35299999999999998"/>
    <n v="0.83499999999999996"/>
    <n v="530"/>
    <n v="39"/>
    <n v="159"/>
    <n v="103"/>
    <n v="39"/>
    <n v="18"/>
    <n v="56"/>
    <n v="1.84"/>
  </r>
  <r>
    <x v="4"/>
    <x v="0"/>
    <x v="1"/>
    <n v="18"/>
    <x v="1"/>
    <s v="Fanis"/>
    <n v="1"/>
    <n v="8"/>
    <n v="5"/>
    <n v="0"/>
    <x v="4"/>
    <s v="vs Markos"/>
    <n v="182"/>
    <n v="0.43"/>
    <n v="61"/>
    <n v="0.33300000000000002"/>
    <n v="0.76800000000000002"/>
    <n v="478"/>
    <n v="30"/>
    <n v="151"/>
    <n v="102"/>
    <n v="27"/>
    <n v="28"/>
    <n v="70"/>
    <n v="1.46"/>
  </r>
  <r>
    <x v="4"/>
    <x v="0"/>
    <x v="1"/>
    <n v="18"/>
    <x v="5"/>
    <s v="Markos"/>
    <n v="0"/>
    <n v="5"/>
    <n v="8"/>
    <n v="0"/>
    <x v="0"/>
    <s v="vs Fanis"/>
    <n v="147"/>
    <n v="0.48"/>
    <n v="36"/>
    <n v="0.371"/>
    <n v="0.75800000000000001"/>
    <n v="380"/>
    <n v="36"/>
    <n v="106"/>
    <n v="96"/>
    <n v="22"/>
    <n v="17"/>
    <n v="65"/>
    <n v="1.48"/>
  </r>
  <r>
    <x v="4"/>
    <x v="0"/>
    <x v="1"/>
    <n v="19"/>
    <x v="21"/>
    <s v="Tzokos"/>
    <n v="1"/>
    <n v="12"/>
    <n v="1"/>
    <n v="0"/>
    <x v="3"/>
    <s v="vs Fountos"/>
    <n v="230"/>
    <n v="0.49299999999999999"/>
    <n v="55"/>
    <n v="0.34399999999999997"/>
    <n v="0.80500000000000005"/>
    <n v="614"/>
    <n v="81"/>
    <n v="191"/>
    <n v="113"/>
    <n v="41"/>
    <n v="21"/>
    <n v="79"/>
    <n v="1.43"/>
  </r>
  <r>
    <x v="4"/>
    <x v="0"/>
    <x v="1"/>
    <n v="19"/>
    <x v="2"/>
    <s v="Fountos"/>
    <n v="0"/>
    <n v="1"/>
    <n v="12"/>
    <n v="0"/>
    <x v="21"/>
    <s v="vs Tzokos"/>
    <n v="171"/>
    <n v="0.442"/>
    <n v="46"/>
    <n v="0.309"/>
    <n v="0.69499999999999995"/>
    <n v="461"/>
    <n v="45"/>
    <n v="136"/>
    <n v="71"/>
    <n v="31"/>
    <n v="18"/>
    <n v="63"/>
    <n v="1.1299999999999999"/>
  </r>
  <r>
    <x v="4"/>
    <x v="0"/>
    <x v="1"/>
    <n v="20"/>
    <x v="16"/>
    <s v="Aris"/>
    <n v="1"/>
    <n v="10"/>
    <n v="3"/>
    <n v="0"/>
    <x v="12"/>
    <s v="vs Kousidis"/>
    <n v="173"/>
    <n v="0.43"/>
    <n v="63"/>
    <n v="0.36599999999999999"/>
    <n v="0.86299999999999999"/>
    <n v="491"/>
    <n v="31"/>
    <n v="148"/>
    <n v="119"/>
    <n v="22"/>
    <n v="20"/>
    <n v="63"/>
    <n v="1.89"/>
  </r>
  <r>
    <x v="4"/>
    <x v="0"/>
    <x v="1"/>
    <n v="20"/>
    <x v="13"/>
    <s v="Kousidis"/>
    <n v="0"/>
    <n v="3"/>
    <n v="10"/>
    <n v="0"/>
    <x v="17"/>
    <s v="vs Aris"/>
    <n v="133"/>
    <n v="0.44"/>
    <n v="33"/>
    <n v="0.34399999999999997"/>
    <n v="0.746"/>
    <n v="349"/>
    <n v="26"/>
    <n v="115"/>
    <n v="62"/>
    <n v="24"/>
    <n v="14"/>
    <n v="39"/>
    <n v="1.59"/>
  </r>
  <r>
    <x v="4"/>
    <x v="0"/>
    <x v="2"/>
    <n v="21"/>
    <x v="23"/>
    <s v="Sarantos"/>
    <n v="0"/>
    <n v="5"/>
    <n v="8"/>
    <n v="0"/>
    <x v="6"/>
    <s v="vs Johnny"/>
    <n v="155"/>
    <n v="0.44900000000000001"/>
    <n v="50"/>
    <n v="0.35"/>
    <n v="0.67200000000000004"/>
    <n v="403"/>
    <n v="37"/>
    <n v="94"/>
    <n v="101"/>
    <n v="30"/>
    <n v="17"/>
    <n v="55"/>
    <n v="1.84"/>
  </r>
  <r>
    <x v="4"/>
    <x v="0"/>
    <x v="2"/>
    <n v="21"/>
    <x v="7"/>
    <s v="Johnny"/>
    <n v="1"/>
    <n v="8"/>
    <n v="5"/>
    <n v="0"/>
    <x v="23"/>
    <s v="vs Sarantos"/>
    <n v="182"/>
    <n v="0.443"/>
    <n v="43"/>
    <n v="0.30299999999999999"/>
    <n v="0.80800000000000005"/>
    <n v="470"/>
    <n v="50"/>
    <n v="155"/>
    <n v="139"/>
    <n v="26"/>
    <n v="14"/>
    <n v="51"/>
    <n v="2.73"/>
  </r>
  <r>
    <x v="4"/>
    <x v="0"/>
    <x v="2"/>
    <n v="22"/>
    <x v="13"/>
    <s v="Kousidis"/>
    <n v="1"/>
    <n v="8"/>
    <n v="5"/>
    <n v="0"/>
    <x v="4"/>
    <s v="vs Markos"/>
    <n v="163"/>
    <n v="0.46200000000000002"/>
    <n v="38"/>
    <n v="0.35799999999999998"/>
    <n v="0.77900000000000003"/>
    <n v="424"/>
    <n v="50"/>
    <n v="154"/>
    <n v="93"/>
    <n v="26"/>
    <n v="21"/>
    <n v="59"/>
    <n v="1.58"/>
  </r>
  <r>
    <x v="4"/>
    <x v="0"/>
    <x v="2"/>
    <n v="22"/>
    <x v="5"/>
    <s v="Markos"/>
    <n v="0"/>
    <n v="5"/>
    <n v="8"/>
    <n v="0"/>
    <x v="12"/>
    <s v="vs Kousidis"/>
    <n v="148"/>
    <n v="0.502"/>
    <n v="45"/>
    <n v="0.437"/>
    <n v="0.6"/>
    <n v="374"/>
    <n v="22"/>
    <n v="107"/>
    <n v="62"/>
    <n v="21"/>
    <n v="10"/>
    <n v="37"/>
    <n v="1.68"/>
  </r>
  <r>
    <x v="4"/>
    <x v="0"/>
    <x v="2"/>
    <n v="23"/>
    <x v="2"/>
    <s v="Fountos"/>
    <n v="0"/>
    <n v="4"/>
    <n v="9"/>
    <n v="0"/>
    <x v="10"/>
    <s v="vs pi/Sotiris"/>
    <n v="170"/>
    <n v="0.437"/>
    <n v="53"/>
    <n v="0.33500000000000002"/>
    <n v="0.77600000000000002"/>
    <n v="431"/>
    <n v="39"/>
    <n v="141"/>
    <n v="108"/>
    <n v="24"/>
    <n v="10"/>
    <n v="55"/>
    <n v="1.96"/>
  </r>
  <r>
    <x v="4"/>
    <x v="0"/>
    <x v="2"/>
    <n v="23"/>
    <x v="11"/>
    <s v="pi/Sotiris"/>
    <n v="1"/>
    <n v="9"/>
    <n v="4"/>
    <n v="0"/>
    <x v="3"/>
    <s v="vs Fountos"/>
    <n v="211"/>
    <n v="0.46300000000000002"/>
    <n v="57"/>
    <n v="0.33300000000000002"/>
    <n v="0.72199999999999998"/>
    <n v="562"/>
    <n v="58"/>
    <n v="204"/>
    <n v="118"/>
    <n v="45"/>
    <n v="24"/>
    <n v="68"/>
    <n v="1.74"/>
  </r>
  <r>
    <x v="4"/>
    <x v="0"/>
    <x v="2"/>
    <n v="24"/>
    <x v="15"/>
    <s v="Vasilis"/>
    <n v="1"/>
    <n v="8"/>
    <n v="5"/>
    <n v="0"/>
    <x v="24"/>
    <s v="vs Tolios"/>
    <n v="146"/>
    <n v="0.44600000000000001"/>
    <n v="69"/>
    <n v="0.40400000000000003"/>
    <n v="0.85099999999999998"/>
    <n v="424"/>
    <n v="20"/>
    <n v="135"/>
    <n v="119"/>
    <n v="28"/>
    <n v="13"/>
    <n v="77"/>
    <n v="1.55"/>
  </r>
  <r>
    <x v="4"/>
    <x v="0"/>
    <x v="2"/>
    <n v="24"/>
    <x v="24"/>
    <s v="Tolios"/>
    <n v="0"/>
    <n v="5"/>
    <n v="8"/>
    <n v="0"/>
    <x v="14"/>
    <s v="vs Vasilis"/>
    <n v="100"/>
    <n v="0.45900000000000002"/>
    <n v="21"/>
    <n v="0.30399999999999999"/>
    <n v="0.78300000000000003"/>
    <n v="268"/>
    <n v="47"/>
    <n v="85"/>
    <n v="69"/>
    <n v="17"/>
    <n v="15"/>
    <n v="27"/>
    <n v="2.56"/>
  </r>
  <r>
    <x v="4"/>
    <x v="0"/>
    <x v="2"/>
    <n v="25"/>
    <x v="12"/>
    <s v="Stavros"/>
    <n v="0"/>
    <n v="1"/>
    <n v="12"/>
    <n v="0"/>
    <x v="0"/>
    <s v="vs Fanis"/>
    <n v="169"/>
    <n v="0.45900000000000002"/>
    <n v="46"/>
    <n v="0.317"/>
    <n v="0.86599999999999999"/>
    <n v="442"/>
    <n v="37"/>
    <n v="102"/>
    <n v="94"/>
    <n v="36"/>
    <n v="15"/>
    <n v="61"/>
    <n v="1.54"/>
  </r>
  <r>
    <x v="4"/>
    <x v="0"/>
    <x v="2"/>
    <n v="25"/>
    <x v="1"/>
    <s v="Fanis"/>
    <n v="1"/>
    <n v="12"/>
    <n v="1"/>
    <n v="0"/>
    <x v="13"/>
    <s v="vs Stavros"/>
    <n v="189"/>
    <n v="0.50800000000000001"/>
    <n v="65"/>
    <n v="0.42499999999999999"/>
    <n v="0.84199999999999997"/>
    <n v="507"/>
    <n v="40"/>
    <n v="145"/>
    <n v="122"/>
    <n v="39"/>
    <n v="25"/>
    <n v="59"/>
    <n v="2.0699999999999998"/>
  </r>
  <r>
    <x v="4"/>
    <x v="0"/>
    <x v="2"/>
    <n v="26"/>
    <x v="6"/>
    <s v="Tassos"/>
    <n v="1"/>
    <n v="10"/>
    <n v="3"/>
    <n v="0"/>
    <x v="17"/>
    <s v="vs Aris"/>
    <n v="189"/>
    <n v="0.47"/>
    <n v="74"/>
    <n v="0.45400000000000001"/>
    <n v="0.82499999999999996"/>
    <n v="518"/>
    <n v="45"/>
    <n v="174"/>
    <n v="97"/>
    <n v="47"/>
    <n v="30"/>
    <n v="59"/>
    <n v="1.64"/>
  </r>
  <r>
    <x v="4"/>
    <x v="0"/>
    <x v="2"/>
    <n v="26"/>
    <x v="16"/>
    <s v="Aris"/>
    <n v="0"/>
    <n v="3"/>
    <n v="10"/>
    <n v="0"/>
    <x v="7"/>
    <s v="vs Tassos"/>
    <n v="163"/>
    <n v="0.48499999999999999"/>
    <n v="55"/>
    <n v="0.39300000000000002"/>
    <n v="0.81799999999999995"/>
    <n v="444"/>
    <n v="38"/>
    <n v="135"/>
    <n v="90"/>
    <n v="22"/>
    <n v="25"/>
    <n v="46"/>
    <n v="1.96"/>
  </r>
  <r>
    <x v="4"/>
    <x v="0"/>
    <x v="2"/>
    <n v="27"/>
    <x v="19"/>
    <s v="Nonis"/>
    <n v="1"/>
    <n v="9"/>
    <n v="4"/>
    <n v="0"/>
    <x v="16"/>
    <s v="vs Spiridaus/Oladipas"/>
    <n v="214"/>
    <n v="0.495"/>
    <n v="48"/>
    <n v="0.34300000000000003"/>
    <n v="0.77500000000000002"/>
    <n v="617"/>
    <n v="35"/>
    <n v="184"/>
    <n v="141"/>
    <n v="32"/>
    <n v="24"/>
    <n v="96"/>
    <n v="1.47"/>
  </r>
  <r>
    <x v="4"/>
    <x v="0"/>
    <x v="2"/>
    <n v="27"/>
    <x v="17"/>
    <s v="Spiridaus/Oladipas"/>
    <n v="0"/>
    <n v="4"/>
    <n v="9"/>
    <n v="0"/>
    <x v="18"/>
    <s v="vs Nonis"/>
    <n v="168"/>
    <n v="0.42699999999999999"/>
    <n v="42"/>
    <n v="0.316"/>
    <n v="0.75700000000000001"/>
    <n v="456"/>
    <n v="60"/>
    <n v="177"/>
    <n v="76"/>
    <n v="36"/>
    <n v="26"/>
    <n v="69"/>
    <n v="1.1000000000000001"/>
  </r>
  <r>
    <x v="4"/>
    <x v="0"/>
    <x v="2"/>
    <n v="28"/>
    <x v="9"/>
    <s v="Ziogas/Christof"/>
    <n v="1"/>
    <n v="9"/>
    <n v="4"/>
    <n v="0"/>
    <x v="25"/>
    <s v="vs Arvanitis"/>
    <n v="137"/>
    <n v="0.44500000000000001"/>
    <n v="41"/>
    <n v="0.32300000000000001"/>
    <n v="0.78700000000000003"/>
    <n v="374"/>
    <n v="28"/>
    <n v="136"/>
    <n v="125"/>
    <n v="30"/>
    <n v="17"/>
    <n v="59"/>
    <n v="2.12"/>
  </r>
  <r>
    <x v="4"/>
    <x v="0"/>
    <x v="2"/>
    <n v="28"/>
    <x v="25"/>
    <s v="Arvanitis"/>
    <n v="0"/>
    <n v="4"/>
    <n v="9"/>
    <n v="0"/>
    <x v="8"/>
    <s v="vs Ziogas/Christof"/>
    <n v="113"/>
    <n v="0.436"/>
    <n v="37"/>
    <n v="0.33600000000000002"/>
    <n v="0.77100000000000002"/>
    <n v="300"/>
    <n v="27"/>
    <n v="120"/>
    <n v="69"/>
    <n v="31"/>
    <n v="21"/>
    <n v="37"/>
    <n v="1.86"/>
  </r>
  <r>
    <x v="4"/>
    <x v="0"/>
    <x v="2"/>
    <n v="29"/>
    <x v="20"/>
    <s v="Guru"/>
    <n v="0"/>
    <n v="3"/>
    <n v="10"/>
    <n v="0"/>
    <x v="21"/>
    <s v="vs Tzokos"/>
    <n v="177"/>
    <n v="0.45"/>
    <n v="52"/>
    <n v="0.30099999999999999"/>
    <n v="0.79500000000000004"/>
    <n v="495"/>
    <n v="35"/>
    <n v="149"/>
    <n v="112"/>
    <n v="27"/>
    <n v="15"/>
    <n v="59"/>
    <n v="1.9"/>
  </r>
  <r>
    <x v="4"/>
    <x v="0"/>
    <x v="2"/>
    <n v="29"/>
    <x v="21"/>
    <s v="Tzokos"/>
    <n v="1"/>
    <n v="10"/>
    <n v="3"/>
    <n v="0"/>
    <x v="20"/>
    <s v="vs Guru"/>
    <n v="201"/>
    <n v="0.47299999999999998"/>
    <n v="63"/>
    <n v="0.38200000000000001"/>
    <n v="0.78500000000000003"/>
    <n v="549"/>
    <n v="47"/>
    <n v="187"/>
    <n v="113"/>
    <n v="35"/>
    <n v="21"/>
    <n v="69"/>
    <n v="1.64"/>
  </r>
  <r>
    <x v="4"/>
    <x v="0"/>
    <x v="2"/>
    <n v="30"/>
    <x v="18"/>
    <s v="Kotakis"/>
    <n v="1"/>
    <n v="7"/>
    <n v="5"/>
    <n v="1"/>
    <x v="2"/>
    <s v="vs Sakellariou"/>
    <n v="148"/>
    <n v="0.45100000000000001"/>
    <n v="37"/>
    <n v="0.28000000000000003"/>
    <n v="0.73499999999999999"/>
    <n v="369"/>
    <n v="29"/>
    <n v="92"/>
    <n v="53"/>
    <n v="39"/>
    <n v="23"/>
    <n v="65"/>
    <n v="0.82"/>
  </r>
  <r>
    <x v="4"/>
    <x v="0"/>
    <x v="2"/>
    <n v="30"/>
    <x v="3"/>
    <s v="Sakellariou"/>
    <n v="0"/>
    <n v="5"/>
    <n v="7"/>
    <n v="1"/>
    <x v="19"/>
    <s v="vs Kotakis"/>
    <n v="127"/>
    <n v="0.41199999999999998"/>
    <n v="33"/>
    <n v="0.26600000000000001"/>
    <n v="0.76"/>
    <n v="363"/>
    <n v="29"/>
    <n v="102"/>
    <n v="64"/>
    <n v="37"/>
    <n v="18"/>
    <n v="38"/>
    <n v="1.68"/>
  </r>
  <r>
    <x v="4"/>
    <x v="0"/>
    <x v="3"/>
    <n v="31"/>
    <x v="7"/>
    <s v="Johnny"/>
    <n v="1"/>
    <n v="7"/>
    <n v="6"/>
    <n v="0"/>
    <x v="8"/>
    <s v="vs Ziogas/Christof"/>
    <n v="198"/>
    <n v="0.44800000000000001"/>
    <n v="35"/>
    <n v="0.28499999999999998"/>
    <n v="0.73099999999999998"/>
    <n v="499"/>
    <n v="43"/>
    <n v="158"/>
    <n v="129"/>
    <n v="66"/>
    <n v="18"/>
    <n v="54"/>
    <n v="2.39"/>
  </r>
  <r>
    <x v="4"/>
    <x v="0"/>
    <x v="3"/>
    <n v="31"/>
    <x v="9"/>
    <s v="Ziogas/Christof"/>
    <n v="0"/>
    <n v="6"/>
    <n v="7"/>
    <n v="0"/>
    <x v="6"/>
    <s v="vs Johnny"/>
    <n v="169"/>
    <n v="0.44700000000000001"/>
    <n v="55"/>
    <n v="0.35"/>
    <n v="0.747"/>
    <n v="455"/>
    <n v="33"/>
    <n v="147"/>
    <n v="150"/>
    <n v="30"/>
    <n v="23"/>
    <n v="57"/>
    <n v="2.63"/>
  </r>
  <r>
    <x v="4"/>
    <x v="0"/>
    <x v="3"/>
    <n v="32"/>
    <x v="25"/>
    <s v="Arvanitis"/>
    <n v="0"/>
    <n v="3"/>
    <n v="10"/>
    <n v="0"/>
    <x v="2"/>
    <s v="vs Sakellariou"/>
    <n v="108"/>
    <n v="0.45600000000000002"/>
    <n v="27"/>
    <n v="0.32100000000000001"/>
    <n v="0.77800000000000002"/>
    <n v="271"/>
    <n v="38"/>
    <n v="78"/>
    <n v="66"/>
    <n v="21"/>
    <n v="13"/>
    <n v="20"/>
    <n v="3.3"/>
  </r>
  <r>
    <x v="4"/>
    <x v="0"/>
    <x v="3"/>
    <n v="32"/>
    <x v="3"/>
    <s v="Sakellariou"/>
    <n v="1"/>
    <n v="10"/>
    <n v="3"/>
    <n v="0"/>
    <x v="25"/>
    <s v="vs Arvanitis"/>
    <n v="168"/>
    <n v="0.43099999999999999"/>
    <n v="46"/>
    <n v="0.33600000000000002"/>
    <n v="0.79300000000000004"/>
    <n v="447"/>
    <n v="45"/>
    <n v="137"/>
    <n v="90"/>
    <n v="41"/>
    <n v="18"/>
    <n v="50"/>
    <n v="1.8"/>
  </r>
  <r>
    <x v="4"/>
    <x v="0"/>
    <x v="3"/>
    <n v="33"/>
    <x v="12"/>
    <s v="Stavros"/>
    <n v="1"/>
    <n v="7"/>
    <n v="6"/>
    <n v="0"/>
    <x v="3"/>
    <s v="vs Fountos"/>
    <n v="154"/>
    <n v="0.441"/>
    <n v="45"/>
    <n v="0.29799999999999999"/>
    <n v="0.71399999999999997"/>
    <n v="398"/>
    <n v="28"/>
    <n v="115"/>
    <n v="88"/>
    <n v="36"/>
    <n v="20"/>
    <n v="53"/>
    <n v="1.66"/>
  </r>
  <r>
    <x v="4"/>
    <x v="0"/>
    <x v="3"/>
    <n v="33"/>
    <x v="2"/>
    <s v="Fountos"/>
    <n v="0"/>
    <n v="6"/>
    <n v="7"/>
    <n v="0"/>
    <x v="13"/>
    <s v="vs Stavros"/>
    <n v="145"/>
    <n v="0.46200000000000002"/>
    <n v="55"/>
    <n v="0.41399999999999998"/>
    <n v="0.79600000000000004"/>
    <n v="388"/>
    <n v="27"/>
    <n v="85"/>
    <n v="62"/>
    <n v="23"/>
    <n v="12"/>
    <n v="34"/>
    <n v="1.82"/>
  </r>
  <r>
    <x v="4"/>
    <x v="0"/>
    <x v="3"/>
    <n v="34"/>
    <x v="19"/>
    <s v="Nonis"/>
    <n v="0"/>
    <n v="4"/>
    <n v="9"/>
    <n v="0"/>
    <x v="14"/>
    <s v="vs Vasilis"/>
    <n v="152"/>
    <n v="0.46899999999999997"/>
    <n v="44"/>
    <n v="0.38300000000000001"/>
    <n v="0.78"/>
    <n v="433"/>
    <n v="32"/>
    <n v="134"/>
    <n v="103"/>
    <n v="33"/>
    <n v="10"/>
    <n v="61"/>
    <n v="1.69"/>
  </r>
  <r>
    <x v="4"/>
    <x v="0"/>
    <x v="3"/>
    <n v="34"/>
    <x v="15"/>
    <s v="Vasilis"/>
    <n v="1"/>
    <n v="9"/>
    <n v="4"/>
    <n v="0"/>
    <x v="18"/>
    <s v="vs Nonis"/>
    <n v="181"/>
    <n v="0.43099999999999999"/>
    <n v="81"/>
    <n v="0.37"/>
    <n v="0.86299999999999999"/>
    <n v="525"/>
    <n v="17"/>
    <n v="157"/>
    <n v="145"/>
    <n v="36"/>
    <n v="13"/>
    <n v="84"/>
    <n v="1.73"/>
  </r>
  <r>
    <x v="4"/>
    <x v="0"/>
    <x v="3"/>
    <n v="35"/>
    <x v="24"/>
    <s v="Tolios"/>
    <n v="0"/>
    <n v="6"/>
    <n v="6"/>
    <n v="1"/>
    <x v="19"/>
    <s v="vs Kotakis"/>
    <n v="141"/>
    <n v="0.54700000000000004"/>
    <n v="33"/>
    <n v="0.40699999999999997"/>
    <n v="0.78800000000000003"/>
    <n v="367"/>
    <n v="48"/>
    <n v="88"/>
    <n v="60"/>
    <n v="11"/>
    <n v="15"/>
    <n v="60"/>
    <n v="1"/>
  </r>
  <r>
    <x v="4"/>
    <x v="0"/>
    <x v="3"/>
    <n v="35"/>
    <x v="18"/>
    <s v="Kotakis"/>
    <n v="0"/>
    <n v="6"/>
    <n v="6"/>
    <n v="1"/>
    <x v="24"/>
    <s v="vs Tolios"/>
    <n v="134"/>
    <n v="0.46400000000000002"/>
    <n v="58"/>
    <n v="0.40600000000000003"/>
    <n v="0.82499999999999996"/>
    <n v="378"/>
    <n v="30"/>
    <n v="111"/>
    <n v="33"/>
    <n v="21"/>
    <n v="15"/>
    <n v="43"/>
    <n v="0.77"/>
  </r>
  <r>
    <x v="4"/>
    <x v="0"/>
    <x v="3"/>
    <n v="36"/>
    <x v="11"/>
    <s v="pi/Sotiris"/>
    <n v="1"/>
    <n v="8"/>
    <n v="5"/>
    <n v="0"/>
    <x v="20"/>
    <s v="vs Guru"/>
    <n v="199"/>
    <n v="0.46100000000000002"/>
    <n v="54"/>
    <n v="0.34599999999999997"/>
    <n v="0.77200000000000002"/>
    <n v="523"/>
    <n v="43"/>
    <n v="189"/>
    <n v="133"/>
    <n v="24"/>
    <n v="11"/>
    <n v="65"/>
    <n v="2.0499999999999998"/>
  </r>
  <r>
    <x v="4"/>
    <x v="0"/>
    <x v="3"/>
    <n v="36"/>
    <x v="20"/>
    <s v="Guru"/>
    <n v="0"/>
    <n v="5"/>
    <n v="8"/>
    <n v="0"/>
    <x v="10"/>
    <s v="vs pi/Sotiris"/>
    <n v="171"/>
    <n v="0.496"/>
    <n v="37"/>
    <n v="0.308"/>
    <n v="0.82"/>
    <n v="452"/>
    <n v="36"/>
    <n v="155"/>
    <n v="100"/>
    <n v="16"/>
    <n v="20"/>
    <n v="47"/>
    <n v="2.13"/>
  </r>
  <r>
    <x v="4"/>
    <x v="0"/>
    <x v="3"/>
    <n v="37"/>
    <x v="17"/>
    <s v="Spiridaus/Oladipas"/>
    <n v="0"/>
    <n v="4"/>
    <n v="9"/>
    <n v="0"/>
    <x v="23"/>
    <s v="vs Sarantos"/>
    <n v="156"/>
    <n v="0.44600000000000001"/>
    <n v="44"/>
    <n v="0.35199999999999998"/>
    <n v="0.68400000000000005"/>
    <n v="408"/>
    <n v="44"/>
    <n v="137"/>
    <n v="104"/>
    <n v="34"/>
    <n v="12"/>
    <n v="73"/>
    <n v="1.42"/>
  </r>
  <r>
    <x v="4"/>
    <x v="0"/>
    <x v="3"/>
    <n v="37"/>
    <x v="23"/>
    <s v="Sarantos"/>
    <n v="1"/>
    <n v="9"/>
    <n v="4"/>
    <n v="0"/>
    <x v="16"/>
    <s v="vs Spiridaus/Oladipas"/>
    <n v="185"/>
    <n v="0.45700000000000002"/>
    <n v="54"/>
    <n v="0.32"/>
    <n v="0.76700000000000002"/>
    <n v="503"/>
    <n v="37"/>
    <n v="125"/>
    <n v="95"/>
    <n v="35"/>
    <n v="14"/>
    <n v="54"/>
    <n v="1.76"/>
  </r>
  <r>
    <x v="4"/>
    <x v="0"/>
    <x v="3"/>
    <n v="38"/>
    <x v="5"/>
    <s v="Markos"/>
    <n v="0"/>
    <n v="3"/>
    <n v="10"/>
    <n v="0"/>
    <x v="7"/>
    <s v="vs Tassos"/>
    <n v="130"/>
    <n v="0.44400000000000001"/>
    <n v="28"/>
    <n v="0.28599999999999998"/>
    <n v="0.85299999999999998"/>
    <n v="346"/>
    <n v="14"/>
    <n v="95"/>
    <n v="79"/>
    <n v="21"/>
    <n v="8"/>
    <n v="29"/>
    <n v="2.72"/>
  </r>
  <r>
    <x v="4"/>
    <x v="0"/>
    <x v="3"/>
    <n v="38"/>
    <x v="6"/>
    <s v="Tassos"/>
    <n v="1"/>
    <n v="10"/>
    <n v="3"/>
    <n v="0"/>
    <x v="4"/>
    <s v="vs Markos"/>
    <n v="187"/>
    <n v="0.46400000000000002"/>
    <n v="65"/>
    <n v="0.36899999999999999"/>
    <n v="0.76700000000000002"/>
    <n v="495"/>
    <n v="43"/>
    <n v="146"/>
    <n v="80"/>
    <n v="38"/>
    <n v="33"/>
    <n v="57"/>
    <n v="1.4"/>
  </r>
  <r>
    <x v="4"/>
    <x v="0"/>
    <x v="3"/>
    <n v="39"/>
    <x v="1"/>
    <s v="Fanis"/>
    <n v="1"/>
    <n v="9"/>
    <n v="4"/>
    <n v="0"/>
    <x v="12"/>
    <s v="vs Kousidis"/>
    <n v="199"/>
    <n v="0.45300000000000001"/>
    <n v="65"/>
    <n v="0.38"/>
    <n v="0.76900000000000002"/>
    <n v="533"/>
    <n v="41"/>
    <n v="177"/>
    <n v="142"/>
    <n v="46"/>
    <n v="27"/>
    <n v="57"/>
    <n v="2.4900000000000002"/>
  </r>
  <r>
    <x v="4"/>
    <x v="0"/>
    <x v="3"/>
    <n v="39"/>
    <x v="13"/>
    <s v="Kousidis"/>
    <n v="0"/>
    <n v="4"/>
    <n v="9"/>
    <n v="0"/>
    <x v="0"/>
    <s v="vs Fanis"/>
    <n v="128"/>
    <n v="0.42399999999999999"/>
    <n v="48"/>
    <n v="0.432"/>
    <n v="0.71199999999999997"/>
    <n v="341"/>
    <n v="43"/>
    <n v="148"/>
    <n v="61"/>
    <n v="22"/>
    <n v="29"/>
    <n v="36"/>
    <n v="1.69"/>
  </r>
  <r>
    <x v="4"/>
    <x v="0"/>
    <x v="3"/>
    <n v="40"/>
    <x v="16"/>
    <s v="Aris"/>
    <n v="0"/>
    <n v="2"/>
    <n v="11"/>
    <n v="0"/>
    <x v="21"/>
    <s v="vs Tzokos"/>
    <n v="190"/>
    <n v="0.47399999999999998"/>
    <n v="56"/>
    <n v="0.36399999999999999"/>
    <n v="0.79"/>
    <n v="534"/>
    <n v="53"/>
    <n v="145"/>
    <n v="129"/>
    <n v="28"/>
    <n v="34"/>
    <n v="82"/>
    <n v="1.57"/>
  </r>
  <r>
    <x v="4"/>
    <x v="0"/>
    <x v="3"/>
    <n v="40"/>
    <x v="21"/>
    <s v="Tzokos"/>
    <n v="1"/>
    <n v="11"/>
    <n v="2"/>
    <n v="0"/>
    <x v="17"/>
    <s v="vs Aris"/>
    <n v="219"/>
    <n v="0.48199999999999998"/>
    <n v="67"/>
    <n v="0.432"/>
    <n v="0.82099999999999995"/>
    <n v="592"/>
    <n v="74"/>
    <n v="176"/>
    <n v="113"/>
    <n v="30"/>
    <n v="25"/>
    <n v="49"/>
    <n v="2.31"/>
  </r>
  <r>
    <x v="4"/>
    <x v="0"/>
    <x v="4"/>
    <n v="41"/>
    <x v="3"/>
    <s v="Sakellariou"/>
    <n v="1"/>
    <n v="11"/>
    <n v="2"/>
    <n v="0"/>
    <x v="6"/>
    <s v="vs Johnny"/>
    <n v="203"/>
    <n v="0.46800000000000003"/>
    <n v="61"/>
    <n v="0.374"/>
    <n v="0.81699999999999995"/>
    <n v="556"/>
    <n v="64"/>
    <n v="166"/>
    <n v="118"/>
    <n v="33"/>
    <n v="27"/>
    <n v="59"/>
    <n v="2"/>
  </r>
  <r>
    <x v="4"/>
    <x v="0"/>
    <x v="4"/>
    <n v="41"/>
    <x v="7"/>
    <s v="Johnny"/>
    <n v="0"/>
    <n v="2"/>
    <n v="11"/>
    <n v="0"/>
    <x v="2"/>
    <s v="vs Sakellariou"/>
    <n v="145"/>
    <n v="0.44600000000000001"/>
    <n v="39"/>
    <n v="0.33300000000000002"/>
    <n v="0.79700000000000004"/>
    <n v="384"/>
    <n v="30"/>
    <n v="119"/>
    <n v="113"/>
    <n v="29"/>
    <n v="13"/>
    <n v="45"/>
    <n v="2.5099999999999998"/>
  </r>
  <r>
    <x v="4"/>
    <x v="0"/>
    <x v="4"/>
    <n v="42"/>
    <x v="2"/>
    <s v="Fountos"/>
    <n v="0"/>
    <n v="5"/>
    <n v="8"/>
    <n v="0"/>
    <x v="0"/>
    <s v="vs Fanis"/>
    <n v="169"/>
    <n v="0.42399999999999999"/>
    <n v="64"/>
    <n v="0.36199999999999999"/>
    <n v="0.73199999999999998"/>
    <n v="454"/>
    <n v="24"/>
    <n v="145"/>
    <n v="111"/>
    <n v="20"/>
    <n v="20"/>
    <n v="59"/>
    <n v="1.88"/>
  </r>
  <r>
    <x v="4"/>
    <x v="0"/>
    <x v="4"/>
    <n v="42"/>
    <x v="1"/>
    <s v="Fanis"/>
    <n v="1"/>
    <n v="8"/>
    <n v="5"/>
    <n v="0"/>
    <x v="3"/>
    <s v="vs Fountos"/>
    <n v="155"/>
    <n v="0.47099999999999997"/>
    <n v="32"/>
    <n v="0.33300000000000002"/>
    <n v="0.85899999999999999"/>
    <n v="409"/>
    <n v="29"/>
    <n v="130"/>
    <n v="115"/>
    <n v="32"/>
    <n v="35"/>
    <n v="50"/>
    <n v="2.2999999999999998"/>
  </r>
  <r>
    <x v="4"/>
    <x v="0"/>
    <x v="4"/>
    <n v="43"/>
    <x v="25"/>
    <s v="Arvanitis"/>
    <n v="0"/>
    <n v="6"/>
    <n v="7"/>
    <n v="0"/>
    <x v="24"/>
    <s v="vs Tolios"/>
    <n v="102"/>
    <n v="0.43"/>
    <n v="28"/>
    <n v="0.28899999999999998"/>
    <n v="0.72699999999999998"/>
    <n v="248"/>
    <n v="28"/>
    <n v="98"/>
    <n v="61"/>
    <n v="28"/>
    <n v="24"/>
    <n v="23"/>
    <n v="2.65"/>
  </r>
  <r>
    <x v="4"/>
    <x v="0"/>
    <x v="4"/>
    <n v="43"/>
    <x v="24"/>
    <s v="Tolios"/>
    <n v="1"/>
    <n v="7"/>
    <n v="6"/>
    <n v="0"/>
    <x v="25"/>
    <s v="vs Arvanitis"/>
    <n v="106"/>
    <n v="0.48"/>
    <n v="27"/>
    <n v="0.32500000000000001"/>
    <n v="0.84599999999999997"/>
    <n v="272"/>
    <n v="33"/>
    <n v="81"/>
    <n v="63"/>
    <n v="20"/>
    <n v="12"/>
    <n v="35"/>
    <n v="1.8"/>
  </r>
  <r>
    <x v="4"/>
    <x v="0"/>
    <x v="4"/>
    <n v="44"/>
    <x v="15"/>
    <s v="Vasilis"/>
    <n v="0"/>
    <n v="4"/>
    <n v="9"/>
    <n v="0"/>
    <x v="16"/>
    <s v="vs Spiridaus/Oladipas"/>
    <n v="167"/>
    <n v="0.4"/>
    <n v="64"/>
    <n v="0.30599999999999999"/>
    <n v="0.83499999999999996"/>
    <n v="514"/>
    <n v="21"/>
    <n v="126"/>
    <n v="134"/>
    <n v="29"/>
    <n v="15"/>
    <n v="74"/>
    <n v="1.81"/>
  </r>
  <r>
    <x v="4"/>
    <x v="0"/>
    <x v="4"/>
    <n v="44"/>
    <x v="17"/>
    <s v="Spiridaus/Oladipas"/>
    <n v="1"/>
    <n v="9"/>
    <n v="4"/>
    <n v="0"/>
    <x v="14"/>
    <s v="vs Vasilis"/>
    <n v="218"/>
    <n v="0.495"/>
    <n v="52"/>
    <n v="0.35599999999999998"/>
    <n v="0.79800000000000004"/>
    <n v="575"/>
    <n v="47"/>
    <n v="189"/>
    <n v="98"/>
    <n v="32"/>
    <n v="24"/>
    <n v="64"/>
    <n v="1.53"/>
  </r>
  <r>
    <x v="4"/>
    <x v="0"/>
    <x v="4"/>
    <n v="45"/>
    <x v="6"/>
    <s v="Tassos"/>
    <n v="1"/>
    <n v="7"/>
    <n v="6"/>
    <n v="0"/>
    <x v="12"/>
    <s v="vs Kousidis"/>
    <n v="182"/>
    <n v="0.46800000000000003"/>
    <n v="61"/>
    <n v="0.377"/>
    <n v="0.77800000000000002"/>
    <n v="502"/>
    <n v="35"/>
    <n v="138"/>
    <n v="85"/>
    <n v="41"/>
    <n v="24"/>
    <n v="67"/>
    <n v="1.27"/>
  </r>
  <r>
    <x v="4"/>
    <x v="0"/>
    <x v="4"/>
    <n v="45"/>
    <x v="13"/>
    <s v="Kousidis"/>
    <n v="0"/>
    <n v="6"/>
    <n v="7"/>
    <n v="0"/>
    <x v="7"/>
    <s v="vs Tassos"/>
    <n v="154"/>
    <n v="0.46800000000000003"/>
    <n v="45"/>
    <n v="0.39100000000000001"/>
    <n v="0.77300000000000002"/>
    <n v="404"/>
    <n v="43"/>
    <n v="134"/>
    <n v="91"/>
    <n v="17"/>
    <n v="16"/>
    <n v="41"/>
    <n v="2.2200000000000002"/>
  </r>
  <r>
    <x v="4"/>
    <x v="0"/>
    <x v="4"/>
    <n v="46"/>
    <x v="9"/>
    <s v="Ziogas/Christof"/>
    <n v="0"/>
    <n v="4"/>
    <n v="7"/>
    <n v="2"/>
    <x v="23"/>
    <s v="vs Sarantos"/>
    <n v="157"/>
    <n v="0.46400000000000002"/>
    <n v="54"/>
    <n v="0.33800000000000002"/>
    <n v="0.76200000000000001"/>
    <n v="416"/>
    <n v="30"/>
    <n v="139"/>
    <n v="123"/>
    <n v="31"/>
    <n v="10"/>
    <n v="68"/>
    <n v="1.81"/>
  </r>
  <r>
    <x v="4"/>
    <x v="0"/>
    <x v="4"/>
    <n v="46"/>
    <x v="23"/>
    <s v="Sarantos"/>
    <n v="1"/>
    <n v="7"/>
    <n v="4"/>
    <n v="2"/>
    <x v="8"/>
    <s v="vs Ziogas/Christof"/>
    <n v="157"/>
    <n v="0.42099999999999999"/>
    <n v="54"/>
    <n v="0.34399999999999997"/>
    <n v="0.77"/>
    <n v="425"/>
    <n v="42"/>
    <n v="114"/>
    <n v="98"/>
    <n v="28"/>
    <n v="19"/>
    <n v="54"/>
    <n v="1.81"/>
  </r>
  <r>
    <x v="4"/>
    <x v="0"/>
    <x v="4"/>
    <n v="47"/>
    <x v="20"/>
    <s v="Guru"/>
    <n v="1"/>
    <n v="10"/>
    <n v="2"/>
    <n v="1"/>
    <x v="13"/>
    <s v="vs Stavros"/>
    <n v="203"/>
    <n v="0.49199999999999999"/>
    <n v="58"/>
    <n v="0.377"/>
    <n v="0.84799999999999998"/>
    <n v="553"/>
    <n v="43"/>
    <n v="145"/>
    <n v="119"/>
    <n v="25"/>
    <n v="26"/>
    <n v="48"/>
    <n v="2.48"/>
  </r>
  <r>
    <x v="4"/>
    <x v="0"/>
    <x v="4"/>
    <n v="47"/>
    <x v="12"/>
    <s v="Stavros"/>
    <n v="0"/>
    <n v="2"/>
    <n v="10"/>
    <n v="1"/>
    <x v="20"/>
    <s v="vs Guru"/>
    <n v="146"/>
    <n v="0.47699999999999998"/>
    <n v="53"/>
    <n v="0.40500000000000003"/>
    <n v="0.76800000000000002"/>
    <n v="398"/>
    <n v="28"/>
    <n v="96"/>
    <n v="76"/>
    <n v="25"/>
    <n v="10"/>
    <n v="47"/>
    <n v="1.62"/>
  </r>
  <r>
    <x v="4"/>
    <x v="0"/>
    <x v="4"/>
    <n v="48"/>
    <x v="18"/>
    <s v="Kotakis"/>
    <n v="0"/>
    <n v="5"/>
    <n v="8"/>
    <n v="0"/>
    <x v="18"/>
    <s v="vs Nonis"/>
    <n v="124"/>
    <n v="0.42199999999999999"/>
    <n v="42"/>
    <n v="0.32600000000000001"/>
    <n v="0.71099999999999997"/>
    <n v="317"/>
    <n v="31"/>
    <n v="120"/>
    <n v="37"/>
    <n v="24"/>
    <n v="27"/>
    <n v="28"/>
    <n v="1.32"/>
  </r>
  <r>
    <x v="4"/>
    <x v="0"/>
    <x v="4"/>
    <n v="48"/>
    <x v="19"/>
    <s v="Nonis"/>
    <n v="1"/>
    <n v="8"/>
    <n v="5"/>
    <n v="0"/>
    <x v="19"/>
    <s v="vs Kotakis"/>
    <n v="160"/>
    <n v="0.47099999999999997"/>
    <n v="37"/>
    <n v="0.314"/>
    <n v="0.79200000000000004"/>
    <n v="471"/>
    <n v="24"/>
    <n v="158"/>
    <n v="125"/>
    <n v="31"/>
    <n v="20"/>
    <n v="73"/>
    <n v="1.71"/>
  </r>
  <r>
    <x v="4"/>
    <x v="0"/>
    <x v="4"/>
    <n v="49"/>
    <x v="21"/>
    <s v="Tzokos"/>
    <n v="1"/>
    <n v="10"/>
    <n v="3"/>
    <n v="0"/>
    <x v="4"/>
    <s v="vs Markos"/>
    <n v="182"/>
    <n v="0.48799999999999999"/>
    <n v="48"/>
    <n v="0.36899999999999999"/>
    <n v="0.72599999999999998"/>
    <n v="489"/>
    <n v="59"/>
    <n v="160"/>
    <n v="93"/>
    <n v="23"/>
    <n v="16"/>
    <n v="60"/>
    <n v="1.55"/>
  </r>
  <r>
    <x v="4"/>
    <x v="0"/>
    <x v="4"/>
    <n v="49"/>
    <x v="5"/>
    <s v="Markos"/>
    <n v="0"/>
    <n v="3"/>
    <n v="10"/>
    <n v="0"/>
    <x v="21"/>
    <s v="vs Tzokos"/>
    <n v="112"/>
    <n v="0.44800000000000001"/>
    <n v="32"/>
    <n v="0.34399999999999997"/>
    <n v="0.82099999999999995"/>
    <n v="279"/>
    <n v="20"/>
    <n v="79"/>
    <n v="81"/>
    <n v="18"/>
    <n v="9"/>
    <n v="39"/>
    <n v="2.08"/>
  </r>
  <r>
    <x v="4"/>
    <x v="0"/>
    <x v="4"/>
    <n v="50"/>
    <x v="16"/>
    <s v="Aris"/>
    <n v="1"/>
    <n v="7"/>
    <n v="6"/>
    <n v="0"/>
    <x v="10"/>
    <s v="vs pi/Sotiris"/>
    <n v="148"/>
    <n v="0.44400000000000001"/>
    <n v="52"/>
    <n v="0.36899999999999999"/>
    <n v="0.81899999999999995"/>
    <n v="443"/>
    <n v="25"/>
    <n v="117"/>
    <n v="135"/>
    <n v="30"/>
    <n v="14"/>
    <n v="56"/>
    <n v="2.41"/>
  </r>
  <r>
    <x v="4"/>
    <x v="0"/>
    <x v="4"/>
    <n v="50"/>
    <x v="11"/>
    <s v="pi/Sotiris"/>
    <n v="0"/>
    <n v="6"/>
    <n v="7"/>
    <n v="0"/>
    <x v="17"/>
    <s v="vs Aris"/>
    <n v="219"/>
    <n v="0.44"/>
    <n v="70"/>
    <n v="0.35"/>
    <n v="0.72699999999999998"/>
    <n v="588"/>
    <n v="45"/>
    <n v="181"/>
    <n v="100"/>
    <n v="25"/>
    <n v="18"/>
    <n v="66"/>
    <n v="1.52"/>
  </r>
  <r>
    <x v="4"/>
    <x v="0"/>
    <x v="5"/>
    <n v="51"/>
    <x v="7"/>
    <s v="Johnny"/>
    <n v="1"/>
    <n v="10"/>
    <n v="3"/>
    <n v="0"/>
    <x v="24"/>
    <s v="vs Tolios"/>
    <n v="181"/>
    <n v="0.47"/>
    <n v="35"/>
    <n v="0.318"/>
    <n v="0.58499999999999996"/>
    <n v="445"/>
    <n v="50"/>
    <n v="162"/>
    <n v="144"/>
    <n v="28"/>
    <n v="18"/>
    <n v="50"/>
    <n v="2.88"/>
  </r>
  <r>
    <x v="4"/>
    <x v="0"/>
    <x v="5"/>
    <n v="51"/>
    <x v="24"/>
    <s v="Tolios"/>
    <n v="0"/>
    <n v="3"/>
    <n v="10"/>
    <n v="0"/>
    <x v="6"/>
    <s v="vs Johnny"/>
    <n v="91"/>
    <n v="0.433"/>
    <n v="27"/>
    <n v="0.32100000000000001"/>
    <n v="0.79600000000000004"/>
    <n v="248"/>
    <n v="31"/>
    <n v="101"/>
    <n v="50"/>
    <n v="12"/>
    <n v="5"/>
    <n v="30"/>
    <n v="1.67"/>
  </r>
  <r>
    <x v="4"/>
    <x v="0"/>
    <x v="5"/>
    <n v="52"/>
    <x v="23"/>
    <s v="Sarantos"/>
    <n v="0"/>
    <n v="2"/>
    <n v="10"/>
    <n v="1"/>
    <x v="2"/>
    <s v="vs Sakellariou"/>
    <n v="137"/>
    <n v="0.41799999999999998"/>
    <n v="49"/>
    <n v="0.33300000000000002"/>
    <n v="0.83299999999999996"/>
    <n v="378"/>
    <n v="20"/>
    <n v="111"/>
    <n v="95"/>
    <n v="33"/>
    <n v="10"/>
    <n v="58"/>
    <n v="1.64"/>
  </r>
  <r>
    <x v="4"/>
    <x v="0"/>
    <x v="5"/>
    <n v="52"/>
    <x v="3"/>
    <s v="Sakellariou"/>
    <n v="1"/>
    <n v="10"/>
    <n v="2"/>
    <n v="1"/>
    <x v="23"/>
    <s v="vs Sarantos"/>
    <n v="168"/>
    <n v="0.42899999999999999"/>
    <n v="49"/>
    <n v="0.32500000000000001"/>
    <n v="0.75900000000000001"/>
    <n v="470"/>
    <n v="41"/>
    <n v="142"/>
    <n v="103"/>
    <n v="38"/>
    <n v="16"/>
    <n v="47"/>
    <n v="2.19"/>
  </r>
  <r>
    <x v="4"/>
    <x v="0"/>
    <x v="5"/>
    <n v="53"/>
    <x v="13"/>
    <s v="Kousidis"/>
    <n v="0"/>
    <n v="4"/>
    <n v="9"/>
    <n v="0"/>
    <x v="21"/>
    <s v="vs Tzokos"/>
    <n v="149"/>
    <n v="0.46300000000000002"/>
    <n v="38"/>
    <n v="0.34200000000000003"/>
    <n v="0.71399999999999997"/>
    <n v="391"/>
    <n v="48"/>
    <n v="167"/>
    <n v="77"/>
    <n v="19"/>
    <n v="22"/>
    <n v="43"/>
    <n v="1.79"/>
  </r>
  <r>
    <x v="4"/>
    <x v="0"/>
    <x v="5"/>
    <n v="53"/>
    <x v="21"/>
    <s v="Tzokos"/>
    <n v="1"/>
    <n v="9"/>
    <n v="4"/>
    <n v="0"/>
    <x v="12"/>
    <s v="vs Kousidis"/>
    <n v="191"/>
    <n v="0.48"/>
    <n v="55"/>
    <n v="0.377"/>
    <n v="0.78100000000000003"/>
    <n v="526"/>
    <n v="68"/>
    <n v="162"/>
    <n v="90"/>
    <n v="30"/>
    <n v="17"/>
    <n v="62"/>
    <n v="1.45"/>
  </r>
  <r>
    <x v="4"/>
    <x v="0"/>
    <x v="5"/>
    <n v="54"/>
    <x v="2"/>
    <s v="Fountos"/>
    <n v="0"/>
    <n v="6"/>
    <n v="7"/>
    <n v="0"/>
    <x v="20"/>
    <s v="vs Guru"/>
    <n v="161"/>
    <n v="0.497"/>
    <n v="37"/>
    <n v="0.30599999999999999"/>
    <n v="0.86699999999999999"/>
    <n v="437"/>
    <n v="42"/>
    <n v="161"/>
    <n v="80"/>
    <n v="26"/>
    <n v="18"/>
    <n v="56"/>
    <n v="1.43"/>
  </r>
  <r>
    <x v="4"/>
    <x v="0"/>
    <x v="5"/>
    <n v="54"/>
    <x v="20"/>
    <s v="Guru"/>
    <n v="1"/>
    <n v="7"/>
    <n v="6"/>
    <n v="0"/>
    <x v="3"/>
    <s v="vs Fountos"/>
    <n v="154"/>
    <n v="0.45700000000000002"/>
    <n v="52"/>
    <n v="0.36099999999999999"/>
    <n v="0.86499999999999999"/>
    <n v="456"/>
    <n v="41"/>
    <n v="122"/>
    <n v="88"/>
    <n v="34"/>
    <n v="17"/>
    <n v="47"/>
    <n v="1.87"/>
  </r>
  <r>
    <x v="4"/>
    <x v="0"/>
    <x v="5"/>
    <n v="55"/>
    <x v="15"/>
    <s v="Vasilis"/>
    <n v="1"/>
    <n v="9"/>
    <n v="4"/>
    <n v="0"/>
    <x v="19"/>
    <s v="vs Kotakis"/>
    <n v="151"/>
    <n v="0.40899999999999997"/>
    <n v="63"/>
    <n v="0.34100000000000003"/>
    <n v="0.871"/>
    <n v="446"/>
    <n v="20"/>
    <n v="136"/>
    <n v="131"/>
    <n v="28"/>
    <n v="18"/>
    <n v="67"/>
    <n v="1.96"/>
  </r>
  <r>
    <x v="4"/>
    <x v="0"/>
    <x v="5"/>
    <n v="55"/>
    <x v="18"/>
    <s v="Kotakis"/>
    <n v="0"/>
    <n v="4"/>
    <n v="9"/>
    <n v="0"/>
    <x v="14"/>
    <s v="vs Vasilis"/>
    <n v="91"/>
    <n v="0.41899999999999998"/>
    <n v="32"/>
    <n v="0.33700000000000002"/>
    <n v="0.79600000000000004"/>
    <n v="253"/>
    <n v="25"/>
    <n v="76"/>
    <n v="33"/>
    <n v="25"/>
    <n v="17"/>
    <n v="13"/>
    <n v="2.54"/>
  </r>
  <r>
    <x v="4"/>
    <x v="0"/>
    <x v="5"/>
    <n v="56"/>
    <x v="12"/>
    <s v="Stavros"/>
    <n v="0"/>
    <n v="1"/>
    <n v="12"/>
    <n v="0"/>
    <x v="17"/>
    <s v="vs Aris"/>
    <n v="169"/>
    <n v="0.45100000000000001"/>
    <n v="55"/>
    <n v="0.33700000000000002"/>
    <n v="0.75"/>
    <n v="450"/>
    <n v="32"/>
    <n v="125"/>
    <n v="106"/>
    <n v="28"/>
    <n v="9"/>
    <n v="56"/>
    <n v="1.89"/>
  </r>
  <r>
    <x v="4"/>
    <x v="0"/>
    <x v="5"/>
    <n v="56"/>
    <x v="16"/>
    <s v="Aris"/>
    <n v="1"/>
    <n v="12"/>
    <n v="1"/>
    <n v="0"/>
    <x v="13"/>
    <s v="vs Stavros"/>
    <n v="181"/>
    <n v="0.47599999999999998"/>
    <n v="66"/>
    <n v="0.42299999999999999"/>
    <n v="0.82599999999999996"/>
    <n v="499"/>
    <n v="39"/>
    <n v="168"/>
    <n v="129"/>
    <n v="36"/>
    <n v="18"/>
    <n v="66"/>
    <n v="1.95"/>
  </r>
  <r>
    <x v="4"/>
    <x v="0"/>
    <x v="5"/>
    <n v="57"/>
    <x v="19"/>
    <s v="Nonis"/>
    <n v="1"/>
    <n v="11"/>
    <n v="2"/>
    <n v="0"/>
    <x v="25"/>
    <s v="vs Arvanitis"/>
    <n v="205"/>
    <n v="0.50700000000000001"/>
    <n v="46"/>
    <n v="0.34599999999999997"/>
    <n v="0.73899999999999999"/>
    <n v="578"/>
    <n v="38"/>
    <n v="162"/>
    <n v="124"/>
    <n v="28"/>
    <n v="25"/>
    <n v="60"/>
    <n v="2.0699999999999998"/>
  </r>
  <r>
    <x v="4"/>
    <x v="0"/>
    <x v="5"/>
    <n v="57"/>
    <x v="25"/>
    <s v="Arvanitis"/>
    <n v="0"/>
    <n v="2"/>
    <n v="11"/>
    <n v="0"/>
    <x v="18"/>
    <s v="vs Nonis"/>
    <n v="90"/>
    <n v="0.42299999999999999"/>
    <n v="28"/>
    <n v="0.32600000000000001"/>
    <n v="0.83299999999999996"/>
    <n v="228"/>
    <n v="31"/>
    <n v="112"/>
    <n v="59"/>
    <n v="17"/>
    <n v="14"/>
    <n v="33"/>
    <n v="1.79"/>
  </r>
  <r>
    <x v="4"/>
    <x v="0"/>
    <x v="5"/>
    <n v="58"/>
    <x v="17"/>
    <s v="Spiridaus/Oladipas"/>
    <n v="1"/>
    <n v="8"/>
    <n v="4"/>
    <n v="1"/>
    <x v="8"/>
    <s v="vs Ziogas/Christof"/>
    <n v="214"/>
    <n v="0.48599999999999999"/>
    <n v="53"/>
    <n v="0.36299999999999999"/>
    <n v="0.80200000000000005"/>
    <n v="570"/>
    <n v="48"/>
    <n v="168"/>
    <n v="109"/>
    <n v="29"/>
    <n v="17"/>
    <n v="78"/>
    <n v="1.4"/>
  </r>
  <r>
    <x v="4"/>
    <x v="0"/>
    <x v="5"/>
    <n v="58"/>
    <x v="9"/>
    <s v="Ziogas/Christof"/>
    <n v="0"/>
    <n v="4"/>
    <n v="8"/>
    <n v="1"/>
    <x v="16"/>
    <s v="vs Spiridaus/Oladipas"/>
    <n v="130"/>
    <n v="0.438"/>
    <n v="48"/>
    <n v="0.36599999999999999"/>
    <n v="0.76700000000000002"/>
    <n v="374"/>
    <n v="27"/>
    <n v="120"/>
    <n v="110"/>
    <n v="24"/>
    <n v="17"/>
    <n v="62"/>
    <n v="1.77"/>
  </r>
  <r>
    <x v="4"/>
    <x v="0"/>
    <x v="5"/>
    <n v="59"/>
    <x v="5"/>
    <s v="Markos"/>
    <n v="0"/>
    <n v="2"/>
    <n v="10"/>
    <n v="1"/>
    <x v="10"/>
    <s v="vs pi/Sotiris"/>
    <n v="93"/>
    <n v="0.40799999999999997"/>
    <n v="29"/>
    <n v="0.36699999999999999"/>
    <n v="0.66700000000000004"/>
    <n v="249"/>
    <n v="34"/>
    <n v="83"/>
    <n v="56"/>
    <n v="15"/>
    <n v="13"/>
    <n v="42"/>
    <n v="1.33"/>
  </r>
  <r>
    <x v="4"/>
    <x v="0"/>
    <x v="5"/>
    <n v="59"/>
    <x v="11"/>
    <s v="pi/Sotiris"/>
    <n v="1"/>
    <n v="10"/>
    <n v="2"/>
    <n v="1"/>
    <x v="4"/>
    <s v="vs Markos"/>
    <n v="218"/>
    <n v="0.45300000000000001"/>
    <n v="59"/>
    <n v="0.33700000000000002"/>
    <n v="0.80800000000000005"/>
    <n v="575"/>
    <n v="34"/>
    <n v="179"/>
    <n v="118"/>
    <n v="26"/>
    <n v="15"/>
    <n v="58"/>
    <n v="2.0299999999999998"/>
  </r>
  <r>
    <x v="4"/>
    <x v="0"/>
    <x v="5"/>
    <n v="60"/>
    <x v="1"/>
    <s v="Fanis"/>
    <n v="0"/>
    <n v="6"/>
    <n v="7"/>
    <n v="0"/>
    <x v="7"/>
    <s v="vs Tassos"/>
    <n v="139"/>
    <n v="0.38900000000000001"/>
    <n v="35"/>
    <n v="0.27600000000000002"/>
    <n v="0.77200000000000002"/>
    <n v="384"/>
    <n v="32"/>
    <n v="142"/>
    <n v="116"/>
    <n v="30"/>
    <n v="31"/>
    <n v="43"/>
    <n v="2.7"/>
  </r>
  <r>
    <x v="4"/>
    <x v="0"/>
    <x v="5"/>
    <n v="60"/>
    <x v="6"/>
    <s v="Tassos"/>
    <n v="1"/>
    <n v="7"/>
    <n v="6"/>
    <n v="0"/>
    <x v="0"/>
    <s v="vs Fanis"/>
    <n v="167"/>
    <n v="0.45600000000000002"/>
    <n v="47"/>
    <n v="0.33600000000000002"/>
    <n v="0.81599999999999995"/>
    <n v="452"/>
    <n v="50"/>
    <n v="122"/>
    <n v="98"/>
    <n v="25"/>
    <n v="29"/>
    <n v="47"/>
    <n v="2.09"/>
  </r>
  <r>
    <x v="4"/>
    <x v="0"/>
    <x v="6"/>
    <n v="61"/>
    <x v="7"/>
    <s v="Johnny"/>
    <n v="1"/>
    <n v="10"/>
    <n v="3"/>
    <n v="0"/>
    <x v="18"/>
    <s v="vs Nonis"/>
    <n v="184"/>
    <n v="0.47699999999999998"/>
    <n v="51"/>
    <n v="0.40200000000000002"/>
    <n v="0.74199999999999999"/>
    <n v="468"/>
    <n v="33"/>
    <n v="119"/>
    <n v="136"/>
    <n v="31"/>
    <n v="14"/>
    <n v="54"/>
    <n v="2.52"/>
  </r>
  <r>
    <x v="4"/>
    <x v="0"/>
    <x v="6"/>
    <n v="61"/>
    <x v="19"/>
    <s v="Nonis"/>
    <n v="0"/>
    <n v="3"/>
    <n v="10"/>
    <n v="0"/>
    <x v="6"/>
    <s v="vs Johnny"/>
    <n v="159"/>
    <n v="0.45"/>
    <n v="31"/>
    <n v="0.33300000000000002"/>
    <n v="0.72599999999999998"/>
    <n v="431"/>
    <n v="39"/>
    <n v="122"/>
    <n v="129"/>
    <n v="28"/>
    <n v="19"/>
    <n v="65"/>
    <n v="1.98"/>
  </r>
  <r>
    <x v="4"/>
    <x v="0"/>
    <x v="6"/>
    <n v="62"/>
    <x v="3"/>
    <s v="Sakellariou"/>
    <n v="1"/>
    <n v="9"/>
    <n v="4"/>
    <n v="0"/>
    <x v="8"/>
    <s v="vs Ziogas/Christof"/>
    <n v="153"/>
    <n v="0.45400000000000001"/>
    <n v="63"/>
    <n v="0.39400000000000002"/>
    <n v="0.877"/>
    <n v="440"/>
    <n v="25"/>
    <n v="117"/>
    <n v="61"/>
    <n v="28"/>
    <n v="17"/>
    <n v="31"/>
    <n v="1.97"/>
  </r>
  <r>
    <x v="4"/>
    <x v="0"/>
    <x v="6"/>
    <n v="62"/>
    <x v="9"/>
    <s v="Ziogas/Christof"/>
    <n v="0"/>
    <n v="4"/>
    <n v="9"/>
    <n v="0"/>
    <x v="2"/>
    <s v="vs Sakellariou"/>
    <n v="135"/>
    <n v="0.46400000000000002"/>
    <n v="34"/>
    <n v="0.33"/>
    <n v="0.77600000000000002"/>
    <n v="370"/>
    <n v="22"/>
    <n v="110"/>
    <n v="127"/>
    <n v="29"/>
    <n v="12"/>
    <n v="50"/>
    <n v="2.54"/>
  </r>
  <r>
    <x v="4"/>
    <x v="0"/>
    <x v="6"/>
    <n v="63"/>
    <x v="25"/>
    <s v="Arvanitis"/>
    <n v="0"/>
    <n v="5"/>
    <n v="8"/>
    <n v="0"/>
    <x v="14"/>
    <s v="vs Vasilis"/>
    <n v="60"/>
    <n v="0.53600000000000003"/>
    <n v="19"/>
    <n v="0.38800000000000001"/>
    <n v="0.75"/>
    <n v="151"/>
    <n v="15"/>
    <n v="52"/>
    <n v="23"/>
    <n v="9"/>
    <n v="15"/>
    <n v="8"/>
    <n v="2.88"/>
  </r>
  <r>
    <x v="4"/>
    <x v="0"/>
    <x v="6"/>
    <n v="63"/>
    <x v="15"/>
    <s v="Vasilis"/>
    <n v="1"/>
    <n v="8"/>
    <n v="5"/>
    <n v="0"/>
    <x v="25"/>
    <s v="vs Arvanitis"/>
    <n v="156"/>
    <n v="0.41099999999999998"/>
    <n v="73"/>
    <n v="0.36699999999999999"/>
    <n v="0.878"/>
    <n v="471"/>
    <n v="24"/>
    <n v="115"/>
    <n v="161"/>
    <n v="23"/>
    <n v="6"/>
    <n v="66"/>
    <n v="2.44"/>
  </r>
  <r>
    <x v="4"/>
    <x v="0"/>
    <x v="6"/>
    <n v="64"/>
    <x v="24"/>
    <s v="Tolios"/>
    <n v="0"/>
    <n v="4"/>
    <n v="9"/>
    <n v="0"/>
    <x v="23"/>
    <s v="vs Sarantos"/>
    <n v="108"/>
    <n v="0.47399999999999998"/>
    <n v="35"/>
    <n v="0.38900000000000001"/>
    <n v="0.78800000000000003"/>
    <n v="292"/>
    <n v="26"/>
    <n v="76"/>
    <n v="41"/>
    <n v="20"/>
    <n v="17"/>
    <n v="27"/>
    <n v="1.52"/>
  </r>
  <r>
    <x v="4"/>
    <x v="0"/>
    <x v="6"/>
    <n v="64"/>
    <x v="23"/>
    <s v="Sarantos"/>
    <n v="1"/>
    <n v="9"/>
    <n v="4"/>
    <n v="0"/>
    <x v="24"/>
    <s v="vs Tolios"/>
    <n v="147"/>
    <n v="0.45200000000000001"/>
    <n v="46"/>
    <n v="0.34799999999999998"/>
    <n v="0.80900000000000005"/>
    <n v="395"/>
    <n v="25"/>
    <n v="93"/>
    <n v="121"/>
    <n v="42"/>
    <n v="19"/>
    <n v="48"/>
    <n v="2.52"/>
  </r>
  <r>
    <x v="4"/>
    <x v="0"/>
    <x v="6"/>
    <n v="65"/>
    <x v="20"/>
    <s v="Guru"/>
    <n v="0"/>
    <n v="6"/>
    <n v="7"/>
    <n v="0"/>
    <x v="0"/>
    <s v="vs Fanis"/>
    <n v="136"/>
    <n v="0.47099999999999997"/>
    <n v="47"/>
    <n v="0.38500000000000001"/>
    <n v="0.79500000000000004"/>
    <n v="381"/>
    <n v="21"/>
    <n v="111"/>
    <n v="63"/>
    <n v="13"/>
    <n v="16"/>
    <n v="33"/>
    <n v="1.91"/>
  </r>
  <r>
    <x v="4"/>
    <x v="0"/>
    <x v="6"/>
    <n v="65"/>
    <x v="1"/>
    <s v="Fanis"/>
    <n v="1"/>
    <n v="7"/>
    <n v="6"/>
    <n v="0"/>
    <x v="20"/>
    <s v="vs Guru"/>
    <n v="151"/>
    <n v="0.45300000000000001"/>
    <n v="45"/>
    <n v="0.36"/>
    <n v="0.747"/>
    <n v="406"/>
    <n v="53"/>
    <n v="122"/>
    <n v="116"/>
    <n v="21"/>
    <n v="13"/>
    <n v="51"/>
    <n v="2.27"/>
  </r>
  <r>
    <x v="4"/>
    <x v="0"/>
    <x v="6"/>
    <n v="66"/>
    <x v="18"/>
    <s v="Kotakis"/>
    <n v="0"/>
    <n v="6"/>
    <n v="7"/>
    <n v="0"/>
    <x v="16"/>
    <s v="vs Spiridaus/Oladipas"/>
    <n v="110"/>
    <n v="0.435"/>
    <n v="40"/>
    <n v="0.36399999999999999"/>
    <n v="0.75600000000000001"/>
    <n v="291"/>
    <n v="28"/>
    <n v="95"/>
    <n v="51"/>
    <n v="29"/>
    <n v="33"/>
    <n v="33"/>
    <n v="1.55"/>
  </r>
  <r>
    <x v="4"/>
    <x v="0"/>
    <x v="6"/>
    <n v="66"/>
    <x v="17"/>
    <s v="Spiridaus/Oladipas"/>
    <n v="1"/>
    <n v="7"/>
    <n v="6"/>
    <n v="0"/>
    <x v="19"/>
    <s v="vs Kotakis"/>
    <n v="163"/>
    <n v="0.54500000000000004"/>
    <n v="27"/>
    <n v="0.37"/>
    <n v="0.75"/>
    <n v="416"/>
    <n v="35"/>
    <n v="118"/>
    <n v="62"/>
    <n v="18"/>
    <n v="30"/>
    <n v="48"/>
    <n v="1.29"/>
  </r>
  <r>
    <x v="4"/>
    <x v="0"/>
    <x v="6"/>
    <n v="67"/>
    <x v="11"/>
    <s v="pi/Sotiris"/>
    <n v="1"/>
    <n v="8"/>
    <n v="5"/>
    <n v="0"/>
    <x v="12"/>
    <s v="vs Kousidis"/>
    <n v="177"/>
    <n v="0.46"/>
    <n v="36"/>
    <n v="0.28299999999999997"/>
    <n v="0.80900000000000005"/>
    <n v="496"/>
    <n v="48"/>
    <n v="167"/>
    <n v="119"/>
    <n v="19"/>
    <n v="16"/>
    <n v="50"/>
    <n v="2.38"/>
  </r>
  <r>
    <x v="4"/>
    <x v="0"/>
    <x v="6"/>
    <n v="67"/>
    <x v="13"/>
    <s v="Kousidis"/>
    <n v="0"/>
    <n v="5"/>
    <n v="8"/>
    <n v="0"/>
    <x v="10"/>
    <s v="vs pi/Sotiris"/>
    <n v="141"/>
    <n v="0.48"/>
    <n v="27"/>
    <n v="0.32900000000000001"/>
    <n v="0.8"/>
    <n v="361"/>
    <n v="46"/>
    <n v="141"/>
    <n v="85"/>
    <n v="23"/>
    <n v="29"/>
    <n v="44"/>
    <n v="1.93"/>
  </r>
  <r>
    <x v="4"/>
    <x v="0"/>
    <x v="6"/>
    <n v="68"/>
    <x v="5"/>
    <s v="Markos"/>
    <n v="0"/>
    <n v="6"/>
    <n v="7"/>
    <n v="0"/>
    <x v="13"/>
    <s v="vs Stavros"/>
    <n v="121"/>
    <n v="0.46400000000000002"/>
    <n v="34"/>
    <n v="0.37"/>
    <n v="0.7"/>
    <n v="311"/>
    <n v="41"/>
    <n v="103"/>
    <n v="65"/>
    <n v="18"/>
    <n v="15"/>
    <n v="38"/>
    <n v="1.71"/>
  </r>
  <r>
    <x v="4"/>
    <x v="0"/>
    <x v="6"/>
    <n v="68"/>
    <x v="12"/>
    <s v="Stavros"/>
    <n v="1"/>
    <n v="7"/>
    <n v="6"/>
    <n v="0"/>
    <x v="4"/>
    <s v="vs Markos"/>
    <n v="127"/>
    <n v="0.44700000000000001"/>
    <n v="51"/>
    <n v="0.39800000000000002"/>
    <n v="0.78200000000000003"/>
    <n v="348"/>
    <n v="21"/>
    <n v="96"/>
    <n v="73"/>
    <n v="26"/>
    <n v="8"/>
    <n v="53"/>
    <n v="1.38"/>
  </r>
  <r>
    <x v="4"/>
    <x v="0"/>
    <x v="6"/>
    <n v="69"/>
    <x v="21"/>
    <s v="Tzokos"/>
    <n v="0"/>
    <n v="5"/>
    <n v="8"/>
    <n v="0"/>
    <x v="7"/>
    <s v="vs Tassos"/>
    <n v="145"/>
    <n v="0.502"/>
    <n v="42"/>
    <n v="0.378"/>
    <n v="0.73699999999999999"/>
    <n v="402"/>
    <n v="46"/>
    <n v="155"/>
    <n v="95"/>
    <n v="23"/>
    <n v="16"/>
    <n v="55"/>
    <n v="1.73"/>
  </r>
  <r>
    <x v="4"/>
    <x v="0"/>
    <x v="6"/>
    <n v="69"/>
    <x v="6"/>
    <s v="Tassos"/>
    <n v="1"/>
    <n v="8"/>
    <n v="5"/>
    <n v="0"/>
    <x v="21"/>
    <s v="vs Tzokos"/>
    <n v="182"/>
    <n v="0.51"/>
    <n v="59"/>
    <n v="0.44400000000000001"/>
    <n v="0.745"/>
    <n v="502"/>
    <n v="40"/>
    <n v="125"/>
    <n v="93"/>
    <n v="29"/>
    <n v="27"/>
    <n v="73"/>
    <n v="1.27"/>
  </r>
  <r>
    <x v="4"/>
    <x v="0"/>
    <x v="6"/>
    <n v="70"/>
    <x v="16"/>
    <s v="Aris"/>
    <n v="0"/>
    <n v="4"/>
    <n v="9"/>
    <n v="0"/>
    <x v="3"/>
    <s v="vs Fountos"/>
    <n v="160"/>
    <n v="0.44800000000000001"/>
    <n v="57"/>
    <n v="0.377"/>
    <n v="0.76300000000000001"/>
    <n v="435"/>
    <n v="34"/>
    <n v="114"/>
    <n v="91"/>
    <n v="19"/>
    <n v="13"/>
    <n v="40"/>
    <n v="2.27"/>
  </r>
  <r>
    <x v="4"/>
    <x v="0"/>
    <x v="6"/>
    <n v="70"/>
    <x v="2"/>
    <s v="Fountos"/>
    <n v="1"/>
    <n v="9"/>
    <n v="4"/>
    <n v="0"/>
    <x v="17"/>
    <s v="vs Aris"/>
    <n v="186"/>
    <n v="0.49199999999999999"/>
    <n v="50"/>
    <n v="0.36199999999999999"/>
    <n v="0.79700000000000004"/>
    <n v="481"/>
    <n v="32"/>
    <n v="118"/>
    <n v="110"/>
    <n v="22"/>
    <n v="19"/>
    <n v="42"/>
    <n v="2.62"/>
  </r>
  <r>
    <x v="4"/>
    <x v="0"/>
    <x v="7"/>
    <n v="71"/>
    <x v="23"/>
    <s v="Sarantos"/>
    <n v="1"/>
    <n v="7"/>
    <n v="6"/>
    <n v="0"/>
    <x v="18"/>
    <s v="vs Nonis"/>
    <n v="147"/>
    <n v="0.42499999999999999"/>
    <n v="54"/>
    <n v="0.36699999999999999"/>
    <n v="0.75600000000000001"/>
    <n v="413"/>
    <n v="29"/>
    <n v="89"/>
    <n v="115"/>
    <n v="37"/>
    <n v="17"/>
    <n v="49"/>
    <n v="2.35"/>
  </r>
  <r>
    <x v="4"/>
    <x v="0"/>
    <x v="7"/>
    <n v="71"/>
    <x v="19"/>
    <s v="Nonis"/>
    <n v="0"/>
    <n v="6"/>
    <n v="7"/>
    <n v="0"/>
    <x v="23"/>
    <s v="vs Sarantos"/>
    <n v="205"/>
    <n v="0.48299999999999998"/>
    <n v="37"/>
    <n v="0.33900000000000002"/>
    <n v="0.79100000000000004"/>
    <n v="595"/>
    <n v="52"/>
    <n v="163"/>
    <n v="108"/>
    <n v="30"/>
    <n v="15"/>
    <n v="73"/>
    <n v="1.48"/>
  </r>
  <r>
    <x v="4"/>
    <x v="0"/>
    <x v="7"/>
    <n v="72"/>
    <x v="13"/>
    <s v="Kousidis"/>
    <n v="1"/>
    <n v="7"/>
    <n v="6"/>
    <n v="0"/>
    <x v="13"/>
    <s v="vs Stavros"/>
    <n v="161"/>
    <n v="0.52100000000000002"/>
    <n v="55"/>
    <n v="0.5"/>
    <n v="0.76"/>
    <n v="453"/>
    <n v="49"/>
    <n v="106"/>
    <n v="56"/>
    <n v="23"/>
    <n v="25"/>
    <n v="53"/>
    <n v="1.06"/>
  </r>
  <r>
    <x v="4"/>
    <x v="0"/>
    <x v="7"/>
    <n v="72"/>
    <x v="12"/>
    <s v="Stavros"/>
    <n v="0"/>
    <n v="6"/>
    <n v="7"/>
    <n v="0"/>
    <x v="12"/>
    <s v="vs Kousidis"/>
    <n v="146"/>
    <n v="0.46899999999999997"/>
    <n v="41"/>
    <n v="0.34499999999999997"/>
    <n v="0.88300000000000001"/>
    <n v="401"/>
    <n v="23"/>
    <n v="110"/>
    <n v="72"/>
    <n v="44"/>
    <n v="10"/>
    <n v="28"/>
    <n v="2.57"/>
  </r>
  <r>
    <x v="4"/>
    <x v="0"/>
    <x v="7"/>
    <n v="73"/>
    <x v="2"/>
    <s v="Fountos"/>
    <n v="1"/>
    <n v="8"/>
    <n v="5"/>
    <n v="0"/>
    <x v="4"/>
    <s v="vs Markos"/>
    <n v="142"/>
    <n v="0.42499999999999999"/>
    <n v="44"/>
    <n v="0.35199999999999998"/>
    <n v="0.82399999999999995"/>
    <n v="370"/>
    <n v="28"/>
    <n v="115"/>
    <n v="114"/>
    <n v="24"/>
    <n v="15"/>
    <n v="52"/>
    <n v="2.19"/>
  </r>
  <r>
    <x v="4"/>
    <x v="0"/>
    <x v="7"/>
    <n v="73"/>
    <x v="5"/>
    <s v="Markos"/>
    <n v="0"/>
    <n v="5"/>
    <n v="8"/>
    <n v="0"/>
    <x v="3"/>
    <s v="vs Fountos"/>
    <n v="128"/>
    <n v="0.47399999999999998"/>
    <n v="36"/>
    <n v="0.39600000000000002"/>
    <n v="0.68300000000000005"/>
    <n v="333"/>
    <n v="44"/>
    <n v="103"/>
    <n v="77"/>
    <n v="14"/>
    <n v="23"/>
    <n v="46"/>
    <n v="1.67"/>
  </r>
  <r>
    <x v="4"/>
    <x v="0"/>
    <x v="7"/>
    <n v="74"/>
    <x v="15"/>
    <s v="Vasilis"/>
    <n v="0"/>
    <n v="4"/>
    <n v="9"/>
    <n v="0"/>
    <x v="6"/>
    <s v="vs Johnny"/>
    <n v="159"/>
    <n v="0.45300000000000001"/>
    <n v="78"/>
    <n v="0.40799999999999997"/>
    <n v="0.83199999999999996"/>
    <n v="475"/>
    <n v="19"/>
    <n v="121"/>
    <n v="118"/>
    <n v="23"/>
    <n v="8"/>
    <n v="69"/>
    <n v="1.71"/>
  </r>
  <r>
    <x v="4"/>
    <x v="0"/>
    <x v="7"/>
    <n v="74"/>
    <x v="7"/>
    <s v="Johnny"/>
    <n v="1"/>
    <n v="9"/>
    <n v="4"/>
    <n v="0"/>
    <x v="14"/>
    <s v="vs Vasilis"/>
    <n v="169"/>
    <n v="0.45400000000000001"/>
    <n v="52"/>
    <n v="0.36899999999999999"/>
    <n v="0.85099999999999998"/>
    <n v="447"/>
    <n v="31"/>
    <n v="130"/>
    <n v="112"/>
    <n v="27"/>
    <n v="24"/>
    <n v="52"/>
    <n v="2.15"/>
  </r>
  <r>
    <x v="4"/>
    <x v="0"/>
    <x v="7"/>
    <n v="75"/>
    <x v="6"/>
    <s v="Tassos"/>
    <n v="1"/>
    <n v="8"/>
    <n v="5"/>
    <n v="0"/>
    <x v="10"/>
    <s v="vs pi/Sotiris"/>
    <n v="194"/>
    <n v="0.44700000000000001"/>
    <n v="60"/>
    <n v="0.34300000000000003"/>
    <n v="0.81"/>
    <n v="546"/>
    <n v="48"/>
    <n v="126"/>
    <n v="145"/>
    <n v="45"/>
    <n v="30"/>
    <n v="71"/>
    <n v="2.04"/>
  </r>
  <r>
    <x v="4"/>
    <x v="0"/>
    <x v="7"/>
    <n v="75"/>
    <x v="11"/>
    <s v="pi/Sotiris"/>
    <n v="0"/>
    <n v="5"/>
    <n v="8"/>
    <n v="0"/>
    <x v="7"/>
    <s v="vs Tassos"/>
    <n v="240"/>
    <n v="0.45500000000000002"/>
    <n v="59"/>
    <n v="0.34100000000000003"/>
    <n v="0.72599999999999998"/>
    <n v="616"/>
    <n v="36"/>
    <n v="205"/>
    <n v="178"/>
    <n v="41"/>
    <n v="24"/>
    <n v="105"/>
    <n v="1.7"/>
  </r>
  <r>
    <x v="4"/>
    <x v="0"/>
    <x v="7"/>
    <n v="76"/>
    <x v="9"/>
    <s v="Ziogas/Christof"/>
    <n v="1"/>
    <n v="8"/>
    <n v="5"/>
    <n v="0"/>
    <x v="24"/>
    <s v="vs Tolios"/>
    <n v="159"/>
    <n v="0.47199999999999998"/>
    <n v="48"/>
    <n v="0.34499999999999997"/>
    <n v="0.81"/>
    <n v="430"/>
    <n v="24"/>
    <n v="135"/>
    <n v="140"/>
    <n v="35"/>
    <n v="21"/>
    <n v="70"/>
    <n v="2"/>
  </r>
  <r>
    <x v="4"/>
    <x v="0"/>
    <x v="7"/>
    <n v="76"/>
    <x v="24"/>
    <s v="Tolios"/>
    <n v="0"/>
    <n v="5"/>
    <n v="8"/>
    <n v="0"/>
    <x v="8"/>
    <s v="vs Ziogas/Christof"/>
    <n v="123"/>
    <n v="0.48599999999999999"/>
    <n v="30"/>
    <n v="0.35699999999999998"/>
    <n v="0.79600000000000004"/>
    <n v="319"/>
    <n v="44"/>
    <n v="98"/>
    <n v="49"/>
    <n v="21"/>
    <n v="13"/>
    <n v="24"/>
    <n v="2.04"/>
  </r>
  <r>
    <x v="4"/>
    <x v="0"/>
    <x v="7"/>
    <n v="77"/>
    <x v="20"/>
    <s v="Guru"/>
    <n v="0"/>
    <n v="4"/>
    <n v="8"/>
    <n v="1"/>
    <x v="17"/>
    <s v="vs Aris"/>
    <n v="136"/>
    <n v="0.433"/>
    <n v="45"/>
    <n v="0.315"/>
    <n v="0.91500000000000004"/>
    <n v="360"/>
    <n v="25"/>
    <n v="116"/>
    <n v="76"/>
    <n v="24"/>
    <n v="13"/>
    <n v="36"/>
    <n v="2.11"/>
  </r>
  <r>
    <x v="4"/>
    <x v="0"/>
    <x v="7"/>
    <n v="77"/>
    <x v="16"/>
    <s v="Aris"/>
    <n v="1"/>
    <n v="8"/>
    <n v="4"/>
    <n v="1"/>
    <x v="20"/>
    <s v="vs Guru"/>
    <n v="147"/>
    <n v="0.45"/>
    <n v="53"/>
    <n v="0.34"/>
    <n v="0.72499999999999998"/>
    <n v="413"/>
    <n v="45"/>
    <n v="139"/>
    <n v="112"/>
    <n v="20"/>
    <n v="13"/>
    <n v="78"/>
    <n v="1.44"/>
  </r>
  <r>
    <x v="4"/>
    <x v="0"/>
    <x v="7"/>
    <n v="78"/>
    <x v="18"/>
    <s v="Kotakis"/>
    <n v="1"/>
    <n v="10"/>
    <n v="3"/>
    <n v="0"/>
    <x v="25"/>
    <s v="vs Arvanitis"/>
    <n v="115"/>
    <n v="0.51100000000000001"/>
    <n v="35"/>
    <n v="0.38900000000000001"/>
    <n v="0.71099999999999997"/>
    <n v="292"/>
    <n v="19"/>
    <n v="97"/>
    <n v="48"/>
    <n v="31"/>
    <n v="25"/>
    <n v="26"/>
    <n v="1.85"/>
  </r>
  <r>
    <x v="4"/>
    <x v="0"/>
    <x v="7"/>
    <n v="78"/>
    <x v="25"/>
    <s v="Arvanitis"/>
    <n v="0"/>
    <n v="3"/>
    <n v="10"/>
    <n v="0"/>
    <x v="19"/>
    <s v="vs Kotakis"/>
    <n v="68"/>
    <n v="0.40500000000000003"/>
    <n v="24"/>
    <n v="0.32"/>
    <n v="0.73899999999999999"/>
    <n v="177"/>
    <n v="21"/>
    <n v="61"/>
    <n v="24"/>
    <n v="17"/>
    <n v="22"/>
    <n v="24"/>
    <n v="1"/>
  </r>
  <r>
    <x v="4"/>
    <x v="0"/>
    <x v="7"/>
    <n v="79"/>
    <x v="17"/>
    <s v="Spiridaus/Oladipas"/>
    <n v="1"/>
    <n v="8"/>
    <n v="4"/>
    <n v="1"/>
    <x v="2"/>
    <s v="vs Sakellariou"/>
    <n v="179"/>
    <n v="0.49299999999999999"/>
    <n v="47"/>
    <n v="0.379"/>
    <n v="0.77200000000000002"/>
    <n v="476"/>
    <n v="45"/>
    <n v="147"/>
    <n v="111"/>
    <n v="26"/>
    <n v="18"/>
    <n v="68"/>
    <n v="1.63"/>
  </r>
  <r>
    <x v="4"/>
    <x v="0"/>
    <x v="7"/>
    <n v="79"/>
    <x v="3"/>
    <s v="Sakellariou"/>
    <n v="0"/>
    <n v="4"/>
    <n v="8"/>
    <n v="1"/>
    <x v="16"/>
    <s v="vs Spiridaus/Oladipas"/>
    <n v="173"/>
    <n v="0.437"/>
    <n v="52"/>
    <n v="0.32700000000000001"/>
    <n v="0.76800000000000002"/>
    <n v="461"/>
    <n v="38"/>
    <n v="122"/>
    <n v="93"/>
    <n v="32"/>
    <n v="18"/>
    <n v="50"/>
    <n v="1.86"/>
  </r>
  <r>
    <x v="4"/>
    <x v="0"/>
    <x v="7"/>
    <n v="80"/>
    <x v="1"/>
    <s v="Fanis"/>
    <n v="0"/>
    <n v="5"/>
    <n v="7"/>
    <n v="1"/>
    <x v="21"/>
    <s v="vs Tzokos"/>
    <n v="156"/>
    <n v="0.46400000000000002"/>
    <n v="38"/>
    <n v="0.30199999999999999"/>
    <n v="0.73899999999999999"/>
    <n v="401"/>
    <n v="26"/>
    <n v="123"/>
    <n v="103"/>
    <n v="36"/>
    <n v="22"/>
    <n v="52"/>
    <n v="1.98"/>
  </r>
  <r>
    <x v="4"/>
    <x v="0"/>
    <x v="7"/>
    <n v="80"/>
    <x v="21"/>
    <s v="Tzokos"/>
    <n v="1"/>
    <n v="7"/>
    <n v="5"/>
    <n v="1"/>
    <x v="0"/>
    <s v="vs Fanis"/>
    <n v="158"/>
    <n v="0.47299999999999998"/>
    <n v="41"/>
    <n v="0.33900000000000002"/>
    <n v="0.74199999999999999"/>
    <n v="429"/>
    <n v="53"/>
    <n v="108"/>
    <n v="96"/>
    <n v="28"/>
    <n v="17"/>
    <n v="52"/>
    <n v="1.85"/>
  </r>
  <r>
    <x v="4"/>
    <x v="0"/>
    <x v="8"/>
    <n v="81"/>
    <x v="7"/>
    <s v="Johnny"/>
    <n v="1"/>
    <n v="12"/>
    <n v="1"/>
    <n v="0"/>
    <x v="19"/>
    <s v="vs Kotakis"/>
    <n v="201"/>
    <n v="0.499"/>
    <n v="53"/>
    <n v="0.39"/>
    <n v="0.69399999999999995"/>
    <n v="505"/>
    <n v="35"/>
    <n v="114"/>
    <n v="131"/>
    <n v="36"/>
    <n v="15"/>
    <n v="48"/>
    <n v="2.73"/>
  </r>
  <r>
    <x v="4"/>
    <x v="0"/>
    <x v="8"/>
    <n v="81"/>
    <x v="18"/>
    <s v="Kotakis"/>
    <n v="0"/>
    <n v="1"/>
    <n v="12"/>
    <n v="0"/>
    <x v="6"/>
    <s v="vs Johnny"/>
    <n v="103"/>
    <n v="0.49"/>
    <n v="26"/>
    <n v="0.313"/>
    <n v="0.623"/>
    <n v="265"/>
    <n v="19"/>
    <n v="53"/>
    <n v="36"/>
    <n v="28"/>
    <n v="11"/>
    <n v="21"/>
    <n v="1.71"/>
  </r>
  <r>
    <x v="4"/>
    <x v="0"/>
    <x v="8"/>
    <n v="82"/>
    <x v="23"/>
    <s v="Sarantos"/>
    <n v="1"/>
    <n v="12"/>
    <n v="1"/>
    <n v="0"/>
    <x v="14"/>
    <s v="vs Vasilis"/>
    <n v="150"/>
    <n v="0.48899999999999999"/>
    <n v="58"/>
    <n v="0.4"/>
    <n v="0.77800000000000002"/>
    <n v="407"/>
    <n v="35"/>
    <n v="115"/>
    <n v="113"/>
    <n v="33"/>
    <n v="14"/>
    <n v="43"/>
    <n v="2.63"/>
  </r>
  <r>
    <x v="4"/>
    <x v="0"/>
    <x v="8"/>
    <n v="82"/>
    <x v="15"/>
    <s v="Vasilis"/>
    <n v="0"/>
    <n v="1"/>
    <n v="12"/>
    <n v="0"/>
    <x v="23"/>
    <s v="vs Sarantos"/>
    <n v="112"/>
    <n v="0.44400000000000001"/>
    <n v="54"/>
    <n v="0.372"/>
    <n v="0.80800000000000005"/>
    <n v="337"/>
    <n v="10"/>
    <n v="98"/>
    <n v="92"/>
    <n v="16"/>
    <n v="10"/>
    <n v="48"/>
    <n v="1.92"/>
  </r>
  <r>
    <x v="4"/>
    <x v="0"/>
    <x v="8"/>
    <n v="83"/>
    <x v="13"/>
    <s v="Kousidis"/>
    <n v="0"/>
    <n v="5"/>
    <n v="7"/>
    <n v="1"/>
    <x v="3"/>
    <s v="vs Fountos"/>
    <n v="94"/>
    <n v="0.47699999999999998"/>
    <n v="19"/>
    <n v="0.36499999999999999"/>
    <n v="0.78"/>
    <n v="239"/>
    <n v="32"/>
    <n v="95"/>
    <n v="42"/>
    <n v="16"/>
    <n v="10"/>
    <n v="29"/>
    <n v="1.45"/>
  </r>
  <r>
    <x v="4"/>
    <x v="0"/>
    <x v="8"/>
    <n v="83"/>
    <x v="2"/>
    <s v="Fountos"/>
    <n v="1"/>
    <n v="7"/>
    <n v="5"/>
    <n v="1"/>
    <x v="12"/>
    <s v="vs Kousidis"/>
    <n v="99"/>
    <n v="0.40600000000000003"/>
    <n v="23"/>
    <n v="0.28000000000000003"/>
    <n v="0.76400000000000001"/>
    <n v="263"/>
    <n v="16"/>
    <n v="79"/>
    <n v="75"/>
    <n v="21"/>
    <n v="14"/>
    <n v="29"/>
    <n v="2.59"/>
  </r>
  <r>
    <x v="4"/>
    <x v="0"/>
    <x v="8"/>
    <n v="84"/>
    <x v="25"/>
    <s v="Arvanitis"/>
    <n v="0"/>
    <n v="3"/>
    <n v="10"/>
    <n v="0"/>
    <x v="16"/>
    <s v="vs Spiridaus/Oladipas"/>
    <n v="77"/>
    <n v="0.41799999999999998"/>
    <n v="28"/>
    <n v="0.378"/>
    <n v="0.75900000000000001"/>
    <n v="223"/>
    <n v="10"/>
    <n v="74"/>
    <n v="36"/>
    <n v="24"/>
    <n v="8"/>
    <n v="25"/>
    <n v="1.44"/>
  </r>
  <r>
    <x v="4"/>
    <x v="0"/>
    <x v="8"/>
    <n v="84"/>
    <x v="17"/>
    <s v="Spiridaus/Oladipas"/>
    <n v="1"/>
    <n v="10"/>
    <n v="3"/>
    <n v="0"/>
    <x v="25"/>
    <s v="vs Arvanitis"/>
    <n v="148"/>
    <n v="0.48099999999999998"/>
    <n v="29"/>
    <n v="0.27900000000000003"/>
    <n v="0.75"/>
    <n v="379"/>
    <n v="42"/>
    <n v="125"/>
    <n v="124"/>
    <n v="29"/>
    <n v="20"/>
    <n v="53"/>
    <n v="2.34"/>
  </r>
  <r>
    <x v="4"/>
    <x v="0"/>
    <x v="8"/>
    <n v="85"/>
    <x v="12"/>
    <s v="Stavros"/>
    <n v="0"/>
    <n v="1"/>
    <n v="12"/>
    <n v="0"/>
    <x v="7"/>
    <s v="vs Tassos"/>
    <n v="109"/>
    <n v="0.42399999999999999"/>
    <n v="34"/>
    <n v="0.29599999999999999"/>
    <n v="0.77400000000000002"/>
    <n v="317"/>
    <n v="33"/>
    <n v="126"/>
    <n v="72"/>
    <n v="22"/>
    <n v="20"/>
    <n v="44"/>
    <n v="1.64"/>
  </r>
  <r>
    <x v="4"/>
    <x v="0"/>
    <x v="8"/>
    <n v="85"/>
    <x v="6"/>
    <s v="Tassos"/>
    <n v="1"/>
    <n v="12"/>
    <n v="1"/>
    <n v="0"/>
    <x v="13"/>
    <s v="vs Stavros"/>
    <n v="197"/>
    <n v="0.505"/>
    <n v="47"/>
    <n v="0.35899999999999999"/>
    <n v="0.86899999999999999"/>
    <n v="534"/>
    <n v="42"/>
    <n v="131"/>
    <n v="107"/>
    <n v="36"/>
    <n v="25"/>
    <n v="58"/>
    <n v="1.84"/>
  </r>
  <r>
    <x v="4"/>
    <x v="0"/>
    <x v="8"/>
    <n v="86"/>
    <x v="19"/>
    <s v="Nonis"/>
    <n v="0"/>
    <n v="6"/>
    <n v="7"/>
    <n v="0"/>
    <x v="8"/>
    <s v="vs Ziogas/Christof"/>
    <n v="202"/>
    <n v="0.51400000000000001"/>
    <n v="45"/>
    <n v="0.36599999999999999"/>
    <n v="0.80100000000000005"/>
    <n v="562"/>
    <n v="29"/>
    <n v="142"/>
    <n v="106"/>
    <n v="17"/>
    <n v="14"/>
    <n v="52"/>
    <n v="2.04"/>
  </r>
  <r>
    <x v="4"/>
    <x v="0"/>
    <x v="8"/>
    <n v="86"/>
    <x v="9"/>
    <s v="Ziogas/Christof"/>
    <n v="1"/>
    <n v="7"/>
    <n v="6"/>
    <n v="0"/>
    <x v="18"/>
    <s v="vs Nonis"/>
    <n v="159"/>
    <n v="0.44700000000000001"/>
    <n v="61"/>
    <n v="0.38600000000000001"/>
    <n v="0.77800000000000002"/>
    <n v="456"/>
    <n v="21"/>
    <n v="147"/>
    <n v="121"/>
    <n v="21"/>
    <n v="16"/>
    <n v="58"/>
    <n v="2.09"/>
  </r>
  <r>
    <x v="4"/>
    <x v="0"/>
    <x v="8"/>
    <n v="87"/>
    <x v="24"/>
    <s v="Tolios"/>
    <n v="0"/>
    <n v="2"/>
    <n v="11"/>
    <n v="0"/>
    <x v="2"/>
    <s v="vs Sakellariou"/>
    <n v="73"/>
    <n v="0.46200000000000002"/>
    <n v="13"/>
    <n v="0.27700000000000002"/>
    <n v="0.57599999999999996"/>
    <n v="178"/>
    <n v="28"/>
    <n v="95"/>
    <n v="45"/>
    <n v="15"/>
    <n v="14"/>
    <n v="23"/>
    <n v="1.96"/>
  </r>
  <r>
    <x v="4"/>
    <x v="0"/>
    <x v="8"/>
    <n v="87"/>
    <x v="3"/>
    <s v="Sakellariou"/>
    <n v="1"/>
    <n v="11"/>
    <n v="2"/>
    <n v="0"/>
    <x v="24"/>
    <s v="vs Tolios"/>
    <n v="177"/>
    <n v="0.45300000000000001"/>
    <n v="65"/>
    <n v="0.35499999999999998"/>
    <n v="0.83499999999999996"/>
    <n v="515"/>
    <n v="45"/>
    <n v="141"/>
    <n v="99"/>
    <n v="32"/>
    <n v="23"/>
    <n v="50"/>
    <n v="1.98"/>
  </r>
  <r>
    <x v="4"/>
    <x v="0"/>
    <x v="8"/>
    <n v="88"/>
    <x v="11"/>
    <s v="pi/Sotiris"/>
    <n v="1"/>
    <n v="8"/>
    <n v="5"/>
    <n v="0"/>
    <x v="21"/>
    <s v="vs Tzokos"/>
    <n v="201"/>
    <n v="0.498"/>
    <n v="61"/>
    <n v="0.39600000000000002"/>
    <n v="0.77600000000000002"/>
    <n v="553"/>
    <n v="41"/>
    <n v="143"/>
    <n v="130"/>
    <n v="29"/>
    <n v="9"/>
    <n v="63"/>
    <n v="2.06"/>
  </r>
  <r>
    <x v="4"/>
    <x v="0"/>
    <x v="8"/>
    <n v="88"/>
    <x v="21"/>
    <s v="Tzokos"/>
    <n v="0"/>
    <n v="5"/>
    <n v="8"/>
    <n v="0"/>
    <x v="10"/>
    <s v="vs pi/Sotiris"/>
    <n v="184"/>
    <n v="0.48699999999999999"/>
    <n v="63"/>
    <n v="0.41199999999999998"/>
    <n v="0.77900000000000003"/>
    <n v="498"/>
    <n v="38"/>
    <n v="140"/>
    <n v="98"/>
    <n v="38"/>
    <n v="18"/>
    <n v="69"/>
    <n v="1.42"/>
  </r>
  <r>
    <x v="4"/>
    <x v="0"/>
    <x v="8"/>
    <n v="89"/>
    <x v="5"/>
    <s v="Markos"/>
    <n v="0"/>
    <n v="4"/>
    <n v="9"/>
    <n v="0"/>
    <x v="20"/>
    <s v="vs Guru"/>
    <n v="113"/>
    <n v="0.45200000000000001"/>
    <n v="37"/>
    <n v="0.374"/>
    <n v="0.8"/>
    <n v="299"/>
    <n v="32"/>
    <n v="83"/>
    <n v="84"/>
    <n v="14"/>
    <n v="10"/>
    <n v="33"/>
    <n v="2.5499999999999998"/>
  </r>
  <r>
    <x v="4"/>
    <x v="0"/>
    <x v="8"/>
    <n v="89"/>
    <x v="20"/>
    <s v="Guru"/>
    <n v="1"/>
    <n v="9"/>
    <n v="4"/>
    <n v="0"/>
    <x v="4"/>
    <s v="vs Markos"/>
    <n v="185"/>
    <n v="0.47099999999999997"/>
    <n v="67"/>
    <n v="0.36"/>
    <n v="0.82599999999999996"/>
    <n v="513"/>
    <n v="19"/>
    <n v="139"/>
    <n v="119"/>
    <n v="19"/>
    <n v="14"/>
    <n v="47"/>
    <n v="2.5299999999999998"/>
  </r>
  <r>
    <x v="4"/>
    <x v="0"/>
    <x v="8"/>
    <n v="90"/>
    <x v="16"/>
    <s v="Aris"/>
    <n v="0"/>
    <n v="5"/>
    <n v="7"/>
    <n v="1"/>
    <x v="0"/>
    <s v="vs Fanis"/>
    <n v="118"/>
    <n v="0.41299999999999998"/>
    <n v="33"/>
    <n v="0.29199999999999998"/>
    <n v="0.79800000000000004"/>
    <n v="336"/>
    <n v="38"/>
    <n v="117"/>
    <n v="93"/>
    <n v="21"/>
    <n v="21"/>
    <n v="65"/>
    <n v="1.43"/>
  </r>
  <r>
    <x v="4"/>
    <x v="0"/>
    <x v="8"/>
    <n v="90"/>
    <x v="1"/>
    <s v="Fanis"/>
    <n v="1"/>
    <n v="7"/>
    <n v="5"/>
    <n v="1"/>
    <x v="17"/>
    <s v="vs Aris"/>
    <n v="118"/>
    <n v="0.46300000000000002"/>
    <n v="37"/>
    <n v="0.31900000000000001"/>
    <n v="0.82399999999999995"/>
    <n v="329"/>
    <n v="29"/>
    <n v="110"/>
    <n v="65"/>
    <n v="19"/>
    <n v="24"/>
    <n v="33"/>
    <n v="1.97"/>
  </r>
  <r>
    <x v="4"/>
    <x v="0"/>
    <x v="9"/>
    <n v="91"/>
    <x v="3"/>
    <s v="Sakellariou"/>
    <n v="0"/>
    <n v="5"/>
    <n v="8"/>
    <n v="0"/>
    <x v="18"/>
    <s v="vs Nonis"/>
    <n v="77"/>
    <n v="0.36499999999999999"/>
    <n v="33"/>
    <n v="0.30599999999999999"/>
    <n v="0.81"/>
    <n v="238"/>
    <n v="13"/>
    <n v="90"/>
    <n v="63"/>
    <n v="23"/>
    <n v="11"/>
    <n v="36"/>
    <n v="1.75"/>
  </r>
  <r>
    <x v="4"/>
    <x v="0"/>
    <x v="9"/>
    <n v="91"/>
    <x v="19"/>
    <s v="Nonis"/>
    <n v="1"/>
    <n v="8"/>
    <n v="5"/>
    <n v="0"/>
    <x v="2"/>
    <s v="vs Sakellariou"/>
    <n v="134"/>
    <n v="0.49299999999999999"/>
    <n v="35"/>
    <n v="0.438"/>
    <n v="0.74299999999999999"/>
    <n v="378"/>
    <n v="41"/>
    <n v="111"/>
    <n v="61"/>
    <n v="18"/>
    <n v="20"/>
    <n v="43"/>
    <n v="1.42"/>
  </r>
  <r>
    <x v="4"/>
    <x v="0"/>
    <x v="9"/>
    <n v="92"/>
    <x v="25"/>
    <s v="Arvanitis"/>
    <n v="0"/>
    <n v="3"/>
    <n v="9"/>
    <n v="1"/>
    <x v="6"/>
    <s v="vs Johnny"/>
    <n v="69"/>
    <n v="0.43099999999999999"/>
    <n v="24"/>
    <n v="0.32900000000000001"/>
    <n v="0.871"/>
    <n v="189"/>
    <n v="23"/>
    <n v="71"/>
    <n v="46"/>
    <n v="8"/>
    <n v="9"/>
    <n v="18"/>
    <n v="2.56"/>
  </r>
  <r>
    <x v="4"/>
    <x v="0"/>
    <x v="9"/>
    <n v="92"/>
    <x v="7"/>
    <s v="Johnny"/>
    <n v="1"/>
    <n v="9"/>
    <n v="3"/>
    <n v="1"/>
    <x v="25"/>
    <s v="vs Arvanitis"/>
    <n v="148"/>
    <n v="0.498"/>
    <n v="38"/>
    <n v="0.36899999999999999"/>
    <n v="0.747"/>
    <n v="393"/>
    <n v="27"/>
    <n v="93"/>
    <n v="85"/>
    <n v="29"/>
    <n v="9"/>
    <n v="44"/>
    <n v="1.93"/>
  </r>
  <r>
    <x v="4"/>
    <x v="0"/>
    <x v="9"/>
    <n v="93"/>
    <x v="6"/>
    <s v="Tassos"/>
    <n v="1"/>
    <n v="10"/>
    <n v="3"/>
    <n v="0"/>
    <x v="3"/>
    <s v="vs Fountos"/>
    <n v="156"/>
    <n v="0.46400000000000002"/>
    <n v="35"/>
    <n v="0.307"/>
    <n v="0.84799999999999998"/>
    <n v="442"/>
    <n v="37"/>
    <n v="112"/>
    <n v="106"/>
    <n v="29"/>
    <n v="23"/>
    <n v="64"/>
    <n v="1.66"/>
  </r>
  <r>
    <x v="4"/>
    <x v="0"/>
    <x v="9"/>
    <n v="93"/>
    <x v="2"/>
    <s v="Fountos"/>
    <n v="0"/>
    <n v="3"/>
    <n v="10"/>
    <n v="0"/>
    <x v="7"/>
    <s v="vs Tassos"/>
    <n v="68"/>
    <n v="0.47899999999999998"/>
    <n v="15"/>
    <n v="0.3"/>
    <n v="0.74399999999999999"/>
    <n v="183"/>
    <n v="12"/>
    <n v="69"/>
    <n v="33"/>
    <n v="5"/>
    <n v="6"/>
    <n v="17"/>
    <n v="1.94"/>
  </r>
  <r>
    <x v="4"/>
    <x v="0"/>
    <x v="9"/>
    <n v="94"/>
    <x v="9"/>
    <s v="Ziogas/Christof"/>
    <n v="0"/>
    <n v="5"/>
    <n v="7"/>
    <n v="1"/>
    <x v="14"/>
    <s v="vs Vasilis"/>
    <n v="139"/>
    <n v="0.48099999999999998"/>
    <n v="39"/>
    <n v="0.32"/>
    <n v="0.78800000000000003"/>
    <n v="369"/>
    <n v="20"/>
    <n v="114"/>
    <n v="103"/>
    <n v="25"/>
    <n v="18"/>
    <n v="52"/>
    <n v="1.98"/>
  </r>
  <r>
    <x v="4"/>
    <x v="0"/>
    <x v="9"/>
    <n v="94"/>
    <x v="15"/>
    <s v="Vasilis"/>
    <n v="1"/>
    <n v="7"/>
    <n v="5"/>
    <n v="1"/>
    <x v="8"/>
    <s v="vs Ziogas/Christof"/>
    <n v="121"/>
    <n v="0.42899999999999999"/>
    <n v="49"/>
    <n v="0.32900000000000001"/>
    <n v="0.79700000000000004"/>
    <n v="350"/>
    <n v="20"/>
    <n v="100"/>
    <n v="115"/>
    <n v="28"/>
    <n v="13"/>
    <n v="36"/>
    <n v="3.19"/>
  </r>
  <r>
    <x v="4"/>
    <x v="0"/>
    <x v="9"/>
    <n v="95"/>
    <x v="20"/>
    <s v="Guru"/>
    <n v="0"/>
    <n v="2"/>
    <n v="11"/>
    <n v="0"/>
    <x v="12"/>
    <s v="vs Kousidis"/>
    <n v="70"/>
    <n v="0.39500000000000002"/>
    <n v="34"/>
    <n v="0.36199999999999999"/>
    <n v="0.8"/>
    <n v="198"/>
    <n v="22"/>
    <n v="53"/>
    <n v="37"/>
    <n v="12"/>
    <n v="7"/>
    <n v="27"/>
    <n v="1.37"/>
  </r>
  <r>
    <x v="4"/>
    <x v="0"/>
    <x v="9"/>
    <n v="95"/>
    <x v="13"/>
    <s v="Kousidis"/>
    <n v="1"/>
    <n v="11"/>
    <n v="2"/>
    <n v="0"/>
    <x v="20"/>
    <s v="vs Guru"/>
    <n v="90"/>
    <n v="0.48599999999999999"/>
    <n v="21"/>
    <n v="0.38200000000000001"/>
    <n v="0.72199999999999998"/>
    <n v="253"/>
    <n v="27"/>
    <n v="81"/>
    <n v="41"/>
    <n v="13"/>
    <n v="15"/>
    <n v="25"/>
    <n v="1.64"/>
  </r>
  <r>
    <x v="4"/>
    <x v="0"/>
    <x v="9"/>
    <n v="96"/>
    <x v="18"/>
    <s v="Kotakis"/>
    <n v="0"/>
    <n v="6"/>
    <n v="7"/>
    <n v="0"/>
    <x v="23"/>
    <s v="vs Sarantos"/>
    <n v="84"/>
    <n v="0.44"/>
    <n v="20"/>
    <n v="0.28599999999999998"/>
    <n v="0.65600000000000003"/>
    <n v="209"/>
    <n v="30"/>
    <n v="88"/>
    <n v="37"/>
    <n v="30"/>
    <n v="28"/>
    <n v="28"/>
    <n v="1.32"/>
  </r>
  <r>
    <x v="4"/>
    <x v="0"/>
    <x v="9"/>
    <n v="96"/>
    <x v="23"/>
    <s v="Sarantos"/>
    <n v="1"/>
    <n v="7"/>
    <n v="6"/>
    <n v="0"/>
    <x v="19"/>
    <s v="vs Kotakis"/>
    <n v="95"/>
    <n v="0.39400000000000002"/>
    <n v="35"/>
    <n v="0.32100000000000001"/>
    <n v="0.73899999999999999"/>
    <n v="259"/>
    <n v="23"/>
    <n v="76"/>
    <n v="59"/>
    <n v="18"/>
    <n v="7"/>
    <n v="36"/>
    <n v="1.64"/>
  </r>
  <r>
    <x v="4"/>
    <x v="0"/>
    <x v="9"/>
    <n v="97"/>
    <x v="17"/>
    <s v="Spiridaus/Oladipas"/>
    <n v="1"/>
    <n v="10"/>
    <n v="3"/>
    <n v="0"/>
    <x v="24"/>
    <s v="vs Tolios"/>
    <n v="157"/>
    <n v="0.497"/>
    <n v="51"/>
    <n v="0.39500000000000002"/>
    <n v="0.871"/>
    <n v="446"/>
    <n v="25"/>
    <n v="109"/>
    <n v="88"/>
    <n v="28"/>
    <n v="19"/>
    <n v="48"/>
    <n v="1.83"/>
  </r>
  <r>
    <x v="4"/>
    <x v="0"/>
    <x v="9"/>
    <n v="97"/>
    <x v="24"/>
    <s v="Tolios"/>
    <n v="0"/>
    <n v="3"/>
    <n v="10"/>
    <n v="0"/>
    <x v="16"/>
    <s v="vs Spiridaus/Oladipas"/>
    <n v="57"/>
    <n v="0.46"/>
    <n v="6"/>
    <n v="0.222"/>
    <n v="0.63200000000000001"/>
    <n v="132"/>
    <n v="27"/>
    <n v="54"/>
    <n v="27"/>
    <n v="9"/>
    <n v="13"/>
    <n v="14"/>
    <n v="1.93"/>
  </r>
  <r>
    <x v="4"/>
    <x v="0"/>
    <x v="9"/>
    <n v="98"/>
    <x v="1"/>
    <s v="Fanis"/>
    <n v="0"/>
    <n v="3"/>
    <n v="9"/>
    <n v="1"/>
    <x v="10"/>
    <s v="vs pi/Sotiris"/>
    <n v="94"/>
    <n v="0.41799999999999998"/>
    <n v="22"/>
    <n v="0.25900000000000001"/>
    <n v="0.86199999999999999"/>
    <n v="260"/>
    <n v="24"/>
    <n v="67"/>
    <n v="79"/>
    <n v="20"/>
    <n v="15"/>
    <n v="36"/>
    <n v="2.19"/>
  </r>
  <r>
    <x v="4"/>
    <x v="0"/>
    <x v="9"/>
    <n v="98"/>
    <x v="11"/>
    <s v="pi/Sotiris"/>
    <n v="1"/>
    <n v="9"/>
    <n v="3"/>
    <n v="1"/>
    <x v="0"/>
    <s v="vs Fanis"/>
    <n v="163"/>
    <n v="0.39500000000000002"/>
    <n v="54"/>
    <n v="0.32700000000000001"/>
    <n v="0.79700000000000004"/>
    <n v="474"/>
    <n v="39"/>
    <n v="167"/>
    <n v="145"/>
    <n v="31"/>
    <n v="15"/>
    <n v="57"/>
    <n v="2.54"/>
  </r>
  <r>
    <x v="4"/>
    <x v="0"/>
    <x v="9"/>
    <n v="99"/>
    <x v="21"/>
    <s v="Tzokos"/>
    <n v="1"/>
    <n v="10"/>
    <n v="3"/>
    <n v="0"/>
    <x v="13"/>
    <s v="vs Stavros"/>
    <n v="92"/>
    <n v="0.41099999999999998"/>
    <n v="40"/>
    <n v="0.34799999999999998"/>
    <n v="0.86699999999999999"/>
    <n v="276"/>
    <n v="23"/>
    <n v="79"/>
    <n v="58"/>
    <n v="19"/>
    <n v="6"/>
    <n v="25"/>
    <n v="2.3199999999999998"/>
  </r>
  <r>
    <x v="4"/>
    <x v="0"/>
    <x v="9"/>
    <n v="99"/>
    <x v="12"/>
    <s v="Stavros"/>
    <n v="0"/>
    <n v="3"/>
    <n v="10"/>
    <n v="0"/>
    <x v="21"/>
    <s v="vs Tzokos"/>
    <n v="63"/>
    <n v="0.49199999999999999"/>
    <n v="20"/>
    <n v="0.40799999999999997"/>
    <n v="0.76500000000000001"/>
    <n v="159"/>
    <n v="7"/>
    <n v="39"/>
    <n v="23"/>
    <n v="10"/>
    <n v="2"/>
    <n v="16"/>
    <n v="1.44"/>
  </r>
  <r>
    <x v="4"/>
    <x v="0"/>
    <x v="9"/>
    <n v="100"/>
    <x v="16"/>
    <s v="Aris"/>
    <n v="1"/>
    <n v="9"/>
    <n v="4"/>
    <n v="0"/>
    <x v="4"/>
    <s v="vs Markos"/>
    <n v="159"/>
    <n v="0.45300000000000001"/>
    <n v="40"/>
    <n v="0.34799999999999998"/>
    <n v="0.83499999999999996"/>
    <n v="434"/>
    <n v="26"/>
    <n v="107"/>
    <n v="105"/>
    <n v="28"/>
    <n v="12"/>
    <n v="54"/>
    <n v="1.94"/>
  </r>
  <r>
    <x v="4"/>
    <x v="0"/>
    <x v="9"/>
    <n v="100"/>
    <x v="5"/>
    <s v="Markos"/>
    <n v="0"/>
    <n v="4"/>
    <n v="9"/>
    <n v="0"/>
    <x v="17"/>
    <s v="vs Aris"/>
    <n v="108"/>
    <n v="0.46800000000000003"/>
    <n v="35"/>
    <n v="0.376"/>
    <n v="0.72899999999999998"/>
    <n v="286"/>
    <n v="23"/>
    <n v="62"/>
    <n v="66"/>
    <n v="18"/>
    <n v="9"/>
    <n v="22"/>
    <n v="3"/>
  </r>
  <r>
    <x v="4"/>
    <x v="0"/>
    <x v="10"/>
    <n v="101"/>
    <x v="7"/>
    <s v="Johnny"/>
    <n v="0"/>
    <n v="6"/>
    <n v="7"/>
    <n v="0"/>
    <x v="16"/>
    <s v="vs Spiridaus/Oladipas"/>
    <n v="146"/>
    <n v="0.47099999999999997"/>
    <n v="30"/>
    <n v="0.33300000000000002"/>
    <n v="0.86599999999999999"/>
    <n v="393"/>
    <n v="50"/>
    <n v="164"/>
    <n v="118"/>
    <n v="33"/>
    <n v="19"/>
    <n v="45"/>
    <n v="2.62"/>
  </r>
  <r>
    <x v="4"/>
    <x v="0"/>
    <x v="10"/>
    <n v="101"/>
    <x v="17"/>
    <s v="Spiridaus/Oladipas"/>
    <n v="1"/>
    <n v="7"/>
    <n v="6"/>
    <n v="0"/>
    <x v="6"/>
    <s v="vs Johnny"/>
    <n v="183"/>
    <n v="0.48699999999999999"/>
    <n v="56"/>
    <n v="0.39200000000000002"/>
    <n v="0.74"/>
    <n v="519"/>
    <n v="39"/>
    <n v="107"/>
    <n v="90"/>
    <n v="37"/>
    <n v="27"/>
    <n v="55"/>
    <n v="1.64"/>
  </r>
  <r>
    <x v="4"/>
    <x v="0"/>
    <x v="10"/>
    <n v="102"/>
    <x v="23"/>
    <s v="Sarantos"/>
    <n v="1"/>
    <n v="9"/>
    <n v="3"/>
    <n v="1"/>
    <x v="25"/>
    <s v="vs Arvanitis"/>
    <n v="104"/>
    <n v="0.40200000000000002"/>
    <n v="31"/>
    <n v="0.31"/>
    <n v="0.82699999999999996"/>
    <n v="282"/>
    <n v="33"/>
    <n v="92"/>
    <n v="52"/>
    <n v="16"/>
    <n v="13"/>
    <n v="35"/>
    <n v="1.49"/>
  </r>
  <r>
    <x v="4"/>
    <x v="0"/>
    <x v="10"/>
    <n v="102"/>
    <x v="25"/>
    <s v="Arvanitis"/>
    <n v="0"/>
    <n v="3"/>
    <n v="9"/>
    <n v="1"/>
    <x v="23"/>
    <s v="vs Sarantos"/>
    <n v="78"/>
    <n v="0.38600000000000001"/>
    <n v="24"/>
    <n v="0.26700000000000002"/>
    <n v="0.86499999999999999"/>
    <n v="212"/>
    <n v="25"/>
    <n v="95"/>
    <n v="37"/>
    <n v="13"/>
    <n v="13"/>
    <n v="32"/>
    <n v="1.1599999999999999"/>
  </r>
  <r>
    <x v="4"/>
    <x v="0"/>
    <x v="10"/>
    <n v="103"/>
    <x v="13"/>
    <s v="Kousidis"/>
    <n v="0"/>
    <n v="3"/>
    <n v="9"/>
    <n v="1"/>
    <x v="17"/>
    <s v="vs Aris"/>
    <n v="124"/>
    <n v="0.44900000000000001"/>
    <n v="26"/>
    <n v="0.32500000000000001"/>
    <n v="0.75600000000000001"/>
    <n v="342"/>
    <n v="48"/>
    <n v="104"/>
    <n v="59"/>
    <n v="17"/>
    <n v="18"/>
    <n v="56"/>
    <n v="1.05"/>
  </r>
  <r>
    <x v="4"/>
    <x v="0"/>
    <x v="10"/>
    <n v="103"/>
    <x v="16"/>
    <s v="Aris"/>
    <n v="1"/>
    <n v="9"/>
    <n v="3"/>
    <n v="1"/>
    <x v="12"/>
    <s v="vs Kousidis"/>
    <n v="143"/>
    <n v="0.46700000000000003"/>
    <n v="41"/>
    <n v="0.41"/>
    <n v="0.73399999999999999"/>
    <n v="407"/>
    <n v="43"/>
    <n v="116"/>
    <n v="125"/>
    <n v="18"/>
    <n v="18"/>
    <n v="70"/>
    <n v="1.79"/>
  </r>
  <r>
    <x v="4"/>
    <x v="0"/>
    <x v="10"/>
    <n v="104"/>
    <x v="2"/>
    <s v="Fountos"/>
    <n v="0"/>
    <n v="4"/>
    <n v="9"/>
    <n v="0"/>
    <x v="21"/>
    <s v="vs Tzokos"/>
    <n v="101"/>
    <n v="0.498"/>
    <n v="27"/>
    <n v="0.375"/>
    <n v="0.7"/>
    <n v="257"/>
    <n v="17"/>
    <n v="102"/>
    <n v="40"/>
    <n v="17"/>
    <n v="8"/>
    <n v="32"/>
    <n v="1.25"/>
  </r>
  <r>
    <x v="4"/>
    <x v="0"/>
    <x v="10"/>
    <n v="104"/>
    <x v="21"/>
    <s v="Tzokos"/>
    <n v="1"/>
    <n v="9"/>
    <n v="4"/>
    <n v="0"/>
    <x v="3"/>
    <s v="vs Fountos"/>
    <n v="181"/>
    <n v="0.45300000000000001"/>
    <n v="68"/>
    <n v="0.36799999999999999"/>
    <n v="0.76300000000000001"/>
    <n v="533"/>
    <n v="35"/>
    <n v="131"/>
    <n v="70"/>
    <n v="23"/>
    <n v="17"/>
    <n v="59"/>
    <n v="1.19"/>
  </r>
  <r>
    <x v="4"/>
    <x v="0"/>
    <x v="10"/>
    <n v="105"/>
    <x v="15"/>
    <s v="Vasilis"/>
    <n v="1"/>
    <n v="10"/>
    <n v="3"/>
    <n v="0"/>
    <x v="2"/>
    <s v="vs Sakellariou"/>
    <n v="131"/>
    <n v="0.47299999999999998"/>
    <n v="54"/>
    <n v="0.40899999999999997"/>
    <n v="0.86299999999999999"/>
    <n v="385"/>
    <n v="33"/>
    <n v="111"/>
    <n v="71"/>
    <n v="17"/>
    <n v="10"/>
    <n v="28"/>
    <n v="2.54"/>
  </r>
  <r>
    <x v="4"/>
    <x v="0"/>
    <x v="10"/>
    <n v="105"/>
    <x v="3"/>
    <s v="Sakellariou"/>
    <n v="0"/>
    <n v="3"/>
    <n v="10"/>
    <n v="0"/>
    <x v="14"/>
    <s v="vs Vasilis"/>
    <n v="129"/>
    <n v="0.46400000000000002"/>
    <n v="29"/>
    <n v="0.315"/>
    <n v="0.73899999999999999"/>
    <n v="352"/>
    <n v="28"/>
    <n v="94"/>
    <n v="74"/>
    <n v="29"/>
    <n v="20"/>
    <n v="41"/>
    <n v="1.8"/>
  </r>
  <r>
    <x v="4"/>
    <x v="0"/>
    <x v="10"/>
    <n v="106"/>
    <x v="12"/>
    <s v="Stavros"/>
    <n v="0"/>
    <n v="4"/>
    <n v="9"/>
    <n v="0"/>
    <x v="10"/>
    <s v="vs pi/Sotiris"/>
    <n v="105"/>
    <n v="0.39800000000000002"/>
    <n v="35"/>
    <n v="0.318"/>
    <n v="0.78800000000000003"/>
    <n v="297"/>
    <n v="13"/>
    <n v="98"/>
    <n v="74"/>
    <n v="22"/>
    <n v="17"/>
    <n v="47"/>
    <n v="1.57"/>
  </r>
  <r>
    <x v="4"/>
    <x v="0"/>
    <x v="10"/>
    <n v="106"/>
    <x v="11"/>
    <s v="pi/Sotiris"/>
    <n v="1"/>
    <n v="9"/>
    <n v="4"/>
    <n v="0"/>
    <x v="13"/>
    <s v="vs Stavros"/>
    <n v="164"/>
    <n v="0.48199999999999998"/>
    <n v="64"/>
    <n v="0.42099999999999999"/>
    <n v="0.77300000000000002"/>
    <n v="460"/>
    <n v="29"/>
    <n v="129"/>
    <n v="84"/>
    <n v="24"/>
    <n v="10"/>
    <n v="63"/>
    <n v="1.33"/>
  </r>
  <r>
    <x v="4"/>
    <x v="0"/>
    <x v="10"/>
    <n v="107"/>
    <x v="6"/>
    <s v="Tassos"/>
    <n v="0"/>
    <n v="3"/>
    <n v="10"/>
    <n v="0"/>
    <x v="20"/>
    <s v="vs Guru"/>
    <n v="100"/>
    <n v="0.45200000000000001"/>
    <n v="30"/>
    <n v="0.41099999999999998"/>
    <n v="0.76700000000000002"/>
    <n v="276"/>
    <n v="21"/>
    <n v="75"/>
    <n v="76"/>
    <n v="19"/>
    <n v="14"/>
    <n v="31"/>
    <n v="2.4500000000000002"/>
  </r>
  <r>
    <x v="4"/>
    <x v="0"/>
    <x v="10"/>
    <n v="107"/>
    <x v="20"/>
    <s v="Guru"/>
    <n v="1"/>
    <n v="10"/>
    <n v="3"/>
    <n v="0"/>
    <x v="7"/>
    <s v="vs Tassos"/>
    <n v="168"/>
    <n v="0.42299999999999999"/>
    <n v="59"/>
    <n v="0.33"/>
    <n v="0.84699999999999998"/>
    <n v="495"/>
    <n v="39"/>
    <n v="146"/>
    <n v="113"/>
    <n v="29"/>
    <n v="26"/>
    <n v="46"/>
    <n v="2.46"/>
  </r>
  <r>
    <x v="4"/>
    <x v="0"/>
    <x v="10"/>
    <n v="108"/>
    <x v="19"/>
    <s v="Nonis"/>
    <n v="1"/>
    <n v="8"/>
    <n v="5"/>
    <n v="0"/>
    <x v="24"/>
    <s v="vs Tolios"/>
    <n v="159"/>
    <n v="0.498"/>
    <n v="41"/>
    <n v="0.39800000000000002"/>
    <n v="0.82399999999999995"/>
    <n v="476"/>
    <n v="39"/>
    <n v="134"/>
    <n v="88"/>
    <n v="20"/>
    <n v="19"/>
    <n v="47"/>
    <n v="1.87"/>
  </r>
  <r>
    <x v="4"/>
    <x v="0"/>
    <x v="10"/>
    <n v="108"/>
    <x v="24"/>
    <s v="Tolios"/>
    <n v="0"/>
    <n v="5"/>
    <n v="8"/>
    <n v="0"/>
    <x v="18"/>
    <s v="vs Nonis"/>
    <n v="106"/>
    <n v="0.51500000000000001"/>
    <n v="26"/>
    <n v="0.38200000000000001"/>
    <n v="0.67600000000000005"/>
    <n v="261"/>
    <n v="52"/>
    <n v="100"/>
    <n v="58"/>
    <n v="21"/>
    <n v="16"/>
    <n v="19"/>
    <n v="3.05"/>
  </r>
  <r>
    <x v="4"/>
    <x v="0"/>
    <x v="10"/>
    <n v="109"/>
    <x v="9"/>
    <s v="Ziogas/Christof"/>
    <n v="0"/>
    <n v="6"/>
    <n v="7"/>
    <n v="0"/>
    <x v="19"/>
    <s v="vs Kotakis"/>
    <n v="119"/>
    <n v="0.45800000000000002"/>
    <n v="45"/>
    <n v="0.40500000000000003"/>
    <n v="0.746"/>
    <n v="336"/>
    <n v="25"/>
    <n v="90"/>
    <n v="77"/>
    <n v="29"/>
    <n v="11"/>
    <n v="40"/>
    <n v="1.93"/>
  </r>
  <r>
    <x v="4"/>
    <x v="0"/>
    <x v="10"/>
    <n v="109"/>
    <x v="18"/>
    <s v="Kotakis"/>
    <n v="1"/>
    <n v="7"/>
    <n v="6"/>
    <n v="0"/>
    <x v="8"/>
    <s v="vs Ziogas/Christof"/>
    <n v="179"/>
    <n v="0.51400000000000001"/>
    <n v="38"/>
    <n v="0.32500000000000001"/>
    <n v="0.74099999999999999"/>
    <n v="456"/>
    <n v="30"/>
    <n v="113"/>
    <n v="61"/>
    <n v="30"/>
    <n v="29"/>
    <n v="41"/>
    <n v="1.49"/>
  </r>
  <r>
    <x v="4"/>
    <x v="0"/>
    <x v="10"/>
    <n v="110"/>
    <x v="5"/>
    <s v="Markos"/>
    <n v="1"/>
    <n v="9"/>
    <n v="4"/>
    <n v="0"/>
    <x v="0"/>
    <s v="vs Fanis"/>
    <n v="143"/>
    <n v="0.47"/>
    <n v="39"/>
    <n v="0.45300000000000001"/>
    <n v="0.69"/>
    <n v="374"/>
    <n v="24"/>
    <n v="78"/>
    <n v="92"/>
    <n v="13"/>
    <n v="9"/>
    <n v="39"/>
    <n v="2.36"/>
  </r>
  <r>
    <x v="4"/>
    <x v="0"/>
    <x v="10"/>
    <n v="110"/>
    <x v="1"/>
    <s v="Fanis"/>
    <n v="0"/>
    <n v="4"/>
    <n v="9"/>
    <n v="0"/>
    <x v="4"/>
    <s v="vs Markos"/>
    <n v="90"/>
    <n v="0.443"/>
    <n v="29"/>
    <n v="0.36199999999999999"/>
    <n v="0.82199999999999995"/>
    <n v="246"/>
    <n v="23"/>
    <n v="61"/>
    <n v="87"/>
    <n v="14"/>
    <n v="12"/>
    <n v="37"/>
    <n v="2.35"/>
  </r>
  <r>
    <x v="4"/>
    <x v="0"/>
    <x v="11"/>
    <n v="111"/>
    <x v="7"/>
    <s v="Johnny"/>
    <n v="1"/>
    <n v="8"/>
    <n v="5"/>
    <n v="0"/>
    <x v="23"/>
    <s v="vs Sarantos"/>
    <n v="194"/>
    <n v="0.495"/>
    <n v="55"/>
    <n v="0.40400000000000003"/>
    <n v="0.73699999999999999"/>
    <n v="499"/>
    <n v="43"/>
    <n v="167"/>
    <n v="119"/>
    <n v="36"/>
    <n v="17"/>
    <n v="47"/>
    <n v="2.5299999999999998"/>
  </r>
  <r>
    <x v="4"/>
    <x v="0"/>
    <x v="11"/>
    <n v="111"/>
    <x v="23"/>
    <s v="Sarantos"/>
    <n v="0"/>
    <n v="5"/>
    <n v="8"/>
    <n v="0"/>
    <x v="6"/>
    <s v="vs Johnny"/>
    <n v="159"/>
    <n v="0.502"/>
    <n v="66"/>
    <n v="0.40500000000000003"/>
    <n v="0.67400000000000004"/>
    <n v="415"/>
    <n v="23"/>
    <n v="112"/>
    <n v="66"/>
    <n v="29"/>
    <n v="19"/>
    <n v="37"/>
    <n v="1.78"/>
  </r>
  <r>
    <x v="4"/>
    <x v="0"/>
    <x v="11"/>
    <n v="112"/>
    <x v="3"/>
    <s v="Sakellariou"/>
    <n v="0"/>
    <n v="5"/>
    <n v="8"/>
    <n v="0"/>
    <x v="19"/>
    <s v="vs Kotakis"/>
    <n v="123"/>
    <n v="0.41699999999999998"/>
    <n v="36"/>
    <n v="0.32400000000000001"/>
    <n v="0.79"/>
    <n v="331"/>
    <n v="39"/>
    <n v="95"/>
    <n v="93"/>
    <n v="36"/>
    <n v="15"/>
    <n v="45"/>
    <n v="2.0699999999999998"/>
  </r>
  <r>
    <x v="4"/>
    <x v="0"/>
    <x v="11"/>
    <n v="112"/>
    <x v="18"/>
    <s v="Kotakis"/>
    <n v="1"/>
    <n v="8"/>
    <n v="5"/>
    <n v="0"/>
    <x v="2"/>
    <s v="vs Sakellariou"/>
    <n v="163"/>
    <n v="0.49399999999999999"/>
    <n v="41"/>
    <n v="0.34499999999999997"/>
    <n v="0.73599999999999999"/>
    <n v="431"/>
    <n v="34"/>
    <n v="106"/>
    <n v="52"/>
    <n v="34"/>
    <n v="21"/>
    <n v="35"/>
    <n v="1.49"/>
  </r>
  <r>
    <x v="4"/>
    <x v="0"/>
    <x v="11"/>
    <n v="113"/>
    <x v="25"/>
    <s v="Arvanitis"/>
    <n v="0"/>
    <n v="4"/>
    <n v="9"/>
    <n v="0"/>
    <x v="8"/>
    <s v="vs Ziogas/Christof"/>
    <n v="94"/>
    <n v="0.40200000000000002"/>
    <n v="33"/>
    <n v="0.30299999999999999"/>
    <n v="0.83699999999999997"/>
    <n v="257"/>
    <n v="32"/>
    <n v="93"/>
    <n v="50"/>
    <n v="16"/>
    <n v="28"/>
    <n v="39"/>
    <n v="1.28"/>
  </r>
  <r>
    <x v="4"/>
    <x v="0"/>
    <x v="11"/>
    <n v="113"/>
    <x v="9"/>
    <s v="Ziogas/Christof"/>
    <n v="1"/>
    <n v="9"/>
    <n v="4"/>
    <n v="0"/>
    <x v="25"/>
    <s v="vs Arvanitis"/>
    <n v="135"/>
    <n v="0.48"/>
    <n v="36"/>
    <n v="0.32400000000000001"/>
    <n v="0.77800000000000002"/>
    <n v="348"/>
    <n v="30"/>
    <n v="114"/>
    <n v="108"/>
    <n v="27"/>
    <n v="14"/>
    <n v="44"/>
    <n v="2.4500000000000002"/>
  </r>
  <r>
    <x v="4"/>
    <x v="0"/>
    <x v="11"/>
    <n v="114"/>
    <x v="24"/>
    <s v="Tolios"/>
    <n v="0"/>
    <n v="4"/>
    <n v="9"/>
    <n v="0"/>
    <x v="14"/>
    <s v="vs Vasilis"/>
    <n v="101"/>
    <n v="0.44700000000000001"/>
    <n v="18"/>
    <n v="0.27300000000000002"/>
    <n v="0.74399999999999999"/>
    <n v="249"/>
    <n v="39"/>
    <n v="90"/>
    <n v="45"/>
    <n v="16"/>
    <n v="22"/>
    <n v="28"/>
    <n v="1.61"/>
  </r>
  <r>
    <x v="4"/>
    <x v="0"/>
    <x v="11"/>
    <n v="114"/>
    <x v="15"/>
    <s v="Vasilis"/>
    <n v="1"/>
    <n v="9"/>
    <n v="4"/>
    <n v="0"/>
    <x v="24"/>
    <s v="vs Tolios"/>
    <n v="159"/>
    <n v="0.434"/>
    <n v="50"/>
    <n v="0.32300000000000001"/>
    <n v="0.79800000000000004"/>
    <n v="451"/>
    <n v="27"/>
    <n v="150"/>
    <n v="141"/>
    <n v="27"/>
    <n v="11"/>
    <n v="55"/>
    <n v="2.56"/>
  </r>
  <r>
    <x v="4"/>
    <x v="0"/>
    <x v="11"/>
    <n v="115"/>
    <x v="11"/>
    <s v="pi/Sotiris"/>
    <n v="1"/>
    <n v="9"/>
    <n v="4"/>
    <n v="0"/>
    <x v="3"/>
    <s v="vs Fountos"/>
    <n v="214"/>
    <n v="0.45100000000000001"/>
    <n v="61"/>
    <n v="0.36699999999999999"/>
    <n v="0.77100000000000002"/>
    <n v="573"/>
    <n v="54"/>
    <n v="210"/>
    <n v="134"/>
    <n v="44"/>
    <n v="16"/>
    <n v="72"/>
    <n v="1.86"/>
  </r>
  <r>
    <x v="4"/>
    <x v="0"/>
    <x v="11"/>
    <n v="115"/>
    <x v="2"/>
    <s v="Fountos"/>
    <n v="0"/>
    <n v="4"/>
    <n v="9"/>
    <n v="0"/>
    <x v="10"/>
    <s v="vs pi/Sotiris"/>
    <n v="174"/>
    <n v="0.504"/>
    <n v="29"/>
    <n v="0.29599999999999999"/>
    <n v="0.77400000000000002"/>
    <n v="459"/>
    <n v="46"/>
    <n v="157"/>
    <n v="78"/>
    <n v="32"/>
    <n v="17"/>
    <n v="52"/>
    <n v="1.5"/>
  </r>
  <r>
    <x v="4"/>
    <x v="0"/>
    <x v="11"/>
    <n v="116"/>
    <x v="17"/>
    <s v="Spiridaus/Oladipas"/>
    <n v="0"/>
    <n v="6"/>
    <n v="7"/>
    <n v="0"/>
    <x v="18"/>
    <s v="vs Nonis"/>
    <n v="197"/>
    <n v="0.441"/>
    <n v="74"/>
    <n v="0.378"/>
    <n v="0.75900000000000001"/>
    <n v="550"/>
    <n v="42"/>
    <n v="157"/>
    <n v="135"/>
    <n v="30"/>
    <n v="23"/>
    <n v="69"/>
    <n v="1.96"/>
  </r>
  <r>
    <x v="4"/>
    <x v="0"/>
    <x v="11"/>
    <n v="116"/>
    <x v="19"/>
    <s v="Nonis"/>
    <n v="1"/>
    <n v="7"/>
    <n v="6"/>
    <n v="0"/>
    <x v="16"/>
    <s v="vs Spiridaus/Oladipas"/>
    <n v="203"/>
    <n v="0.46100000000000002"/>
    <n v="48"/>
    <n v="0.35299999999999998"/>
    <n v="0.81499999999999995"/>
    <n v="582"/>
    <n v="39"/>
    <n v="163"/>
    <n v="164"/>
    <n v="27"/>
    <n v="17"/>
    <n v="78"/>
    <n v="2.1"/>
  </r>
  <r>
    <x v="4"/>
    <x v="0"/>
    <x v="11"/>
    <n v="117"/>
    <x v="5"/>
    <s v="Markos"/>
    <n v="0"/>
    <n v="5"/>
    <n v="8"/>
    <n v="0"/>
    <x v="12"/>
    <s v="vs Kousidis"/>
    <n v="144"/>
    <n v="0.47399999999999998"/>
    <n v="22"/>
    <n v="0.32400000000000001"/>
    <n v="0.70799999999999996"/>
    <n v="373"/>
    <n v="47"/>
    <n v="112"/>
    <n v="78"/>
    <n v="20"/>
    <n v="17"/>
    <n v="47"/>
    <n v="1.66"/>
  </r>
  <r>
    <x v="4"/>
    <x v="0"/>
    <x v="11"/>
    <n v="117"/>
    <x v="13"/>
    <s v="Kousidis"/>
    <n v="1"/>
    <n v="8"/>
    <n v="5"/>
    <n v="0"/>
    <x v="4"/>
    <s v="vs Markos"/>
    <n v="127"/>
    <n v="0.48499999999999999"/>
    <n v="32"/>
    <n v="0.39"/>
    <n v="0.753"/>
    <n v="344"/>
    <n v="44"/>
    <n v="105"/>
    <n v="66"/>
    <n v="27"/>
    <n v="19"/>
    <n v="31"/>
    <n v="2.13"/>
  </r>
  <r>
    <x v="4"/>
    <x v="0"/>
    <x v="11"/>
    <n v="118"/>
    <x v="1"/>
    <s v="Fanis"/>
    <n v="0"/>
    <n v="2"/>
    <n v="11"/>
    <n v="0"/>
    <x v="13"/>
    <s v="vs Stavros"/>
    <n v="105"/>
    <n v="0.40400000000000003"/>
    <n v="36"/>
    <n v="0.316"/>
    <n v="0.83299999999999996"/>
    <n v="306"/>
    <n v="25"/>
    <n v="109"/>
    <n v="99"/>
    <n v="22"/>
    <n v="12"/>
    <n v="54"/>
    <n v="1.83"/>
  </r>
  <r>
    <x v="4"/>
    <x v="0"/>
    <x v="11"/>
    <n v="118"/>
    <x v="12"/>
    <s v="Stavros"/>
    <n v="1"/>
    <n v="11"/>
    <n v="2"/>
    <n v="0"/>
    <x v="0"/>
    <s v="vs Fanis"/>
    <n v="196"/>
    <n v="0.48299999999999998"/>
    <n v="62"/>
    <n v="0.39500000000000002"/>
    <n v="0.622"/>
    <n v="505"/>
    <n v="34"/>
    <n v="137"/>
    <n v="108"/>
    <n v="32"/>
    <n v="10"/>
    <n v="48"/>
    <n v="2.25"/>
  </r>
  <r>
    <x v="4"/>
    <x v="0"/>
    <x v="11"/>
    <n v="119"/>
    <x v="21"/>
    <s v="Tzokos"/>
    <n v="1"/>
    <n v="8"/>
    <n v="4"/>
    <n v="1"/>
    <x v="20"/>
    <s v="vs Guru"/>
    <n v="228"/>
    <n v="0.51600000000000001"/>
    <n v="79"/>
    <n v="0.41099999999999998"/>
    <n v="0.76700000000000002"/>
    <n v="624"/>
    <n v="42"/>
    <n v="149"/>
    <n v="116"/>
    <n v="35"/>
    <n v="12"/>
    <n v="63"/>
    <n v="1.84"/>
  </r>
  <r>
    <x v="4"/>
    <x v="0"/>
    <x v="11"/>
    <n v="119"/>
    <x v="20"/>
    <s v="Guru"/>
    <n v="0"/>
    <n v="4"/>
    <n v="8"/>
    <n v="1"/>
    <x v="21"/>
    <s v="vs Tzokos"/>
    <n v="145"/>
    <n v="0.434"/>
    <n v="55"/>
    <n v="0.35499999999999998"/>
    <n v="0.91"/>
    <n v="426"/>
    <n v="23"/>
    <n v="91"/>
    <n v="118"/>
    <n v="21"/>
    <n v="12"/>
    <n v="41"/>
    <n v="2.88"/>
  </r>
  <r>
    <x v="4"/>
    <x v="0"/>
    <x v="11"/>
    <n v="120"/>
    <x v="16"/>
    <s v="Aris"/>
    <n v="0"/>
    <n v="2"/>
    <n v="11"/>
    <n v="0"/>
    <x v="7"/>
    <s v="vs Tassos"/>
    <n v="144"/>
    <n v="0.41499999999999998"/>
    <n v="42"/>
    <n v="0.33900000000000002"/>
    <n v="0.75700000000000001"/>
    <n v="408"/>
    <n v="39"/>
    <n v="121"/>
    <n v="135"/>
    <n v="12"/>
    <n v="22"/>
    <n v="63"/>
    <n v="2.14"/>
  </r>
  <r>
    <x v="4"/>
    <x v="0"/>
    <x v="11"/>
    <n v="120"/>
    <x v="6"/>
    <s v="Tassos"/>
    <n v="1"/>
    <n v="11"/>
    <n v="2"/>
    <n v="0"/>
    <x v="17"/>
    <s v="vs Aris"/>
    <n v="181"/>
    <n v="0.441"/>
    <n v="57"/>
    <n v="0.36799999999999999"/>
    <n v="0.84699999999999998"/>
    <n v="502"/>
    <n v="63"/>
    <n v="147"/>
    <n v="101"/>
    <n v="33"/>
    <n v="32"/>
    <n v="59"/>
    <n v="1.71"/>
  </r>
  <r>
    <x v="4"/>
    <x v="0"/>
    <x v="12"/>
    <n v="121"/>
    <x v="23"/>
    <s v="Sarantos"/>
    <n v="0"/>
    <n v="3"/>
    <n v="10"/>
    <n v="0"/>
    <x v="16"/>
    <s v="vs Spiridaus/Oladipas"/>
    <n v="127"/>
    <n v="0.42099999999999999"/>
    <n v="44"/>
    <n v="0.28799999999999998"/>
    <n v="0.79600000000000004"/>
    <n v="341"/>
    <n v="23"/>
    <n v="95"/>
    <n v="90"/>
    <n v="23"/>
    <n v="12"/>
    <n v="48"/>
    <n v="1.88"/>
  </r>
  <r>
    <x v="4"/>
    <x v="0"/>
    <x v="12"/>
    <n v="121"/>
    <x v="17"/>
    <s v="Spiridaus/Oladipas"/>
    <n v="1"/>
    <n v="10"/>
    <n v="3"/>
    <n v="0"/>
    <x v="23"/>
    <s v="vs Sarantos"/>
    <n v="211"/>
    <n v="0.49299999999999999"/>
    <n v="53"/>
    <n v="0.35299999999999998"/>
    <n v="0.748"/>
    <n v="561"/>
    <n v="43"/>
    <n v="149"/>
    <n v="113"/>
    <n v="33"/>
    <n v="16"/>
    <n v="64"/>
    <n v="1.77"/>
  </r>
  <r>
    <x v="4"/>
    <x v="0"/>
    <x v="12"/>
    <n v="122"/>
    <x v="13"/>
    <s v="Kousidis"/>
    <n v="1"/>
    <n v="9"/>
    <n v="4"/>
    <n v="0"/>
    <x v="0"/>
    <s v="vs Fanis"/>
    <n v="140"/>
    <n v="0.498"/>
    <n v="39"/>
    <n v="0.375"/>
    <n v="0.86899999999999999"/>
    <n v="372"/>
    <n v="33"/>
    <n v="88"/>
    <n v="82"/>
    <n v="16"/>
    <n v="12"/>
    <n v="31"/>
    <n v="2.65"/>
  </r>
  <r>
    <x v="4"/>
    <x v="0"/>
    <x v="12"/>
    <n v="122"/>
    <x v="1"/>
    <s v="Fanis"/>
    <n v="0"/>
    <n v="4"/>
    <n v="9"/>
    <n v="0"/>
    <x v="12"/>
    <s v="vs Kousidis"/>
    <n v="119"/>
    <n v="0.40100000000000002"/>
    <n v="37"/>
    <n v="0.29799999999999999"/>
    <n v="0.73199999999999998"/>
    <n v="327"/>
    <n v="36"/>
    <n v="105"/>
    <n v="70"/>
    <n v="29"/>
    <n v="16"/>
    <n v="44"/>
    <n v="1.59"/>
  </r>
  <r>
    <x v="4"/>
    <x v="0"/>
    <x v="12"/>
    <n v="123"/>
    <x v="3"/>
    <s v="Sakellariou"/>
    <n v="1"/>
    <n v="10"/>
    <n v="2"/>
    <n v="1"/>
    <x v="25"/>
    <s v="vs Arvanitis"/>
    <n v="120"/>
    <n v="0.42599999999999999"/>
    <n v="47"/>
    <n v="0.36399999999999999"/>
    <n v="0.82799999999999996"/>
    <n v="364"/>
    <n v="32"/>
    <n v="124"/>
    <n v="63"/>
    <n v="19"/>
    <n v="12"/>
    <n v="57"/>
    <n v="1.1100000000000001"/>
  </r>
  <r>
    <x v="4"/>
    <x v="0"/>
    <x v="12"/>
    <n v="123"/>
    <x v="25"/>
    <s v="Arvanitis"/>
    <n v="0"/>
    <n v="2"/>
    <n v="10"/>
    <n v="1"/>
    <x v="2"/>
    <s v="vs Sakellariou"/>
    <n v="73"/>
    <n v="0.39"/>
    <n v="24"/>
    <n v="0.27"/>
    <n v="0.80800000000000005"/>
    <n v="191"/>
    <n v="21"/>
    <n v="82"/>
    <n v="38"/>
    <n v="19"/>
    <n v="17"/>
    <n v="36"/>
    <n v="1.06"/>
  </r>
  <r>
    <x v="4"/>
    <x v="0"/>
    <x v="12"/>
    <n v="124"/>
    <x v="2"/>
    <s v="Fountos"/>
    <n v="0"/>
    <n v="6"/>
    <n v="7"/>
    <n v="0"/>
    <x v="13"/>
    <s v="vs Stavros"/>
    <n v="103"/>
    <n v="0.48399999999999999"/>
    <n v="26"/>
    <n v="0.377"/>
    <n v="0.76600000000000001"/>
    <n v="268"/>
    <n v="23"/>
    <n v="77"/>
    <n v="58"/>
    <n v="12"/>
    <n v="15"/>
    <n v="37"/>
    <n v="1.57"/>
  </r>
  <r>
    <x v="4"/>
    <x v="0"/>
    <x v="12"/>
    <n v="124"/>
    <x v="12"/>
    <s v="Stavros"/>
    <n v="1"/>
    <n v="7"/>
    <n v="6"/>
    <n v="0"/>
    <x v="3"/>
    <s v="vs Fountos"/>
    <n v="136"/>
    <n v="0.41599999999999998"/>
    <n v="42"/>
    <n v="0.309"/>
    <n v="0.78800000000000003"/>
    <n v="396"/>
    <n v="20"/>
    <n v="103"/>
    <n v="90"/>
    <n v="20"/>
    <n v="11"/>
    <n v="63"/>
    <n v="1.43"/>
  </r>
  <r>
    <x v="4"/>
    <x v="0"/>
    <x v="12"/>
    <n v="125"/>
    <x v="15"/>
    <s v="Vasilis"/>
    <n v="1"/>
    <n v="9"/>
    <n v="4"/>
    <n v="0"/>
    <x v="18"/>
    <s v="vs Nonis"/>
    <n v="183"/>
    <n v="0.48499999999999999"/>
    <n v="66"/>
    <n v="0.38600000000000001"/>
    <n v="0.78400000000000003"/>
    <n v="512"/>
    <n v="29"/>
    <n v="142"/>
    <n v="115"/>
    <n v="15"/>
    <n v="12"/>
    <n v="50"/>
    <n v="2.2999999999999998"/>
  </r>
  <r>
    <x v="4"/>
    <x v="0"/>
    <x v="12"/>
    <n v="125"/>
    <x v="19"/>
    <s v="Nonis"/>
    <n v="0"/>
    <n v="4"/>
    <n v="9"/>
    <n v="0"/>
    <x v="14"/>
    <s v="vs Vasilis"/>
    <n v="144"/>
    <n v="0.47199999999999998"/>
    <n v="44"/>
    <n v="0.36099999999999999"/>
    <n v="0.86"/>
    <n v="455"/>
    <n v="21"/>
    <n v="140"/>
    <n v="117"/>
    <n v="23"/>
    <n v="17"/>
    <n v="60"/>
    <n v="1.95"/>
  </r>
  <r>
    <x v="4"/>
    <x v="0"/>
    <x v="12"/>
    <n v="126"/>
    <x v="6"/>
    <s v="Tassos"/>
    <n v="1"/>
    <n v="12"/>
    <n v="1"/>
    <n v="0"/>
    <x v="4"/>
    <s v="vs Markos"/>
    <n v="181"/>
    <n v="0.47599999999999998"/>
    <n v="41"/>
    <n v="0.30399999999999999"/>
    <n v="0.80800000000000005"/>
    <n v="483"/>
    <n v="42"/>
    <n v="150"/>
    <n v="128"/>
    <n v="34"/>
    <n v="31"/>
    <n v="61"/>
    <n v="2.1"/>
  </r>
  <r>
    <x v="4"/>
    <x v="0"/>
    <x v="12"/>
    <n v="126"/>
    <x v="5"/>
    <s v="Markos"/>
    <n v="0"/>
    <n v="1"/>
    <n v="12"/>
    <n v="0"/>
    <x v="7"/>
    <s v="vs Tassos"/>
    <n v="108"/>
    <n v="0.40899999999999997"/>
    <n v="15"/>
    <n v="0.192"/>
    <n v="0.79500000000000004"/>
    <n v="289"/>
    <n v="39"/>
    <n v="105"/>
    <n v="92"/>
    <n v="24"/>
    <n v="26"/>
    <n v="56"/>
    <n v="1.64"/>
  </r>
  <r>
    <x v="4"/>
    <x v="0"/>
    <x v="12"/>
    <n v="127"/>
    <x v="9"/>
    <s v="Ziogas/Christof"/>
    <n v="0"/>
    <n v="2"/>
    <n v="11"/>
    <n v="0"/>
    <x v="6"/>
    <s v="vs Johnny"/>
    <n v="124"/>
    <n v="0.40500000000000003"/>
    <n v="35"/>
    <n v="0.28899999999999998"/>
    <n v="0.64"/>
    <n v="315"/>
    <n v="19"/>
    <n v="107"/>
    <n v="102"/>
    <n v="15"/>
    <n v="10"/>
    <n v="42"/>
    <n v="2.4300000000000002"/>
  </r>
  <r>
    <x v="4"/>
    <x v="0"/>
    <x v="12"/>
    <n v="127"/>
    <x v="7"/>
    <s v="Johnny"/>
    <n v="1"/>
    <n v="11"/>
    <n v="2"/>
    <n v="0"/>
    <x v="8"/>
    <s v="vs Ziogas/Christof"/>
    <n v="163"/>
    <n v="0.46800000000000003"/>
    <n v="42"/>
    <n v="0.316"/>
    <n v="0.77400000000000002"/>
    <n v="416"/>
    <n v="24"/>
    <n v="114"/>
    <n v="103"/>
    <n v="37"/>
    <n v="14"/>
    <n v="50"/>
    <n v="2.06"/>
  </r>
  <r>
    <x v="4"/>
    <x v="0"/>
    <x v="12"/>
    <n v="128"/>
    <x v="20"/>
    <s v="Guru"/>
    <n v="0"/>
    <n v="4"/>
    <n v="9"/>
    <n v="0"/>
    <x v="10"/>
    <s v="vs pi/Sotiris"/>
    <n v="127"/>
    <n v="0.40600000000000003"/>
    <n v="54"/>
    <n v="0.34799999999999998"/>
    <n v="0.83699999999999997"/>
    <n v="390"/>
    <n v="32"/>
    <n v="105"/>
    <n v="100"/>
    <n v="30"/>
    <n v="21"/>
    <n v="34"/>
    <n v="2.94"/>
  </r>
  <r>
    <x v="4"/>
    <x v="0"/>
    <x v="12"/>
    <n v="128"/>
    <x v="11"/>
    <s v="pi/Sotiris"/>
    <n v="1"/>
    <n v="9"/>
    <n v="4"/>
    <n v="0"/>
    <x v="20"/>
    <s v="vs Guru"/>
    <n v="228"/>
    <n v="0.51800000000000002"/>
    <n v="68"/>
    <n v="0.39100000000000001"/>
    <n v="0.75800000000000001"/>
    <n v="599"/>
    <n v="43"/>
    <n v="188"/>
    <n v="151"/>
    <n v="37"/>
    <n v="14"/>
    <n v="72"/>
    <n v="2.1"/>
  </r>
  <r>
    <x v="4"/>
    <x v="0"/>
    <x v="12"/>
    <n v="129"/>
    <x v="18"/>
    <s v="Kotakis"/>
    <n v="0"/>
    <n v="4"/>
    <n v="9"/>
    <n v="0"/>
    <x v="24"/>
    <s v="vs Tolios"/>
    <n v="135"/>
    <n v="0.54900000000000004"/>
    <n v="23"/>
    <n v="0.34799999999999998"/>
    <n v="0.66700000000000004"/>
    <n v="333"/>
    <n v="33"/>
    <n v="106"/>
    <n v="60"/>
    <n v="23"/>
    <n v="20"/>
    <n v="41"/>
    <n v="1.46"/>
  </r>
  <r>
    <x v="4"/>
    <x v="0"/>
    <x v="12"/>
    <n v="129"/>
    <x v="24"/>
    <s v="Tolios"/>
    <n v="1"/>
    <n v="9"/>
    <n v="4"/>
    <n v="0"/>
    <x v="19"/>
    <s v="vs Kotakis"/>
    <n v="127"/>
    <n v="0.52"/>
    <n v="25"/>
    <n v="0.34699999999999998"/>
    <n v="0.75800000000000001"/>
    <n v="329"/>
    <n v="54"/>
    <n v="120"/>
    <n v="62"/>
    <n v="25"/>
    <n v="23"/>
    <n v="30"/>
    <n v="2.0699999999999998"/>
  </r>
  <r>
    <x v="4"/>
    <x v="0"/>
    <x v="12"/>
    <n v="130"/>
    <x v="21"/>
    <s v="Tzokos"/>
    <n v="1"/>
    <n v="10"/>
    <n v="2"/>
    <n v="1"/>
    <x v="17"/>
    <s v="vs Aris"/>
    <n v="166"/>
    <n v="0.47399999999999998"/>
    <n v="53"/>
    <n v="0.371"/>
    <n v="0.75600000000000001"/>
    <n v="478"/>
    <n v="47"/>
    <n v="169"/>
    <n v="142"/>
    <n v="32"/>
    <n v="15"/>
    <n v="51"/>
    <n v="2.78"/>
  </r>
  <r>
    <x v="4"/>
    <x v="0"/>
    <x v="12"/>
    <n v="130"/>
    <x v="16"/>
    <s v="Aris"/>
    <n v="0"/>
    <n v="2"/>
    <n v="10"/>
    <n v="1"/>
    <x v="21"/>
    <s v="vs Tzokos"/>
    <n v="147"/>
    <n v="0.42599999999999999"/>
    <n v="49"/>
    <n v="0.36"/>
    <n v="0.85399999999999998"/>
    <n v="431"/>
    <n v="24"/>
    <n v="107"/>
    <n v="122"/>
    <n v="32"/>
    <n v="12"/>
    <n v="46"/>
    <n v="2.65"/>
  </r>
  <r>
    <x v="4"/>
    <x v="0"/>
    <x v="13"/>
    <n v="131"/>
    <x v="7"/>
    <s v="Johnny"/>
    <n v="1"/>
    <n v="9"/>
    <n v="4"/>
    <n v="0"/>
    <x v="2"/>
    <s v="vs Sakellariou"/>
    <n v="196"/>
    <n v="0.42799999999999999"/>
    <n v="47"/>
    <n v="0.28799999999999998"/>
    <n v="0.83299999999999996"/>
    <n v="519"/>
    <n v="41"/>
    <n v="189"/>
    <n v="140"/>
    <n v="48"/>
    <n v="27"/>
    <n v="68"/>
    <n v="2.06"/>
  </r>
  <r>
    <x v="4"/>
    <x v="0"/>
    <x v="13"/>
    <n v="131"/>
    <x v="3"/>
    <s v="Sakellariou"/>
    <n v="0"/>
    <n v="4"/>
    <n v="9"/>
    <n v="0"/>
    <x v="6"/>
    <s v="vs Johnny"/>
    <n v="181"/>
    <n v="0.443"/>
    <n v="43"/>
    <n v="0.28699999999999998"/>
    <n v="0.753"/>
    <n v="478"/>
    <n v="51"/>
    <n v="153"/>
    <n v="91"/>
    <n v="29"/>
    <n v="30"/>
    <n v="57"/>
    <n v="1.6"/>
  </r>
  <r>
    <x v="4"/>
    <x v="0"/>
    <x v="13"/>
    <n v="132"/>
    <x v="23"/>
    <s v="Sarantos"/>
    <n v="0"/>
    <n v="3"/>
    <n v="9"/>
    <n v="1"/>
    <x v="8"/>
    <s v="vs Ziogas/Christof"/>
    <n v="127"/>
    <n v="0.41499999999999998"/>
    <n v="49"/>
    <n v="0.34"/>
    <n v="0.85699999999999998"/>
    <n v="345"/>
    <n v="30"/>
    <n v="94"/>
    <n v="78"/>
    <n v="26"/>
    <n v="10"/>
    <n v="37"/>
    <n v="2.11"/>
  </r>
  <r>
    <x v="4"/>
    <x v="0"/>
    <x v="13"/>
    <n v="132"/>
    <x v="9"/>
    <s v="Ziogas/Christof"/>
    <n v="1"/>
    <n v="9"/>
    <n v="3"/>
    <n v="1"/>
    <x v="23"/>
    <s v="vs Sarantos"/>
    <n v="185"/>
    <n v="0.47399999999999998"/>
    <n v="65"/>
    <n v="0.38"/>
    <n v="0.73599999999999999"/>
    <n v="530"/>
    <n v="33"/>
    <n v="130"/>
    <n v="140"/>
    <n v="35"/>
    <n v="10"/>
    <n v="72"/>
    <n v="1.94"/>
  </r>
  <r>
    <x v="4"/>
    <x v="0"/>
    <x v="13"/>
    <n v="133"/>
    <x v="13"/>
    <s v="Kousidis"/>
    <n v="0"/>
    <n v="3"/>
    <n v="10"/>
    <n v="0"/>
    <x v="7"/>
    <s v="vs Tassos"/>
    <n v="185"/>
    <n v="0.49099999999999999"/>
    <n v="36"/>
    <n v="0.29799999999999999"/>
    <n v="0.77800000000000002"/>
    <n v="483"/>
    <n v="51"/>
    <n v="167"/>
    <n v="82"/>
    <n v="19"/>
    <n v="23"/>
    <n v="49"/>
    <n v="1.67"/>
  </r>
  <r>
    <x v="4"/>
    <x v="0"/>
    <x v="13"/>
    <n v="133"/>
    <x v="6"/>
    <s v="Tassos"/>
    <n v="1"/>
    <n v="10"/>
    <n v="3"/>
    <n v="0"/>
    <x v="12"/>
    <s v="vs Kousidis"/>
    <n v="206"/>
    <n v="0.45400000000000001"/>
    <n v="51"/>
    <n v="0.34"/>
    <n v="0.73499999999999999"/>
    <n v="549"/>
    <n v="58"/>
    <n v="181"/>
    <n v="118"/>
    <n v="36"/>
    <n v="33"/>
    <n v="64"/>
    <n v="1.84"/>
  </r>
  <r>
    <x v="4"/>
    <x v="0"/>
    <x v="13"/>
    <n v="134"/>
    <x v="12"/>
    <s v="Stavros"/>
    <n v="1"/>
    <n v="7"/>
    <n v="6"/>
    <n v="0"/>
    <x v="20"/>
    <s v="vs Guru"/>
    <n v="136"/>
    <n v="0.47099999999999997"/>
    <n v="44"/>
    <n v="0.373"/>
    <n v="0.73599999999999999"/>
    <n v="355"/>
    <n v="44"/>
    <n v="115"/>
    <n v="84"/>
    <n v="37"/>
    <n v="10"/>
    <n v="33"/>
    <n v="2.5499999999999998"/>
  </r>
  <r>
    <x v="4"/>
    <x v="0"/>
    <x v="13"/>
    <n v="134"/>
    <x v="20"/>
    <s v="Guru"/>
    <n v="0"/>
    <n v="6"/>
    <n v="7"/>
    <n v="0"/>
    <x v="13"/>
    <s v="vs Stavros"/>
    <n v="131"/>
    <n v="0.434"/>
    <n v="52"/>
    <n v="0.4"/>
    <n v="0.78300000000000003"/>
    <n v="361"/>
    <n v="34"/>
    <n v="141"/>
    <n v="79"/>
    <n v="26"/>
    <n v="15"/>
    <n v="34"/>
    <n v="2.3199999999999998"/>
  </r>
  <r>
    <x v="4"/>
    <x v="0"/>
    <x v="13"/>
    <n v="135"/>
    <x v="19"/>
    <s v="Nonis"/>
    <n v="1"/>
    <n v="10"/>
    <n v="3"/>
    <n v="0"/>
    <x v="19"/>
    <s v="vs Kotakis"/>
    <n v="226"/>
    <n v="0.48599999999999999"/>
    <n v="53"/>
    <n v="0.38100000000000001"/>
    <n v="0.82199999999999995"/>
    <n v="685"/>
    <n v="44"/>
    <n v="171"/>
    <n v="137"/>
    <n v="23"/>
    <n v="27"/>
    <n v="82"/>
    <n v="1.67"/>
  </r>
  <r>
    <x v="4"/>
    <x v="0"/>
    <x v="13"/>
    <n v="135"/>
    <x v="18"/>
    <s v="Kotakis"/>
    <n v="0"/>
    <n v="3"/>
    <n v="10"/>
    <n v="0"/>
    <x v="18"/>
    <s v="vs Nonis"/>
    <n v="126"/>
    <n v="0.46700000000000003"/>
    <n v="40"/>
    <n v="0.39200000000000002"/>
    <n v="0.70099999999999996"/>
    <n v="339"/>
    <n v="30"/>
    <n v="113"/>
    <n v="51"/>
    <n v="27"/>
    <n v="24"/>
    <n v="36"/>
    <n v="1.42"/>
  </r>
  <r>
    <x v="4"/>
    <x v="0"/>
    <x v="13"/>
    <n v="136"/>
    <x v="24"/>
    <s v="Tolios"/>
    <n v="1"/>
    <n v="10"/>
    <n v="3"/>
    <n v="0"/>
    <x v="25"/>
    <s v="vs Arvanitis"/>
    <n v="111"/>
    <n v="0.48699999999999999"/>
    <n v="32"/>
    <n v="0.39500000000000002"/>
    <n v="0.67900000000000005"/>
    <n v="290"/>
    <n v="37"/>
    <n v="84"/>
    <n v="55"/>
    <n v="19"/>
    <n v="11"/>
    <n v="30"/>
    <n v="1.83"/>
  </r>
  <r>
    <x v="4"/>
    <x v="0"/>
    <x v="13"/>
    <n v="136"/>
    <x v="25"/>
    <s v="Arvanitis"/>
    <n v="0"/>
    <n v="3"/>
    <n v="10"/>
    <n v="0"/>
    <x v="24"/>
    <s v="vs Tolios"/>
    <n v="70"/>
    <n v="0.41899999999999998"/>
    <n v="26"/>
    <n v="0.32500000000000001"/>
    <n v="0.83299999999999996"/>
    <n v="196"/>
    <n v="27"/>
    <n v="81"/>
    <n v="37"/>
    <n v="15"/>
    <n v="26"/>
    <n v="23"/>
    <n v="1.61"/>
  </r>
  <r>
    <x v="4"/>
    <x v="0"/>
    <x v="13"/>
    <n v="137"/>
    <x v="11"/>
    <s v="pi/Sotiris"/>
    <n v="0"/>
    <n v="5"/>
    <n v="7"/>
    <n v="1"/>
    <x v="17"/>
    <s v="vs Aris"/>
    <n v="199"/>
    <n v="0.47499999999999998"/>
    <n v="51"/>
    <n v="0.34"/>
    <n v="0.78900000000000003"/>
    <n v="535"/>
    <n v="73"/>
    <n v="198"/>
    <n v="141"/>
    <n v="37"/>
    <n v="12"/>
    <n v="66"/>
    <n v="2.14"/>
  </r>
  <r>
    <x v="4"/>
    <x v="0"/>
    <x v="13"/>
    <n v="137"/>
    <x v="16"/>
    <s v="Aris"/>
    <n v="1"/>
    <n v="7"/>
    <n v="5"/>
    <n v="1"/>
    <x v="10"/>
    <s v="vs pi/Sotiris"/>
    <n v="199"/>
    <n v="0.45600000000000002"/>
    <n v="52"/>
    <n v="0.35099999999999998"/>
    <n v="0.82899999999999996"/>
    <n v="566"/>
    <n v="32"/>
    <n v="130"/>
    <n v="146"/>
    <n v="32"/>
    <n v="11"/>
    <n v="60"/>
    <n v="2.4300000000000002"/>
  </r>
  <r>
    <x v="4"/>
    <x v="0"/>
    <x v="13"/>
    <n v="138"/>
    <x v="17"/>
    <s v="Spiridaus/Oladipas"/>
    <n v="1"/>
    <n v="11"/>
    <n v="2"/>
    <n v="0"/>
    <x v="14"/>
    <s v="vs Vasilis"/>
    <n v="234"/>
    <n v="0.48299999999999998"/>
    <n v="49"/>
    <n v="0.32700000000000001"/>
    <n v="0.78800000000000003"/>
    <n v="606"/>
    <n v="39"/>
    <n v="167"/>
    <n v="144"/>
    <n v="40"/>
    <n v="24"/>
    <n v="71"/>
    <n v="2.0299999999999998"/>
  </r>
  <r>
    <x v="4"/>
    <x v="0"/>
    <x v="13"/>
    <n v="138"/>
    <x v="15"/>
    <s v="Vasilis"/>
    <n v="0"/>
    <n v="2"/>
    <n v="11"/>
    <n v="0"/>
    <x v="16"/>
    <s v="vs Spiridaus/Oladipas"/>
    <n v="182"/>
    <n v="0.44500000000000001"/>
    <n v="60"/>
    <n v="0.32600000000000001"/>
    <n v="0.75900000000000001"/>
    <n v="509"/>
    <n v="25"/>
    <n v="133"/>
    <n v="109"/>
    <n v="20"/>
    <n v="13"/>
    <n v="59"/>
    <n v="1.85"/>
  </r>
  <r>
    <x v="4"/>
    <x v="0"/>
    <x v="13"/>
    <n v="139"/>
    <x v="5"/>
    <s v="Markos"/>
    <n v="0"/>
    <n v="6"/>
    <n v="7"/>
    <n v="0"/>
    <x v="21"/>
    <s v="vs Tzokos"/>
    <n v="164"/>
    <n v="0.495"/>
    <n v="28"/>
    <n v="0.32600000000000001"/>
    <n v="0.81"/>
    <n v="424"/>
    <n v="50"/>
    <n v="107"/>
    <n v="81"/>
    <n v="18"/>
    <n v="24"/>
    <n v="50"/>
    <n v="1.62"/>
  </r>
  <r>
    <x v="4"/>
    <x v="0"/>
    <x v="13"/>
    <n v="139"/>
    <x v="21"/>
    <s v="Tzokos"/>
    <n v="1"/>
    <n v="7"/>
    <n v="6"/>
    <n v="0"/>
    <x v="4"/>
    <s v="vs Markos"/>
    <n v="154"/>
    <n v="0.44800000000000001"/>
    <n v="51"/>
    <n v="0.34499999999999997"/>
    <n v="0.80200000000000005"/>
    <n v="448"/>
    <n v="42"/>
    <n v="115"/>
    <n v="165"/>
    <n v="29"/>
    <n v="16"/>
    <n v="66"/>
    <n v="2.5"/>
  </r>
  <r>
    <x v="4"/>
    <x v="0"/>
    <x v="13"/>
    <n v="140"/>
    <x v="1"/>
    <s v="Fanis"/>
    <n v="1"/>
    <n v="10"/>
    <n v="3"/>
    <n v="0"/>
    <x v="3"/>
    <s v="vs Fountos"/>
    <n v="163"/>
    <n v="0.41499999999999998"/>
    <n v="47"/>
    <n v="0.29699999999999999"/>
    <n v="0.79500000000000004"/>
    <n v="470"/>
    <n v="32"/>
    <n v="137"/>
    <n v="156"/>
    <n v="26"/>
    <n v="25"/>
    <n v="68"/>
    <n v="2.29"/>
  </r>
  <r>
    <x v="4"/>
    <x v="0"/>
    <x v="13"/>
    <n v="140"/>
    <x v="2"/>
    <s v="Fountos"/>
    <n v="0"/>
    <n v="3"/>
    <n v="10"/>
    <n v="0"/>
    <x v="0"/>
    <s v="vs Fanis"/>
    <n v="116"/>
    <n v="0.47"/>
    <n v="26"/>
    <n v="0.34699999999999998"/>
    <n v="0.71"/>
    <n v="307"/>
    <n v="23"/>
    <n v="98"/>
    <n v="50"/>
    <n v="18"/>
    <n v="21"/>
    <n v="32"/>
    <n v="1.56"/>
  </r>
  <r>
    <x v="4"/>
    <x v="0"/>
    <x v="14"/>
    <n v="141"/>
    <x v="3"/>
    <s v="Sakellariou"/>
    <n v="0"/>
    <n v="3"/>
    <n v="8"/>
    <n v="2"/>
    <x v="23"/>
    <s v="vs Sarantos"/>
    <n v="172"/>
    <n v="0.46600000000000003"/>
    <n v="61"/>
    <n v="0.35699999999999998"/>
    <n v="0.74299999999999999"/>
    <n v="460"/>
    <n v="41"/>
    <n v="125"/>
    <n v="106"/>
    <n v="28"/>
    <n v="16"/>
    <n v="56"/>
    <n v="1.89"/>
  </r>
  <r>
    <x v="4"/>
    <x v="0"/>
    <x v="14"/>
    <n v="141"/>
    <x v="23"/>
    <s v="Sarantos"/>
    <n v="1"/>
    <n v="8"/>
    <n v="3"/>
    <n v="2"/>
    <x v="2"/>
    <s v="vs Sakellariou"/>
    <n v="172"/>
    <n v="0.45500000000000002"/>
    <n v="61"/>
    <n v="0.33500000000000002"/>
    <n v="0.874"/>
    <n v="495"/>
    <n v="38"/>
    <n v="128"/>
    <n v="113"/>
    <n v="29"/>
    <n v="20"/>
    <n v="37"/>
    <n v="3.05"/>
  </r>
  <r>
    <x v="4"/>
    <x v="0"/>
    <x v="14"/>
    <n v="142"/>
    <x v="25"/>
    <s v="Arvanitis"/>
    <n v="0"/>
    <n v="3"/>
    <n v="9"/>
    <n v="1"/>
    <x v="18"/>
    <s v="vs Nonis"/>
    <n v="95"/>
    <n v="0.51400000000000001"/>
    <n v="35"/>
    <n v="0.39300000000000002"/>
    <n v="0.75"/>
    <n v="246"/>
    <n v="21"/>
    <n v="71"/>
    <n v="37"/>
    <n v="13"/>
    <n v="10"/>
    <n v="32"/>
    <n v="1.1599999999999999"/>
  </r>
  <r>
    <x v="4"/>
    <x v="0"/>
    <x v="14"/>
    <n v="142"/>
    <x v="19"/>
    <s v="Nonis"/>
    <n v="1"/>
    <n v="9"/>
    <n v="3"/>
    <n v="1"/>
    <x v="25"/>
    <s v="vs Arvanitis"/>
    <n v="133"/>
    <n v="0.42899999999999999"/>
    <n v="35"/>
    <n v="0.30199999999999999"/>
    <n v="0.79"/>
    <n v="425"/>
    <n v="25"/>
    <n v="110"/>
    <n v="111"/>
    <n v="16"/>
    <n v="11"/>
    <n v="55"/>
    <n v="2.02"/>
  </r>
  <r>
    <x v="4"/>
    <x v="0"/>
    <x v="14"/>
    <n v="143"/>
    <x v="6"/>
    <s v="Tassos"/>
    <n v="1"/>
    <n v="7"/>
    <n v="6"/>
    <n v="0"/>
    <x v="0"/>
    <s v="vs Fanis"/>
    <n v="172"/>
    <n v="0.49299999999999999"/>
    <n v="45"/>
    <n v="0.36299999999999999"/>
    <n v="0.75800000000000001"/>
    <n v="461"/>
    <n v="44"/>
    <n v="142"/>
    <n v="107"/>
    <n v="34"/>
    <n v="32"/>
    <n v="47"/>
    <n v="2.2799999999999998"/>
  </r>
  <r>
    <x v="4"/>
    <x v="0"/>
    <x v="14"/>
    <n v="143"/>
    <x v="1"/>
    <s v="Fanis"/>
    <n v="0"/>
    <n v="6"/>
    <n v="7"/>
    <n v="0"/>
    <x v="7"/>
    <s v="vs Tassos"/>
    <n v="177"/>
    <n v="0.48899999999999999"/>
    <n v="51"/>
    <n v="0.35899999999999999"/>
    <n v="0.75700000000000001"/>
    <n v="489"/>
    <n v="27"/>
    <n v="144"/>
    <n v="147"/>
    <n v="28"/>
    <n v="23"/>
    <n v="51"/>
    <n v="2.88"/>
  </r>
  <r>
    <x v="4"/>
    <x v="0"/>
    <x v="14"/>
    <n v="144"/>
    <x v="24"/>
    <s v="Tolios"/>
    <n v="0"/>
    <n v="2"/>
    <n v="11"/>
    <n v="0"/>
    <x v="6"/>
    <s v="vs Johnny"/>
    <n v="85"/>
    <n v="0.43099999999999999"/>
    <n v="23"/>
    <n v="0.32900000000000001"/>
    <n v="0.71899999999999997"/>
    <n v="216"/>
    <n v="35"/>
    <n v="85"/>
    <n v="47"/>
    <n v="15"/>
    <n v="13"/>
    <n v="27"/>
    <n v="1.74"/>
  </r>
  <r>
    <x v="4"/>
    <x v="0"/>
    <x v="14"/>
    <n v="144"/>
    <x v="7"/>
    <s v="Johnny"/>
    <n v="1"/>
    <n v="11"/>
    <n v="2"/>
    <n v="0"/>
    <x v="24"/>
    <s v="vs Tolios"/>
    <n v="242"/>
    <n v="0.54100000000000004"/>
    <n v="56"/>
    <n v="0.42699999999999999"/>
    <n v="0.66300000000000003"/>
    <n v="609"/>
    <n v="67"/>
    <n v="207"/>
    <n v="161"/>
    <n v="31"/>
    <n v="25"/>
    <n v="74"/>
    <n v="2.1800000000000002"/>
  </r>
  <r>
    <x v="4"/>
    <x v="0"/>
    <x v="14"/>
    <n v="145"/>
    <x v="9"/>
    <s v="Ziogas/Christof"/>
    <n v="0"/>
    <n v="3"/>
    <n v="10"/>
    <n v="0"/>
    <x v="16"/>
    <s v="vs Spiridaus/Oladipas"/>
    <n v="131"/>
    <n v="0.48"/>
    <n v="38"/>
    <n v="0.36899999999999999"/>
    <n v="0.70799999999999996"/>
    <n v="346"/>
    <n v="21"/>
    <n v="113"/>
    <n v="91"/>
    <n v="25"/>
    <n v="8"/>
    <n v="57"/>
    <n v="1.6"/>
  </r>
  <r>
    <x v="4"/>
    <x v="0"/>
    <x v="14"/>
    <n v="145"/>
    <x v="17"/>
    <s v="Spiridaus/Oladipas"/>
    <n v="1"/>
    <n v="10"/>
    <n v="3"/>
    <n v="0"/>
    <x v="8"/>
    <s v="vs Ziogas/Christof"/>
    <n v="200"/>
    <n v="0.45500000000000002"/>
    <n v="53"/>
    <n v="0.36099999999999999"/>
    <n v="0.84499999999999997"/>
    <n v="551"/>
    <n v="41"/>
    <n v="158"/>
    <n v="120"/>
    <n v="35"/>
    <n v="21"/>
    <n v="67"/>
    <n v="1.79"/>
  </r>
  <r>
    <x v="4"/>
    <x v="0"/>
    <x v="14"/>
    <n v="146"/>
    <x v="20"/>
    <s v="Guru"/>
    <n v="0"/>
    <n v="5"/>
    <n v="8"/>
    <n v="0"/>
    <x v="3"/>
    <s v="vs Fountos"/>
    <n v="94"/>
    <n v="0.437"/>
    <n v="25"/>
    <n v="0.29099999999999998"/>
    <n v="0.82399999999999995"/>
    <n v="274"/>
    <n v="30"/>
    <n v="83"/>
    <n v="43"/>
    <n v="17"/>
    <n v="22"/>
    <n v="27"/>
    <n v="1.59"/>
  </r>
  <r>
    <x v="4"/>
    <x v="0"/>
    <x v="14"/>
    <n v="146"/>
    <x v="2"/>
    <s v="Fountos"/>
    <n v="1"/>
    <n v="8"/>
    <n v="5"/>
    <n v="0"/>
    <x v="20"/>
    <s v="vs Guru"/>
    <n v="122"/>
    <n v="0.49"/>
    <n v="29"/>
    <n v="0.377"/>
    <n v="0.77600000000000002"/>
    <n v="318"/>
    <n v="23"/>
    <n v="87"/>
    <n v="56"/>
    <n v="16"/>
    <n v="8"/>
    <n v="31"/>
    <n v="1.81"/>
  </r>
  <r>
    <x v="4"/>
    <x v="0"/>
    <x v="14"/>
    <n v="147"/>
    <x v="18"/>
    <s v="Kotakis"/>
    <n v="1"/>
    <n v="9"/>
    <n v="3"/>
    <n v="1"/>
    <x v="14"/>
    <s v="vs Vasilis"/>
    <n v="167"/>
    <n v="0.45800000000000002"/>
    <n v="45"/>
    <n v="0.32800000000000001"/>
    <n v="0.73599999999999999"/>
    <n v="443"/>
    <n v="41"/>
    <n v="118"/>
    <n v="85"/>
    <n v="29"/>
    <n v="13"/>
    <n v="36"/>
    <n v="2.36"/>
  </r>
  <r>
    <x v="4"/>
    <x v="0"/>
    <x v="14"/>
    <n v="147"/>
    <x v="15"/>
    <s v="Vasilis"/>
    <n v="0"/>
    <n v="3"/>
    <n v="9"/>
    <n v="1"/>
    <x v="19"/>
    <s v="vs Kotakis"/>
    <n v="136"/>
    <n v="0.44700000000000001"/>
    <n v="48"/>
    <n v="0.33300000000000002"/>
    <n v="0.84299999999999997"/>
    <n v="406"/>
    <n v="28"/>
    <n v="111"/>
    <n v="72"/>
    <n v="25"/>
    <n v="13"/>
    <n v="47"/>
    <n v="1.53"/>
  </r>
  <r>
    <x v="4"/>
    <x v="0"/>
    <x v="14"/>
    <n v="148"/>
    <x v="11"/>
    <s v="pi/Sotiris"/>
    <n v="1"/>
    <n v="7"/>
    <n v="6"/>
    <n v="0"/>
    <x v="4"/>
    <s v="vs Markos"/>
    <n v="202"/>
    <n v="0.45100000000000001"/>
    <n v="47"/>
    <n v="0.29399999999999998"/>
    <n v="0.77400000000000002"/>
    <n v="557"/>
    <n v="54"/>
    <n v="177"/>
    <n v="161"/>
    <n v="36"/>
    <n v="12"/>
    <n v="77"/>
    <n v="2.09"/>
  </r>
  <r>
    <x v="4"/>
    <x v="0"/>
    <x v="14"/>
    <n v="148"/>
    <x v="5"/>
    <s v="Markos"/>
    <n v="0"/>
    <n v="6"/>
    <n v="7"/>
    <n v="0"/>
    <x v="10"/>
    <s v="vs pi/Sotiris"/>
    <n v="190"/>
    <n v="0.497"/>
    <n v="51"/>
    <n v="0.40500000000000003"/>
    <n v="0.70499999999999996"/>
    <n v="493"/>
    <n v="42"/>
    <n v="128"/>
    <n v="106"/>
    <n v="18"/>
    <n v="15"/>
    <n v="47"/>
    <n v="2.2599999999999998"/>
  </r>
  <r>
    <x v="4"/>
    <x v="0"/>
    <x v="14"/>
    <n v="149"/>
    <x v="21"/>
    <s v="Tzokos"/>
    <n v="0"/>
    <n v="6"/>
    <n v="7"/>
    <n v="0"/>
    <x v="12"/>
    <s v="vs Kousidis"/>
    <n v="125"/>
    <n v="0.45800000000000002"/>
    <n v="51"/>
    <n v="0.38900000000000001"/>
    <n v="0.78"/>
    <n v="347"/>
    <n v="28"/>
    <n v="117"/>
    <n v="66"/>
    <n v="25"/>
    <n v="12"/>
    <n v="46"/>
    <n v="1.43"/>
  </r>
  <r>
    <x v="4"/>
    <x v="0"/>
    <x v="14"/>
    <n v="149"/>
    <x v="13"/>
    <s v="Kousidis"/>
    <n v="1"/>
    <n v="7"/>
    <n v="6"/>
    <n v="0"/>
    <x v="21"/>
    <s v="vs Tzokos"/>
    <n v="156"/>
    <n v="0.51500000000000001"/>
    <n v="26"/>
    <n v="0.36599999999999999"/>
    <n v="0.68"/>
    <n v="408"/>
    <n v="40"/>
    <n v="134"/>
    <n v="58"/>
    <n v="21"/>
    <n v="20"/>
    <n v="41"/>
    <n v="1.41"/>
  </r>
  <r>
    <x v="4"/>
    <x v="0"/>
    <x v="14"/>
    <n v="150"/>
    <x v="16"/>
    <s v="Aris"/>
    <n v="1"/>
    <n v="9"/>
    <n v="4"/>
    <n v="0"/>
    <x v="13"/>
    <s v="vs Stavros"/>
    <n v="180"/>
    <n v="0.51700000000000002"/>
    <n v="52"/>
    <n v="0.41599999999999998"/>
    <n v="0.80700000000000005"/>
    <n v="479"/>
    <n v="40"/>
    <n v="120"/>
    <n v="130"/>
    <n v="24"/>
    <n v="5"/>
    <n v="74"/>
    <n v="1.76"/>
  </r>
  <r>
    <x v="4"/>
    <x v="0"/>
    <x v="14"/>
    <n v="150"/>
    <x v="12"/>
    <s v="Stavros"/>
    <n v="0"/>
    <n v="4"/>
    <n v="9"/>
    <n v="0"/>
    <x v="17"/>
    <s v="vs Aris"/>
    <n v="70"/>
    <n v="0.40899999999999997"/>
    <n v="23"/>
    <n v="0.32400000000000001"/>
    <n v="0.85299999999999998"/>
    <n v="192"/>
    <n v="24"/>
    <n v="76"/>
    <n v="52"/>
    <n v="22"/>
    <n v="13"/>
    <n v="21"/>
    <n v="2.48"/>
  </r>
  <r>
    <x v="4"/>
    <x v="0"/>
    <x v="15"/>
    <n v="151"/>
    <x v="23"/>
    <s v="Sarantos"/>
    <n v="1"/>
    <n v="9"/>
    <n v="4"/>
    <n v="0"/>
    <x v="24"/>
    <s v="vs Tolios"/>
    <n v="164"/>
    <n v="0.45300000000000001"/>
    <n v="60"/>
    <n v="0.33700000000000002"/>
    <n v="0.81"/>
    <n v="452"/>
    <n v="35"/>
    <n v="91"/>
    <n v="102"/>
    <n v="37"/>
    <n v="18"/>
    <n v="50"/>
    <n v="2.04"/>
  </r>
  <r>
    <x v="4"/>
    <x v="0"/>
    <x v="15"/>
    <n v="151"/>
    <x v="24"/>
    <s v="Tolios"/>
    <n v="0"/>
    <n v="4"/>
    <n v="9"/>
    <n v="0"/>
    <x v="23"/>
    <s v="vs Sarantos"/>
    <n v="115"/>
    <n v="0.48899999999999999"/>
    <n v="32"/>
    <n v="0.35199999999999998"/>
    <n v="0.64700000000000002"/>
    <n v="284"/>
    <n v="31"/>
    <n v="66"/>
    <n v="58"/>
    <n v="20"/>
    <n v="26"/>
    <n v="30"/>
    <n v="1.93"/>
  </r>
  <r>
    <x v="4"/>
    <x v="0"/>
    <x v="15"/>
    <n v="152"/>
    <x v="13"/>
    <s v="Kousidis"/>
    <n v="0"/>
    <n v="5"/>
    <n v="8"/>
    <n v="0"/>
    <x v="10"/>
    <s v="vs pi/Sotiris"/>
    <n v="163"/>
    <n v="0.497"/>
    <n v="45"/>
    <n v="0.39100000000000001"/>
    <n v="0.72399999999999998"/>
    <n v="426"/>
    <n v="44"/>
    <n v="116"/>
    <n v="88"/>
    <n v="13"/>
    <n v="16"/>
    <n v="46"/>
    <n v="1.91"/>
  </r>
  <r>
    <x v="4"/>
    <x v="0"/>
    <x v="15"/>
    <n v="152"/>
    <x v="11"/>
    <s v="pi/Sotiris"/>
    <n v="1"/>
    <n v="8"/>
    <n v="5"/>
    <n v="0"/>
    <x v="12"/>
    <s v="vs Kousidis"/>
    <n v="218"/>
    <n v="0.46600000000000003"/>
    <n v="68"/>
    <n v="0.38900000000000001"/>
    <n v="0.71"/>
    <n v="575"/>
    <n v="45"/>
    <n v="167"/>
    <n v="145"/>
    <n v="30"/>
    <n v="17"/>
    <n v="79"/>
    <n v="1.84"/>
  </r>
  <r>
    <x v="4"/>
    <x v="0"/>
    <x v="15"/>
    <n v="153"/>
    <x v="2"/>
    <s v="Fountos"/>
    <n v="0"/>
    <n v="5"/>
    <n v="8"/>
    <n v="0"/>
    <x v="17"/>
    <s v="vs Aris"/>
    <n v="138"/>
    <n v="0.45700000000000002"/>
    <n v="37"/>
    <n v="0.34300000000000003"/>
    <n v="0.80400000000000005"/>
    <n v="391"/>
    <n v="27"/>
    <n v="105"/>
    <n v="80"/>
    <n v="27"/>
    <n v="16"/>
    <n v="28"/>
    <n v="2.86"/>
  </r>
  <r>
    <x v="4"/>
    <x v="0"/>
    <x v="15"/>
    <n v="153"/>
    <x v="16"/>
    <s v="Aris"/>
    <n v="1"/>
    <n v="8"/>
    <n v="5"/>
    <n v="0"/>
    <x v="3"/>
    <s v="vs Fountos"/>
    <n v="174"/>
    <n v="0.46800000000000003"/>
    <n v="45"/>
    <n v="0.31900000000000001"/>
    <n v="0.77600000000000002"/>
    <n v="469"/>
    <n v="48"/>
    <n v="118"/>
    <n v="121"/>
    <n v="34"/>
    <n v="14"/>
    <n v="65"/>
    <n v="1.86"/>
  </r>
  <r>
    <x v="4"/>
    <x v="0"/>
    <x v="15"/>
    <n v="154"/>
    <x v="15"/>
    <s v="Vasilis"/>
    <n v="1"/>
    <n v="11"/>
    <n v="2"/>
    <n v="0"/>
    <x v="25"/>
    <s v="vs Arvanitis"/>
    <n v="178"/>
    <n v="0.42"/>
    <n v="60"/>
    <n v="0.35299999999999998"/>
    <n v="0.85399999999999998"/>
    <n v="498"/>
    <n v="35"/>
    <n v="130"/>
    <n v="105"/>
    <n v="23"/>
    <n v="17"/>
    <n v="60"/>
    <n v="1.75"/>
  </r>
  <r>
    <x v="4"/>
    <x v="0"/>
    <x v="15"/>
    <n v="154"/>
    <x v="25"/>
    <s v="Arvanitis"/>
    <n v="0"/>
    <n v="2"/>
    <n v="11"/>
    <n v="0"/>
    <x v="14"/>
    <s v="vs Vasilis"/>
    <n v="79"/>
    <n v="0.378"/>
    <n v="31"/>
    <n v="0.32600000000000001"/>
    <n v="0.72499999999999998"/>
    <n v="226"/>
    <n v="31"/>
    <n v="100"/>
    <n v="62"/>
    <n v="16"/>
    <n v="27"/>
    <n v="37"/>
    <n v="1.68"/>
  </r>
  <r>
    <x v="4"/>
    <x v="0"/>
    <x v="15"/>
    <n v="155"/>
    <x v="12"/>
    <s v="Stavros"/>
    <n v="0"/>
    <n v="5"/>
    <n v="8"/>
    <n v="0"/>
    <x v="4"/>
    <s v="vs Markos"/>
    <n v="98"/>
    <n v="0.436"/>
    <n v="41"/>
    <n v="0.436"/>
    <n v="0.86699999999999999"/>
    <n v="276"/>
    <n v="20"/>
    <n v="80"/>
    <n v="42"/>
    <n v="19"/>
    <n v="7"/>
    <n v="26"/>
    <n v="1.62"/>
  </r>
  <r>
    <x v="4"/>
    <x v="0"/>
    <x v="15"/>
    <n v="155"/>
    <x v="5"/>
    <s v="Markos"/>
    <n v="1"/>
    <n v="8"/>
    <n v="5"/>
    <n v="0"/>
    <x v="13"/>
    <s v="vs Stavros"/>
    <n v="170"/>
    <n v="0.46800000000000003"/>
    <n v="34"/>
    <n v="0.312"/>
    <n v="0.747"/>
    <n v="430"/>
    <n v="47"/>
    <n v="114"/>
    <n v="80"/>
    <n v="25"/>
    <n v="16"/>
    <n v="60"/>
    <n v="1.33"/>
  </r>
  <r>
    <x v="4"/>
    <x v="0"/>
    <x v="15"/>
    <n v="156"/>
    <x v="6"/>
    <s v="Tassos"/>
    <n v="1"/>
    <n v="8"/>
    <n v="5"/>
    <n v="0"/>
    <x v="21"/>
    <s v="vs Tzokos"/>
    <n v="166"/>
    <n v="0.505"/>
    <n v="47"/>
    <n v="0.38500000000000001"/>
    <n v="0.77900000000000003"/>
    <n v="432"/>
    <n v="35"/>
    <n v="157"/>
    <n v="90"/>
    <n v="27"/>
    <n v="25"/>
    <n v="38"/>
    <n v="2.37"/>
  </r>
  <r>
    <x v="4"/>
    <x v="0"/>
    <x v="15"/>
    <n v="156"/>
    <x v="21"/>
    <s v="Tzokos"/>
    <n v="0"/>
    <n v="5"/>
    <n v="8"/>
    <n v="0"/>
    <x v="7"/>
    <s v="vs Tassos"/>
    <n v="177"/>
    <n v="0.46600000000000003"/>
    <n v="52"/>
    <n v="0.36899999999999999"/>
    <n v="0.753"/>
    <n v="473"/>
    <n v="50"/>
    <n v="127"/>
    <n v="127"/>
    <n v="23"/>
    <n v="14"/>
    <n v="55"/>
    <n v="2.31"/>
  </r>
  <r>
    <x v="4"/>
    <x v="0"/>
    <x v="15"/>
    <n v="157"/>
    <x v="19"/>
    <s v="Nonis"/>
    <n v="0"/>
    <n v="2"/>
    <n v="11"/>
    <n v="0"/>
    <x v="6"/>
    <s v="vs Johnny"/>
    <n v="161"/>
    <n v="0.47799999999999998"/>
    <n v="40"/>
    <n v="0.35699999999999998"/>
    <n v="0.81499999999999995"/>
    <n v="481"/>
    <n v="33"/>
    <n v="120"/>
    <n v="115"/>
    <n v="20"/>
    <n v="14"/>
    <n v="49"/>
    <n v="2.35"/>
  </r>
  <r>
    <x v="4"/>
    <x v="0"/>
    <x v="15"/>
    <n v="157"/>
    <x v="7"/>
    <s v="Johnny"/>
    <n v="1"/>
    <n v="11"/>
    <n v="2"/>
    <n v="0"/>
    <x v="18"/>
    <s v="vs Nonis"/>
    <n v="241"/>
    <n v="0.52100000000000002"/>
    <n v="46"/>
    <n v="0.38300000000000001"/>
    <n v="0.81299999999999994"/>
    <n v="602"/>
    <n v="49"/>
    <n v="191"/>
    <n v="156"/>
    <n v="35"/>
    <n v="26"/>
    <n v="60"/>
    <n v="2.6"/>
  </r>
  <r>
    <x v="4"/>
    <x v="0"/>
    <x v="15"/>
    <n v="158"/>
    <x v="9"/>
    <s v="Ziogas/Christof"/>
    <n v="0"/>
    <n v="6"/>
    <n v="7"/>
    <n v="0"/>
    <x v="2"/>
    <s v="vs Sakellariou"/>
    <n v="109"/>
    <n v="0.38200000000000001"/>
    <n v="39"/>
    <n v="0.29799999999999999"/>
    <n v="0.83"/>
    <n v="301"/>
    <n v="38"/>
    <n v="115"/>
    <n v="88"/>
    <n v="27"/>
    <n v="10"/>
    <n v="40"/>
    <n v="2.2000000000000002"/>
  </r>
  <r>
    <x v="4"/>
    <x v="0"/>
    <x v="15"/>
    <n v="158"/>
    <x v="3"/>
    <s v="Sakellariou"/>
    <n v="1"/>
    <n v="7"/>
    <n v="6"/>
    <n v="0"/>
    <x v="8"/>
    <s v="vs Ziogas/Christof"/>
    <n v="133"/>
    <n v="0.48199999999999998"/>
    <n v="38"/>
    <n v="0.34899999999999998"/>
    <n v="0.73099999999999998"/>
    <n v="342"/>
    <n v="33"/>
    <n v="132"/>
    <n v="105"/>
    <n v="24"/>
    <n v="23"/>
    <n v="50"/>
    <n v="2.1"/>
  </r>
  <r>
    <x v="4"/>
    <x v="0"/>
    <x v="15"/>
    <n v="159"/>
    <x v="17"/>
    <s v="Spiridaus/Oladipas"/>
    <n v="0"/>
    <n v="4"/>
    <n v="8"/>
    <n v="1"/>
    <x v="19"/>
    <s v="vs Kotakis"/>
    <n v="179"/>
    <n v="0.441"/>
    <n v="42"/>
    <n v="0.30399999999999999"/>
    <n v="0.752"/>
    <n v="482"/>
    <n v="52"/>
    <n v="144"/>
    <n v="110"/>
    <n v="31"/>
    <n v="16"/>
    <n v="52"/>
    <n v="2.12"/>
  </r>
  <r>
    <x v="4"/>
    <x v="0"/>
    <x v="15"/>
    <n v="159"/>
    <x v="18"/>
    <s v="Kotakis"/>
    <n v="1"/>
    <n v="8"/>
    <n v="4"/>
    <n v="1"/>
    <x v="16"/>
    <s v="vs Spiridaus/Oladipas"/>
    <n v="167"/>
    <n v="0.45600000000000002"/>
    <n v="55"/>
    <n v="0.41"/>
    <n v="0.78600000000000003"/>
    <n v="477"/>
    <n v="40"/>
    <n v="131"/>
    <n v="110"/>
    <n v="44"/>
    <n v="20"/>
    <n v="49"/>
    <n v="2.2400000000000002"/>
  </r>
  <r>
    <x v="4"/>
    <x v="0"/>
    <x v="15"/>
    <n v="160"/>
    <x v="1"/>
    <s v="Fanis"/>
    <n v="1"/>
    <n v="10"/>
    <n v="3"/>
    <n v="0"/>
    <x v="20"/>
    <s v="vs Guru"/>
    <n v="205"/>
    <n v="0.48699999999999999"/>
    <n v="52"/>
    <n v="0.35899999999999999"/>
    <n v="0.79500000000000004"/>
    <n v="551"/>
    <n v="44"/>
    <n v="156"/>
    <n v="148"/>
    <n v="42"/>
    <n v="29"/>
    <n v="66"/>
    <n v="2.2400000000000002"/>
  </r>
  <r>
    <x v="4"/>
    <x v="0"/>
    <x v="15"/>
    <n v="160"/>
    <x v="20"/>
    <s v="Guru"/>
    <n v="0"/>
    <n v="3"/>
    <n v="10"/>
    <n v="0"/>
    <x v="0"/>
    <s v="vs Fanis"/>
    <n v="127"/>
    <n v="0.5"/>
    <n v="45"/>
    <n v="0.441"/>
    <n v="0.78500000000000003"/>
    <n v="350"/>
    <n v="43"/>
    <n v="139"/>
    <n v="79"/>
    <n v="28"/>
    <n v="11"/>
    <n v="38"/>
    <n v="2.08"/>
  </r>
  <r>
    <x v="4"/>
    <x v="0"/>
    <x v="16"/>
    <n v="161"/>
    <x v="7"/>
    <s v="Johnny"/>
    <n v="1"/>
    <n v="10"/>
    <n v="3"/>
    <n v="0"/>
    <x v="14"/>
    <s v="vs Vasilis"/>
    <n v="225"/>
    <n v="0.501"/>
    <n v="44"/>
    <n v="0.32400000000000001"/>
    <n v="0.82199999999999995"/>
    <n v="568"/>
    <n v="58"/>
    <n v="205"/>
    <n v="144"/>
    <n v="35"/>
    <n v="15"/>
    <n v="82"/>
    <n v="1.76"/>
  </r>
  <r>
    <x v="4"/>
    <x v="0"/>
    <x v="16"/>
    <n v="161"/>
    <x v="15"/>
    <s v="Vasilis"/>
    <n v="0"/>
    <n v="3"/>
    <n v="10"/>
    <n v="0"/>
    <x v="6"/>
    <s v="vs Johnny"/>
    <n v="126"/>
    <n v="0.44700000000000001"/>
    <n v="38"/>
    <n v="0.33900000000000002"/>
    <n v="0.76700000000000002"/>
    <n v="346"/>
    <n v="21"/>
    <n v="98"/>
    <n v="92"/>
    <n v="17"/>
    <n v="10"/>
    <n v="51"/>
    <n v="1.8"/>
  </r>
  <r>
    <x v="4"/>
    <x v="0"/>
    <x v="16"/>
    <n v="162"/>
    <x v="3"/>
    <s v="Sakellariou"/>
    <n v="0"/>
    <n v="6"/>
    <n v="6"/>
    <n v="1"/>
    <x v="16"/>
    <s v="vs Spiridaus/Oladipas"/>
    <n v="161"/>
    <n v="0.45600000000000002"/>
    <n v="56"/>
    <n v="0.35399999999999998"/>
    <n v="0.80900000000000005"/>
    <n v="454"/>
    <n v="25"/>
    <n v="131"/>
    <n v="94"/>
    <n v="33"/>
    <n v="14"/>
    <n v="41"/>
    <n v="2.29"/>
  </r>
  <r>
    <x v="4"/>
    <x v="0"/>
    <x v="16"/>
    <n v="162"/>
    <x v="17"/>
    <s v="Spiridaus/Oladipas"/>
    <n v="0"/>
    <n v="6"/>
    <n v="6"/>
    <n v="1"/>
    <x v="2"/>
    <s v="vs Sakellariou"/>
    <n v="216"/>
    <n v="0.52700000000000002"/>
    <n v="42"/>
    <n v="0.318"/>
    <n v="0.8"/>
    <n v="554"/>
    <n v="34"/>
    <n v="139"/>
    <n v="107"/>
    <n v="24"/>
    <n v="14"/>
    <n v="61"/>
    <n v="1.75"/>
  </r>
  <r>
    <x v="4"/>
    <x v="0"/>
    <x v="16"/>
    <n v="163"/>
    <x v="25"/>
    <s v="Arvanitis"/>
    <n v="1"/>
    <n v="7"/>
    <n v="6"/>
    <n v="0"/>
    <x v="19"/>
    <s v="vs Kotakis"/>
    <n v="145"/>
    <n v="0.46200000000000002"/>
    <n v="46"/>
    <n v="0.33100000000000002"/>
    <n v="0.82299999999999995"/>
    <n v="387"/>
    <n v="36"/>
    <n v="132"/>
    <n v="67"/>
    <n v="23"/>
    <n v="21"/>
    <n v="33"/>
    <n v="2.0299999999999998"/>
  </r>
  <r>
    <x v="4"/>
    <x v="0"/>
    <x v="16"/>
    <n v="163"/>
    <x v="18"/>
    <s v="Kotakis"/>
    <n v="0"/>
    <n v="6"/>
    <n v="7"/>
    <n v="0"/>
    <x v="25"/>
    <s v="vs Arvanitis"/>
    <n v="160"/>
    <n v="0.51"/>
    <n v="45"/>
    <n v="0.38100000000000001"/>
    <n v="0.76900000000000002"/>
    <n v="415"/>
    <n v="27"/>
    <n v="107"/>
    <n v="78"/>
    <n v="42"/>
    <n v="15"/>
    <n v="42"/>
    <n v="1.86"/>
  </r>
  <r>
    <x v="4"/>
    <x v="0"/>
    <x v="16"/>
    <n v="164"/>
    <x v="12"/>
    <s v="Stavros"/>
    <n v="0"/>
    <n v="5"/>
    <n v="7"/>
    <n v="1"/>
    <x v="12"/>
    <s v="vs Kousidis"/>
    <n v="116"/>
    <n v="0.44400000000000001"/>
    <n v="38"/>
    <n v="0.33"/>
    <n v="0.92900000000000005"/>
    <n v="309"/>
    <n v="35"/>
    <n v="87"/>
    <n v="60"/>
    <n v="27"/>
    <n v="13"/>
    <n v="43"/>
    <n v="1.4"/>
  </r>
  <r>
    <x v="4"/>
    <x v="0"/>
    <x v="16"/>
    <n v="164"/>
    <x v="13"/>
    <s v="Kousidis"/>
    <n v="1"/>
    <n v="7"/>
    <n v="5"/>
    <n v="1"/>
    <x v="13"/>
    <s v="vs Stavros"/>
    <n v="98"/>
    <n v="0.46200000000000002"/>
    <n v="28"/>
    <n v="0.42399999999999999"/>
    <n v="0.76100000000000001"/>
    <n v="275"/>
    <n v="40"/>
    <n v="99"/>
    <n v="60"/>
    <n v="18"/>
    <n v="15"/>
    <n v="32"/>
    <n v="1.88"/>
  </r>
  <r>
    <x v="4"/>
    <x v="0"/>
    <x v="16"/>
    <n v="165"/>
    <x v="19"/>
    <s v="Nonis"/>
    <n v="1"/>
    <n v="9"/>
    <n v="4"/>
    <n v="0"/>
    <x v="23"/>
    <s v="vs Sarantos"/>
    <n v="128"/>
    <n v="0.48299999999999998"/>
    <n v="36"/>
    <n v="0.36399999999999999"/>
    <n v="0.83499999999999996"/>
    <n v="393"/>
    <n v="24"/>
    <n v="97"/>
    <n v="99"/>
    <n v="18"/>
    <n v="10"/>
    <n v="38"/>
    <n v="2.61"/>
  </r>
  <r>
    <x v="4"/>
    <x v="0"/>
    <x v="16"/>
    <n v="165"/>
    <x v="23"/>
    <s v="Sarantos"/>
    <n v="0"/>
    <n v="4"/>
    <n v="9"/>
    <n v="0"/>
    <x v="18"/>
    <s v="vs Nonis"/>
    <n v="137"/>
    <n v="0.443"/>
    <n v="46"/>
    <n v="0.307"/>
    <n v="0.74299999999999999"/>
    <n v="375"/>
    <n v="31"/>
    <n v="93"/>
    <n v="79"/>
    <n v="29"/>
    <n v="6"/>
    <n v="48"/>
    <n v="1.65"/>
  </r>
  <r>
    <x v="4"/>
    <x v="0"/>
    <x v="16"/>
    <n v="166"/>
    <x v="24"/>
    <s v="Tolios"/>
    <n v="0"/>
    <n v="4"/>
    <n v="9"/>
    <n v="0"/>
    <x v="8"/>
    <s v="vs Ziogas/Christof"/>
    <n v="83"/>
    <n v="0.45400000000000001"/>
    <n v="19"/>
    <n v="0.311"/>
    <n v="0.69199999999999995"/>
    <n v="203"/>
    <n v="44"/>
    <n v="70"/>
    <n v="38"/>
    <n v="14"/>
    <n v="17"/>
    <n v="25"/>
    <n v="1.52"/>
  </r>
  <r>
    <x v="4"/>
    <x v="0"/>
    <x v="16"/>
    <n v="166"/>
    <x v="9"/>
    <s v="Ziogas/Christof"/>
    <n v="1"/>
    <n v="9"/>
    <n v="4"/>
    <n v="0"/>
    <x v="24"/>
    <s v="vs Tolios"/>
    <n v="151"/>
    <n v="0.442"/>
    <n v="47"/>
    <n v="0.32600000000000001"/>
    <n v="0.69399999999999995"/>
    <n v="417"/>
    <n v="33"/>
    <n v="152"/>
    <n v="123"/>
    <n v="21"/>
    <n v="7"/>
    <n v="57"/>
    <n v="2.16"/>
  </r>
  <r>
    <x v="4"/>
    <x v="0"/>
    <x v="16"/>
    <n v="167"/>
    <x v="11"/>
    <s v="pi/Sotiris"/>
    <n v="1"/>
    <n v="7"/>
    <n v="6"/>
    <n v="0"/>
    <x v="7"/>
    <s v="vs Tassos"/>
    <n v="182"/>
    <n v="0.46400000000000002"/>
    <n v="42"/>
    <n v="0.33900000000000002"/>
    <n v="0.81399999999999995"/>
    <n v="498"/>
    <n v="48"/>
    <n v="169"/>
    <n v="168"/>
    <n v="32"/>
    <n v="18"/>
    <n v="69"/>
    <n v="2.4300000000000002"/>
  </r>
  <r>
    <x v="4"/>
    <x v="0"/>
    <x v="16"/>
    <n v="167"/>
    <x v="6"/>
    <s v="Tassos"/>
    <n v="0"/>
    <n v="6"/>
    <n v="7"/>
    <n v="0"/>
    <x v="10"/>
    <s v="vs pi/Sotiris"/>
    <n v="168"/>
    <n v="0.499"/>
    <n v="48"/>
    <n v="0.42899999999999999"/>
    <n v="0.871"/>
    <n v="438"/>
    <n v="59"/>
    <n v="128"/>
    <n v="88"/>
    <n v="27"/>
    <n v="16"/>
    <n v="55"/>
    <n v="1.6"/>
  </r>
  <r>
    <x v="4"/>
    <x v="0"/>
    <x v="16"/>
    <n v="168"/>
    <x v="5"/>
    <s v="Markos"/>
    <n v="1"/>
    <n v="9"/>
    <n v="4"/>
    <n v="0"/>
    <x v="3"/>
    <s v="vs Fountos"/>
    <n v="135"/>
    <n v="0.48899999999999999"/>
    <n v="27"/>
    <n v="0.30299999999999999"/>
    <n v="0.70799999999999996"/>
    <n v="348"/>
    <n v="35"/>
    <n v="119"/>
    <n v="67"/>
    <n v="17"/>
    <n v="20"/>
    <n v="45"/>
    <n v="1.49"/>
  </r>
  <r>
    <x v="4"/>
    <x v="0"/>
    <x v="16"/>
    <n v="168"/>
    <x v="2"/>
    <s v="Fountos"/>
    <n v="0"/>
    <n v="4"/>
    <n v="9"/>
    <n v="0"/>
    <x v="4"/>
    <s v="vs Markos"/>
    <n v="126"/>
    <n v="0.48799999999999999"/>
    <n v="30"/>
    <n v="0.33700000000000002"/>
    <n v="0.73799999999999999"/>
    <n v="327"/>
    <n v="26"/>
    <n v="89"/>
    <n v="65"/>
    <n v="14"/>
    <n v="15"/>
    <n v="44"/>
    <n v="1.48"/>
  </r>
  <r>
    <x v="4"/>
    <x v="0"/>
    <x v="16"/>
    <n v="169"/>
    <x v="21"/>
    <s v="Tzokos"/>
    <n v="0"/>
    <n v="6"/>
    <n v="7"/>
    <n v="0"/>
    <x v="0"/>
    <s v="vs Fanis"/>
    <n v="154"/>
    <n v="0.50800000000000001"/>
    <n v="48"/>
    <n v="0.375"/>
    <n v="0.8"/>
    <n v="420"/>
    <n v="36"/>
    <n v="119"/>
    <n v="100"/>
    <n v="21"/>
    <n v="10"/>
    <n v="48"/>
    <n v="2.08"/>
  </r>
  <r>
    <x v="4"/>
    <x v="0"/>
    <x v="16"/>
    <n v="169"/>
    <x v="1"/>
    <s v="Fanis"/>
    <n v="1"/>
    <n v="7"/>
    <n v="6"/>
    <n v="0"/>
    <x v="21"/>
    <s v="vs Tzokos"/>
    <n v="178"/>
    <n v="0.49"/>
    <n v="63"/>
    <n v="0.41399999999999998"/>
    <n v="0.70399999999999996"/>
    <n v="507"/>
    <n v="29"/>
    <n v="116"/>
    <n v="110"/>
    <n v="34"/>
    <n v="20"/>
    <n v="67"/>
    <n v="1.64"/>
  </r>
  <r>
    <x v="4"/>
    <x v="0"/>
    <x v="16"/>
    <n v="170"/>
    <x v="16"/>
    <s v="Aris"/>
    <n v="1"/>
    <n v="7"/>
    <n v="6"/>
    <n v="0"/>
    <x v="20"/>
    <s v="vs Guru"/>
    <n v="190"/>
    <n v="0.51500000000000001"/>
    <n v="44"/>
    <n v="0.34100000000000003"/>
    <n v="0.75800000000000001"/>
    <n v="524"/>
    <n v="37"/>
    <n v="108"/>
    <n v="107"/>
    <n v="18"/>
    <n v="8"/>
    <n v="53"/>
    <n v="2.02"/>
  </r>
  <r>
    <x v="4"/>
    <x v="0"/>
    <x v="16"/>
    <n v="170"/>
    <x v="20"/>
    <s v="Guru"/>
    <n v="0"/>
    <n v="6"/>
    <n v="7"/>
    <n v="0"/>
    <x v="17"/>
    <s v="vs Aris"/>
    <n v="150"/>
    <n v="0.45700000000000002"/>
    <n v="56"/>
    <n v="0.38400000000000001"/>
    <n v="0.88200000000000001"/>
    <n v="431"/>
    <n v="25"/>
    <n v="106"/>
    <n v="85"/>
    <n v="28"/>
    <n v="20"/>
    <n v="46"/>
    <n v="1.85"/>
  </r>
  <r>
    <x v="4"/>
    <x v="0"/>
    <x v="17"/>
    <n v="171"/>
    <x v="3"/>
    <s v="Sakellariou"/>
    <n v="1"/>
    <n v="10"/>
    <n v="3"/>
    <n v="0"/>
    <x v="24"/>
    <s v="vs Tolios"/>
    <n v="209"/>
    <n v="0.46"/>
    <n v="57"/>
    <n v="0.35"/>
    <n v="0.68899999999999995"/>
    <n v="546"/>
    <n v="45"/>
    <n v="151"/>
    <n v="134"/>
    <n v="49"/>
    <n v="16"/>
    <n v="52"/>
    <n v="2.58"/>
  </r>
  <r>
    <x v="4"/>
    <x v="0"/>
    <x v="17"/>
    <n v="171"/>
    <x v="24"/>
    <s v="Tolios"/>
    <n v="0"/>
    <n v="3"/>
    <n v="10"/>
    <n v="0"/>
    <x v="2"/>
    <s v="vs Sakellariou"/>
    <n v="147"/>
    <n v="0.44400000000000001"/>
    <n v="40"/>
    <n v="0.34799999999999998"/>
    <n v="0.75900000000000001"/>
    <n v="394"/>
    <n v="33"/>
    <n v="100"/>
    <n v="92"/>
    <n v="27"/>
    <n v="11"/>
    <n v="34"/>
    <n v="2.71"/>
  </r>
  <r>
    <x v="4"/>
    <x v="0"/>
    <x v="17"/>
    <n v="172"/>
    <x v="2"/>
    <s v="Fountos"/>
    <n v="1"/>
    <n v="7"/>
    <n v="6"/>
    <n v="0"/>
    <x v="12"/>
    <s v="vs Kousidis"/>
    <n v="207"/>
    <n v="0.45300000000000001"/>
    <n v="63"/>
    <n v="0.36199999999999999"/>
    <n v="0.81100000000000005"/>
    <n v="550"/>
    <n v="55"/>
    <n v="149"/>
    <n v="118"/>
    <n v="38"/>
    <n v="20"/>
    <n v="64"/>
    <n v="1.84"/>
  </r>
  <r>
    <x v="4"/>
    <x v="0"/>
    <x v="17"/>
    <n v="172"/>
    <x v="13"/>
    <s v="Kousidis"/>
    <n v="0"/>
    <n v="6"/>
    <n v="7"/>
    <n v="0"/>
    <x v="3"/>
    <s v="vs Fountos"/>
    <n v="180"/>
    <n v="0.56100000000000005"/>
    <n v="31"/>
    <n v="0.39200000000000002"/>
    <n v="0.73599999999999999"/>
    <n v="483"/>
    <n v="80"/>
    <n v="150"/>
    <n v="64"/>
    <n v="27"/>
    <n v="24"/>
    <n v="46"/>
    <n v="1.39"/>
  </r>
  <r>
    <x v="4"/>
    <x v="0"/>
    <x v="17"/>
    <n v="173"/>
    <x v="15"/>
    <s v="Vasilis"/>
    <n v="1"/>
    <n v="9"/>
    <n v="4"/>
    <n v="0"/>
    <x v="23"/>
    <s v="vs Sarantos"/>
    <n v="185"/>
    <n v="0.52900000000000003"/>
    <n v="43"/>
    <n v="0.36099999999999999"/>
    <n v="0.71799999999999997"/>
    <n v="492"/>
    <n v="47"/>
    <n v="136"/>
    <n v="87"/>
    <n v="26"/>
    <n v="24"/>
    <n v="55"/>
    <n v="1.58"/>
  </r>
  <r>
    <x v="4"/>
    <x v="0"/>
    <x v="17"/>
    <n v="173"/>
    <x v="23"/>
    <s v="Sarantos"/>
    <n v="0"/>
    <n v="4"/>
    <n v="9"/>
    <n v="0"/>
    <x v="14"/>
    <s v="vs Vasilis"/>
    <n v="142"/>
    <n v="0.495"/>
    <n v="48"/>
    <n v="0.32700000000000001"/>
    <n v="0.72"/>
    <n v="399"/>
    <n v="32"/>
    <n v="107"/>
    <n v="79"/>
    <n v="25"/>
    <n v="21"/>
    <n v="33"/>
    <n v="2.39"/>
  </r>
  <r>
    <x v="4"/>
    <x v="0"/>
    <x v="17"/>
    <n v="174"/>
    <x v="6"/>
    <s v="Tassos"/>
    <n v="1"/>
    <n v="10"/>
    <n v="3"/>
    <n v="0"/>
    <x v="13"/>
    <s v="vs Stavros"/>
    <n v="186"/>
    <n v="0.45800000000000002"/>
    <n v="46"/>
    <n v="0.32600000000000001"/>
    <n v="0.78"/>
    <n v="503"/>
    <n v="61"/>
    <n v="181"/>
    <n v="104"/>
    <n v="32"/>
    <n v="36"/>
    <n v="45"/>
    <n v="2.31"/>
  </r>
  <r>
    <x v="4"/>
    <x v="0"/>
    <x v="17"/>
    <n v="174"/>
    <x v="12"/>
    <s v="Stavros"/>
    <n v="0"/>
    <n v="3"/>
    <n v="10"/>
    <n v="0"/>
    <x v="7"/>
    <s v="vs Tassos"/>
    <n v="145"/>
    <n v="0.44500000000000001"/>
    <n v="59"/>
    <n v="0.376"/>
    <n v="0.79700000000000004"/>
    <n v="396"/>
    <n v="48"/>
    <n v="105"/>
    <n v="63"/>
    <n v="29"/>
    <n v="14"/>
    <n v="46"/>
    <n v="1.37"/>
  </r>
  <r>
    <x v="4"/>
    <x v="0"/>
    <x v="17"/>
    <n v="175"/>
    <x v="9"/>
    <s v="Ziogas/Christof"/>
    <n v="0"/>
    <n v="3"/>
    <n v="10"/>
    <n v="0"/>
    <x v="18"/>
    <s v="vs Nonis"/>
    <n v="169"/>
    <n v="0.42"/>
    <n v="55"/>
    <n v="0.33100000000000002"/>
    <n v="0.76200000000000001"/>
    <n v="486"/>
    <n v="32"/>
    <n v="162"/>
    <n v="157"/>
    <n v="33"/>
    <n v="12"/>
    <n v="76"/>
    <n v="2.0699999999999998"/>
  </r>
  <r>
    <x v="4"/>
    <x v="0"/>
    <x v="17"/>
    <n v="175"/>
    <x v="19"/>
    <s v="Nonis"/>
    <n v="1"/>
    <n v="10"/>
    <n v="3"/>
    <n v="0"/>
    <x v="8"/>
    <s v="vs Ziogas/Christof"/>
    <n v="245"/>
    <n v="0.49299999999999999"/>
    <n v="64"/>
    <n v="0.36799999999999999"/>
    <n v="0.82099999999999995"/>
    <n v="746"/>
    <n v="40"/>
    <n v="203"/>
    <n v="158"/>
    <n v="23"/>
    <n v="23"/>
    <n v="83"/>
    <n v="1.9"/>
  </r>
  <r>
    <x v="4"/>
    <x v="0"/>
    <x v="17"/>
    <n v="176"/>
    <x v="20"/>
    <s v="Guru"/>
    <n v="0"/>
    <n v="6"/>
    <n v="6"/>
    <n v="1"/>
    <x v="4"/>
    <s v="vs Markos"/>
    <n v="202"/>
    <n v="0.45800000000000002"/>
    <n v="70"/>
    <n v="0.37"/>
    <n v="0.79800000000000004"/>
    <n v="577"/>
    <n v="37"/>
    <n v="145"/>
    <n v="110"/>
    <n v="31"/>
    <n v="21"/>
    <n v="69"/>
    <n v="1.59"/>
  </r>
  <r>
    <x v="4"/>
    <x v="0"/>
    <x v="17"/>
    <n v="176"/>
    <x v="5"/>
    <s v="Markos"/>
    <n v="0"/>
    <n v="6"/>
    <n v="6"/>
    <n v="1"/>
    <x v="20"/>
    <s v="vs Guru"/>
    <n v="188"/>
    <n v="0.46"/>
    <n v="58"/>
    <n v="0.40600000000000003"/>
    <n v="0.81200000000000006"/>
    <n v="529"/>
    <n v="50"/>
    <n v="144"/>
    <n v="89"/>
    <n v="31"/>
    <n v="18"/>
    <n v="44"/>
    <n v="2.02"/>
  </r>
  <r>
    <x v="4"/>
    <x v="0"/>
    <x v="17"/>
    <n v="177"/>
    <x v="18"/>
    <s v="Kotakis"/>
    <n v="0"/>
    <n v="4"/>
    <n v="9"/>
    <n v="0"/>
    <x v="6"/>
    <s v="vs Johnny"/>
    <n v="157"/>
    <n v="0.46"/>
    <n v="45"/>
    <n v="0.34899999999999998"/>
    <n v="0.81699999999999995"/>
    <n v="435"/>
    <n v="47"/>
    <n v="116"/>
    <n v="84"/>
    <n v="37"/>
    <n v="32"/>
    <n v="52"/>
    <n v="1.62"/>
  </r>
  <r>
    <x v="4"/>
    <x v="0"/>
    <x v="17"/>
    <n v="177"/>
    <x v="7"/>
    <s v="Johnny"/>
    <n v="1"/>
    <n v="9"/>
    <n v="4"/>
    <n v="0"/>
    <x v="19"/>
    <s v="vs Kotakis"/>
    <n v="272"/>
    <n v="0.52700000000000002"/>
    <n v="63"/>
    <n v="0.39600000000000002"/>
    <n v="0.71699999999999997"/>
    <n v="711"/>
    <n v="56"/>
    <n v="189"/>
    <n v="151"/>
    <n v="34"/>
    <n v="29"/>
    <n v="74"/>
    <n v="2.04"/>
  </r>
  <r>
    <x v="4"/>
    <x v="0"/>
    <x v="17"/>
    <n v="178"/>
    <x v="17"/>
    <s v="Spiridaus/Oladipas"/>
    <n v="1"/>
    <n v="11"/>
    <n v="2"/>
    <n v="0"/>
    <x v="25"/>
    <s v="vs Arvanitis"/>
    <n v="266"/>
    <n v="0.45400000000000001"/>
    <n v="56"/>
    <n v="0.30599999999999999"/>
    <n v="0.755"/>
    <n v="705"/>
    <n v="56"/>
    <n v="204"/>
    <n v="147"/>
    <n v="46"/>
    <n v="31"/>
    <n v="99"/>
    <n v="1.48"/>
  </r>
  <r>
    <x v="4"/>
    <x v="0"/>
    <x v="17"/>
    <n v="178"/>
    <x v="25"/>
    <s v="Arvanitis"/>
    <n v="0"/>
    <n v="2"/>
    <n v="11"/>
    <n v="0"/>
    <x v="16"/>
    <s v="vs Spiridaus/Oladipas"/>
    <n v="122"/>
    <n v="0.40699999999999997"/>
    <n v="39"/>
    <n v="0.27300000000000002"/>
    <n v="0.754"/>
    <n v="332"/>
    <n v="36"/>
    <n v="126"/>
    <n v="72"/>
    <n v="32"/>
    <n v="23"/>
    <n v="44"/>
    <n v="1.64"/>
  </r>
  <r>
    <x v="4"/>
    <x v="0"/>
    <x v="17"/>
    <n v="179"/>
    <x v="1"/>
    <s v="Fanis"/>
    <n v="0"/>
    <n v="3"/>
    <n v="10"/>
    <n v="0"/>
    <x v="17"/>
    <s v="vs Aris"/>
    <n v="183"/>
    <n v="0.42"/>
    <n v="64"/>
    <n v="0.34"/>
    <n v="0.84299999999999997"/>
    <n v="532"/>
    <n v="23"/>
    <n v="137"/>
    <n v="108"/>
    <n v="25"/>
    <n v="24"/>
    <n v="63"/>
    <n v="1.71"/>
  </r>
  <r>
    <x v="4"/>
    <x v="0"/>
    <x v="17"/>
    <n v="179"/>
    <x v="16"/>
    <s v="Aris"/>
    <n v="1"/>
    <n v="10"/>
    <n v="3"/>
    <n v="0"/>
    <x v="0"/>
    <s v="vs Fanis"/>
    <n v="253"/>
    <n v="0.47599999999999998"/>
    <n v="71"/>
    <n v="0.374"/>
    <n v="0.78900000000000003"/>
    <n v="697"/>
    <n v="40"/>
    <n v="147"/>
    <n v="146"/>
    <n v="34"/>
    <n v="12"/>
    <n v="85"/>
    <n v="1.72"/>
  </r>
  <r>
    <x v="4"/>
    <x v="0"/>
    <x v="17"/>
    <n v="180"/>
    <x v="21"/>
    <s v="Tzokos"/>
    <n v="1"/>
    <n v="8"/>
    <n v="5"/>
    <n v="0"/>
    <x v="10"/>
    <s v="vs pi/Sotiris"/>
    <n v="258"/>
    <n v="0.51400000000000001"/>
    <n v="55"/>
    <n v="0.36199999999999999"/>
    <n v="0.745"/>
    <n v="673"/>
    <n v="72"/>
    <n v="224"/>
    <n v="141"/>
    <n v="41"/>
    <n v="23"/>
    <n v="72"/>
    <n v="1.96"/>
  </r>
  <r>
    <x v="4"/>
    <x v="0"/>
    <x v="17"/>
    <n v="180"/>
    <x v="11"/>
    <s v="pi/Sotiris"/>
    <n v="0"/>
    <n v="5"/>
    <n v="8"/>
    <n v="0"/>
    <x v="21"/>
    <s v="vs Tzokos"/>
    <n v="253"/>
    <n v="0.47899999999999998"/>
    <n v="70"/>
    <n v="0.36099999999999999"/>
    <n v="0.752"/>
    <n v="682"/>
    <n v="64"/>
    <n v="210"/>
    <n v="192"/>
    <n v="40"/>
    <n v="11"/>
    <n v="82"/>
    <n v="2.34"/>
  </r>
  <r>
    <x v="4"/>
    <x v="1"/>
    <x v="23"/>
    <n v="181"/>
    <x v="23"/>
    <s v="Sarantos"/>
    <n v="0"/>
    <n v="4"/>
    <n v="9"/>
    <n v="0"/>
    <x v="0"/>
    <s v="vs Fanis"/>
    <n v="82"/>
    <n v="0.50600000000000001"/>
    <n v="32"/>
    <n v="0.432"/>
    <n v="0.69199999999999995"/>
    <n v="214"/>
    <n v="18"/>
    <n v="57"/>
    <n v="51"/>
    <n v="18"/>
    <n v="4"/>
    <n v="20"/>
    <n v="2.5499999999999998"/>
  </r>
  <r>
    <x v="4"/>
    <x v="1"/>
    <x v="23"/>
    <n v="181"/>
    <x v="1"/>
    <s v="Fanis"/>
    <n v="1"/>
    <n v="9"/>
    <n v="4"/>
    <n v="0"/>
    <x v="23"/>
    <s v="vs Sarantos"/>
    <n v="131"/>
    <n v="0.45300000000000001"/>
    <n v="48"/>
    <n v="0.36099999999999999"/>
    <n v="0.79800000000000004"/>
    <n v="385"/>
    <n v="25"/>
    <n v="105"/>
    <n v="88"/>
    <n v="30"/>
    <n v="17"/>
    <n v="41"/>
    <n v="2.15"/>
  </r>
  <r>
    <x v="4"/>
    <x v="1"/>
    <x v="23"/>
    <n v="182"/>
    <x v="19"/>
    <s v="Nonis"/>
    <n v="1"/>
    <n v="9"/>
    <n v="4"/>
    <n v="0"/>
    <x v="12"/>
    <s v="vs Kousidis"/>
    <n v="210"/>
    <n v="0.498"/>
    <n v="62"/>
    <n v="0.38800000000000001"/>
    <n v="0.82199999999999995"/>
    <n v="657"/>
    <n v="54"/>
    <n v="175"/>
    <n v="151"/>
    <n v="36"/>
    <n v="17"/>
    <n v="70"/>
    <n v="2.16"/>
  </r>
  <r>
    <x v="4"/>
    <x v="1"/>
    <x v="23"/>
    <n v="182"/>
    <x v="13"/>
    <s v="Kousidis"/>
    <n v="0"/>
    <n v="4"/>
    <n v="9"/>
    <n v="0"/>
    <x v="18"/>
    <s v="vs Nonis"/>
    <n v="163"/>
    <n v="0.51400000000000001"/>
    <n v="30"/>
    <n v="0.36599999999999999"/>
    <n v="0.745"/>
    <n v="426"/>
    <n v="62"/>
    <n v="123"/>
    <n v="72"/>
    <n v="20"/>
    <n v="23"/>
    <n v="48"/>
    <n v="1.5"/>
  </r>
  <r>
    <x v="4"/>
    <x v="1"/>
    <x v="23"/>
    <n v="183"/>
    <x v="11"/>
    <s v="pi/Sotiris"/>
    <n v="1"/>
    <n v="12"/>
    <n v="1"/>
    <n v="0"/>
    <x v="14"/>
    <s v="vs Vasilis"/>
    <n v="219"/>
    <n v="0.505"/>
    <n v="68"/>
    <n v="0.38600000000000001"/>
    <n v="0.78"/>
    <n v="602"/>
    <n v="34"/>
    <n v="151"/>
    <n v="143"/>
    <n v="30"/>
    <n v="27"/>
    <n v="53"/>
    <n v="2.7"/>
  </r>
  <r>
    <x v="4"/>
    <x v="1"/>
    <x v="23"/>
    <n v="183"/>
    <x v="15"/>
    <s v="Vasilis"/>
    <n v="0"/>
    <n v="1"/>
    <n v="12"/>
    <n v="0"/>
    <x v="10"/>
    <s v="vs pi/Sotiris"/>
    <n v="98"/>
    <n v="0.45200000000000001"/>
    <n v="21"/>
    <n v="0.29199999999999998"/>
    <n v="0.73"/>
    <n v="263"/>
    <n v="29"/>
    <n v="95"/>
    <n v="58"/>
    <n v="27"/>
    <n v="13"/>
    <n v="37"/>
    <n v="1.57"/>
  </r>
  <r>
    <x v="4"/>
    <x v="1"/>
    <x v="23"/>
    <n v="184"/>
    <x v="16"/>
    <s v="Aris"/>
    <n v="0"/>
    <n v="6"/>
    <n v="7"/>
    <n v="0"/>
    <x v="2"/>
    <s v="vs Sakellariou"/>
    <n v="230"/>
    <n v="0.45200000000000001"/>
    <n v="72"/>
    <n v="0.36699999999999999"/>
    <n v="0.877"/>
    <n v="632"/>
    <n v="46"/>
    <n v="124"/>
    <n v="131"/>
    <n v="34"/>
    <n v="16"/>
    <n v="73"/>
    <n v="1.79"/>
  </r>
  <r>
    <x v="4"/>
    <x v="1"/>
    <x v="23"/>
    <n v="184"/>
    <x v="3"/>
    <s v="Sakellariou"/>
    <n v="1"/>
    <n v="7"/>
    <n v="6"/>
    <n v="0"/>
    <x v="17"/>
    <s v="vs Aris"/>
    <n v="171"/>
    <n v="0.44"/>
    <n v="46"/>
    <n v="0.31900000000000001"/>
    <n v="0.79500000000000004"/>
    <n v="454"/>
    <n v="56"/>
    <n v="136"/>
    <n v="135"/>
    <n v="39"/>
    <n v="21"/>
    <n v="69"/>
    <n v="1.96"/>
  </r>
  <r>
    <x v="4"/>
    <x v="1"/>
    <x v="19"/>
    <n v="185"/>
    <x v="7"/>
    <s v="Johnny"/>
    <n v="1"/>
    <n v="7"/>
    <n v="6"/>
    <n v="0"/>
    <x v="2"/>
    <s v="vs Sakellariou"/>
    <n v="207"/>
    <n v="0.51500000000000001"/>
    <n v="46"/>
    <n v="0.36199999999999999"/>
    <n v="0.72099999999999997"/>
    <n v="535"/>
    <n v="47"/>
    <n v="169"/>
    <n v="135"/>
    <n v="31"/>
    <n v="14"/>
    <n v="68"/>
    <n v="1.99"/>
  </r>
  <r>
    <x v="4"/>
    <x v="1"/>
    <x v="19"/>
    <n v="185"/>
    <x v="3"/>
    <s v="Sakellariou"/>
    <n v="0"/>
    <n v="6"/>
    <n v="7"/>
    <n v="0"/>
    <x v="6"/>
    <s v="vs Johnny"/>
    <n v="195"/>
    <n v="0.47299999999999998"/>
    <n v="54"/>
    <n v="0.35099999999999998"/>
    <n v="0.879"/>
    <n v="524"/>
    <n v="42"/>
    <n v="141"/>
    <n v="86"/>
    <n v="32"/>
    <n v="25"/>
    <n v="41"/>
    <n v="2.1"/>
  </r>
  <r>
    <x v="4"/>
    <x v="1"/>
    <x v="19"/>
    <n v="186"/>
    <x v="6"/>
    <s v="Tassos"/>
    <n v="0"/>
    <n v="6"/>
    <n v="7"/>
    <n v="0"/>
    <x v="18"/>
    <s v="vs Nonis"/>
    <n v="173"/>
    <n v="0.45500000000000002"/>
    <n v="46"/>
    <n v="0.33100000000000002"/>
    <n v="0.85399999999999998"/>
    <n v="515"/>
    <n v="52"/>
    <n v="162"/>
    <n v="133"/>
    <n v="27"/>
    <n v="32"/>
    <n v="66"/>
    <n v="2.02"/>
  </r>
  <r>
    <x v="4"/>
    <x v="1"/>
    <x v="19"/>
    <n v="186"/>
    <x v="19"/>
    <s v="Nonis"/>
    <n v="1"/>
    <n v="7"/>
    <n v="6"/>
    <n v="0"/>
    <x v="7"/>
    <s v="vs Tassos"/>
    <n v="204"/>
    <n v="0.505"/>
    <n v="71"/>
    <n v="0.44900000000000001"/>
    <n v="0.81200000000000006"/>
    <n v="639"/>
    <n v="34"/>
    <n v="158"/>
    <n v="138"/>
    <n v="26"/>
    <n v="19"/>
    <n v="67"/>
    <n v="2.06"/>
  </r>
  <r>
    <x v="4"/>
    <x v="1"/>
    <x v="19"/>
    <n v="187"/>
    <x v="17"/>
    <s v="Spiridaus/Oladipas"/>
    <n v="1"/>
    <n v="10"/>
    <n v="3"/>
    <n v="0"/>
    <x v="10"/>
    <s v="vs pi/Sotiris"/>
    <n v="247"/>
    <n v="0.498"/>
    <n v="59"/>
    <n v="0.371"/>
    <n v="0.80500000000000005"/>
    <n v="648"/>
    <n v="41"/>
    <n v="170"/>
    <n v="136"/>
    <n v="36"/>
    <n v="11"/>
    <n v="64"/>
    <n v="2.13"/>
  </r>
  <r>
    <x v="4"/>
    <x v="1"/>
    <x v="19"/>
    <n v="187"/>
    <x v="11"/>
    <s v="pi/Sotiris"/>
    <n v="0"/>
    <n v="3"/>
    <n v="10"/>
    <n v="0"/>
    <x v="16"/>
    <s v="vs Spiridaus/Oladipas"/>
    <n v="184"/>
    <n v="0.46700000000000003"/>
    <n v="39"/>
    <n v="0.28299999999999997"/>
    <n v="0.80600000000000005"/>
    <n v="519"/>
    <n v="30"/>
    <n v="151"/>
    <n v="118"/>
    <n v="28"/>
    <n v="17"/>
    <n v="63"/>
    <n v="1.87"/>
  </r>
  <r>
    <x v="4"/>
    <x v="1"/>
    <x v="19"/>
    <n v="188"/>
    <x v="21"/>
    <s v="Tzokos"/>
    <n v="0"/>
    <n v="5"/>
    <n v="8"/>
    <n v="0"/>
    <x v="0"/>
    <s v="vs Fanis"/>
    <n v="134"/>
    <n v="0.435"/>
    <n v="31"/>
    <n v="0.28999999999999998"/>
    <n v="0.81699999999999995"/>
    <n v="397"/>
    <n v="38"/>
    <n v="129"/>
    <n v="85"/>
    <n v="28"/>
    <n v="14"/>
    <n v="51"/>
    <n v="1.67"/>
  </r>
  <r>
    <x v="4"/>
    <x v="1"/>
    <x v="19"/>
    <n v="188"/>
    <x v="1"/>
    <s v="Fanis"/>
    <n v="1"/>
    <n v="8"/>
    <n v="5"/>
    <n v="0"/>
    <x v="21"/>
    <s v="vs Tzokos"/>
    <n v="138"/>
    <n v="0.45"/>
    <n v="49"/>
    <n v="0.32500000000000001"/>
    <n v="0.77300000000000002"/>
    <n v="393"/>
    <n v="15"/>
    <n v="109"/>
    <n v="94"/>
    <n v="30"/>
    <n v="12"/>
    <n v="47"/>
    <n v="2"/>
  </r>
  <r>
    <x v="4"/>
    <x v="1"/>
    <x v="20"/>
    <n v="189"/>
    <x v="7"/>
    <s v="Johnny"/>
    <n v="0"/>
    <n v="3"/>
    <n v="9"/>
    <n v="1"/>
    <x v="18"/>
    <s v="vs Nonis"/>
    <n v="188"/>
    <n v="0.46"/>
    <n v="46"/>
    <n v="0.39700000000000002"/>
    <n v="0.747"/>
    <n v="490"/>
    <n v="49"/>
    <n v="165"/>
    <n v="101"/>
    <n v="33"/>
    <n v="18"/>
    <n v="46"/>
    <n v="2.2000000000000002"/>
  </r>
  <r>
    <x v="4"/>
    <x v="1"/>
    <x v="20"/>
    <n v="189"/>
    <x v="19"/>
    <s v="Nonis"/>
    <n v="1"/>
    <n v="9"/>
    <n v="3"/>
    <n v="1"/>
    <x v="6"/>
    <s v="vs Johnny"/>
    <n v="207"/>
    <n v="0.48099999999999998"/>
    <n v="57"/>
    <n v="0.36499999999999999"/>
    <n v="0.81799999999999995"/>
    <n v="601"/>
    <n v="52"/>
    <n v="170"/>
    <n v="117"/>
    <n v="33"/>
    <n v="22"/>
    <n v="69"/>
    <n v="1.7"/>
  </r>
  <r>
    <x v="4"/>
    <x v="1"/>
    <x v="20"/>
    <n v="190"/>
    <x v="17"/>
    <s v="Spiridaus/Oladipas"/>
    <n v="1"/>
    <n v="7"/>
    <n v="6"/>
    <n v="0"/>
    <x v="0"/>
    <s v="vs Fanis"/>
    <n v="249"/>
    <n v="0.55800000000000005"/>
    <n v="56"/>
    <n v="0.43099999999999999"/>
    <n v="0.85499999999999998"/>
    <n v="654"/>
    <n v="46"/>
    <n v="171"/>
    <n v="120"/>
    <n v="22"/>
    <n v="11"/>
    <n v="57"/>
    <n v="2.11"/>
  </r>
  <r>
    <x v="4"/>
    <x v="1"/>
    <x v="20"/>
    <n v="190"/>
    <x v="1"/>
    <s v="Fanis"/>
    <n v="0"/>
    <n v="6"/>
    <n v="7"/>
    <n v="0"/>
    <x v="16"/>
    <s v="vs Spiridaus/Oladipas"/>
    <n v="146"/>
    <n v="0.46800000000000003"/>
    <n v="67"/>
    <n v="0.44400000000000001"/>
    <n v="0.81299999999999994"/>
    <n v="411"/>
    <n v="21"/>
    <n v="105"/>
    <n v="112"/>
    <n v="28"/>
    <n v="13"/>
    <n v="43"/>
    <n v="2.6"/>
  </r>
  <r>
    <x v="4"/>
    <x v="1"/>
    <x v="21"/>
    <n v="191"/>
    <x v="17"/>
    <s v="Spiridaus/Oladipas"/>
    <n v="1"/>
    <n v="9"/>
    <n v="4"/>
    <n v="0"/>
    <x v="18"/>
    <s v="vs Nonis"/>
    <n v="234"/>
    <n v="0.52800000000000002"/>
    <n v="40"/>
    <n v="0.35699999999999998"/>
    <n v="0.78800000000000003"/>
    <n v="616"/>
    <n v="49"/>
    <n v="139"/>
    <n v="125"/>
    <n v="33"/>
    <n v="15"/>
    <n v="69"/>
    <n v="1.81"/>
  </r>
  <r>
    <x v="4"/>
    <x v="1"/>
    <x v="21"/>
    <n v="191"/>
    <x v="19"/>
    <s v="Nonis"/>
    <n v="0"/>
    <n v="4"/>
    <n v="9"/>
    <n v="0"/>
    <x v="16"/>
    <s v="vs Spiridaus/Oladipas"/>
    <n v="200"/>
    <n v="0.47399999999999998"/>
    <n v="55"/>
    <n v="0.33300000000000002"/>
    <n v="0.80300000000000005"/>
    <n v="557"/>
    <n v="34"/>
    <n v="138"/>
    <n v="123"/>
    <n v="28"/>
    <n v="18"/>
    <n v="68"/>
    <n v="1.81"/>
  </r>
  <r>
    <x v="4"/>
    <x v="1"/>
    <x v="22"/>
    <n v="192"/>
    <x v="7"/>
    <s v="Johnny"/>
    <n v="1"/>
    <n v="8"/>
    <n v="5"/>
    <n v="0"/>
    <x v="0"/>
    <s v="vs Fanis"/>
    <n v="224"/>
    <n v="0.52200000000000002"/>
    <n v="51"/>
    <n v="0.39800000000000002"/>
    <n v="0.80600000000000005"/>
    <n v="582"/>
    <n v="65"/>
    <n v="148"/>
    <n v="117"/>
    <n v="32"/>
    <n v="27"/>
    <n v="69"/>
    <n v="1.7"/>
  </r>
  <r>
    <x v="4"/>
    <x v="1"/>
    <x v="22"/>
    <n v="192"/>
    <x v="1"/>
    <s v="Fanis"/>
    <n v="0"/>
    <n v="5"/>
    <n v="8"/>
    <n v="0"/>
    <x v="6"/>
    <s v="vs Johnny"/>
    <n v="168"/>
    <n v="0.47599999999999998"/>
    <n v="65"/>
    <n v="0.42499999999999999"/>
    <n v="0.76700000000000002"/>
    <n v="467"/>
    <n v="29"/>
    <n v="121"/>
    <n v="136"/>
    <n v="24"/>
    <n v="22"/>
    <n v="50"/>
    <n v="2.72"/>
  </r>
  <r>
    <x v="5"/>
    <x v="0"/>
    <x v="0"/>
    <n v="1"/>
    <x v="26"/>
    <s v="Lafa"/>
    <n v="0"/>
    <n v="5"/>
    <n v="8"/>
    <n v="0"/>
    <x v="16"/>
    <s v="vs Spiridaus/Oladipas"/>
    <n v="190"/>
    <n v="0.48199999999999998"/>
    <n v="24"/>
    <n v="0.27"/>
    <n v="0.747"/>
    <n v="525"/>
    <n v="49"/>
    <n v="168"/>
    <n v="120"/>
    <n v="22"/>
    <n v="18"/>
    <n v="61"/>
    <n v="1.97"/>
  </r>
  <r>
    <x v="5"/>
    <x v="0"/>
    <x v="0"/>
    <n v="1"/>
    <x v="17"/>
    <s v="Spiridaus/Oladipas"/>
    <n v="1"/>
    <n v="8"/>
    <n v="5"/>
    <n v="0"/>
    <x v="26"/>
    <s v="vs Lafa"/>
    <n v="177"/>
    <n v="0.5"/>
    <n v="36"/>
    <n v="0.39100000000000001"/>
    <n v="0.80600000000000005"/>
    <n v="473"/>
    <n v="52"/>
    <n v="133"/>
    <n v="111"/>
    <n v="30"/>
    <n v="17"/>
    <n v="54"/>
    <n v="2.06"/>
  </r>
  <r>
    <x v="5"/>
    <x v="0"/>
    <x v="0"/>
    <n v="2"/>
    <x v="13"/>
    <s v="Kousidis"/>
    <n v="0"/>
    <n v="6"/>
    <n v="7"/>
    <n v="0"/>
    <x v="14"/>
    <s v="vs Vasilis"/>
    <n v="141"/>
    <n v="0.47799999999999998"/>
    <n v="38"/>
    <n v="0.42699999999999999"/>
    <n v="0.72599999999999998"/>
    <n v="365"/>
    <n v="43"/>
    <n v="111"/>
    <n v="70"/>
    <n v="24"/>
    <n v="13"/>
    <n v="64"/>
    <n v="1.0900000000000001"/>
  </r>
  <r>
    <x v="5"/>
    <x v="0"/>
    <x v="0"/>
    <n v="2"/>
    <x v="15"/>
    <s v="Vasilis"/>
    <n v="1"/>
    <n v="7"/>
    <n v="6"/>
    <n v="0"/>
    <x v="12"/>
    <s v="vs Kousidis"/>
    <n v="160"/>
    <n v="0.502"/>
    <n v="34"/>
    <n v="0.35399999999999998"/>
    <n v="0.72"/>
    <n v="408"/>
    <n v="39"/>
    <n v="98"/>
    <n v="69"/>
    <n v="37"/>
    <n v="14"/>
    <n v="55"/>
    <n v="1.25"/>
  </r>
  <r>
    <x v="5"/>
    <x v="0"/>
    <x v="0"/>
    <n v="3"/>
    <x v="25"/>
    <s v="Arvanitis"/>
    <n v="0"/>
    <n v="5"/>
    <n v="8"/>
    <n v="0"/>
    <x v="17"/>
    <s v="vs Aris"/>
    <n v="72"/>
    <n v="0.41599999999999998"/>
    <n v="18"/>
    <n v="0.3"/>
    <n v="0.78900000000000003"/>
    <n v="207"/>
    <n v="19"/>
    <n v="64"/>
    <n v="48"/>
    <n v="25"/>
    <n v="15"/>
    <n v="33"/>
    <n v="1.45"/>
  </r>
  <r>
    <x v="5"/>
    <x v="0"/>
    <x v="0"/>
    <n v="3"/>
    <x v="16"/>
    <s v="Aris"/>
    <n v="1"/>
    <n v="8"/>
    <n v="5"/>
    <n v="0"/>
    <x v="25"/>
    <s v="vs Arvanitis"/>
    <n v="114"/>
    <n v="0.41299999999999998"/>
    <n v="38"/>
    <n v="0.33900000000000002"/>
    <n v="0.86"/>
    <n v="340"/>
    <n v="14"/>
    <n v="65"/>
    <n v="54"/>
    <n v="24"/>
    <n v="4"/>
    <n v="34"/>
    <n v="1.59"/>
  </r>
  <r>
    <x v="5"/>
    <x v="0"/>
    <x v="0"/>
    <n v="4"/>
    <x v="1"/>
    <s v="Fanis"/>
    <n v="0"/>
    <n v="3"/>
    <n v="10"/>
    <n v="0"/>
    <x v="6"/>
    <s v="vs Johnny"/>
    <n v="116"/>
    <n v="0.47199999999999998"/>
    <n v="31"/>
    <n v="0.33"/>
    <n v="0.79500000000000004"/>
    <n v="333"/>
    <n v="28"/>
    <n v="93"/>
    <n v="56"/>
    <n v="27"/>
    <n v="23"/>
    <n v="36"/>
    <n v="1.56"/>
  </r>
  <r>
    <x v="5"/>
    <x v="0"/>
    <x v="0"/>
    <n v="4"/>
    <x v="7"/>
    <s v="Johnny"/>
    <n v="1"/>
    <n v="10"/>
    <n v="3"/>
    <n v="0"/>
    <x v="0"/>
    <s v="vs Fanis"/>
    <n v="145"/>
    <n v="0.44900000000000001"/>
    <n v="43"/>
    <n v="0.35799999999999998"/>
    <n v="0.78100000000000003"/>
    <n v="390"/>
    <n v="37"/>
    <n v="128"/>
    <n v="131"/>
    <n v="31"/>
    <n v="24"/>
    <n v="51"/>
    <n v="2.57"/>
  </r>
  <r>
    <x v="5"/>
    <x v="0"/>
    <x v="0"/>
    <n v="5"/>
    <x v="1"/>
    <s v="Fanis"/>
    <n v="0"/>
    <n v="4"/>
    <n v="9"/>
    <n v="0"/>
    <x v="3"/>
    <s v="vs Fountos"/>
    <n v="116"/>
    <n v="0.47199999999999998"/>
    <n v="31"/>
    <n v="0.33"/>
    <n v="0.79500000000000004"/>
    <n v="333"/>
    <n v="28"/>
    <n v="93"/>
    <n v="56"/>
    <n v="27"/>
    <n v="23"/>
    <n v="36"/>
    <n v="1.56"/>
  </r>
  <r>
    <x v="5"/>
    <x v="0"/>
    <x v="0"/>
    <n v="5"/>
    <x v="2"/>
    <s v="Fountos"/>
    <n v="1"/>
    <n v="9"/>
    <n v="4"/>
    <n v="0"/>
    <x v="0"/>
    <s v="vs Fanis"/>
    <n v="142"/>
    <n v="0.49"/>
    <n v="33"/>
    <n v="0.35499999999999998"/>
    <n v="0.79600000000000004"/>
    <n v="391"/>
    <n v="31"/>
    <n v="117"/>
    <n v="89"/>
    <n v="21"/>
    <n v="16"/>
    <n v="62"/>
    <n v="1.44"/>
  </r>
  <r>
    <x v="5"/>
    <x v="0"/>
    <x v="0"/>
    <n v="6"/>
    <x v="9"/>
    <s v="Ziogas/Christof"/>
    <n v="1"/>
    <n v="8"/>
    <n v="5"/>
    <n v="0"/>
    <x v="17"/>
    <s v="vs Aris"/>
    <n v="81"/>
    <n v="0.41099999999999998"/>
    <n v="31"/>
    <n v="0.35199999999999998"/>
    <n v="0.878"/>
    <n v="229"/>
    <n v="16"/>
    <n v="74"/>
    <n v="81"/>
    <n v="21"/>
    <n v="11"/>
    <n v="23"/>
    <n v="3.52"/>
  </r>
  <r>
    <x v="5"/>
    <x v="0"/>
    <x v="0"/>
    <n v="6"/>
    <x v="16"/>
    <s v="Aris"/>
    <n v="0"/>
    <n v="5"/>
    <n v="8"/>
    <n v="0"/>
    <x v="8"/>
    <s v="vs Ziogas/Christof"/>
    <n v="114"/>
    <n v="0.41299999999999998"/>
    <n v="38"/>
    <n v="0.33900000000000002"/>
    <n v="0.86"/>
    <n v="340"/>
    <n v="14"/>
    <n v="65"/>
    <n v="54"/>
    <n v="24"/>
    <n v="4"/>
    <n v="34"/>
    <n v="1.59"/>
  </r>
  <r>
    <x v="5"/>
    <x v="0"/>
    <x v="0"/>
    <n v="7"/>
    <x v="12"/>
    <s v="Stavros"/>
    <n v="1"/>
    <n v="9"/>
    <n v="4"/>
    <n v="0"/>
    <x v="25"/>
    <s v="vs Arvanitis"/>
    <n v="121"/>
    <n v="0.42499999999999999"/>
    <n v="39"/>
    <n v="0.315"/>
    <n v="0.81100000000000005"/>
    <n v="341"/>
    <n v="34"/>
    <n v="104"/>
    <n v="65"/>
    <n v="18"/>
    <n v="13"/>
    <n v="49"/>
    <n v="1.33"/>
  </r>
  <r>
    <x v="5"/>
    <x v="0"/>
    <x v="0"/>
    <n v="7"/>
    <x v="25"/>
    <s v="Arvanitis"/>
    <n v="0"/>
    <n v="4"/>
    <n v="9"/>
    <n v="0"/>
    <x v="13"/>
    <s v="vs Stavros"/>
    <n v="72"/>
    <n v="0.41599999999999998"/>
    <n v="18"/>
    <n v="0.3"/>
    <n v="0.78900000000000003"/>
    <n v="207"/>
    <n v="19"/>
    <n v="64"/>
    <n v="48"/>
    <n v="25"/>
    <n v="15"/>
    <n v="33"/>
    <n v="1.45"/>
  </r>
  <r>
    <x v="5"/>
    <x v="0"/>
    <x v="0"/>
    <n v="8"/>
    <x v="24"/>
    <s v="Tolios"/>
    <n v="0"/>
    <n v="3"/>
    <n v="10"/>
    <n v="0"/>
    <x v="6"/>
    <s v="vs Johnny"/>
    <n v="85"/>
    <n v="0.50600000000000001"/>
    <n v="25"/>
    <n v="0.38500000000000001"/>
    <n v="0.68799999999999994"/>
    <n v="217"/>
    <n v="27"/>
    <n v="78"/>
    <n v="45"/>
    <n v="17"/>
    <n v="16"/>
    <n v="25"/>
    <n v="1.8"/>
  </r>
  <r>
    <x v="5"/>
    <x v="0"/>
    <x v="0"/>
    <n v="8"/>
    <x v="7"/>
    <s v="Johnny"/>
    <n v="1"/>
    <n v="10"/>
    <n v="3"/>
    <n v="0"/>
    <x v="24"/>
    <s v="vs Tolios"/>
    <n v="145"/>
    <n v="0.44900000000000001"/>
    <n v="43"/>
    <n v="0.35799999999999998"/>
    <n v="0.78100000000000003"/>
    <n v="390"/>
    <n v="37"/>
    <n v="128"/>
    <n v="131"/>
    <n v="31"/>
    <n v="24"/>
    <n v="51"/>
    <n v="2.57"/>
  </r>
  <r>
    <x v="5"/>
    <x v="0"/>
    <x v="0"/>
    <n v="9"/>
    <x v="17"/>
    <s v="Spiridaus/Oladipas"/>
    <n v="1"/>
    <n v="8"/>
    <n v="5"/>
    <n v="0"/>
    <x v="19"/>
    <s v="vs Kotakis"/>
    <n v="177"/>
    <n v="0.5"/>
    <n v="36"/>
    <n v="0.39100000000000001"/>
    <n v="0.80600000000000005"/>
    <n v="473"/>
    <n v="52"/>
    <n v="133"/>
    <n v="111"/>
    <n v="30"/>
    <n v="17"/>
    <n v="54"/>
    <n v="2.06"/>
  </r>
  <r>
    <x v="5"/>
    <x v="0"/>
    <x v="0"/>
    <n v="9"/>
    <x v="18"/>
    <s v="Kotakis"/>
    <n v="0"/>
    <n v="5"/>
    <n v="8"/>
    <n v="0"/>
    <x v="16"/>
    <s v="vs Spiridaus/Oladipas"/>
    <n v="134"/>
    <n v="0.45600000000000002"/>
    <n v="39"/>
    <n v="0.34200000000000003"/>
    <n v="0.73799999999999999"/>
    <n v="386"/>
    <n v="45"/>
    <n v="127"/>
    <n v="115"/>
    <n v="29"/>
    <n v="25"/>
    <n v="37"/>
    <n v="3.11"/>
  </r>
  <r>
    <x v="5"/>
    <x v="0"/>
    <x v="0"/>
    <n v="10"/>
    <x v="3"/>
    <s v="Sakellariou"/>
    <n v="1"/>
    <n v="8"/>
    <n v="5"/>
    <n v="0"/>
    <x v="3"/>
    <s v="vs Fountos"/>
    <n v="166"/>
    <n v="0.48099999999999998"/>
    <n v="44"/>
    <n v="0.31900000000000001"/>
    <n v="0.76700000000000002"/>
    <n v="445"/>
    <n v="26"/>
    <n v="116"/>
    <n v="94"/>
    <n v="23"/>
    <n v="21"/>
    <n v="61"/>
    <n v="1.54"/>
  </r>
  <r>
    <x v="5"/>
    <x v="0"/>
    <x v="0"/>
    <n v="10"/>
    <x v="2"/>
    <s v="Fountos"/>
    <n v="0"/>
    <n v="5"/>
    <n v="8"/>
    <n v="0"/>
    <x v="2"/>
    <s v="vs Sakellariou"/>
    <n v="142"/>
    <n v="0.49"/>
    <n v="33"/>
    <n v="0.35499999999999998"/>
    <n v="0.79600000000000004"/>
    <n v="391"/>
    <n v="31"/>
    <n v="117"/>
    <n v="89"/>
    <n v="21"/>
    <n v="16"/>
    <n v="62"/>
    <n v="1.44"/>
  </r>
  <r>
    <x v="5"/>
    <x v="0"/>
    <x v="0"/>
    <n v="11"/>
    <x v="3"/>
    <s v="Sakellariou"/>
    <n v="1"/>
    <n v="8"/>
    <n v="5"/>
    <n v="0"/>
    <x v="23"/>
    <s v="vs Sarantos"/>
    <n v="166"/>
    <n v="0.48099999999999998"/>
    <n v="44"/>
    <n v="0.31900000000000001"/>
    <n v="0.76700000000000002"/>
    <n v="445"/>
    <n v="26"/>
    <n v="116"/>
    <n v="94"/>
    <n v="23"/>
    <n v="21"/>
    <n v="61"/>
    <n v="1.54"/>
  </r>
  <r>
    <x v="5"/>
    <x v="0"/>
    <x v="0"/>
    <n v="11"/>
    <x v="23"/>
    <s v="Sarantos"/>
    <n v="0"/>
    <n v="5"/>
    <n v="8"/>
    <n v="0"/>
    <x v="2"/>
    <s v="vs Sakellariou"/>
    <n v="81"/>
    <n v="0.50900000000000001"/>
    <n v="24"/>
    <n v="0.38100000000000001"/>
    <n v="0.58499999999999996"/>
    <n v="210"/>
    <n v="33"/>
    <n v="82"/>
    <n v="45"/>
    <n v="14"/>
    <n v="16"/>
    <n v="26"/>
    <n v="1.73"/>
  </r>
  <r>
    <x v="5"/>
    <x v="0"/>
    <x v="0"/>
    <n v="12"/>
    <x v="23"/>
    <s v="Sarantos"/>
    <n v="0"/>
    <n v="4"/>
    <n v="9"/>
    <n v="0"/>
    <x v="7"/>
    <s v="vs Tassos"/>
    <n v="81"/>
    <n v="0.50900000000000001"/>
    <n v="24"/>
    <n v="0.38100000000000001"/>
    <n v="0.58499999999999996"/>
    <n v="210"/>
    <n v="33"/>
    <n v="82"/>
    <n v="45"/>
    <n v="14"/>
    <n v="16"/>
    <n v="26"/>
    <n v="1.73"/>
  </r>
  <r>
    <x v="5"/>
    <x v="0"/>
    <x v="0"/>
    <n v="12"/>
    <x v="6"/>
    <s v="Tassos"/>
    <n v="1"/>
    <n v="9"/>
    <n v="4"/>
    <n v="0"/>
    <x v="23"/>
    <s v="vs Sarantos"/>
    <n v="142"/>
    <n v="0.44400000000000001"/>
    <n v="36"/>
    <n v="0.35599999999999998"/>
    <n v="0.95599999999999996"/>
    <n v="406"/>
    <n v="40"/>
    <n v="106"/>
    <n v="101"/>
    <n v="26"/>
    <n v="13"/>
    <n v="51"/>
    <n v="1.98"/>
  </r>
  <r>
    <x v="5"/>
    <x v="0"/>
    <x v="0"/>
    <n v="13"/>
    <x v="20"/>
    <s v="Guru"/>
    <n v="0"/>
    <n v="6"/>
    <n v="6"/>
    <n v="1"/>
    <x v="12"/>
    <s v="vs Kousidis"/>
    <n v="129"/>
    <n v="0.44600000000000001"/>
    <n v="46"/>
    <n v="0.34799999999999998"/>
    <n v="0.79300000000000004"/>
    <n v="373"/>
    <n v="20"/>
    <n v="85"/>
    <n v="92"/>
    <n v="20"/>
    <n v="13"/>
    <n v="52"/>
    <n v="1.77"/>
  </r>
  <r>
    <x v="5"/>
    <x v="0"/>
    <x v="0"/>
    <n v="13"/>
    <x v="13"/>
    <s v="Kousidis"/>
    <n v="0"/>
    <n v="6"/>
    <n v="6"/>
    <n v="1"/>
    <x v="20"/>
    <s v="vs Guru"/>
    <n v="141"/>
    <n v="0.47799999999999998"/>
    <n v="38"/>
    <n v="0.42699999999999999"/>
    <n v="0.72599999999999998"/>
    <n v="365"/>
    <n v="43"/>
    <n v="111"/>
    <n v="70"/>
    <n v="24"/>
    <n v="13"/>
    <n v="64"/>
    <n v="1.0900000000000001"/>
  </r>
  <r>
    <x v="5"/>
    <x v="0"/>
    <x v="0"/>
    <n v="14"/>
    <x v="20"/>
    <s v="Guru"/>
    <n v="1"/>
    <n v="7"/>
    <n v="6"/>
    <n v="0"/>
    <x v="24"/>
    <s v="vs Tolios"/>
    <n v="129"/>
    <n v="0.44600000000000001"/>
    <n v="46"/>
    <n v="0.34799999999999998"/>
    <n v="0.79300000000000004"/>
    <n v="373"/>
    <n v="20"/>
    <n v="85"/>
    <n v="92"/>
    <n v="20"/>
    <n v="13"/>
    <n v="52"/>
    <n v="1.77"/>
  </r>
  <r>
    <x v="5"/>
    <x v="0"/>
    <x v="0"/>
    <n v="14"/>
    <x v="24"/>
    <s v="Tolios"/>
    <n v="0"/>
    <n v="6"/>
    <n v="7"/>
    <n v="0"/>
    <x v="20"/>
    <s v="vs Guru"/>
    <n v="85"/>
    <n v="0.50600000000000001"/>
    <n v="25"/>
    <n v="0.38500000000000001"/>
    <n v="0.68799999999999994"/>
    <n v="217"/>
    <n v="27"/>
    <n v="78"/>
    <n v="45"/>
    <n v="17"/>
    <n v="16"/>
    <n v="25"/>
    <n v="1.8"/>
  </r>
  <r>
    <x v="5"/>
    <x v="0"/>
    <x v="0"/>
    <n v="15"/>
    <x v="18"/>
    <s v="Kotakis"/>
    <n v="1"/>
    <n v="7"/>
    <n v="6"/>
    <n v="0"/>
    <x v="21"/>
    <s v="vs Tzokos"/>
    <n v="134"/>
    <n v="0.45600000000000002"/>
    <n v="39"/>
    <n v="0.34200000000000003"/>
    <n v="0.73799999999999999"/>
    <n v="386"/>
    <n v="45"/>
    <n v="127"/>
    <n v="115"/>
    <n v="29"/>
    <n v="25"/>
    <n v="37"/>
    <n v="3.11"/>
  </r>
  <r>
    <x v="5"/>
    <x v="0"/>
    <x v="0"/>
    <n v="15"/>
    <x v="21"/>
    <s v="Tzokos"/>
    <n v="0"/>
    <n v="6"/>
    <n v="7"/>
    <n v="0"/>
    <x v="19"/>
    <s v="vs Kotakis"/>
    <n v="147"/>
    <n v="0.48199999999999998"/>
    <n v="42"/>
    <n v="0.38900000000000001"/>
    <n v="0.76500000000000001"/>
    <n v="401"/>
    <n v="32"/>
    <n v="91"/>
    <n v="56"/>
    <n v="24"/>
    <n v="10"/>
    <n v="49"/>
    <n v="1.1399999999999999"/>
  </r>
  <r>
    <x v="5"/>
    <x v="0"/>
    <x v="0"/>
    <n v="16"/>
    <x v="5"/>
    <s v="Markos"/>
    <n v="0"/>
    <n v="6"/>
    <n v="7"/>
    <n v="0"/>
    <x v="26"/>
    <s v="vs Lafa"/>
    <n v="161"/>
    <n v="0.46899999999999997"/>
    <n v="50"/>
    <n v="0.39100000000000001"/>
    <n v="0.77200000000000002"/>
    <n v="450"/>
    <n v="36"/>
    <n v="141"/>
    <n v="91"/>
    <n v="15"/>
    <n v="27"/>
    <n v="40"/>
    <n v="2.27"/>
  </r>
  <r>
    <x v="5"/>
    <x v="0"/>
    <x v="0"/>
    <n v="16"/>
    <x v="26"/>
    <s v="Lafa"/>
    <n v="1"/>
    <n v="7"/>
    <n v="6"/>
    <n v="0"/>
    <x v="4"/>
    <s v="vs Markos"/>
    <n v="190"/>
    <n v="0.48199999999999998"/>
    <n v="24"/>
    <n v="0.27"/>
    <n v="0.747"/>
    <n v="525"/>
    <n v="49"/>
    <n v="168"/>
    <n v="120"/>
    <n v="22"/>
    <n v="18"/>
    <n v="61"/>
    <n v="1.97"/>
  </r>
  <r>
    <x v="5"/>
    <x v="0"/>
    <x v="0"/>
    <n v="17"/>
    <x v="5"/>
    <s v="Markos"/>
    <n v="0"/>
    <n v="6"/>
    <n v="6"/>
    <n v="1"/>
    <x v="10"/>
    <s v="vs pi/Sotiris"/>
    <n v="161"/>
    <n v="0.46899999999999997"/>
    <n v="50"/>
    <n v="0.39100000000000001"/>
    <n v="0.77200000000000002"/>
    <n v="450"/>
    <n v="36"/>
    <n v="141"/>
    <n v="91"/>
    <n v="15"/>
    <n v="27"/>
    <n v="40"/>
    <n v="2.27"/>
  </r>
  <r>
    <x v="5"/>
    <x v="0"/>
    <x v="0"/>
    <n v="17"/>
    <x v="11"/>
    <s v="pi/Sotiris"/>
    <n v="0"/>
    <n v="6"/>
    <n v="6"/>
    <n v="1"/>
    <x v="4"/>
    <s v="vs Markos"/>
    <n v="144"/>
    <n v="0.48599999999999999"/>
    <n v="33"/>
    <n v="0.39300000000000002"/>
    <n v="0.78400000000000003"/>
    <n v="426"/>
    <n v="41"/>
    <n v="144"/>
    <n v="91"/>
    <n v="17"/>
    <n v="18"/>
    <n v="54"/>
    <n v="1.69"/>
  </r>
  <r>
    <x v="5"/>
    <x v="0"/>
    <x v="0"/>
    <n v="18"/>
    <x v="6"/>
    <s v="Tassos"/>
    <n v="1"/>
    <n v="10"/>
    <n v="2"/>
    <n v="1"/>
    <x v="13"/>
    <s v="vs Stavros"/>
    <n v="142"/>
    <n v="0.44400000000000001"/>
    <n v="36"/>
    <n v="0.35599999999999998"/>
    <n v="0.95599999999999996"/>
    <n v="406"/>
    <n v="40"/>
    <n v="106"/>
    <n v="101"/>
    <n v="26"/>
    <n v="13"/>
    <n v="51"/>
    <n v="1.98"/>
  </r>
  <r>
    <x v="5"/>
    <x v="0"/>
    <x v="0"/>
    <n v="18"/>
    <x v="12"/>
    <s v="Stavros"/>
    <n v="0"/>
    <n v="2"/>
    <n v="10"/>
    <n v="1"/>
    <x v="7"/>
    <s v="vs Tassos"/>
    <n v="121"/>
    <n v="0.42499999999999999"/>
    <n v="39"/>
    <n v="0.315"/>
    <n v="0.81100000000000005"/>
    <n v="341"/>
    <n v="34"/>
    <n v="104"/>
    <n v="65"/>
    <n v="18"/>
    <n v="13"/>
    <n v="49"/>
    <n v="1.33"/>
  </r>
  <r>
    <x v="5"/>
    <x v="0"/>
    <x v="0"/>
    <n v="19"/>
    <x v="21"/>
    <s v="Tzokos"/>
    <n v="1"/>
    <n v="8"/>
    <n v="5"/>
    <n v="0"/>
    <x v="8"/>
    <s v="vs Ziogas/Christof"/>
    <n v="147"/>
    <n v="0.48199999999999998"/>
    <n v="42"/>
    <n v="0.38900000000000001"/>
    <n v="0.76500000000000001"/>
    <n v="401"/>
    <n v="32"/>
    <n v="91"/>
    <n v="56"/>
    <n v="24"/>
    <n v="10"/>
    <n v="49"/>
    <n v="1.1399999999999999"/>
  </r>
  <r>
    <x v="5"/>
    <x v="0"/>
    <x v="0"/>
    <n v="19"/>
    <x v="9"/>
    <s v="Ziogas/Christof"/>
    <n v="0"/>
    <n v="5"/>
    <n v="8"/>
    <n v="0"/>
    <x v="21"/>
    <s v="vs Tzokos"/>
    <n v="81"/>
    <n v="0.41099999999999998"/>
    <n v="31"/>
    <n v="0.35199999999999998"/>
    <n v="0.878"/>
    <n v="229"/>
    <n v="16"/>
    <n v="74"/>
    <n v="81"/>
    <n v="21"/>
    <n v="11"/>
    <n v="23"/>
    <n v="3.52"/>
  </r>
  <r>
    <x v="5"/>
    <x v="0"/>
    <x v="0"/>
    <n v="20"/>
    <x v="15"/>
    <s v="Vasilis"/>
    <n v="0"/>
    <n v="4"/>
    <n v="9"/>
    <n v="0"/>
    <x v="10"/>
    <s v="vs pi/Sotiris"/>
    <n v="160"/>
    <n v="0.502"/>
    <n v="34"/>
    <n v="0.35399999999999998"/>
    <n v="0.72"/>
    <n v="408"/>
    <n v="39"/>
    <n v="98"/>
    <n v="69"/>
    <n v="37"/>
    <n v="14"/>
    <n v="55"/>
    <n v="1.25"/>
  </r>
  <r>
    <x v="5"/>
    <x v="0"/>
    <x v="0"/>
    <n v="20"/>
    <x v="11"/>
    <s v="pi/Sotiris"/>
    <n v="1"/>
    <n v="9"/>
    <n v="4"/>
    <n v="0"/>
    <x v="14"/>
    <s v="vs Vasilis"/>
    <n v="144"/>
    <n v="0.48599999999999999"/>
    <n v="33"/>
    <n v="0.39300000000000002"/>
    <n v="0.78400000000000003"/>
    <n v="426"/>
    <n v="41"/>
    <n v="144"/>
    <n v="91"/>
    <n v="17"/>
    <n v="18"/>
    <n v="54"/>
    <n v="1.69"/>
  </r>
  <r>
    <x v="5"/>
    <x v="0"/>
    <x v="1"/>
    <n v="21"/>
    <x v="26"/>
    <s v="Lafa"/>
    <n v="1"/>
    <n v="8"/>
    <n v="5"/>
    <n v="0"/>
    <x v="14"/>
    <s v="vs Vasilis"/>
    <n v="200"/>
    <n v="0.48899999999999999"/>
    <n v="33"/>
    <n v="0.34699999999999998"/>
    <n v="0.78400000000000003"/>
    <n v="596"/>
    <n v="57"/>
    <n v="165"/>
    <n v="148"/>
    <n v="26"/>
    <n v="19"/>
    <n v="65"/>
    <n v="2.2799999999999998"/>
  </r>
  <r>
    <x v="5"/>
    <x v="0"/>
    <x v="1"/>
    <n v="21"/>
    <x v="15"/>
    <s v="Vasilis"/>
    <n v="0"/>
    <n v="5"/>
    <n v="8"/>
    <n v="0"/>
    <x v="26"/>
    <s v="vs Lafa"/>
    <n v="164"/>
    <n v="0.46600000000000003"/>
    <n v="45"/>
    <n v="0.35699999999999998"/>
    <n v="0.82499999999999996"/>
    <n v="425"/>
    <n v="34"/>
    <n v="117"/>
    <n v="93"/>
    <n v="30"/>
    <n v="13"/>
    <n v="41"/>
    <n v="2.27"/>
  </r>
  <r>
    <x v="5"/>
    <x v="0"/>
    <x v="1"/>
    <n v="22"/>
    <x v="11"/>
    <s v="pi/Sotiris"/>
    <n v="0"/>
    <n v="6"/>
    <n v="7"/>
    <n v="0"/>
    <x v="20"/>
    <s v="vs Guru"/>
    <n v="186"/>
    <n v="0.48799999999999999"/>
    <n v="48"/>
    <n v="0.35299999999999998"/>
    <n v="0.755"/>
    <n v="531"/>
    <n v="40"/>
    <n v="162"/>
    <n v="102"/>
    <n v="21"/>
    <n v="20"/>
    <n v="70"/>
    <n v="1.46"/>
  </r>
  <r>
    <x v="5"/>
    <x v="0"/>
    <x v="1"/>
    <n v="22"/>
    <x v="20"/>
    <s v="Guru"/>
    <n v="1"/>
    <n v="7"/>
    <n v="6"/>
    <n v="0"/>
    <x v="10"/>
    <s v="vs pi/Sotiris"/>
    <n v="174"/>
    <n v="0.45200000000000001"/>
    <n v="60"/>
    <n v="0.34899999999999998"/>
    <n v="0.86799999999999999"/>
    <n v="513"/>
    <n v="25"/>
    <n v="110"/>
    <n v="112"/>
    <n v="38"/>
    <n v="25"/>
    <n v="60"/>
    <n v="1.87"/>
  </r>
  <r>
    <x v="5"/>
    <x v="0"/>
    <x v="1"/>
    <n v="23"/>
    <x v="13"/>
    <s v="Kousidis"/>
    <n v="0"/>
    <n v="5"/>
    <n v="8"/>
    <n v="0"/>
    <x v="6"/>
    <s v="vs Johnny"/>
    <n v="208"/>
    <n v="0.45800000000000002"/>
    <n v="53"/>
    <n v="0.34399999999999997"/>
    <n v="0.80600000000000005"/>
    <n v="594"/>
    <n v="50"/>
    <n v="141"/>
    <n v="114"/>
    <n v="25"/>
    <n v="26"/>
    <n v="86"/>
    <n v="1.33"/>
  </r>
  <r>
    <x v="5"/>
    <x v="0"/>
    <x v="1"/>
    <n v="23"/>
    <x v="7"/>
    <s v="Johnny"/>
    <n v="1"/>
    <n v="8"/>
    <n v="5"/>
    <n v="0"/>
    <x v="12"/>
    <s v="vs Kousidis"/>
    <n v="191"/>
    <n v="0.45400000000000001"/>
    <n v="56"/>
    <n v="0.36599999999999999"/>
    <n v="0.82399999999999995"/>
    <n v="560"/>
    <n v="46"/>
    <n v="128"/>
    <n v="151"/>
    <n v="39"/>
    <n v="28"/>
    <n v="58"/>
    <n v="2.6"/>
  </r>
  <r>
    <x v="5"/>
    <x v="0"/>
    <x v="1"/>
    <n v="24"/>
    <x v="9"/>
    <s v="Ziogas/Christof"/>
    <n v="1"/>
    <n v="8"/>
    <n v="5"/>
    <n v="0"/>
    <x v="25"/>
    <s v="vs Arvanitis"/>
    <n v="129"/>
    <n v="0.41599999999999998"/>
    <n v="46"/>
    <n v="0.313"/>
    <n v="0.68500000000000005"/>
    <n v="341"/>
    <n v="28"/>
    <n v="104"/>
    <n v="87"/>
    <n v="20"/>
    <n v="7"/>
    <n v="43"/>
    <n v="2.02"/>
  </r>
  <r>
    <x v="5"/>
    <x v="0"/>
    <x v="1"/>
    <n v="24"/>
    <x v="25"/>
    <s v="Arvanitis"/>
    <n v="0"/>
    <n v="5"/>
    <n v="8"/>
    <n v="0"/>
    <x v="8"/>
    <s v="vs Ziogas/Christof"/>
    <n v="102"/>
    <n v="0.42699999999999999"/>
    <n v="35"/>
    <n v="0.36799999999999999"/>
    <n v="0.61399999999999999"/>
    <n v="274"/>
    <n v="44"/>
    <n v="83"/>
    <n v="39"/>
    <n v="17"/>
    <n v="27"/>
    <n v="38"/>
    <n v="1.03"/>
  </r>
  <r>
    <x v="5"/>
    <x v="0"/>
    <x v="1"/>
    <n v="25"/>
    <x v="12"/>
    <s v="Stavros"/>
    <n v="1"/>
    <n v="10"/>
    <n v="3"/>
    <n v="0"/>
    <x v="2"/>
    <s v="vs Sakellariou"/>
    <n v="165"/>
    <n v="0.47599999999999998"/>
    <n v="61"/>
    <n v="0.379"/>
    <n v="0.72"/>
    <n v="445"/>
    <n v="38"/>
    <n v="132"/>
    <n v="84"/>
    <n v="17"/>
    <n v="20"/>
    <n v="46"/>
    <n v="1.83"/>
  </r>
  <r>
    <x v="5"/>
    <x v="0"/>
    <x v="1"/>
    <n v="25"/>
    <x v="3"/>
    <s v="Sakellariou"/>
    <n v="0"/>
    <n v="3"/>
    <n v="10"/>
    <n v="0"/>
    <x v="13"/>
    <s v="vs Stavros"/>
    <n v="161"/>
    <n v="0.46300000000000002"/>
    <n v="48"/>
    <n v="0.36099999999999999"/>
    <n v="0.84699999999999998"/>
    <n v="442"/>
    <n v="30"/>
    <n v="110"/>
    <n v="87"/>
    <n v="26"/>
    <n v="12"/>
    <n v="60"/>
    <n v="1.45"/>
  </r>
  <r>
    <x v="5"/>
    <x v="0"/>
    <x v="1"/>
    <n v="26"/>
    <x v="2"/>
    <s v="Fountos"/>
    <n v="1"/>
    <n v="9"/>
    <n v="4"/>
    <n v="0"/>
    <x v="24"/>
    <s v="vs Tolios"/>
    <n v="161"/>
    <n v="0.48299999999999998"/>
    <n v="50"/>
    <n v="0.373"/>
    <n v="0.82099999999999995"/>
    <n v="436"/>
    <n v="24"/>
    <n v="116"/>
    <n v="105"/>
    <n v="24"/>
    <n v="10"/>
    <n v="41"/>
    <n v="2.56"/>
  </r>
  <r>
    <x v="5"/>
    <x v="0"/>
    <x v="1"/>
    <n v="26"/>
    <x v="24"/>
    <s v="Tolios"/>
    <n v="0"/>
    <n v="4"/>
    <n v="9"/>
    <n v="0"/>
    <x v="3"/>
    <s v="vs Fountos"/>
    <n v="95"/>
    <n v="0.41099999999999998"/>
    <n v="25"/>
    <n v="0.34200000000000003"/>
    <n v="0.62"/>
    <n v="246"/>
    <n v="58"/>
    <n v="120"/>
    <n v="66"/>
    <n v="21"/>
    <n v="20"/>
    <n v="36"/>
    <n v="1.83"/>
  </r>
  <r>
    <x v="5"/>
    <x v="0"/>
    <x v="1"/>
    <n v="27"/>
    <x v="23"/>
    <s v="Sarantos"/>
    <n v="0"/>
    <n v="4"/>
    <n v="9"/>
    <n v="0"/>
    <x v="0"/>
    <s v="vs Fanis"/>
    <n v="116"/>
    <n v="0.41299999999999998"/>
    <n v="43"/>
    <n v="0.31900000000000001"/>
    <n v="0.65800000000000003"/>
    <n v="325"/>
    <n v="31"/>
    <n v="108"/>
    <n v="80"/>
    <n v="26"/>
    <n v="22"/>
    <n v="28"/>
    <n v="2.86"/>
  </r>
  <r>
    <x v="5"/>
    <x v="0"/>
    <x v="1"/>
    <n v="27"/>
    <x v="1"/>
    <s v="Fanis"/>
    <n v="1"/>
    <n v="9"/>
    <n v="4"/>
    <n v="0"/>
    <x v="23"/>
    <s v="vs Sarantos"/>
    <n v="179"/>
    <n v="0.499"/>
    <n v="52"/>
    <n v="0.377"/>
    <n v="0.76600000000000001"/>
    <n v="482"/>
    <n v="26"/>
    <n v="144"/>
    <n v="103"/>
    <n v="39"/>
    <n v="16"/>
    <n v="43"/>
    <n v="2.4"/>
  </r>
  <r>
    <x v="5"/>
    <x v="0"/>
    <x v="1"/>
    <n v="28"/>
    <x v="16"/>
    <s v="Aris"/>
    <n v="0"/>
    <n v="4"/>
    <n v="9"/>
    <n v="0"/>
    <x v="7"/>
    <s v="vs Tassos"/>
    <n v="171"/>
    <n v="0.45500000000000002"/>
    <n v="60"/>
    <n v="0.36099999999999999"/>
    <n v="0.85799999999999998"/>
    <n v="493"/>
    <n v="23"/>
    <n v="107"/>
    <n v="123"/>
    <n v="22"/>
    <n v="13"/>
    <n v="52"/>
    <n v="2.37"/>
  </r>
  <r>
    <x v="5"/>
    <x v="0"/>
    <x v="1"/>
    <n v="28"/>
    <x v="6"/>
    <s v="Tassos"/>
    <n v="1"/>
    <n v="9"/>
    <n v="4"/>
    <n v="0"/>
    <x v="17"/>
    <s v="vs Aris"/>
    <n v="244"/>
    <n v="0.49299999999999999"/>
    <n v="57"/>
    <n v="0.36099999999999999"/>
    <n v="0.86499999999999999"/>
    <n v="660"/>
    <n v="56"/>
    <n v="166"/>
    <n v="154"/>
    <n v="35"/>
    <n v="25"/>
    <n v="68"/>
    <n v="2.2599999999999998"/>
  </r>
  <r>
    <x v="5"/>
    <x v="0"/>
    <x v="1"/>
    <n v="29"/>
    <x v="18"/>
    <s v="Kotakis"/>
    <n v="1"/>
    <n v="8"/>
    <n v="5"/>
    <n v="0"/>
    <x v="4"/>
    <s v="vs Markos"/>
    <n v="155"/>
    <n v="0.52400000000000002"/>
    <n v="40"/>
    <n v="0.4"/>
    <n v="0.81"/>
    <n v="401"/>
    <n v="65"/>
    <n v="161"/>
    <n v="106"/>
    <n v="23"/>
    <n v="30"/>
    <n v="58"/>
    <n v="1.83"/>
  </r>
  <r>
    <x v="5"/>
    <x v="0"/>
    <x v="1"/>
    <n v="29"/>
    <x v="5"/>
    <s v="Markos"/>
    <n v="0"/>
    <n v="5"/>
    <n v="8"/>
    <n v="0"/>
    <x v="19"/>
    <s v="vs Kotakis"/>
    <n v="194"/>
    <n v="0.47499999999999998"/>
    <n v="64"/>
    <n v="0.379"/>
    <n v="0.80500000000000005"/>
    <n v="543"/>
    <n v="49"/>
    <n v="175"/>
    <n v="88"/>
    <n v="21"/>
    <n v="18"/>
    <n v="51"/>
    <n v="1.73"/>
  </r>
  <r>
    <x v="5"/>
    <x v="0"/>
    <x v="1"/>
    <n v="30"/>
    <x v="21"/>
    <s v="Tzokos"/>
    <n v="1"/>
    <n v="7"/>
    <n v="5"/>
    <n v="1"/>
    <x v="16"/>
    <s v="vs Spiridaus/Oladipas"/>
    <n v="180"/>
    <n v="0.48299999999999998"/>
    <n v="55"/>
    <n v="0.39900000000000002"/>
    <n v="0.73299999999999998"/>
    <n v="470"/>
    <n v="41"/>
    <n v="114"/>
    <n v="93"/>
    <n v="25"/>
    <n v="13"/>
    <n v="49"/>
    <n v="1.9"/>
  </r>
  <r>
    <x v="5"/>
    <x v="0"/>
    <x v="1"/>
    <n v="30"/>
    <x v="17"/>
    <s v="Spiridaus/Oladipas"/>
    <n v="0"/>
    <n v="5"/>
    <n v="7"/>
    <n v="1"/>
    <x v="21"/>
    <s v="vs Tzokos"/>
    <n v="162"/>
    <n v="0.47499999999999998"/>
    <n v="28"/>
    <n v="0.32200000000000001"/>
    <n v="0.83299999999999996"/>
    <n v="437"/>
    <n v="44"/>
    <n v="146"/>
    <n v="116"/>
    <n v="25"/>
    <n v="8"/>
    <n v="55"/>
    <n v="2.11"/>
  </r>
  <r>
    <x v="5"/>
    <x v="0"/>
    <x v="2"/>
    <n v="31"/>
    <x v="13"/>
    <s v="Kousidis"/>
    <n v="0"/>
    <n v="3"/>
    <n v="8"/>
    <n v="2"/>
    <x v="3"/>
    <s v="vs Fountos"/>
    <n v="148"/>
    <n v="0.48699999999999999"/>
    <n v="32"/>
    <n v="0.34799999999999998"/>
    <n v="0.75900000000000001"/>
    <n v="394"/>
    <n v="24"/>
    <n v="119"/>
    <n v="86"/>
    <n v="29"/>
    <n v="17"/>
    <n v="58"/>
    <n v="1.48"/>
  </r>
  <r>
    <x v="5"/>
    <x v="0"/>
    <x v="2"/>
    <n v="31"/>
    <x v="2"/>
    <s v="Fountos"/>
    <n v="1"/>
    <n v="8"/>
    <n v="3"/>
    <n v="2"/>
    <x v="12"/>
    <s v="vs Kousidis"/>
    <n v="186"/>
    <n v="0.48299999999999998"/>
    <n v="54"/>
    <n v="0.38"/>
    <n v="0.83"/>
    <n v="514"/>
    <n v="24"/>
    <n v="122"/>
    <n v="107"/>
    <n v="23"/>
    <n v="17"/>
    <n v="69"/>
    <n v="1.55"/>
  </r>
  <r>
    <x v="5"/>
    <x v="0"/>
    <x v="2"/>
    <n v="32"/>
    <x v="1"/>
    <s v="Fanis"/>
    <n v="1"/>
    <n v="8"/>
    <n v="5"/>
    <n v="0"/>
    <x v="13"/>
    <s v="vs Stavros"/>
    <n v="135"/>
    <n v="0.45200000000000001"/>
    <n v="36"/>
    <n v="0.32100000000000001"/>
    <n v="0.75900000000000001"/>
    <n v="366"/>
    <n v="35"/>
    <n v="113"/>
    <n v="94"/>
    <n v="29"/>
    <n v="25"/>
    <n v="43"/>
    <n v="2.19"/>
  </r>
  <r>
    <x v="5"/>
    <x v="0"/>
    <x v="2"/>
    <n v="32"/>
    <x v="12"/>
    <s v="Stavros"/>
    <n v="0"/>
    <n v="5"/>
    <n v="8"/>
    <n v="0"/>
    <x v="0"/>
    <s v="vs Fanis"/>
    <n v="121"/>
    <n v="0.48399999999999999"/>
    <n v="43"/>
    <n v="0.377"/>
    <n v="0.83299999999999996"/>
    <n v="325"/>
    <n v="27"/>
    <n v="97"/>
    <n v="66"/>
    <n v="19"/>
    <n v="9"/>
    <n v="33"/>
    <n v="2"/>
  </r>
  <r>
    <x v="5"/>
    <x v="0"/>
    <x v="2"/>
    <n v="33"/>
    <x v="24"/>
    <s v="Tolios"/>
    <n v="0"/>
    <n v="5"/>
    <n v="8"/>
    <n v="0"/>
    <x v="23"/>
    <s v="vs Sarantos"/>
    <n v="108"/>
    <n v="0.51900000000000002"/>
    <n v="24"/>
    <n v="0.33800000000000002"/>
    <n v="0.75800000000000001"/>
    <n v="287"/>
    <n v="35"/>
    <n v="91"/>
    <n v="37"/>
    <n v="22"/>
    <n v="15"/>
    <n v="29"/>
    <n v="1.28"/>
  </r>
  <r>
    <x v="5"/>
    <x v="0"/>
    <x v="2"/>
    <n v="33"/>
    <x v="23"/>
    <s v="Sarantos"/>
    <n v="1"/>
    <n v="8"/>
    <n v="5"/>
    <n v="0"/>
    <x v="24"/>
    <s v="vs Tolios"/>
    <n v="104"/>
    <n v="0.52300000000000002"/>
    <n v="30"/>
    <n v="0.36599999999999999"/>
    <n v="0.76700000000000002"/>
    <n v="271"/>
    <n v="13"/>
    <n v="74"/>
    <n v="61"/>
    <n v="25"/>
    <n v="16"/>
    <n v="44"/>
    <n v="1.39"/>
  </r>
  <r>
    <x v="5"/>
    <x v="0"/>
    <x v="2"/>
    <n v="34"/>
    <x v="17"/>
    <s v="Spiridaus/Oladipas"/>
    <n v="1"/>
    <n v="7"/>
    <n v="6"/>
    <n v="0"/>
    <x v="8"/>
    <s v="vs Ziogas/Christof"/>
    <n v="152"/>
    <n v="0.46200000000000002"/>
    <n v="34"/>
    <n v="0.35799999999999998"/>
    <n v="0.83499999999999996"/>
    <n v="409"/>
    <n v="33"/>
    <n v="130"/>
    <n v="108"/>
    <n v="19"/>
    <n v="19"/>
    <n v="58"/>
    <n v="1.86"/>
  </r>
  <r>
    <x v="5"/>
    <x v="0"/>
    <x v="2"/>
    <n v="34"/>
    <x v="9"/>
    <s v="Ziogas/Christof"/>
    <n v="0"/>
    <n v="6"/>
    <n v="7"/>
    <n v="0"/>
    <x v="16"/>
    <s v="vs Spiridaus/Oladipas"/>
    <n v="138"/>
    <n v="0.45400000000000001"/>
    <n v="52"/>
    <n v="0.34699999999999998"/>
    <n v="0.89600000000000002"/>
    <n v="388"/>
    <n v="36"/>
    <n v="112"/>
    <n v="98"/>
    <n v="15"/>
    <n v="21"/>
    <n v="47"/>
    <n v="2.09"/>
  </r>
  <r>
    <x v="5"/>
    <x v="0"/>
    <x v="2"/>
    <n v="35"/>
    <x v="7"/>
    <s v="Johnny"/>
    <n v="1"/>
    <n v="9"/>
    <n v="4"/>
    <n v="0"/>
    <x v="10"/>
    <s v="vs pi/Sotiris"/>
    <n v="211"/>
    <n v="0.47499999999999998"/>
    <n v="65"/>
    <n v="0.39600000000000002"/>
    <n v="0.86799999999999999"/>
    <n v="546"/>
    <n v="41"/>
    <n v="140"/>
    <n v="137"/>
    <n v="48"/>
    <n v="14"/>
    <n v="71"/>
    <n v="1.93"/>
  </r>
  <r>
    <x v="5"/>
    <x v="0"/>
    <x v="2"/>
    <n v="35"/>
    <x v="11"/>
    <s v="pi/Sotiris"/>
    <n v="0"/>
    <n v="4"/>
    <n v="9"/>
    <n v="0"/>
    <x v="6"/>
    <s v="vs Johnny"/>
    <n v="178"/>
    <n v="0.501"/>
    <n v="40"/>
    <n v="0.38100000000000001"/>
    <n v="0.88400000000000001"/>
    <n v="472"/>
    <n v="26"/>
    <n v="148"/>
    <n v="94"/>
    <n v="23"/>
    <n v="16"/>
    <n v="75"/>
    <n v="1.25"/>
  </r>
  <r>
    <x v="5"/>
    <x v="0"/>
    <x v="2"/>
    <n v="36"/>
    <x v="3"/>
    <s v="Sakellariou"/>
    <n v="1"/>
    <n v="10"/>
    <n v="3"/>
    <n v="0"/>
    <x v="17"/>
    <s v="vs Aris"/>
    <n v="179"/>
    <n v="0.437"/>
    <n v="59"/>
    <n v="0.34499999999999997"/>
    <n v="0.82799999999999996"/>
    <n v="499"/>
    <n v="39"/>
    <n v="150"/>
    <n v="114"/>
    <n v="23"/>
    <n v="29"/>
    <n v="59"/>
    <n v="1.93"/>
  </r>
  <r>
    <x v="5"/>
    <x v="0"/>
    <x v="2"/>
    <n v="36"/>
    <x v="16"/>
    <s v="Aris"/>
    <n v="0"/>
    <n v="3"/>
    <n v="10"/>
    <n v="0"/>
    <x v="2"/>
    <s v="vs Sakellariou"/>
    <n v="150"/>
    <n v="0.46300000000000002"/>
    <n v="44"/>
    <n v="0.34100000000000003"/>
    <n v="0.83299999999999996"/>
    <n v="434"/>
    <n v="29"/>
    <n v="100"/>
    <n v="109"/>
    <n v="37"/>
    <n v="17"/>
    <n v="75"/>
    <n v="1.45"/>
  </r>
  <r>
    <x v="5"/>
    <x v="0"/>
    <x v="2"/>
    <n v="37"/>
    <x v="20"/>
    <s v="Guru"/>
    <n v="0"/>
    <n v="6"/>
    <n v="7"/>
    <n v="0"/>
    <x v="26"/>
    <s v="vs Lafa"/>
    <n v="131"/>
    <n v="0.45500000000000002"/>
    <n v="40"/>
    <n v="0.33600000000000002"/>
    <n v="0.88"/>
    <n v="368"/>
    <n v="29"/>
    <n v="133"/>
    <n v="92"/>
    <n v="18"/>
    <n v="16"/>
    <n v="65"/>
    <n v="1.42"/>
  </r>
  <r>
    <x v="5"/>
    <x v="0"/>
    <x v="2"/>
    <n v="37"/>
    <x v="26"/>
    <s v="Lafa"/>
    <n v="1"/>
    <n v="7"/>
    <n v="6"/>
    <n v="0"/>
    <x v="20"/>
    <s v="vs Guru"/>
    <n v="153"/>
    <n v="0.42"/>
    <n v="36"/>
    <n v="0.30499999999999999"/>
    <n v="0.78"/>
    <n v="438"/>
    <n v="35"/>
    <n v="113"/>
    <n v="133"/>
    <n v="32"/>
    <n v="11"/>
    <n v="60"/>
    <n v="2.2200000000000002"/>
  </r>
  <r>
    <x v="5"/>
    <x v="0"/>
    <x v="2"/>
    <n v="38"/>
    <x v="5"/>
    <s v="Markos"/>
    <n v="1"/>
    <n v="8"/>
    <n v="4"/>
    <n v="1"/>
    <x v="21"/>
    <s v="vs Tzokos"/>
    <n v="163"/>
    <n v="0.44700000000000001"/>
    <n v="41"/>
    <n v="0.32500000000000001"/>
    <n v="0.79200000000000004"/>
    <n v="451"/>
    <n v="30"/>
    <n v="136"/>
    <n v="99"/>
    <n v="20"/>
    <n v="25"/>
    <n v="66"/>
    <n v="1.5"/>
  </r>
  <r>
    <x v="5"/>
    <x v="0"/>
    <x v="2"/>
    <n v="38"/>
    <x v="21"/>
    <s v="Tzokos"/>
    <n v="0"/>
    <n v="4"/>
    <n v="8"/>
    <n v="1"/>
    <x v="4"/>
    <s v="vs Markos"/>
    <n v="128"/>
    <n v="0.45700000000000002"/>
    <n v="38"/>
    <n v="0.36199999999999999"/>
    <n v="0.73599999999999999"/>
    <n v="347"/>
    <n v="20"/>
    <n v="89"/>
    <n v="53"/>
    <n v="16"/>
    <n v="25"/>
    <n v="35"/>
    <n v="1.51"/>
  </r>
  <r>
    <x v="5"/>
    <x v="0"/>
    <x v="2"/>
    <n v="39"/>
    <x v="6"/>
    <s v="Tassos"/>
    <n v="1"/>
    <n v="10"/>
    <n v="3"/>
    <n v="0"/>
    <x v="25"/>
    <s v="vs Arvanitis"/>
    <n v="173"/>
    <n v="0.48899999999999999"/>
    <n v="37"/>
    <n v="0.32200000000000001"/>
    <n v="0.79200000000000004"/>
    <n v="463"/>
    <n v="70"/>
    <n v="179"/>
    <n v="99"/>
    <n v="22"/>
    <n v="21"/>
    <n v="61"/>
    <n v="1.62"/>
  </r>
  <r>
    <x v="5"/>
    <x v="0"/>
    <x v="2"/>
    <n v="39"/>
    <x v="25"/>
    <s v="Arvanitis"/>
    <n v="0"/>
    <n v="3"/>
    <n v="10"/>
    <n v="0"/>
    <x v="7"/>
    <s v="vs Tassos"/>
    <n v="105"/>
    <n v="0.45100000000000001"/>
    <n v="40"/>
    <n v="0.42099999999999999"/>
    <n v="0.65"/>
    <n v="276"/>
    <n v="37"/>
    <n v="78"/>
    <n v="41"/>
    <n v="21"/>
    <n v="18"/>
    <n v="30"/>
    <n v="1.37"/>
  </r>
  <r>
    <x v="5"/>
    <x v="0"/>
    <x v="2"/>
    <n v="40"/>
    <x v="15"/>
    <s v="Vasilis"/>
    <n v="0"/>
    <n v="4"/>
    <n v="9"/>
    <n v="0"/>
    <x v="19"/>
    <s v="vs Kotakis"/>
    <n v="175"/>
    <n v="0.47399999999999998"/>
    <n v="40"/>
    <n v="0.317"/>
    <n v="0.80700000000000005"/>
    <n v="461"/>
    <n v="43"/>
    <n v="114"/>
    <n v="98"/>
    <n v="19"/>
    <n v="14"/>
    <n v="64"/>
    <n v="1.53"/>
  </r>
  <r>
    <x v="5"/>
    <x v="0"/>
    <x v="2"/>
    <n v="40"/>
    <x v="18"/>
    <s v="Kotakis"/>
    <n v="1"/>
    <n v="9"/>
    <n v="4"/>
    <n v="0"/>
    <x v="14"/>
    <s v="vs Vasilis"/>
    <n v="153"/>
    <n v="0.54800000000000004"/>
    <n v="38"/>
    <n v="0.42699999999999999"/>
    <n v="0.69"/>
    <n v="393"/>
    <n v="45"/>
    <n v="140"/>
    <n v="100"/>
    <n v="30"/>
    <n v="15"/>
    <n v="49"/>
    <n v="2.04"/>
  </r>
  <r>
    <x v="5"/>
    <x v="0"/>
    <x v="3"/>
    <n v="41"/>
    <x v="26"/>
    <s v="Lafa"/>
    <n v="1"/>
    <n v="9"/>
    <n v="4"/>
    <n v="0"/>
    <x v="6"/>
    <s v="vs Johnny"/>
    <n v="189"/>
    <n v="0.47199999999999998"/>
    <n v="29"/>
    <n v="0.28199999999999997"/>
    <n v="0.85099999999999998"/>
    <n v="556"/>
    <n v="38"/>
    <n v="138"/>
    <n v="152"/>
    <n v="35"/>
    <n v="26"/>
    <n v="72"/>
    <n v="2.11"/>
  </r>
  <r>
    <x v="5"/>
    <x v="0"/>
    <x v="3"/>
    <n v="41"/>
    <x v="7"/>
    <s v="Johnny"/>
    <n v="0"/>
    <n v="4"/>
    <n v="9"/>
    <n v="0"/>
    <x v="26"/>
    <s v="vs Lafa"/>
    <n v="174"/>
    <n v="0.46300000000000002"/>
    <n v="39"/>
    <n v="0.315"/>
    <n v="0.77700000000000002"/>
    <n v="467"/>
    <n v="61"/>
    <n v="139"/>
    <n v="108"/>
    <n v="32"/>
    <n v="17"/>
    <n v="84"/>
    <n v="1.29"/>
  </r>
  <r>
    <x v="5"/>
    <x v="0"/>
    <x v="3"/>
    <n v="42"/>
    <x v="11"/>
    <s v="pi/Sotiris"/>
    <n v="1"/>
    <n v="9"/>
    <n v="3"/>
    <n v="1"/>
    <x v="3"/>
    <s v="vs Fountos"/>
    <n v="187"/>
    <n v="0.5"/>
    <n v="42"/>
    <n v="0.36499999999999999"/>
    <n v="0.86"/>
    <n v="502"/>
    <n v="37"/>
    <n v="152"/>
    <n v="112"/>
    <n v="33"/>
    <n v="15"/>
    <n v="72"/>
    <n v="1.56"/>
  </r>
  <r>
    <x v="5"/>
    <x v="0"/>
    <x v="3"/>
    <n v="42"/>
    <x v="2"/>
    <s v="Fountos"/>
    <n v="0"/>
    <n v="3"/>
    <n v="9"/>
    <n v="1"/>
    <x v="10"/>
    <s v="vs pi/Sotiris"/>
    <n v="205"/>
    <n v="0.47499999999999998"/>
    <n v="48"/>
    <n v="0.32700000000000001"/>
    <n v="0.77800000000000002"/>
    <n v="528"/>
    <n v="35"/>
    <n v="145"/>
    <n v="93"/>
    <n v="24"/>
    <n v="13"/>
    <n v="72"/>
    <n v="1.29"/>
  </r>
  <r>
    <x v="5"/>
    <x v="0"/>
    <x v="3"/>
    <n v="43"/>
    <x v="25"/>
    <s v="Arvanitis"/>
    <n v="0"/>
    <n v="2"/>
    <n v="11"/>
    <n v="0"/>
    <x v="2"/>
    <s v="vs Sakellariou"/>
    <n v="143"/>
    <n v="0.42899999999999999"/>
    <n v="41"/>
    <n v="0.34699999999999998"/>
    <n v="0.74099999999999999"/>
    <n v="387"/>
    <n v="38"/>
    <n v="99"/>
    <n v="61"/>
    <n v="34"/>
    <n v="21"/>
    <n v="47"/>
    <n v="1.3"/>
  </r>
  <r>
    <x v="5"/>
    <x v="0"/>
    <x v="3"/>
    <n v="43"/>
    <x v="3"/>
    <s v="Sakellariou"/>
    <n v="1"/>
    <n v="11"/>
    <n v="2"/>
    <n v="0"/>
    <x v="25"/>
    <s v="vs Arvanitis"/>
    <n v="163"/>
    <n v="0.44900000000000001"/>
    <n v="61"/>
    <n v="0.38600000000000001"/>
    <n v="0.747"/>
    <n v="455"/>
    <n v="35"/>
    <n v="112"/>
    <n v="116"/>
    <n v="26"/>
    <n v="31"/>
    <n v="40"/>
    <n v="2.9"/>
  </r>
  <r>
    <x v="5"/>
    <x v="0"/>
    <x v="3"/>
    <n v="44"/>
    <x v="9"/>
    <s v="Ziogas/Christof"/>
    <n v="0"/>
    <n v="3"/>
    <n v="10"/>
    <n v="0"/>
    <x v="7"/>
    <s v="vs Tassos"/>
    <n v="161"/>
    <n v="0.436"/>
    <n v="72"/>
    <n v="0.38300000000000001"/>
    <n v="0.75"/>
    <n v="466"/>
    <n v="35"/>
    <n v="119"/>
    <n v="122"/>
    <n v="23"/>
    <n v="9"/>
    <n v="61"/>
    <n v="2"/>
  </r>
  <r>
    <x v="5"/>
    <x v="0"/>
    <x v="3"/>
    <n v="44"/>
    <x v="6"/>
    <s v="Tassos"/>
    <n v="1"/>
    <n v="10"/>
    <n v="3"/>
    <n v="0"/>
    <x v="8"/>
    <s v="vs Ziogas/Christof"/>
    <n v="221"/>
    <n v="0.48699999999999999"/>
    <n v="50"/>
    <n v="0.37"/>
    <n v="0.82199999999999995"/>
    <n v="612"/>
    <n v="59"/>
    <n v="169"/>
    <n v="148"/>
    <n v="34"/>
    <n v="23"/>
    <n v="67"/>
    <n v="2.21"/>
  </r>
  <r>
    <x v="5"/>
    <x v="0"/>
    <x v="3"/>
    <n v="45"/>
    <x v="12"/>
    <s v="Stavros"/>
    <n v="1"/>
    <n v="7"/>
    <n v="6"/>
    <n v="0"/>
    <x v="24"/>
    <s v="vs Tolios"/>
    <n v="171"/>
    <n v="0.49099999999999999"/>
    <n v="61"/>
    <n v="0.38100000000000001"/>
    <n v="0.80200000000000005"/>
    <n v="488"/>
    <n v="32"/>
    <n v="131"/>
    <n v="92"/>
    <n v="32"/>
    <n v="7"/>
    <n v="52"/>
    <n v="1.77"/>
  </r>
  <r>
    <x v="5"/>
    <x v="0"/>
    <x v="3"/>
    <n v="45"/>
    <x v="24"/>
    <s v="Tolios"/>
    <n v="0"/>
    <n v="6"/>
    <n v="7"/>
    <n v="0"/>
    <x v="13"/>
    <s v="vs Stavros"/>
    <n v="148"/>
    <n v="0.52300000000000002"/>
    <n v="31"/>
    <n v="0.33300000000000002"/>
    <n v="0.84399999999999997"/>
    <n v="365"/>
    <n v="49"/>
    <n v="122"/>
    <n v="62"/>
    <n v="25"/>
    <n v="13"/>
    <n v="33"/>
    <n v="1.88"/>
  </r>
  <r>
    <x v="5"/>
    <x v="0"/>
    <x v="3"/>
    <n v="46"/>
    <x v="17"/>
    <s v="Spiridaus/Oladipas"/>
    <n v="0"/>
    <n v="6"/>
    <n v="7"/>
    <n v="0"/>
    <x v="4"/>
    <s v="vs Markos"/>
    <n v="150"/>
    <n v="0.45900000000000002"/>
    <n v="37"/>
    <n v="0.34899999999999998"/>
    <n v="0.748"/>
    <n v="414"/>
    <n v="43"/>
    <n v="157"/>
    <n v="105"/>
    <n v="19"/>
    <n v="16"/>
    <n v="53"/>
    <n v="1.98"/>
  </r>
  <r>
    <x v="5"/>
    <x v="0"/>
    <x v="3"/>
    <n v="46"/>
    <x v="5"/>
    <s v="Markos"/>
    <n v="1"/>
    <n v="7"/>
    <n v="6"/>
    <n v="0"/>
    <x v="16"/>
    <s v="vs Spiridaus/Oladipas"/>
    <n v="189"/>
    <n v="0.442"/>
    <n v="61"/>
    <n v="0.33700000000000002"/>
    <n v="0.79500000000000004"/>
    <n v="528"/>
    <n v="44"/>
    <n v="148"/>
    <n v="107"/>
    <n v="41"/>
    <n v="11"/>
    <n v="63"/>
    <n v="1.7"/>
  </r>
  <r>
    <x v="5"/>
    <x v="0"/>
    <x v="3"/>
    <n v="47"/>
    <x v="23"/>
    <s v="Sarantos"/>
    <n v="0"/>
    <n v="6"/>
    <n v="7"/>
    <n v="0"/>
    <x v="12"/>
    <s v="vs Kousidis"/>
    <n v="120"/>
    <n v="0.45300000000000001"/>
    <n v="37"/>
    <n v="0.33300000000000002"/>
    <n v="0.67800000000000005"/>
    <n v="317"/>
    <n v="35"/>
    <n v="122"/>
    <n v="76"/>
    <n v="33"/>
    <n v="13"/>
    <n v="42"/>
    <n v="1.81"/>
  </r>
  <r>
    <x v="5"/>
    <x v="0"/>
    <x v="3"/>
    <n v="47"/>
    <x v="13"/>
    <s v="Kousidis"/>
    <n v="1"/>
    <n v="7"/>
    <n v="6"/>
    <n v="0"/>
    <x v="23"/>
    <s v="vs Sarantos"/>
    <n v="178"/>
    <n v="0.504"/>
    <n v="63"/>
    <n v="0.41399999999999998"/>
    <n v="0.75600000000000001"/>
    <n v="509"/>
    <n v="33"/>
    <n v="115"/>
    <n v="103"/>
    <n v="18"/>
    <n v="7"/>
    <n v="81"/>
    <n v="1.27"/>
  </r>
  <r>
    <x v="5"/>
    <x v="0"/>
    <x v="3"/>
    <n v="48"/>
    <x v="16"/>
    <s v="Aris"/>
    <n v="1"/>
    <n v="8"/>
    <n v="5"/>
    <n v="0"/>
    <x v="0"/>
    <s v="vs Fanis"/>
    <n v="177"/>
    <n v="0.46"/>
    <n v="52"/>
    <n v="0.34899999999999998"/>
    <n v="0.81699999999999995"/>
    <n v="509"/>
    <n v="24"/>
    <n v="99"/>
    <n v="128"/>
    <n v="23"/>
    <n v="21"/>
    <n v="48"/>
    <n v="2.67"/>
  </r>
  <r>
    <x v="5"/>
    <x v="0"/>
    <x v="3"/>
    <n v="48"/>
    <x v="1"/>
    <s v="Fanis"/>
    <n v="0"/>
    <n v="5"/>
    <n v="8"/>
    <n v="0"/>
    <x v="17"/>
    <s v="vs Aris"/>
    <n v="175"/>
    <n v="0.44600000000000001"/>
    <n v="41"/>
    <n v="0.33900000000000002"/>
    <n v="0.74399999999999999"/>
    <n v="481"/>
    <n v="44"/>
    <n v="139"/>
    <n v="103"/>
    <n v="37"/>
    <n v="30"/>
    <n v="47"/>
    <n v="2.19"/>
  </r>
  <r>
    <x v="5"/>
    <x v="0"/>
    <x v="3"/>
    <n v="49"/>
    <x v="18"/>
    <s v="Kotakis"/>
    <n v="0"/>
    <n v="4"/>
    <n v="9"/>
    <n v="0"/>
    <x v="20"/>
    <s v="vs Guru"/>
    <n v="198"/>
    <n v="0.49299999999999999"/>
    <n v="51"/>
    <n v="0.38900000000000001"/>
    <n v="0.747"/>
    <n v="506"/>
    <n v="33"/>
    <n v="167"/>
    <n v="143"/>
    <n v="32"/>
    <n v="29"/>
    <n v="62"/>
    <n v="2.31"/>
  </r>
  <r>
    <x v="5"/>
    <x v="0"/>
    <x v="3"/>
    <n v="49"/>
    <x v="20"/>
    <s v="Guru"/>
    <n v="1"/>
    <n v="9"/>
    <n v="4"/>
    <n v="0"/>
    <x v="19"/>
    <s v="vs Kotakis"/>
    <n v="201"/>
    <n v="0.504"/>
    <n v="81"/>
    <n v="0.42399999999999999"/>
    <n v="0.76300000000000001"/>
    <n v="570"/>
    <n v="26"/>
    <n v="153"/>
    <n v="165"/>
    <n v="34"/>
    <n v="17"/>
    <n v="63"/>
    <n v="2.62"/>
  </r>
  <r>
    <x v="5"/>
    <x v="0"/>
    <x v="3"/>
    <n v="50"/>
    <x v="21"/>
    <s v="Tzokos"/>
    <n v="1"/>
    <n v="7"/>
    <n v="6"/>
    <n v="0"/>
    <x v="14"/>
    <s v="vs Vasilis"/>
    <n v="195"/>
    <n v="0.55600000000000005"/>
    <n v="58"/>
    <n v="0.46"/>
    <n v="0.74399999999999999"/>
    <n v="512"/>
    <n v="41"/>
    <n v="120"/>
    <n v="79"/>
    <n v="25"/>
    <n v="15"/>
    <n v="65"/>
    <n v="1.22"/>
  </r>
  <r>
    <x v="5"/>
    <x v="0"/>
    <x v="3"/>
    <n v="50"/>
    <x v="15"/>
    <s v="Vasilis"/>
    <n v="0"/>
    <n v="6"/>
    <n v="7"/>
    <n v="0"/>
    <x v="21"/>
    <s v="vs Tzokos"/>
    <n v="168"/>
    <n v="0.496"/>
    <n v="35"/>
    <n v="0.34699999999999998"/>
    <n v="0.79800000000000004"/>
    <n v="458"/>
    <n v="60"/>
    <n v="126"/>
    <n v="89"/>
    <n v="24"/>
    <n v="17"/>
    <n v="68"/>
    <n v="1.31"/>
  </r>
  <r>
    <x v="5"/>
    <x v="0"/>
    <x v="4"/>
    <n v="51"/>
    <x v="11"/>
    <s v="pi/Sotiris"/>
    <n v="1"/>
    <n v="7"/>
    <n v="6"/>
    <n v="0"/>
    <x v="23"/>
    <s v="vs Sarantos"/>
    <n v="154"/>
    <n v="0.45400000000000001"/>
    <n v="42"/>
    <n v="0.34100000000000003"/>
    <n v="0.77900000000000003"/>
    <n v="403"/>
    <n v="26"/>
    <n v="127"/>
    <n v="70"/>
    <n v="15"/>
    <n v="18"/>
    <n v="52"/>
    <n v="1.35"/>
  </r>
  <r>
    <x v="5"/>
    <x v="0"/>
    <x v="4"/>
    <n v="51"/>
    <x v="23"/>
    <s v="Sarantos"/>
    <n v="0"/>
    <n v="6"/>
    <n v="7"/>
    <n v="0"/>
    <x v="10"/>
    <s v="vs pi/Sotiris"/>
    <n v="94"/>
    <n v="0.43099999999999999"/>
    <n v="44"/>
    <n v="0.35799999999999998"/>
    <n v="0.78600000000000003"/>
    <n v="265"/>
    <n v="21"/>
    <n v="87"/>
    <n v="54"/>
    <n v="16"/>
    <n v="6"/>
    <n v="27"/>
    <n v="2"/>
  </r>
  <r>
    <x v="5"/>
    <x v="0"/>
    <x v="4"/>
    <n v="52"/>
    <x v="13"/>
    <s v="Kousidis"/>
    <n v="1"/>
    <n v="10"/>
    <n v="3"/>
    <n v="0"/>
    <x v="13"/>
    <s v="vs Stavros"/>
    <n v="168"/>
    <n v="0.38400000000000001"/>
    <n v="52"/>
    <n v="0.317"/>
    <n v="0.77800000000000002"/>
    <n v="511"/>
    <n v="39"/>
    <n v="127"/>
    <n v="127"/>
    <n v="26"/>
    <n v="16"/>
    <n v="69"/>
    <n v="1.84"/>
  </r>
  <r>
    <x v="5"/>
    <x v="0"/>
    <x v="4"/>
    <n v="52"/>
    <x v="12"/>
    <s v="Stavros"/>
    <n v="0"/>
    <n v="3"/>
    <n v="10"/>
    <n v="0"/>
    <x v="12"/>
    <s v="vs Kousidis"/>
    <n v="108"/>
    <n v="0.4"/>
    <n v="32"/>
    <n v="0.252"/>
    <n v="0.83899999999999997"/>
    <n v="295"/>
    <n v="26"/>
    <n v="86"/>
    <n v="84"/>
    <n v="23"/>
    <n v="9"/>
    <n v="50"/>
    <n v="1.68"/>
  </r>
  <r>
    <x v="5"/>
    <x v="0"/>
    <x v="4"/>
    <n v="53"/>
    <x v="1"/>
    <s v="Fanis"/>
    <n v="1"/>
    <n v="9"/>
    <n v="3"/>
    <n v="1"/>
    <x v="25"/>
    <s v="vs Arvanitis"/>
    <n v="160"/>
    <n v="0.47799999999999998"/>
    <n v="61"/>
    <n v="0.45200000000000001"/>
    <n v="0.83499999999999996"/>
    <n v="457"/>
    <n v="27"/>
    <n v="103"/>
    <n v="132"/>
    <n v="30"/>
    <n v="17"/>
    <n v="49"/>
    <n v="2.69"/>
  </r>
  <r>
    <x v="5"/>
    <x v="0"/>
    <x v="4"/>
    <n v="53"/>
    <x v="25"/>
    <s v="Arvanitis"/>
    <n v="0"/>
    <n v="3"/>
    <n v="9"/>
    <n v="1"/>
    <x v="0"/>
    <s v="vs Fanis"/>
    <n v="122"/>
    <n v="0.45500000000000002"/>
    <n v="29"/>
    <n v="0.30499999999999999"/>
    <n v="0.74"/>
    <n v="310"/>
    <n v="45"/>
    <n v="82"/>
    <n v="35"/>
    <n v="31"/>
    <n v="17"/>
    <n v="27"/>
    <n v="1.3"/>
  </r>
  <r>
    <x v="5"/>
    <x v="0"/>
    <x v="4"/>
    <n v="54"/>
    <x v="24"/>
    <s v="Tolios"/>
    <n v="0"/>
    <n v="4"/>
    <n v="9"/>
    <n v="0"/>
    <x v="17"/>
    <s v="vs Aris"/>
    <n v="151"/>
    <n v="0.52600000000000002"/>
    <n v="40"/>
    <n v="0.39200000000000002"/>
    <n v="0.63800000000000001"/>
    <n v="379"/>
    <n v="36"/>
    <n v="113"/>
    <n v="64"/>
    <n v="17"/>
    <n v="11"/>
    <n v="42"/>
    <n v="1.52"/>
  </r>
  <r>
    <x v="5"/>
    <x v="0"/>
    <x v="4"/>
    <n v="54"/>
    <x v="16"/>
    <s v="Aris"/>
    <n v="1"/>
    <n v="9"/>
    <n v="4"/>
    <n v="0"/>
    <x v="24"/>
    <s v="vs Tolios"/>
    <n v="137"/>
    <n v="0.49099999999999999"/>
    <n v="48"/>
    <n v="0.40699999999999997"/>
    <n v="0.85399999999999998"/>
    <n v="398"/>
    <n v="20"/>
    <n v="92"/>
    <n v="90"/>
    <n v="24"/>
    <n v="15"/>
    <n v="34"/>
    <n v="2.65"/>
  </r>
  <r>
    <x v="5"/>
    <x v="0"/>
    <x v="4"/>
    <n v="55"/>
    <x v="7"/>
    <s v="Johnny"/>
    <n v="0"/>
    <n v="3"/>
    <n v="10"/>
    <n v="0"/>
    <x v="19"/>
    <s v="vs Kotakis"/>
    <n v="196"/>
    <n v="0.47499999999999998"/>
    <n v="46"/>
    <n v="0.32400000000000001"/>
    <n v="0.76400000000000001"/>
    <n v="545"/>
    <n v="41"/>
    <n v="119"/>
    <n v="95"/>
    <n v="19"/>
    <n v="16"/>
    <n v="75"/>
    <n v="1.27"/>
  </r>
  <r>
    <x v="5"/>
    <x v="0"/>
    <x v="4"/>
    <n v="55"/>
    <x v="18"/>
    <s v="Kotakis"/>
    <n v="1"/>
    <n v="10"/>
    <n v="3"/>
    <n v="0"/>
    <x v="6"/>
    <s v="vs Johnny"/>
    <n v="168"/>
    <n v="0.51400000000000001"/>
    <n v="49"/>
    <n v="0.41899999999999998"/>
    <n v="0.82799999999999996"/>
    <n v="462"/>
    <n v="35"/>
    <n v="157"/>
    <n v="126"/>
    <n v="24"/>
    <n v="28"/>
    <n v="54"/>
    <n v="2.33"/>
  </r>
  <r>
    <x v="5"/>
    <x v="0"/>
    <x v="4"/>
    <n v="56"/>
    <x v="2"/>
    <s v="Fountos"/>
    <n v="0"/>
    <n v="6"/>
    <n v="7"/>
    <n v="0"/>
    <x v="26"/>
    <s v="vs Lafa"/>
    <n v="159"/>
    <n v="0.43099999999999999"/>
    <n v="54"/>
    <n v="0.36699999999999999"/>
    <n v="0.84599999999999997"/>
    <n v="438"/>
    <n v="21"/>
    <n v="115"/>
    <n v="117"/>
    <n v="25"/>
    <n v="12"/>
    <n v="65"/>
    <n v="1.8"/>
  </r>
  <r>
    <x v="5"/>
    <x v="0"/>
    <x v="4"/>
    <n v="56"/>
    <x v="26"/>
    <s v="Lafa"/>
    <n v="1"/>
    <n v="7"/>
    <n v="6"/>
    <n v="0"/>
    <x v="3"/>
    <s v="vs Fountos"/>
    <n v="155"/>
    <n v="0.48699999999999999"/>
    <n v="25"/>
    <n v="0.316"/>
    <n v="0.74299999999999999"/>
    <n v="468"/>
    <n v="38"/>
    <n v="190"/>
    <n v="126"/>
    <n v="35"/>
    <n v="11"/>
    <n v="66"/>
    <n v="1.91"/>
  </r>
  <r>
    <x v="5"/>
    <x v="0"/>
    <x v="4"/>
    <n v="57"/>
    <x v="3"/>
    <s v="Sakellariou"/>
    <n v="0"/>
    <n v="5"/>
    <n v="8"/>
    <n v="0"/>
    <x v="7"/>
    <s v="vs Tassos"/>
    <n v="144"/>
    <n v="0.439"/>
    <n v="50"/>
    <n v="0.37"/>
    <n v="0.78300000000000003"/>
    <n v="392"/>
    <n v="30"/>
    <n v="99"/>
    <n v="91"/>
    <n v="15"/>
    <n v="25"/>
    <n v="46"/>
    <n v="1.98"/>
  </r>
  <r>
    <x v="5"/>
    <x v="0"/>
    <x v="4"/>
    <n v="57"/>
    <x v="6"/>
    <s v="Tassos"/>
    <n v="1"/>
    <n v="8"/>
    <n v="5"/>
    <n v="0"/>
    <x v="2"/>
    <s v="vs Sakellariou"/>
    <n v="185"/>
    <n v="0.501"/>
    <n v="49"/>
    <n v="0.36799999999999999"/>
    <n v="0.84799999999999998"/>
    <n v="503"/>
    <n v="32"/>
    <n v="131"/>
    <n v="123"/>
    <n v="27"/>
    <n v="18"/>
    <n v="63"/>
    <n v="1.95"/>
  </r>
  <r>
    <x v="5"/>
    <x v="0"/>
    <x v="4"/>
    <n v="58"/>
    <x v="20"/>
    <s v="Guru"/>
    <n v="1"/>
    <n v="11"/>
    <n v="2"/>
    <n v="0"/>
    <x v="21"/>
    <s v="vs Tzokos"/>
    <n v="188"/>
    <n v="0.46200000000000002"/>
    <n v="66"/>
    <n v="0.35299999999999998"/>
    <n v="0.86699999999999999"/>
    <n v="540"/>
    <n v="35"/>
    <n v="135"/>
    <n v="125"/>
    <n v="26"/>
    <n v="23"/>
    <n v="65"/>
    <n v="1.92"/>
  </r>
  <r>
    <x v="5"/>
    <x v="0"/>
    <x v="4"/>
    <n v="58"/>
    <x v="21"/>
    <s v="Tzokos"/>
    <n v="0"/>
    <n v="2"/>
    <n v="11"/>
    <n v="0"/>
    <x v="20"/>
    <s v="vs Guru"/>
    <n v="133"/>
    <n v="0.44800000000000001"/>
    <n v="31"/>
    <n v="0.30399999999999999"/>
    <n v="0.81100000000000005"/>
    <n v="383"/>
    <n v="38"/>
    <n v="97"/>
    <n v="90"/>
    <n v="24"/>
    <n v="11"/>
    <n v="47"/>
    <n v="1.91"/>
  </r>
  <r>
    <x v="5"/>
    <x v="0"/>
    <x v="4"/>
    <n v="59"/>
    <x v="5"/>
    <s v="Markos"/>
    <n v="0"/>
    <n v="5"/>
    <n v="8"/>
    <n v="0"/>
    <x v="8"/>
    <s v="vs Ziogas/Christof"/>
    <n v="130"/>
    <n v="0.40799999999999997"/>
    <n v="30"/>
    <n v="0.25900000000000001"/>
    <n v="0.86699999999999999"/>
    <n v="362"/>
    <n v="28"/>
    <n v="98"/>
    <n v="82"/>
    <n v="18"/>
    <n v="8"/>
    <n v="39"/>
    <n v="2.1"/>
  </r>
  <r>
    <x v="5"/>
    <x v="0"/>
    <x v="4"/>
    <n v="59"/>
    <x v="9"/>
    <s v="Ziogas/Christof"/>
    <n v="1"/>
    <n v="8"/>
    <n v="5"/>
    <n v="0"/>
    <x v="4"/>
    <s v="vs Markos"/>
    <n v="127"/>
    <n v="0.46700000000000003"/>
    <n v="50"/>
    <n v="0.379"/>
    <n v="0.76300000000000001"/>
    <n v="349"/>
    <n v="31"/>
    <n v="113"/>
    <n v="101"/>
    <n v="21"/>
    <n v="16"/>
    <n v="49"/>
    <n v="2.06"/>
  </r>
  <r>
    <x v="5"/>
    <x v="0"/>
    <x v="4"/>
    <n v="60"/>
    <x v="15"/>
    <s v="Vasilis"/>
    <n v="0"/>
    <n v="1"/>
    <n v="12"/>
    <n v="0"/>
    <x v="16"/>
    <s v="vs Spiridaus/Oladipas"/>
    <n v="131"/>
    <n v="0.441"/>
    <n v="40"/>
    <n v="0.36699999999999999"/>
    <n v="0.79700000000000004"/>
    <n v="357"/>
    <n v="25"/>
    <n v="104"/>
    <n v="85"/>
    <n v="26"/>
    <n v="16"/>
    <n v="62"/>
    <n v="1.37"/>
  </r>
  <r>
    <x v="5"/>
    <x v="0"/>
    <x v="4"/>
    <n v="60"/>
    <x v="17"/>
    <s v="Spiridaus/Oladipas"/>
    <n v="1"/>
    <n v="12"/>
    <n v="1"/>
    <n v="0"/>
    <x v="14"/>
    <s v="vs Vasilis"/>
    <n v="189"/>
    <n v="0.54300000000000004"/>
    <n v="42"/>
    <n v="0.38200000000000001"/>
    <n v="0.8"/>
    <n v="488"/>
    <n v="65"/>
    <n v="137"/>
    <n v="116"/>
    <n v="27"/>
    <n v="22"/>
    <n v="69"/>
    <n v="1.68"/>
  </r>
  <r>
    <x v="5"/>
    <x v="0"/>
    <x v="5"/>
    <n v="61"/>
    <x v="26"/>
    <s v="Lafa"/>
    <n v="1"/>
    <n v="8"/>
    <n v="5"/>
    <n v="0"/>
    <x v="23"/>
    <s v="vs Sarantos"/>
    <n v="208"/>
    <n v="0.57299999999999995"/>
    <n v="35"/>
    <n v="0.438"/>
    <n v="0.70799999999999996"/>
    <n v="560"/>
    <n v="54"/>
    <n v="173"/>
    <n v="120"/>
    <n v="23"/>
    <n v="21"/>
    <n v="82"/>
    <n v="1.46"/>
  </r>
  <r>
    <x v="5"/>
    <x v="0"/>
    <x v="5"/>
    <n v="61"/>
    <x v="23"/>
    <s v="Sarantos"/>
    <n v="0"/>
    <n v="5"/>
    <n v="8"/>
    <n v="0"/>
    <x v="26"/>
    <s v="vs Lafa"/>
    <n v="127"/>
    <n v="0.502"/>
    <n v="53"/>
    <n v="0.43099999999999999"/>
    <n v="0.81699999999999995"/>
    <n v="365"/>
    <n v="35"/>
    <n v="122"/>
    <n v="60"/>
    <n v="26"/>
    <n v="24"/>
    <n v="43"/>
    <n v="1.4"/>
  </r>
  <r>
    <x v="5"/>
    <x v="0"/>
    <x v="5"/>
    <n v="62"/>
    <x v="25"/>
    <s v="Arvanitis"/>
    <n v="0"/>
    <n v="2"/>
    <n v="11"/>
    <n v="0"/>
    <x v="24"/>
    <s v="vs Tolios"/>
    <n v="86"/>
    <n v="0.45"/>
    <n v="19"/>
    <n v="0.29199999999999998"/>
    <n v="0.78300000000000003"/>
    <n v="227"/>
    <n v="37"/>
    <n v="75"/>
    <n v="50"/>
    <n v="15"/>
    <n v="20"/>
    <n v="27"/>
    <n v="1.85"/>
  </r>
  <r>
    <x v="5"/>
    <x v="0"/>
    <x v="5"/>
    <n v="62"/>
    <x v="24"/>
    <s v="Tolios"/>
    <n v="1"/>
    <n v="11"/>
    <n v="2"/>
    <n v="0"/>
    <x v="25"/>
    <s v="vs Arvanitis"/>
    <n v="151"/>
    <n v="0.503"/>
    <n v="34"/>
    <n v="0.36199999999999999"/>
    <n v="0.80600000000000005"/>
    <n v="390"/>
    <n v="41"/>
    <n v="113"/>
    <n v="76"/>
    <n v="37"/>
    <n v="27"/>
    <n v="42"/>
    <n v="1.81"/>
  </r>
  <r>
    <x v="5"/>
    <x v="0"/>
    <x v="5"/>
    <n v="63"/>
    <x v="9"/>
    <s v="Ziogas/Christof"/>
    <n v="0"/>
    <n v="5"/>
    <n v="8"/>
    <n v="0"/>
    <x v="2"/>
    <s v="vs Sakellariou"/>
    <n v="138"/>
    <n v="0.43099999999999999"/>
    <n v="53"/>
    <n v="0.35099999999999998"/>
    <n v="0.86799999999999999"/>
    <n v="375"/>
    <n v="31"/>
    <n v="122"/>
    <n v="110"/>
    <n v="25"/>
    <n v="9"/>
    <n v="59"/>
    <n v="1.86"/>
  </r>
  <r>
    <x v="5"/>
    <x v="0"/>
    <x v="5"/>
    <n v="63"/>
    <x v="3"/>
    <s v="Sakellariou"/>
    <n v="1"/>
    <n v="8"/>
    <n v="5"/>
    <n v="0"/>
    <x v="8"/>
    <s v="vs Ziogas/Christof"/>
    <n v="178"/>
    <n v="0.51"/>
    <n v="54"/>
    <n v="0.435"/>
    <n v="0.85199999999999998"/>
    <n v="514"/>
    <n v="33"/>
    <n v="141"/>
    <n v="94"/>
    <n v="23"/>
    <n v="21"/>
    <n v="69"/>
    <n v="1.36"/>
  </r>
  <r>
    <x v="5"/>
    <x v="0"/>
    <x v="5"/>
    <n v="64"/>
    <x v="12"/>
    <s v="Stavros"/>
    <n v="0"/>
    <n v="2"/>
    <n v="11"/>
    <n v="0"/>
    <x v="10"/>
    <s v="vs pi/Sotiris"/>
    <n v="108"/>
    <n v="0.47799999999999998"/>
    <n v="39"/>
    <n v="0.379"/>
    <n v="0.70599999999999996"/>
    <n v="291"/>
    <n v="34"/>
    <n v="68"/>
    <n v="48"/>
    <n v="21"/>
    <n v="11"/>
    <n v="28"/>
    <n v="1.71"/>
  </r>
  <r>
    <x v="5"/>
    <x v="0"/>
    <x v="5"/>
    <n v="64"/>
    <x v="11"/>
    <s v="pi/Sotiris"/>
    <n v="1"/>
    <n v="11"/>
    <n v="2"/>
    <n v="0"/>
    <x v="13"/>
    <s v="vs Stavros"/>
    <n v="206"/>
    <n v="0.47899999999999998"/>
    <n v="54"/>
    <n v="0.38"/>
    <n v="0.75600000000000001"/>
    <n v="565"/>
    <n v="42"/>
    <n v="154"/>
    <n v="111"/>
    <n v="29"/>
    <n v="21"/>
    <n v="83"/>
    <n v="1.34"/>
  </r>
  <r>
    <x v="5"/>
    <x v="0"/>
    <x v="5"/>
    <n v="65"/>
    <x v="17"/>
    <s v="Spiridaus/Oladipas"/>
    <n v="0"/>
    <n v="5"/>
    <n v="8"/>
    <n v="0"/>
    <x v="20"/>
    <s v="vs Guru"/>
    <n v="185"/>
    <n v="0.51700000000000002"/>
    <n v="42"/>
    <n v="0.372"/>
    <n v="0.80200000000000005"/>
    <n v="481"/>
    <n v="56"/>
    <n v="164"/>
    <n v="123"/>
    <n v="29"/>
    <n v="12"/>
    <n v="62"/>
    <n v="1.98"/>
  </r>
  <r>
    <x v="5"/>
    <x v="0"/>
    <x v="5"/>
    <n v="65"/>
    <x v="20"/>
    <s v="Guru"/>
    <n v="1"/>
    <n v="8"/>
    <n v="5"/>
    <n v="0"/>
    <x v="16"/>
    <s v="vs Spiridaus/Oladipas"/>
    <n v="197"/>
    <n v="0.45100000000000001"/>
    <n v="79"/>
    <n v="0.38700000000000001"/>
    <n v="0.78400000000000003"/>
    <n v="560"/>
    <n v="27"/>
    <n v="147"/>
    <n v="147"/>
    <n v="35"/>
    <n v="25"/>
    <n v="64"/>
    <n v="2.2999999999999998"/>
  </r>
  <r>
    <x v="5"/>
    <x v="0"/>
    <x v="5"/>
    <n v="66"/>
    <x v="16"/>
    <s v="Aris"/>
    <n v="1"/>
    <n v="7"/>
    <n v="6"/>
    <n v="0"/>
    <x v="12"/>
    <s v="vs Kousidis"/>
    <n v="171"/>
    <n v="0.434"/>
    <n v="56"/>
    <n v="0.33700000000000002"/>
    <n v="0.77300000000000002"/>
    <n v="466"/>
    <n v="13"/>
    <n v="101"/>
    <n v="105"/>
    <n v="29"/>
    <n v="15"/>
    <n v="60"/>
    <n v="1.75"/>
  </r>
  <r>
    <x v="5"/>
    <x v="0"/>
    <x v="5"/>
    <n v="66"/>
    <x v="13"/>
    <s v="Kousidis"/>
    <n v="0"/>
    <n v="6"/>
    <n v="7"/>
    <n v="0"/>
    <x v="17"/>
    <s v="vs Aris"/>
    <n v="178"/>
    <n v="0.48099999999999998"/>
    <n v="37"/>
    <n v="0.30599999999999999"/>
    <n v="0.76300000000000001"/>
    <n v="480"/>
    <n v="51"/>
    <n v="121"/>
    <n v="95"/>
    <n v="24"/>
    <n v="13"/>
    <n v="58"/>
    <n v="1.64"/>
  </r>
  <r>
    <x v="5"/>
    <x v="0"/>
    <x v="5"/>
    <n v="67"/>
    <x v="18"/>
    <s v="Kotakis"/>
    <n v="1"/>
    <n v="8"/>
    <n v="5"/>
    <n v="0"/>
    <x v="3"/>
    <s v="vs Fountos"/>
    <n v="149"/>
    <n v="0.50900000000000001"/>
    <n v="41"/>
    <n v="0.38700000000000001"/>
    <n v="0.75900000000000001"/>
    <n v="380"/>
    <n v="33"/>
    <n v="136"/>
    <n v="125"/>
    <n v="20"/>
    <n v="24"/>
    <n v="41"/>
    <n v="3.05"/>
  </r>
  <r>
    <x v="5"/>
    <x v="0"/>
    <x v="5"/>
    <n v="67"/>
    <x v="2"/>
    <s v="Fountos"/>
    <n v="0"/>
    <n v="5"/>
    <n v="8"/>
    <n v="0"/>
    <x v="19"/>
    <s v="vs Kotakis"/>
    <n v="170"/>
    <n v="0.47499999999999998"/>
    <n v="51"/>
    <n v="0.34499999999999997"/>
    <n v="0.89400000000000002"/>
    <n v="467"/>
    <n v="20"/>
    <n v="87"/>
    <n v="90"/>
    <n v="28"/>
    <n v="6"/>
    <n v="49"/>
    <n v="1.84"/>
  </r>
  <r>
    <x v="5"/>
    <x v="0"/>
    <x v="5"/>
    <n v="68"/>
    <x v="5"/>
    <s v="Markos"/>
    <n v="0"/>
    <n v="6"/>
    <n v="7"/>
    <n v="0"/>
    <x v="14"/>
    <s v="vs Vasilis"/>
    <n v="174"/>
    <n v="0.45900000000000002"/>
    <n v="33"/>
    <n v="0.25600000000000001"/>
    <n v="0.78400000000000003"/>
    <n v="472"/>
    <n v="23"/>
    <n v="118"/>
    <n v="113"/>
    <n v="19"/>
    <n v="9"/>
    <n v="53"/>
    <n v="2.13"/>
  </r>
  <r>
    <x v="5"/>
    <x v="0"/>
    <x v="5"/>
    <n v="68"/>
    <x v="15"/>
    <s v="Vasilis"/>
    <n v="1"/>
    <n v="7"/>
    <n v="6"/>
    <n v="0"/>
    <x v="4"/>
    <s v="vs Markos"/>
    <n v="173"/>
    <n v="0.48699999999999999"/>
    <n v="40"/>
    <n v="0.29899999999999999"/>
    <n v="0.81"/>
    <n v="450"/>
    <n v="29"/>
    <n v="96"/>
    <n v="90"/>
    <n v="38"/>
    <n v="15"/>
    <n v="62"/>
    <n v="1.45"/>
  </r>
  <r>
    <x v="5"/>
    <x v="0"/>
    <x v="5"/>
    <n v="69"/>
    <x v="6"/>
    <s v="Tassos"/>
    <n v="1"/>
    <n v="10"/>
    <n v="3"/>
    <n v="0"/>
    <x v="0"/>
    <s v="vs Fanis"/>
    <n v="266"/>
    <n v="0.495"/>
    <n v="62"/>
    <n v="0.315"/>
    <n v="0.89200000000000002"/>
    <n v="734"/>
    <n v="34"/>
    <n v="176"/>
    <n v="192"/>
    <n v="37"/>
    <n v="31"/>
    <n v="78"/>
    <n v="2.46"/>
  </r>
  <r>
    <x v="5"/>
    <x v="0"/>
    <x v="5"/>
    <n v="69"/>
    <x v="1"/>
    <s v="Fanis"/>
    <n v="0"/>
    <n v="3"/>
    <n v="10"/>
    <n v="0"/>
    <x v="7"/>
    <s v="vs Tassos"/>
    <n v="119"/>
    <n v="0.46100000000000002"/>
    <n v="43"/>
    <n v="0.35199999999999998"/>
    <n v="0.875"/>
    <n v="351"/>
    <n v="17"/>
    <n v="62"/>
    <n v="104"/>
    <n v="29"/>
    <n v="9"/>
    <n v="38"/>
    <n v="2.74"/>
  </r>
  <r>
    <x v="5"/>
    <x v="0"/>
    <x v="5"/>
    <n v="70"/>
    <x v="21"/>
    <s v="Tzokos"/>
    <n v="1"/>
    <n v="10"/>
    <n v="3"/>
    <n v="0"/>
    <x v="6"/>
    <s v="vs Johnny"/>
    <n v="155"/>
    <n v="0.46400000000000002"/>
    <n v="47"/>
    <n v="0.40500000000000003"/>
    <n v="0.83799999999999997"/>
    <n v="450"/>
    <n v="56"/>
    <n v="145"/>
    <n v="73"/>
    <n v="27"/>
    <n v="19"/>
    <n v="64"/>
    <n v="1.1399999999999999"/>
  </r>
  <r>
    <x v="5"/>
    <x v="0"/>
    <x v="5"/>
    <n v="70"/>
    <x v="7"/>
    <s v="Johnny"/>
    <n v="0"/>
    <n v="3"/>
    <n v="10"/>
    <n v="0"/>
    <x v="21"/>
    <s v="vs Tzokos"/>
    <n v="140"/>
    <n v="0.46100000000000002"/>
    <n v="31"/>
    <n v="0.31"/>
    <n v="0.82699999999999996"/>
    <n v="373"/>
    <n v="39"/>
    <n v="81"/>
    <n v="82"/>
    <n v="21"/>
    <n v="15"/>
    <n v="53"/>
    <n v="1.55"/>
  </r>
  <r>
    <x v="5"/>
    <x v="0"/>
    <x v="6"/>
    <n v="71"/>
    <x v="26"/>
    <s v="Lafa"/>
    <n v="1"/>
    <n v="11"/>
    <n v="2"/>
    <n v="0"/>
    <x v="13"/>
    <s v="vs Stavros"/>
    <n v="203"/>
    <n v="0.57199999999999995"/>
    <n v="33"/>
    <n v="0.38800000000000001"/>
    <n v="0.75800000000000001"/>
    <n v="552"/>
    <n v="47"/>
    <n v="163"/>
    <n v="107"/>
    <n v="30"/>
    <n v="25"/>
    <n v="60"/>
    <n v="1.78"/>
  </r>
  <r>
    <x v="5"/>
    <x v="0"/>
    <x v="6"/>
    <n v="71"/>
    <x v="12"/>
    <s v="Stavros"/>
    <n v="0"/>
    <n v="2"/>
    <n v="11"/>
    <n v="0"/>
    <x v="26"/>
    <s v="vs Lafa"/>
    <n v="109"/>
    <n v="0.59599999999999997"/>
    <n v="25"/>
    <n v="0.36799999999999999"/>
    <n v="0.61499999999999999"/>
    <n v="267"/>
    <n v="26"/>
    <n v="83"/>
    <n v="34"/>
    <n v="21"/>
    <n v="3"/>
    <n v="27"/>
    <n v="1.26"/>
  </r>
  <r>
    <x v="5"/>
    <x v="0"/>
    <x v="6"/>
    <n v="72"/>
    <x v="11"/>
    <s v="pi/Sotiris"/>
    <n v="1"/>
    <n v="8"/>
    <n v="5"/>
    <n v="0"/>
    <x v="17"/>
    <s v="vs Aris"/>
    <n v="225"/>
    <n v="0.51700000000000002"/>
    <n v="48"/>
    <n v="0.378"/>
    <n v="0.70299999999999996"/>
    <n v="602"/>
    <n v="53"/>
    <n v="181"/>
    <n v="141"/>
    <n v="35"/>
    <n v="22"/>
    <n v="71"/>
    <n v="1.99"/>
  </r>
  <r>
    <x v="5"/>
    <x v="0"/>
    <x v="6"/>
    <n v="72"/>
    <x v="16"/>
    <s v="Aris"/>
    <n v="0"/>
    <n v="5"/>
    <n v="8"/>
    <n v="0"/>
    <x v="10"/>
    <s v="vs pi/Sotiris"/>
    <n v="204"/>
    <n v="0.48799999999999999"/>
    <n v="76"/>
    <n v="0.439"/>
    <n v="0.78900000000000003"/>
    <n v="559"/>
    <n v="21"/>
    <n v="114"/>
    <n v="128"/>
    <n v="18"/>
    <n v="16"/>
    <n v="56"/>
    <n v="2.29"/>
  </r>
  <r>
    <x v="5"/>
    <x v="0"/>
    <x v="6"/>
    <n v="73"/>
    <x v="13"/>
    <s v="Kousidis"/>
    <n v="1"/>
    <n v="10"/>
    <n v="3"/>
    <n v="0"/>
    <x v="25"/>
    <s v="vs Arvanitis"/>
    <n v="185"/>
    <n v="0.41699999999999998"/>
    <n v="54"/>
    <n v="0.32700000000000001"/>
    <n v="0.77400000000000002"/>
    <n v="537"/>
    <n v="55"/>
    <n v="141"/>
    <n v="139"/>
    <n v="31"/>
    <n v="15"/>
    <n v="77"/>
    <n v="1.81"/>
  </r>
  <r>
    <x v="5"/>
    <x v="0"/>
    <x v="6"/>
    <n v="73"/>
    <x v="25"/>
    <s v="Arvanitis"/>
    <n v="0"/>
    <n v="3"/>
    <n v="10"/>
    <n v="0"/>
    <x v="12"/>
    <s v="vs Kousidis"/>
    <n v="107"/>
    <n v="0.42499999999999999"/>
    <n v="16"/>
    <n v="0.21099999999999999"/>
    <n v="0.73399999999999999"/>
    <n v="288"/>
    <n v="46"/>
    <n v="102"/>
    <n v="45"/>
    <n v="29"/>
    <n v="19"/>
    <n v="38"/>
    <n v="1.18"/>
  </r>
  <r>
    <x v="5"/>
    <x v="0"/>
    <x v="6"/>
    <n v="74"/>
    <x v="1"/>
    <s v="Fanis"/>
    <n v="0"/>
    <n v="3"/>
    <n v="10"/>
    <n v="0"/>
    <x v="2"/>
    <s v="vs Sakellariou"/>
    <n v="120"/>
    <n v="0.46"/>
    <n v="30"/>
    <n v="0.313"/>
    <n v="0.871"/>
    <n v="331"/>
    <n v="29"/>
    <n v="82"/>
    <n v="105"/>
    <n v="16"/>
    <n v="14"/>
    <n v="39"/>
    <n v="2.69"/>
  </r>
  <r>
    <x v="5"/>
    <x v="0"/>
    <x v="6"/>
    <n v="74"/>
    <x v="3"/>
    <s v="Sakellariou"/>
    <n v="1"/>
    <n v="10"/>
    <n v="3"/>
    <n v="0"/>
    <x v="0"/>
    <s v="vs Fanis"/>
    <n v="228"/>
    <n v="0.47699999999999998"/>
    <n v="74"/>
    <n v="0.39600000000000002"/>
    <n v="0.81299999999999994"/>
    <n v="630"/>
    <n v="43"/>
    <n v="147"/>
    <n v="132"/>
    <n v="41"/>
    <n v="15"/>
    <n v="68"/>
    <n v="1.94"/>
  </r>
  <r>
    <x v="5"/>
    <x v="0"/>
    <x v="6"/>
    <n v="75"/>
    <x v="24"/>
    <s v="Tolios"/>
    <n v="0"/>
    <n v="3"/>
    <n v="9"/>
    <n v="1"/>
    <x v="7"/>
    <s v="vs Tassos"/>
    <n v="117"/>
    <n v="0.52700000000000002"/>
    <n v="36"/>
    <n v="0.439"/>
    <n v="0.65500000000000003"/>
    <n v="306"/>
    <n v="38"/>
    <n v="96"/>
    <n v="32"/>
    <n v="23"/>
    <n v="13"/>
    <n v="29"/>
    <n v="1.1000000000000001"/>
  </r>
  <r>
    <x v="5"/>
    <x v="0"/>
    <x v="6"/>
    <n v="75"/>
    <x v="6"/>
    <s v="Tassos"/>
    <n v="1"/>
    <n v="9"/>
    <n v="3"/>
    <n v="1"/>
    <x v="24"/>
    <s v="vs Tolios"/>
    <n v="176"/>
    <n v="0.46600000000000003"/>
    <n v="41"/>
    <n v="0.33100000000000002"/>
    <n v="0.81699999999999995"/>
    <n v="487"/>
    <n v="40"/>
    <n v="122"/>
    <n v="111"/>
    <n v="23"/>
    <n v="21"/>
    <n v="63"/>
    <n v="1.76"/>
  </r>
  <r>
    <x v="5"/>
    <x v="0"/>
    <x v="6"/>
    <n v="76"/>
    <x v="7"/>
    <s v="Johnny"/>
    <n v="0"/>
    <n v="4"/>
    <n v="9"/>
    <n v="0"/>
    <x v="16"/>
    <s v="vs Spiridaus/Oladipas"/>
    <n v="168"/>
    <n v="0.49"/>
    <n v="49"/>
    <n v="0.41199999999999998"/>
    <n v="0.72199999999999998"/>
    <n v="442"/>
    <n v="41"/>
    <n v="121"/>
    <n v="91"/>
    <n v="36"/>
    <n v="16"/>
    <n v="64"/>
    <n v="1.42"/>
  </r>
  <r>
    <x v="5"/>
    <x v="0"/>
    <x v="6"/>
    <n v="76"/>
    <x v="17"/>
    <s v="Spiridaus/Oladipas"/>
    <n v="1"/>
    <n v="9"/>
    <n v="4"/>
    <n v="0"/>
    <x v="6"/>
    <s v="vs Johnny"/>
    <n v="235"/>
    <n v="0.56899999999999995"/>
    <n v="54"/>
    <n v="0.44600000000000001"/>
    <n v="0.85399999999999998"/>
    <n v="629"/>
    <n v="40"/>
    <n v="139"/>
    <n v="134"/>
    <n v="33"/>
    <n v="7"/>
    <n v="66"/>
    <n v="2.0299999999999998"/>
  </r>
  <r>
    <x v="5"/>
    <x v="0"/>
    <x v="6"/>
    <n v="77"/>
    <x v="2"/>
    <s v="Fountos"/>
    <n v="1"/>
    <n v="8"/>
    <n v="4"/>
    <n v="1"/>
    <x v="21"/>
    <s v="vs Tzokos"/>
    <n v="178"/>
    <n v="0.5"/>
    <n v="46"/>
    <n v="0.35399999999999998"/>
    <n v="0.77100000000000002"/>
    <n v="466"/>
    <n v="35"/>
    <n v="91"/>
    <n v="92"/>
    <n v="20"/>
    <n v="14"/>
    <n v="66"/>
    <n v="1.39"/>
  </r>
  <r>
    <x v="5"/>
    <x v="0"/>
    <x v="6"/>
    <n v="77"/>
    <x v="21"/>
    <s v="Tzokos"/>
    <n v="0"/>
    <n v="4"/>
    <n v="8"/>
    <n v="1"/>
    <x v="3"/>
    <s v="vs Fountos"/>
    <n v="149"/>
    <n v="0.47199999999999998"/>
    <n v="31"/>
    <n v="0.26700000000000002"/>
    <n v="0.71799999999999997"/>
    <n v="385"/>
    <n v="35"/>
    <n v="108"/>
    <n v="75"/>
    <n v="18"/>
    <n v="15"/>
    <n v="53"/>
    <n v="1.42"/>
  </r>
  <r>
    <x v="5"/>
    <x v="0"/>
    <x v="6"/>
    <n v="78"/>
    <x v="23"/>
    <s v="Sarantos"/>
    <n v="0"/>
    <n v="3"/>
    <n v="10"/>
    <n v="0"/>
    <x v="19"/>
    <s v="vs Kotakis"/>
    <n v="121"/>
    <n v="0.48599999999999999"/>
    <n v="31"/>
    <n v="0.32300000000000001"/>
    <n v="0.72399999999999998"/>
    <n v="315"/>
    <n v="30"/>
    <n v="101"/>
    <n v="63"/>
    <n v="33"/>
    <n v="18"/>
    <n v="37"/>
    <n v="1.7"/>
  </r>
  <r>
    <x v="5"/>
    <x v="0"/>
    <x v="6"/>
    <n v="78"/>
    <x v="18"/>
    <s v="Kotakis"/>
    <n v="1"/>
    <n v="10"/>
    <n v="3"/>
    <n v="0"/>
    <x v="23"/>
    <s v="vs Sarantos"/>
    <n v="173"/>
    <n v="0.46400000000000002"/>
    <n v="65"/>
    <n v="0.38200000000000001"/>
    <n v="0.89"/>
    <n v="476"/>
    <n v="35"/>
    <n v="169"/>
    <n v="132"/>
    <n v="31"/>
    <n v="30"/>
    <n v="65"/>
    <n v="2.0299999999999998"/>
  </r>
  <r>
    <x v="5"/>
    <x v="0"/>
    <x v="6"/>
    <n v="79"/>
    <x v="20"/>
    <s v="Guru"/>
    <n v="1"/>
    <n v="7"/>
    <n v="6"/>
    <n v="0"/>
    <x v="4"/>
    <s v="vs Markos"/>
    <n v="160"/>
    <n v="0.442"/>
    <n v="41"/>
    <n v="0.27200000000000002"/>
    <n v="0.82099999999999995"/>
    <n v="430"/>
    <n v="24"/>
    <n v="128"/>
    <n v="114"/>
    <n v="24"/>
    <n v="19"/>
    <n v="61"/>
    <n v="1.87"/>
  </r>
  <r>
    <x v="5"/>
    <x v="0"/>
    <x v="6"/>
    <n v="79"/>
    <x v="5"/>
    <s v="Markos"/>
    <n v="0"/>
    <n v="6"/>
    <n v="7"/>
    <n v="0"/>
    <x v="20"/>
    <s v="vs Guru"/>
    <n v="177"/>
    <n v="0.433"/>
    <n v="64"/>
    <n v="0.41799999999999998"/>
    <n v="0.81100000000000005"/>
    <n v="504"/>
    <n v="37"/>
    <n v="116"/>
    <n v="94"/>
    <n v="18"/>
    <n v="23"/>
    <n v="62"/>
    <n v="1.52"/>
  </r>
  <r>
    <x v="5"/>
    <x v="0"/>
    <x v="6"/>
    <n v="80"/>
    <x v="15"/>
    <s v="Vasilis"/>
    <n v="1"/>
    <n v="8"/>
    <n v="5"/>
    <n v="0"/>
    <x v="8"/>
    <s v="vs Ziogas/Christof"/>
    <n v="199"/>
    <n v="0.53500000000000003"/>
    <n v="46"/>
    <n v="0.38300000000000001"/>
    <n v="0.77800000000000002"/>
    <n v="535"/>
    <n v="51"/>
    <n v="134"/>
    <n v="115"/>
    <n v="30"/>
    <n v="19"/>
    <n v="76"/>
    <n v="1.51"/>
  </r>
  <r>
    <x v="5"/>
    <x v="0"/>
    <x v="6"/>
    <n v="80"/>
    <x v="9"/>
    <s v="Ziogas/Christof"/>
    <n v="0"/>
    <n v="5"/>
    <n v="8"/>
    <n v="0"/>
    <x v="14"/>
    <s v="vs Vasilis"/>
    <n v="146"/>
    <n v="0.45600000000000002"/>
    <n v="63"/>
    <n v="0.375"/>
    <n v="0.84599999999999997"/>
    <n v="399"/>
    <n v="31"/>
    <n v="129"/>
    <n v="103"/>
    <n v="32"/>
    <n v="9"/>
    <n v="48"/>
    <n v="2.15"/>
  </r>
  <r>
    <x v="5"/>
    <x v="0"/>
    <x v="7"/>
    <n v="81"/>
    <x v="25"/>
    <s v="Arvanitis"/>
    <n v="0"/>
    <n v="6"/>
    <n v="7"/>
    <n v="0"/>
    <x v="10"/>
    <s v="vs pi/Sotiris"/>
    <n v="148"/>
    <n v="0.48199999999999998"/>
    <n v="49"/>
    <n v="0.39200000000000002"/>
    <n v="0.7"/>
    <n v="380"/>
    <n v="53"/>
    <n v="135"/>
    <n v="66"/>
    <n v="33"/>
    <n v="23"/>
    <n v="41"/>
    <n v="1.61"/>
  </r>
  <r>
    <x v="5"/>
    <x v="0"/>
    <x v="7"/>
    <n v="81"/>
    <x v="11"/>
    <s v="pi/Sotiris"/>
    <n v="1"/>
    <n v="7"/>
    <n v="6"/>
    <n v="0"/>
    <x v="25"/>
    <s v="vs Arvanitis"/>
    <n v="192"/>
    <n v="0.49199999999999999"/>
    <n v="45"/>
    <n v="0.36899999999999999"/>
    <n v="0.83199999999999996"/>
    <n v="533"/>
    <n v="38"/>
    <n v="183"/>
    <n v="118"/>
    <n v="31"/>
    <n v="25"/>
    <n v="78"/>
    <n v="1.51"/>
  </r>
  <r>
    <x v="5"/>
    <x v="0"/>
    <x v="7"/>
    <n v="82"/>
    <x v="9"/>
    <s v="Ziogas/Christof"/>
    <n v="0"/>
    <n v="4"/>
    <n v="9"/>
    <n v="0"/>
    <x v="0"/>
    <s v="vs Fanis"/>
    <n v="94"/>
    <n v="0.41799999999999998"/>
    <n v="38"/>
    <n v="0.34899999999999998"/>
    <n v="0.81399999999999995"/>
    <n v="261"/>
    <n v="22"/>
    <n v="85"/>
    <n v="88"/>
    <n v="17"/>
    <n v="5"/>
    <n v="35"/>
    <n v="2.5099999999999998"/>
  </r>
  <r>
    <x v="5"/>
    <x v="0"/>
    <x v="7"/>
    <n v="82"/>
    <x v="1"/>
    <s v="Fanis"/>
    <n v="1"/>
    <n v="9"/>
    <n v="4"/>
    <n v="0"/>
    <x v="8"/>
    <s v="vs Ziogas/Christof"/>
    <n v="147"/>
    <n v="0.47099999999999997"/>
    <n v="32"/>
    <n v="0.29399999999999998"/>
    <n v="0.84499999999999997"/>
    <n v="419"/>
    <n v="26"/>
    <n v="108"/>
    <n v="112"/>
    <n v="34"/>
    <n v="14"/>
    <n v="51"/>
    <n v="2.2000000000000002"/>
  </r>
  <r>
    <x v="5"/>
    <x v="0"/>
    <x v="7"/>
    <n v="83"/>
    <x v="17"/>
    <s v="Spiridaus/Oladipas"/>
    <n v="1"/>
    <n v="9"/>
    <n v="3"/>
    <n v="1"/>
    <x v="3"/>
    <s v="vs Fountos"/>
    <n v="173"/>
    <n v="0.5"/>
    <n v="29"/>
    <n v="0.309"/>
    <n v="0.75600000000000001"/>
    <n v="437"/>
    <n v="45"/>
    <n v="120"/>
    <n v="89"/>
    <n v="19"/>
    <n v="12"/>
    <n v="56"/>
    <n v="1.59"/>
  </r>
  <r>
    <x v="5"/>
    <x v="0"/>
    <x v="7"/>
    <n v="83"/>
    <x v="2"/>
    <s v="Fountos"/>
    <n v="0"/>
    <n v="3"/>
    <n v="9"/>
    <n v="1"/>
    <x v="16"/>
    <s v="vs Spiridaus/Oladipas"/>
    <n v="139"/>
    <n v="0.498"/>
    <n v="63"/>
    <n v="0.438"/>
    <n v="0.74099999999999999"/>
    <n v="381"/>
    <n v="30"/>
    <n v="95"/>
    <n v="48"/>
    <n v="19"/>
    <n v="11"/>
    <n v="37"/>
    <n v="1.3"/>
  </r>
  <r>
    <x v="5"/>
    <x v="0"/>
    <x v="7"/>
    <n v="84"/>
    <x v="3"/>
    <s v="Sakellariou"/>
    <n v="1"/>
    <n v="11"/>
    <n v="2"/>
    <n v="0"/>
    <x v="24"/>
    <s v="vs Tolios"/>
    <n v="207"/>
    <n v="0.47"/>
    <n v="53"/>
    <n v="0.36799999999999999"/>
    <n v="0.746"/>
    <n v="564"/>
    <n v="40"/>
    <n v="148"/>
    <n v="102"/>
    <n v="33"/>
    <n v="23"/>
    <n v="70"/>
    <n v="1.46"/>
  </r>
  <r>
    <x v="5"/>
    <x v="0"/>
    <x v="7"/>
    <n v="84"/>
    <x v="24"/>
    <s v="Tolios"/>
    <n v="0"/>
    <n v="2"/>
    <n v="11"/>
    <n v="0"/>
    <x v="2"/>
    <s v="vs Sakellariou"/>
    <n v="89"/>
    <n v="0.52"/>
    <n v="17"/>
    <n v="0.34699999999999998"/>
    <n v="0.65200000000000002"/>
    <n v="210"/>
    <n v="35"/>
    <n v="80"/>
    <n v="22"/>
    <n v="14"/>
    <n v="13"/>
    <n v="23"/>
    <n v="0.96"/>
  </r>
  <r>
    <x v="5"/>
    <x v="0"/>
    <x v="7"/>
    <n v="85"/>
    <x v="16"/>
    <s v="Aris"/>
    <n v="0"/>
    <n v="3"/>
    <n v="10"/>
    <n v="0"/>
    <x v="26"/>
    <s v="vs Lafa"/>
    <n v="187"/>
    <n v="0.45200000000000001"/>
    <n v="59"/>
    <n v="0.33900000000000002"/>
    <n v="0.84099999999999997"/>
    <n v="523"/>
    <n v="22"/>
    <n v="122"/>
    <n v="100"/>
    <n v="24"/>
    <n v="12"/>
    <n v="62"/>
    <n v="1.61"/>
  </r>
  <r>
    <x v="5"/>
    <x v="0"/>
    <x v="7"/>
    <n v="85"/>
    <x v="26"/>
    <s v="Lafa"/>
    <n v="1"/>
    <n v="10"/>
    <n v="3"/>
    <n v="0"/>
    <x v="17"/>
    <s v="vs Aris"/>
    <n v="215"/>
    <n v="0.52400000000000002"/>
    <n v="42"/>
    <n v="0.38900000000000001"/>
    <n v="0.73899999999999999"/>
    <n v="619"/>
    <n v="42"/>
    <n v="189"/>
    <n v="149"/>
    <n v="35"/>
    <n v="22"/>
    <n v="76"/>
    <n v="1.96"/>
  </r>
  <r>
    <x v="5"/>
    <x v="0"/>
    <x v="7"/>
    <n v="86"/>
    <x v="18"/>
    <s v="Kotakis"/>
    <n v="1"/>
    <n v="10"/>
    <n v="3"/>
    <n v="0"/>
    <x v="13"/>
    <s v="vs Stavros"/>
    <n v="152"/>
    <n v="0.441"/>
    <n v="43"/>
    <n v="0.309"/>
    <n v="0.82099999999999995"/>
    <n v="439"/>
    <n v="42"/>
    <n v="145"/>
    <n v="126"/>
    <n v="31"/>
    <n v="21"/>
    <n v="47"/>
    <n v="2.68"/>
  </r>
  <r>
    <x v="5"/>
    <x v="0"/>
    <x v="7"/>
    <n v="86"/>
    <x v="12"/>
    <s v="Stavros"/>
    <n v="0"/>
    <n v="3"/>
    <n v="10"/>
    <n v="0"/>
    <x v="19"/>
    <s v="vs Kotakis"/>
    <n v="106"/>
    <n v="0.44"/>
    <n v="38"/>
    <n v="0.33300000000000002"/>
    <n v="0.88500000000000001"/>
    <n v="304"/>
    <n v="33"/>
    <n v="61"/>
    <n v="56"/>
    <n v="24"/>
    <n v="7"/>
    <n v="34"/>
    <n v="1.65"/>
  </r>
  <r>
    <x v="5"/>
    <x v="0"/>
    <x v="7"/>
    <n v="87"/>
    <x v="5"/>
    <s v="Markos"/>
    <n v="0"/>
    <n v="4"/>
    <n v="9"/>
    <n v="0"/>
    <x v="6"/>
    <s v="vs Johnny"/>
    <n v="190"/>
    <n v="0.44900000000000001"/>
    <n v="72"/>
    <n v="0.40699999999999997"/>
    <n v="0.79300000000000004"/>
    <n v="517"/>
    <n v="31"/>
    <n v="142"/>
    <n v="114"/>
    <n v="30"/>
    <n v="16"/>
    <n v="62"/>
    <n v="1.84"/>
  </r>
  <r>
    <x v="5"/>
    <x v="0"/>
    <x v="7"/>
    <n v="87"/>
    <x v="7"/>
    <s v="Johnny"/>
    <n v="1"/>
    <n v="9"/>
    <n v="4"/>
    <n v="0"/>
    <x v="4"/>
    <s v="vs Markos"/>
    <n v="215"/>
    <n v="0.45600000000000002"/>
    <n v="66"/>
    <n v="0.35899999999999999"/>
    <n v="0.86799999999999999"/>
    <n v="621"/>
    <n v="53"/>
    <n v="155"/>
    <n v="124"/>
    <n v="36"/>
    <n v="19"/>
    <n v="87"/>
    <n v="1.43"/>
  </r>
  <r>
    <x v="5"/>
    <x v="0"/>
    <x v="7"/>
    <n v="88"/>
    <x v="6"/>
    <s v="Tassos"/>
    <n v="1"/>
    <n v="8"/>
    <n v="4"/>
    <n v="1"/>
    <x v="12"/>
    <s v="vs Kousidis"/>
    <n v="179"/>
    <n v="0.45700000000000002"/>
    <n v="43"/>
    <n v="0.32800000000000001"/>
    <n v="0.89600000000000002"/>
    <n v="496"/>
    <n v="41"/>
    <n v="131"/>
    <n v="87"/>
    <n v="20"/>
    <n v="20"/>
    <n v="57"/>
    <n v="1.53"/>
  </r>
  <r>
    <x v="5"/>
    <x v="0"/>
    <x v="7"/>
    <n v="88"/>
    <x v="13"/>
    <s v="Kousidis"/>
    <n v="0"/>
    <n v="4"/>
    <n v="8"/>
    <n v="1"/>
    <x v="7"/>
    <s v="vs Tassos"/>
    <n v="179"/>
    <n v="0.44600000000000001"/>
    <n v="38"/>
    <n v="0.29699999999999999"/>
    <n v="0.8"/>
    <n v="508"/>
    <n v="34"/>
    <n v="133"/>
    <n v="107"/>
    <n v="22"/>
    <n v="14"/>
    <n v="71"/>
    <n v="1.51"/>
  </r>
  <r>
    <x v="5"/>
    <x v="0"/>
    <x v="7"/>
    <n v="89"/>
    <x v="21"/>
    <s v="Tzokos"/>
    <n v="1"/>
    <n v="9"/>
    <n v="4"/>
    <n v="0"/>
    <x v="23"/>
    <s v="vs Sarantos"/>
    <n v="135"/>
    <n v="0.5"/>
    <n v="32"/>
    <n v="0.34399999999999997"/>
    <n v="0.70299999999999996"/>
    <n v="354"/>
    <n v="38"/>
    <n v="112"/>
    <n v="73"/>
    <n v="28"/>
    <n v="10"/>
    <n v="45"/>
    <n v="1.62"/>
  </r>
  <r>
    <x v="5"/>
    <x v="0"/>
    <x v="7"/>
    <n v="89"/>
    <x v="23"/>
    <s v="Sarantos"/>
    <n v="0"/>
    <n v="4"/>
    <n v="9"/>
    <n v="0"/>
    <x v="21"/>
    <s v="vs Tzokos"/>
    <n v="76"/>
    <n v="0.432"/>
    <n v="29"/>
    <n v="0.34100000000000003"/>
    <n v="0.78900000000000003"/>
    <n v="211"/>
    <n v="14"/>
    <n v="69"/>
    <n v="52"/>
    <n v="18"/>
    <n v="14"/>
    <n v="29"/>
    <n v="1.79"/>
  </r>
  <r>
    <x v="5"/>
    <x v="0"/>
    <x v="7"/>
    <n v="90"/>
    <x v="15"/>
    <s v="Vasilis"/>
    <n v="1"/>
    <n v="8"/>
    <n v="4"/>
    <n v="1"/>
    <x v="20"/>
    <s v="vs Guru"/>
    <n v="194"/>
    <n v="0.5"/>
    <n v="47"/>
    <n v="0.34799999999999998"/>
    <n v="0.80400000000000005"/>
    <n v="513"/>
    <n v="43"/>
    <n v="123"/>
    <n v="107"/>
    <n v="32"/>
    <n v="8"/>
    <n v="55"/>
    <n v="1.95"/>
  </r>
  <r>
    <x v="5"/>
    <x v="0"/>
    <x v="7"/>
    <n v="90"/>
    <x v="20"/>
    <s v="Guru"/>
    <n v="0"/>
    <n v="4"/>
    <n v="8"/>
    <n v="1"/>
    <x v="14"/>
    <s v="vs Vasilis"/>
    <n v="159"/>
    <n v="0.503"/>
    <n v="71"/>
    <n v="0.42799999999999999"/>
    <n v="0.71099999999999997"/>
    <n v="448"/>
    <n v="17"/>
    <n v="115"/>
    <n v="82"/>
    <n v="30"/>
    <n v="8"/>
    <n v="44"/>
    <n v="1.86"/>
  </r>
  <r>
    <x v="5"/>
    <x v="0"/>
    <x v="8"/>
    <n v="91"/>
    <x v="26"/>
    <s v="Lafa"/>
    <n v="1"/>
    <n v="7"/>
    <n v="6"/>
    <n v="0"/>
    <x v="25"/>
    <s v="vs Arvanitis"/>
    <n v="155"/>
    <n v="0.45700000000000002"/>
    <n v="24"/>
    <n v="0.29299999999999998"/>
    <n v="0.76300000000000001"/>
    <n v="453"/>
    <n v="52"/>
    <n v="156"/>
    <n v="130"/>
    <n v="24"/>
    <n v="15"/>
    <n v="50"/>
    <n v="2.6"/>
  </r>
  <r>
    <x v="5"/>
    <x v="0"/>
    <x v="8"/>
    <n v="91"/>
    <x v="25"/>
    <s v="Arvanitis"/>
    <n v="0"/>
    <n v="6"/>
    <n v="7"/>
    <n v="0"/>
    <x v="26"/>
    <s v="vs Lafa"/>
    <n v="132"/>
    <n v="0.41799999999999998"/>
    <n v="48"/>
    <n v="0.35599999999999998"/>
    <n v="0.80600000000000005"/>
    <n v="370"/>
    <n v="47"/>
    <n v="157"/>
    <n v="74"/>
    <n v="23"/>
    <n v="24"/>
    <n v="45"/>
    <n v="1.64"/>
  </r>
  <r>
    <x v="5"/>
    <x v="0"/>
    <x v="8"/>
    <n v="92"/>
    <x v="11"/>
    <s v="pi/Sotiris"/>
    <n v="0"/>
    <n v="5"/>
    <n v="8"/>
    <n v="0"/>
    <x v="7"/>
    <s v="vs Tassos"/>
    <n v="197"/>
    <n v="0.54700000000000004"/>
    <n v="50"/>
    <n v="0.42399999999999999"/>
    <n v="0.76700000000000002"/>
    <n v="536"/>
    <n v="45"/>
    <n v="178"/>
    <n v="104"/>
    <n v="25"/>
    <n v="19"/>
    <n v="71"/>
    <n v="1.46"/>
  </r>
  <r>
    <x v="5"/>
    <x v="0"/>
    <x v="8"/>
    <n v="92"/>
    <x v="6"/>
    <s v="Tassos"/>
    <n v="1"/>
    <n v="8"/>
    <n v="5"/>
    <n v="0"/>
    <x v="10"/>
    <s v="vs pi/Sotiris"/>
    <n v="199"/>
    <n v="0.47199999999999998"/>
    <n v="43"/>
    <n v="0.29099999999999998"/>
    <n v="0.874"/>
    <n v="559"/>
    <n v="43"/>
    <n v="143"/>
    <n v="124"/>
    <n v="28"/>
    <n v="20"/>
    <n v="64"/>
    <n v="1.94"/>
  </r>
  <r>
    <x v="5"/>
    <x v="0"/>
    <x v="8"/>
    <n v="93"/>
    <x v="13"/>
    <s v="Kousidis"/>
    <n v="0"/>
    <n v="3"/>
    <n v="10"/>
    <n v="0"/>
    <x v="2"/>
    <s v="vs Sakellariou"/>
    <n v="152"/>
    <n v="0.45100000000000001"/>
    <n v="46"/>
    <n v="0.35099999999999998"/>
    <n v="0.78700000000000003"/>
    <n v="435"/>
    <n v="37"/>
    <n v="88"/>
    <n v="71"/>
    <n v="22"/>
    <n v="15"/>
    <n v="71"/>
    <n v="1"/>
  </r>
  <r>
    <x v="5"/>
    <x v="0"/>
    <x v="8"/>
    <n v="93"/>
    <x v="3"/>
    <s v="Sakellariou"/>
    <n v="1"/>
    <n v="10"/>
    <n v="3"/>
    <n v="0"/>
    <x v="12"/>
    <s v="vs Kousidis"/>
    <n v="202"/>
    <n v="0.46300000000000002"/>
    <n v="40"/>
    <n v="0.30099999999999999"/>
    <n v="0.83199999999999996"/>
    <n v="533"/>
    <n v="51"/>
    <n v="151"/>
    <n v="136"/>
    <n v="43"/>
    <n v="19"/>
    <n v="72"/>
    <n v="1.89"/>
  </r>
  <r>
    <x v="5"/>
    <x v="0"/>
    <x v="8"/>
    <n v="94"/>
    <x v="12"/>
    <s v="Stavros"/>
    <n v="0"/>
    <n v="6"/>
    <n v="7"/>
    <n v="0"/>
    <x v="21"/>
    <s v="vs Tzokos"/>
    <n v="124"/>
    <n v="0.45600000000000002"/>
    <n v="48"/>
    <n v="0.372"/>
    <n v="0.68300000000000005"/>
    <n v="337"/>
    <n v="31"/>
    <n v="91"/>
    <n v="75"/>
    <n v="24"/>
    <n v="8"/>
    <n v="33"/>
    <n v="2.27"/>
  </r>
  <r>
    <x v="5"/>
    <x v="0"/>
    <x v="8"/>
    <n v="94"/>
    <x v="21"/>
    <s v="Tzokos"/>
    <n v="1"/>
    <n v="7"/>
    <n v="6"/>
    <n v="0"/>
    <x v="13"/>
    <s v="vs Stavros"/>
    <n v="151"/>
    <n v="0.48899999999999999"/>
    <n v="40"/>
    <n v="0.35099999999999998"/>
    <n v="0.82099999999999995"/>
    <n v="429"/>
    <n v="43"/>
    <n v="107"/>
    <n v="65"/>
    <n v="14"/>
    <n v="12"/>
    <n v="52"/>
    <n v="1.25"/>
  </r>
  <r>
    <x v="5"/>
    <x v="0"/>
    <x v="8"/>
    <n v="95"/>
    <x v="24"/>
    <s v="Tolios"/>
    <n v="0"/>
    <n v="4"/>
    <n v="9"/>
    <n v="0"/>
    <x v="0"/>
    <s v="vs Fanis"/>
    <n v="91"/>
    <n v="0.52300000000000002"/>
    <n v="15"/>
    <n v="0.32600000000000001"/>
    <n v="0.64100000000000001"/>
    <n v="222"/>
    <n v="34"/>
    <n v="80"/>
    <n v="66"/>
    <n v="11"/>
    <n v="9"/>
    <n v="22"/>
    <n v="3"/>
  </r>
  <r>
    <x v="5"/>
    <x v="0"/>
    <x v="8"/>
    <n v="95"/>
    <x v="1"/>
    <s v="Fanis"/>
    <n v="1"/>
    <n v="9"/>
    <n v="4"/>
    <n v="0"/>
    <x v="24"/>
    <s v="vs Tolios"/>
    <n v="126"/>
    <n v="0.434"/>
    <n v="46"/>
    <n v="0.35899999999999999"/>
    <n v="0.86099999999999999"/>
    <n v="385"/>
    <n v="32"/>
    <n v="90"/>
    <n v="108"/>
    <n v="26"/>
    <n v="19"/>
    <n v="50"/>
    <n v="2.16"/>
  </r>
  <r>
    <x v="5"/>
    <x v="0"/>
    <x v="8"/>
    <n v="96"/>
    <x v="7"/>
    <s v="Johnny"/>
    <n v="1"/>
    <n v="8"/>
    <n v="5"/>
    <n v="0"/>
    <x v="14"/>
    <s v="vs Vasilis"/>
    <n v="170"/>
    <n v="0.45600000000000002"/>
    <n v="49"/>
    <n v="0.374"/>
    <n v="0.82"/>
    <n v="480"/>
    <n v="34"/>
    <n v="113"/>
    <n v="123"/>
    <n v="22"/>
    <n v="16"/>
    <n v="59"/>
    <n v="2.08"/>
  </r>
  <r>
    <x v="5"/>
    <x v="0"/>
    <x v="8"/>
    <n v="96"/>
    <x v="15"/>
    <s v="Vasilis"/>
    <n v="0"/>
    <n v="5"/>
    <n v="8"/>
    <n v="0"/>
    <x v="6"/>
    <s v="vs Johnny"/>
    <n v="172"/>
    <n v="0.46899999999999997"/>
    <n v="36"/>
    <n v="0.29499999999999998"/>
    <n v="0.76"/>
    <n v="459"/>
    <n v="45"/>
    <n v="114"/>
    <n v="104"/>
    <n v="21"/>
    <n v="17"/>
    <n v="75"/>
    <n v="1.39"/>
  </r>
  <r>
    <x v="5"/>
    <x v="0"/>
    <x v="8"/>
    <n v="97"/>
    <x v="2"/>
    <s v="Fountos"/>
    <n v="0"/>
    <n v="3"/>
    <n v="10"/>
    <n v="0"/>
    <x v="4"/>
    <s v="vs Markos"/>
    <n v="142"/>
    <n v="0.53400000000000003"/>
    <n v="59"/>
    <n v="0.43099999999999999"/>
    <n v="0.67900000000000005"/>
    <n v="379"/>
    <n v="18"/>
    <n v="110"/>
    <n v="51"/>
    <n v="26"/>
    <n v="10"/>
    <n v="49"/>
    <n v="1.04"/>
  </r>
  <r>
    <x v="5"/>
    <x v="0"/>
    <x v="8"/>
    <n v="97"/>
    <x v="5"/>
    <s v="Markos"/>
    <n v="1"/>
    <n v="10"/>
    <n v="3"/>
    <n v="0"/>
    <x v="3"/>
    <s v="vs Fountos"/>
    <n v="151"/>
    <n v="0.433"/>
    <n v="63"/>
    <n v="0.38"/>
    <n v="0.873"/>
    <n v="427"/>
    <n v="19"/>
    <n v="101"/>
    <n v="84"/>
    <n v="28"/>
    <n v="18"/>
    <n v="41"/>
    <n v="2.0499999999999998"/>
  </r>
  <r>
    <x v="5"/>
    <x v="0"/>
    <x v="8"/>
    <n v="98"/>
    <x v="23"/>
    <s v="Sarantos"/>
    <n v="1"/>
    <n v="7"/>
    <n v="5"/>
    <n v="1"/>
    <x v="16"/>
    <s v="vs Spiridaus/Oladipas"/>
    <n v="125"/>
    <n v="0.496"/>
    <n v="47"/>
    <n v="0.443"/>
    <n v="0.66200000000000003"/>
    <n v="344"/>
    <n v="27"/>
    <n v="100"/>
    <n v="80"/>
    <n v="21"/>
    <n v="18"/>
    <n v="33"/>
    <n v="2.42"/>
  </r>
  <r>
    <x v="5"/>
    <x v="0"/>
    <x v="8"/>
    <n v="98"/>
    <x v="17"/>
    <s v="Spiridaus/Oladipas"/>
    <n v="0"/>
    <n v="5"/>
    <n v="7"/>
    <n v="1"/>
    <x v="23"/>
    <s v="vs Sarantos"/>
    <n v="136"/>
    <n v="0.47699999999999998"/>
    <n v="37"/>
    <n v="0.38500000000000001"/>
    <n v="0.745"/>
    <n v="382"/>
    <n v="45"/>
    <n v="121"/>
    <n v="73"/>
    <n v="20"/>
    <n v="10"/>
    <n v="33"/>
    <n v="2.21"/>
  </r>
  <r>
    <x v="5"/>
    <x v="0"/>
    <x v="8"/>
    <n v="99"/>
    <x v="20"/>
    <s v="Guru"/>
    <n v="1"/>
    <n v="10"/>
    <n v="3"/>
    <n v="0"/>
    <x v="8"/>
    <s v="vs Ziogas/Christof"/>
    <n v="177"/>
    <n v="0.48"/>
    <n v="73"/>
    <n v="0.39900000000000002"/>
    <n v="0.77700000000000002"/>
    <n v="500"/>
    <n v="26"/>
    <n v="119"/>
    <n v="86"/>
    <n v="20"/>
    <n v="10"/>
    <n v="60"/>
    <n v="1.43"/>
  </r>
  <r>
    <x v="5"/>
    <x v="0"/>
    <x v="8"/>
    <n v="99"/>
    <x v="9"/>
    <s v="Ziogas/Christof"/>
    <n v="0"/>
    <n v="3"/>
    <n v="10"/>
    <n v="0"/>
    <x v="20"/>
    <s v="vs Guru"/>
    <n v="112"/>
    <n v="0.42599999999999999"/>
    <n v="44"/>
    <n v="0.317"/>
    <n v="0.78500000000000003"/>
    <n v="330"/>
    <n v="16"/>
    <n v="96"/>
    <n v="83"/>
    <n v="18"/>
    <n v="4"/>
    <n v="41"/>
    <n v="2.02"/>
  </r>
  <r>
    <x v="5"/>
    <x v="0"/>
    <x v="8"/>
    <n v="100"/>
    <x v="18"/>
    <s v="Kotakis"/>
    <n v="1"/>
    <n v="9"/>
    <n v="4"/>
    <n v="0"/>
    <x v="17"/>
    <s v="vs Aris"/>
    <n v="188"/>
    <n v="0.47199999999999998"/>
    <n v="43"/>
    <n v="0.31900000000000001"/>
    <n v="0.78200000000000003"/>
    <n v="498"/>
    <n v="34"/>
    <n v="154"/>
    <n v="110"/>
    <n v="39"/>
    <n v="22"/>
    <n v="53"/>
    <n v="2.08"/>
  </r>
  <r>
    <x v="5"/>
    <x v="0"/>
    <x v="8"/>
    <n v="100"/>
    <x v="16"/>
    <s v="Aris"/>
    <n v="0"/>
    <n v="4"/>
    <n v="9"/>
    <n v="0"/>
    <x v="19"/>
    <s v="vs Kotakis"/>
    <n v="159"/>
    <n v="0.442"/>
    <n v="59"/>
    <n v="0.36399999999999999"/>
    <n v="0.78800000000000003"/>
    <n v="459"/>
    <n v="24"/>
    <n v="118"/>
    <n v="91"/>
    <n v="21"/>
    <n v="18"/>
    <n v="52"/>
    <n v="1.75"/>
  </r>
  <r>
    <x v="5"/>
    <x v="0"/>
    <x v="9"/>
    <n v="101"/>
    <x v="25"/>
    <s v="Arvanitis"/>
    <n v="0"/>
    <n v="1"/>
    <n v="12"/>
    <n v="0"/>
    <x v="19"/>
    <s v="vs Kotakis"/>
    <n v="124"/>
    <n v="0.496"/>
    <n v="28"/>
    <n v="0.318"/>
    <n v="0.746"/>
    <n v="326"/>
    <n v="38"/>
    <n v="104"/>
    <n v="42"/>
    <n v="23"/>
    <n v="15"/>
    <n v="41"/>
    <n v="1.02"/>
  </r>
  <r>
    <x v="5"/>
    <x v="0"/>
    <x v="9"/>
    <n v="101"/>
    <x v="18"/>
    <s v="Kotakis"/>
    <n v="1"/>
    <n v="12"/>
    <n v="1"/>
    <n v="0"/>
    <x v="25"/>
    <s v="vs Arvanitis"/>
    <n v="175"/>
    <n v="0.51300000000000001"/>
    <n v="48"/>
    <n v="0.38700000000000001"/>
    <n v="0.82499999999999996"/>
    <n v="450"/>
    <n v="43"/>
    <n v="152"/>
    <n v="111"/>
    <n v="25"/>
    <n v="18"/>
    <n v="54"/>
    <n v="2.06"/>
  </r>
  <r>
    <x v="5"/>
    <x v="0"/>
    <x v="9"/>
    <n v="102"/>
    <x v="1"/>
    <s v="Fanis"/>
    <n v="1"/>
    <n v="12"/>
    <n v="1"/>
    <n v="0"/>
    <x v="12"/>
    <s v="vs Kousidis"/>
    <n v="166"/>
    <n v="0.48299999999999998"/>
    <n v="56"/>
    <n v="0.44400000000000001"/>
    <n v="0.82599999999999996"/>
    <n v="478"/>
    <n v="41"/>
    <n v="111"/>
    <n v="122"/>
    <n v="32"/>
    <n v="14"/>
    <n v="50"/>
    <n v="2.44"/>
  </r>
  <r>
    <x v="5"/>
    <x v="0"/>
    <x v="9"/>
    <n v="102"/>
    <x v="13"/>
    <s v="Kousidis"/>
    <n v="0"/>
    <n v="1"/>
    <n v="12"/>
    <n v="0"/>
    <x v="0"/>
    <s v="vs Fanis"/>
    <n v="142"/>
    <n v="0.45200000000000001"/>
    <n v="52"/>
    <n v="0.42299999999999999"/>
    <n v="0.75"/>
    <n v="408"/>
    <n v="34"/>
    <n v="92"/>
    <n v="73"/>
    <n v="17"/>
    <n v="8"/>
    <n v="42"/>
    <n v="1.74"/>
  </r>
  <r>
    <x v="5"/>
    <x v="0"/>
    <x v="9"/>
    <n v="103"/>
    <x v="9"/>
    <s v="Ziogas/Christof"/>
    <n v="1"/>
    <n v="7"/>
    <n v="6"/>
    <n v="0"/>
    <x v="24"/>
    <s v="vs Tolios"/>
    <n v="136"/>
    <n v="0.52500000000000002"/>
    <n v="51"/>
    <n v="0.40200000000000002"/>
    <n v="0.65100000000000002"/>
    <n v="364"/>
    <n v="16"/>
    <n v="81"/>
    <n v="76"/>
    <n v="21"/>
    <n v="7"/>
    <n v="36"/>
    <n v="2.11"/>
  </r>
  <r>
    <x v="5"/>
    <x v="0"/>
    <x v="9"/>
    <n v="103"/>
    <x v="24"/>
    <s v="Tolios"/>
    <n v="0"/>
    <n v="6"/>
    <n v="7"/>
    <n v="0"/>
    <x v="8"/>
    <s v="vs Ziogas/Christof"/>
    <n v="82"/>
    <n v="0.42499999999999999"/>
    <n v="22"/>
    <n v="0.30099999999999999"/>
    <n v="0.82099999999999995"/>
    <n v="232"/>
    <n v="37"/>
    <n v="86"/>
    <n v="45"/>
    <n v="27"/>
    <n v="9"/>
    <n v="29"/>
    <n v="1.55"/>
  </r>
  <r>
    <x v="5"/>
    <x v="0"/>
    <x v="9"/>
    <n v="104"/>
    <x v="17"/>
    <s v="Spiridaus/Oladipas"/>
    <n v="1"/>
    <n v="9"/>
    <n v="4"/>
    <n v="0"/>
    <x v="13"/>
    <s v="vs Stavros"/>
    <n v="174"/>
    <n v="0.54200000000000004"/>
    <n v="32"/>
    <n v="0.36"/>
    <n v="0.83699999999999997"/>
    <n v="467"/>
    <n v="41"/>
    <n v="150"/>
    <n v="88"/>
    <n v="22"/>
    <n v="11"/>
    <n v="59"/>
    <n v="1.49"/>
  </r>
  <r>
    <x v="5"/>
    <x v="0"/>
    <x v="9"/>
    <n v="104"/>
    <x v="12"/>
    <s v="Stavros"/>
    <n v="0"/>
    <n v="4"/>
    <n v="9"/>
    <n v="0"/>
    <x v="16"/>
    <s v="vs Spiridaus/Oladipas"/>
    <n v="130"/>
    <n v="0.504"/>
    <n v="48"/>
    <n v="0.42099999999999999"/>
    <n v="0.754"/>
    <n v="360"/>
    <n v="35"/>
    <n v="95"/>
    <n v="73"/>
    <n v="19"/>
    <n v="8"/>
    <n v="37"/>
    <n v="1.97"/>
  </r>
  <r>
    <x v="5"/>
    <x v="0"/>
    <x v="9"/>
    <n v="105"/>
    <x v="3"/>
    <s v="Sakellariou"/>
    <n v="0"/>
    <n v="4"/>
    <n v="9"/>
    <n v="0"/>
    <x v="10"/>
    <s v="vs pi/Sotiris"/>
    <n v="166"/>
    <n v="0.496"/>
    <n v="26"/>
    <n v="0.28299999999999997"/>
    <n v="0.81699999999999995"/>
    <n v="434"/>
    <n v="31"/>
    <n v="118"/>
    <n v="109"/>
    <n v="21"/>
    <n v="9"/>
    <n v="44"/>
    <n v="2.48"/>
  </r>
  <r>
    <x v="5"/>
    <x v="0"/>
    <x v="9"/>
    <n v="105"/>
    <x v="11"/>
    <s v="pi/Sotiris"/>
    <n v="1"/>
    <n v="9"/>
    <n v="4"/>
    <n v="0"/>
    <x v="2"/>
    <s v="vs Sakellariou"/>
    <n v="175"/>
    <n v="0.50700000000000001"/>
    <n v="41"/>
    <n v="0.38"/>
    <n v="0.73599999999999999"/>
    <n v="469"/>
    <n v="32"/>
    <n v="139"/>
    <n v="104"/>
    <n v="28"/>
    <n v="24"/>
    <n v="58"/>
    <n v="1.79"/>
  </r>
  <r>
    <x v="5"/>
    <x v="0"/>
    <x v="9"/>
    <n v="106"/>
    <x v="20"/>
    <s v="Guru"/>
    <n v="0"/>
    <n v="2"/>
    <n v="11"/>
    <n v="0"/>
    <x v="6"/>
    <s v="vs Johnny"/>
    <n v="135"/>
    <n v="0.48"/>
    <n v="39"/>
    <n v="0.33100000000000002"/>
    <n v="0.77200000000000002"/>
    <n v="370"/>
    <n v="25"/>
    <n v="92"/>
    <n v="74"/>
    <n v="23"/>
    <n v="17"/>
    <n v="33"/>
    <n v="2.2400000000000002"/>
  </r>
  <r>
    <x v="5"/>
    <x v="0"/>
    <x v="9"/>
    <n v="106"/>
    <x v="7"/>
    <s v="Johnny"/>
    <n v="1"/>
    <n v="11"/>
    <n v="2"/>
    <n v="0"/>
    <x v="20"/>
    <s v="vs Guru"/>
    <n v="200"/>
    <n v="0.442"/>
    <n v="66"/>
    <n v="0.38600000000000001"/>
    <n v="0.84499999999999997"/>
    <n v="575"/>
    <n v="54"/>
    <n v="148"/>
    <n v="185"/>
    <n v="40"/>
    <n v="24"/>
    <n v="71"/>
    <n v="2.61"/>
  </r>
  <r>
    <x v="5"/>
    <x v="0"/>
    <x v="9"/>
    <n v="107"/>
    <x v="5"/>
    <s v="Markos"/>
    <n v="0"/>
    <n v="6"/>
    <n v="7"/>
    <n v="0"/>
    <x v="23"/>
    <s v="vs Sarantos"/>
    <n v="144"/>
    <n v="0.434"/>
    <n v="53"/>
    <n v="0.36799999999999999"/>
    <n v="0.74"/>
    <n v="398"/>
    <n v="21"/>
    <n v="88"/>
    <n v="108"/>
    <n v="14"/>
    <n v="7"/>
    <n v="54"/>
    <n v="2"/>
  </r>
  <r>
    <x v="5"/>
    <x v="0"/>
    <x v="9"/>
    <n v="107"/>
    <x v="23"/>
    <s v="Sarantos"/>
    <n v="1"/>
    <n v="7"/>
    <n v="6"/>
    <n v="0"/>
    <x v="4"/>
    <s v="vs Markos"/>
    <n v="112"/>
    <n v="0.46100000000000002"/>
    <n v="41"/>
    <n v="0.35299999999999998"/>
    <n v="0.81799999999999995"/>
    <n v="310"/>
    <n v="20"/>
    <n v="90"/>
    <n v="67"/>
    <n v="26"/>
    <n v="13"/>
    <n v="30"/>
    <n v="2.23"/>
  </r>
  <r>
    <x v="5"/>
    <x v="0"/>
    <x v="9"/>
    <n v="108"/>
    <x v="6"/>
    <s v="Tassos"/>
    <n v="1"/>
    <n v="8"/>
    <n v="5"/>
    <n v="0"/>
    <x v="26"/>
    <s v="vs Lafa"/>
    <n v="177"/>
    <n v="0.48799999999999999"/>
    <n v="45"/>
    <n v="0.39500000000000002"/>
    <n v="0.871"/>
    <n v="473"/>
    <n v="37"/>
    <n v="126"/>
    <n v="78"/>
    <n v="24"/>
    <n v="19"/>
    <n v="49"/>
    <n v="1.59"/>
  </r>
  <r>
    <x v="5"/>
    <x v="0"/>
    <x v="9"/>
    <n v="108"/>
    <x v="26"/>
    <s v="Lafa"/>
    <n v="0"/>
    <n v="5"/>
    <n v="8"/>
    <n v="0"/>
    <x v="7"/>
    <s v="vs Tassos"/>
    <n v="157"/>
    <n v="0.50800000000000001"/>
    <n v="30"/>
    <n v="0.33"/>
    <n v="0.75900000000000001"/>
    <n v="467"/>
    <n v="42"/>
    <n v="143"/>
    <n v="96"/>
    <n v="29"/>
    <n v="10"/>
    <n v="62"/>
    <n v="1.55"/>
  </r>
  <r>
    <x v="5"/>
    <x v="0"/>
    <x v="9"/>
    <n v="109"/>
    <x v="21"/>
    <s v="Tzokos"/>
    <n v="1"/>
    <n v="9"/>
    <n v="4"/>
    <n v="0"/>
    <x v="17"/>
    <s v="vs Aris"/>
    <n v="129"/>
    <n v="0.44800000000000001"/>
    <n v="38"/>
    <n v="0.32800000000000001"/>
    <n v="0.79400000000000004"/>
    <n v="377"/>
    <n v="34"/>
    <n v="123"/>
    <n v="55"/>
    <n v="22"/>
    <n v="17"/>
    <n v="45"/>
    <n v="1.22"/>
  </r>
  <r>
    <x v="5"/>
    <x v="0"/>
    <x v="9"/>
    <n v="109"/>
    <x v="16"/>
    <s v="Aris"/>
    <n v="0"/>
    <n v="4"/>
    <n v="9"/>
    <n v="0"/>
    <x v="21"/>
    <s v="vs Tzokos"/>
    <n v="108"/>
    <n v="0.42699999999999999"/>
    <n v="31"/>
    <n v="0.34399999999999997"/>
    <n v="0.69"/>
    <n v="287"/>
    <n v="20"/>
    <n v="84"/>
    <n v="82"/>
    <n v="17"/>
    <n v="15"/>
    <n v="41"/>
    <n v="2"/>
  </r>
  <r>
    <x v="5"/>
    <x v="0"/>
    <x v="9"/>
    <n v="110"/>
    <x v="15"/>
    <s v="Vasilis"/>
    <n v="0"/>
    <n v="4"/>
    <n v="8"/>
    <n v="1"/>
    <x v="3"/>
    <s v="vs Fountos"/>
    <n v="143"/>
    <n v="0.46400000000000002"/>
    <n v="46"/>
    <n v="0.371"/>
    <n v="0.77100000000000002"/>
    <n v="406"/>
    <n v="35"/>
    <n v="111"/>
    <n v="89"/>
    <n v="25"/>
    <n v="7"/>
    <n v="54"/>
    <n v="1.65"/>
  </r>
  <r>
    <x v="5"/>
    <x v="0"/>
    <x v="9"/>
    <n v="110"/>
    <x v="2"/>
    <s v="Fountos"/>
    <n v="1"/>
    <n v="8"/>
    <n v="4"/>
    <n v="1"/>
    <x v="14"/>
    <s v="vs Vasilis"/>
    <n v="164"/>
    <n v="0.48399999999999999"/>
    <n v="50"/>
    <n v="0.36499999999999999"/>
    <n v="0.78200000000000003"/>
    <n v="439"/>
    <n v="26"/>
    <n v="104"/>
    <n v="83"/>
    <n v="26"/>
    <n v="7"/>
    <n v="41"/>
    <n v="2.02"/>
  </r>
  <r>
    <x v="5"/>
    <x v="0"/>
    <x v="10"/>
    <n v="111"/>
    <x v="26"/>
    <s v="Lafa"/>
    <n v="1"/>
    <n v="8"/>
    <n v="5"/>
    <n v="0"/>
    <x v="2"/>
    <s v="vs Sakellariou"/>
    <n v="205"/>
    <n v="0.53400000000000003"/>
    <n v="48"/>
    <n v="0.44400000000000001"/>
    <n v="0.71899999999999997"/>
    <n v="573"/>
    <n v="50"/>
    <n v="167"/>
    <n v="132"/>
    <n v="40"/>
    <n v="13"/>
    <n v="56"/>
    <n v="2.36"/>
  </r>
  <r>
    <x v="5"/>
    <x v="0"/>
    <x v="10"/>
    <n v="111"/>
    <x v="3"/>
    <s v="Sakellariou"/>
    <n v="0"/>
    <n v="5"/>
    <n v="8"/>
    <n v="0"/>
    <x v="26"/>
    <s v="vs Lafa"/>
    <n v="214"/>
    <n v="0.46899999999999997"/>
    <n v="52"/>
    <n v="0.30599999999999999"/>
    <n v="0.79400000000000004"/>
    <n v="584"/>
    <n v="41"/>
    <n v="151"/>
    <n v="115"/>
    <n v="38"/>
    <n v="25"/>
    <n v="66"/>
    <n v="1.74"/>
  </r>
  <r>
    <x v="5"/>
    <x v="0"/>
    <x v="10"/>
    <n v="112"/>
    <x v="11"/>
    <s v="pi/Sotiris"/>
    <n v="0"/>
    <n v="6"/>
    <n v="7"/>
    <n v="0"/>
    <x v="0"/>
    <s v="vs Fanis"/>
    <n v="208"/>
    <n v="0.5"/>
    <n v="53"/>
    <n v="0.38700000000000001"/>
    <n v="0.83899999999999997"/>
    <n v="563"/>
    <n v="27"/>
    <n v="144"/>
    <n v="113"/>
    <n v="19"/>
    <n v="21"/>
    <n v="65"/>
    <n v="1.74"/>
  </r>
  <r>
    <x v="5"/>
    <x v="0"/>
    <x v="10"/>
    <n v="112"/>
    <x v="1"/>
    <s v="Fanis"/>
    <n v="1"/>
    <n v="7"/>
    <n v="6"/>
    <n v="0"/>
    <x v="10"/>
    <s v="vs pi/Sotiris"/>
    <n v="172"/>
    <n v="0.46700000000000003"/>
    <n v="57"/>
    <n v="0.36299999999999999"/>
    <n v="0.81"/>
    <n v="486"/>
    <n v="35"/>
    <n v="136"/>
    <n v="121"/>
    <n v="25"/>
    <n v="25"/>
    <n v="57"/>
    <n v="2.12"/>
  </r>
  <r>
    <x v="5"/>
    <x v="0"/>
    <x v="10"/>
    <n v="113"/>
    <x v="13"/>
    <s v="Kousidis"/>
    <n v="1"/>
    <n v="11"/>
    <n v="2"/>
    <n v="0"/>
    <x v="24"/>
    <s v="vs Tolios"/>
    <n v="184"/>
    <n v="0.52600000000000002"/>
    <n v="42"/>
    <n v="0.372"/>
    <n v="0.754"/>
    <n v="517"/>
    <n v="67"/>
    <n v="138"/>
    <n v="98"/>
    <n v="16"/>
    <n v="9"/>
    <n v="54"/>
    <n v="1.81"/>
  </r>
  <r>
    <x v="5"/>
    <x v="0"/>
    <x v="10"/>
    <n v="113"/>
    <x v="24"/>
    <s v="Tolios"/>
    <n v="0"/>
    <n v="2"/>
    <n v="11"/>
    <n v="0"/>
    <x v="12"/>
    <s v="vs Kousidis"/>
    <n v="97"/>
    <n v="0.47799999999999998"/>
    <n v="27"/>
    <n v="0.34200000000000003"/>
    <n v="0.67400000000000004"/>
    <n v="250"/>
    <n v="31"/>
    <n v="89"/>
    <n v="43"/>
    <n v="15"/>
    <n v="16"/>
    <n v="28"/>
    <n v="1.54"/>
  </r>
  <r>
    <x v="5"/>
    <x v="0"/>
    <x v="10"/>
    <n v="114"/>
    <x v="12"/>
    <s v="Stavros"/>
    <n v="0"/>
    <n v="2"/>
    <n v="11"/>
    <n v="0"/>
    <x v="4"/>
    <s v="vs Markos"/>
    <n v="171"/>
    <n v="0.42299999999999999"/>
    <n v="45"/>
    <n v="0.28299999999999997"/>
    <n v="0.83299999999999996"/>
    <n v="462"/>
    <n v="40"/>
    <n v="104"/>
    <n v="101"/>
    <n v="25"/>
    <n v="10"/>
    <n v="45"/>
    <n v="2.2400000000000002"/>
  </r>
  <r>
    <x v="5"/>
    <x v="0"/>
    <x v="10"/>
    <n v="114"/>
    <x v="5"/>
    <s v="Markos"/>
    <n v="1"/>
    <n v="11"/>
    <n v="2"/>
    <n v="0"/>
    <x v="13"/>
    <s v="vs Stavros"/>
    <n v="208"/>
    <n v="0.45500000000000002"/>
    <n v="59"/>
    <n v="0.311"/>
    <n v="0.86"/>
    <n v="561"/>
    <n v="38"/>
    <n v="136"/>
    <n v="122"/>
    <n v="34"/>
    <n v="18"/>
    <n v="53"/>
    <n v="2.2999999999999998"/>
  </r>
  <r>
    <x v="5"/>
    <x v="0"/>
    <x v="10"/>
    <n v="115"/>
    <x v="7"/>
    <s v="Johnny"/>
    <n v="0"/>
    <n v="6"/>
    <n v="7"/>
    <n v="0"/>
    <x v="8"/>
    <s v="vs Ziogas/Christof"/>
    <n v="176"/>
    <n v="0.46300000000000002"/>
    <n v="59"/>
    <n v="0.40100000000000002"/>
    <n v="0.82599999999999996"/>
    <n v="501"/>
    <n v="48"/>
    <n v="108"/>
    <n v="134"/>
    <n v="40"/>
    <n v="15"/>
    <n v="79"/>
    <n v="1.7"/>
  </r>
  <r>
    <x v="5"/>
    <x v="0"/>
    <x v="10"/>
    <n v="115"/>
    <x v="9"/>
    <s v="Ziogas/Christof"/>
    <n v="1"/>
    <n v="7"/>
    <n v="6"/>
    <n v="0"/>
    <x v="6"/>
    <s v="vs Johnny"/>
    <n v="158"/>
    <n v="0.48599999999999999"/>
    <n v="77"/>
    <n v="0.42499999999999999"/>
    <n v="0.83699999999999997"/>
    <n v="465"/>
    <n v="24"/>
    <n v="130"/>
    <n v="107"/>
    <n v="16"/>
    <n v="10"/>
    <n v="48"/>
    <n v="2.23"/>
  </r>
  <r>
    <x v="5"/>
    <x v="0"/>
    <x v="10"/>
    <n v="116"/>
    <x v="2"/>
    <s v="Fountos"/>
    <n v="0"/>
    <n v="5"/>
    <n v="8"/>
    <n v="0"/>
    <x v="20"/>
    <s v="vs Guru"/>
    <n v="174"/>
    <n v="0.47799999999999998"/>
    <n v="60"/>
    <n v="0.432"/>
    <n v="0.80200000000000005"/>
    <n v="477"/>
    <n v="38"/>
    <n v="127"/>
    <n v="96"/>
    <n v="29"/>
    <n v="10"/>
    <n v="52"/>
    <n v="1.85"/>
  </r>
  <r>
    <x v="5"/>
    <x v="0"/>
    <x v="10"/>
    <n v="116"/>
    <x v="20"/>
    <s v="Guru"/>
    <n v="1"/>
    <n v="8"/>
    <n v="5"/>
    <n v="0"/>
    <x v="3"/>
    <s v="vs Fountos"/>
    <n v="200"/>
    <n v="0.46500000000000002"/>
    <n v="69"/>
    <n v="0.36899999999999999"/>
    <n v="0.83199999999999996"/>
    <n v="568"/>
    <n v="35"/>
    <n v="138"/>
    <n v="147"/>
    <n v="19"/>
    <n v="19"/>
    <n v="56"/>
    <n v="2.63"/>
  </r>
  <r>
    <x v="5"/>
    <x v="0"/>
    <x v="10"/>
    <n v="117"/>
    <x v="23"/>
    <s v="Sarantos"/>
    <n v="0"/>
    <n v="6"/>
    <n v="7"/>
    <n v="0"/>
    <x v="14"/>
    <s v="vs Vasilis"/>
    <n v="140"/>
    <n v="0.47299999999999998"/>
    <n v="48"/>
    <n v="0.33600000000000002"/>
    <n v="0.74299999999999999"/>
    <n v="380"/>
    <n v="18"/>
    <n v="111"/>
    <n v="86"/>
    <n v="35"/>
    <n v="22"/>
    <n v="43"/>
    <n v="2"/>
  </r>
  <r>
    <x v="5"/>
    <x v="0"/>
    <x v="10"/>
    <n v="117"/>
    <x v="15"/>
    <s v="Vasilis"/>
    <n v="1"/>
    <n v="7"/>
    <n v="6"/>
    <n v="0"/>
    <x v="23"/>
    <s v="vs Sarantos"/>
    <n v="178"/>
    <n v="0.51"/>
    <n v="41"/>
    <n v="0.33600000000000002"/>
    <n v="0.81200000000000006"/>
    <n v="505"/>
    <n v="42"/>
    <n v="115"/>
    <n v="84"/>
    <n v="26"/>
    <n v="15"/>
    <n v="64"/>
    <n v="1.31"/>
  </r>
  <r>
    <x v="5"/>
    <x v="0"/>
    <x v="10"/>
    <n v="118"/>
    <x v="16"/>
    <s v="Aris"/>
    <n v="1"/>
    <n v="11"/>
    <n v="2"/>
    <n v="0"/>
    <x v="16"/>
    <s v="vs Spiridaus/Oladipas"/>
    <n v="167"/>
    <n v="0.50600000000000001"/>
    <n v="37"/>
    <n v="0.36599999999999999"/>
    <n v="0.80600000000000005"/>
    <n v="454"/>
    <n v="21"/>
    <n v="106"/>
    <n v="93"/>
    <n v="29"/>
    <n v="22"/>
    <n v="38"/>
    <n v="2.4500000000000002"/>
  </r>
  <r>
    <x v="5"/>
    <x v="0"/>
    <x v="10"/>
    <n v="118"/>
    <x v="17"/>
    <s v="Spiridaus/Oladipas"/>
    <n v="0"/>
    <n v="2"/>
    <n v="11"/>
    <n v="0"/>
    <x v="17"/>
    <s v="vs Aris"/>
    <n v="142"/>
    <n v="0.48"/>
    <n v="21"/>
    <n v="0.25600000000000001"/>
    <n v="0.78400000000000003"/>
    <n v="385"/>
    <n v="44"/>
    <n v="140"/>
    <n v="72"/>
    <n v="18"/>
    <n v="17"/>
    <n v="47"/>
    <n v="1.53"/>
  </r>
  <r>
    <x v="5"/>
    <x v="0"/>
    <x v="10"/>
    <n v="119"/>
    <x v="18"/>
    <s v="Kotakis"/>
    <n v="0"/>
    <n v="4"/>
    <n v="9"/>
    <n v="0"/>
    <x v="7"/>
    <s v="vs Tassos"/>
    <n v="166"/>
    <n v="0.50800000000000001"/>
    <n v="35"/>
    <n v="0.35699999999999998"/>
    <n v="0.80400000000000005"/>
    <n v="441"/>
    <n v="55"/>
    <n v="159"/>
    <n v="114"/>
    <n v="24"/>
    <n v="36"/>
    <n v="58"/>
    <n v="1.97"/>
  </r>
  <r>
    <x v="5"/>
    <x v="0"/>
    <x v="10"/>
    <n v="119"/>
    <x v="6"/>
    <s v="Tassos"/>
    <n v="1"/>
    <n v="9"/>
    <n v="4"/>
    <n v="0"/>
    <x v="19"/>
    <s v="vs Kotakis"/>
    <n v="221"/>
    <n v="0.49199999999999999"/>
    <n v="62"/>
    <n v="0.42799999999999999"/>
    <n v="0.78900000000000003"/>
    <n v="590"/>
    <n v="63"/>
    <n v="134"/>
    <n v="118"/>
    <n v="30"/>
    <n v="30"/>
    <n v="44"/>
    <n v="2.68"/>
  </r>
  <r>
    <x v="5"/>
    <x v="0"/>
    <x v="10"/>
    <n v="120"/>
    <x v="21"/>
    <s v="Tzokos"/>
    <n v="1"/>
    <n v="8"/>
    <n v="5"/>
    <n v="0"/>
    <x v="25"/>
    <s v="vs Arvanitis"/>
    <n v="151"/>
    <n v="0.51"/>
    <n v="51"/>
    <n v="0.42099999999999999"/>
    <n v="0.74399999999999999"/>
    <n v="411"/>
    <n v="47"/>
    <n v="112"/>
    <n v="70"/>
    <n v="32"/>
    <n v="17"/>
    <n v="54"/>
    <n v="1.3"/>
  </r>
  <r>
    <x v="5"/>
    <x v="0"/>
    <x v="10"/>
    <n v="120"/>
    <x v="25"/>
    <s v="Arvanitis"/>
    <n v="0"/>
    <n v="5"/>
    <n v="8"/>
    <n v="0"/>
    <x v="21"/>
    <s v="vs Tzokos"/>
    <n v="120"/>
    <n v="0.45500000000000002"/>
    <n v="36"/>
    <n v="0.371"/>
    <n v="0.69099999999999995"/>
    <n v="314"/>
    <n v="59"/>
    <n v="106"/>
    <n v="78"/>
    <n v="20"/>
    <n v="19"/>
    <n v="43"/>
    <n v="1.81"/>
  </r>
  <r>
    <x v="5"/>
    <x v="0"/>
    <x v="11"/>
    <n v="121"/>
    <x v="1"/>
    <s v="Fanis"/>
    <n v="1"/>
    <n v="10"/>
    <n v="3"/>
    <n v="0"/>
    <x v="26"/>
    <s v="vs Lafa"/>
    <n v="191"/>
    <n v="0.44600000000000001"/>
    <n v="57"/>
    <n v="0.32900000000000001"/>
    <n v="0.90100000000000002"/>
    <n v="530"/>
    <n v="30"/>
    <n v="124"/>
    <n v="146"/>
    <n v="35"/>
    <n v="21"/>
    <n v="66"/>
    <n v="2.21"/>
  </r>
  <r>
    <x v="5"/>
    <x v="0"/>
    <x v="11"/>
    <n v="121"/>
    <x v="26"/>
    <s v="Lafa"/>
    <n v="0"/>
    <n v="3"/>
    <n v="10"/>
    <n v="0"/>
    <x v="0"/>
    <s v="vs Fanis"/>
    <n v="166"/>
    <n v="0.47199999999999998"/>
    <n v="22"/>
    <n v="0.26800000000000002"/>
    <n v="0.76800000000000002"/>
    <n v="510"/>
    <n v="63"/>
    <n v="154"/>
    <n v="109"/>
    <n v="27"/>
    <n v="17"/>
    <n v="74"/>
    <n v="1.47"/>
  </r>
  <r>
    <x v="5"/>
    <x v="0"/>
    <x v="11"/>
    <n v="122"/>
    <x v="9"/>
    <s v="Ziogas/Christof"/>
    <n v="1"/>
    <n v="7"/>
    <n v="6"/>
    <n v="0"/>
    <x v="12"/>
    <s v="vs Kousidis"/>
    <n v="134"/>
    <n v="0.42399999999999999"/>
    <n v="50"/>
    <n v="0.32900000000000001"/>
    <n v="0.80900000000000005"/>
    <n v="390"/>
    <n v="15"/>
    <n v="101"/>
    <n v="92"/>
    <n v="28"/>
    <n v="12"/>
    <n v="39"/>
    <n v="2.36"/>
  </r>
  <r>
    <x v="5"/>
    <x v="0"/>
    <x v="11"/>
    <n v="122"/>
    <x v="13"/>
    <s v="Kousidis"/>
    <n v="0"/>
    <n v="6"/>
    <n v="7"/>
    <n v="0"/>
    <x v="8"/>
    <s v="vs Ziogas/Christof"/>
    <n v="163"/>
    <n v="0.46"/>
    <n v="44"/>
    <n v="0.32400000000000001"/>
    <n v="0.78500000000000003"/>
    <n v="472"/>
    <n v="36"/>
    <n v="115"/>
    <n v="100"/>
    <n v="24"/>
    <n v="11"/>
    <n v="75"/>
    <n v="1.33"/>
  </r>
  <r>
    <x v="5"/>
    <x v="0"/>
    <x v="11"/>
    <n v="123"/>
    <x v="24"/>
    <s v="Tolios"/>
    <n v="0"/>
    <n v="2"/>
    <n v="10"/>
    <n v="1"/>
    <x v="10"/>
    <s v="vs pi/Sotiris"/>
    <n v="87"/>
    <n v="0.47299999999999998"/>
    <n v="18"/>
    <n v="0.32100000000000001"/>
    <n v="0.80400000000000005"/>
    <n v="233"/>
    <n v="24"/>
    <n v="94"/>
    <n v="61"/>
    <n v="37"/>
    <n v="12"/>
    <n v="31"/>
    <n v="1.97"/>
  </r>
  <r>
    <x v="5"/>
    <x v="0"/>
    <x v="11"/>
    <n v="123"/>
    <x v="11"/>
    <s v="pi/Sotiris"/>
    <n v="1"/>
    <n v="10"/>
    <n v="2"/>
    <n v="1"/>
    <x v="24"/>
    <s v="vs Tolios"/>
    <n v="237"/>
    <n v="0.49099999999999999"/>
    <n v="79"/>
    <n v="0.42"/>
    <n v="0.83099999999999996"/>
    <n v="676"/>
    <n v="50"/>
    <n v="185"/>
    <n v="128"/>
    <n v="37"/>
    <n v="23"/>
    <n v="69"/>
    <n v="1.86"/>
  </r>
  <r>
    <x v="5"/>
    <x v="0"/>
    <x v="11"/>
    <n v="124"/>
    <x v="17"/>
    <s v="Spiridaus/Oladipas"/>
    <n v="1"/>
    <n v="9"/>
    <n v="3"/>
    <n v="1"/>
    <x v="25"/>
    <s v="vs Arvanitis"/>
    <n v="149"/>
    <n v="0.46899999999999997"/>
    <n v="28"/>
    <n v="0.35899999999999999"/>
    <n v="0.77"/>
    <n v="403"/>
    <n v="50"/>
    <n v="155"/>
    <n v="106"/>
    <n v="22"/>
    <n v="12"/>
    <n v="53"/>
    <n v="2"/>
  </r>
  <r>
    <x v="5"/>
    <x v="0"/>
    <x v="11"/>
    <n v="124"/>
    <x v="25"/>
    <s v="Arvanitis"/>
    <n v="0"/>
    <n v="3"/>
    <n v="9"/>
    <n v="1"/>
    <x v="16"/>
    <s v="vs Spiridaus/Oladipas"/>
    <n v="110"/>
    <n v="0.498"/>
    <n v="28"/>
    <n v="0.34100000000000003"/>
    <n v="0.73799999999999999"/>
    <n v="279"/>
    <n v="44"/>
    <n v="114"/>
    <n v="51"/>
    <n v="20"/>
    <n v="18"/>
    <n v="35"/>
    <n v="1.46"/>
  </r>
  <r>
    <x v="5"/>
    <x v="0"/>
    <x v="11"/>
    <n v="125"/>
    <x v="7"/>
    <s v="Johnny"/>
    <n v="1"/>
    <n v="10"/>
    <n v="3"/>
    <n v="0"/>
    <x v="3"/>
    <s v="vs Fountos"/>
    <n v="206"/>
    <n v="0.439"/>
    <n v="67"/>
    <n v="0.379"/>
    <n v="0.76300000000000001"/>
    <n v="582"/>
    <n v="45"/>
    <n v="147"/>
    <n v="133"/>
    <n v="38"/>
    <n v="23"/>
    <n v="50"/>
    <n v="2.66"/>
  </r>
  <r>
    <x v="5"/>
    <x v="0"/>
    <x v="11"/>
    <n v="125"/>
    <x v="2"/>
    <s v="Fountos"/>
    <n v="0"/>
    <n v="3"/>
    <n v="10"/>
    <n v="0"/>
    <x v="6"/>
    <s v="vs Johnny"/>
    <n v="169"/>
    <n v="0.497"/>
    <n v="44"/>
    <n v="0.36399999999999999"/>
    <n v="0.83599999999999997"/>
    <n v="438"/>
    <n v="32"/>
    <n v="122"/>
    <n v="78"/>
    <n v="25"/>
    <n v="14"/>
    <n v="45"/>
    <n v="1.73"/>
  </r>
  <r>
    <x v="5"/>
    <x v="0"/>
    <x v="11"/>
    <n v="126"/>
    <x v="3"/>
    <s v="Sakellariou"/>
    <n v="0"/>
    <n v="4"/>
    <n v="9"/>
    <n v="0"/>
    <x v="19"/>
    <s v="vs Kotakis"/>
    <n v="216"/>
    <n v="0.51800000000000002"/>
    <n v="37"/>
    <n v="0.34599999999999997"/>
    <n v="0.752"/>
    <n v="563"/>
    <n v="40"/>
    <n v="137"/>
    <n v="97"/>
    <n v="29"/>
    <n v="18"/>
    <n v="61"/>
    <n v="1.59"/>
  </r>
  <r>
    <x v="5"/>
    <x v="0"/>
    <x v="11"/>
    <n v="126"/>
    <x v="18"/>
    <s v="Kotakis"/>
    <n v="1"/>
    <n v="9"/>
    <n v="4"/>
    <n v="0"/>
    <x v="2"/>
    <s v="vs Sakellariou"/>
    <n v="168"/>
    <n v="0.46899999999999997"/>
    <n v="50"/>
    <n v="0.39400000000000002"/>
    <n v="0.83899999999999997"/>
    <n v="490"/>
    <n v="52"/>
    <n v="208"/>
    <n v="148"/>
    <n v="26"/>
    <n v="31"/>
    <n v="49"/>
    <n v="3.02"/>
  </r>
  <r>
    <x v="5"/>
    <x v="0"/>
    <x v="11"/>
    <n v="127"/>
    <x v="20"/>
    <s v="Guru"/>
    <n v="1"/>
    <n v="8"/>
    <n v="5"/>
    <n v="0"/>
    <x v="23"/>
    <s v="vs Sarantos"/>
    <n v="201"/>
    <n v="0.47499999999999998"/>
    <n v="61"/>
    <n v="0.33900000000000002"/>
    <n v="0.87"/>
    <n v="597"/>
    <n v="29"/>
    <n v="150"/>
    <n v="123"/>
    <n v="32"/>
    <n v="15"/>
    <n v="53"/>
    <n v="2.3199999999999998"/>
  </r>
  <r>
    <x v="5"/>
    <x v="0"/>
    <x v="11"/>
    <n v="127"/>
    <x v="23"/>
    <s v="Sarantos"/>
    <n v="0"/>
    <n v="5"/>
    <n v="8"/>
    <n v="0"/>
    <x v="20"/>
    <s v="vs Guru"/>
    <n v="132"/>
    <n v="0.44400000000000001"/>
    <n v="58"/>
    <n v="0.41099999999999998"/>
    <n v="0.81599999999999995"/>
    <n v="384"/>
    <n v="32"/>
    <n v="117"/>
    <n v="79"/>
    <n v="26"/>
    <n v="23"/>
    <n v="33"/>
    <n v="2.39"/>
  </r>
  <r>
    <x v="5"/>
    <x v="0"/>
    <x v="11"/>
    <n v="128"/>
    <x v="5"/>
    <s v="Markos"/>
    <n v="1"/>
    <n v="7"/>
    <n v="6"/>
    <n v="0"/>
    <x v="17"/>
    <s v="vs Aris"/>
    <n v="232"/>
    <n v="0.46800000000000003"/>
    <n v="73"/>
    <n v="0.34899999999999998"/>
    <n v="0.76200000000000001"/>
    <n v="633"/>
    <n v="47"/>
    <n v="151"/>
    <n v="102"/>
    <n v="32"/>
    <n v="14"/>
    <n v="70"/>
    <n v="1.46"/>
  </r>
  <r>
    <x v="5"/>
    <x v="0"/>
    <x v="11"/>
    <n v="128"/>
    <x v="16"/>
    <s v="Aris"/>
    <n v="0"/>
    <n v="6"/>
    <n v="7"/>
    <n v="0"/>
    <x v="4"/>
    <s v="vs Markos"/>
    <n v="210"/>
    <n v="0.45900000000000002"/>
    <n v="51"/>
    <n v="0.32900000000000001"/>
    <n v="0.82"/>
    <n v="580"/>
    <n v="24"/>
    <n v="124"/>
    <n v="113"/>
    <n v="34"/>
    <n v="26"/>
    <n v="61"/>
    <n v="1.85"/>
  </r>
  <r>
    <x v="5"/>
    <x v="0"/>
    <x v="11"/>
    <n v="129"/>
    <x v="6"/>
    <s v="Tassos"/>
    <n v="1"/>
    <n v="12"/>
    <n v="1"/>
    <n v="0"/>
    <x v="21"/>
    <s v="vs Tzokos"/>
    <n v="237"/>
    <n v="0.5"/>
    <n v="54"/>
    <n v="0.34399999999999997"/>
    <n v="0.82399999999999995"/>
    <n v="636"/>
    <n v="42"/>
    <n v="194"/>
    <n v="131"/>
    <n v="34"/>
    <n v="37"/>
    <n v="56"/>
    <n v="2.34"/>
  </r>
  <r>
    <x v="5"/>
    <x v="0"/>
    <x v="11"/>
    <n v="129"/>
    <x v="21"/>
    <s v="Tzokos"/>
    <n v="0"/>
    <n v="1"/>
    <n v="12"/>
    <n v="0"/>
    <x v="7"/>
    <s v="vs Tassos"/>
    <n v="182"/>
    <n v="0.47799999999999998"/>
    <n v="48"/>
    <n v="0.33600000000000002"/>
    <n v="0.748"/>
    <n v="504"/>
    <n v="41"/>
    <n v="143"/>
    <n v="93"/>
    <n v="29"/>
    <n v="20"/>
    <n v="55"/>
    <n v="1.69"/>
  </r>
  <r>
    <x v="5"/>
    <x v="0"/>
    <x v="11"/>
    <n v="130"/>
    <x v="15"/>
    <s v="Vasilis"/>
    <n v="0"/>
    <n v="6"/>
    <n v="6"/>
    <n v="1"/>
    <x v="13"/>
    <s v="vs Stavros"/>
    <n v="177"/>
    <n v="0.48899999999999999"/>
    <n v="43"/>
    <n v="0.33300000000000002"/>
    <n v="0.77300000000000002"/>
    <n v="472"/>
    <n v="41"/>
    <n v="108"/>
    <n v="99"/>
    <n v="21"/>
    <n v="23"/>
    <n v="62"/>
    <n v="1.6"/>
  </r>
  <r>
    <x v="5"/>
    <x v="0"/>
    <x v="11"/>
    <n v="130"/>
    <x v="12"/>
    <s v="Stavros"/>
    <n v="0"/>
    <n v="6"/>
    <n v="6"/>
    <n v="1"/>
    <x v="14"/>
    <s v="vs Vasilis"/>
    <n v="150"/>
    <n v="0.43"/>
    <n v="45"/>
    <n v="0.33100000000000002"/>
    <n v="0.76"/>
    <n v="424"/>
    <n v="41"/>
    <n v="135"/>
    <n v="124"/>
    <n v="27"/>
    <n v="10"/>
    <n v="55"/>
    <n v="2.25"/>
  </r>
  <r>
    <x v="5"/>
    <x v="0"/>
    <x v="12"/>
    <n v="131"/>
    <x v="26"/>
    <s v="Lafa"/>
    <n v="1"/>
    <n v="9"/>
    <n v="4"/>
    <n v="0"/>
    <x v="24"/>
    <s v="vs Tolios"/>
    <n v="135"/>
    <n v="0.50900000000000001"/>
    <n v="35"/>
    <n v="0.44900000000000001"/>
    <n v="0.75900000000000001"/>
    <n v="412"/>
    <n v="39"/>
    <n v="141"/>
    <n v="83"/>
    <n v="25"/>
    <n v="13"/>
    <n v="50"/>
    <n v="1.66"/>
  </r>
  <r>
    <x v="5"/>
    <x v="0"/>
    <x v="12"/>
    <n v="131"/>
    <x v="24"/>
    <s v="Tolios"/>
    <n v="0"/>
    <n v="4"/>
    <n v="9"/>
    <n v="0"/>
    <x v="26"/>
    <s v="vs Lafa"/>
    <n v="99"/>
    <n v="0.45"/>
    <n v="30"/>
    <n v="0.316"/>
    <n v="0.625"/>
    <n v="248"/>
    <n v="26"/>
    <n v="72"/>
    <n v="53"/>
    <n v="26"/>
    <n v="14"/>
    <n v="20"/>
    <n v="2.65"/>
  </r>
  <r>
    <x v="5"/>
    <x v="0"/>
    <x v="12"/>
    <n v="132"/>
    <x v="11"/>
    <s v="pi/Sotiris"/>
    <n v="1"/>
    <n v="11"/>
    <n v="2"/>
    <n v="0"/>
    <x v="12"/>
    <s v="vs Kousidis"/>
    <n v="257"/>
    <n v="0.49299999999999999"/>
    <n v="60"/>
    <n v="0.313"/>
    <n v="0.83299999999999996"/>
    <n v="734"/>
    <n v="50"/>
    <n v="215"/>
    <n v="153"/>
    <n v="44"/>
    <n v="33"/>
    <n v="87"/>
    <n v="1.76"/>
  </r>
  <r>
    <x v="5"/>
    <x v="0"/>
    <x v="12"/>
    <n v="132"/>
    <x v="13"/>
    <s v="Kousidis"/>
    <n v="0"/>
    <n v="2"/>
    <n v="11"/>
    <n v="0"/>
    <x v="10"/>
    <s v="vs pi/Sotiris"/>
    <n v="162"/>
    <n v="0.48499999999999999"/>
    <n v="37"/>
    <n v="0.316"/>
    <n v="0.73099999999999998"/>
    <n v="456"/>
    <n v="41"/>
    <n v="127"/>
    <n v="78"/>
    <n v="15"/>
    <n v="14"/>
    <n v="51"/>
    <n v="1.53"/>
  </r>
  <r>
    <x v="5"/>
    <x v="0"/>
    <x v="12"/>
    <n v="133"/>
    <x v="25"/>
    <s v="Arvanitis"/>
    <n v="0"/>
    <n v="5"/>
    <n v="8"/>
    <n v="0"/>
    <x v="4"/>
    <s v="vs Markos"/>
    <n v="91"/>
    <n v="0.45700000000000002"/>
    <n v="27"/>
    <n v="0.33800000000000002"/>
    <n v="0.80400000000000005"/>
    <n v="246"/>
    <n v="38"/>
    <n v="99"/>
    <n v="59"/>
    <n v="30"/>
    <n v="19"/>
    <n v="27"/>
    <n v="2.19"/>
  </r>
  <r>
    <x v="5"/>
    <x v="0"/>
    <x v="12"/>
    <n v="133"/>
    <x v="5"/>
    <s v="Markos"/>
    <n v="1"/>
    <n v="8"/>
    <n v="5"/>
    <n v="0"/>
    <x v="25"/>
    <s v="vs Arvanitis"/>
    <n v="174"/>
    <n v="0.48699999999999999"/>
    <n v="59"/>
    <n v="0.41"/>
    <n v="0.84299999999999997"/>
    <n v="477"/>
    <n v="30"/>
    <n v="102"/>
    <n v="83"/>
    <n v="9"/>
    <n v="16"/>
    <n v="41"/>
    <n v="2.02"/>
  </r>
  <r>
    <x v="5"/>
    <x v="0"/>
    <x v="12"/>
    <n v="134"/>
    <x v="12"/>
    <s v="Stavros"/>
    <n v="1"/>
    <n v="8"/>
    <n v="4"/>
    <n v="1"/>
    <x v="20"/>
    <s v="vs Guru"/>
    <n v="192"/>
    <n v="0.48"/>
    <n v="57"/>
    <n v="0.34300000000000003"/>
    <n v="0.80700000000000005"/>
    <n v="529"/>
    <n v="37"/>
    <n v="131"/>
    <n v="95"/>
    <n v="16"/>
    <n v="11"/>
    <n v="51"/>
    <n v="1.86"/>
  </r>
  <r>
    <x v="5"/>
    <x v="0"/>
    <x v="12"/>
    <n v="134"/>
    <x v="20"/>
    <s v="Guru"/>
    <n v="0"/>
    <n v="4"/>
    <n v="8"/>
    <n v="1"/>
    <x v="13"/>
    <s v="vs Stavros"/>
    <n v="161"/>
    <n v="0.47899999999999998"/>
    <n v="58"/>
    <n v="0.38200000000000001"/>
    <n v="0.78300000000000003"/>
    <n v="427"/>
    <n v="25"/>
    <n v="92"/>
    <n v="89"/>
    <n v="16"/>
    <n v="9"/>
    <n v="40"/>
    <n v="2.23"/>
  </r>
  <r>
    <x v="5"/>
    <x v="0"/>
    <x v="12"/>
    <n v="135"/>
    <x v="17"/>
    <s v="Spiridaus/Oladipas"/>
    <n v="1"/>
    <n v="8"/>
    <n v="5"/>
    <n v="0"/>
    <x v="7"/>
    <s v="vs Tassos"/>
    <n v="171"/>
    <n v="0.51700000000000002"/>
    <n v="41"/>
    <n v="0.318"/>
    <n v="0.76800000000000002"/>
    <n v="456"/>
    <n v="45"/>
    <n v="152"/>
    <n v="94"/>
    <n v="17"/>
    <n v="15"/>
    <n v="40"/>
    <n v="2.35"/>
  </r>
  <r>
    <x v="5"/>
    <x v="0"/>
    <x v="12"/>
    <n v="135"/>
    <x v="6"/>
    <s v="Tassos"/>
    <n v="0"/>
    <n v="5"/>
    <n v="8"/>
    <n v="0"/>
    <x v="16"/>
    <s v="vs Spiridaus/Oladipas"/>
    <n v="174"/>
    <n v="0.504"/>
    <n v="24"/>
    <n v="0.28899999999999998"/>
    <n v="0.82199999999999995"/>
    <n v="483"/>
    <n v="31"/>
    <n v="140"/>
    <n v="87"/>
    <n v="24"/>
    <n v="21"/>
    <n v="63"/>
    <n v="1.38"/>
  </r>
  <r>
    <x v="5"/>
    <x v="0"/>
    <x v="12"/>
    <n v="136"/>
    <x v="2"/>
    <s v="Fountos"/>
    <n v="1"/>
    <n v="9"/>
    <n v="3"/>
    <n v="1"/>
    <x v="8"/>
    <s v="vs Ziogas/Christof"/>
    <n v="162"/>
    <n v="0.45500000000000002"/>
    <n v="53"/>
    <n v="0.379"/>
    <n v="0.84799999999999998"/>
    <n v="444"/>
    <n v="29"/>
    <n v="139"/>
    <n v="78"/>
    <n v="25"/>
    <n v="8"/>
    <n v="51"/>
    <n v="1.53"/>
  </r>
  <r>
    <x v="5"/>
    <x v="0"/>
    <x v="12"/>
    <n v="136"/>
    <x v="9"/>
    <s v="Ziogas/Christof"/>
    <n v="0"/>
    <n v="3"/>
    <n v="9"/>
    <n v="1"/>
    <x v="3"/>
    <s v="vs Fountos"/>
    <n v="88"/>
    <n v="0.36399999999999999"/>
    <n v="30"/>
    <n v="0.26800000000000002"/>
    <n v="0.82699999999999996"/>
    <n v="287"/>
    <n v="32"/>
    <n v="102"/>
    <n v="70"/>
    <n v="15"/>
    <n v="8"/>
    <n v="42"/>
    <n v="1.67"/>
  </r>
  <r>
    <x v="5"/>
    <x v="0"/>
    <x v="12"/>
    <n v="137"/>
    <x v="23"/>
    <s v="Sarantos"/>
    <n v="0"/>
    <n v="1"/>
    <n v="12"/>
    <n v="0"/>
    <x v="6"/>
    <s v="vs Johnny"/>
    <n v="123"/>
    <n v="0.46400000000000002"/>
    <n v="54"/>
    <n v="0.40600000000000003"/>
    <n v="0.69099999999999995"/>
    <n v="338"/>
    <n v="29"/>
    <n v="94"/>
    <n v="65"/>
    <n v="24"/>
    <n v="15"/>
    <n v="35"/>
    <n v="1.86"/>
  </r>
  <r>
    <x v="5"/>
    <x v="0"/>
    <x v="12"/>
    <n v="137"/>
    <x v="7"/>
    <s v="Johnny"/>
    <n v="1"/>
    <n v="12"/>
    <n v="1"/>
    <n v="0"/>
    <x v="23"/>
    <s v="vs Sarantos"/>
    <n v="213"/>
    <n v="0.51300000000000001"/>
    <n v="69"/>
    <n v="0.41299999999999998"/>
    <n v="0.74299999999999999"/>
    <n v="576"/>
    <n v="48"/>
    <n v="133"/>
    <n v="149"/>
    <n v="38"/>
    <n v="23"/>
    <n v="54"/>
    <n v="2.76"/>
  </r>
  <r>
    <x v="5"/>
    <x v="0"/>
    <x v="12"/>
    <n v="138"/>
    <x v="16"/>
    <s v="Aris"/>
    <n v="0"/>
    <n v="1"/>
    <n v="12"/>
    <n v="0"/>
    <x v="14"/>
    <s v="vs Vasilis"/>
    <n v="130"/>
    <n v="0.41899999999999998"/>
    <n v="41"/>
    <n v="0.30399999999999999"/>
    <n v="0.77"/>
    <n v="358"/>
    <n v="6"/>
    <n v="81"/>
    <n v="96"/>
    <n v="21"/>
    <n v="11"/>
    <n v="47"/>
    <n v="2.04"/>
  </r>
  <r>
    <x v="5"/>
    <x v="0"/>
    <x v="12"/>
    <n v="138"/>
    <x v="15"/>
    <s v="Vasilis"/>
    <n v="1"/>
    <n v="12"/>
    <n v="1"/>
    <n v="0"/>
    <x v="17"/>
    <s v="vs Aris"/>
    <n v="159"/>
    <n v="0.46200000000000002"/>
    <n v="42"/>
    <n v="0.35599999999999998"/>
    <n v="0.84199999999999997"/>
    <n v="424"/>
    <n v="50"/>
    <n v="114"/>
    <n v="125"/>
    <n v="28"/>
    <n v="17"/>
    <n v="56"/>
    <n v="2.23"/>
  </r>
  <r>
    <x v="5"/>
    <x v="0"/>
    <x v="12"/>
    <n v="139"/>
    <x v="18"/>
    <s v="Kotakis"/>
    <n v="1"/>
    <n v="7"/>
    <n v="6"/>
    <n v="0"/>
    <x v="0"/>
    <s v="vs Fanis"/>
    <n v="194"/>
    <n v="0.48299999999999998"/>
    <n v="46"/>
    <n v="0.36499999999999999"/>
    <n v="0.81100000000000005"/>
    <n v="507"/>
    <n v="50"/>
    <n v="186"/>
    <n v="160"/>
    <n v="42"/>
    <n v="22"/>
    <n v="65"/>
    <n v="2.46"/>
  </r>
  <r>
    <x v="5"/>
    <x v="0"/>
    <x v="12"/>
    <n v="139"/>
    <x v="1"/>
    <s v="Fanis"/>
    <n v="0"/>
    <n v="6"/>
    <n v="7"/>
    <n v="0"/>
    <x v="19"/>
    <s v="vs Kotakis"/>
    <n v="198"/>
    <n v="0.47899999999999998"/>
    <n v="57"/>
    <n v="0.38500000000000001"/>
    <n v="0.85699999999999998"/>
    <n v="573"/>
    <n v="34"/>
    <n v="131"/>
    <n v="120"/>
    <n v="30"/>
    <n v="16"/>
    <n v="58"/>
    <n v="2.0699999999999998"/>
  </r>
  <r>
    <x v="5"/>
    <x v="0"/>
    <x v="12"/>
    <n v="140"/>
    <x v="21"/>
    <s v="Tzokos"/>
    <n v="0"/>
    <n v="3"/>
    <n v="10"/>
    <n v="0"/>
    <x v="2"/>
    <s v="vs Sakellariou"/>
    <n v="149"/>
    <n v="0.46"/>
    <n v="46"/>
    <n v="0.39300000000000002"/>
    <n v="0.75900000000000001"/>
    <n v="404"/>
    <n v="43"/>
    <n v="123"/>
    <n v="67"/>
    <n v="21"/>
    <n v="15"/>
    <n v="40"/>
    <n v="1.68"/>
  </r>
  <r>
    <x v="5"/>
    <x v="0"/>
    <x v="12"/>
    <n v="140"/>
    <x v="3"/>
    <s v="Sakellariou"/>
    <n v="1"/>
    <n v="10"/>
    <n v="3"/>
    <n v="0"/>
    <x v="21"/>
    <s v="vs Tzokos"/>
    <n v="203"/>
    <n v="0.49199999999999999"/>
    <n v="51"/>
    <n v="0.35899999999999999"/>
    <n v="0.76700000000000002"/>
    <n v="536"/>
    <n v="44"/>
    <n v="138"/>
    <n v="109"/>
    <n v="26"/>
    <n v="12"/>
    <n v="54"/>
    <n v="2.02"/>
  </r>
  <r>
    <x v="5"/>
    <x v="0"/>
    <x v="13"/>
    <n v="141"/>
    <x v="13"/>
    <s v="Kousidis"/>
    <n v="0"/>
    <n v="6"/>
    <n v="7"/>
    <n v="0"/>
    <x v="26"/>
    <s v="vs Lafa"/>
    <n v="175"/>
    <n v="0.48299999999999998"/>
    <n v="36"/>
    <n v="0.313"/>
    <n v="0.79700000000000004"/>
    <n v="492"/>
    <n v="67"/>
    <n v="127"/>
    <n v="70"/>
    <n v="21"/>
    <n v="8"/>
    <n v="48"/>
    <n v="1.46"/>
  </r>
  <r>
    <x v="5"/>
    <x v="0"/>
    <x v="13"/>
    <n v="141"/>
    <x v="26"/>
    <s v="Lafa"/>
    <n v="1"/>
    <n v="7"/>
    <n v="6"/>
    <n v="0"/>
    <x v="12"/>
    <s v="vs Kousidis"/>
    <n v="122"/>
    <n v="0.53"/>
    <n v="35"/>
    <n v="0.47299999999999998"/>
    <n v="0.80600000000000005"/>
    <n v="366"/>
    <n v="35"/>
    <n v="102"/>
    <n v="88"/>
    <n v="26"/>
    <n v="7"/>
    <n v="43"/>
    <n v="2.0499999999999998"/>
  </r>
  <r>
    <x v="5"/>
    <x v="0"/>
    <x v="13"/>
    <n v="142"/>
    <x v="1"/>
    <s v="Fanis"/>
    <n v="1"/>
    <n v="8"/>
    <n v="5"/>
    <n v="0"/>
    <x v="21"/>
    <s v="vs Tzokos"/>
    <n v="158"/>
    <n v="0.44800000000000001"/>
    <n v="41"/>
    <n v="0.315"/>
    <n v="0.873"/>
    <n v="453"/>
    <n v="30"/>
    <n v="79"/>
    <n v="106"/>
    <n v="29"/>
    <n v="13"/>
    <n v="59"/>
    <n v="1.8"/>
  </r>
  <r>
    <x v="5"/>
    <x v="0"/>
    <x v="13"/>
    <n v="142"/>
    <x v="21"/>
    <s v="Tzokos"/>
    <n v="0"/>
    <n v="5"/>
    <n v="8"/>
    <n v="0"/>
    <x v="0"/>
    <s v="vs Fanis"/>
    <n v="156"/>
    <n v="0.57599999999999996"/>
    <n v="32"/>
    <n v="0.36399999999999999"/>
    <n v="0.71599999999999997"/>
    <n v="392"/>
    <n v="27"/>
    <n v="90"/>
    <n v="46"/>
    <n v="8"/>
    <n v="18"/>
    <n v="46"/>
    <n v="1"/>
  </r>
  <r>
    <x v="5"/>
    <x v="0"/>
    <x v="13"/>
    <n v="143"/>
    <x v="9"/>
    <s v="Ziogas/Christof"/>
    <n v="1"/>
    <n v="7"/>
    <n v="6"/>
    <n v="0"/>
    <x v="10"/>
    <s v="vs pi/Sotiris"/>
    <n v="138"/>
    <n v="0.44400000000000001"/>
    <n v="62"/>
    <n v="0.40300000000000002"/>
    <n v="0.69899999999999995"/>
    <n v="389"/>
    <n v="39"/>
    <n v="127"/>
    <n v="110"/>
    <n v="21"/>
    <n v="10"/>
    <n v="44"/>
    <n v="2.5"/>
  </r>
  <r>
    <x v="5"/>
    <x v="0"/>
    <x v="13"/>
    <n v="143"/>
    <x v="11"/>
    <s v="pi/Sotiris"/>
    <n v="0"/>
    <n v="6"/>
    <n v="7"/>
    <n v="0"/>
    <x v="8"/>
    <s v="vs Ziogas/Christof"/>
    <n v="163"/>
    <n v="0.52100000000000002"/>
    <n v="36"/>
    <n v="0.38700000000000001"/>
    <n v="0.78300000000000003"/>
    <n v="434"/>
    <n v="35"/>
    <n v="126"/>
    <n v="98"/>
    <n v="27"/>
    <n v="19"/>
    <n v="63"/>
    <n v="1.56"/>
  </r>
  <r>
    <x v="5"/>
    <x v="0"/>
    <x v="13"/>
    <n v="144"/>
    <x v="24"/>
    <s v="Tolios"/>
    <n v="0"/>
    <n v="3"/>
    <n v="10"/>
    <n v="0"/>
    <x v="19"/>
    <s v="vs Kotakis"/>
    <n v="131"/>
    <n v="0.47299999999999998"/>
    <n v="28"/>
    <n v="0.34599999999999997"/>
    <n v="0.67100000000000004"/>
    <n v="339"/>
    <n v="45"/>
    <n v="131"/>
    <n v="80"/>
    <n v="31"/>
    <n v="24"/>
    <n v="46"/>
    <n v="1.74"/>
  </r>
  <r>
    <x v="5"/>
    <x v="0"/>
    <x v="13"/>
    <n v="144"/>
    <x v="18"/>
    <s v="Kotakis"/>
    <n v="1"/>
    <n v="10"/>
    <n v="3"/>
    <n v="0"/>
    <x v="24"/>
    <s v="vs Tolios"/>
    <n v="209"/>
    <n v="0.505"/>
    <n v="68"/>
    <n v="0.433"/>
    <n v="0.90400000000000003"/>
    <n v="580"/>
    <n v="33"/>
    <n v="148"/>
    <n v="167"/>
    <n v="39"/>
    <n v="20"/>
    <n v="54"/>
    <n v="3.09"/>
  </r>
  <r>
    <x v="5"/>
    <x v="0"/>
    <x v="13"/>
    <n v="145"/>
    <x v="7"/>
    <s v="Johnny"/>
    <n v="0"/>
    <n v="4"/>
    <n v="9"/>
    <n v="0"/>
    <x v="13"/>
    <s v="vs Stavros"/>
    <n v="165"/>
    <n v="0.46300000000000002"/>
    <n v="47"/>
    <n v="0.35899999999999999"/>
    <n v="0.77800000000000002"/>
    <n v="461"/>
    <n v="39"/>
    <n v="91"/>
    <n v="127"/>
    <n v="23"/>
    <n v="20"/>
    <n v="61"/>
    <n v="2.08"/>
  </r>
  <r>
    <x v="5"/>
    <x v="0"/>
    <x v="13"/>
    <n v="145"/>
    <x v="12"/>
    <s v="Stavros"/>
    <n v="1"/>
    <n v="9"/>
    <n v="4"/>
    <n v="0"/>
    <x v="6"/>
    <s v="vs Johnny"/>
    <n v="174"/>
    <n v="0.46400000000000002"/>
    <n v="64"/>
    <n v="0.376"/>
    <n v="0.84299999999999997"/>
    <n v="519"/>
    <n v="31"/>
    <n v="103"/>
    <n v="117"/>
    <n v="20"/>
    <n v="11"/>
    <n v="49"/>
    <n v="2.39"/>
  </r>
  <r>
    <x v="5"/>
    <x v="0"/>
    <x v="13"/>
    <n v="146"/>
    <x v="2"/>
    <s v="Fountos"/>
    <n v="1"/>
    <n v="8"/>
    <n v="5"/>
    <n v="0"/>
    <x v="23"/>
    <s v="vs Sarantos"/>
    <n v="198"/>
    <n v="0.51300000000000001"/>
    <n v="60"/>
    <n v="0.42299999999999999"/>
    <n v="0.67500000000000004"/>
    <n v="512"/>
    <n v="45"/>
    <n v="151"/>
    <n v="117"/>
    <n v="27"/>
    <n v="18"/>
    <n v="52"/>
    <n v="2.25"/>
  </r>
  <r>
    <x v="5"/>
    <x v="0"/>
    <x v="13"/>
    <n v="146"/>
    <x v="23"/>
    <s v="Sarantos"/>
    <n v="0"/>
    <n v="5"/>
    <n v="8"/>
    <n v="0"/>
    <x v="3"/>
    <s v="vs Fountos"/>
    <n v="153"/>
    <n v="0.48599999999999999"/>
    <n v="54"/>
    <n v="0.42499999999999999"/>
    <n v="0.73"/>
    <n v="425"/>
    <n v="30"/>
    <n v="125"/>
    <n v="91"/>
    <n v="40"/>
    <n v="26"/>
    <n v="47"/>
    <n v="1.94"/>
  </r>
  <r>
    <x v="5"/>
    <x v="0"/>
    <x v="13"/>
    <n v="147"/>
    <x v="3"/>
    <s v="Sakellariou"/>
    <n v="1"/>
    <n v="9"/>
    <n v="4"/>
    <n v="0"/>
    <x v="16"/>
    <s v="vs Spiridaus/Oladipas"/>
    <n v="196"/>
    <n v="0.47299999999999998"/>
    <n v="49"/>
    <n v="0.38300000000000001"/>
    <n v="0.871"/>
    <n v="576"/>
    <n v="32"/>
    <n v="142"/>
    <n v="113"/>
    <n v="25"/>
    <n v="20"/>
    <n v="63"/>
    <n v="1.79"/>
  </r>
  <r>
    <x v="5"/>
    <x v="0"/>
    <x v="13"/>
    <n v="147"/>
    <x v="17"/>
    <s v="Spiridaus/Oladipas"/>
    <n v="0"/>
    <n v="4"/>
    <n v="9"/>
    <n v="0"/>
    <x v="2"/>
    <s v="vs Sakellariou"/>
    <n v="173"/>
    <n v="0.47299999999999998"/>
    <n v="42"/>
    <n v="0.34399999999999997"/>
    <n v="0.69799999999999995"/>
    <n v="455"/>
    <n v="61"/>
    <n v="148"/>
    <n v="107"/>
    <n v="17"/>
    <n v="31"/>
    <n v="62"/>
    <n v="1.73"/>
  </r>
  <r>
    <x v="5"/>
    <x v="0"/>
    <x v="13"/>
    <n v="148"/>
    <x v="20"/>
    <s v="Guru"/>
    <n v="0"/>
    <n v="6"/>
    <n v="7"/>
    <n v="0"/>
    <x v="17"/>
    <s v="vs Aris"/>
    <n v="162"/>
    <n v="0.49399999999999999"/>
    <n v="53"/>
    <n v="0.38100000000000001"/>
    <n v="0.745"/>
    <n v="456"/>
    <n v="36"/>
    <n v="89"/>
    <n v="101"/>
    <n v="20"/>
    <n v="10"/>
    <n v="32"/>
    <n v="3.16"/>
  </r>
  <r>
    <x v="5"/>
    <x v="0"/>
    <x v="13"/>
    <n v="148"/>
    <x v="16"/>
    <s v="Aris"/>
    <n v="1"/>
    <n v="7"/>
    <n v="6"/>
    <n v="0"/>
    <x v="20"/>
    <s v="vs Guru"/>
    <n v="179"/>
    <n v="0.441"/>
    <n v="67"/>
    <n v="0.35799999999999998"/>
    <n v="0.79"/>
    <n v="508"/>
    <n v="22"/>
    <n v="94"/>
    <n v="94"/>
    <n v="27"/>
    <n v="24"/>
    <n v="57"/>
    <n v="1.65"/>
  </r>
  <r>
    <x v="5"/>
    <x v="0"/>
    <x v="13"/>
    <n v="149"/>
    <x v="5"/>
    <s v="Markos"/>
    <n v="0"/>
    <n v="0"/>
    <n v="13"/>
    <n v="0"/>
    <x v="7"/>
    <s v="vs Tassos"/>
    <n v="215"/>
    <n v="0.46899999999999997"/>
    <n v="63"/>
    <n v="0.375"/>
    <n v="0.78300000000000003"/>
    <n v="576"/>
    <n v="30"/>
    <n v="126"/>
    <n v="123"/>
    <n v="31"/>
    <n v="11"/>
    <n v="59"/>
    <n v="2.08"/>
  </r>
  <r>
    <x v="5"/>
    <x v="0"/>
    <x v="13"/>
    <n v="149"/>
    <x v="6"/>
    <s v="Tassos"/>
    <n v="1"/>
    <n v="13"/>
    <n v="0"/>
    <n v="0"/>
    <x v="4"/>
    <s v="vs Markos"/>
    <n v="246"/>
    <n v="0.51200000000000001"/>
    <n v="75"/>
    <n v="0.44900000000000001"/>
    <n v="0.84499999999999997"/>
    <n v="676"/>
    <n v="41"/>
    <n v="164"/>
    <n v="129"/>
    <n v="32"/>
    <n v="30"/>
    <n v="58"/>
    <n v="2.2200000000000002"/>
  </r>
  <r>
    <x v="5"/>
    <x v="0"/>
    <x v="13"/>
    <n v="150"/>
    <x v="15"/>
    <s v="Vasilis"/>
    <n v="1"/>
    <n v="10"/>
    <n v="2"/>
    <n v="1"/>
    <x v="25"/>
    <s v="vs Arvanitis"/>
    <n v="168"/>
    <n v="0.49399999999999999"/>
    <n v="54"/>
    <n v="0.40899999999999997"/>
    <n v="0.77900000000000003"/>
    <n v="464"/>
    <n v="46"/>
    <n v="124"/>
    <n v="107"/>
    <n v="37"/>
    <n v="21"/>
    <n v="57"/>
    <n v="1.88"/>
  </r>
  <r>
    <x v="5"/>
    <x v="0"/>
    <x v="13"/>
    <n v="150"/>
    <x v="25"/>
    <s v="Arvanitis"/>
    <n v="0"/>
    <n v="2"/>
    <n v="10"/>
    <n v="1"/>
    <x v="14"/>
    <s v="vs Vasilis"/>
    <n v="117"/>
    <n v="0.47"/>
    <n v="26"/>
    <n v="0.35599999999999998"/>
    <n v="0.58699999999999997"/>
    <n v="287"/>
    <n v="54"/>
    <n v="102"/>
    <n v="47"/>
    <n v="17"/>
    <n v="21"/>
    <n v="27"/>
    <n v="1.74"/>
  </r>
  <r>
    <x v="5"/>
    <x v="0"/>
    <x v="14"/>
    <n v="151"/>
    <x v="26"/>
    <s v="Lafa"/>
    <n v="1"/>
    <n v="10"/>
    <n v="3"/>
    <n v="0"/>
    <x v="10"/>
    <s v="vs pi/Sotiris"/>
    <n v="206"/>
    <n v="0.58699999999999997"/>
    <n v="35"/>
    <n v="0.40699999999999997"/>
    <n v="0.70699999999999996"/>
    <n v="570"/>
    <n v="43"/>
    <n v="168"/>
    <n v="113"/>
    <n v="35"/>
    <n v="12"/>
    <n v="62"/>
    <n v="1.82"/>
  </r>
  <r>
    <x v="5"/>
    <x v="0"/>
    <x v="14"/>
    <n v="151"/>
    <x v="11"/>
    <s v="pi/Sotiris"/>
    <n v="0"/>
    <n v="3"/>
    <n v="10"/>
    <n v="0"/>
    <x v="26"/>
    <s v="vs Lafa"/>
    <n v="175"/>
    <n v="0.45800000000000002"/>
    <n v="43"/>
    <n v="0.33900000000000002"/>
    <n v="0.77300000000000002"/>
    <n v="485"/>
    <n v="28"/>
    <n v="140"/>
    <n v="90"/>
    <n v="23"/>
    <n v="13"/>
    <n v="67"/>
    <n v="1.34"/>
  </r>
  <r>
    <x v="5"/>
    <x v="0"/>
    <x v="14"/>
    <n v="152"/>
    <x v="25"/>
    <s v="Arvanitis"/>
    <n v="0"/>
    <n v="5"/>
    <n v="8"/>
    <n v="0"/>
    <x v="20"/>
    <s v="vs Guru"/>
    <n v="131"/>
    <n v="0.5"/>
    <n v="24"/>
    <n v="0.27300000000000002"/>
    <n v="0.73799999999999999"/>
    <n v="334"/>
    <n v="44"/>
    <n v="114"/>
    <n v="61"/>
    <n v="27"/>
    <n v="20"/>
    <n v="34"/>
    <n v="1.79"/>
  </r>
  <r>
    <x v="5"/>
    <x v="0"/>
    <x v="14"/>
    <n v="152"/>
    <x v="20"/>
    <s v="Guru"/>
    <n v="1"/>
    <n v="8"/>
    <n v="5"/>
    <n v="0"/>
    <x v="25"/>
    <s v="vs Arvanitis"/>
    <n v="149"/>
    <n v="0.44900000000000001"/>
    <n v="60"/>
    <n v="0.35699999999999998"/>
    <n v="0.78500000000000003"/>
    <n v="420"/>
    <n v="30"/>
    <n v="102"/>
    <n v="127"/>
    <n v="29"/>
    <n v="5"/>
    <n v="57"/>
    <n v="2.23"/>
  </r>
  <r>
    <x v="5"/>
    <x v="0"/>
    <x v="14"/>
    <n v="153"/>
    <x v="12"/>
    <s v="Stavros"/>
    <n v="1"/>
    <n v="9"/>
    <n v="4"/>
    <n v="0"/>
    <x v="3"/>
    <s v="vs Fountos"/>
    <n v="176"/>
    <n v="0.51600000000000001"/>
    <n v="61"/>
    <n v="0.442"/>
    <n v="0.76600000000000001"/>
    <n v="495"/>
    <n v="34"/>
    <n v="107"/>
    <n v="111"/>
    <n v="30"/>
    <n v="9"/>
    <n v="43"/>
    <n v="2.58"/>
  </r>
  <r>
    <x v="5"/>
    <x v="0"/>
    <x v="14"/>
    <n v="153"/>
    <x v="2"/>
    <s v="Fountos"/>
    <n v="0"/>
    <n v="4"/>
    <n v="9"/>
    <n v="0"/>
    <x v="13"/>
    <s v="vs Stavros"/>
    <n v="183"/>
    <n v="0.47399999999999998"/>
    <n v="54"/>
    <n v="0.33800000000000002"/>
    <n v="0.8"/>
    <n v="484"/>
    <n v="26"/>
    <n v="135"/>
    <n v="85"/>
    <n v="28"/>
    <n v="19"/>
    <n v="67"/>
    <n v="1.27"/>
  </r>
  <r>
    <x v="5"/>
    <x v="0"/>
    <x v="14"/>
    <n v="154"/>
    <x v="17"/>
    <s v="Spiridaus/Oladipas"/>
    <n v="0"/>
    <n v="6"/>
    <n v="6"/>
    <n v="1"/>
    <x v="0"/>
    <s v="vs Fanis"/>
    <n v="152"/>
    <n v="0.52200000000000002"/>
    <n v="27"/>
    <n v="0.38600000000000001"/>
    <n v="0.71199999999999997"/>
    <n v="378"/>
    <n v="51"/>
    <n v="167"/>
    <n v="62"/>
    <n v="23"/>
    <n v="16"/>
    <n v="44"/>
    <n v="1.41"/>
  </r>
  <r>
    <x v="5"/>
    <x v="0"/>
    <x v="14"/>
    <n v="154"/>
    <x v="1"/>
    <s v="Fanis"/>
    <n v="0"/>
    <n v="6"/>
    <n v="6"/>
    <n v="1"/>
    <x v="16"/>
    <s v="vs Spiridaus/Oladipas"/>
    <n v="140"/>
    <n v="0.42399999999999999"/>
    <n v="44"/>
    <n v="0.32100000000000001"/>
    <n v="0.81200000000000006"/>
    <n v="406"/>
    <n v="32"/>
    <n v="119"/>
    <n v="135"/>
    <n v="24"/>
    <n v="16"/>
    <n v="63"/>
    <n v="2.14"/>
  </r>
  <r>
    <x v="5"/>
    <x v="0"/>
    <x v="14"/>
    <n v="155"/>
    <x v="23"/>
    <s v="Sarantos"/>
    <n v="1"/>
    <n v="9"/>
    <n v="4"/>
    <n v="0"/>
    <x v="8"/>
    <s v="vs Ziogas/Christof"/>
    <n v="130"/>
    <n v="0.54400000000000004"/>
    <n v="43"/>
    <n v="0.44800000000000001"/>
    <n v="0.75"/>
    <n v="354"/>
    <n v="29"/>
    <n v="98"/>
    <n v="73"/>
    <n v="25"/>
    <n v="21"/>
    <n v="31"/>
    <n v="2.35"/>
  </r>
  <r>
    <x v="5"/>
    <x v="0"/>
    <x v="14"/>
    <n v="155"/>
    <x v="9"/>
    <s v="Ziogas/Christof"/>
    <n v="0"/>
    <n v="4"/>
    <n v="9"/>
    <n v="0"/>
    <x v="23"/>
    <s v="vs Sarantos"/>
    <n v="132"/>
    <n v="0.48"/>
    <n v="61"/>
    <n v="0.42699999999999999"/>
    <n v="0.80700000000000005"/>
    <n v="371"/>
    <n v="22"/>
    <n v="87"/>
    <n v="72"/>
    <n v="22"/>
    <n v="7"/>
    <n v="39"/>
    <n v="1.85"/>
  </r>
  <r>
    <x v="5"/>
    <x v="0"/>
    <x v="14"/>
    <n v="156"/>
    <x v="16"/>
    <s v="Aris"/>
    <n v="0"/>
    <n v="6"/>
    <n v="7"/>
    <n v="0"/>
    <x v="6"/>
    <s v="vs Johnny"/>
    <n v="213"/>
    <n v="0.499"/>
    <n v="57"/>
    <n v="0.39600000000000002"/>
    <n v="0.80400000000000005"/>
    <n v="569"/>
    <n v="25"/>
    <n v="84"/>
    <n v="120"/>
    <n v="25"/>
    <n v="13"/>
    <n v="59"/>
    <n v="2.0299999999999998"/>
  </r>
  <r>
    <x v="5"/>
    <x v="0"/>
    <x v="14"/>
    <n v="156"/>
    <x v="7"/>
    <s v="Johnny"/>
    <n v="1"/>
    <n v="7"/>
    <n v="6"/>
    <n v="0"/>
    <x v="17"/>
    <s v="vs Aris"/>
    <n v="201"/>
    <n v="0.505"/>
    <n v="55"/>
    <n v="0.39"/>
    <n v="0.74299999999999999"/>
    <n v="541"/>
    <n v="38"/>
    <n v="143"/>
    <n v="156"/>
    <n v="20"/>
    <n v="28"/>
    <n v="53"/>
    <n v="2.94"/>
  </r>
  <r>
    <x v="5"/>
    <x v="0"/>
    <x v="14"/>
    <n v="157"/>
    <x v="18"/>
    <s v="Kotakis"/>
    <n v="1"/>
    <n v="10"/>
    <n v="3"/>
    <n v="0"/>
    <x v="12"/>
    <s v="vs Kousidis"/>
    <n v="207"/>
    <n v="0.499"/>
    <n v="49"/>
    <n v="0.34300000000000003"/>
    <n v="0.81599999999999995"/>
    <n v="525"/>
    <n v="51"/>
    <n v="147"/>
    <n v="153"/>
    <n v="40"/>
    <n v="32"/>
    <n v="65"/>
    <n v="2.35"/>
  </r>
  <r>
    <x v="5"/>
    <x v="0"/>
    <x v="14"/>
    <n v="157"/>
    <x v="13"/>
    <s v="Kousidis"/>
    <n v="0"/>
    <n v="3"/>
    <n v="10"/>
    <n v="0"/>
    <x v="19"/>
    <s v="vs Kotakis"/>
    <n v="179"/>
    <n v="0.48"/>
    <n v="52"/>
    <n v="0.41899999999999998"/>
    <n v="0.80800000000000005"/>
    <n v="511"/>
    <n v="36"/>
    <n v="105"/>
    <n v="75"/>
    <n v="18"/>
    <n v="14"/>
    <n v="40"/>
    <n v="1.88"/>
  </r>
  <r>
    <x v="5"/>
    <x v="0"/>
    <x v="14"/>
    <n v="158"/>
    <x v="5"/>
    <s v="Markos"/>
    <n v="0"/>
    <n v="3"/>
    <n v="10"/>
    <n v="0"/>
    <x v="2"/>
    <s v="vs Sakellariou"/>
    <n v="169"/>
    <n v="0.438"/>
    <n v="49"/>
    <n v="0.34499999999999997"/>
    <n v="0.76800000000000002"/>
    <n v="450"/>
    <n v="21"/>
    <n v="103"/>
    <n v="116"/>
    <n v="26"/>
    <n v="11"/>
    <n v="36"/>
    <n v="3.22"/>
  </r>
  <r>
    <x v="5"/>
    <x v="0"/>
    <x v="14"/>
    <n v="158"/>
    <x v="3"/>
    <s v="Sakellariou"/>
    <n v="1"/>
    <n v="10"/>
    <n v="3"/>
    <n v="0"/>
    <x v="4"/>
    <s v="vs Markos"/>
    <n v="209"/>
    <n v="0.495"/>
    <n v="68"/>
    <n v="0.436"/>
    <n v="0.82699999999999996"/>
    <n v="577"/>
    <n v="33"/>
    <n v="171"/>
    <n v="113"/>
    <n v="32"/>
    <n v="14"/>
    <n v="65"/>
    <n v="1.74"/>
  </r>
  <r>
    <x v="5"/>
    <x v="0"/>
    <x v="14"/>
    <n v="159"/>
    <x v="6"/>
    <s v="Tassos"/>
    <n v="1"/>
    <n v="11"/>
    <n v="2"/>
    <n v="0"/>
    <x v="14"/>
    <s v="vs Vasilis"/>
    <n v="196"/>
    <n v="0.48"/>
    <n v="52"/>
    <n v="0.38500000000000001"/>
    <n v="0.78700000000000003"/>
    <n v="540"/>
    <n v="40"/>
    <n v="114"/>
    <n v="119"/>
    <n v="36"/>
    <n v="17"/>
    <n v="53"/>
    <n v="2.25"/>
  </r>
  <r>
    <x v="5"/>
    <x v="0"/>
    <x v="14"/>
    <n v="159"/>
    <x v="15"/>
    <s v="Vasilis"/>
    <n v="0"/>
    <n v="2"/>
    <n v="11"/>
    <n v="0"/>
    <x v="7"/>
    <s v="vs Tassos"/>
    <n v="154"/>
    <n v="0.53500000000000003"/>
    <n v="34"/>
    <n v="0.34300000000000003"/>
    <n v="0.73899999999999999"/>
    <n v="393"/>
    <n v="36"/>
    <n v="113"/>
    <n v="101"/>
    <n v="22"/>
    <n v="21"/>
    <n v="55"/>
    <n v="1.84"/>
  </r>
  <r>
    <x v="5"/>
    <x v="0"/>
    <x v="14"/>
    <n v="160"/>
    <x v="21"/>
    <s v="Tzokos"/>
    <n v="1"/>
    <n v="9"/>
    <n v="3"/>
    <n v="1"/>
    <x v="24"/>
    <s v="vs Tolios"/>
    <n v="120"/>
    <n v="0.441"/>
    <n v="44"/>
    <n v="0.376"/>
    <n v="0.72299999999999998"/>
    <n v="318"/>
    <n v="32"/>
    <n v="97"/>
    <n v="70"/>
    <n v="29"/>
    <n v="17"/>
    <n v="36"/>
    <n v="1.94"/>
  </r>
  <r>
    <x v="5"/>
    <x v="0"/>
    <x v="14"/>
    <n v="160"/>
    <x v="24"/>
    <s v="Tolios"/>
    <n v="0"/>
    <n v="3"/>
    <n v="9"/>
    <n v="1"/>
    <x v="21"/>
    <s v="vs Tzokos"/>
    <n v="110"/>
    <n v="0.53700000000000003"/>
    <n v="22"/>
    <n v="0.373"/>
    <n v="0.70499999999999996"/>
    <n v="273"/>
    <n v="43"/>
    <n v="97"/>
    <n v="39"/>
    <n v="23"/>
    <n v="14"/>
    <n v="31"/>
    <n v="1.26"/>
  </r>
  <r>
    <x v="5"/>
    <x v="0"/>
    <x v="15"/>
    <n v="161"/>
    <x v="11"/>
    <s v="pi/Sotiris"/>
    <n v="0"/>
    <n v="3"/>
    <n v="10"/>
    <n v="0"/>
    <x v="19"/>
    <s v="vs Kotakis"/>
    <n v="189"/>
    <n v="0.47499999999999998"/>
    <n v="53"/>
    <n v="0.36099999999999999"/>
    <n v="0.79600000000000004"/>
    <n v="548"/>
    <n v="31"/>
    <n v="179"/>
    <n v="140"/>
    <n v="38"/>
    <n v="18"/>
    <n v="77"/>
    <n v="1.82"/>
  </r>
  <r>
    <x v="5"/>
    <x v="0"/>
    <x v="15"/>
    <n v="161"/>
    <x v="18"/>
    <s v="Kotakis"/>
    <n v="1"/>
    <n v="10"/>
    <n v="3"/>
    <n v="0"/>
    <x v="10"/>
    <s v="vs pi/Sotiris"/>
    <n v="238"/>
    <n v="0.51100000000000001"/>
    <n v="46"/>
    <n v="0.33300000000000002"/>
    <n v="0.81299999999999994"/>
    <n v="626"/>
    <n v="44"/>
    <n v="219"/>
    <n v="143"/>
    <n v="34"/>
    <n v="29"/>
    <n v="61"/>
    <n v="2.34"/>
  </r>
  <r>
    <x v="5"/>
    <x v="0"/>
    <x v="15"/>
    <n v="162"/>
    <x v="13"/>
    <s v="Kousidis"/>
    <n v="0"/>
    <n v="6"/>
    <n v="7"/>
    <n v="0"/>
    <x v="21"/>
    <s v="vs Tzokos"/>
    <n v="149"/>
    <n v="0.45800000000000002"/>
    <n v="33"/>
    <n v="0.28899999999999998"/>
    <n v="0.70199999999999996"/>
    <n v="390"/>
    <n v="45"/>
    <n v="130"/>
    <n v="79"/>
    <n v="13"/>
    <n v="13"/>
    <n v="45"/>
    <n v="1.76"/>
  </r>
  <r>
    <x v="5"/>
    <x v="0"/>
    <x v="15"/>
    <n v="162"/>
    <x v="21"/>
    <s v="Tzokos"/>
    <n v="1"/>
    <n v="7"/>
    <n v="6"/>
    <n v="0"/>
    <x v="12"/>
    <s v="vs Kousidis"/>
    <n v="131"/>
    <n v="0.47299999999999998"/>
    <n v="32"/>
    <n v="0.30499999999999999"/>
    <n v="0.746"/>
    <n v="344"/>
    <n v="34"/>
    <n v="102"/>
    <n v="67"/>
    <n v="24"/>
    <n v="18"/>
    <n v="27"/>
    <n v="2.48"/>
  </r>
  <r>
    <x v="5"/>
    <x v="0"/>
    <x v="15"/>
    <n v="163"/>
    <x v="1"/>
    <s v="Fanis"/>
    <n v="1"/>
    <n v="8"/>
    <n v="5"/>
    <n v="0"/>
    <x v="4"/>
    <s v="vs Markos"/>
    <n v="176"/>
    <n v="0.46200000000000002"/>
    <n v="43"/>
    <n v="0.33100000000000002"/>
    <n v="0.81499999999999995"/>
    <n v="496"/>
    <n v="40"/>
    <n v="135"/>
    <n v="115"/>
    <n v="38"/>
    <n v="15"/>
    <n v="60"/>
    <n v="1.92"/>
  </r>
  <r>
    <x v="5"/>
    <x v="0"/>
    <x v="15"/>
    <n v="163"/>
    <x v="5"/>
    <s v="Markos"/>
    <n v="0"/>
    <n v="5"/>
    <n v="8"/>
    <n v="0"/>
    <x v="0"/>
    <s v="vs Fanis"/>
    <n v="180"/>
    <n v="0.42399999999999999"/>
    <n v="48"/>
    <n v="0.29799999999999999"/>
    <n v="0.78200000000000003"/>
    <n v="494"/>
    <n v="39"/>
    <n v="147"/>
    <n v="114"/>
    <n v="20"/>
    <n v="12"/>
    <n v="46"/>
    <n v="2.48"/>
  </r>
  <r>
    <x v="5"/>
    <x v="0"/>
    <x v="15"/>
    <n v="164"/>
    <x v="9"/>
    <s v="Ziogas/Christof"/>
    <n v="0"/>
    <n v="5"/>
    <n v="8"/>
    <n v="0"/>
    <x v="26"/>
    <s v="vs Lafa"/>
    <n v="121"/>
    <n v="0.42499999999999999"/>
    <n v="42"/>
    <n v="0.28399999999999997"/>
    <n v="0.82499999999999996"/>
    <n v="350"/>
    <n v="27"/>
    <n v="131"/>
    <n v="93"/>
    <n v="28"/>
    <n v="11"/>
    <n v="50"/>
    <n v="1.86"/>
  </r>
  <r>
    <x v="5"/>
    <x v="0"/>
    <x v="15"/>
    <n v="164"/>
    <x v="26"/>
    <s v="Lafa"/>
    <n v="1"/>
    <n v="8"/>
    <n v="5"/>
    <n v="0"/>
    <x v="8"/>
    <s v="vs Ziogas/Christof"/>
    <n v="220"/>
    <n v="0.54600000000000004"/>
    <n v="31"/>
    <n v="0.34799999999999998"/>
    <n v="0.70899999999999996"/>
    <n v="595"/>
    <n v="54"/>
    <n v="185"/>
    <n v="88"/>
    <n v="37"/>
    <n v="12"/>
    <n v="64"/>
    <n v="1.38"/>
  </r>
  <r>
    <x v="5"/>
    <x v="0"/>
    <x v="15"/>
    <n v="165"/>
    <x v="24"/>
    <s v="Tolios"/>
    <n v="0"/>
    <n v="5"/>
    <n v="8"/>
    <n v="0"/>
    <x v="16"/>
    <s v="vs Spiridaus/Oladipas"/>
    <n v="140"/>
    <n v="0.47"/>
    <n v="36"/>
    <n v="0.35599999999999998"/>
    <n v="0.70599999999999996"/>
    <n v="364"/>
    <n v="61"/>
    <n v="111"/>
    <n v="54"/>
    <n v="39"/>
    <n v="16"/>
    <n v="39"/>
    <n v="1.38"/>
  </r>
  <r>
    <x v="5"/>
    <x v="0"/>
    <x v="15"/>
    <n v="165"/>
    <x v="17"/>
    <s v="Spiridaus/Oladipas"/>
    <n v="1"/>
    <n v="8"/>
    <n v="5"/>
    <n v="0"/>
    <x v="24"/>
    <s v="vs Tolios"/>
    <n v="198"/>
    <n v="0.55900000000000005"/>
    <n v="22"/>
    <n v="0.32400000000000001"/>
    <n v="0.79100000000000004"/>
    <n v="490"/>
    <n v="52"/>
    <n v="153"/>
    <n v="97"/>
    <n v="30"/>
    <n v="19"/>
    <n v="57"/>
    <n v="1.7"/>
  </r>
  <r>
    <x v="5"/>
    <x v="0"/>
    <x v="15"/>
    <n v="166"/>
    <x v="7"/>
    <s v="Johnny"/>
    <n v="1"/>
    <n v="7"/>
    <n v="6"/>
    <n v="0"/>
    <x v="25"/>
    <s v="vs Arvanitis"/>
    <n v="162"/>
    <n v="0.44600000000000001"/>
    <n v="53"/>
    <n v="0.39800000000000002"/>
    <n v="0.75800000000000001"/>
    <n v="452"/>
    <n v="47"/>
    <n v="115"/>
    <n v="125"/>
    <n v="29"/>
    <n v="10"/>
    <n v="69"/>
    <n v="1.81"/>
  </r>
  <r>
    <x v="5"/>
    <x v="0"/>
    <x v="15"/>
    <n v="166"/>
    <x v="25"/>
    <s v="Arvanitis"/>
    <n v="0"/>
    <n v="6"/>
    <n v="7"/>
    <n v="0"/>
    <x v="6"/>
    <s v="vs Johnny"/>
    <n v="106"/>
    <n v="0.505"/>
    <n v="28"/>
    <n v="0.43099999999999999"/>
    <n v="0.72299999999999998"/>
    <n v="287"/>
    <n v="48"/>
    <n v="105"/>
    <n v="52"/>
    <n v="30"/>
    <n v="21"/>
    <n v="36"/>
    <n v="1.44"/>
  </r>
  <r>
    <x v="5"/>
    <x v="0"/>
    <x v="15"/>
    <n v="167"/>
    <x v="2"/>
    <s v="Fountos"/>
    <n v="0"/>
    <n v="3"/>
    <n v="10"/>
    <n v="0"/>
    <x v="17"/>
    <s v="vs Aris"/>
    <n v="179"/>
    <n v="0.49299999999999999"/>
    <n v="47"/>
    <n v="0.36699999999999999"/>
    <n v="0.78900000000000003"/>
    <n v="480"/>
    <n v="42"/>
    <n v="137"/>
    <n v="110"/>
    <n v="18"/>
    <n v="11"/>
    <n v="42"/>
    <n v="2.62"/>
  </r>
  <r>
    <x v="5"/>
    <x v="0"/>
    <x v="15"/>
    <n v="167"/>
    <x v="16"/>
    <s v="Aris"/>
    <n v="1"/>
    <n v="10"/>
    <n v="3"/>
    <n v="0"/>
    <x v="3"/>
    <s v="vs Fountos"/>
    <n v="240"/>
    <n v="0.49399999999999999"/>
    <n v="87"/>
    <n v="0.43099999999999999"/>
    <n v="0.82599999999999996"/>
    <n v="676"/>
    <n v="27"/>
    <n v="148"/>
    <n v="150"/>
    <n v="26"/>
    <n v="22"/>
    <n v="82"/>
    <n v="1.83"/>
  </r>
  <r>
    <x v="5"/>
    <x v="0"/>
    <x v="15"/>
    <n v="168"/>
    <x v="23"/>
    <s v="Sarantos"/>
    <n v="0"/>
    <n v="4"/>
    <n v="9"/>
    <n v="0"/>
    <x v="13"/>
    <s v="vs Stavros"/>
    <n v="108"/>
    <n v="0.45800000000000002"/>
    <n v="40"/>
    <n v="0.36"/>
    <n v="0.66100000000000003"/>
    <n v="293"/>
    <n v="26"/>
    <n v="94"/>
    <n v="77"/>
    <n v="29"/>
    <n v="14"/>
    <n v="42"/>
    <n v="1.83"/>
  </r>
  <r>
    <x v="5"/>
    <x v="0"/>
    <x v="15"/>
    <n v="168"/>
    <x v="12"/>
    <s v="Stavros"/>
    <n v="1"/>
    <n v="9"/>
    <n v="4"/>
    <n v="0"/>
    <x v="23"/>
    <s v="vs Sarantos"/>
    <n v="153"/>
    <n v="0.47099999999999997"/>
    <n v="54"/>
    <n v="0.4"/>
    <n v="0.83699999999999997"/>
    <n v="447"/>
    <n v="24"/>
    <n v="93"/>
    <n v="88"/>
    <n v="16"/>
    <n v="7"/>
    <n v="29"/>
    <n v="3.03"/>
  </r>
  <r>
    <x v="5"/>
    <x v="0"/>
    <x v="15"/>
    <n v="169"/>
    <x v="20"/>
    <s v="Guru"/>
    <n v="0"/>
    <n v="4"/>
    <n v="9"/>
    <n v="0"/>
    <x v="7"/>
    <s v="vs Tassos"/>
    <n v="164"/>
    <n v="0.45300000000000001"/>
    <n v="64"/>
    <n v="0.36799999999999999"/>
    <n v="0.71"/>
    <n v="458"/>
    <n v="24"/>
    <n v="116"/>
    <n v="126"/>
    <n v="24"/>
    <n v="9"/>
    <n v="58"/>
    <n v="2.17"/>
  </r>
  <r>
    <x v="5"/>
    <x v="0"/>
    <x v="15"/>
    <n v="169"/>
    <x v="6"/>
    <s v="Tassos"/>
    <n v="1"/>
    <n v="9"/>
    <n v="4"/>
    <n v="0"/>
    <x v="20"/>
    <s v="vs Guru"/>
    <n v="190"/>
    <n v="0.5"/>
    <n v="38"/>
    <n v="0.32800000000000001"/>
    <n v="0.83799999999999997"/>
    <n v="501"/>
    <n v="54"/>
    <n v="125"/>
    <n v="113"/>
    <n v="20"/>
    <n v="28"/>
    <n v="44"/>
    <n v="2.57"/>
  </r>
  <r>
    <x v="5"/>
    <x v="0"/>
    <x v="15"/>
    <n v="170"/>
    <x v="15"/>
    <s v="Vasilis"/>
    <n v="0"/>
    <n v="5"/>
    <n v="7"/>
    <n v="1"/>
    <x v="2"/>
    <s v="vs Sakellariou"/>
    <n v="165"/>
    <n v="0.51700000000000002"/>
    <n v="55"/>
    <n v="0.45100000000000001"/>
    <n v="0.77800000000000002"/>
    <n v="469"/>
    <n v="50"/>
    <n v="121"/>
    <n v="101"/>
    <n v="28"/>
    <n v="18"/>
    <n v="56"/>
    <n v="1.8"/>
  </r>
  <r>
    <x v="5"/>
    <x v="0"/>
    <x v="15"/>
    <n v="170"/>
    <x v="3"/>
    <s v="Sakellariou"/>
    <n v="1"/>
    <n v="7"/>
    <n v="5"/>
    <n v="1"/>
    <x v="14"/>
    <s v="vs Vasilis"/>
    <n v="188"/>
    <n v="0.47199999999999998"/>
    <n v="51"/>
    <n v="0.36199999999999999"/>
    <n v="0.86399999999999999"/>
    <n v="535"/>
    <n v="39"/>
    <n v="155"/>
    <n v="106"/>
    <n v="28"/>
    <n v="14"/>
    <n v="48"/>
    <n v="2.21"/>
  </r>
  <r>
    <x v="5"/>
    <x v="0"/>
    <x v="16"/>
    <n v="171"/>
    <x v="25"/>
    <s v="Arvanitis"/>
    <n v="0"/>
    <n v="5"/>
    <n v="8"/>
    <n v="0"/>
    <x v="3"/>
    <s v="vs Fountos"/>
    <n v="115"/>
    <n v="0.53200000000000003"/>
    <n v="25"/>
    <n v="0.373"/>
    <n v="0.67300000000000004"/>
    <n v="288"/>
    <n v="43"/>
    <n v="107"/>
    <n v="47"/>
    <n v="23"/>
    <n v="22"/>
    <n v="30"/>
    <n v="1.57"/>
  </r>
  <r>
    <x v="5"/>
    <x v="0"/>
    <x v="16"/>
    <n v="171"/>
    <x v="2"/>
    <s v="Fountos"/>
    <n v="1"/>
    <n v="8"/>
    <n v="5"/>
    <n v="0"/>
    <x v="25"/>
    <s v="vs Arvanitis"/>
    <n v="167"/>
    <n v="0.54200000000000004"/>
    <n v="45"/>
    <n v="0.40500000000000003"/>
    <n v="0.73599999999999999"/>
    <n v="443"/>
    <n v="28"/>
    <n v="105"/>
    <n v="95"/>
    <n v="14"/>
    <n v="17"/>
    <n v="50"/>
    <n v="1.9"/>
  </r>
  <r>
    <x v="5"/>
    <x v="0"/>
    <x v="16"/>
    <n v="172"/>
    <x v="12"/>
    <s v="Stavros"/>
    <n v="1"/>
    <n v="7"/>
    <n v="5"/>
    <n v="1"/>
    <x v="8"/>
    <s v="vs Ziogas/Christof"/>
    <n v="134"/>
    <n v="0.498"/>
    <n v="44"/>
    <n v="0.36399999999999999"/>
    <n v="0.83699999999999997"/>
    <n v="389"/>
    <n v="22"/>
    <n v="100"/>
    <n v="90"/>
    <n v="21"/>
    <n v="11"/>
    <n v="37"/>
    <n v="2.4300000000000002"/>
  </r>
  <r>
    <x v="5"/>
    <x v="0"/>
    <x v="16"/>
    <n v="172"/>
    <x v="9"/>
    <s v="Ziogas/Christof"/>
    <n v="0"/>
    <n v="5"/>
    <n v="7"/>
    <n v="1"/>
    <x v="13"/>
    <s v="vs Stavros"/>
    <n v="138"/>
    <n v="0.40799999999999997"/>
    <n v="56"/>
    <n v="0.32700000000000001"/>
    <n v="0.79"/>
    <n v="381"/>
    <n v="25"/>
    <n v="116"/>
    <n v="108"/>
    <n v="21"/>
    <n v="9"/>
    <n v="50"/>
    <n v="2.16"/>
  </r>
  <r>
    <x v="5"/>
    <x v="0"/>
    <x v="16"/>
    <n v="173"/>
    <x v="17"/>
    <s v="Spiridaus/Oladipas"/>
    <n v="1"/>
    <n v="11"/>
    <n v="2"/>
    <n v="0"/>
    <x v="12"/>
    <s v="vs Kousidis"/>
    <n v="193"/>
    <n v="0.56399999999999995"/>
    <n v="41"/>
    <n v="0.432"/>
    <n v="0.81599999999999995"/>
    <n v="511"/>
    <n v="45"/>
    <n v="107"/>
    <n v="88"/>
    <n v="27"/>
    <n v="24"/>
    <n v="58"/>
    <n v="1.52"/>
  </r>
  <r>
    <x v="5"/>
    <x v="0"/>
    <x v="16"/>
    <n v="173"/>
    <x v="13"/>
    <s v="Kousidis"/>
    <n v="0"/>
    <n v="2"/>
    <n v="11"/>
    <n v="0"/>
    <x v="16"/>
    <s v="vs Spiridaus/Oladipas"/>
    <n v="139"/>
    <n v="0.46500000000000002"/>
    <n v="23"/>
    <n v="0.24"/>
    <n v="0.79300000000000004"/>
    <n v="389"/>
    <n v="37"/>
    <n v="97"/>
    <n v="70"/>
    <n v="20"/>
    <n v="12"/>
    <n v="38"/>
    <n v="1.84"/>
  </r>
  <r>
    <x v="5"/>
    <x v="0"/>
    <x v="16"/>
    <n v="174"/>
    <x v="3"/>
    <s v="Sakellariou"/>
    <n v="1"/>
    <n v="9"/>
    <n v="4"/>
    <n v="0"/>
    <x v="20"/>
    <s v="vs Guru"/>
    <n v="198"/>
    <n v="0.50600000000000001"/>
    <n v="51"/>
    <n v="0.372"/>
    <n v="0.83499999999999996"/>
    <n v="548"/>
    <n v="46"/>
    <n v="148"/>
    <n v="94"/>
    <n v="33"/>
    <n v="15"/>
    <n v="62"/>
    <n v="1.52"/>
  </r>
  <r>
    <x v="5"/>
    <x v="0"/>
    <x v="16"/>
    <n v="174"/>
    <x v="20"/>
    <s v="Guru"/>
    <n v="0"/>
    <n v="4"/>
    <n v="9"/>
    <n v="0"/>
    <x v="2"/>
    <s v="vs Sakellariou"/>
    <n v="148"/>
    <n v="0.433"/>
    <n v="42"/>
    <n v="0.316"/>
    <n v="0.85499999999999998"/>
    <n v="444"/>
    <n v="16"/>
    <n v="96"/>
    <n v="120"/>
    <n v="29"/>
    <n v="11"/>
    <n v="56"/>
    <n v="2.14"/>
  </r>
  <r>
    <x v="5"/>
    <x v="0"/>
    <x v="16"/>
    <n v="175"/>
    <x v="16"/>
    <s v="Aris"/>
    <n v="0"/>
    <n v="5"/>
    <n v="8"/>
    <n v="0"/>
    <x v="23"/>
    <s v="vs Sarantos"/>
    <n v="124"/>
    <n v="0.438"/>
    <n v="36"/>
    <n v="0.33"/>
    <n v="0.75700000000000001"/>
    <n v="340"/>
    <n v="9"/>
    <n v="61"/>
    <n v="86"/>
    <n v="27"/>
    <n v="12"/>
    <n v="40"/>
    <n v="2.15"/>
  </r>
  <r>
    <x v="5"/>
    <x v="0"/>
    <x v="16"/>
    <n v="175"/>
    <x v="23"/>
    <s v="Sarantos"/>
    <n v="1"/>
    <n v="8"/>
    <n v="5"/>
    <n v="0"/>
    <x v="17"/>
    <s v="vs Aris"/>
    <n v="123"/>
    <n v="0.498"/>
    <n v="41"/>
    <n v="0.38300000000000001"/>
    <n v="0.75600000000000001"/>
    <n v="321"/>
    <n v="26"/>
    <n v="89"/>
    <n v="70"/>
    <n v="25"/>
    <n v="15"/>
    <n v="29"/>
    <n v="2.41"/>
  </r>
  <r>
    <x v="5"/>
    <x v="0"/>
    <x v="16"/>
    <n v="176"/>
    <x v="18"/>
    <s v="Kotakis"/>
    <n v="1"/>
    <n v="12"/>
    <n v="1"/>
    <n v="0"/>
    <x v="26"/>
    <s v="vs Lafa"/>
    <n v="191"/>
    <n v="0.51600000000000001"/>
    <n v="38"/>
    <n v="0.34899999999999998"/>
    <n v="0.81200000000000006"/>
    <n v="502"/>
    <n v="50"/>
    <n v="173"/>
    <n v="127"/>
    <n v="34"/>
    <n v="22"/>
    <n v="47"/>
    <n v="2.7"/>
  </r>
  <r>
    <x v="5"/>
    <x v="0"/>
    <x v="16"/>
    <n v="176"/>
    <x v="26"/>
    <s v="Lafa"/>
    <n v="0"/>
    <n v="1"/>
    <n v="12"/>
    <n v="0"/>
    <x v="19"/>
    <s v="vs Kotakis"/>
    <n v="154"/>
    <n v="0.45300000000000001"/>
    <n v="21"/>
    <n v="0.28000000000000003"/>
    <n v="0.82099999999999995"/>
    <n v="416"/>
    <n v="48"/>
    <n v="145"/>
    <n v="101"/>
    <n v="23"/>
    <n v="13"/>
    <n v="52"/>
    <n v="1.94"/>
  </r>
  <r>
    <x v="5"/>
    <x v="0"/>
    <x v="16"/>
    <n v="177"/>
    <x v="5"/>
    <s v="Markos"/>
    <n v="1"/>
    <n v="10"/>
    <n v="2"/>
    <n v="1"/>
    <x v="24"/>
    <s v="vs Tolios"/>
    <n v="192"/>
    <n v="0.47199999999999998"/>
    <n v="61"/>
    <n v="0.36099999999999999"/>
    <n v="0.73099999999999998"/>
    <n v="532"/>
    <n v="30"/>
    <n v="127"/>
    <n v="96"/>
    <n v="35"/>
    <n v="17"/>
    <n v="38"/>
    <n v="2.5299999999999998"/>
  </r>
  <r>
    <x v="5"/>
    <x v="0"/>
    <x v="16"/>
    <n v="177"/>
    <x v="24"/>
    <s v="Tolios"/>
    <n v="0"/>
    <n v="2"/>
    <n v="10"/>
    <n v="1"/>
    <x v="4"/>
    <s v="vs Markos"/>
    <n v="119"/>
    <n v="0.45600000000000002"/>
    <n v="25"/>
    <n v="0.313"/>
    <n v="0.71"/>
    <n v="307"/>
    <n v="50"/>
    <n v="108"/>
    <n v="60"/>
    <n v="32"/>
    <n v="17"/>
    <n v="28"/>
    <n v="2.14"/>
  </r>
  <r>
    <x v="5"/>
    <x v="0"/>
    <x v="16"/>
    <n v="178"/>
    <x v="6"/>
    <s v="Tassos"/>
    <n v="1"/>
    <n v="9"/>
    <n v="4"/>
    <n v="0"/>
    <x v="6"/>
    <s v="vs Johnny"/>
    <n v="201"/>
    <n v="0.55400000000000005"/>
    <n v="60"/>
    <n v="0.45800000000000002"/>
    <n v="0.877"/>
    <n v="569"/>
    <n v="29"/>
    <n v="103"/>
    <n v="112"/>
    <n v="32"/>
    <n v="26"/>
    <n v="55"/>
    <n v="2.04"/>
  </r>
  <r>
    <x v="5"/>
    <x v="0"/>
    <x v="16"/>
    <n v="178"/>
    <x v="7"/>
    <s v="Johnny"/>
    <n v="0"/>
    <n v="4"/>
    <n v="9"/>
    <n v="0"/>
    <x v="7"/>
    <s v="vs Tassos"/>
    <n v="145"/>
    <n v="0.443"/>
    <n v="38"/>
    <n v="0.29699999999999999"/>
    <n v="0.81399999999999995"/>
    <n v="411"/>
    <n v="26"/>
    <n v="104"/>
    <n v="128"/>
    <n v="20"/>
    <n v="16"/>
    <n v="47"/>
    <n v="2.72"/>
  </r>
  <r>
    <x v="5"/>
    <x v="0"/>
    <x v="16"/>
    <n v="179"/>
    <x v="21"/>
    <s v="Tzokos"/>
    <n v="1"/>
    <n v="7"/>
    <n v="4"/>
    <n v="2"/>
    <x v="10"/>
    <s v="vs pi/Sotiris"/>
    <n v="172"/>
    <n v="0.49099999999999999"/>
    <n v="37"/>
    <n v="0.28699999999999998"/>
    <n v="0.80200000000000005"/>
    <n v="450"/>
    <n v="37"/>
    <n v="147"/>
    <n v="78"/>
    <n v="35"/>
    <n v="16"/>
    <n v="57"/>
    <n v="1.37"/>
  </r>
  <r>
    <x v="5"/>
    <x v="0"/>
    <x v="16"/>
    <n v="179"/>
    <x v="11"/>
    <s v="pi/Sotiris"/>
    <n v="0"/>
    <n v="4"/>
    <n v="7"/>
    <n v="2"/>
    <x v="21"/>
    <s v="vs Tzokos"/>
    <n v="185"/>
    <n v="0.48599999999999999"/>
    <n v="33"/>
    <n v="0.27"/>
    <n v="0.79700000000000004"/>
    <n v="509"/>
    <n v="37"/>
    <n v="138"/>
    <n v="110"/>
    <n v="21"/>
    <n v="16"/>
    <n v="64"/>
    <n v="1.72"/>
  </r>
  <r>
    <x v="5"/>
    <x v="0"/>
    <x v="16"/>
    <n v="180"/>
    <x v="15"/>
    <s v="Vasilis"/>
    <n v="0"/>
    <n v="4"/>
    <n v="9"/>
    <n v="0"/>
    <x v="0"/>
    <s v="vs Fanis"/>
    <n v="110"/>
    <n v="0.47599999999999998"/>
    <n v="29"/>
    <n v="0.372"/>
    <n v="0.86799999999999999"/>
    <n v="295"/>
    <n v="37"/>
    <n v="116"/>
    <n v="101"/>
    <n v="14"/>
    <n v="13"/>
    <n v="40"/>
    <n v="2.52"/>
  </r>
  <r>
    <x v="5"/>
    <x v="0"/>
    <x v="16"/>
    <n v="180"/>
    <x v="1"/>
    <s v="Fanis"/>
    <n v="1"/>
    <n v="9"/>
    <n v="4"/>
    <n v="0"/>
    <x v="14"/>
    <s v="vs Vasilis"/>
    <n v="200"/>
    <n v="0.47799999999999998"/>
    <n v="60"/>
    <n v="0.39500000000000002"/>
    <n v="0.79800000000000004"/>
    <n v="551"/>
    <n v="31"/>
    <n v="135"/>
    <n v="154"/>
    <n v="27"/>
    <n v="15"/>
    <n v="63"/>
    <n v="2.44"/>
  </r>
  <r>
    <x v="5"/>
    <x v="0"/>
    <x v="17"/>
    <n v="181"/>
    <x v="26"/>
    <s v="Lafa"/>
    <n v="1"/>
    <n v="8"/>
    <n v="5"/>
    <n v="0"/>
    <x v="21"/>
    <s v="vs Tzokos"/>
    <n v="232"/>
    <n v="0.55800000000000005"/>
    <n v="34"/>
    <n v="0.35099999999999998"/>
    <n v="0.77400000000000002"/>
    <n v="649"/>
    <n v="80"/>
    <n v="232"/>
    <n v="152"/>
    <n v="33"/>
    <n v="30"/>
    <n v="75"/>
    <n v="2.0299999999999998"/>
  </r>
  <r>
    <x v="5"/>
    <x v="0"/>
    <x v="17"/>
    <n v="181"/>
    <x v="21"/>
    <s v="Tzokos"/>
    <n v="0"/>
    <n v="5"/>
    <n v="8"/>
    <n v="0"/>
    <x v="26"/>
    <s v="vs Lafa"/>
    <n v="221"/>
    <n v="0.501"/>
    <n v="70"/>
    <n v="0.39100000000000001"/>
    <n v="0.77700000000000002"/>
    <n v="599"/>
    <n v="49"/>
    <n v="152"/>
    <n v="84"/>
    <n v="46"/>
    <n v="29"/>
    <n v="48"/>
    <n v="1.75"/>
  </r>
  <r>
    <x v="5"/>
    <x v="0"/>
    <x v="17"/>
    <n v="182"/>
    <x v="11"/>
    <s v="pi/Sotiris"/>
    <n v="0"/>
    <n v="3"/>
    <n v="10"/>
    <n v="0"/>
    <x v="16"/>
    <s v="vs Spiridaus/Oladipas"/>
    <n v="234"/>
    <n v="0.502"/>
    <n v="38"/>
    <n v="0.31900000000000001"/>
    <n v="0.84699999999999998"/>
    <n v="633"/>
    <n v="44"/>
    <n v="177"/>
    <n v="145"/>
    <n v="22"/>
    <n v="12"/>
    <n v="71"/>
    <n v="2.04"/>
  </r>
  <r>
    <x v="5"/>
    <x v="0"/>
    <x v="17"/>
    <n v="182"/>
    <x v="17"/>
    <s v="Spiridaus/Oladipas"/>
    <n v="1"/>
    <n v="10"/>
    <n v="3"/>
    <n v="0"/>
    <x v="10"/>
    <s v="vs pi/Sotiris"/>
    <n v="247"/>
    <n v="0.48"/>
    <n v="51"/>
    <n v="0.34"/>
    <n v="0.81499999999999995"/>
    <n v="668"/>
    <n v="61"/>
    <n v="173"/>
    <n v="163"/>
    <n v="31"/>
    <n v="32"/>
    <n v="66"/>
    <n v="2.4700000000000002"/>
  </r>
  <r>
    <x v="5"/>
    <x v="0"/>
    <x v="17"/>
    <n v="183"/>
    <x v="13"/>
    <s v="Kousidis"/>
    <n v="1"/>
    <n v="7"/>
    <n v="6"/>
    <n v="0"/>
    <x v="4"/>
    <s v="vs Markos"/>
    <n v="191"/>
    <n v="0.46899999999999997"/>
    <n v="50"/>
    <n v="0.35699999999999998"/>
    <n v="0.8"/>
    <n v="528"/>
    <n v="40"/>
    <n v="141"/>
    <n v="112"/>
    <n v="19"/>
    <n v="11"/>
    <n v="83"/>
    <n v="1.35"/>
  </r>
  <r>
    <x v="5"/>
    <x v="0"/>
    <x v="17"/>
    <n v="183"/>
    <x v="5"/>
    <s v="Markos"/>
    <n v="0"/>
    <n v="6"/>
    <n v="7"/>
    <n v="0"/>
    <x v="12"/>
    <s v="vs Kousidis"/>
    <n v="174"/>
    <n v="0.46200000000000002"/>
    <n v="67"/>
    <n v="0.39600000000000002"/>
    <n v="0.75"/>
    <n v="496"/>
    <n v="23"/>
    <n v="127"/>
    <n v="96"/>
    <n v="25"/>
    <n v="22"/>
    <n v="40"/>
    <n v="2.4"/>
  </r>
  <r>
    <x v="5"/>
    <x v="0"/>
    <x v="17"/>
    <n v="184"/>
    <x v="9"/>
    <s v="Ziogas/Christof"/>
    <n v="0"/>
    <n v="3"/>
    <n v="10"/>
    <n v="0"/>
    <x v="19"/>
    <s v="vs Kotakis"/>
    <n v="169"/>
    <n v="0.47299999999999998"/>
    <n v="67"/>
    <n v="0.36799999999999999"/>
    <n v="0.86799999999999999"/>
    <n v="471"/>
    <n v="22"/>
    <n v="121"/>
    <n v="86"/>
    <n v="19"/>
    <n v="12"/>
    <n v="45"/>
    <n v="1.91"/>
  </r>
  <r>
    <x v="5"/>
    <x v="0"/>
    <x v="17"/>
    <n v="184"/>
    <x v="18"/>
    <s v="Kotakis"/>
    <n v="1"/>
    <n v="10"/>
    <n v="3"/>
    <n v="0"/>
    <x v="8"/>
    <s v="vs Ziogas/Christof"/>
    <n v="234"/>
    <n v="0.53300000000000003"/>
    <n v="48"/>
    <n v="0.375"/>
    <n v="0.82399999999999995"/>
    <n v="633"/>
    <n v="63"/>
    <n v="211"/>
    <n v="139"/>
    <n v="36"/>
    <n v="38"/>
    <n v="72"/>
    <n v="1.93"/>
  </r>
  <r>
    <x v="5"/>
    <x v="0"/>
    <x v="17"/>
    <n v="185"/>
    <x v="12"/>
    <s v="Stavros"/>
    <n v="0"/>
    <n v="6"/>
    <n v="7"/>
    <n v="0"/>
    <x v="17"/>
    <s v="vs Aris"/>
    <n v="183"/>
    <n v="0.46600000000000003"/>
    <n v="64"/>
    <n v="0.372"/>
    <n v="0.82499999999999996"/>
    <n v="510"/>
    <n v="55"/>
    <n v="129"/>
    <n v="80"/>
    <n v="17"/>
    <n v="10"/>
    <n v="50"/>
    <n v="1.6"/>
  </r>
  <r>
    <x v="5"/>
    <x v="0"/>
    <x v="17"/>
    <n v="185"/>
    <x v="16"/>
    <s v="Aris"/>
    <n v="1"/>
    <n v="7"/>
    <n v="6"/>
    <n v="0"/>
    <x v="13"/>
    <s v="vs Stavros"/>
    <n v="177"/>
    <n v="0.47599999999999998"/>
    <n v="60"/>
    <n v="0.42599999999999999"/>
    <n v="0.90300000000000002"/>
    <n v="479"/>
    <n v="28"/>
    <n v="108"/>
    <n v="98"/>
    <n v="33"/>
    <n v="16"/>
    <n v="60"/>
    <n v="1.63"/>
  </r>
  <r>
    <x v="5"/>
    <x v="0"/>
    <x v="17"/>
    <n v="186"/>
    <x v="24"/>
    <s v="Tolios"/>
    <n v="1"/>
    <n v="8"/>
    <n v="5"/>
    <n v="0"/>
    <x v="14"/>
    <s v="vs Vasilis"/>
    <n v="160"/>
    <n v="0.52100000000000002"/>
    <n v="47"/>
    <n v="0.42299999999999999"/>
    <n v="0.77800000000000002"/>
    <n v="402"/>
    <n v="49"/>
    <n v="132"/>
    <n v="55"/>
    <n v="22"/>
    <n v="18"/>
    <n v="37"/>
    <n v="1.49"/>
  </r>
  <r>
    <x v="5"/>
    <x v="0"/>
    <x v="17"/>
    <n v="186"/>
    <x v="15"/>
    <s v="Vasilis"/>
    <n v="0"/>
    <n v="5"/>
    <n v="8"/>
    <n v="0"/>
    <x v="24"/>
    <s v="vs Tolios"/>
    <n v="129"/>
    <n v="0.39200000000000002"/>
    <n v="41"/>
    <n v="0.311"/>
    <n v="0.79700000000000004"/>
    <n v="350"/>
    <n v="60"/>
    <n v="112"/>
    <n v="116"/>
    <n v="23"/>
    <n v="9"/>
    <n v="56"/>
    <n v="2.0699999999999998"/>
  </r>
  <r>
    <x v="5"/>
    <x v="0"/>
    <x v="17"/>
    <n v="187"/>
    <x v="7"/>
    <s v="Johnny"/>
    <n v="1"/>
    <n v="7"/>
    <n v="6"/>
    <n v="0"/>
    <x v="2"/>
    <s v="vs Sakellariou"/>
    <n v="236"/>
    <n v="0.497"/>
    <n v="83"/>
    <n v="0.40899999999999997"/>
    <n v="0.78900000000000003"/>
    <n v="675"/>
    <n v="39"/>
    <n v="151"/>
    <n v="165"/>
    <n v="38"/>
    <n v="22"/>
    <n v="87"/>
    <n v="1.9"/>
  </r>
  <r>
    <x v="5"/>
    <x v="0"/>
    <x v="17"/>
    <n v="187"/>
    <x v="3"/>
    <s v="Sakellariou"/>
    <n v="0"/>
    <n v="6"/>
    <n v="7"/>
    <n v="0"/>
    <x v="6"/>
    <s v="vs Johnny"/>
    <n v="254"/>
    <n v="0.48399999999999999"/>
    <n v="76"/>
    <n v="0.40899999999999997"/>
    <n v="0.81899999999999995"/>
    <n v="706"/>
    <n v="49"/>
    <n v="189"/>
    <n v="133"/>
    <n v="32"/>
    <n v="21"/>
    <n v="77"/>
    <n v="1.73"/>
  </r>
  <r>
    <x v="5"/>
    <x v="0"/>
    <x v="17"/>
    <n v="188"/>
    <x v="2"/>
    <s v="Fountos"/>
    <n v="1"/>
    <n v="7"/>
    <n v="6"/>
    <n v="0"/>
    <x v="7"/>
    <s v="vs Tassos"/>
    <n v="247"/>
    <n v="0.46500000000000002"/>
    <n v="69"/>
    <n v="0.36099999999999999"/>
    <n v="0.77400000000000002"/>
    <n v="635"/>
    <n v="47"/>
    <n v="166"/>
    <n v="101"/>
    <n v="29"/>
    <n v="18"/>
    <n v="75"/>
    <n v="1.35"/>
  </r>
  <r>
    <x v="5"/>
    <x v="0"/>
    <x v="17"/>
    <n v="188"/>
    <x v="6"/>
    <s v="Tassos"/>
    <n v="0"/>
    <n v="6"/>
    <n v="7"/>
    <n v="0"/>
    <x v="3"/>
    <s v="vs Fountos"/>
    <n v="203"/>
    <n v="0.47499999999999998"/>
    <n v="47"/>
    <n v="0.33800000000000002"/>
    <n v="0.85699999999999998"/>
    <n v="573"/>
    <n v="40"/>
    <n v="119"/>
    <n v="133"/>
    <n v="28"/>
    <n v="26"/>
    <n v="62"/>
    <n v="2.15"/>
  </r>
  <r>
    <x v="5"/>
    <x v="0"/>
    <x v="17"/>
    <n v="189"/>
    <x v="23"/>
    <s v="Sarantos"/>
    <n v="0"/>
    <n v="6"/>
    <n v="6"/>
    <n v="1"/>
    <x v="25"/>
    <s v="vs Arvanitis"/>
    <n v="162"/>
    <n v="0.46200000000000002"/>
    <n v="55"/>
    <n v="0.377"/>
    <n v="0.79"/>
    <n v="458"/>
    <n v="38"/>
    <n v="124"/>
    <n v="84"/>
    <n v="43"/>
    <n v="21"/>
    <n v="59"/>
    <n v="1.42"/>
  </r>
  <r>
    <x v="5"/>
    <x v="0"/>
    <x v="17"/>
    <n v="189"/>
    <x v="25"/>
    <s v="Arvanitis"/>
    <n v="0"/>
    <n v="6"/>
    <n v="6"/>
    <n v="1"/>
    <x v="23"/>
    <s v="vs Sarantos"/>
    <n v="120"/>
    <n v="0.496"/>
    <n v="43"/>
    <n v="0.41299999999999998"/>
    <n v="0.63600000000000001"/>
    <n v="325"/>
    <n v="52"/>
    <n v="132"/>
    <n v="70"/>
    <n v="38"/>
    <n v="21"/>
    <n v="44"/>
    <n v="1.59"/>
  </r>
  <r>
    <x v="5"/>
    <x v="0"/>
    <x v="17"/>
    <n v="190"/>
    <x v="20"/>
    <s v="Guru"/>
    <n v="0"/>
    <n v="4"/>
    <n v="9"/>
    <n v="0"/>
    <x v="0"/>
    <s v="vs Fanis"/>
    <n v="153"/>
    <n v="0.47499999999999998"/>
    <n v="39"/>
    <n v="0.32800000000000001"/>
    <n v="0.71099999999999997"/>
    <n v="409"/>
    <n v="42"/>
    <n v="137"/>
    <n v="119"/>
    <n v="20"/>
    <n v="22"/>
    <n v="42"/>
    <n v="2.83"/>
  </r>
  <r>
    <x v="5"/>
    <x v="0"/>
    <x v="17"/>
    <n v="190"/>
    <x v="1"/>
    <s v="Fanis"/>
    <n v="1"/>
    <n v="9"/>
    <n v="4"/>
    <n v="0"/>
    <x v="20"/>
    <s v="vs Guru"/>
    <n v="237"/>
    <n v="0.45700000000000002"/>
    <n v="72"/>
    <n v="0.377"/>
    <n v="0.873"/>
    <n v="677"/>
    <n v="43"/>
    <n v="175"/>
    <n v="189"/>
    <n v="37"/>
    <n v="21"/>
    <n v="67"/>
    <n v="2.82"/>
  </r>
  <r>
    <x v="5"/>
    <x v="1"/>
    <x v="23"/>
    <n v="191"/>
    <x v="11"/>
    <s v="pi/Sotiris"/>
    <n v="0"/>
    <n v="5"/>
    <n v="8"/>
    <n v="0"/>
    <x v="20"/>
    <s v="vs Guru"/>
    <n v="206"/>
    <n v="0.47899999999999998"/>
    <n v="57"/>
    <n v="0.35"/>
    <n v="0.81200000000000006"/>
    <n v="594"/>
    <n v="35"/>
    <n v="123"/>
    <n v="141"/>
    <n v="21"/>
    <n v="18"/>
    <n v="61"/>
    <n v="2.31"/>
  </r>
  <r>
    <x v="5"/>
    <x v="1"/>
    <x v="23"/>
    <n v="191"/>
    <x v="20"/>
    <s v="Guru"/>
    <n v="1"/>
    <n v="8"/>
    <n v="5"/>
    <n v="0"/>
    <x v="10"/>
    <s v="vs pi/Sotiris"/>
    <n v="175"/>
    <n v="0.51900000000000002"/>
    <n v="64"/>
    <n v="0.42699999999999999"/>
    <n v="0.86"/>
    <n v="488"/>
    <n v="34"/>
    <n v="186"/>
    <n v="110"/>
    <n v="22"/>
    <n v="19"/>
    <n v="50"/>
    <n v="2.2000000000000002"/>
  </r>
  <r>
    <x v="5"/>
    <x v="1"/>
    <x v="23"/>
    <n v="192"/>
    <x v="1"/>
    <s v="Fanis"/>
    <n v="1"/>
    <n v="7"/>
    <n v="6"/>
    <n v="0"/>
    <x v="3"/>
    <s v="vs Fountos"/>
    <n v="188"/>
    <n v="0.48699999999999999"/>
    <n v="44"/>
    <n v="0.36699999999999999"/>
    <n v="0.81399999999999995"/>
    <n v="503"/>
    <n v="42"/>
    <n v="130"/>
    <n v="112"/>
    <n v="26"/>
    <n v="18"/>
    <n v="63"/>
    <n v="1.78"/>
  </r>
  <r>
    <x v="5"/>
    <x v="1"/>
    <x v="23"/>
    <n v="192"/>
    <x v="2"/>
    <s v="Fountos"/>
    <n v="0"/>
    <n v="6"/>
    <n v="7"/>
    <n v="0"/>
    <x v="0"/>
    <s v="vs Fanis"/>
    <n v="207"/>
    <n v="0.48099999999999998"/>
    <n v="47"/>
    <n v="0.38200000000000001"/>
    <n v="0.81200000000000006"/>
    <n v="543"/>
    <n v="43"/>
    <n v="137"/>
    <n v="96"/>
    <n v="21"/>
    <n v="10"/>
    <n v="67"/>
    <n v="1.43"/>
  </r>
  <r>
    <x v="5"/>
    <x v="1"/>
    <x v="23"/>
    <n v="193"/>
    <x v="26"/>
    <s v="Lafa"/>
    <n v="1"/>
    <n v="10"/>
    <n v="3"/>
    <n v="0"/>
    <x v="4"/>
    <s v="vs Markos"/>
    <n v="259"/>
    <n v="0.55500000000000005"/>
    <n v="37"/>
    <n v="0.378"/>
    <n v="0.79500000000000004"/>
    <n v="745"/>
    <n v="84"/>
    <n v="197"/>
    <n v="156"/>
    <n v="38"/>
    <n v="28"/>
    <n v="77"/>
    <n v="2.0299999999999998"/>
  </r>
  <r>
    <x v="5"/>
    <x v="1"/>
    <x v="23"/>
    <n v="193"/>
    <x v="5"/>
    <s v="Markos"/>
    <n v="0"/>
    <n v="3"/>
    <n v="10"/>
    <n v="0"/>
    <x v="26"/>
    <s v="vs Lafa"/>
    <n v="158"/>
    <n v="0.45800000000000002"/>
    <n v="55"/>
    <n v="0.372"/>
    <n v="0.78900000000000003"/>
    <n v="442"/>
    <n v="20"/>
    <n v="126"/>
    <n v="108"/>
    <n v="21"/>
    <n v="1"/>
    <n v="50"/>
    <n v="2.16"/>
  </r>
  <r>
    <x v="5"/>
    <x v="1"/>
    <x v="23"/>
    <n v="194"/>
    <x v="7"/>
    <s v="Johnny"/>
    <n v="1"/>
    <n v="11"/>
    <n v="2"/>
    <n v="0"/>
    <x v="21"/>
    <s v="vs Tzokos"/>
    <n v="197"/>
    <n v="0.499"/>
    <n v="58"/>
    <n v="0.38900000000000001"/>
    <n v="0.82299999999999995"/>
    <n v="554"/>
    <n v="63"/>
    <n v="120"/>
    <n v="147"/>
    <n v="32"/>
    <n v="25"/>
    <n v="59"/>
    <n v="2.4900000000000002"/>
  </r>
  <r>
    <x v="5"/>
    <x v="1"/>
    <x v="23"/>
    <n v="194"/>
    <x v="21"/>
    <s v="Tzokos"/>
    <n v="0"/>
    <n v="2"/>
    <n v="11"/>
    <n v="0"/>
    <x v="6"/>
    <s v="vs Johnny"/>
    <n v="153"/>
    <n v="0.497"/>
    <n v="48"/>
    <n v="0.40699999999999997"/>
    <n v="0.81499999999999995"/>
    <n v="407"/>
    <n v="22"/>
    <n v="99"/>
    <n v="77"/>
    <n v="20"/>
    <n v="16"/>
    <n v="43"/>
    <n v="1.79"/>
  </r>
  <r>
    <x v="5"/>
    <x v="1"/>
    <x v="19"/>
    <n v="195"/>
    <x v="6"/>
    <s v="Tassos"/>
    <n v="1"/>
    <n v="9"/>
    <n v="4"/>
    <n v="0"/>
    <x v="20"/>
    <s v="vs Guru"/>
    <n v="120"/>
    <n v="0.52200000000000002"/>
    <n v="36"/>
    <n v="0.40899999999999997"/>
    <n v="0.877"/>
    <n v="347"/>
    <n v="12"/>
    <n v="78"/>
    <n v="92"/>
    <n v="17"/>
    <n v="12"/>
    <n v="34"/>
    <n v="2.71"/>
  </r>
  <r>
    <x v="5"/>
    <x v="1"/>
    <x v="19"/>
    <n v="195"/>
    <x v="20"/>
    <s v="Guru"/>
    <n v="0"/>
    <n v="4"/>
    <n v="9"/>
    <n v="0"/>
    <x v="7"/>
    <s v="vs Tassos"/>
    <n v="63"/>
    <n v="0.52100000000000002"/>
    <n v="32"/>
    <n v="0.52500000000000002"/>
    <n v="0.69"/>
    <n v="178"/>
    <n v="11"/>
    <n v="49"/>
    <n v="48"/>
    <n v="18"/>
    <n v="3"/>
    <n v="14"/>
    <n v="3.43"/>
  </r>
  <r>
    <x v="5"/>
    <x v="1"/>
    <x v="19"/>
    <n v="196"/>
    <x v="17"/>
    <s v="Spiridaus/Oladipas"/>
    <n v="0"/>
    <n v="5"/>
    <n v="7"/>
    <n v="1"/>
    <x v="0"/>
    <s v="vs Fanis"/>
    <n v="88"/>
    <n v="0.47799999999999998"/>
    <n v="21"/>
    <n v="0.38900000000000001"/>
    <n v="0.74399999999999999"/>
    <n v="229"/>
    <n v="17"/>
    <n v="62"/>
    <n v="52"/>
    <n v="14"/>
    <n v="5"/>
    <n v="19"/>
    <n v="2.74"/>
  </r>
  <r>
    <x v="5"/>
    <x v="1"/>
    <x v="19"/>
    <n v="196"/>
    <x v="1"/>
    <s v="Fanis"/>
    <n v="1"/>
    <n v="7"/>
    <n v="5"/>
    <n v="1"/>
    <x v="16"/>
    <s v="vs Spiridaus/Oladipas"/>
    <n v="110"/>
    <n v="0.56100000000000005"/>
    <n v="33"/>
    <n v="0.47799999999999998"/>
    <n v="0.93799999999999994"/>
    <n v="313"/>
    <n v="13"/>
    <n v="45"/>
    <n v="50"/>
    <n v="14"/>
    <n v="8"/>
    <n v="33"/>
    <n v="1.52"/>
  </r>
  <r>
    <x v="5"/>
    <x v="1"/>
    <x v="19"/>
    <n v="197"/>
    <x v="3"/>
    <s v="Sakellariou"/>
    <n v="1"/>
    <n v="10"/>
    <n v="3"/>
    <n v="0"/>
    <x v="26"/>
    <s v="vs Lafa"/>
    <n v="115"/>
    <n v="0.54500000000000004"/>
    <n v="33"/>
    <n v="0.40699999999999997"/>
    <n v="0.77300000000000002"/>
    <n v="297"/>
    <n v="29"/>
    <n v="64"/>
    <n v="56"/>
    <n v="19"/>
    <n v="10"/>
    <n v="31"/>
    <n v="1.81"/>
  </r>
  <r>
    <x v="5"/>
    <x v="1"/>
    <x v="19"/>
    <n v="197"/>
    <x v="26"/>
    <s v="Lafa"/>
    <n v="0"/>
    <n v="3"/>
    <n v="10"/>
    <n v="0"/>
    <x v="2"/>
    <s v="vs Sakellariou"/>
    <n v="73"/>
    <n v="0.50700000000000001"/>
    <n v="11"/>
    <n v="0.379"/>
    <n v="0.75700000000000001"/>
    <n v="210"/>
    <n v="23"/>
    <n v="74"/>
    <n v="62"/>
    <n v="24"/>
    <n v="8"/>
    <n v="37"/>
    <n v="1.68"/>
  </r>
  <r>
    <x v="5"/>
    <x v="1"/>
    <x v="19"/>
    <n v="198"/>
    <x v="18"/>
    <s v="Kotakis"/>
    <n v="1"/>
    <n v="10"/>
    <n v="3"/>
    <n v="0"/>
    <x v="6"/>
    <s v="vs Johnny"/>
    <n v="105"/>
    <n v="0.505"/>
    <n v="29"/>
    <n v="0.42"/>
    <n v="0.875"/>
    <n v="295"/>
    <n v="27"/>
    <n v="75"/>
    <n v="97"/>
    <n v="21"/>
    <n v="24"/>
    <n v="40"/>
    <n v="2.42"/>
  </r>
  <r>
    <x v="5"/>
    <x v="1"/>
    <x v="19"/>
    <n v="198"/>
    <x v="7"/>
    <s v="Johnny"/>
    <n v="0"/>
    <n v="3"/>
    <n v="10"/>
    <n v="0"/>
    <x v="19"/>
    <s v="vs Kotakis"/>
    <n v="103"/>
    <n v="0.44"/>
    <n v="30"/>
    <n v="0.33700000000000002"/>
    <n v="0.81"/>
    <n v="283"/>
    <n v="31"/>
    <n v="62"/>
    <n v="86"/>
    <n v="20"/>
    <n v="6"/>
    <n v="39"/>
    <n v="2.21"/>
  </r>
  <r>
    <x v="5"/>
    <x v="1"/>
    <x v="20"/>
    <n v="199"/>
    <x v="6"/>
    <s v="Tassos"/>
    <n v="1"/>
    <n v="7"/>
    <n v="6"/>
    <n v="0"/>
    <x v="0"/>
    <s v="vs Fanis"/>
    <n v="206"/>
    <n v="0.51500000000000001"/>
    <n v="42"/>
    <n v="0.38500000000000001"/>
    <n v="0.80500000000000005"/>
    <n v="545"/>
    <n v="42"/>
    <n v="136"/>
    <n v="101"/>
    <n v="18"/>
    <n v="26"/>
    <n v="52"/>
    <n v="1.94"/>
  </r>
  <r>
    <x v="5"/>
    <x v="1"/>
    <x v="20"/>
    <n v="199"/>
    <x v="1"/>
    <s v="Fanis"/>
    <n v="0"/>
    <n v="6"/>
    <n v="7"/>
    <n v="0"/>
    <x v="7"/>
    <s v="vs Tassos"/>
    <n v="175"/>
    <n v="0.504"/>
    <n v="52"/>
    <n v="0.39100000000000001"/>
    <n v="0.86699999999999999"/>
    <n v="487"/>
    <n v="35"/>
    <n v="117"/>
    <n v="117"/>
    <n v="21"/>
    <n v="24"/>
    <n v="54"/>
    <n v="2.17"/>
  </r>
  <r>
    <x v="5"/>
    <x v="1"/>
    <x v="20"/>
    <n v="200"/>
    <x v="18"/>
    <s v="Kotakis"/>
    <n v="1"/>
    <n v="12"/>
    <n v="1"/>
    <n v="0"/>
    <x v="2"/>
    <s v="vs Sakellariou"/>
    <n v="249"/>
    <n v="0.52300000000000002"/>
    <n v="62"/>
    <n v="0.38800000000000001"/>
    <n v="0.83499999999999996"/>
    <n v="651"/>
    <n v="57"/>
    <n v="187"/>
    <n v="140"/>
    <n v="34"/>
    <n v="33"/>
    <n v="57"/>
    <n v="2.46"/>
  </r>
  <r>
    <x v="5"/>
    <x v="1"/>
    <x v="20"/>
    <n v="200"/>
    <x v="3"/>
    <s v="Sakellariou"/>
    <n v="0"/>
    <n v="1"/>
    <n v="12"/>
    <n v="0"/>
    <x v="19"/>
    <s v="vs Kotakis"/>
    <n v="177"/>
    <n v="0.45"/>
    <n v="43"/>
    <n v="0.29299999999999998"/>
    <n v="0.80900000000000005"/>
    <n v="503"/>
    <n v="38"/>
    <n v="145"/>
    <n v="118"/>
    <n v="43"/>
    <n v="24"/>
    <n v="68"/>
    <n v="1.74"/>
  </r>
  <r>
    <x v="5"/>
    <x v="1"/>
    <x v="21"/>
    <n v="201"/>
    <x v="6"/>
    <s v="Tassos"/>
    <n v="0"/>
    <n v="1"/>
    <n v="11"/>
    <n v="1"/>
    <x v="19"/>
    <s v="vs Kotakis"/>
    <n v="216"/>
    <n v="0.498"/>
    <n v="39"/>
    <n v="0.32"/>
    <n v="0.81"/>
    <n v="590"/>
    <n v="40"/>
    <n v="161"/>
    <n v="124"/>
    <n v="38"/>
    <n v="24"/>
    <n v="67"/>
    <n v="1.85"/>
  </r>
  <r>
    <x v="5"/>
    <x v="1"/>
    <x v="21"/>
    <n v="201"/>
    <x v="18"/>
    <s v="Kotakis"/>
    <n v="1"/>
    <n v="11"/>
    <n v="1"/>
    <n v="1"/>
    <x v="7"/>
    <s v="vs Tassos"/>
    <n v="224"/>
    <n v="0.51600000000000001"/>
    <n v="56"/>
    <n v="0.36599999999999999"/>
    <n v="0.81100000000000005"/>
    <n v="603"/>
    <n v="44"/>
    <n v="175"/>
    <n v="139"/>
    <n v="47"/>
    <n v="24"/>
    <n v="70"/>
    <n v="1.99"/>
  </r>
  <r>
    <x v="5"/>
    <x v="1"/>
    <x v="22"/>
    <n v="202"/>
    <x v="1"/>
    <s v="Fanis"/>
    <n v="1"/>
    <n v="11"/>
    <n v="2"/>
    <n v="0"/>
    <x v="2"/>
    <s v="vs Sakellariou"/>
    <n v="201"/>
    <n v="0.499"/>
    <n v="87"/>
    <n v="0.46500000000000002"/>
    <n v="0.84399999999999997"/>
    <n v="613"/>
    <n v="31"/>
    <n v="139"/>
    <n v="150"/>
    <n v="26"/>
    <n v="14"/>
    <n v="58"/>
    <n v="2.59"/>
  </r>
  <r>
    <x v="5"/>
    <x v="1"/>
    <x v="22"/>
    <n v="202"/>
    <x v="3"/>
    <s v="Sakellariou"/>
    <n v="0"/>
    <n v="2"/>
    <n v="11"/>
    <n v="0"/>
    <x v="0"/>
    <s v="vs Fanis"/>
    <n v="195"/>
    <n v="0.48599999999999999"/>
    <n v="46"/>
    <n v="0.36199999999999999"/>
    <n v="0.81699999999999995"/>
    <n v="512"/>
    <n v="27"/>
    <n v="121"/>
    <n v="117"/>
    <n v="33"/>
    <n v="21"/>
    <n v="67"/>
    <n v="1.75"/>
  </r>
  <r>
    <x v="6"/>
    <x v="0"/>
    <x v="0"/>
    <n v="1"/>
    <x v="20"/>
    <s v="Guru"/>
    <n v="0"/>
    <n v="6"/>
    <n v="7"/>
    <n v="0"/>
    <x v="21"/>
    <s v="vs Tzokos"/>
    <n v="119"/>
    <n v="0.41"/>
    <n v="32"/>
    <n v="0.28599999999999998"/>
    <n v="0.83099999999999996"/>
    <n v="329"/>
    <n v="25"/>
    <n v="102"/>
    <n v="106"/>
    <n v="27"/>
    <n v="7"/>
    <n v="48"/>
    <n v="2.21"/>
  </r>
  <r>
    <x v="6"/>
    <x v="0"/>
    <x v="0"/>
    <n v="1"/>
    <x v="21"/>
    <s v="Tzokos"/>
    <n v="1"/>
    <n v="7"/>
    <n v="6"/>
    <n v="0"/>
    <x v="20"/>
    <s v="vs Guru"/>
    <n v="136"/>
    <n v="0.48099999999999998"/>
    <n v="31"/>
    <n v="0.32600000000000001"/>
    <n v="0.81899999999999995"/>
    <n v="362"/>
    <n v="32"/>
    <n v="93"/>
    <n v="61"/>
    <n v="22"/>
    <n v="20"/>
    <n v="33"/>
    <n v="1.85"/>
  </r>
  <r>
    <x v="6"/>
    <x v="0"/>
    <x v="0"/>
    <n v="2"/>
    <x v="26"/>
    <s v="Lafa"/>
    <n v="0"/>
    <n v="4"/>
    <n v="9"/>
    <n v="0"/>
    <x v="13"/>
    <s v="vs Stavros"/>
    <n v="123"/>
    <n v="0.55400000000000005"/>
    <n v="29"/>
    <n v="0.439"/>
    <n v="0.70399999999999996"/>
    <n v="332"/>
    <n v="32"/>
    <n v="104"/>
    <n v="70"/>
    <n v="18"/>
    <n v="14"/>
    <n v="26"/>
    <n v="2.69"/>
  </r>
  <r>
    <x v="6"/>
    <x v="0"/>
    <x v="0"/>
    <n v="2"/>
    <x v="12"/>
    <s v="Stavros"/>
    <n v="1"/>
    <n v="9"/>
    <n v="4"/>
    <n v="0"/>
    <x v="26"/>
    <s v="vs Lafa"/>
    <n v="126"/>
    <n v="0.42099999999999999"/>
    <n v="43"/>
    <n v="0.33900000000000002"/>
    <n v="0.84199999999999997"/>
    <n v="380"/>
    <n v="46"/>
    <n v="119"/>
    <n v="71"/>
    <n v="28"/>
    <n v="16"/>
    <n v="46"/>
    <n v="1.54"/>
  </r>
  <r>
    <x v="6"/>
    <x v="0"/>
    <x v="0"/>
    <n v="3"/>
    <x v="24"/>
    <s v="Tolios"/>
    <n v="1"/>
    <n v="11"/>
    <n v="2"/>
    <n v="0"/>
    <x v="25"/>
    <s v="vs Arvanitis"/>
    <n v="110"/>
    <n v="0.48499999999999999"/>
    <n v="24"/>
    <n v="0.34300000000000003"/>
    <n v="0.80500000000000005"/>
    <n v="277"/>
    <n v="42"/>
    <n v="133"/>
    <n v="62"/>
    <n v="16"/>
    <n v="16"/>
    <n v="37"/>
    <n v="1.68"/>
  </r>
  <r>
    <x v="6"/>
    <x v="0"/>
    <x v="0"/>
    <n v="3"/>
    <x v="25"/>
    <s v="Arvanitis"/>
    <n v="0"/>
    <n v="2"/>
    <n v="11"/>
    <n v="0"/>
    <x v="24"/>
    <s v="vs Tolios"/>
    <n v="106"/>
    <n v="0.502"/>
    <n v="25"/>
    <n v="0.32900000000000001"/>
    <n v="0.71699999999999997"/>
    <n v="270"/>
    <n v="39"/>
    <n v="85"/>
    <n v="55"/>
    <n v="15"/>
    <n v="15"/>
    <n v="46"/>
    <n v="1.2"/>
  </r>
  <r>
    <x v="6"/>
    <x v="0"/>
    <x v="0"/>
    <n v="4"/>
    <x v="17"/>
    <s v="Spiridaus/Oladipas"/>
    <n v="1"/>
    <n v="9"/>
    <n v="4"/>
    <n v="0"/>
    <x v="27"/>
    <s v="vs Dimitris"/>
    <n v="110"/>
    <n v="0.437"/>
    <n v="35"/>
    <n v="0.35699999999999998"/>
    <n v="0.74199999999999999"/>
    <n v="304"/>
    <n v="27"/>
    <n v="59"/>
    <n v="81"/>
    <n v="23"/>
    <n v="15"/>
    <n v="49"/>
    <n v="1.65"/>
  </r>
  <r>
    <x v="6"/>
    <x v="0"/>
    <x v="0"/>
    <n v="4"/>
    <x v="27"/>
    <s v="Dimitris"/>
    <n v="0"/>
    <n v="4"/>
    <n v="9"/>
    <n v="0"/>
    <x v="16"/>
    <s v="vs Spiridaus/Oladipas"/>
    <n v="79"/>
    <n v="0.47899999999999998"/>
    <n v="24"/>
    <n v="0.34799999999999998"/>
    <n v="0.72"/>
    <n v="218"/>
    <n v="26"/>
    <n v="75"/>
    <n v="45"/>
    <n v="10"/>
    <n v="12"/>
    <n v="26"/>
    <n v="1.73"/>
  </r>
  <r>
    <x v="6"/>
    <x v="0"/>
    <x v="0"/>
    <n v="5"/>
    <x v="3"/>
    <s v="Sakellariou"/>
    <n v="0"/>
    <n v="6"/>
    <n v="7"/>
    <n v="0"/>
    <x v="14"/>
    <s v="vs Vasilis"/>
    <n v="159"/>
    <n v="0.51800000000000002"/>
    <n v="42"/>
    <n v="0.36199999999999999"/>
    <n v="0.72199999999999998"/>
    <n v="438"/>
    <n v="34"/>
    <n v="104"/>
    <n v="82"/>
    <n v="25"/>
    <n v="22"/>
    <n v="54"/>
    <n v="1.52"/>
  </r>
  <r>
    <x v="6"/>
    <x v="0"/>
    <x v="0"/>
    <n v="5"/>
    <x v="15"/>
    <s v="Vasilis"/>
    <n v="1"/>
    <n v="7"/>
    <n v="6"/>
    <n v="0"/>
    <x v="2"/>
    <s v="vs Sakellariou"/>
    <n v="154"/>
    <n v="0.44600000000000001"/>
    <n v="37"/>
    <n v="0.32500000000000001"/>
    <n v="0.86499999999999999"/>
    <n v="435"/>
    <n v="31"/>
    <n v="147"/>
    <n v="97"/>
    <n v="37"/>
    <n v="26"/>
    <n v="53"/>
    <n v="1.83"/>
  </r>
  <r>
    <x v="6"/>
    <x v="0"/>
    <x v="0"/>
    <n v="6"/>
    <x v="16"/>
    <s v="Aris"/>
    <n v="1"/>
    <n v="8"/>
    <n v="5"/>
    <n v="0"/>
    <x v="3"/>
    <s v="vs Fountos"/>
    <n v="156"/>
    <n v="0.48399999999999999"/>
    <n v="40"/>
    <n v="0.36699999999999999"/>
    <n v="0.74199999999999999"/>
    <n v="421"/>
    <n v="31"/>
    <n v="92"/>
    <n v="88"/>
    <n v="30"/>
    <n v="12"/>
    <n v="60"/>
    <n v="1.47"/>
  </r>
  <r>
    <x v="6"/>
    <x v="0"/>
    <x v="0"/>
    <n v="6"/>
    <x v="2"/>
    <s v="Fountos"/>
    <n v="0"/>
    <n v="5"/>
    <n v="8"/>
    <n v="0"/>
    <x v="17"/>
    <s v="vs Aris"/>
    <n v="123"/>
    <n v="0.42599999999999999"/>
    <n v="36"/>
    <n v="0.32700000000000001"/>
    <n v="0.78700000000000003"/>
    <n v="330"/>
    <n v="34"/>
    <n v="86"/>
    <n v="99"/>
    <n v="23"/>
    <n v="9"/>
    <n v="40"/>
    <n v="2.48"/>
  </r>
  <r>
    <x v="6"/>
    <x v="0"/>
    <x v="0"/>
    <n v="7"/>
    <x v="23"/>
    <s v="Sarantos"/>
    <n v="1"/>
    <n v="7"/>
    <n v="6"/>
    <n v="0"/>
    <x v="10"/>
    <s v="vs pi/Sotiris"/>
    <n v="112"/>
    <n v="0.51900000000000002"/>
    <n v="33"/>
    <n v="0.39300000000000002"/>
    <n v="0.78800000000000003"/>
    <n v="298"/>
    <n v="22"/>
    <n v="80"/>
    <n v="43"/>
    <n v="30"/>
    <n v="17"/>
    <n v="26"/>
    <n v="1.65"/>
  </r>
  <r>
    <x v="6"/>
    <x v="0"/>
    <x v="0"/>
    <n v="7"/>
    <x v="11"/>
    <s v="pi/Sotiris"/>
    <n v="0"/>
    <n v="6"/>
    <n v="7"/>
    <n v="0"/>
    <x v="23"/>
    <s v="vs Sarantos"/>
    <n v="156"/>
    <n v="0.45"/>
    <n v="34"/>
    <n v="0.33"/>
    <n v="0.74299999999999999"/>
    <n v="421"/>
    <n v="40"/>
    <n v="126"/>
    <n v="85"/>
    <n v="25"/>
    <n v="15"/>
    <n v="68"/>
    <n v="1.25"/>
  </r>
  <r>
    <x v="6"/>
    <x v="0"/>
    <x v="0"/>
    <n v="8"/>
    <x v="18"/>
    <s v="Kotakis"/>
    <n v="1"/>
    <n v="10"/>
    <n v="2"/>
    <n v="1"/>
    <x v="28"/>
    <s v="vs Panos"/>
    <n v="164"/>
    <n v="0.47399999999999998"/>
    <n v="50"/>
    <n v="0.376"/>
    <n v="0.78300000000000003"/>
    <n v="450"/>
    <n v="33"/>
    <n v="136"/>
    <n v="96"/>
    <n v="32"/>
    <n v="11"/>
    <n v="53"/>
    <n v="1.81"/>
  </r>
  <r>
    <x v="6"/>
    <x v="0"/>
    <x v="0"/>
    <n v="8"/>
    <x v="28"/>
    <s v="Panos"/>
    <n v="0"/>
    <n v="2"/>
    <n v="10"/>
    <n v="1"/>
    <x v="19"/>
    <s v="vs Kotakis"/>
    <n v="156"/>
    <n v="0.44700000000000001"/>
    <n v="54"/>
    <n v="0.35799999999999998"/>
    <n v="0.75"/>
    <n v="417"/>
    <n v="33"/>
    <n v="90"/>
    <n v="64"/>
    <n v="21"/>
    <n v="10"/>
    <n v="43"/>
    <n v="1.49"/>
  </r>
  <r>
    <x v="6"/>
    <x v="0"/>
    <x v="0"/>
    <n v="9"/>
    <x v="1"/>
    <s v="Fanis"/>
    <n v="0"/>
    <n v="6"/>
    <n v="6"/>
    <n v="1"/>
    <x v="7"/>
    <s v="vs Tassos"/>
    <n v="127"/>
    <n v="0.42599999999999999"/>
    <n v="45"/>
    <n v="0.34899999999999998"/>
    <n v="0.79200000000000004"/>
    <n v="394"/>
    <n v="26"/>
    <n v="109"/>
    <n v="121"/>
    <n v="26"/>
    <n v="20"/>
    <n v="57"/>
    <n v="2.12"/>
  </r>
  <r>
    <x v="6"/>
    <x v="0"/>
    <x v="0"/>
    <n v="9"/>
    <x v="6"/>
    <s v="Tassos"/>
    <n v="0"/>
    <n v="6"/>
    <n v="6"/>
    <n v="1"/>
    <x v="0"/>
    <s v="vs Fanis"/>
    <n v="137"/>
    <n v="0.46300000000000002"/>
    <n v="32"/>
    <n v="0.32300000000000001"/>
    <n v="0.83599999999999997"/>
    <n v="352"/>
    <n v="27"/>
    <n v="110"/>
    <n v="88"/>
    <n v="10"/>
    <n v="20"/>
    <n v="46"/>
    <n v="1.91"/>
  </r>
  <r>
    <x v="6"/>
    <x v="0"/>
    <x v="0"/>
    <n v="10"/>
    <x v="7"/>
    <s v="Johnny"/>
    <n v="1"/>
    <n v="7"/>
    <n v="6"/>
    <n v="0"/>
    <x v="8"/>
    <s v="vs Ziogas/Christof"/>
    <n v="110"/>
    <n v="0.43099999999999999"/>
    <n v="28"/>
    <n v="0.311"/>
    <n v="0.65200000000000002"/>
    <n v="278"/>
    <n v="46"/>
    <n v="107"/>
    <n v="71"/>
    <n v="32"/>
    <n v="18"/>
    <n v="38"/>
    <n v="1.87"/>
  </r>
  <r>
    <x v="6"/>
    <x v="0"/>
    <x v="0"/>
    <n v="10"/>
    <x v="9"/>
    <s v="Ziogas/Christof"/>
    <n v="0"/>
    <n v="6"/>
    <n v="7"/>
    <n v="0"/>
    <x v="6"/>
    <s v="vs Johnny"/>
    <n v="105"/>
    <n v="0.42499999999999999"/>
    <n v="43"/>
    <n v="0.38400000000000001"/>
    <n v="0.77200000000000002"/>
    <n v="297"/>
    <n v="47"/>
    <n v="136"/>
    <n v="69"/>
    <n v="19"/>
    <n v="14"/>
    <n v="43"/>
    <n v="1.6"/>
  </r>
  <r>
    <x v="6"/>
    <x v="0"/>
    <x v="0"/>
    <n v="11"/>
    <x v="23"/>
    <s v="Sarantos"/>
    <n v="0"/>
    <n v="5"/>
    <n v="8"/>
    <n v="0"/>
    <x v="7"/>
    <s v="vs Tassos"/>
    <n v="112"/>
    <n v="0.51900000000000002"/>
    <n v="33"/>
    <n v="0.39300000000000002"/>
    <n v="0.78800000000000003"/>
    <n v="298"/>
    <n v="22"/>
    <n v="80"/>
    <n v="43"/>
    <n v="30"/>
    <n v="17"/>
    <n v="26"/>
    <n v="1.65"/>
  </r>
  <r>
    <x v="6"/>
    <x v="0"/>
    <x v="0"/>
    <n v="11"/>
    <x v="6"/>
    <s v="Tassos"/>
    <n v="1"/>
    <n v="8"/>
    <n v="5"/>
    <n v="0"/>
    <x v="23"/>
    <s v="vs Sarantos"/>
    <n v="137"/>
    <n v="0.46300000000000002"/>
    <n v="32"/>
    <n v="0.32300000000000001"/>
    <n v="0.83599999999999997"/>
    <n v="352"/>
    <n v="27"/>
    <n v="110"/>
    <n v="88"/>
    <n v="10"/>
    <n v="20"/>
    <n v="46"/>
    <n v="1.91"/>
  </r>
  <r>
    <x v="6"/>
    <x v="0"/>
    <x v="0"/>
    <n v="12"/>
    <x v="12"/>
    <s v="Stavros"/>
    <n v="1"/>
    <n v="8"/>
    <n v="5"/>
    <n v="0"/>
    <x v="21"/>
    <s v="vs Tzokos"/>
    <n v="126"/>
    <n v="0.42099999999999999"/>
    <n v="43"/>
    <n v="0.33900000000000002"/>
    <n v="0.84199999999999997"/>
    <n v="380"/>
    <n v="46"/>
    <n v="119"/>
    <n v="71"/>
    <n v="28"/>
    <n v="16"/>
    <n v="46"/>
    <n v="1.54"/>
  </r>
  <r>
    <x v="6"/>
    <x v="0"/>
    <x v="0"/>
    <n v="12"/>
    <x v="21"/>
    <s v="Tzokos"/>
    <n v="0"/>
    <n v="5"/>
    <n v="8"/>
    <n v="0"/>
    <x v="13"/>
    <s v="vs Stavros"/>
    <n v="136"/>
    <n v="0.48099999999999998"/>
    <n v="31"/>
    <n v="0.32600000000000001"/>
    <n v="0.81899999999999995"/>
    <n v="362"/>
    <n v="32"/>
    <n v="93"/>
    <n v="61"/>
    <n v="22"/>
    <n v="20"/>
    <n v="33"/>
    <n v="1.85"/>
  </r>
  <r>
    <x v="6"/>
    <x v="0"/>
    <x v="0"/>
    <n v="13"/>
    <x v="20"/>
    <s v="Guru"/>
    <n v="1"/>
    <n v="8"/>
    <n v="5"/>
    <n v="0"/>
    <x v="25"/>
    <s v="vs Arvanitis"/>
    <n v="119"/>
    <n v="0.41"/>
    <n v="32"/>
    <n v="0.28599999999999998"/>
    <n v="0.83099999999999996"/>
    <n v="329"/>
    <n v="25"/>
    <n v="102"/>
    <n v="106"/>
    <n v="27"/>
    <n v="7"/>
    <n v="48"/>
    <n v="2.21"/>
  </r>
  <r>
    <x v="6"/>
    <x v="0"/>
    <x v="0"/>
    <n v="13"/>
    <x v="25"/>
    <s v="Arvanitis"/>
    <n v="0"/>
    <n v="5"/>
    <n v="8"/>
    <n v="0"/>
    <x v="20"/>
    <s v="vs Guru"/>
    <n v="106"/>
    <n v="0.502"/>
    <n v="25"/>
    <n v="0.32900000000000001"/>
    <n v="0.71699999999999997"/>
    <n v="270"/>
    <n v="39"/>
    <n v="85"/>
    <n v="55"/>
    <n v="15"/>
    <n v="15"/>
    <n v="46"/>
    <n v="1.2"/>
  </r>
  <r>
    <x v="6"/>
    <x v="0"/>
    <x v="0"/>
    <n v="14"/>
    <x v="27"/>
    <s v="Dimitris"/>
    <n v="0"/>
    <n v="1"/>
    <n v="11"/>
    <n v="1"/>
    <x v="26"/>
    <s v="vs Lafa"/>
    <n v="79"/>
    <n v="0.47899999999999998"/>
    <n v="24"/>
    <n v="0.34799999999999998"/>
    <n v="0.72"/>
    <n v="218"/>
    <n v="26"/>
    <n v="75"/>
    <n v="45"/>
    <n v="10"/>
    <n v="12"/>
    <n v="26"/>
    <n v="1.73"/>
  </r>
  <r>
    <x v="6"/>
    <x v="0"/>
    <x v="0"/>
    <n v="14"/>
    <x v="26"/>
    <s v="Lafa"/>
    <n v="1"/>
    <n v="11"/>
    <n v="1"/>
    <n v="1"/>
    <x v="27"/>
    <s v="vs Dimitris"/>
    <n v="123"/>
    <n v="0.55400000000000005"/>
    <n v="29"/>
    <n v="0.439"/>
    <n v="0.70399999999999996"/>
    <n v="332"/>
    <n v="32"/>
    <n v="104"/>
    <n v="70"/>
    <n v="18"/>
    <n v="14"/>
    <n v="26"/>
    <n v="2.69"/>
  </r>
  <r>
    <x v="6"/>
    <x v="0"/>
    <x v="0"/>
    <n v="15"/>
    <x v="24"/>
    <s v="Tolios"/>
    <n v="0"/>
    <n v="4"/>
    <n v="9"/>
    <n v="0"/>
    <x v="14"/>
    <s v="vs Vasilis"/>
    <n v="110"/>
    <n v="0.48499999999999999"/>
    <n v="24"/>
    <n v="0.34300000000000003"/>
    <n v="0.80500000000000005"/>
    <n v="277"/>
    <n v="42"/>
    <n v="133"/>
    <n v="62"/>
    <n v="16"/>
    <n v="16"/>
    <n v="37"/>
    <n v="1.68"/>
  </r>
  <r>
    <x v="6"/>
    <x v="0"/>
    <x v="0"/>
    <n v="15"/>
    <x v="15"/>
    <s v="Vasilis"/>
    <n v="1"/>
    <n v="9"/>
    <n v="4"/>
    <n v="0"/>
    <x v="24"/>
    <s v="vs Tolios"/>
    <n v="154"/>
    <n v="0.44600000000000001"/>
    <n v="37"/>
    <n v="0.32500000000000001"/>
    <n v="0.86499999999999999"/>
    <n v="435"/>
    <n v="31"/>
    <n v="147"/>
    <n v="97"/>
    <n v="37"/>
    <n v="26"/>
    <n v="53"/>
    <n v="1.83"/>
  </r>
  <r>
    <x v="6"/>
    <x v="0"/>
    <x v="0"/>
    <n v="16"/>
    <x v="9"/>
    <s v="Ziogas/Christof"/>
    <n v="0"/>
    <n v="4"/>
    <n v="8"/>
    <n v="1"/>
    <x v="19"/>
    <s v="vs Kotakis"/>
    <n v="105"/>
    <n v="0.42499999999999999"/>
    <n v="43"/>
    <n v="0.38400000000000001"/>
    <n v="0.77200000000000002"/>
    <n v="297"/>
    <n v="47"/>
    <n v="136"/>
    <n v="69"/>
    <n v="19"/>
    <n v="14"/>
    <n v="43"/>
    <n v="1.6"/>
  </r>
  <r>
    <x v="6"/>
    <x v="0"/>
    <x v="0"/>
    <n v="16"/>
    <x v="18"/>
    <s v="Kotakis"/>
    <n v="1"/>
    <n v="8"/>
    <n v="4"/>
    <n v="1"/>
    <x v="8"/>
    <s v="vs Ziogas/Christof"/>
    <n v="164"/>
    <n v="0.47399999999999998"/>
    <n v="50"/>
    <n v="0.376"/>
    <n v="0.78300000000000003"/>
    <n v="450"/>
    <n v="33"/>
    <n v="136"/>
    <n v="96"/>
    <n v="32"/>
    <n v="11"/>
    <n v="53"/>
    <n v="1.81"/>
  </r>
  <r>
    <x v="6"/>
    <x v="0"/>
    <x v="0"/>
    <n v="17"/>
    <x v="17"/>
    <s v="Spiridaus/Oladipas"/>
    <n v="0"/>
    <n v="3"/>
    <n v="9"/>
    <n v="1"/>
    <x v="3"/>
    <s v="vs Fountos"/>
    <n v="110"/>
    <n v="0.437"/>
    <n v="35"/>
    <n v="0.35699999999999998"/>
    <n v="0.74199999999999999"/>
    <n v="304"/>
    <n v="27"/>
    <n v="59"/>
    <n v="81"/>
    <n v="23"/>
    <n v="15"/>
    <n v="49"/>
    <n v="1.65"/>
  </r>
  <r>
    <x v="6"/>
    <x v="0"/>
    <x v="0"/>
    <n v="17"/>
    <x v="2"/>
    <s v="Fountos"/>
    <n v="1"/>
    <n v="9"/>
    <n v="3"/>
    <n v="1"/>
    <x v="16"/>
    <s v="vs Spiridaus/Oladipas"/>
    <n v="123"/>
    <n v="0.42599999999999999"/>
    <n v="36"/>
    <n v="0.32700000000000001"/>
    <n v="0.78700000000000003"/>
    <n v="330"/>
    <n v="34"/>
    <n v="86"/>
    <n v="99"/>
    <n v="23"/>
    <n v="9"/>
    <n v="40"/>
    <n v="2.48"/>
  </r>
  <r>
    <x v="6"/>
    <x v="0"/>
    <x v="0"/>
    <n v="18"/>
    <x v="28"/>
    <s v="Panos"/>
    <n v="0"/>
    <n v="5"/>
    <n v="7"/>
    <n v="1"/>
    <x v="17"/>
    <s v="vs Aris"/>
    <n v="156"/>
    <n v="0.44700000000000001"/>
    <n v="54"/>
    <n v="0.35799999999999998"/>
    <n v="0.75"/>
    <n v="417"/>
    <n v="33"/>
    <n v="90"/>
    <n v="64"/>
    <n v="21"/>
    <n v="10"/>
    <n v="43"/>
    <n v="1.49"/>
  </r>
  <r>
    <x v="6"/>
    <x v="0"/>
    <x v="0"/>
    <n v="18"/>
    <x v="16"/>
    <s v="Aris"/>
    <n v="1"/>
    <n v="7"/>
    <n v="5"/>
    <n v="1"/>
    <x v="28"/>
    <s v="vs Panos"/>
    <n v="156"/>
    <n v="0.48399999999999999"/>
    <n v="40"/>
    <n v="0.36699999999999999"/>
    <n v="0.74199999999999999"/>
    <n v="421"/>
    <n v="31"/>
    <n v="92"/>
    <n v="88"/>
    <n v="30"/>
    <n v="12"/>
    <n v="60"/>
    <n v="1.47"/>
  </r>
  <r>
    <x v="6"/>
    <x v="0"/>
    <x v="0"/>
    <n v="19"/>
    <x v="11"/>
    <s v="pi/Sotiris"/>
    <n v="0"/>
    <n v="4"/>
    <n v="8"/>
    <n v="1"/>
    <x v="2"/>
    <s v="vs Sakellariou"/>
    <n v="156"/>
    <n v="0.45"/>
    <n v="34"/>
    <n v="0.33"/>
    <n v="0.74299999999999999"/>
    <n v="421"/>
    <n v="40"/>
    <n v="126"/>
    <n v="85"/>
    <n v="25"/>
    <n v="15"/>
    <n v="68"/>
    <n v="1.25"/>
  </r>
  <r>
    <x v="6"/>
    <x v="0"/>
    <x v="0"/>
    <n v="19"/>
    <x v="3"/>
    <s v="Sakellariou"/>
    <n v="1"/>
    <n v="8"/>
    <n v="4"/>
    <n v="1"/>
    <x v="10"/>
    <s v="vs pi/Sotiris"/>
    <n v="159"/>
    <n v="0.51800000000000002"/>
    <n v="42"/>
    <n v="0.36199999999999999"/>
    <n v="0.72199999999999998"/>
    <n v="438"/>
    <n v="34"/>
    <n v="104"/>
    <n v="82"/>
    <n v="25"/>
    <n v="22"/>
    <n v="54"/>
    <n v="1.52"/>
  </r>
  <r>
    <x v="6"/>
    <x v="0"/>
    <x v="0"/>
    <n v="20"/>
    <x v="7"/>
    <s v="Johnny"/>
    <n v="0"/>
    <n v="4"/>
    <n v="9"/>
    <n v="0"/>
    <x v="0"/>
    <s v="vs Fanis"/>
    <n v="110"/>
    <n v="0.43099999999999999"/>
    <n v="28"/>
    <n v="0.311"/>
    <n v="0.65200000000000002"/>
    <n v="278"/>
    <n v="46"/>
    <n v="107"/>
    <n v="71"/>
    <n v="32"/>
    <n v="18"/>
    <n v="38"/>
    <n v="1.87"/>
  </r>
  <r>
    <x v="6"/>
    <x v="0"/>
    <x v="0"/>
    <n v="20"/>
    <x v="1"/>
    <s v="Fanis"/>
    <n v="1"/>
    <n v="9"/>
    <n v="4"/>
    <n v="0"/>
    <x v="6"/>
    <s v="vs Johnny"/>
    <n v="127"/>
    <n v="0.42599999999999999"/>
    <n v="45"/>
    <n v="0.34899999999999998"/>
    <n v="0.79200000000000004"/>
    <n v="394"/>
    <n v="26"/>
    <n v="109"/>
    <n v="121"/>
    <n v="26"/>
    <n v="20"/>
    <n v="57"/>
    <n v="2.12"/>
  </r>
  <r>
    <x v="6"/>
    <x v="0"/>
    <x v="1"/>
    <n v="21"/>
    <x v="21"/>
    <s v="Tzokos"/>
    <n v="0"/>
    <n v="5"/>
    <n v="8"/>
    <n v="0"/>
    <x v="26"/>
    <s v="vs Lafa"/>
    <n v="161"/>
    <n v="0.51900000000000002"/>
    <n v="41"/>
    <n v="0.36299999999999999"/>
    <n v="0.77"/>
    <n v="430"/>
    <n v="43"/>
    <n v="128"/>
    <n v="103"/>
    <n v="28"/>
    <n v="23"/>
    <n v="56"/>
    <n v="1.84"/>
  </r>
  <r>
    <x v="6"/>
    <x v="0"/>
    <x v="1"/>
    <n v="21"/>
    <x v="26"/>
    <s v="Lafa"/>
    <n v="1"/>
    <n v="8"/>
    <n v="5"/>
    <n v="0"/>
    <x v="21"/>
    <s v="vs Tzokos"/>
    <n v="176"/>
    <n v="0.49299999999999999"/>
    <n v="52"/>
    <n v="0.38500000000000001"/>
    <n v="0.77900000000000003"/>
    <n v="510"/>
    <n v="28"/>
    <n v="138"/>
    <n v="123"/>
    <n v="33"/>
    <n v="20"/>
    <n v="70"/>
    <n v="1.76"/>
  </r>
  <r>
    <x v="6"/>
    <x v="0"/>
    <x v="1"/>
    <n v="22"/>
    <x v="20"/>
    <s v="Guru"/>
    <n v="1"/>
    <n v="8"/>
    <n v="4"/>
    <n v="1"/>
    <x v="24"/>
    <s v="vs Tolios"/>
    <n v="168"/>
    <n v="0.47899999999999998"/>
    <n v="51"/>
    <n v="0.35199999999999998"/>
    <n v="0.84399999999999997"/>
    <n v="468"/>
    <n v="21"/>
    <n v="85"/>
    <n v="108"/>
    <n v="27"/>
    <n v="14"/>
    <n v="43"/>
    <n v="2.5099999999999998"/>
  </r>
  <r>
    <x v="6"/>
    <x v="0"/>
    <x v="1"/>
    <n v="22"/>
    <x v="24"/>
    <s v="Tolios"/>
    <n v="0"/>
    <n v="4"/>
    <n v="8"/>
    <n v="1"/>
    <x v="20"/>
    <s v="vs Guru"/>
    <n v="143"/>
    <n v="0.505"/>
    <n v="25"/>
    <n v="0.313"/>
    <n v="0.73899999999999999"/>
    <n v="362"/>
    <n v="51"/>
    <n v="147"/>
    <n v="74"/>
    <n v="27"/>
    <n v="32"/>
    <n v="47"/>
    <n v="1.57"/>
  </r>
  <r>
    <x v="6"/>
    <x v="0"/>
    <x v="1"/>
    <n v="23"/>
    <x v="12"/>
    <s v="Stavros"/>
    <n v="0"/>
    <n v="5"/>
    <n v="8"/>
    <n v="0"/>
    <x v="16"/>
    <s v="vs Spiridaus/Oladipas"/>
    <n v="177"/>
    <n v="0.46500000000000002"/>
    <n v="49"/>
    <n v="0.34"/>
    <n v="0.84"/>
    <n v="492"/>
    <n v="39"/>
    <n v="129"/>
    <n v="102"/>
    <n v="29"/>
    <n v="22"/>
    <n v="48"/>
    <n v="2.13"/>
  </r>
  <r>
    <x v="6"/>
    <x v="0"/>
    <x v="1"/>
    <n v="23"/>
    <x v="17"/>
    <s v="Spiridaus/Oladipas"/>
    <n v="1"/>
    <n v="8"/>
    <n v="5"/>
    <n v="0"/>
    <x v="13"/>
    <s v="vs Stavros"/>
    <n v="182"/>
    <n v="0.41499999999999998"/>
    <n v="51"/>
    <n v="0.32300000000000001"/>
    <n v="0.80700000000000005"/>
    <n v="503"/>
    <n v="44"/>
    <n v="137"/>
    <n v="135"/>
    <n v="35"/>
    <n v="27"/>
    <n v="71"/>
    <n v="1.9"/>
  </r>
  <r>
    <x v="6"/>
    <x v="0"/>
    <x v="1"/>
    <n v="24"/>
    <x v="25"/>
    <s v="Arvanitis"/>
    <n v="0"/>
    <n v="4"/>
    <n v="9"/>
    <n v="0"/>
    <x v="2"/>
    <s v="vs Sakellariou"/>
    <n v="104"/>
    <n v="0.5"/>
    <n v="23"/>
    <n v="0.39700000000000002"/>
    <n v="0.69199999999999995"/>
    <n v="258"/>
    <n v="41"/>
    <n v="104"/>
    <n v="44"/>
    <n v="20"/>
    <n v="20"/>
    <n v="34"/>
    <n v="1.29"/>
  </r>
  <r>
    <x v="6"/>
    <x v="0"/>
    <x v="1"/>
    <n v="24"/>
    <x v="3"/>
    <s v="Sakellariou"/>
    <n v="1"/>
    <n v="9"/>
    <n v="4"/>
    <n v="0"/>
    <x v="25"/>
    <s v="vs Arvanitis"/>
    <n v="195"/>
    <n v="0.47299999999999998"/>
    <n v="46"/>
    <n v="0.35099999999999998"/>
    <n v="0.83899999999999997"/>
    <n v="509"/>
    <n v="31"/>
    <n v="126"/>
    <n v="114"/>
    <n v="31"/>
    <n v="21"/>
    <n v="67"/>
    <n v="1.7"/>
  </r>
  <r>
    <x v="6"/>
    <x v="0"/>
    <x v="1"/>
    <n v="25"/>
    <x v="27"/>
    <s v="Dimitris"/>
    <n v="0"/>
    <n v="6"/>
    <n v="7"/>
    <n v="0"/>
    <x v="17"/>
    <s v="vs Aris"/>
    <n v="116"/>
    <n v="0.50700000000000001"/>
    <n v="31"/>
    <n v="0.40300000000000002"/>
    <n v="0.76600000000000001"/>
    <n v="299"/>
    <n v="38"/>
    <n v="101"/>
    <n v="62"/>
    <n v="13"/>
    <n v="20"/>
    <n v="34"/>
    <n v="1.82"/>
  </r>
  <r>
    <x v="6"/>
    <x v="0"/>
    <x v="1"/>
    <n v="25"/>
    <x v="16"/>
    <s v="Aris"/>
    <n v="1"/>
    <n v="7"/>
    <n v="6"/>
    <n v="0"/>
    <x v="27"/>
    <s v="vs Dimitris"/>
    <n v="157"/>
    <n v="0.49099999999999999"/>
    <n v="44"/>
    <n v="0.38900000000000001"/>
    <n v="0.78200000000000003"/>
    <n v="437"/>
    <n v="43"/>
    <n v="94"/>
    <n v="86"/>
    <n v="20"/>
    <n v="18"/>
    <n v="69"/>
    <n v="1.25"/>
  </r>
  <r>
    <x v="6"/>
    <x v="0"/>
    <x v="1"/>
    <n v="26"/>
    <x v="15"/>
    <s v="Vasilis"/>
    <n v="1"/>
    <n v="11"/>
    <n v="2"/>
    <n v="0"/>
    <x v="23"/>
    <s v="vs Sarantos"/>
    <n v="175"/>
    <n v="0.49"/>
    <n v="54"/>
    <n v="0.4"/>
    <n v="0.78300000000000003"/>
    <n v="476"/>
    <n v="40"/>
    <n v="146"/>
    <n v="118"/>
    <n v="41"/>
    <n v="33"/>
    <n v="52"/>
    <n v="2.27"/>
  </r>
  <r>
    <x v="6"/>
    <x v="0"/>
    <x v="1"/>
    <n v="26"/>
    <x v="23"/>
    <s v="Sarantos"/>
    <n v="0"/>
    <n v="2"/>
    <n v="11"/>
    <n v="0"/>
    <x v="14"/>
    <s v="vs Vasilis"/>
    <n v="86"/>
    <n v="0.48299999999999998"/>
    <n v="35"/>
    <n v="0.41199999999999998"/>
    <n v="0.72699999999999998"/>
    <n v="231"/>
    <n v="21"/>
    <n v="65"/>
    <n v="35"/>
    <n v="22"/>
    <n v="11"/>
    <n v="32"/>
    <n v="1.0900000000000001"/>
  </r>
  <r>
    <x v="6"/>
    <x v="0"/>
    <x v="1"/>
    <n v="27"/>
    <x v="2"/>
    <s v="Fountos"/>
    <n v="1"/>
    <n v="7"/>
    <n v="6"/>
    <n v="0"/>
    <x v="19"/>
    <s v="vs Kotakis"/>
    <n v="183"/>
    <n v="0.51300000000000001"/>
    <n v="49"/>
    <n v="0.35499999999999998"/>
    <n v="0.72399999999999998"/>
    <n v="478"/>
    <n v="32"/>
    <n v="122"/>
    <n v="128"/>
    <n v="21"/>
    <n v="15"/>
    <n v="63"/>
    <n v="2.0299999999999998"/>
  </r>
  <r>
    <x v="6"/>
    <x v="0"/>
    <x v="1"/>
    <n v="27"/>
    <x v="18"/>
    <s v="Kotakis"/>
    <n v="0"/>
    <n v="6"/>
    <n v="7"/>
    <n v="0"/>
    <x v="3"/>
    <s v="vs Fountos"/>
    <n v="168"/>
    <n v="0.496"/>
    <n v="43"/>
    <n v="0.41"/>
    <n v="0.70699999999999996"/>
    <n v="432"/>
    <n v="53"/>
    <n v="154"/>
    <n v="88"/>
    <n v="28"/>
    <n v="20"/>
    <n v="46"/>
    <n v="1.91"/>
  </r>
  <r>
    <x v="6"/>
    <x v="0"/>
    <x v="1"/>
    <n v="28"/>
    <x v="11"/>
    <s v="pi/Sotiris"/>
    <n v="1"/>
    <n v="8"/>
    <n v="5"/>
    <n v="0"/>
    <x v="0"/>
    <s v="vs Fanis"/>
    <n v="229"/>
    <n v="0.48599999999999999"/>
    <n v="52"/>
    <n v="0.33500000000000002"/>
    <n v="0.72699999999999998"/>
    <n v="614"/>
    <n v="50"/>
    <n v="170"/>
    <n v="118"/>
    <n v="33"/>
    <n v="23"/>
    <n v="87"/>
    <n v="1.36"/>
  </r>
  <r>
    <x v="6"/>
    <x v="0"/>
    <x v="1"/>
    <n v="28"/>
    <x v="1"/>
    <s v="Fanis"/>
    <n v="0"/>
    <n v="5"/>
    <n v="8"/>
    <n v="0"/>
    <x v="10"/>
    <s v="vs pi/Sotiris"/>
    <n v="146"/>
    <n v="0.46600000000000003"/>
    <n v="38"/>
    <n v="0.33900000000000002"/>
    <n v="0.87"/>
    <n v="397"/>
    <n v="36"/>
    <n v="80"/>
    <n v="130"/>
    <n v="23"/>
    <n v="16"/>
    <n v="59"/>
    <n v="2.2000000000000002"/>
  </r>
  <r>
    <x v="6"/>
    <x v="0"/>
    <x v="1"/>
    <n v="29"/>
    <x v="28"/>
    <s v="Panos"/>
    <n v="0"/>
    <n v="5"/>
    <n v="7"/>
    <n v="1"/>
    <x v="6"/>
    <s v="vs Johnny"/>
    <n v="208"/>
    <n v="0.47199999999999998"/>
    <n v="54"/>
    <n v="0.36499999999999999"/>
    <n v="0.81299999999999994"/>
    <n v="557"/>
    <n v="33"/>
    <n v="129"/>
    <n v="100"/>
    <n v="24"/>
    <n v="12"/>
    <n v="68"/>
    <n v="1.47"/>
  </r>
  <r>
    <x v="6"/>
    <x v="0"/>
    <x v="1"/>
    <n v="29"/>
    <x v="7"/>
    <s v="Johnny"/>
    <n v="1"/>
    <n v="7"/>
    <n v="5"/>
    <n v="1"/>
    <x v="28"/>
    <s v="vs Panos"/>
    <n v="177"/>
    <n v="0.49399999999999999"/>
    <n v="61"/>
    <n v="0.39100000000000001"/>
    <n v="0.77600000000000002"/>
    <n v="481"/>
    <n v="53"/>
    <n v="151"/>
    <n v="82"/>
    <n v="24"/>
    <n v="21"/>
    <n v="60"/>
    <n v="1.37"/>
  </r>
  <r>
    <x v="6"/>
    <x v="0"/>
    <x v="1"/>
    <n v="30"/>
    <x v="6"/>
    <s v="Tassos"/>
    <n v="1"/>
    <n v="10"/>
    <n v="3"/>
    <n v="0"/>
    <x v="8"/>
    <s v="vs Ziogas/Christof"/>
    <n v="230"/>
    <n v="0.46200000000000002"/>
    <n v="57"/>
    <n v="0.36299999999999999"/>
    <n v="0.78900000000000003"/>
    <n v="644"/>
    <n v="47"/>
    <n v="165"/>
    <n v="145"/>
    <n v="35"/>
    <n v="28"/>
    <n v="54"/>
    <n v="2.69"/>
  </r>
  <r>
    <x v="6"/>
    <x v="0"/>
    <x v="1"/>
    <n v="30"/>
    <x v="9"/>
    <s v="Ziogas/Christof"/>
    <n v="0"/>
    <n v="3"/>
    <n v="10"/>
    <n v="0"/>
    <x v="7"/>
    <s v="vs Tassos"/>
    <n v="150"/>
    <n v="0.39700000000000002"/>
    <n v="53"/>
    <n v="0.30099999999999999"/>
    <n v="0.71099999999999997"/>
    <n v="407"/>
    <n v="66"/>
    <n v="151"/>
    <n v="105"/>
    <n v="39"/>
    <n v="23"/>
    <n v="43"/>
    <n v="2.44"/>
  </r>
  <r>
    <x v="6"/>
    <x v="0"/>
    <x v="2"/>
    <n v="31"/>
    <x v="24"/>
    <s v="Tolios"/>
    <n v="0"/>
    <n v="3"/>
    <n v="9"/>
    <n v="1"/>
    <x v="21"/>
    <s v="vs Tzokos"/>
    <n v="119"/>
    <n v="0.50600000000000001"/>
    <n v="25"/>
    <n v="0.34200000000000003"/>
    <n v="0.72499999999999998"/>
    <n v="300"/>
    <n v="45"/>
    <n v="110"/>
    <n v="35"/>
    <n v="16"/>
    <n v="14"/>
    <n v="32"/>
    <n v="1.0900000000000001"/>
  </r>
  <r>
    <x v="6"/>
    <x v="0"/>
    <x v="2"/>
    <n v="31"/>
    <x v="21"/>
    <s v="Tzokos"/>
    <n v="1"/>
    <n v="9"/>
    <n v="3"/>
    <n v="1"/>
    <x v="24"/>
    <s v="vs Tolios"/>
    <n v="128"/>
    <n v="0.42"/>
    <n v="38"/>
    <n v="0.34499999999999997"/>
    <n v="0.82599999999999996"/>
    <n v="365"/>
    <n v="27"/>
    <n v="96"/>
    <n v="75"/>
    <n v="36"/>
    <n v="20"/>
    <n v="32"/>
    <n v="2.34"/>
  </r>
  <r>
    <x v="6"/>
    <x v="0"/>
    <x v="2"/>
    <n v="32"/>
    <x v="17"/>
    <s v="Spiridaus/Oladipas"/>
    <n v="0"/>
    <n v="3"/>
    <n v="10"/>
    <n v="0"/>
    <x v="26"/>
    <s v="vs Lafa"/>
    <n v="123"/>
    <n v="0.41"/>
    <n v="37"/>
    <n v="0.30099999999999999"/>
    <n v="0.83"/>
    <n v="356"/>
    <n v="28"/>
    <n v="98"/>
    <n v="121"/>
    <n v="19"/>
    <n v="18"/>
    <n v="70"/>
    <n v="1.73"/>
  </r>
  <r>
    <x v="6"/>
    <x v="0"/>
    <x v="2"/>
    <n v="32"/>
    <x v="26"/>
    <s v="Lafa"/>
    <n v="1"/>
    <n v="10"/>
    <n v="3"/>
    <n v="0"/>
    <x v="16"/>
    <s v="vs Spiridaus/Oladipas"/>
    <n v="202"/>
    <n v="0.52200000000000002"/>
    <n v="51"/>
    <n v="0.39200000000000002"/>
    <n v="0.81799999999999995"/>
    <n v="527"/>
    <n v="40"/>
    <n v="132"/>
    <n v="101"/>
    <n v="23"/>
    <n v="20"/>
    <n v="59"/>
    <n v="1.71"/>
  </r>
  <r>
    <x v="6"/>
    <x v="0"/>
    <x v="2"/>
    <n v="33"/>
    <x v="3"/>
    <s v="Sakellariou"/>
    <n v="1"/>
    <n v="8"/>
    <n v="5"/>
    <n v="0"/>
    <x v="20"/>
    <s v="vs Guru"/>
    <n v="213"/>
    <n v="0.45800000000000002"/>
    <n v="41"/>
    <n v="0.28899999999999998"/>
    <n v="0.83299999999999996"/>
    <n v="597"/>
    <n v="40"/>
    <n v="170"/>
    <n v="133"/>
    <n v="34"/>
    <n v="25"/>
    <n v="76"/>
    <n v="1.75"/>
  </r>
  <r>
    <x v="6"/>
    <x v="0"/>
    <x v="2"/>
    <n v="33"/>
    <x v="20"/>
    <s v="Guru"/>
    <n v="0"/>
    <n v="5"/>
    <n v="8"/>
    <n v="0"/>
    <x v="2"/>
    <s v="vs Sakellariou"/>
    <n v="152"/>
    <n v="0.44600000000000001"/>
    <n v="50"/>
    <n v="0.33300000000000002"/>
    <n v="0.86699999999999999"/>
    <n v="419"/>
    <n v="15"/>
    <n v="140"/>
    <n v="121"/>
    <n v="16"/>
    <n v="14"/>
    <n v="41"/>
    <n v="2.95"/>
  </r>
  <r>
    <x v="6"/>
    <x v="0"/>
    <x v="2"/>
    <n v="34"/>
    <x v="16"/>
    <s v="Aris"/>
    <n v="0"/>
    <n v="2"/>
    <n v="11"/>
    <n v="0"/>
    <x v="13"/>
    <s v="vs Stavros"/>
    <n v="143"/>
    <n v="0.40899999999999997"/>
    <n v="43"/>
    <n v="0.32100000000000001"/>
    <n v="0.80200000000000005"/>
    <n v="418"/>
    <n v="31"/>
    <n v="72"/>
    <n v="78"/>
    <n v="25"/>
    <n v="5"/>
    <n v="50"/>
    <n v="1.56"/>
  </r>
  <r>
    <x v="6"/>
    <x v="0"/>
    <x v="2"/>
    <n v="34"/>
    <x v="12"/>
    <s v="Stavros"/>
    <n v="1"/>
    <n v="11"/>
    <n v="2"/>
    <n v="0"/>
    <x v="17"/>
    <s v="vs Aris"/>
    <n v="168"/>
    <n v="0.46899999999999997"/>
    <n v="49"/>
    <n v="0.35799999999999998"/>
    <n v="0.72599999999999998"/>
    <n v="462"/>
    <n v="49"/>
    <n v="128"/>
    <n v="105"/>
    <n v="27"/>
    <n v="27"/>
    <n v="63"/>
    <n v="1.67"/>
  </r>
  <r>
    <x v="6"/>
    <x v="0"/>
    <x v="2"/>
    <n v="35"/>
    <x v="23"/>
    <s v="Sarantos"/>
    <n v="0"/>
    <n v="4"/>
    <n v="8"/>
    <n v="1"/>
    <x v="25"/>
    <s v="vs Arvanitis"/>
    <n v="74"/>
    <n v="0.41099999999999998"/>
    <n v="29"/>
    <n v="0.312"/>
    <n v="0.878"/>
    <n v="220"/>
    <n v="38"/>
    <n v="69"/>
    <n v="44"/>
    <n v="16"/>
    <n v="19"/>
    <n v="25"/>
    <n v="1.76"/>
  </r>
  <r>
    <x v="6"/>
    <x v="0"/>
    <x v="2"/>
    <n v="35"/>
    <x v="25"/>
    <s v="Arvanitis"/>
    <n v="1"/>
    <n v="8"/>
    <n v="4"/>
    <n v="1"/>
    <x v="23"/>
    <s v="vs Sarantos"/>
    <n v="104"/>
    <n v="0.45"/>
    <n v="31"/>
    <n v="0.34399999999999997"/>
    <n v="0.79600000000000004"/>
    <n v="278"/>
    <n v="36"/>
    <n v="69"/>
    <n v="66"/>
    <n v="18"/>
    <n v="11"/>
    <n v="34"/>
    <n v="1.94"/>
  </r>
  <r>
    <x v="6"/>
    <x v="0"/>
    <x v="2"/>
    <n v="36"/>
    <x v="18"/>
    <s v="Kotakis"/>
    <n v="1"/>
    <n v="10"/>
    <n v="3"/>
    <n v="0"/>
    <x v="27"/>
    <s v="vs Dimitris"/>
    <n v="182"/>
    <n v="0.45500000000000002"/>
    <n v="52"/>
    <n v="0.31"/>
    <n v="0.81299999999999994"/>
    <n v="507"/>
    <n v="50"/>
    <n v="156"/>
    <n v="138"/>
    <n v="36"/>
    <n v="23"/>
    <n v="63"/>
    <n v="2.19"/>
  </r>
  <r>
    <x v="6"/>
    <x v="0"/>
    <x v="2"/>
    <n v="36"/>
    <x v="27"/>
    <s v="Dimitris"/>
    <n v="0"/>
    <n v="3"/>
    <n v="10"/>
    <n v="0"/>
    <x v="19"/>
    <s v="vs Kotakis"/>
    <n v="122"/>
    <n v="0.50600000000000001"/>
    <n v="32"/>
    <n v="0.38100000000000001"/>
    <n v="0.71099999999999997"/>
    <n v="330"/>
    <n v="42"/>
    <n v="136"/>
    <n v="59"/>
    <n v="16"/>
    <n v="21"/>
    <n v="37"/>
    <n v="1.59"/>
  </r>
  <r>
    <x v="6"/>
    <x v="0"/>
    <x v="2"/>
    <n v="37"/>
    <x v="1"/>
    <s v="Fanis"/>
    <n v="1"/>
    <n v="10"/>
    <n v="3"/>
    <n v="0"/>
    <x v="14"/>
    <s v="vs Vasilis"/>
    <n v="243"/>
    <n v="0.52700000000000002"/>
    <n v="56"/>
    <n v="0.378"/>
    <n v="0.86699999999999999"/>
    <n v="666"/>
    <n v="62"/>
    <n v="127"/>
    <n v="137"/>
    <n v="31"/>
    <n v="27"/>
    <n v="65"/>
    <n v="2.11"/>
  </r>
  <r>
    <x v="6"/>
    <x v="0"/>
    <x v="2"/>
    <n v="37"/>
    <x v="15"/>
    <s v="Vasilis"/>
    <n v="0"/>
    <n v="3"/>
    <n v="10"/>
    <n v="0"/>
    <x v="0"/>
    <s v="vs Fanis"/>
    <n v="196"/>
    <n v="0.48499999999999999"/>
    <n v="39"/>
    <n v="0.30499999999999999"/>
    <n v="0.748"/>
    <n v="529"/>
    <n v="49"/>
    <n v="160"/>
    <n v="116"/>
    <n v="27"/>
    <n v="29"/>
    <n v="61"/>
    <n v="1.9"/>
  </r>
  <r>
    <x v="6"/>
    <x v="0"/>
    <x v="2"/>
    <n v="38"/>
    <x v="7"/>
    <s v="Johnny"/>
    <n v="0"/>
    <n v="6"/>
    <n v="7"/>
    <n v="0"/>
    <x v="3"/>
    <s v="vs Fountos"/>
    <n v="170"/>
    <n v="0.47199999999999998"/>
    <n v="52"/>
    <n v="0.33300000000000002"/>
    <n v="0.76900000000000002"/>
    <n v="475"/>
    <n v="47"/>
    <n v="141"/>
    <n v="78"/>
    <n v="40"/>
    <n v="15"/>
    <n v="51"/>
    <n v="1.53"/>
  </r>
  <r>
    <x v="6"/>
    <x v="0"/>
    <x v="2"/>
    <n v="38"/>
    <x v="2"/>
    <s v="Fountos"/>
    <n v="1"/>
    <n v="7"/>
    <n v="6"/>
    <n v="0"/>
    <x v="6"/>
    <s v="vs Johnny"/>
    <n v="208"/>
    <n v="0.47299999999999998"/>
    <n v="54"/>
    <n v="0.35099999999999998"/>
    <n v="0.76200000000000001"/>
    <n v="547"/>
    <n v="41"/>
    <n v="108"/>
    <n v="108"/>
    <n v="22"/>
    <n v="14"/>
    <n v="65"/>
    <n v="1.66"/>
  </r>
  <r>
    <x v="6"/>
    <x v="0"/>
    <x v="2"/>
    <n v="39"/>
    <x v="9"/>
    <s v="Ziogas/Christof"/>
    <n v="0"/>
    <n v="6"/>
    <n v="7"/>
    <n v="0"/>
    <x v="10"/>
    <s v="vs pi/Sotiris"/>
    <n v="171"/>
    <n v="0.5"/>
    <n v="62"/>
    <n v="0.41299999999999998"/>
    <n v="0.86"/>
    <n v="478"/>
    <n v="45"/>
    <n v="165"/>
    <n v="91"/>
    <n v="36"/>
    <n v="21"/>
    <n v="48"/>
    <n v="1.9"/>
  </r>
  <r>
    <x v="6"/>
    <x v="0"/>
    <x v="2"/>
    <n v="39"/>
    <x v="11"/>
    <s v="pi/Sotiris"/>
    <n v="1"/>
    <n v="7"/>
    <n v="6"/>
    <n v="0"/>
    <x v="8"/>
    <s v="vs Ziogas/Christof"/>
    <n v="234"/>
    <n v="0.505"/>
    <n v="41"/>
    <n v="0.32500000000000001"/>
    <n v="0.748"/>
    <n v="622"/>
    <n v="54"/>
    <n v="199"/>
    <n v="156"/>
    <n v="34"/>
    <n v="27"/>
    <n v="83"/>
    <n v="1.88"/>
  </r>
  <r>
    <x v="6"/>
    <x v="0"/>
    <x v="2"/>
    <n v="40"/>
    <x v="6"/>
    <s v="Tassos"/>
    <n v="1"/>
    <n v="10"/>
    <n v="3"/>
    <n v="0"/>
    <x v="28"/>
    <s v="vs Panos"/>
    <n v="244"/>
    <n v="0.499"/>
    <n v="74"/>
    <n v="0.42799999999999999"/>
    <n v="0.81399999999999995"/>
    <n v="654"/>
    <n v="32"/>
    <n v="175"/>
    <n v="142"/>
    <n v="35"/>
    <n v="23"/>
    <n v="81"/>
    <n v="1.75"/>
  </r>
  <r>
    <x v="6"/>
    <x v="0"/>
    <x v="2"/>
    <n v="40"/>
    <x v="28"/>
    <s v="Panos"/>
    <n v="0"/>
    <n v="3"/>
    <n v="10"/>
    <n v="0"/>
    <x v="7"/>
    <s v="vs Tassos"/>
    <n v="136"/>
    <n v="0.41199999999999998"/>
    <n v="38"/>
    <n v="0.30599999999999999"/>
    <n v="0.91600000000000004"/>
    <n v="386"/>
    <n v="37"/>
    <n v="89"/>
    <n v="78"/>
    <n v="19"/>
    <n v="13"/>
    <n v="66"/>
    <n v="1.18"/>
  </r>
  <r>
    <x v="6"/>
    <x v="0"/>
    <x v="3"/>
    <n v="41"/>
    <x v="21"/>
    <s v="Tzokos"/>
    <n v="1"/>
    <n v="7"/>
    <n v="6"/>
    <n v="0"/>
    <x v="16"/>
    <s v="vs Spiridaus/Oladipas"/>
    <n v="143"/>
    <n v="0.51300000000000001"/>
    <n v="37"/>
    <n v="0.39400000000000002"/>
    <n v="0.76500000000000001"/>
    <n v="362"/>
    <n v="45"/>
    <n v="118"/>
    <n v="89"/>
    <n v="26"/>
    <n v="18"/>
    <n v="50"/>
    <n v="1.78"/>
  </r>
  <r>
    <x v="6"/>
    <x v="0"/>
    <x v="3"/>
    <n v="41"/>
    <x v="17"/>
    <s v="Spiridaus/Oladipas"/>
    <n v="0"/>
    <n v="6"/>
    <n v="7"/>
    <n v="0"/>
    <x v="21"/>
    <s v="vs Tzokos"/>
    <n v="136"/>
    <n v="0.42599999999999999"/>
    <n v="50"/>
    <n v="0.36199999999999999"/>
    <n v="0.89800000000000002"/>
    <n v="366"/>
    <n v="34"/>
    <n v="117"/>
    <n v="115"/>
    <n v="31"/>
    <n v="19"/>
    <n v="67"/>
    <n v="1.72"/>
  </r>
  <r>
    <x v="6"/>
    <x v="0"/>
    <x v="3"/>
    <n v="42"/>
    <x v="24"/>
    <s v="Tolios"/>
    <n v="0"/>
    <n v="4"/>
    <n v="9"/>
    <n v="0"/>
    <x v="2"/>
    <s v="vs Sakellariou"/>
    <n v="149"/>
    <n v="0.502"/>
    <n v="32"/>
    <n v="0.38100000000000001"/>
    <n v="0.76"/>
    <n v="387"/>
    <n v="47"/>
    <n v="110"/>
    <n v="88"/>
    <n v="31"/>
    <n v="20"/>
    <n v="44"/>
    <n v="2"/>
  </r>
  <r>
    <x v="6"/>
    <x v="0"/>
    <x v="3"/>
    <n v="42"/>
    <x v="3"/>
    <s v="Sakellariou"/>
    <n v="1"/>
    <n v="9"/>
    <n v="4"/>
    <n v="0"/>
    <x v="24"/>
    <s v="vs Tolios"/>
    <n v="186"/>
    <n v="0.49199999999999999"/>
    <n v="52"/>
    <n v="0.38200000000000001"/>
    <n v="0.83799999999999997"/>
    <n v="517"/>
    <n v="41"/>
    <n v="147"/>
    <n v="114"/>
    <n v="32"/>
    <n v="19"/>
    <n v="50"/>
    <n v="2.2799999999999998"/>
  </r>
  <r>
    <x v="6"/>
    <x v="0"/>
    <x v="3"/>
    <n v="43"/>
    <x v="26"/>
    <s v="Lafa"/>
    <n v="1"/>
    <n v="10"/>
    <n v="3"/>
    <n v="0"/>
    <x v="17"/>
    <s v="vs Aris"/>
    <n v="183"/>
    <n v="0.52300000000000002"/>
    <n v="74"/>
    <n v="0.51"/>
    <n v="0.71299999999999997"/>
    <n v="507"/>
    <n v="40"/>
    <n v="142"/>
    <n v="79"/>
    <n v="25"/>
    <n v="14"/>
    <n v="56"/>
    <n v="1.41"/>
  </r>
  <r>
    <x v="6"/>
    <x v="0"/>
    <x v="3"/>
    <n v="43"/>
    <x v="16"/>
    <s v="Aris"/>
    <n v="0"/>
    <n v="3"/>
    <n v="10"/>
    <n v="0"/>
    <x v="26"/>
    <s v="vs Lafa"/>
    <n v="123"/>
    <n v="0.47099999999999997"/>
    <n v="24"/>
    <n v="0.29299999999999998"/>
    <n v="0.68799999999999994"/>
    <n v="325"/>
    <n v="32"/>
    <n v="90"/>
    <n v="75"/>
    <n v="17"/>
    <n v="20"/>
    <n v="51"/>
    <n v="1.47"/>
  </r>
  <r>
    <x v="6"/>
    <x v="0"/>
    <x v="3"/>
    <n v="44"/>
    <x v="20"/>
    <s v="Guru"/>
    <n v="1"/>
    <n v="11"/>
    <n v="2"/>
    <n v="0"/>
    <x v="23"/>
    <s v="vs Sarantos"/>
    <n v="190"/>
    <n v="0.50900000000000001"/>
    <n v="85"/>
    <n v="0.48299999999999998"/>
    <n v="0.80900000000000005"/>
    <n v="520"/>
    <n v="27"/>
    <n v="113"/>
    <n v="115"/>
    <n v="29"/>
    <n v="14"/>
    <n v="50"/>
    <n v="2.2999999999999998"/>
  </r>
  <r>
    <x v="6"/>
    <x v="0"/>
    <x v="3"/>
    <n v="44"/>
    <x v="23"/>
    <s v="Sarantos"/>
    <n v="0"/>
    <n v="2"/>
    <n v="11"/>
    <n v="0"/>
    <x v="20"/>
    <s v="vs Guru"/>
    <n v="117"/>
    <n v="0.498"/>
    <n v="46"/>
    <n v="0.434"/>
    <n v="0.73099999999999998"/>
    <n v="337"/>
    <n v="25"/>
    <n v="77"/>
    <n v="60"/>
    <n v="27"/>
    <n v="17"/>
    <n v="29"/>
    <n v="2.0699999999999998"/>
  </r>
  <r>
    <x v="6"/>
    <x v="0"/>
    <x v="3"/>
    <n v="45"/>
    <x v="12"/>
    <s v="Stavros"/>
    <n v="0"/>
    <n v="5"/>
    <n v="8"/>
    <n v="0"/>
    <x v="19"/>
    <s v="vs Kotakis"/>
    <n v="184"/>
    <n v="0.47399999999999998"/>
    <n v="58"/>
    <n v="0.38700000000000001"/>
    <n v="0.86399999999999999"/>
    <n v="553"/>
    <n v="44"/>
    <n v="122"/>
    <n v="123"/>
    <n v="29"/>
    <n v="16"/>
    <n v="73"/>
    <n v="1.68"/>
  </r>
  <r>
    <x v="6"/>
    <x v="0"/>
    <x v="3"/>
    <n v="45"/>
    <x v="18"/>
    <s v="Kotakis"/>
    <n v="1"/>
    <n v="8"/>
    <n v="5"/>
    <n v="0"/>
    <x v="13"/>
    <s v="vs Stavros"/>
    <n v="188"/>
    <n v="0.53100000000000003"/>
    <n v="41"/>
    <n v="0.38"/>
    <n v="0.753"/>
    <n v="487"/>
    <n v="46"/>
    <n v="155"/>
    <n v="116"/>
    <n v="36"/>
    <n v="34"/>
    <n v="57"/>
    <n v="2.04"/>
  </r>
  <r>
    <x v="6"/>
    <x v="0"/>
    <x v="3"/>
    <n v="46"/>
    <x v="25"/>
    <s v="Arvanitis"/>
    <n v="0"/>
    <n v="3"/>
    <n v="10"/>
    <n v="0"/>
    <x v="0"/>
    <s v="vs Fanis"/>
    <n v="89"/>
    <n v="0.54900000000000004"/>
    <n v="27"/>
    <n v="0.40300000000000002"/>
    <n v="0.66700000000000004"/>
    <n v="219"/>
    <n v="15"/>
    <n v="56"/>
    <n v="35"/>
    <n v="17"/>
    <n v="8"/>
    <n v="22"/>
    <n v="1.59"/>
  </r>
  <r>
    <x v="6"/>
    <x v="0"/>
    <x v="3"/>
    <n v="46"/>
    <x v="1"/>
    <s v="Fanis"/>
    <n v="1"/>
    <n v="10"/>
    <n v="3"/>
    <n v="0"/>
    <x v="25"/>
    <s v="vs Arvanitis"/>
    <n v="195"/>
    <n v="0.45"/>
    <n v="60"/>
    <n v="0.39200000000000002"/>
    <n v="0.92300000000000004"/>
    <n v="594"/>
    <n v="45"/>
    <n v="125"/>
    <n v="189"/>
    <n v="28"/>
    <n v="15"/>
    <n v="79"/>
    <n v="2.39"/>
  </r>
  <r>
    <x v="6"/>
    <x v="0"/>
    <x v="3"/>
    <n v="47"/>
    <x v="27"/>
    <s v="Dimitris"/>
    <n v="0"/>
    <n v="3"/>
    <n v="10"/>
    <n v="0"/>
    <x v="6"/>
    <s v="vs Johnny"/>
    <n v="92"/>
    <n v="0.48199999999999998"/>
    <n v="42"/>
    <n v="0.50600000000000001"/>
    <n v="0.74099999999999999"/>
    <n v="286"/>
    <n v="33"/>
    <n v="92"/>
    <n v="55"/>
    <n v="11"/>
    <n v="16"/>
    <n v="27"/>
    <n v="2.04"/>
  </r>
  <r>
    <x v="6"/>
    <x v="0"/>
    <x v="3"/>
    <n v="47"/>
    <x v="7"/>
    <s v="Johnny"/>
    <n v="1"/>
    <n v="10"/>
    <n v="3"/>
    <n v="0"/>
    <x v="27"/>
    <s v="vs Dimitris"/>
    <n v="171"/>
    <n v="0.48299999999999998"/>
    <n v="52"/>
    <n v="0.38"/>
    <n v="0.78400000000000003"/>
    <n v="463"/>
    <n v="62"/>
    <n v="132"/>
    <n v="112"/>
    <n v="40"/>
    <n v="28"/>
    <n v="57"/>
    <n v="1.96"/>
  </r>
  <r>
    <x v="6"/>
    <x v="0"/>
    <x v="3"/>
    <n v="48"/>
    <x v="15"/>
    <s v="Vasilis"/>
    <n v="1"/>
    <n v="11"/>
    <n v="2"/>
    <n v="0"/>
    <x v="8"/>
    <s v="vs Ziogas/Christof"/>
    <n v="201"/>
    <n v="0.499"/>
    <n v="43"/>
    <n v="0.377"/>
    <n v="0.81799999999999995"/>
    <n v="544"/>
    <n v="51"/>
    <n v="135"/>
    <n v="123"/>
    <n v="46"/>
    <n v="34"/>
    <n v="78"/>
    <n v="1.58"/>
  </r>
  <r>
    <x v="6"/>
    <x v="0"/>
    <x v="3"/>
    <n v="48"/>
    <x v="9"/>
    <s v="Ziogas/Christof"/>
    <n v="0"/>
    <n v="2"/>
    <n v="11"/>
    <n v="0"/>
    <x v="14"/>
    <s v="vs Vasilis"/>
    <n v="143"/>
    <n v="0.495"/>
    <n v="35"/>
    <n v="0.32700000000000001"/>
    <n v="0.69299999999999995"/>
    <n v="382"/>
    <n v="42"/>
    <n v="128"/>
    <n v="87"/>
    <n v="21"/>
    <n v="21"/>
    <n v="49"/>
    <n v="1.78"/>
  </r>
  <r>
    <x v="6"/>
    <x v="0"/>
    <x v="3"/>
    <n v="49"/>
    <x v="2"/>
    <s v="Fountos"/>
    <n v="0"/>
    <n v="2"/>
    <n v="11"/>
    <n v="0"/>
    <x v="7"/>
    <s v="vs Tassos"/>
    <n v="158"/>
    <n v="0.47299999999999998"/>
    <n v="44"/>
    <n v="0.36699999999999999"/>
    <n v="0.80800000000000005"/>
    <n v="423"/>
    <n v="31"/>
    <n v="95"/>
    <n v="105"/>
    <n v="19"/>
    <n v="4"/>
    <n v="47"/>
    <n v="2.23"/>
  </r>
  <r>
    <x v="6"/>
    <x v="0"/>
    <x v="3"/>
    <n v="49"/>
    <x v="6"/>
    <s v="Tassos"/>
    <n v="1"/>
    <n v="11"/>
    <n v="2"/>
    <n v="0"/>
    <x v="3"/>
    <s v="vs Fountos"/>
    <n v="204"/>
    <n v="0.47799999999999998"/>
    <n v="55"/>
    <n v="0.372"/>
    <n v="0.85199999999999998"/>
    <n v="555"/>
    <n v="39"/>
    <n v="136"/>
    <n v="97"/>
    <n v="20"/>
    <n v="27"/>
    <n v="45"/>
    <n v="2.16"/>
  </r>
  <r>
    <x v="6"/>
    <x v="0"/>
    <x v="3"/>
    <n v="50"/>
    <x v="11"/>
    <s v="pi/Sotiris"/>
    <n v="1"/>
    <n v="8"/>
    <n v="5"/>
    <n v="0"/>
    <x v="28"/>
    <s v="vs Panos"/>
    <n v="205"/>
    <n v="0.48799999999999999"/>
    <n v="48"/>
    <n v="0.34799999999999998"/>
    <n v="0.754"/>
    <n v="556"/>
    <n v="31"/>
    <n v="178"/>
    <n v="153"/>
    <n v="41"/>
    <n v="13"/>
    <n v="70"/>
    <n v="2.19"/>
  </r>
  <r>
    <x v="6"/>
    <x v="0"/>
    <x v="3"/>
    <n v="50"/>
    <x v="28"/>
    <s v="Panos"/>
    <n v="0"/>
    <n v="5"/>
    <n v="8"/>
    <n v="0"/>
    <x v="10"/>
    <s v="vs pi/Sotiris"/>
    <n v="198"/>
    <n v="0.47099999999999997"/>
    <n v="65"/>
    <n v="0.38900000000000001"/>
    <n v="0.82299999999999995"/>
    <n v="526"/>
    <n v="35"/>
    <n v="128"/>
    <n v="95"/>
    <n v="21"/>
    <n v="7"/>
    <n v="48"/>
    <n v="1.98"/>
  </r>
  <r>
    <x v="6"/>
    <x v="0"/>
    <x v="4"/>
    <n v="51"/>
    <x v="3"/>
    <s v="Sakellariou"/>
    <n v="1"/>
    <n v="8"/>
    <n v="4"/>
    <n v="1"/>
    <x v="21"/>
    <s v="vs Tzokos"/>
    <n v="177"/>
    <n v="0.45200000000000001"/>
    <n v="53"/>
    <n v="0.33800000000000002"/>
    <n v="0.72"/>
    <n v="497"/>
    <n v="39"/>
    <n v="131"/>
    <n v="126"/>
    <n v="31"/>
    <n v="21"/>
    <n v="55"/>
    <n v="2.29"/>
  </r>
  <r>
    <x v="6"/>
    <x v="0"/>
    <x v="4"/>
    <n v="51"/>
    <x v="21"/>
    <s v="Tzokos"/>
    <n v="0"/>
    <n v="4"/>
    <n v="8"/>
    <n v="1"/>
    <x v="2"/>
    <s v="vs Sakellariou"/>
    <n v="162"/>
    <n v="0.48899999999999999"/>
    <n v="48"/>
    <n v="0.35599999999999998"/>
    <n v="0.91700000000000004"/>
    <n v="438"/>
    <n v="37"/>
    <n v="117"/>
    <n v="81"/>
    <n v="31"/>
    <n v="18"/>
    <n v="44"/>
    <n v="1.84"/>
  </r>
  <r>
    <x v="6"/>
    <x v="0"/>
    <x v="4"/>
    <n v="52"/>
    <x v="16"/>
    <s v="Aris"/>
    <n v="0"/>
    <n v="4"/>
    <n v="8"/>
    <n v="1"/>
    <x v="16"/>
    <s v="vs Spiridaus/Oladipas"/>
    <n v="176"/>
    <n v="0.52900000000000003"/>
    <n v="40"/>
    <n v="0.38500000000000001"/>
    <n v="0.76800000000000002"/>
    <n v="455"/>
    <n v="37"/>
    <n v="95"/>
    <n v="93"/>
    <n v="23"/>
    <n v="11"/>
    <n v="54"/>
    <n v="1.72"/>
  </r>
  <r>
    <x v="6"/>
    <x v="0"/>
    <x v="4"/>
    <n v="52"/>
    <x v="17"/>
    <s v="Spiridaus/Oladipas"/>
    <n v="1"/>
    <n v="8"/>
    <n v="4"/>
    <n v="1"/>
    <x v="17"/>
    <s v="vs Aris"/>
    <n v="151"/>
    <n v="0.42499999999999999"/>
    <n v="49"/>
    <n v="0.38900000000000001"/>
    <n v="0.89700000000000002"/>
    <n v="455"/>
    <n v="35"/>
    <n v="111"/>
    <n v="133"/>
    <n v="37"/>
    <n v="24"/>
    <n v="61"/>
    <n v="2.1800000000000002"/>
  </r>
  <r>
    <x v="6"/>
    <x v="0"/>
    <x v="4"/>
    <n v="53"/>
    <x v="23"/>
    <s v="Sarantos"/>
    <n v="0"/>
    <n v="5"/>
    <n v="8"/>
    <n v="0"/>
    <x v="24"/>
    <s v="vs Tolios"/>
    <n v="121"/>
    <n v="0.47099999999999997"/>
    <n v="37"/>
    <n v="0.36599999999999999"/>
    <n v="0.8"/>
    <n v="331"/>
    <n v="35"/>
    <n v="77"/>
    <n v="72"/>
    <n v="26"/>
    <n v="17"/>
    <n v="42"/>
    <n v="1.71"/>
  </r>
  <r>
    <x v="6"/>
    <x v="0"/>
    <x v="4"/>
    <n v="53"/>
    <x v="24"/>
    <s v="Tolios"/>
    <n v="1"/>
    <n v="8"/>
    <n v="5"/>
    <n v="0"/>
    <x v="23"/>
    <s v="vs Sarantos"/>
    <n v="162"/>
    <n v="0.505"/>
    <n v="34"/>
    <n v="0.35399999999999998"/>
    <n v="0.77100000000000002"/>
    <n v="439"/>
    <n v="62"/>
    <n v="113"/>
    <n v="74"/>
    <n v="30"/>
    <n v="32"/>
    <n v="45"/>
    <n v="1.64"/>
  </r>
  <r>
    <x v="6"/>
    <x v="0"/>
    <x v="4"/>
    <n v="54"/>
    <x v="18"/>
    <s v="Kotakis"/>
    <n v="1"/>
    <n v="11"/>
    <n v="2"/>
    <n v="0"/>
    <x v="26"/>
    <s v="vs Lafa"/>
    <n v="236"/>
    <n v="0.51800000000000002"/>
    <n v="58"/>
    <n v="0.372"/>
    <n v="0.82499999999999996"/>
    <n v="629"/>
    <n v="56"/>
    <n v="189"/>
    <n v="130"/>
    <n v="34"/>
    <n v="31"/>
    <n v="51"/>
    <n v="2.5499999999999998"/>
  </r>
  <r>
    <x v="6"/>
    <x v="0"/>
    <x v="4"/>
    <n v="54"/>
    <x v="26"/>
    <s v="Lafa"/>
    <n v="0"/>
    <n v="2"/>
    <n v="11"/>
    <n v="0"/>
    <x v="19"/>
    <s v="vs Kotakis"/>
    <n v="148"/>
    <n v="0.48199999999999998"/>
    <n v="52"/>
    <n v="0.40600000000000003"/>
    <n v="0.76300000000000001"/>
    <n v="406"/>
    <n v="27"/>
    <n v="120"/>
    <n v="71"/>
    <n v="21"/>
    <n v="21"/>
    <n v="42"/>
    <n v="1.69"/>
  </r>
  <r>
    <x v="6"/>
    <x v="0"/>
    <x v="4"/>
    <n v="55"/>
    <x v="1"/>
    <s v="Fanis"/>
    <n v="0"/>
    <n v="6"/>
    <n v="7"/>
    <n v="0"/>
    <x v="20"/>
    <s v="vs Guru"/>
    <n v="198"/>
    <n v="0.45700000000000002"/>
    <n v="67"/>
    <n v="0.34499999999999997"/>
    <n v="0.81699999999999995"/>
    <n v="579"/>
    <n v="40"/>
    <n v="119"/>
    <n v="135"/>
    <n v="24"/>
    <n v="19"/>
    <n v="73"/>
    <n v="1.85"/>
  </r>
  <r>
    <x v="6"/>
    <x v="0"/>
    <x v="4"/>
    <n v="55"/>
    <x v="20"/>
    <s v="Guru"/>
    <n v="1"/>
    <n v="7"/>
    <n v="6"/>
    <n v="0"/>
    <x v="0"/>
    <s v="vs Fanis"/>
    <n v="136"/>
    <n v="0.47899999999999998"/>
    <n v="53"/>
    <n v="0.42099999999999999"/>
    <n v="0.84599999999999997"/>
    <n v="391"/>
    <n v="29"/>
    <n v="120"/>
    <n v="136"/>
    <n v="20"/>
    <n v="14"/>
    <n v="47"/>
    <n v="2.89"/>
  </r>
  <r>
    <x v="6"/>
    <x v="0"/>
    <x v="4"/>
    <n v="56"/>
    <x v="7"/>
    <s v="Johnny"/>
    <n v="1"/>
    <n v="8"/>
    <n v="5"/>
    <n v="0"/>
    <x v="13"/>
    <s v="vs Stavros"/>
    <n v="199"/>
    <n v="0.48799999999999999"/>
    <n v="62"/>
    <n v="0.38300000000000001"/>
    <n v="0.81100000000000005"/>
    <n v="580"/>
    <n v="60"/>
    <n v="191"/>
    <n v="100"/>
    <n v="36"/>
    <n v="27"/>
    <n v="65"/>
    <n v="1.54"/>
  </r>
  <r>
    <x v="6"/>
    <x v="0"/>
    <x v="4"/>
    <n v="56"/>
    <x v="12"/>
    <s v="Stavros"/>
    <n v="0"/>
    <n v="5"/>
    <n v="8"/>
    <n v="0"/>
    <x v="6"/>
    <s v="vs Johnny"/>
    <n v="200"/>
    <n v="0.46500000000000002"/>
    <n v="65"/>
    <n v="0.374"/>
    <n v="0.80300000000000005"/>
    <n v="567"/>
    <n v="45"/>
    <n v="152"/>
    <n v="124"/>
    <n v="23"/>
    <n v="24"/>
    <n v="62"/>
    <n v="2"/>
  </r>
  <r>
    <x v="6"/>
    <x v="0"/>
    <x v="4"/>
    <n v="57"/>
    <x v="9"/>
    <s v="Ziogas/Christof"/>
    <n v="1"/>
    <n v="11"/>
    <n v="2"/>
    <n v="0"/>
    <x v="25"/>
    <s v="vs Arvanitis"/>
    <n v="151"/>
    <n v="0.48899999999999999"/>
    <n v="41"/>
    <n v="0.34699999999999998"/>
    <n v="0.79700000000000004"/>
    <n v="402"/>
    <n v="34"/>
    <n v="127"/>
    <n v="64"/>
    <n v="30"/>
    <n v="11"/>
    <n v="46"/>
    <n v="1.39"/>
  </r>
  <r>
    <x v="6"/>
    <x v="0"/>
    <x v="4"/>
    <n v="57"/>
    <x v="25"/>
    <s v="Arvanitis"/>
    <n v="0"/>
    <n v="2"/>
    <n v="11"/>
    <n v="0"/>
    <x v="8"/>
    <s v="vs Ziogas/Christof"/>
    <n v="67"/>
    <n v="0.40600000000000003"/>
    <n v="23"/>
    <n v="0.434"/>
    <n v="0.76"/>
    <n v="195"/>
    <n v="30"/>
    <n v="87"/>
    <n v="39"/>
    <n v="10"/>
    <n v="9"/>
    <n v="31"/>
    <n v="1.26"/>
  </r>
  <r>
    <x v="6"/>
    <x v="0"/>
    <x v="4"/>
    <n v="58"/>
    <x v="6"/>
    <s v="Tassos"/>
    <n v="1"/>
    <n v="10"/>
    <n v="3"/>
    <n v="0"/>
    <x v="27"/>
    <s v="vs Dimitris"/>
    <n v="220"/>
    <n v="0.46200000000000002"/>
    <n v="60"/>
    <n v="0.40500000000000003"/>
    <n v="0.79800000000000004"/>
    <n v="599"/>
    <n v="47"/>
    <n v="164"/>
    <n v="135"/>
    <n v="33"/>
    <n v="22"/>
    <n v="75"/>
    <n v="1.8"/>
  </r>
  <r>
    <x v="6"/>
    <x v="0"/>
    <x v="4"/>
    <n v="58"/>
    <x v="27"/>
    <s v="Dimitris"/>
    <n v="0"/>
    <n v="3"/>
    <n v="10"/>
    <n v="0"/>
    <x v="7"/>
    <s v="vs Tassos"/>
    <n v="114"/>
    <n v="0.49399999999999999"/>
    <n v="28"/>
    <n v="0.32600000000000001"/>
    <n v="0.78300000000000003"/>
    <n v="328"/>
    <n v="41"/>
    <n v="108"/>
    <n v="78"/>
    <n v="16"/>
    <n v="15"/>
    <n v="33"/>
    <n v="2.36"/>
  </r>
  <r>
    <x v="6"/>
    <x v="0"/>
    <x v="4"/>
    <n v="59"/>
    <x v="28"/>
    <s v="Panos"/>
    <n v="0"/>
    <n v="1"/>
    <n v="12"/>
    <n v="0"/>
    <x v="14"/>
    <s v="vs Vasilis"/>
    <n v="105"/>
    <n v="0.45500000000000002"/>
    <n v="30"/>
    <n v="0.34499999999999997"/>
    <n v="0.8"/>
    <n v="288"/>
    <n v="13"/>
    <n v="69"/>
    <n v="62"/>
    <n v="19"/>
    <n v="12"/>
    <n v="35"/>
    <n v="1.77"/>
  </r>
  <r>
    <x v="6"/>
    <x v="0"/>
    <x v="4"/>
    <n v="59"/>
    <x v="15"/>
    <s v="Vasilis"/>
    <n v="1"/>
    <n v="12"/>
    <n v="1"/>
    <n v="0"/>
    <x v="28"/>
    <s v="vs Panos"/>
    <n v="205"/>
    <n v="0.501"/>
    <n v="44"/>
    <n v="0.35499999999999998"/>
    <n v="0.82599999999999996"/>
    <n v="582"/>
    <n v="63"/>
    <n v="149"/>
    <n v="121"/>
    <n v="31"/>
    <n v="38"/>
    <n v="54"/>
    <n v="2.2400000000000002"/>
  </r>
  <r>
    <x v="6"/>
    <x v="0"/>
    <x v="4"/>
    <n v="60"/>
    <x v="11"/>
    <s v="pi/Sotiris"/>
    <n v="0"/>
    <n v="5"/>
    <n v="7"/>
    <n v="1"/>
    <x v="3"/>
    <s v="vs Fountos"/>
    <n v="209"/>
    <n v="0.48499999999999999"/>
    <n v="35"/>
    <n v="0.32100000000000001"/>
    <n v="0.73499999999999999"/>
    <n v="550"/>
    <n v="63"/>
    <n v="143"/>
    <n v="147"/>
    <n v="47"/>
    <n v="12"/>
    <n v="63"/>
    <n v="2.33"/>
  </r>
  <r>
    <x v="6"/>
    <x v="0"/>
    <x v="4"/>
    <n v="60"/>
    <x v="2"/>
    <s v="Fountos"/>
    <n v="1"/>
    <n v="7"/>
    <n v="5"/>
    <n v="1"/>
    <x v="10"/>
    <s v="vs pi/Sotiris"/>
    <n v="210"/>
    <n v="0.45600000000000002"/>
    <n v="70"/>
    <n v="0.38900000000000001"/>
    <n v="0.86199999999999999"/>
    <n v="571"/>
    <n v="29"/>
    <n v="120"/>
    <n v="140"/>
    <n v="29"/>
    <n v="12"/>
    <n v="58"/>
    <n v="2.41"/>
  </r>
  <r>
    <x v="6"/>
    <x v="0"/>
    <x v="5"/>
    <n v="61"/>
    <x v="21"/>
    <s v="Tzokos"/>
    <n v="1"/>
    <n v="8"/>
    <n v="5"/>
    <n v="0"/>
    <x v="17"/>
    <s v="vs Aris"/>
    <n v="153"/>
    <n v="0.51"/>
    <n v="51"/>
    <n v="0.44"/>
    <n v="0.80600000000000005"/>
    <n v="432"/>
    <n v="35"/>
    <n v="135"/>
    <n v="83"/>
    <n v="17"/>
    <n v="27"/>
    <n v="38"/>
    <n v="2.1800000000000002"/>
  </r>
  <r>
    <x v="6"/>
    <x v="0"/>
    <x v="5"/>
    <n v="61"/>
    <x v="16"/>
    <s v="Aris"/>
    <n v="0"/>
    <n v="5"/>
    <n v="8"/>
    <n v="0"/>
    <x v="21"/>
    <s v="vs Tzokos"/>
    <n v="159"/>
    <n v="0.498"/>
    <n v="37"/>
    <n v="0.36599999999999999"/>
    <n v="0.77200000000000002"/>
    <n v="453"/>
    <n v="41"/>
    <n v="123"/>
    <n v="111"/>
    <n v="21"/>
    <n v="11"/>
    <n v="57"/>
    <n v="1.95"/>
  </r>
  <r>
    <x v="6"/>
    <x v="0"/>
    <x v="5"/>
    <n v="62"/>
    <x v="3"/>
    <s v="Sakellariou"/>
    <n v="1"/>
    <n v="7"/>
    <n v="6"/>
    <n v="0"/>
    <x v="23"/>
    <s v="vs Sarantos"/>
    <n v="158"/>
    <n v="0.46200000000000002"/>
    <n v="51"/>
    <n v="0.372"/>
    <n v="0.82099999999999995"/>
    <n v="445"/>
    <n v="26"/>
    <n v="106"/>
    <n v="115"/>
    <n v="25"/>
    <n v="10"/>
    <n v="57"/>
    <n v="2.02"/>
  </r>
  <r>
    <x v="6"/>
    <x v="0"/>
    <x v="5"/>
    <n v="62"/>
    <x v="23"/>
    <s v="Sarantos"/>
    <n v="0"/>
    <n v="6"/>
    <n v="7"/>
    <n v="0"/>
    <x v="2"/>
    <s v="vs Sakellariou"/>
    <n v="107"/>
    <n v="0.46899999999999997"/>
    <n v="29"/>
    <n v="0.35799999999999998"/>
    <n v="0.66100000000000003"/>
    <n v="284"/>
    <n v="44"/>
    <n v="72"/>
    <n v="61"/>
    <n v="27"/>
    <n v="18"/>
    <n v="25"/>
    <n v="2.44"/>
  </r>
  <r>
    <x v="6"/>
    <x v="0"/>
    <x v="5"/>
    <n v="63"/>
    <x v="17"/>
    <s v="Spiridaus/Oladipas"/>
    <n v="0"/>
    <n v="4"/>
    <n v="9"/>
    <n v="0"/>
    <x v="19"/>
    <s v="vs Kotakis"/>
    <n v="150"/>
    <n v="0.44"/>
    <n v="48"/>
    <n v="0.38100000000000001"/>
    <n v="0.83599999999999997"/>
    <n v="404"/>
    <n v="22"/>
    <n v="86"/>
    <n v="122"/>
    <n v="29"/>
    <n v="23"/>
    <n v="48"/>
    <n v="2.54"/>
  </r>
  <r>
    <x v="6"/>
    <x v="0"/>
    <x v="5"/>
    <n v="63"/>
    <x v="18"/>
    <s v="Kotakis"/>
    <n v="1"/>
    <n v="9"/>
    <n v="4"/>
    <n v="0"/>
    <x v="16"/>
    <s v="vs Spiridaus/Oladipas"/>
    <n v="195"/>
    <n v="0.46899999999999997"/>
    <n v="56"/>
    <n v="0.39200000000000002"/>
    <n v="0.83199999999999996"/>
    <n v="530"/>
    <n v="30"/>
    <n v="165"/>
    <n v="134"/>
    <n v="19"/>
    <n v="26"/>
    <n v="57"/>
    <n v="2.35"/>
  </r>
  <r>
    <x v="6"/>
    <x v="0"/>
    <x v="5"/>
    <n v="64"/>
    <x v="24"/>
    <s v="Tolios"/>
    <n v="1"/>
    <n v="8"/>
    <n v="5"/>
    <n v="0"/>
    <x v="0"/>
    <s v="vs Fanis"/>
    <n v="149"/>
    <n v="0.47899999999999998"/>
    <n v="28"/>
    <n v="0.29799999999999999"/>
    <n v="0.89500000000000002"/>
    <n v="394"/>
    <n v="54"/>
    <n v="153"/>
    <n v="69"/>
    <n v="25"/>
    <n v="15"/>
    <n v="49"/>
    <n v="1.41"/>
  </r>
  <r>
    <x v="6"/>
    <x v="0"/>
    <x v="5"/>
    <n v="64"/>
    <x v="1"/>
    <s v="Fanis"/>
    <n v="0"/>
    <n v="5"/>
    <n v="8"/>
    <n v="0"/>
    <x v="24"/>
    <s v="vs Tolios"/>
    <n v="119"/>
    <n v="0.46700000000000003"/>
    <n v="34"/>
    <n v="0.318"/>
    <n v="0.85899999999999999"/>
    <n v="351"/>
    <n v="25"/>
    <n v="52"/>
    <n v="93"/>
    <n v="22"/>
    <n v="9"/>
    <n v="36"/>
    <n v="2.58"/>
  </r>
  <r>
    <x v="6"/>
    <x v="0"/>
    <x v="5"/>
    <n v="65"/>
    <x v="26"/>
    <s v="Lafa"/>
    <n v="0"/>
    <n v="5"/>
    <n v="8"/>
    <n v="0"/>
    <x v="6"/>
    <s v="vs Johnny"/>
    <n v="127"/>
    <n v="0.43099999999999999"/>
    <n v="41"/>
    <n v="0.34200000000000003"/>
    <n v="0.75"/>
    <n v="352"/>
    <n v="31"/>
    <n v="127"/>
    <n v="93"/>
    <n v="21"/>
    <n v="17"/>
    <n v="31"/>
    <n v="3"/>
  </r>
  <r>
    <x v="6"/>
    <x v="0"/>
    <x v="5"/>
    <n v="65"/>
    <x v="7"/>
    <s v="Johnny"/>
    <n v="1"/>
    <n v="8"/>
    <n v="5"/>
    <n v="0"/>
    <x v="26"/>
    <s v="vs Lafa"/>
    <n v="134"/>
    <n v="0.48199999999999998"/>
    <n v="38"/>
    <n v="0.36899999999999999"/>
    <n v="0.78200000000000003"/>
    <n v="367"/>
    <n v="45"/>
    <n v="111"/>
    <n v="64"/>
    <n v="28"/>
    <n v="30"/>
    <n v="51"/>
    <n v="1.25"/>
  </r>
  <r>
    <x v="6"/>
    <x v="0"/>
    <x v="5"/>
    <n v="66"/>
    <x v="20"/>
    <s v="Guru"/>
    <n v="0"/>
    <n v="5"/>
    <n v="8"/>
    <n v="0"/>
    <x v="8"/>
    <s v="vs Ziogas/Christof"/>
    <n v="164"/>
    <n v="0.503"/>
    <n v="50"/>
    <n v="0.42"/>
    <n v="0.78900000000000003"/>
    <n v="434"/>
    <n v="30"/>
    <n v="71"/>
    <n v="117"/>
    <n v="23"/>
    <n v="12"/>
    <n v="34"/>
    <n v="3.44"/>
  </r>
  <r>
    <x v="6"/>
    <x v="0"/>
    <x v="5"/>
    <n v="66"/>
    <x v="9"/>
    <s v="Ziogas/Christof"/>
    <n v="1"/>
    <n v="8"/>
    <n v="5"/>
    <n v="0"/>
    <x v="20"/>
    <s v="vs Guru"/>
    <n v="171"/>
    <n v="0.56100000000000005"/>
    <n v="48"/>
    <n v="0.45300000000000001"/>
    <n v="0.73"/>
    <n v="436"/>
    <n v="33"/>
    <n v="137"/>
    <n v="97"/>
    <n v="28"/>
    <n v="23"/>
    <n v="39"/>
    <n v="2.4900000000000002"/>
  </r>
  <r>
    <x v="6"/>
    <x v="0"/>
    <x v="5"/>
    <n v="67"/>
    <x v="12"/>
    <s v="Stavros"/>
    <n v="1"/>
    <n v="10"/>
    <n v="3"/>
    <n v="0"/>
    <x v="7"/>
    <s v="vs Tassos"/>
    <n v="182"/>
    <n v="0.53500000000000003"/>
    <n v="52"/>
    <n v="0.433"/>
    <n v="0.83799999999999997"/>
    <n v="504"/>
    <n v="45"/>
    <n v="112"/>
    <n v="104"/>
    <n v="27"/>
    <n v="26"/>
    <n v="47"/>
    <n v="2.21"/>
  </r>
  <r>
    <x v="6"/>
    <x v="0"/>
    <x v="5"/>
    <n v="67"/>
    <x v="6"/>
    <s v="Tassos"/>
    <n v="0"/>
    <n v="3"/>
    <n v="10"/>
    <n v="0"/>
    <x v="13"/>
    <s v="vs Stavros"/>
    <n v="205"/>
    <n v="0.47099999999999997"/>
    <n v="45"/>
    <n v="0.32800000000000001"/>
    <n v="0.82499999999999996"/>
    <n v="549"/>
    <n v="44"/>
    <n v="138"/>
    <n v="100"/>
    <n v="25"/>
    <n v="22"/>
    <n v="60"/>
    <n v="1.67"/>
  </r>
  <r>
    <x v="6"/>
    <x v="0"/>
    <x v="5"/>
    <n v="68"/>
    <x v="25"/>
    <s v="Arvanitis"/>
    <n v="0"/>
    <n v="4"/>
    <n v="9"/>
    <n v="0"/>
    <x v="28"/>
    <s v="vs Panos"/>
    <n v="118"/>
    <n v="0.52"/>
    <n v="22"/>
    <n v="0.33300000000000002"/>
    <n v="0.67200000000000004"/>
    <n v="297"/>
    <n v="43"/>
    <n v="104"/>
    <n v="55"/>
    <n v="19"/>
    <n v="32"/>
    <n v="37"/>
    <n v="1.49"/>
  </r>
  <r>
    <x v="6"/>
    <x v="0"/>
    <x v="5"/>
    <n v="68"/>
    <x v="28"/>
    <s v="Panos"/>
    <n v="1"/>
    <n v="9"/>
    <n v="4"/>
    <n v="0"/>
    <x v="25"/>
    <s v="vs Arvanitis"/>
    <n v="143"/>
    <n v="0.42799999999999999"/>
    <n v="56"/>
    <n v="0.39400000000000002"/>
    <n v="0.82299999999999995"/>
    <n v="393"/>
    <n v="32"/>
    <n v="111"/>
    <n v="107"/>
    <n v="28"/>
    <n v="7"/>
    <n v="52"/>
    <n v="2.06"/>
  </r>
  <r>
    <x v="6"/>
    <x v="0"/>
    <x v="5"/>
    <n v="69"/>
    <x v="27"/>
    <s v="Dimitris"/>
    <n v="0"/>
    <n v="5"/>
    <n v="7"/>
    <n v="1"/>
    <x v="10"/>
    <s v="vs pi/Sotiris"/>
    <n v="107"/>
    <n v="0.52500000000000002"/>
    <n v="23"/>
    <n v="0.371"/>
    <n v="0.83299999999999996"/>
    <n v="297"/>
    <n v="38"/>
    <n v="105"/>
    <n v="56"/>
    <n v="17"/>
    <n v="12"/>
    <n v="28"/>
    <n v="2"/>
  </r>
  <r>
    <x v="6"/>
    <x v="0"/>
    <x v="5"/>
    <n v="69"/>
    <x v="11"/>
    <s v="pi/Sotiris"/>
    <n v="1"/>
    <n v="7"/>
    <n v="5"/>
    <n v="1"/>
    <x v="27"/>
    <s v="vs Dimitris"/>
    <n v="159"/>
    <n v="0.51800000000000002"/>
    <n v="23"/>
    <n v="0.26700000000000002"/>
    <n v="0.82499999999999996"/>
    <n v="421"/>
    <n v="37"/>
    <n v="107"/>
    <n v="110"/>
    <n v="25"/>
    <n v="19"/>
    <n v="48"/>
    <n v="2.29"/>
  </r>
  <r>
    <x v="6"/>
    <x v="0"/>
    <x v="5"/>
    <n v="70"/>
    <x v="15"/>
    <s v="Vasilis"/>
    <n v="1"/>
    <n v="8"/>
    <n v="5"/>
    <n v="0"/>
    <x v="3"/>
    <s v="vs Fountos"/>
    <n v="188"/>
    <n v="0.46"/>
    <n v="33"/>
    <n v="0.29199999999999998"/>
    <n v="0.85399999999999998"/>
    <n v="532"/>
    <n v="47"/>
    <n v="149"/>
    <n v="96"/>
    <n v="33"/>
    <n v="29"/>
    <n v="57"/>
    <n v="1.68"/>
  </r>
  <r>
    <x v="6"/>
    <x v="0"/>
    <x v="5"/>
    <n v="70"/>
    <x v="2"/>
    <s v="Fountos"/>
    <n v="0"/>
    <n v="5"/>
    <n v="8"/>
    <n v="0"/>
    <x v="14"/>
    <s v="vs Vasilis"/>
    <n v="182"/>
    <n v="0.442"/>
    <n v="50"/>
    <n v="0.34699999999999998"/>
    <n v="0.78600000000000003"/>
    <n v="495"/>
    <n v="24"/>
    <n v="112"/>
    <n v="122"/>
    <n v="30"/>
    <n v="11"/>
    <n v="48"/>
    <n v="2.54"/>
  </r>
  <r>
    <x v="6"/>
    <x v="0"/>
    <x v="6"/>
    <n v="71"/>
    <x v="23"/>
    <s v="Sarantos"/>
    <n v="0"/>
    <n v="3"/>
    <n v="10"/>
    <n v="0"/>
    <x v="21"/>
    <s v="vs Tzokos"/>
    <n v="57"/>
    <n v="0.42899999999999999"/>
    <n v="17"/>
    <n v="0.29799999999999999"/>
    <n v="0.83"/>
    <n v="175"/>
    <n v="22"/>
    <n v="45"/>
    <n v="32"/>
    <n v="11"/>
    <n v="9"/>
    <n v="16"/>
    <n v="2"/>
  </r>
  <r>
    <x v="6"/>
    <x v="0"/>
    <x v="6"/>
    <n v="71"/>
    <x v="21"/>
    <s v="Tzokos"/>
    <n v="1"/>
    <n v="10"/>
    <n v="3"/>
    <n v="0"/>
    <x v="23"/>
    <s v="vs Sarantos"/>
    <n v="107"/>
    <n v="0.498"/>
    <n v="27"/>
    <n v="0.375"/>
    <n v="0.84199999999999997"/>
    <n v="273"/>
    <n v="19"/>
    <n v="80"/>
    <n v="50"/>
    <n v="17"/>
    <n v="13"/>
    <n v="28"/>
    <n v="1.79"/>
  </r>
  <r>
    <x v="6"/>
    <x v="0"/>
    <x v="6"/>
    <n v="72"/>
    <x v="18"/>
    <s v="Kotakis"/>
    <n v="1"/>
    <n v="13"/>
    <n v="0"/>
    <n v="0"/>
    <x v="17"/>
    <s v="vs Aris"/>
    <n v="134"/>
    <n v="0.48699999999999999"/>
    <n v="39"/>
    <n v="0.40600000000000003"/>
    <n v="0.83599999999999997"/>
    <n v="358"/>
    <n v="42"/>
    <n v="93"/>
    <n v="71"/>
    <n v="18"/>
    <n v="24"/>
    <n v="25"/>
    <n v="2.84"/>
  </r>
  <r>
    <x v="6"/>
    <x v="0"/>
    <x v="6"/>
    <n v="72"/>
    <x v="16"/>
    <s v="Aris"/>
    <n v="0"/>
    <n v="0"/>
    <n v="13"/>
    <n v="0"/>
    <x v="19"/>
    <s v="vs Kotakis"/>
    <n v="98"/>
    <n v="0.46899999999999997"/>
    <n v="25"/>
    <n v="0.32900000000000001"/>
    <n v="0.73299999999999998"/>
    <n v="265"/>
    <n v="31"/>
    <n v="81"/>
    <n v="44"/>
    <n v="14"/>
    <n v="8"/>
    <n v="40"/>
    <n v="1.1000000000000001"/>
  </r>
  <r>
    <x v="6"/>
    <x v="0"/>
    <x v="6"/>
    <n v="73"/>
    <x v="1"/>
    <s v="Fanis"/>
    <n v="0"/>
    <n v="6"/>
    <n v="7"/>
    <n v="0"/>
    <x v="2"/>
    <s v="vs Sakellariou"/>
    <n v="116"/>
    <n v="0.48499999999999999"/>
    <n v="31"/>
    <n v="0.36899999999999999"/>
    <n v="0.80600000000000005"/>
    <n v="321"/>
    <n v="29"/>
    <n v="58"/>
    <n v="73"/>
    <n v="13"/>
    <n v="14"/>
    <n v="36"/>
    <n v="2.0299999999999998"/>
  </r>
  <r>
    <x v="6"/>
    <x v="0"/>
    <x v="6"/>
    <n v="73"/>
    <x v="3"/>
    <s v="Sakellariou"/>
    <n v="1"/>
    <n v="7"/>
    <n v="6"/>
    <n v="0"/>
    <x v="0"/>
    <s v="vs Fanis"/>
    <n v="105"/>
    <n v="0.45500000000000002"/>
    <n v="38"/>
    <n v="0.40899999999999997"/>
    <n v="0.79800000000000004"/>
    <n v="315"/>
    <n v="13"/>
    <n v="85"/>
    <n v="76"/>
    <n v="22"/>
    <n v="7"/>
    <n v="33"/>
    <n v="2.2999999999999998"/>
  </r>
  <r>
    <x v="6"/>
    <x v="0"/>
    <x v="6"/>
    <n v="74"/>
    <x v="7"/>
    <s v="Johnny"/>
    <n v="1"/>
    <n v="8"/>
    <n v="5"/>
    <n v="0"/>
    <x v="16"/>
    <s v="vs Spiridaus/Oladipas"/>
    <n v="98"/>
    <n v="0.49199999999999999"/>
    <n v="25"/>
    <n v="0.36199999999999999"/>
    <n v="0.60299999999999998"/>
    <n v="256"/>
    <n v="34"/>
    <n v="103"/>
    <n v="63"/>
    <n v="15"/>
    <n v="17"/>
    <n v="26"/>
    <n v="2.42"/>
  </r>
  <r>
    <x v="6"/>
    <x v="0"/>
    <x v="6"/>
    <n v="74"/>
    <x v="17"/>
    <s v="Spiridaus/Oladipas"/>
    <n v="0"/>
    <n v="5"/>
    <n v="8"/>
    <n v="0"/>
    <x v="6"/>
    <s v="vs Johnny"/>
    <n v="87"/>
    <n v="0.45800000000000002"/>
    <n v="27"/>
    <n v="0.40899999999999997"/>
    <n v="0.82599999999999996"/>
    <n v="239"/>
    <n v="22"/>
    <n v="74"/>
    <n v="71"/>
    <n v="16"/>
    <n v="12"/>
    <n v="35"/>
    <n v="2.0299999999999998"/>
  </r>
  <r>
    <x v="6"/>
    <x v="0"/>
    <x v="6"/>
    <n v="75"/>
    <x v="9"/>
    <s v="Ziogas/Christof"/>
    <n v="1"/>
    <n v="9"/>
    <n v="4"/>
    <n v="0"/>
    <x v="24"/>
    <s v="vs Tolios"/>
    <n v="104"/>
    <n v="0.49299999999999999"/>
    <n v="25"/>
    <n v="0.32500000000000001"/>
    <n v="0.84599999999999997"/>
    <n v="266"/>
    <n v="24"/>
    <n v="74"/>
    <n v="52"/>
    <n v="15"/>
    <n v="8"/>
    <n v="25"/>
    <n v="2.08"/>
  </r>
  <r>
    <x v="6"/>
    <x v="0"/>
    <x v="6"/>
    <n v="75"/>
    <x v="24"/>
    <s v="Tolios"/>
    <n v="0"/>
    <n v="4"/>
    <n v="9"/>
    <n v="0"/>
    <x v="8"/>
    <s v="vs Ziogas/Christof"/>
    <n v="83"/>
    <n v="0.53900000000000003"/>
    <n v="18"/>
    <n v="0.48599999999999999"/>
    <n v="0.77800000000000002"/>
    <n v="219"/>
    <n v="28"/>
    <n v="72"/>
    <n v="30"/>
    <n v="12"/>
    <n v="10"/>
    <n v="34"/>
    <n v="0.88"/>
  </r>
  <r>
    <x v="6"/>
    <x v="0"/>
    <x v="6"/>
    <n v="76"/>
    <x v="6"/>
    <s v="Tassos"/>
    <n v="1"/>
    <n v="10"/>
    <n v="2"/>
    <n v="1"/>
    <x v="26"/>
    <s v="vs Lafa"/>
    <n v="144"/>
    <n v="0.56699999999999995"/>
    <n v="32"/>
    <n v="0.39500000000000002"/>
    <n v="0.88100000000000001"/>
    <n v="372"/>
    <n v="28"/>
    <n v="75"/>
    <n v="73"/>
    <n v="20"/>
    <n v="17"/>
    <n v="32"/>
    <n v="2.2799999999999998"/>
  </r>
  <r>
    <x v="6"/>
    <x v="0"/>
    <x v="6"/>
    <n v="76"/>
    <x v="26"/>
    <s v="Lafa"/>
    <n v="0"/>
    <n v="2"/>
    <n v="10"/>
    <n v="1"/>
    <x v="7"/>
    <s v="vs Tassos"/>
    <n v="116"/>
    <n v="0.46400000000000002"/>
    <n v="31"/>
    <n v="0.313"/>
    <n v="0.75"/>
    <n v="320"/>
    <n v="14"/>
    <n v="82"/>
    <n v="59"/>
    <n v="12"/>
    <n v="18"/>
    <n v="32"/>
    <n v="1.84"/>
  </r>
  <r>
    <x v="6"/>
    <x v="0"/>
    <x v="6"/>
    <n v="77"/>
    <x v="28"/>
    <s v="Panos"/>
    <n v="0"/>
    <n v="4"/>
    <n v="9"/>
    <n v="0"/>
    <x v="20"/>
    <s v="vs Guru"/>
    <n v="93"/>
    <n v="0.44500000000000001"/>
    <n v="25"/>
    <n v="0.28399999999999997"/>
    <n v="0.74"/>
    <n v="248"/>
    <n v="22"/>
    <n v="67"/>
    <n v="64"/>
    <n v="13"/>
    <n v="6"/>
    <n v="25"/>
    <n v="2.56"/>
  </r>
  <r>
    <x v="6"/>
    <x v="0"/>
    <x v="6"/>
    <n v="77"/>
    <x v="20"/>
    <s v="Guru"/>
    <n v="1"/>
    <n v="9"/>
    <n v="4"/>
    <n v="0"/>
    <x v="28"/>
    <s v="vs Panos"/>
    <n v="99"/>
    <n v="0.49"/>
    <n v="41"/>
    <n v="0.42299999999999999"/>
    <n v="0.8"/>
    <n v="259"/>
    <n v="25"/>
    <n v="71"/>
    <n v="54"/>
    <n v="16"/>
    <n v="4"/>
    <n v="41"/>
    <n v="1.32"/>
  </r>
  <r>
    <x v="6"/>
    <x v="0"/>
    <x v="6"/>
    <n v="78"/>
    <x v="11"/>
    <s v="pi/Sotiris"/>
    <n v="0"/>
    <n v="4"/>
    <n v="9"/>
    <n v="0"/>
    <x v="13"/>
    <s v="vs Stavros"/>
    <n v="80"/>
    <n v="0.40799999999999997"/>
    <n v="15"/>
    <n v="0.313"/>
    <n v="0.75800000000000001"/>
    <n v="222"/>
    <n v="29"/>
    <n v="83"/>
    <n v="59"/>
    <n v="18"/>
    <n v="5"/>
    <n v="24"/>
    <n v="2.46"/>
  </r>
  <r>
    <x v="6"/>
    <x v="0"/>
    <x v="6"/>
    <n v="78"/>
    <x v="12"/>
    <s v="Stavros"/>
    <n v="1"/>
    <n v="9"/>
    <n v="4"/>
    <n v="0"/>
    <x v="10"/>
    <s v="vs pi/Sotiris"/>
    <n v="115"/>
    <n v="0.46200000000000002"/>
    <n v="39"/>
    <n v="0.42399999999999999"/>
    <n v="0.92100000000000004"/>
    <n v="327"/>
    <n v="38"/>
    <n v="76"/>
    <n v="64"/>
    <n v="10"/>
    <n v="19"/>
    <n v="34"/>
    <n v="1.88"/>
  </r>
  <r>
    <x v="6"/>
    <x v="0"/>
    <x v="6"/>
    <n v="79"/>
    <x v="2"/>
    <s v="Fountos"/>
    <n v="1"/>
    <n v="7"/>
    <n v="6"/>
    <n v="0"/>
    <x v="25"/>
    <s v="vs Arvanitis"/>
    <n v="90"/>
    <n v="0.38"/>
    <n v="27"/>
    <n v="0.28100000000000003"/>
    <n v="0.76300000000000001"/>
    <n v="236"/>
    <n v="16"/>
    <n v="56"/>
    <n v="84"/>
    <n v="12"/>
    <n v="6"/>
    <n v="36"/>
    <n v="2.33"/>
  </r>
  <r>
    <x v="6"/>
    <x v="0"/>
    <x v="6"/>
    <n v="79"/>
    <x v="25"/>
    <s v="Arvanitis"/>
    <n v="0"/>
    <n v="6"/>
    <n v="7"/>
    <n v="0"/>
    <x v="3"/>
    <s v="vs Fountos"/>
    <n v="62"/>
    <n v="0.42199999999999999"/>
    <n v="11"/>
    <n v="0.224"/>
    <n v="0.84599999999999997"/>
    <n v="157"/>
    <n v="28"/>
    <n v="78"/>
    <n v="32"/>
    <n v="8"/>
    <n v="13"/>
    <n v="17"/>
    <n v="1.88"/>
  </r>
  <r>
    <x v="6"/>
    <x v="0"/>
    <x v="6"/>
    <n v="80"/>
    <x v="15"/>
    <s v="Vasilis"/>
    <n v="1"/>
    <n v="9"/>
    <n v="4"/>
    <n v="0"/>
    <x v="27"/>
    <s v="vs Dimitris"/>
    <n v="130"/>
    <n v="0.49099999999999999"/>
    <n v="21"/>
    <n v="0.28399999999999997"/>
    <n v="0.78100000000000003"/>
    <n v="356"/>
    <n v="23"/>
    <n v="94"/>
    <n v="68"/>
    <n v="25"/>
    <n v="19"/>
    <n v="26"/>
    <n v="2.62"/>
  </r>
  <r>
    <x v="6"/>
    <x v="0"/>
    <x v="6"/>
    <n v="80"/>
    <x v="27"/>
    <s v="Dimitris"/>
    <n v="0"/>
    <n v="4"/>
    <n v="9"/>
    <n v="0"/>
    <x v="14"/>
    <s v="vs Vasilis"/>
    <n v="70"/>
    <n v="0.44900000000000001"/>
    <n v="18"/>
    <n v="0.375"/>
    <n v="0.82899999999999996"/>
    <n v="192"/>
    <n v="26"/>
    <n v="65"/>
    <n v="31"/>
    <n v="14"/>
    <n v="12"/>
    <n v="20"/>
    <n v="1.55"/>
  </r>
  <r>
    <x v="6"/>
    <x v="0"/>
    <x v="7"/>
    <n v="81"/>
    <x v="21"/>
    <s v="Tzokos"/>
    <n v="0"/>
    <n v="3"/>
    <n v="10"/>
    <n v="0"/>
    <x v="19"/>
    <s v="vs Kotakis"/>
    <n v="155"/>
    <n v="0.47799999999999998"/>
    <n v="53"/>
    <n v="0.38100000000000001"/>
    <n v="0.84499999999999997"/>
    <n v="412"/>
    <n v="43"/>
    <n v="128"/>
    <n v="106"/>
    <n v="32"/>
    <n v="21"/>
    <n v="37"/>
    <n v="2.86"/>
  </r>
  <r>
    <x v="6"/>
    <x v="0"/>
    <x v="7"/>
    <n v="81"/>
    <x v="18"/>
    <s v="Kotakis"/>
    <n v="1"/>
    <n v="10"/>
    <n v="3"/>
    <n v="0"/>
    <x v="21"/>
    <s v="vs Tzokos"/>
    <n v="224"/>
    <n v="0.49"/>
    <n v="64"/>
    <n v="0.38300000000000001"/>
    <n v="0.81100000000000005"/>
    <n v="628"/>
    <n v="56"/>
    <n v="184"/>
    <n v="142"/>
    <n v="41"/>
    <n v="30"/>
    <n v="64"/>
    <n v="2.2200000000000002"/>
  </r>
  <r>
    <x v="6"/>
    <x v="0"/>
    <x v="7"/>
    <n v="82"/>
    <x v="23"/>
    <s v="Sarantos"/>
    <n v="0"/>
    <n v="3"/>
    <n v="10"/>
    <n v="0"/>
    <x v="0"/>
    <s v="vs Fanis"/>
    <n v="106"/>
    <n v="0.52200000000000002"/>
    <n v="37"/>
    <n v="0.45700000000000002"/>
    <n v="0.76100000000000001"/>
    <n v="284"/>
    <n v="25"/>
    <n v="65"/>
    <n v="44"/>
    <n v="13"/>
    <n v="15"/>
    <n v="30"/>
    <n v="1.47"/>
  </r>
  <r>
    <x v="6"/>
    <x v="0"/>
    <x v="7"/>
    <n v="82"/>
    <x v="1"/>
    <s v="Fanis"/>
    <n v="1"/>
    <n v="10"/>
    <n v="3"/>
    <n v="0"/>
    <x v="23"/>
    <s v="vs Sarantos"/>
    <n v="203"/>
    <n v="0.501"/>
    <n v="64"/>
    <n v="0.41799999999999998"/>
    <n v="0.92800000000000005"/>
    <n v="573"/>
    <n v="28"/>
    <n v="127"/>
    <n v="160"/>
    <n v="32"/>
    <n v="23"/>
    <n v="74"/>
    <n v="2.16"/>
  </r>
  <r>
    <x v="6"/>
    <x v="0"/>
    <x v="7"/>
    <n v="83"/>
    <x v="16"/>
    <s v="Aris"/>
    <n v="1"/>
    <n v="9"/>
    <n v="4"/>
    <n v="0"/>
    <x v="6"/>
    <s v="vs Johnny"/>
    <n v="240"/>
    <n v="0.53200000000000003"/>
    <n v="57"/>
    <n v="0.39"/>
    <n v="0.76900000000000002"/>
    <n v="620"/>
    <n v="50"/>
    <n v="136"/>
    <n v="128"/>
    <n v="33"/>
    <n v="20"/>
    <n v="66"/>
    <n v="1.94"/>
  </r>
  <r>
    <x v="6"/>
    <x v="0"/>
    <x v="7"/>
    <n v="83"/>
    <x v="7"/>
    <s v="Johnny"/>
    <n v="0"/>
    <n v="4"/>
    <n v="9"/>
    <n v="0"/>
    <x v="17"/>
    <s v="vs Aris"/>
    <n v="184"/>
    <n v="0.45800000000000002"/>
    <n v="49"/>
    <n v="0.36299999999999999"/>
    <n v="0.73599999999999999"/>
    <n v="506"/>
    <n v="59"/>
    <n v="153"/>
    <n v="102"/>
    <n v="22"/>
    <n v="28"/>
    <n v="59"/>
    <n v="1.73"/>
  </r>
  <r>
    <x v="6"/>
    <x v="0"/>
    <x v="7"/>
    <n v="84"/>
    <x v="3"/>
    <s v="Sakellariou"/>
    <n v="1"/>
    <n v="10"/>
    <n v="3"/>
    <n v="0"/>
    <x v="8"/>
    <s v="vs Ziogas/Christof"/>
    <n v="198"/>
    <n v="0.45600000000000002"/>
    <n v="80"/>
    <n v="0.41499999999999998"/>
    <n v="0.89"/>
    <n v="613"/>
    <n v="34"/>
    <n v="131"/>
    <n v="152"/>
    <n v="46"/>
    <n v="28"/>
    <n v="58"/>
    <n v="2.62"/>
  </r>
  <r>
    <x v="6"/>
    <x v="0"/>
    <x v="7"/>
    <n v="84"/>
    <x v="9"/>
    <s v="Ziogas/Christof"/>
    <n v="0"/>
    <n v="3"/>
    <n v="10"/>
    <n v="0"/>
    <x v="2"/>
    <s v="vs Sakellariou"/>
    <n v="189"/>
    <n v="0.499"/>
    <n v="46"/>
    <n v="0.35699999999999998"/>
    <n v="0.877"/>
    <n v="488"/>
    <n v="43"/>
    <n v="158"/>
    <n v="133"/>
    <n v="19"/>
    <n v="8"/>
    <n v="59"/>
    <n v="2.25"/>
  </r>
  <r>
    <x v="6"/>
    <x v="0"/>
    <x v="7"/>
    <n v="85"/>
    <x v="17"/>
    <s v="Spiridaus/Oladipas"/>
    <n v="0"/>
    <n v="4"/>
    <n v="9"/>
    <n v="0"/>
    <x v="7"/>
    <s v="vs Tassos"/>
    <n v="162"/>
    <n v="0.46"/>
    <n v="49"/>
    <n v="0.35799999999999998"/>
    <n v="0.77"/>
    <n v="430"/>
    <n v="22"/>
    <n v="136"/>
    <n v="136"/>
    <n v="26"/>
    <n v="28"/>
    <n v="66"/>
    <n v="2.06"/>
  </r>
  <r>
    <x v="6"/>
    <x v="0"/>
    <x v="7"/>
    <n v="85"/>
    <x v="6"/>
    <s v="Tassos"/>
    <n v="1"/>
    <n v="9"/>
    <n v="4"/>
    <n v="0"/>
    <x v="16"/>
    <s v="vs Spiridaus/Oladipas"/>
    <n v="235"/>
    <n v="0.51800000000000002"/>
    <n v="53"/>
    <n v="0.36599999999999999"/>
    <n v="0.84699999999999998"/>
    <n v="623"/>
    <n v="40"/>
    <n v="144"/>
    <n v="128"/>
    <n v="33"/>
    <n v="27"/>
    <n v="69"/>
    <n v="1.86"/>
  </r>
  <r>
    <x v="6"/>
    <x v="0"/>
    <x v="7"/>
    <n v="86"/>
    <x v="24"/>
    <s v="Tolios"/>
    <n v="0"/>
    <n v="3"/>
    <n v="10"/>
    <n v="0"/>
    <x v="28"/>
    <s v="vs Panos"/>
    <n v="172"/>
    <n v="0.45400000000000001"/>
    <n v="42"/>
    <n v="0.35"/>
    <n v="0.76900000000000002"/>
    <n v="466"/>
    <n v="67"/>
    <n v="128"/>
    <n v="85"/>
    <n v="23"/>
    <n v="19"/>
    <n v="49"/>
    <n v="1.73"/>
  </r>
  <r>
    <x v="6"/>
    <x v="0"/>
    <x v="7"/>
    <n v="86"/>
    <x v="28"/>
    <s v="Panos"/>
    <n v="1"/>
    <n v="10"/>
    <n v="3"/>
    <n v="0"/>
    <x v="24"/>
    <s v="vs Tolios"/>
    <n v="200"/>
    <n v="0.51400000000000001"/>
    <n v="70"/>
    <n v="0.46100000000000002"/>
    <n v="0.82499999999999996"/>
    <n v="574"/>
    <n v="44"/>
    <n v="131"/>
    <n v="128"/>
    <n v="39"/>
    <n v="15"/>
    <n v="58"/>
    <n v="2.21"/>
  </r>
  <r>
    <x v="6"/>
    <x v="0"/>
    <x v="7"/>
    <n v="87"/>
    <x v="26"/>
    <s v="Lafa"/>
    <n v="1"/>
    <n v="8"/>
    <n v="5"/>
    <n v="0"/>
    <x v="10"/>
    <s v="vs pi/Sotiris"/>
    <n v="244"/>
    <n v="0.47499999999999998"/>
    <n v="72"/>
    <n v="0.36899999999999999"/>
    <n v="0.85099999999999998"/>
    <n v="691"/>
    <n v="43"/>
    <n v="182"/>
    <n v="137"/>
    <n v="36"/>
    <n v="27"/>
    <n v="82"/>
    <n v="1.67"/>
  </r>
  <r>
    <x v="6"/>
    <x v="0"/>
    <x v="7"/>
    <n v="87"/>
    <x v="11"/>
    <s v="pi/Sotiris"/>
    <n v="0"/>
    <n v="5"/>
    <n v="8"/>
    <n v="0"/>
    <x v="26"/>
    <s v="vs Lafa"/>
    <n v="201"/>
    <n v="0.54600000000000004"/>
    <n v="36"/>
    <n v="0.36699999999999999"/>
    <n v="0.745"/>
    <n v="543"/>
    <n v="66"/>
    <n v="156"/>
    <n v="140"/>
    <n v="31"/>
    <n v="11"/>
    <n v="51"/>
    <n v="2.75"/>
  </r>
  <r>
    <x v="6"/>
    <x v="0"/>
    <x v="7"/>
    <n v="88"/>
    <x v="20"/>
    <s v="Guru"/>
    <n v="1"/>
    <n v="9"/>
    <n v="2"/>
    <n v="2"/>
    <x v="3"/>
    <s v="vs Fountos"/>
    <n v="194"/>
    <n v="0.46100000000000002"/>
    <n v="75"/>
    <n v="0.39900000000000002"/>
    <n v="0.80200000000000005"/>
    <n v="536"/>
    <n v="20"/>
    <n v="96"/>
    <n v="135"/>
    <n v="25"/>
    <n v="7"/>
    <n v="55"/>
    <n v="2.4500000000000002"/>
  </r>
  <r>
    <x v="6"/>
    <x v="0"/>
    <x v="7"/>
    <n v="88"/>
    <x v="2"/>
    <s v="Fountos"/>
    <n v="0"/>
    <n v="2"/>
    <n v="9"/>
    <n v="2"/>
    <x v="20"/>
    <s v="vs Guru"/>
    <n v="178"/>
    <n v="0.47"/>
    <n v="67"/>
    <n v="0.39900000000000002"/>
    <n v="0.78400000000000003"/>
    <n v="492"/>
    <n v="12"/>
    <n v="83"/>
    <n v="126"/>
    <n v="25"/>
    <n v="13"/>
    <n v="55"/>
    <n v="2.29"/>
  </r>
  <r>
    <x v="6"/>
    <x v="0"/>
    <x v="7"/>
    <n v="89"/>
    <x v="12"/>
    <s v="Stavros"/>
    <n v="0"/>
    <n v="4"/>
    <n v="9"/>
    <n v="0"/>
    <x v="14"/>
    <s v="vs Vasilis"/>
    <n v="150"/>
    <n v="0.40200000000000002"/>
    <n v="44"/>
    <n v="0.27300000000000002"/>
    <n v="0.79"/>
    <n v="442"/>
    <n v="43"/>
    <n v="138"/>
    <n v="120"/>
    <n v="30"/>
    <n v="10"/>
    <n v="58"/>
    <n v="2.0699999999999998"/>
  </r>
  <r>
    <x v="6"/>
    <x v="0"/>
    <x v="7"/>
    <n v="89"/>
    <x v="15"/>
    <s v="Vasilis"/>
    <n v="1"/>
    <n v="9"/>
    <n v="4"/>
    <n v="0"/>
    <x v="13"/>
    <s v="vs Stavros"/>
    <n v="223"/>
    <n v="0.51400000000000001"/>
    <n v="42"/>
    <n v="0.36499999999999999"/>
    <n v="0.78"/>
    <n v="605"/>
    <n v="62"/>
    <n v="161"/>
    <n v="101"/>
    <n v="45"/>
    <n v="28"/>
    <n v="55"/>
    <n v="1.84"/>
  </r>
  <r>
    <x v="6"/>
    <x v="0"/>
    <x v="7"/>
    <n v="90"/>
    <x v="25"/>
    <s v="Arvanitis"/>
    <n v="0"/>
    <n v="3"/>
    <n v="10"/>
    <n v="0"/>
    <x v="27"/>
    <s v="vs Dimitris"/>
    <n v="114"/>
    <n v="0.48299999999999998"/>
    <n v="40"/>
    <n v="0.42099999999999999"/>
    <n v="0.76800000000000002"/>
    <n v="321"/>
    <n v="32"/>
    <n v="101"/>
    <n v="50"/>
    <n v="20"/>
    <n v="10"/>
    <n v="29"/>
    <n v="1.72"/>
  </r>
  <r>
    <x v="6"/>
    <x v="0"/>
    <x v="7"/>
    <n v="90"/>
    <x v="27"/>
    <s v="Dimitris"/>
    <n v="1"/>
    <n v="10"/>
    <n v="3"/>
    <n v="0"/>
    <x v="25"/>
    <s v="vs Arvanitis"/>
    <n v="153"/>
    <n v="0.50800000000000001"/>
    <n v="30"/>
    <n v="0.32300000000000001"/>
    <n v="0.81200000000000006"/>
    <n v="405"/>
    <n v="46"/>
    <n v="116"/>
    <n v="105"/>
    <n v="32"/>
    <n v="28"/>
    <n v="47"/>
    <n v="2.23"/>
  </r>
  <r>
    <x v="6"/>
    <x v="0"/>
    <x v="8"/>
    <n v="91"/>
    <x v="1"/>
    <s v="Fanis"/>
    <n v="1"/>
    <n v="10"/>
    <n v="2"/>
    <n v="1"/>
    <x v="21"/>
    <s v="vs Tzokos"/>
    <n v="221"/>
    <n v="0.51900000000000002"/>
    <n v="85"/>
    <n v="0.45"/>
    <n v="0.83299999999999996"/>
    <n v="622"/>
    <n v="30"/>
    <n v="145"/>
    <n v="181"/>
    <n v="27"/>
    <n v="31"/>
    <n v="71"/>
    <n v="2.5499999999999998"/>
  </r>
  <r>
    <x v="6"/>
    <x v="0"/>
    <x v="8"/>
    <n v="91"/>
    <x v="21"/>
    <s v="Tzokos"/>
    <n v="0"/>
    <n v="2"/>
    <n v="10"/>
    <n v="1"/>
    <x v="0"/>
    <s v="vs Fanis"/>
    <n v="150"/>
    <n v="0.48399999999999999"/>
    <n v="35"/>
    <n v="0.32400000000000001"/>
    <n v="0.85299999999999998"/>
    <n v="393"/>
    <n v="28"/>
    <n v="99"/>
    <n v="88"/>
    <n v="27"/>
    <n v="23"/>
    <n v="48"/>
    <n v="1.83"/>
  </r>
  <r>
    <x v="6"/>
    <x v="0"/>
    <x v="8"/>
    <n v="92"/>
    <x v="7"/>
    <s v="Johnny"/>
    <n v="1"/>
    <n v="7"/>
    <n v="6"/>
    <n v="0"/>
    <x v="19"/>
    <s v="vs Kotakis"/>
    <n v="207"/>
    <n v="0.51100000000000001"/>
    <n v="59"/>
    <n v="0.40400000000000003"/>
    <n v="0.84699999999999998"/>
    <n v="573"/>
    <n v="52"/>
    <n v="167"/>
    <n v="133"/>
    <n v="27"/>
    <n v="39"/>
    <n v="65"/>
    <n v="2.0499999999999998"/>
  </r>
  <r>
    <x v="6"/>
    <x v="0"/>
    <x v="8"/>
    <n v="92"/>
    <x v="18"/>
    <s v="Kotakis"/>
    <n v="0"/>
    <n v="6"/>
    <n v="7"/>
    <n v="0"/>
    <x v="6"/>
    <s v="vs Johnny"/>
    <n v="225"/>
    <n v="0.48399999999999999"/>
    <n v="51"/>
    <n v="0.33100000000000002"/>
    <n v="0.85799999999999998"/>
    <n v="592"/>
    <n v="43"/>
    <n v="141"/>
    <n v="158"/>
    <n v="23"/>
    <n v="27"/>
    <n v="49"/>
    <n v="3.22"/>
  </r>
  <r>
    <x v="6"/>
    <x v="0"/>
    <x v="8"/>
    <n v="93"/>
    <x v="9"/>
    <s v="Ziogas/Christof"/>
    <n v="0"/>
    <n v="5"/>
    <n v="7"/>
    <n v="1"/>
    <x v="23"/>
    <s v="vs Sarantos"/>
    <n v="136"/>
    <n v="0.437"/>
    <n v="35"/>
    <n v="0.28000000000000003"/>
    <n v="0.86899999999999999"/>
    <n v="380"/>
    <n v="36"/>
    <n v="131"/>
    <n v="65"/>
    <n v="27"/>
    <n v="22"/>
    <n v="44"/>
    <n v="1.48"/>
  </r>
  <r>
    <x v="6"/>
    <x v="0"/>
    <x v="8"/>
    <n v="93"/>
    <x v="23"/>
    <s v="Sarantos"/>
    <n v="1"/>
    <n v="7"/>
    <n v="5"/>
    <n v="1"/>
    <x v="8"/>
    <s v="vs Ziogas/Christof"/>
    <n v="111"/>
    <n v="0.496"/>
    <n v="40"/>
    <n v="0.40400000000000003"/>
    <n v="0.79200000000000004"/>
    <n v="300"/>
    <n v="24"/>
    <n v="82"/>
    <n v="68"/>
    <n v="27"/>
    <n v="25"/>
    <n v="25"/>
    <n v="2.72"/>
  </r>
  <r>
    <x v="6"/>
    <x v="0"/>
    <x v="8"/>
    <n v="94"/>
    <x v="6"/>
    <s v="Tassos"/>
    <n v="1"/>
    <n v="9"/>
    <n v="4"/>
    <n v="0"/>
    <x v="17"/>
    <s v="vs Aris"/>
    <n v="226"/>
    <n v="0.49099999999999999"/>
    <n v="62"/>
    <n v="0.39200000000000002"/>
    <n v="0.81799999999999995"/>
    <n v="622"/>
    <n v="45"/>
    <n v="140"/>
    <n v="144"/>
    <n v="29"/>
    <n v="20"/>
    <n v="77"/>
    <n v="1.87"/>
  </r>
  <r>
    <x v="6"/>
    <x v="0"/>
    <x v="8"/>
    <n v="94"/>
    <x v="16"/>
    <s v="Aris"/>
    <n v="0"/>
    <n v="4"/>
    <n v="9"/>
    <n v="0"/>
    <x v="7"/>
    <s v="vs Tassos"/>
    <n v="148"/>
    <n v="0.50700000000000001"/>
    <n v="19"/>
    <n v="0.32200000000000001"/>
    <n v="0.72899999999999998"/>
    <n v="393"/>
    <n v="57"/>
    <n v="111"/>
    <n v="100"/>
    <n v="26"/>
    <n v="12"/>
    <n v="45"/>
    <n v="2.2200000000000002"/>
  </r>
  <r>
    <x v="6"/>
    <x v="0"/>
    <x v="8"/>
    <n v="95"/>
    <x v="28"/>
    <s v="Panos"/>
    <n v="0"/>
    <n v="1"/>
    <n v="11"/>
    <n v="1"/>
    <x v="2"/>
    <s v="vs Sakellariou"/>
    <n v="164"/>
    <n v="0.48"/>
    <n v="53"/>
    <n v="0.39600000000000002"/>
    <n v="0.877"/>
    <n v="431"/>
    <n v="29"/>
    <n v="111"/>
    <n v="84"/>
    <n v="26"/>
    <n v="12"/>
    <n v="46"/>
    <n v="1.83"/>
  </r>
  <r>
    <x v="6"/>
    <x v="0"/>
    <x v="8"/>
    <n v="95"/>
    <x v="3"/>
    <s v="Sakellariou"/>
    <n v="1"/>
    <n v="11"/>
    <n v="1"/>
    <n v="1"/>
    <x v="28"/>
    <s v="vs Panos"/>
    <n v="197"/>
    <n v="0.501"/>
    <n v="63"/>
    <n v="0.42899999999999999"/>
    <n v="0.88900000000000001"/>
    <n v="537"/>
    <n v="29"/>
    <n v="138"/>
    <n v="146"/>
    <n v="32"/>
    <n v="25"/>
    <n v="62"/>
    <n v="2.35"/>
  </r>
  <r>
    <x v="6"/>
    <x v="0"/>
    <x v="8"/>
    <n v="96"/>
    <x v="11"/>
    <s v="pi/Sotiris"/>
    <n v="1"/>
    <n v="10"/>
    <n v="3"/>
    <n v="0"/>
    <x v="16"/>
    <s v="vs Spiridaus/Oladipas"/>
    <n v="213"/>
    <n v="0.50700000000000001"/>
    <n v="57"/>
    <n v="0.375"/>
    <n v="0.84799999999999998"/>
    <n v="589"/>
    <n v="41"/>
    <n v="133"/>
    <n v="155"/>
    <n v="30"/>
    <n v="15"/>
    <n v="54"/>
    <n v="2.87"/>
  </r>
  <r>
    <x v="6"/>
    <x v="0"/>
    <x v="8"/>
    <n v="96"/>
    <x v="17"/>
    <s v="Spiridaus/Oladipas"/>
    <n v="0"/>
    <n v="3"/>
    <n v="10"/>
    <n v="0"/>
    <x v="10"/>
    <s v="vs pi/Sotiris"/>
    <n v="148"/>
    <n v="0.47699999999999998"/>
    <n v="50"/>
    <n v="0.39100000000000001"/>
    <n v="0.79300000000000004"/>
    <n v="392"/>
    <n v="14"/>
    <n v="85"/>
    <n v="122"/>
    <n v="22"/>
    <n v="21"/>
    <n v="49"/>
    <n v="2.4900000000000002"/>
  </r>
  <r>
    <x v="6"/>
    <x v="0"/>
    <x v="8"/>
    <n v="97"/>
    <x v="2"/>
    <s v="Fountos"/>
    <n v="1"/>
    <n v="8"/>
    <n v="5"/>
    <n v="0"/>
    <x v="24"/>
    <s v="vs Tolios"/>
    <n v="206"/>
    <n v="0.52600000000000002"/>
    <n v="75"/>
    <n v="0.42399999999999999"/>
    <n v="0.83499999999999996"/>
    <n v="568"/>
    <n v="23"/>
    <n v="105"/>
    <n v="119"/>
    <n v="25"/>
    <n v="11"/>
    <n v="63"/>
    <n v="1.89"/>
  </r>
  <r>
    <x v="6"/>
    <x v="0"/>
    <x v="8"/>
    <n v="97"/>
    <x v="24"/>
    <s v="Tolios"/>
    <n v="0"/>
    <n v="5"/>
    <n v="8"/>
    <n v="0"/>
    <x v="3"/>
    <s v="vs Fountos"/>
    <n v="147"/>
    <n v="0.47299999999999998"/>
    <n v="26"/>
    <n v="0.34699999999999998"/>
    <n v="0.77"/>
    <n v="377"/>
    <n v="64"/>
    <n v="108"/>
    <n v="82"/>
    <n v="16"/>
    <n v="21"/>
    <n v="28"/>
    <n v="2.93"/>
  </r>
  <r>
    <x v="6"/>
    <x v="0"/>
    <x v="8"/>
    <n v="98"/>
    <x v="15"/>
    <s v="Vasilis"/>
    <n v="0"/>
    <n v="6"/>
    <n v="7"/>
    <n v="0"/>
    <x v="26"/>
    <s v="vs Lafa"/>
    <n v="198"/>
    <n v="0.51"/>
    <n v="33"/>
    <n v="0.33300000000000002"/>
    <n v="0.85399999999999998"/>
    <n v="552"/>
    <n v="56"/>
    <n v="145"/>
    <n v="96"/>
    <n v="33"/>
    <n v="33"/>
    <n v="46"/>
    <n v="2.09"/>
  </r>
  <r>
    <x v="6"/>
    <x v="0"/>
    <x v="8"/>
    <n v="98"/>
    <x v="26"/>
    <s v="Lafa"/>
    <n v="1"/>
    <n v="7"/>
    <n v="6"/>
    <n v="0"/>
    <x v="14"/>
    <s v="vs Vasilis"/>
    <n v="219"/>
    <n v="0.47699999999999998"/>
    <n v="72"/>
    <n v="0.442"/>
    <n v="0.77600000000000002"/>
    <n v="624"/>
    <n v="42"/>
    <n v="154"/>
    <n v="124"/>
    <n v="17"/>
    <n v="16"/>
    <n v="47"/>
    <n v="2.64"/>
  </r>
  <r>
    <x v="6"/>
    <x v="0"/>
    <x v="8"/>
    <n v="99"/>
    <x v="27"/>
    <s v="Dimitris"/>
    <n v="0"/>
    <n v="5"/>
    <n v="8"/>
    <n v="0"/>
    <x v="20"/>
    <s v="vs Guru"/>
    <n v="126"/>
    <n v="0.51400000000000001"/>
    <n v="25"/>
    <n v="0.32500000000000001"/>
    <n v="0.72399999999999998"/>
    <n v="332"/>
    <n v="61"/>
    <n v="113"/>
    <n v="59"/>
    <n v="15"/>
    <n v="16"/>
    <n v="31"/>
    <n v="1.9"/>
  </r>
  <r>
    <x v="6"/>
    <x v="0"/>
    <x v="8"/>
    <n v="99"/>
    <x v="20"/>
    <s v="Guru"/>
    <n v="1"/>
    <n v="8"/>
    <n v="5"/>
    <n v="0"/>
    <x v="27"/>
    <s v="vs Dimitris"/>
    <n v="177"/>
    <n v="0.438"/>
    <n v="69"/>
    <n v="0.35899999999999999"/>
    <n v="0.81499999999999995"/>
    <n v="476"/>
    <n v="14"/>
    <n v="109"/>
    <n v="117"/>
    <n v="30"/>
    <n v="7"/>
    <n v="49"/>
    <n v="2.39"/>
  </r>
  <r>
    <x v="6"/>
    <x v="0"/>
    <x v="8"/>
    <n v="100"/>
    <x v="25"/>
    <s v="Arvanitis"/>
    <n v="0"/>
    <n v="2"/>
    <n v="10"/>
    <n v="1"/>
    <x v="13"/>
    <s v="vs Stavros"/>
    <n v="93"/>
    <n v="0.46700000000000003"/>
    <n v="18"/>
    <n v="0.34599999999999997"/>
    <n v="0.73699999999999999"/>
    <n v="246"/>
    <n v="41"/>
    <n v="105"/>
    <n v="42"/>
    <n v="26"/>
    <n v="21"/>
    <n v="29"/>
    <n v="1.45"/>
  </r>
  <r>
    <x v="6"/>
    <x v="0"/>
    <x v="8"/>
    <n v="100"/>
    <x v="12"/>
    <s v="Stavros"/>
    <n v="1"/>
    <n v="10"/>
    <n v="2"/>
    <n v="1"/>
    <x v="25"/>
    <s v="vs Arvanitis"/>
    <n v="190"/>
    <n v="0.46"/>
    <n v="73"/>
    <n v="0.38800000000000001"/>
    <n v="0.78100000000000003"/>
    <n v="535"/>
    <n v="49"/>
    <n v="147"/>
    <n v="102"/>
    <n v="32"/>
    <n v="21"/>
    <n v="52"/>
    <n v="1.96"/>
  </r>
  <r>
    <x v="6"/>
    <x v="0"/>
    <x v="9"/>
    <n v="101"/>
    <x v="21"/>
    <s v="Tzokos"/>
    <n v="0"/>
    <n v="5"/>
    <n v="8"/>
    <n v="0"/>
    <x v="6"/>
    <s v="vs Johnny"/>
    <n v="120"/>
    <n v="0.47199999999999998"/>
    <n v="29"/>
    <n v="0.29899999999999999"/>
    <n v="0.82799999999999996"/>
    <n v="322"/>
    <n v="13"/>
    <n v="76"/>
    <n v="78"/>
    <n v="22"/>
    <n v="17"/>
    <n v="33"/>
    <n v="2.36"/>
  </r>
  <r>
    <x v="6"/>
    <x v="0"/>
    <x v="9"/>
    <n v="101"/>
    <x v="7"/>
    <s v="Johnny"/>
    <n v="1"/>
    <n v="8"/>
    <n v="5"/>
    <n v="0"/>
    <x v="21"/>
    <s v="vs Tzokos"/>
    <n v="143"/>
    <n v="0.45700000000000002"/>
    <n v="41"/>
    <n v="0.35699999999999998"/>
    <n v="0.79800000000000004"/>
    <n v="430"/>
    <n v="47"/>
    <n v="100"/>
    <n v="76"/>
    <n v="32"/>
    <n v="19"/>
    <n v="39"/>
    <n v="1.95"/>
  </r>
  <r>
    <x v="6"/>
    <x v="0"/>
    <x v="9"/>
    <n v="102"/>
    <x v="1"/>
    <s v="Fanis"/>
    <n v="1"/>
    <n v="9"/>
    <n v="4"/>
    <n v="0"/>
    <x v="8"/>
    <s v="vs Ziogas/Christof"/>
    <n v="154"/>
    <n v="0.46200000000000002"/>
    <n v="48"/>
    <n v="0.33600000000000002"/>
    <n v="0.755"/>
    <n v="439"/>
    <n v="25"/>
    <n v="81"/>
    <n v="122"/>
    <n v="28"/>
    <n v="21"/>
    <n v="40"/>
    <n v="3.05"/>
  </r>
  <r>
    <x v="6"/>
    <x v="0"/>
    <x v="9"/>
    <n v="102"/>
    <x v="9"/>
    <s v="Ziogas/Christof"/>
    <n v="0"/>
    <n v="4"/>
    <n v="9"/>
    <n v="0"/>
    <x v="0"/>
    <s v="vs Fanis"/>
    <n v="148"/>
    <n v="0.46400000000000002"/>
    <n v="41"/>
    <n v="0.313"/>
    <n v="0.83"/>
    <n v="410"/>
    <n v="42"/>
    <n v="151"/>
    <n v="80"/>
    <n v="19"/>
    <n v="11"/>
    <n v="58"/>
    <n v="1.38"/>
  </r>
  <r>
    <x v="6"/>
    <x v="0"/>
    <x v="9"/>
    <n v="103"/>
    <x v="18"/>
    <s v="Kotakis"/>
    <n v="1"/>
    <n v="8"/>
    <n v="5"/>
    <n v="0"/>
    <x v="7"/>
    <s v="vs Tassos"/>
    <n v="196"/>
    <n v="0.48299999999999998"/>
    <n v="48"/>
    <n v="0.36399999999999999"/>
    <n v="0.755"/>
    <n v="514"/>
    <n v="35"/>
    <n v="150"/>
    <n v="147"/>
    <n v="26"/>
    <n v="24"/>
    <n v="51"/>
    <n v="2.88"/>
  </r>
  <r>
    <x v="6"/>
    <x v="0"/>
    <x v="9"/>
    <n v="103"/>
    <x v="6"/>
    <s v="Tassos"/>
    <n v="0"/>
    <n v="5"/>
    <n v="8"/>
    <n v="0"/>
    <x v="19"/>
    <s v="vs Kotakis"/>
    <n v="182"/>
    <n v="0.47"/>
    <n v="54"/>
    <n v="0.38"/>
    <n v="0.79200000000000004"/>
    <n v="513"/>
    <n v="41"/>
    <n v="136"/>
    <n v="122"/>
    <n v="31"/>
    <n v="17"/>
    <n v="61"/>
    <n v="2"/>
  </r>
  <r>
    <x v="6"/>
    <x v="0"/>
    <x v="9"/>
    <n v="104"/>
    <x v="23"/>
    <s v="Sarantos"/>
    <n v="1"/>
    <n v="8"/>
    <n v="5"/>
    <n v="0"/>
    <x v="28"/>
    <s v="vs Panos"/>
    <n v="130"/>
    <n v="0.504"/>
    <n v="51"/>
    <n v="0.42499999999999999"/>
    <n v="0.59"/>
    <n v="347"/>
    <n v="42"/>
    <n v="106"/>
    <n v="69"/>
    <n v="23"/>
    <n v="16"/>
    <n v="24"/>
    <n v="2.88"/>
  </r>
  <r>
    <x v="6"/>
    <x v="0"/>
    <x v="9"/>
    <n v="104"/>
    <x v="28"/>
    <s v="Panos"/>
    <n v="0"/>
    <n v="5"/>
    <n v="8"/>
    <n v="0"/>
    <x v="23"/>
    <s v="vs Sarantos"/>
    <n v="146"/>
    <n v="0.435"/>
    <n v="46"/>
    <n v="0.34300000000000003"/>
    <n v="0.83599999999999997"/>
    <n v="394"/>
    <n v="27"/>
    <n v="92"/>
    <n v="89"/>
    <n v="30"/>
    <n v="12"/>
    <n v="36"/>
    <n v="2.4700000000000002"/>
  </r>
  <r>
    <x v="6"/>
    <x v="0"/>
    <x v="9"/>
    <n v="105"/>
    <x v="16"/>
    <s v="Aris"/>
    <n v="1"/>
    <n v="8"/>
    <n v="4"/>
    <n v="1"/>
    <x v="10"/>
    <s v="vs pi/Sotiris"/>
    <n v="167"/>
    <n v="0.52800000000000002"/>
    <n v="24"/>
    <n v="0.35799999999999998"/>
    <n v="0.76600000000000001"/>
    <n v="440"/>
    <n v="52"/>
    <n v="124"/>
    <n v="127"/>
    <n v="24"/>
    <n v="13"/>
    <n v="64"/>
    <n v="1.98"/>
  </r>
  <r>
    <x v="6"/>
    <x v="0"/>
    <x v="9"/>
    <n v="105"/>
    <x v="11"/>
    <s v="pi/Sotiris"/>
    <n v="0"/>
    <n v="4"/>
    <n v="8"/>
    <n v="1"/>
    <x v="17"/>
    <s v="vs Aris"/>
    <n v="154"/>
    <n v="0.48099999999999998"/>
    <n v="33"/>
    <n v="0.28399999999999997"/>
    <n v="0.82799999999999996"/>
    <n v="423"/>
    <n v="35"/>
    <n v="112"/>
    <n v="109"/>
    <n v="13"/>
    <n v="13"/>
    <n v="47"/>
    <n v="2.3199999999999998"/>
  </r>
  <r>
    <x v="6"/>
    <x v="0"/>
    <x v="9"/>
    <n v="106"/>
    <x v="3"/>
    <s v="Sakellariou"/>
    <n v="0"/>
    <n v="5"/>
    <n v="8"/>
    <n v="0"/>
    <x v="3"/>
    <s v="vs Fountos"/>
    <n v="183"/>
    <n v="0.44600000000000001"/>
    <n v="47"/>
    <n v="0.29399999999999998"/>
    <n v="0.78900000000000003"/>
    <n v="540"/>
    <n v="24"/>
    <n v="155"/>
    <n v="139"/>
    <n v="34"/>
    <n v="25"/>
    <n v="60"/>
    <n v="2.3199999999999998"/>
  </r>
  <r>
    <x v="6"/>
    <x v="0"/>
    <x v="9"/>
    <n v="106"/>
    <x v="2"/>
    <s v="Fountos"/>
    <n v="1"/>
    <n v="8"/>
    <n v="5"/>
    <n v="0"/>
    <x v="2"/>
    <s v="vs Sakellariou"/>
    <n v="187"/>
    <n v="0.46300000000000002"/>
    <n v="76"/>
    <n v="0.40600000000000003"/>
    <n v="0.76900000000000002"/>
    <n v="500"/>
    <n v="29"/>
    <n v="106"/>
    <n v="141"/>
    <n v="27"/>
    <n v="19"/>
    <n v="56"/>
    <n v="2.52"/>
  </r>
  <r>
    <x v="6"/>
    <x v="0"/>
    <x v="9"/>
    <n v="107"/>
    <x v="17"/>
    <s v="Spiridaus/Oladipas"/>
    <n v="0"/>
    <n v="5"/>
    <n v="7"/>
    <n v="1"/>
    <x v="14"/>
    <s v="vs Vasilis"/>
    <n v="180"/>
    <n v="0.495"/>
    <n v="65"/>
    <n v="0.41699999999999998"/>
    <n v="0.84899999999999998"/>
    <n v="498"/>
    <n v="21"/>
    <n v="99"/>
    <n v="136"/>
    <n v="32"/>
    <n v="30"/>
    <n v="58"/>
    <n v="2.34"/>
  </r>
  <r>
    <x v="6"/>
    <x v="0"/>
    <x v="9"/>
    <n v="107"/>
    <x v="15"/>
    <s v="Vasilis"/>
    <n v="1"/>
    <n v="7"/>
    <n v="5"/>
    <n v="1"/>
    <x v="16"/>
    <s v="vs Spiridaus/Oladipas"/>
    <n v="251"/>
    <n v="0.53700000000000003"/>
    <n v="53"/>
    <n v="0.39300000000000002"/>
    <n v="0.81899999999999995"/>
    <n v="677"/>
    <n v="46"/>
    <n v="182"/>
    <n v="129"/>
    <n v="41"/>
    <n v="35"/>
    <n v="58"/>
    <n v="2.2200000000000002"/>
  </r>
  <r>
    <x v="6"/>
    <x v="0"/>
    <x v="9"/>
    <n v="108"/>
    <x v="24"/>
    <s v="Tolios"/>
    <n v="1"/>
    <n v="7"/>
    <n v="6"/>
    <n v="0"/>
    <x v="27"/>
    <s v="vs Dimitris"/>
    <n v="136"/>
    <n v="0.502"/>
    <n v="40"/>
    <n v="0.40799999999999997"/>
    <n v="0.78"/>
    <n v="376"/>
    <n v="33"/>
    <n v="92"/>
    <n v="87"/>
    <n v="14"/>
    <n v="24"/>
    <n v="36"/>
    <n v="2.42"/>
  </r>
  <r>
    <x v="6"/>
    <x v="0"/>
    <x v="9"/>
    <n v="108"/>
    <x v="27"/>
    <s v="Dimitris"/>
    <n v="0"/>
    <n v="6"/>
    <n v="7"/>
    <n v="0"/>
    <x v="24"/>
    <s v="vs Tolios"/>
    <n v="156"/>
    <n v="0.48599999999999999"/>
    <n v="46"/>
    <n v="0.35099999999999998"/>
    <n v="0.73299999999999998"/>
    <n v="432"/>
    <n v="40"/>
    <n v="116"/>
    <n v="77"/>
    <n v="16"/>
    <n v="13"/>
    <n v="44"/>
    <n v="1.75"/>
  </r>
  <r>
    <x v="6"/>
    <x v="0"/>
    <x v="9"/>
    <n v="109"/>
    <x v="26"/>
    <s v="Lafa"/>
    <n v="1"/>
    <n v="10"/>
    <n v="3"/>
    <n v="0"/>
    <x v="25"/>
    <s v="vs Arvanitis"/>
    <n v="211"/>
    <n v="0.50800000000000001"/>
    <n v="61"/>
    <n v="0.40100000000000002"/>
    <n v="0.73799999999999999"/>
    <n v="573"/>
    <n v="30"/>
    <n v="133"/>
    <n v="108"/>
    <n v="23"/>
    <n v="21"/>
    <n v="53"/>
    <n v="2.04"/>
  </r>
  <r>
    <x v="6"/>
    <x v="0"/>
    <x v="9"/>
    <n v="109"/>
    <x v="25"/>
    <s v="Arvanitis"/>
    <n v="0"/>
    <n v="3"/>
    <n v="10"/>
    <n v="0"/>
    <x v="26"/>
    <s v="vs Lafa"/>
    <n v="116"/>
    <n v="0.47499999999999998"/>
    <n v="33"/>
    <n v="0.36299999999999999"/>
    <n v="0.58799999999999997"/>
    <n v="295"/>
    <n v="32"/>
    <n v="98"/>
    <n v="45"/>
    <n v="37"/>
    <n v="20"/>
    <n v="38"/>
    <n v="1.18"/>
  </r>
  <r>
    <x v="6"/>
    <x v="0"/>
    <x v="9"/>
    <n v="110"/>
    <x v="20"/>
    <s v="Guru"/>
    <n v="1"/>
    <n v="9"/>
    <n v="4"/>
    <n v="0"/>
    <x v="13"/>
    <s v="vs Stavros"/>
    <n v="170"/>
    <n v="0.49099999999999999"/>
    <n v="70"/>
    <n v="0.42899999999999999"/>
    <n v="0.78200000000000003"/>
    <n v="471"/>
    <n v="13"/>
    <n v="118"/>
    <n v="135"/>
    <n v="22"/>
    <n v="11"/>
    <n v="44"/>
    <n v="3.07"/>
  </r>
  <r>
    <x v="6"/>
    <x v="0"/>
    <x v="9"/>
    <n v="110"/>
    <x v="12"/>
    <s v="Stavros"/>
    <n v="0"/>
    <n v="4"/>
    <n v="9"/>
    <n v="0"/>
    <x v="20"/>
    <s v="vs Guru"/>
    <n v="149"/>
    <n v="0.51900000000000002"/>
    <n v="44"/>
    <n v="0.379"/>
    <n v="0.88700000000000001"/>
    <n v="428"/>
    <n v="36"/>
    <n v="116"/>
    <n v="69"/>
    <n v="21"/>
    <n v="16"/>
    <n v="45"/>
    <n v="1.53"/>
  </r>
  <r>
    <x v="6"/>
    <x v="0"/>
    <x v="10"/>
    <n v="111"/>
    <x v="9"/>
    <s v="Ziogas/Christof"/>
    <n v="1"/>
    <n v="8"/>
    <n v="5"/>
    <n v="0"/>
    <x v="21"/>
    <s v="vs Tzokos"/>
    <n v="191"/>
    <n v="0.49199999999999999"/>
    <n v="57"/>
    <n v="0.36799999999999999"/>
    <n v="0.755"/>
    <n v="510"/>
    <n v="43"/>
    <n v="140"/>
    <n v="92"/>
    <n v="31"/>
    <n v="17"/>
    <n v="47"/>
    <n v="1.96"/>
  </r>
  <r>
    <x v="6"/>
    <x v="0"/>
    <x v="10"/>
    <n v="111"/>
    <x v="21"/>
    <s v="Tzokos"/>
    <n v="0"/>
    <n v="5"/>
    <n v="8"/>
    <n v="0"/>
    <x v="8"/>
    <s v="vs Ziogas/Christof"/>
    <n v="90"/>
    <n v="0.46200000000000002"/>
    <n v="35"/>
    <n v="0.372"/>
    <n v="0.77100000000000002"/>
    <n v="252"/>
    <n v="27"/>
    <n v="68"/>
    <n v="74"/>
    <n v="24"/>
    <n v="20"/>
    <n v="25"/>
    <n v="2.96"/>
  </r>
  <r>
    <x v="6"/>
    <x v="0"/>
    <x v="10"/>
    <n v="112"/>
    <x v="6"/>
    <s v="Tassos"/>
    <n v="1"/>
    <n v="11"/>
    <n v="2"/>
    <n v="0"/>
    <x v="6"/>
    <s v="vs Johnny"/>
    <n v="284"/>
    <n v="0.503"/>
    <n v="73"/>
    <n v="0.372"/>
    <n v="0.81799999999999995"/>
    <n v="753"/>
    <n v="44"/>
    <n v="191"/>
    <n v="146"/>
    <n v="41"/>
    <n v="43"/>
    <n v="75"/>
    <n v="1.95"/>
  </r>
  <r>
    <x v="6"/>
    <x v="0"/>
    <x v="10"/>
    <n v="112"/>
    <x v="7"/>
    <s v="Johnny"/>
    <n v="0"/>
    <n v="2"/>
    <n v="11"/>
    <n v="0"/>
    <x v="7"/>
    <s v="vs Tassos"/>
    <n v="165"/>
    <n v="0.47099999999999997"/>
    <n v="61"/>
    <n v="0.442"/>
    <n v="0.78"/>
    <n v="490"/>
    <n v="37"/>
    <n v="133"/>
    <n v="92"/>
    <n v="20"/>
    <n v="17"/>
    <n v="71"/>
    <n v="1.3"/>
  </r>
  <r>
    <x v="6"/>
    <x v="0"/>
    <x v="10"/>
    <n v="113"/>
    <x v="28"/>
    <s v="Panos"/>
    <n v="1"/>
    <n v="7"/>
    <n v="6"/>
    <n v="0"/>
    <x v="0"/>
    <s v="vs Fanis"/>
    <n v="167"/>
    <n v="0.442"/>
    <n v="60"/>
    <n v="0.36599999999999999"/>
    <n v="0.78700000000000003"/>
    <n v="453"/>
    <n v="33"/>
    <n v="108"/>
    <n v="101"/>
    <n v="26"/>
    <n v="8"/>
    <n v="32"/>
    <n v="3.16"/>
  </r>
  <r>
    <x v="6"/>
    <x v="0"/>
    <x v="10"/>
    <n v="113"/>
    <x v="1"/>
    <s v="Fanis"/>
    <n v="0"/>
    <n v="6"/>
    <n v="7"/>
    <n v="0"/>
    <x v="28"/>
    <s v="vs Panos"/>
    <n v="157"/>
    <n v="0.45"/>
    <n v="51"/>
    <n v="0.34499999999999997"/>
    <n v="0.80900000000000005"/>
    <n v="458"/>
    <n v="29"/>
    <n v="132"/>
    <n v="99"/>
    <n v="30"/>
    <n v="21"/>
    <n v="55"/>
    <n v="1.8"/>
  </r>
  <r>
    <x v="6"/>
    <x v="0"/>
    <x v="10"/>
    <n v="114"/>
    <x v="11"/>
    <s v="pi/Sotiris"/>
    <n v="1"/>
    <n v="10"/>
    <n v="3"/>
    <n v="0"/>
    <x v="19"/>
    <s v="vs Kotakis"/>
    <n v="233"/>
    <n v="0.55600000000000005"/>
    <n v="57"/>
    <n v="0.39300000000000002"/>
    <n v="0.79500000000000004"/>
    <n v="655"/>
    <n v="47"/>
    <n v="175"/>
    <n v="154"/>
    <n v="38"/>
    <n v="27"/>
    <n v="55"/>
    <n v="2.8"/>
  </r>
  <r>
    <x v="6"/>
    <x v="0"/>
    <x v="10"/>
    <n v="114"/>
    <x v="18"/>
    <s v="Kotakis"/>
    <n v="0"/>
    <n v="3"/>
    <n v="10"/>
    <n v="0"/>
    <x v="10"/>
    <s v="vs pi/Sotiris"/>
    <n v="222"/>
    <n v="0.5"/>
    <n v="65"/>
    <n v="0.38700000000000001"/>
    <n v="0.77100000000000002"/>
    <n v="600"/>
    <n v="48"/>
    <n v="174"/>
    <n v="135"/>
    <n v="31"/>
    <n v="37"/>
    <n v="85"/>
    <n v="1.59"/>
  </r>
  <r>
    <x v="6"/>
    <x v="0"/>
    <x v="10"/>
    <n v="115"/>
    <x v="2"/>
    <s v="Fountos"/>
    <n v="1"/>
    <n v="7"/>
    <n v="6"/>
    <n v="0"/>
    <x v="23"/>
    <s v="vs Sarantos"/>
    <n v="173"/>
    <n v="0.44700000000000001"/>
    <n v="48"/>
    <n v="0.31"/>
    <n v="0.83"/>
    <n v="472"/>
    <n v="17"/>
    <n v="92"/>
    <n v="107"/>
    <n v="17"/>
    <n v="9"/>
    <n v="49"/>
    <n v="2.1800000000000002"/>
  </r>
  <r>
    <x v="6"/>
    <x v="0"/>
    <x v="10"/>
    <n v="115"/>
    <x v="23"/>
    <s v="Sarantos"/>
    <n v="0"/>
    <n v="6"/>
    <n v="7"/>
    <n v="0"/>
    <x v="3"/>
    <s v="vs Fountos"/>
    <n v="147"/>
    <n v="0.46200000000000002"/>
    <n v="38"/>
    <n v="0.30599999999999999"/>
    <n v="0.81799999999999995"/>
    <n v="386"/>
    <n v="52"/>
    <n v="111"/>
    <n v="82"/>
    <n v="38"/>
    <n v="23"/>
    <n v="42"/>
    <n v="1.95"/>
  </r>
  <r>
    <x v="6"/>
    <x v="0"/>
    <x v="10"/>
    <n v="116"/>
    <x v="15"/>
    <s v="Vasilis"/>
    <n v="1"/>
    <n v="8"/>
    <n v="4"/>
    <n v="1"/>
    <x v="17"/>
    <s v="vs Aris"/>
    <n v="217"/>
    <n v="0.55500000000000005"/>
    <n v="42"/>
    <n v="0.42"/>
    <n v="0.76800000000000002"/>
    <n v="585"/>
    <n v="50"/>
    <n v="193"/>
    <n v="112"/>
    <n v="42"/>
    <n v="35"/>
    <n v="57"/>
    <n v="1.96"/>
  </r>
  <r>
    <x v="6"/>
    <x v="0"/>
    <x v="10"/>
    <n v="116"/>
    <x v="16"/>
    <s v="Aris"/>
    <n v="0"/>
    <n v="4"/>
    <n v="8"/>
    <n v="1"/>
    <x v="14"/>
    <s v="vs Vasilis"/>
    <n v="162"/>
    <n v="0.48499999999999999"/>
    <n v="20"/>
    <n v="0.28599999999999998"/>
    <n v="0.81399999999999995"/>
    <n v="436"/>
    <n v="62"/>
    <n v="128"/>
    <n v="149"/>
    <n v="34"/>
    <n v="20"/>
    <n v="57"/>
    <n v="2.61"/>
  </r>
  <r>
    <x v="6"/>
    <x v="0"/>
    <x v="10"/>
    <n v="117"/>
    <x v="27"/>
    <s v="Dimitris"/>
    <n v="0"/>
    <n v="5"/>
    <n v="8"/>
    <n v="0"/>
    <x v="2"/>
    <s v="vs Sakellariou"/>
    <n v="190"/>
    <n v="0.497"/>
    <n v="60"/>
    <n v="0.41699999999999998"/>
    <n v="0.77200000000000002"/>
    <n v="528"/>
    <n v="52"/>
    <n v="165"/>
    <n v="94"/>
    <n v="22"/>
    <n v="16"/>
    <n v="52"/>
    <n v="1.81"/>
  </r>
  <r>
    <x v="6"/>
    <x v="0"/>
    <x v="10"/>
    <n v="117"/>
    <x v="3"/>
    <s v="Sakellariou"/>
    <n v="1"/>
    <n v="8"/>
    <n v="5"/>
    <n v="0"/>
    <x v="27"/>
    <s v="vs Dimitris"/>
    <n v="204"/>
    <n v="0.46400000000000002"/>
    <n v="69"/>
    <n v="0.373"/>
    <n v="0.80100000000000005"/>
    <n v="590"/>
    <n v="31"/>
    <n v="131"/>
    <n v="177"/>
    <n v="40"/>
    <n v="22"/>
    <n v="76"/>
    <n v="2.33"/>
  </r>
  <r>
    <x v="6"/>
    <x v="0"/>
    <x v="10"/>
    <n v="118"/>
    <x v="25"/>
    <s v="Arvanitis"/>
    <n v="0"/>
    <n v="4"/>
    <n v="8"/>
    <n v="1"/>
    <x v="16"/>
    <s v="vs Spiridaus/Oladipas"/>
    <n v="140"/>
    <n v="0.54100000000000004"/>
    <n v="32"/>
    <n v="0.36799999999999999"/>
    <n v="0.71399999999999997"/>
    <n v="367"/>
    <n v="38"/>
    <n v="133"/>
    <n v="74"/>
    <n v="24"/>
    <n v="23"/>
    <n v="42"/>
    <n v="1.76"/>
  </r>
  <r>
    <x v="6"/>
    <x v="0"/>
    <x v="10"/>
    <n v="118"/>
    <x v="17"/>
    <s v="Spiridaus/Oladipas"/>
    <n v="1"/>
    <n v="8"/>
    <n v="4"/>
    <n v="1"/>
    <x v="25"/>
    <s v="vs Arvanitis"/>
    <n v="186"/>
    <n v="0.46500000000000002"/>
    <n v="71"/>
    <n v="0.39900000000000002"/>
    <n v="0.69699999999999995"/>
    <n v="505"/>
    <n v="43"/>
    <n v="126"/>
    <n v="143"/>
    <n v="24"/>
    <n v="36"/>
    <n v="71"/>
    <n v="2.0099999999999998"/>
  </r>
  <r>
    <x v="6"/>
    <x v="0"/>
    <x v="10"/>
    <n v="119"/>
    <x v="12"/>
    <s v="Stavros"/>
    <n v="1"/>
    <n v="8"/>
    <n v="5"/>
    <n v="0"/>
    <x v="24"/>
    <s v="vs Tolios"/>
    <n v="159"/>
    <n v="0.44900000000000001"/>
    <n v="54"/>
    <n v="0.34399999999999997"/>
    <n v="0.76700000000000002"/>
    <n v="451"/>
    <n v="41"/>
    <n v="144"/>
    <n v="126"/>
    <n v="26"/>
    <n v="14"/>
    <n v="44"/>
    <n v="2.86"/>
  </r>
  <r>
    <x v="6"/>
    <x v="0"/>
    <x v="10"/>
    <n v="119"/>
    <x v="24"/>
    <s v="Tolios"/>
    <n v="0"/>
    <n v="5"/>
    <n v="8"/>
    <n v="0"/>
    <x v="13"/>
    <s v="vs Stavros"/>
    <n v="158"/>
    <n v="0.51500000000000001"/>
    <n v="49"/>
    <n v="0.434"/>
    <n v="0.71"/>
    <n v="414"/>
    <n v="42"/>
    <n v="87"/>
    <n v="73"/>
    <n v="34"/>
    <n v="21"/>
    <n v="52"/>
    <n v="1.4"/>
  </r>
  <r>
    <x v="6"/>
    <x v="0"/>
    <x v="10"/>
    <n v="120"/>
    <x v="20"/>
    <s v="Guru"/>
    <n v="0"/>
    <n v="6"/>
    <n v="7"/>
    <n v="0"/>
    <x v="26"/>
    <s v="vs Lafa"/>
    <n v="163"/>
    <n v="0.46800000000000003"/>
    <n v="75"/>
    <n v="0.44600000000000001"/>
    <n v="0.71399999999999997"/>
    <n v="431"/>
    <n v="26"/>
    <n v="109"/>
    <n v="107"/>
    <n v="18"/>
    <n v="17"/>
    <n v="35"/>
    <n v="3.06"/>
  </r>
  <r>
    <x v="6"/>
    <x v="0"/>
    <x v="10"/>
    <n v="120"/>
    <x v="26"/>
    <s v="Lafa"/>
    <n v="1"/>
    <n v="7"/>
    <n v="6"/>
    <n v="0"/>
    <x v="20"/>
    <s v="vs Guru"/>
    <n v="198"/>
    <n v="0.45800000000000002"/>
    <n v="59"/>
    <n v="0.376"/>
    <n v="0.77800000000000002"/>
    <n v="581"/>
    <n v="38"/>
    <n v="134"/>
    <n v="128"/>
    <n v="23"/>
    <n v="12"/>
    <n v="65"/>
    <n v="1.97"/>
  </r>
  <r>
    <x v="6"/>
    <x v="0"/>
    <x v="11"/>
    <n v="121"/>
    <x v="21"/>
    <s v="Tzokos"/>
    <n v="0"/>
    <n v="3"/>
    <n v="10"/>
    <n v="0"/>
    <x v="7"/>
    <s v="vs Tassos"/>
    <n v="43"/>
    <n v="0.39100000000000001"/>
    <n v="16"/>
    <n v="0.27600000000000002"/>
    <n v="0.85699999999999998"/>
    <n v="120"/>
    <n v="24"/>
    <n v="37"/>
    <n v="22"/>
    <n v="12"/>
    <n v="17"/>
    <n v="11"/>
    <n v="2"/>
  </r>
  <r>
    <x v="6"/>
    <x v="0"/>
    <x v="11"/>
    <n v="121"/>
    <x v="6"/>
    <s v="Tassos"/>
    <n v="1"/>
    <n v="10"/>
    <n v="3"/>
    <n v="0"/>
    <x v="21"/>
    <s v="vs Tzokos"/>
    <n v="221"/>
    <n v="0.53300000000000003"/>
    <n v="62"/>
    <n v="0.443"/>
    <n v="0.81599999999999995"/>
    <n v="606"/>
    <n v="28"/>
    <n v="132"/>
    <n v="101"/>
    <n v="31"/>
    <n v="14"/>
    <n v="49"/>
    <n v="2.06"/>
  </r>
  <r>
    <x v="6"/>
    <x v="0"/>
    <x v="11"/>
    <n v="122"/>
    <x v="9"/>
    <s v="Ziogas/Christof"/>
    <n v="1"/>
    <n v="11"/>
    <n v="2"/>
    <n v="0"/>
    <x v="28"/>
    <s v="vs Panos"/>
    <n v="189"/>
    <n v="0.49299999999999999"/>
    <n v="63"/>
    <n v="0.438"/>
    <n v="0.84099999999999997"/>
    <n v="536"/>
    <n v="48"/>
    <n v="162"/>
    <n v="128"/>
    <n v="27"/>
    <n v="13"/>
    <n v="71"/>
    <n v="1.8"/>
  </r>
  <r>
    <x v="6"/>
    <x v="0"/>
    <x v="11"/>
    <n v="122"/>
    <x v="28"/>
    <s v="Panos"/>
    <n v="0"/>
    <n v="2"/>
    <n v="11"/>
    <n v="0"/>
    <x v="8"/>
    <s v="vs Ziogas/Christof"/>
    <n v="119"/>
    <n v="0.439"/>
    <n v="40"/>
    <n v="0.33300000000000002"/>
    <n v="0.73299999999999998"/>
    <n v="311"/>
    <n v="18"/>
    <n v="94"/>
    <n v="76"/>
    <n v="19"/>
    <n v="10"/>
    <n v="25"/>
    <n v="3.04"/>
  </r>
  <r>
    <x v="6"/>
    <x v="0"/>
    <x v="11"/>
    <n v="123"/>
    <x v="7"/>
    <s v="Johnny"/>
    <n v="0"/>
    <n v="4"/>
    <n v="9"/>
    <n v="0"/>
    <x v="10"/>
    <s v="vs pi/Sotiris"/>
    <n v="155"/>
    <n v="0.45200000000000001"/>
    <n v="53"/>
    <n v="0.371"/>
    <n v="0.73799999999999999"/>
    <n v="442"/>
    <n v="37"/>
    <n v="103"/>
    <n v="96"/>
    <n v="19"/>
    <n v="20"/>
    <n v="56"/>
    <n v="1.71"/>
  </r>
  <r>
    <x v="6"/>
    <x v="0"/>
    <x v="11"/>
    <n v="123"/>
    <x v="11"/>
    <s v="pi/Sotiris"/>
    <n v="1"/>
    <n v="9"/>
    <n v="4"/>
    <n v="0"/>
    <x v="6"/>
    <s v="vs Johnny"/>
    <n v="183"/>
    <n v="0.53"/>
    <n v="35"/>
    <n v="0.34699999999999998"/>
    <n v="0.75600000000000001"/>
    <n v="491"/>
    <n v="48"/>
    <n v="153"/>
    <n v="160"/>
    <n v="35"/>
    <n v="10"/>
    <n v="60"/>
    <n v="2.67"/>
  </r>
  <r>
    <x v="6"/>
    <x v="0"/>
    <x v="11"/>
    <n v="124"/>
    <x v="1"/>
    <s v="Fanis"/>
    <n v="0"/>
    <n v="4"/>
    <n v="8"/>
    <n v="1"/>
    <x v="3"/>
    <s v="vs Fountos"/>
    <n v="102"/>
    <n v="0.38100000000000001"/>
    <n v="51"/>
    <n v="0.375"/>
    <n v="0.83799999999999997"/>
    <n v="322"/>
    <n v="26"/>
    <n v="71"/>
    <n v="98"/>
    <n v="36"/>
    <n v="18"/>
    <n v="33"/>
    <n v="2.97"/>
  </r>
  <r>
    <x v="6"/>
    <x v="0"/>
    <x v="11"/>
    <n v="124"/>
    <x v="2"/>
    <s v="Fountos"/>
    <n v="1"/>
    <n v="8"/>
    <n v="4"/>
    <n v="1"/>
    <x v="0"/>
    <s v="vs Fanis"/>
    <n v="196"/>
    <n v="0.47699999999999998"/>
    <n v="70"/>
    <n v="0.38500000000000001"/>
    <n v="0.86099999999999999"/>
    <n v="524"/>
    <n v="26"/>
    <n v="121"/>
    <n v="119"/>
    <n v="27"/>
    <n v="10"/>
    <n v="57"/>
    <n v="2.09"/>
  </r>
  <r>
    <x v="6"/>
    <x v="0"/>
    <x v="11"/>
    <n v="125"/>
    <x v="18"/>
    <s v="Kotakis"/>
    <n v="1"/>
    <n v="10"/>
    <n v="2"/>
    <n v="1"/>
    <x v="14"/>
    <s v="vs Vasilis"/>
    <n v="271"/>
    <n v="0.53"/>
    <n v="86"/>
    <n v="0.437"/>
    <n v="0.92900000000000005"/>
    <n v="720"/>
    <n v="47"/>
    <n v="171"/>
    <n v="167"/>
    <n v="30"/>
    <n v="34"/>
    <n v="47"/>
    <n v="3.55"/>
  </r>
  <r>
    <x v="6"/>
    <x v="0"/>
    <x v="11"/>
    <n v="125"/>
    <x v="15"/>
    <s v="Vasilis"/>
    <n v="0"/>
    <n v="2"/>
    <n v="10"/>
    <n v="1"/>
    <x v="19"/>
    <s v="vs Kotakis"/>
    <n v="187"/>
    <n v="0.56799999999999995"/>
    <n v="35"/>
    <n v="0.40200000000000002"/>
    <n v="0.79800000000000004"/>
    <n v="508"/>
    <n v="50"/>
    <n v="157"/>
    <n v="107"/>
    <n v="30"/>
    <n v="31"/>
    <n v="53"/>
    <n v="2.02"/>
  </r>
  <r>
    <x v="6"/>
    <x v="0"/>
    <x v="11"/>
    <n v="126"/>
    <x v="23"/>
    <s v="Sarantos"/>
    <n v="0"/>
    <n v="3"/>
    <n v="10"/>
    <n v="0"/>
    <x v="27"/>
    <s v="vs Dimitris"/>
    <n v="117"/>
    <n v="0.48299999999999998"/>
    <n v="42"/>
    <n v="0.40799999999999997"/>
    <n v="0.73099999999999998"/>
    <n v="325"/>
    <n v="18"/>
    <n v="86"/>
    <n v="61"/>
    <n v="30"/>
    <n v="22"/>
    <n v="45"/>
    <n v="1.36"/>
  </r>
  <r>
    <x v="6"/>
    <x v="0"/>
    <x v="11"/>
    <n v="126"/>
    <x v="27"/>
    <s v="Dimitris"/>
    <n v="1"/>
    <n v="10"/>
    <n v="3"/>
    <n v="0"/>
    <x v="23"/>
    <s v="vs Sarantos"/>
    <n v="170"/>
    <n v="0.51100000000000001"/>
    <n v="43"/>
    <n v="0.38100000000000001"/>
    <n v="0.84599999999999997"/>
    <n v="493"/>
    <n v="48"/>
    <n v="136"/>
    <n v="92"/>
    <n v="20"/>
    <n v="29"/>
    <n v="49"/>
    <n v="1.88"/>
  </r>
  <r>
    <x v="6"/>
    <x v="0"/>
    <x v="11"/>
    <n v="127"/>
    <x v="16"/>
    <s v="Aris"/>
    <n v="1"/>
    <n v="8"/>
    <n v="5"/>
    <n v="0"/>
    <x v="25"/>
    <s v="vs Arvanitis"/>
    <n v="146"/>
    <n v="0.47699999999999998"/>
    <n v="36"/>
    <n v="0.41899999999999998"/>
    <n v="0.76"/>
    <n v="407"/>
    <n v="32"/>
    <n v="75"/>
    <n v="114"/>
    <n v="29"/>
    <n v="9"/>
    <n v="46"/>
    <n v="2.48"/>
  </r>
  <r>
    <x v="6"/>
    <x v="0"/>
    <x v="11"/>
    <n v="127"/>
    <x v="25"/>
    <s v="Arvanitis"/>
    <n v="0"/>
    <n v="5"/>
    <n v="8"/>
    <n v="0"/>
    <x v="17"/>
    <s v="vs Aris"/>
    <n v="132"/>
    <n v="0.51200000000000001"/>
    <n v="31"/>
    <n v="0.35599999999999998"/>
    <n v="0.70199999999999996"/>
    <n v="335"/>
    <n v="33"/>
    <n v="135"/>
    <n v="68"/>
    <n v="34"/>
    <n v="18"/>
    <n v="58"/>
    <n v="1.17"/>
  </r>
  <r>
    <x v="6"/>
    <x v="0"/>
    <x v="11"/>
    <n v="128"/>
    <x v="3"/>
    <s v="Sakellariou"/>
    <n v="1"/>
    <n v="10"/>
    <n v="3"/>
    <n v="0"/>
    <x v="13"/>
    <s v="vs Stavros"/>
    <n v="192"/>
    <n v="0.47299999999999998"/>
    <n v="52"/>
    <n v="0.35899999999999999"/>
    <n v="0.82699999999999996"/>
    <n v="517"/>
    <n v="31"/>
    <n v="136"/>
    <n v="203"/>
    <n v="32"/>
    <n v="24"/>
    <n v="68"/>
    <n v="2.99"/>
  </r>
  <r>
    <x v="6"/>
    <x v="0"/>
    <x v="11"/>
    <n v="128"/>
    <x v="12"/>
    <s v="Stavros"/>
    <n v="0"/>
    <n v="3"/>
    <n v="10"/>
    <n v="0"/>
    <x v="2"/>
    <s v="vs Sakellariou"/>
    <n v="118"/>
    <n v="0.46100000000000002"/>
    <n v="35"/>
    <n v="0.38"/>
    <n v="0.83"/>
    <n v="359"/>
    <n v="25"/>
    <n v="114"/>
    <n v="62"/>
    <n v="13"/>
    <n v="19"/>
    <n v="25"/>
    <n v="2.48"/>
  </r>
  <r>
    <x v="6"/>
    <x v="0"/>
    <x v="11"/>
    <n v="129"/>
    <x v="17"/>
    <s v="Spiridaus/Oladipas"/>
    <n v="1"/>
    <n v="9"/>
    <n v="4"/>
    <n v="0"/>
    <x v="20"/>
    <s v="vs Guru"/>
    <n v="153"/>
    <n v="0.47699999999999998"/>
    <n v="46"/>
    <n v="0.34300000000000003"/>
    <n v="0.76500000000000001"/>
    <n v="417"/>
    <n v="42"/>
    <n v="105"/>
    <n v="107"/>
    <n v="28"/>
    <n v="18"/>
    <n v="35"/>
    <n v="3.06"/>
  </r>
  <r>
    <x v="6"/>
    <x v="0"/>
    <x v="11"/>
    <n v="129"/>
    <x v="20"/>
    <s v="Guru"/>
    <n v="0"/>
    <n v="4"/>
    <n v="9"/>
    <n v="0"/>
    <x v="16"/>
    <s v="vs Spiridaus/Oladipas"/>
    <n v="144"/>
    <n v="0.53300000000000003"/>
    <n v="61"/>
    <n v="0.44900000000000001"/>
    <n v="0.80300000000000005"/>
    <n v="398"/>
    <n v="11"/>
    <n v="83"/>
    <n v="92"/>
    <n v="23"/>
    <n v="10"/>
    <n v="48"/>
    <n v="1.92"/>
  </r>
  <r>
    <x v="6"/>
    <x v="0"/>
    <x v="11"/>
    <n v="130"/>
    <x v="24"/>
    <s v="Tolios"/>
    <n v="0"/>
    <n v="5"/>
    <n v="6"/>
    <n v="2"/>
    <x v="26"/>
    <s v="vs Lafa"/>
    <n v="148"/>
    <n v="0.51700000000000002"/>
    <n v="46"/>
    <n v="0.442"/>
    <n v="0.78900000000000003"/>
    <n v="387"/>
    <n v="38"/>
    <n v="105"/>
    <n v="89"/>
    <n v="14"/>
    <n v="17"/>
    <n v="31"/>
    <n v="2.87"/>
  </r>
  <r>
    <x v="6"/>
    <x v="0"/>
    <x v="11"/>
    <n v="130"/>
    <x v="26"/>
    <s v="Lafa"/>
    <n v="1"/>
    <n v="6"/>
    <n v="5"/>
    <n v="2"/>
    <x v="24"/>
    <s v="vs Tolios"/>
    <n v="187"/>
    <n v="0.48299999999999998"/>
    <n v="50"/>
    <n v="0.35199999999999998"/>
    <n v="0.68600000000000005"/>
    <n v="505"/>
    <n v="38"/>
    <n v="123"/>
    <n v="91"/>
    <n v="26"/>
    <n v="17"/>
    <n v="46"/>
    <n v="1.98"/>
  </r>
  <r>
    <x v="6"/>
    <x v="0"/>
    <x v="12"/>
    <n v="131"/>
    <x v="28"/>
    <s v="Panos"/>
    <n v="1"/>
    <n v="7"/>
    <n v="6"/>
    <n v="0"/>
    <x v="21"/>
    <s v="vs Tzokos"/>
    <n v="157"/>
    <n v="0.48199999999999998"/>
    <n v="54"/>
    <n v="0.38"/>
    <n v="0.79400000000000004"/>
    <n v="418"/>
    <n v="24"/>
    <n v="85"/>
    <n v="73"/>
    <n v="19"/>
    <n v="15"/>
    <n v="45"/>
    <n v="1.62"/>
  </r>
  <r>
    <x v="6"/>
    <x v="0"/>
    <x v="12"/>
    <n v="131"/>
    <x v="21"/>
    <s v="Tzokos"/>
    <n v="0"/>
    <n v="6"/>
    <n v="7"/>
    <n v="0"/>
    <x v="28"/>
    <s v="vs Panos"/>
    <n v="60"/>
    <n v="0.5"/>
    <n v="17"/>
    <n v="0.39500000000000002"/>
    <n v="0.86399999999999999"/>
    <n v="156"/>
    <n v="37"/>
    <n v="59"/>
    <n v="38"/>
    <n v="17"/>
    <n v="14"/>
    <n v="21"/>
    <n v="1.81"/>
  </r>
  <r>
    <x v="6"/>
    <x v="0"/>
    <x v="12"/>
    <n v="132"/>
    <x v="11"/>
    <s v="pi/Sotiris"/>
    <n v="1"/>
    <n v="7"/>
    <n v="6"/>
    <n v="0"/>
    <x v="7"/>
    <s v="vs Tassos"/>
    <n v="151"/>
    <n v="0.502"/>
    <n v="25"/>
    <n v="0.27500000000000002"/>
    <n v="0.70799999999999996"/>
    <n v="390"/>
    <n v="53"/>
    <n v="133"/>
    <n v="106"/>
    <n v="24"/>
    <n v="23"/>
    <n v="46"/>
    <n v="2.2999999999999998"/>
  </r>
  <r>
    <x v="6"/>
    <x v="0"/>
    <x v="12"/>
    <n v="132"/>
    <x v="6"/>
    <s v="Tassos"/>
    <n v="0"/>
    <n v="6"/>
    <n v="7"/>
    <n v="0"/>
    <x v="10"/>
    <s v="vs pi/Sotiris"/>
    <n v="182"/>
    <n v="0.44700000000000001"/>
    <n v="40"/>
    <n v="0.30499999999999999"/>
    <n v="0.85699999999999998"/>
    <n v="500"/>
    <n v="34"/>
    <n v="126"/>
    <n v="100"/>
    <n v="14"/>
    <n v="13"/>
    <n v="45"/>
    <n v="2.2200000000000002"/>
  </r>
  <r>
    <x v="6"/>
    <x v="0"/>
    <x v="12"/>
    <n v="133"/>
    <x v="2"/>
    <s v="Fountos"/>
    <n v="1"/>
    <n v="9"/>
    <n v="3"/>
    <n v="1"/>
    <x v="8"/>
    <s v="vs Ziogas/Christof"/>
    <n v="185"/>
    <n v="0.46800000000000003"/>
    <n v="61"/>
    <n v="0.36499999999999999"/>
    <n v="0.84799999999999998"/>
    <n v="487"/>
    <n v="21"/>
    <n v="143"/>
    <n v="179"/>
    <n v="35"/>
    <n v="12"/>
    <n v="57"/>
    <n v="3.14"/>
  </r>
  <r>
    <x v="6"/>
    <x v="0"/>
    <x v="12"/>
    <n v="133"/>
    <x v="9"/>
    <s v="Ziogas/Christof"/>
    <n v="0"/>
    <n v="3"/>
    <n v="9"/>
    <n v="1"/>
    <x v="3"/>
    <s v="vs Fountos"/>
    <n v="148"/>
    <n v="0.46800000000000003"/>
    <n v="49"/>
    <n v="0.38300000000000001"/>
    <n v="0.77900000000000003"/>
    <n v="398"/>
    <n v="31"/>
    <n v="130"/>
    <n v="78"/>
    <n v="12"/>
    <n v="11"/>
    <n v="52"/>
    <n v="1.5"/>
  </r>
  <r>
    <x v="6"/>
    <x v="0"/>
    <x v="12"/>
    <n v="134"/>
    <x v="15"/>
    <s v="Vasilis"/>
    <n v="1"/>
    <n v="11"/>
    <n v="2"/>
    <n v="0"/>
    <x v="6"/>
    <s v="vs Johnny"/>
    <n v="191"/>
    <n v="0.48099999999999998"/>
    <n v="33"/>
    <n v="0.311"/>
    <n v="0.84399999999999997"/>
    <n v="529"/>
    <n v="47"/>
    <n v="186"/>
    <n v="155"/>
    <n v="36"/>
    <n v="25"/>
    <n v="54"/>
    <n v="2.87"/>
  </r>
  <r>
    <x v="6"/>
    <x v="0"/>
    <x v="12"/>
    <n v="134"/>
    <x v="7"/>
    <s v="Johnny"/>
    <n v="0"/>
    <n v="2"/>
    <n v="11"/>
    <n v="0"/>
    <x v="14"/>
    <s v="vs Vasilis"/>
    <n v="174"/>
    <n v="0.46899999999999997"/>
    <n v="51"/>
    <n v="0.35699999999999998"/>
    <n v="0.73199999999999998"/>
    <n v="470"/>
    <n v="32"/>
    <n v="130"/>
    <n v="92"/>
    <n v="21"/>
    <n v="14"/>
    <n v="59"/>
    <n v="1.56"/>
  </r>
  <r>
    <x v="6"/>
    <x v="0"/>
    <x v="12"/>
    <n v="135"/>
    <x v="27"/>
    <s v="Dimitris"/>
    <n v="0"/>
    <n v="2"/>
    <n v="11"/>
    <n v="0"/>
    <x v="0"/>
    <s v="vs Fanis"/>
    <n v="142"/>
    <n v="0.46300000000000002"/>
    <n v="47"/>
    <n v="0.35899999999999999"/>
    <n v="0.76400000000000001"/>
    <n v="399"/>
    <n v="31"/>
    <n v="101"/>
    <n v="81"/>
    <n v="20"/>
    <n v="14"/>
    <n v="45"/>
    <n v="1.8"/>
  </r>
  <r>
    <x v="6"/>
    <x v="0"/>
    <x v="12"/>
    <n v="135"/>
    <x v="1"/>
    <s v="Fanis"/>
    <n v="1"/>
    <n v="11"/>
    <n v="2"/>
    <n v="0"/>
    <x v="27"/>
    <s v="vs Dimitris"/>
    <n v="183"/>
    <n v="0.46400000000000002"/>
    <n v="69"/>
    <n v="0.375"/>
    <n v="0.88"/>
    <n v="545"/>
    <n v="25"/>
    <n v="119"/>
    <n v="134"/>
    <n v="33"/>
    <n v="19"/>
    <n v="54"/>
    <n v="2.48"/>
  </r>
  <r>
    <x v="6"/>
    <x v="0"/>
    <x v="12"/>
    <n v="136"/>
    <x v="25"/>
    <s v="Arvanitis"/>
    <n v="0"/>
    <n v="5"/>
    <n v="8"/>
    <n v="0"/>
    <x v="19"/>
    <s v="vs Kotakis"/>
    <n v="153"/>
    <n v="0.52400000000000002"/>
    <n v="29"/>
    <n v="0.32600000000000001"/>
    <n v="0.58899999999999997"/>
    <n v="391"/>
    <n v="45"/>
    <n v="154"/>
    <n v="67"/>
    <n v="17"/>
    <n v="27"/>
    <n v="37"/>
    <n v="1.81"/>
  </r>
  <r>
    <x v="6"/>
    <x v="0"/>
    <x v="12"/>
    <n v="136"/>
    <x v="18"/>
    <s v="Kotakis"/>
    <n v="1"/>
    <n v="8"/>
    <n v="5"/>
    <n v="0"/>
    <x v="25"/>
    <s v="vs Arvanitis"/>
    <n v="184"/>
    <n v="0.501"/>
    <n v="55"/>
    <n v="0.379"/>
    <n v="0.75900000000000001"/>
    <n v="486"/>
    <n v="24"/>
    <n v="144"/>
    <n v="137"/>
    <n v="23"/>
    <n v="24"/>
    <n v="41"/>
    <n v="3.34"/>
  </r>
  <r>
    <x v="6"/>
    <x v="0"/>
    <x v="12"/>
    <n v="137"/>
    <x v="12"/>
    <s v="Stavros"/>
    <n v="1"/>
    <n v="8"/>
    <n v="4"/>
    <n v="1"/>
    <x v="23"/>
    <s v="vs Sarantos"/>
    <n v="172"/>
    <n v="0.48699999999999999"/>
    <n v="39"/>
    <n v="0.375"/>
    <n v="0.86299999999999999"/>
    <n v="496"/>
    <n v="52"/>
    <n v="140"/>
    <n v="141"/>
    <n v="29"/>
    <n v="25"/>
    <n v="45"/>
    <n v="3.13"/>
  </r>
  <r>
    <x v="6"/>
    <x v="0"/>
    <x v="12"/>
    <n v="137"/>
    <x v="23"/>
    <s v="Sarantos"/>
    <n v="0"/>
    <n v="4"/>
    <n v="8"/>
    <n v="1"/>
    <x v="13"/>
    <s v="vs Stavros"/>
    <n v="145"/>
    <n v="0.45700000000000002"/>
    <n v="48"/>
    <n v="0.375"/>
    <n v="0.64900000000000002"/>
    <n v="386"/>
    <n v="38"/>
    <n v="158"/>
    <n v="68"/>
    <n v="40"/>
    <n v="24"/>
    <n v="37"/>
    <n v="1.84"/>
  </r>
  <r>
    <x v="6"/>
    <x v="0"/>
    <x v="12"/>
    <n v="138"/>
    <x v="20"/>
    <s v="Guru"/>
    <n v="1"/>
    <n v="9"/>
    <n v="3"/>
    <n v="1"/>
    <x v="17"/>
    <s v="vs Aris"/>
    <n v="186"/>
    <n v="0.46300000000000002"/>
    <n v="77"/>
    <n v="0.40300000000000002"/>
    <n v="0.871"/>
    <n v="503"/>
    <n v="31"/>
    <n v="110"/>
    <n v="81"/>
    <n v="21"/>
    <n v="21"/>
    <n v="37"/>
    <n v="2.19"/>
  </r>
  <r>
    <x v="6"/>
    <x v="0"/>
    <x v="12"/>
    <n v="138"/>
    <x v="16"/>
    <s v="Aris"/>
    <n v="0"/>
    <n v="3"/>
    <n v="9"/>
    <n v="1"/>
    <x v="20"/>
    <s v="vs Guru"/>
    <n v="138"/>
    <n v="0.51300000000000001"/>
    <n v="17"/>
    <n v="0.28299999999999997"/>
    <n v="0.76900000000000002"/>
    <n v="343"/>
    <n v="37"/>
    <n v="74"/>
    <n v="81"/>
    <n v="33"/>
    <n v="10"/>
    <n v="54"/>
    <n v="1.5"/>
  </r>
  <r>
    <x v="6"/>
    <x v="0"/>
    <x v="12"/>
    <n v="139"/>
    <x v="26"/>
    <s v="Lafa"/>
    <n v="0"/>
    <n v="2"/>
    <n v="11"/>
    <n v="0"/>
    <x v="2"/>
    <s v="vs Sakellariou"/>
    <n v="165"/>
    <n v="0.45800000000000002"/>
    <n v="36"/>
    <n v="0.316"/>
    <n v="0.754"/>
    <n v="452"/>
    <n v="25"/>
    <n v="126"/>
    <n v="101"/>
    <n v="15"/>
    <n v="23"/>
    <n v="55"/>
    <n v="1.84"/>
  </r>
  <r>
    <x v="6"/>
    <x v="0"/>
    <x v="12"/>
    <n v="139"/>
    <x v="3"/>
    <s v="Sakellariou"/>
    <n v="1"/>
    <n v="11"/>
    <n v="2"/>
    <n v="0"/>
    <x v="26"/>
    <s v="vs Lafa"/>
    <n v="184"/>
    <n v="0.46600000000000003"/>
    <n v="58"/>
    <n v="0.42"/>
    <n v="0.876"/>
    <n v="532"/>
    <n v="39"/>
    <n v="135"/>
    <n v="138"/>
    <n v="26"/>
    <n v="18"/>
    <n v="62"/>
    <n v="2.23"/>
  </r>
  <r>
    <x v="6"/>
    <x v="0"/>
    <x v="12"/>
    <n v="140"/>
    <x v="24"/>
    <s v="Tolios"/>
    <n v="1"/>
    <n v="11"/>
    <n v="2"/>
    <n v="0"/>
    <x v="16"/>
    <s v="vs Spiridaus/Oladipas"/>
    <n v="158"/>
    <n v="0.52700000000000002"/>
    <n v="38"/>
    <n v="0.437"/>
    <n v="0.77200000000000002"/>
    <n v="415"/>
    <n v="41"/>
    <n v="95"/>
    <n v="71"/>
    <n v="21"/>
    <n v="25"/>
    <n v="29"/>
    <n v="2.4500000000000002"/>
  </r>
  <r>
    <x v="6"/>
    <x v="0"/>
    <x v="12"/>
    <n v="140"/>
    <x v="17"/>
    <s v="Spiridaus/Oladipas"/>
    <n v="0"/>
    <n v="2"/>
    <n v="11"/>
    <n v="0"/>
    <x v="24"/>
    <s v="vs Tolios"/>
    <n v="105"/>
    <n v="0.36599999999999999"/>
    <n v="32"/>
    <n v="0.24399999999999999"/>
    <n v="0.72099999999999997"/>
    <n v="291"/>
    <n v="29"/>
    <n v="82"/>
    <n v="85"/>
    <n v="16"/>
    <n v="30"/>
    <n v="52"/>
    <n v="1.63"/>
  </r>
  <r>
    <x v="6"/>
    <x v="0"/>
    <x v="13"/>
    <n v="141"/>
    <x v="21"/>
    <s v="Tzokos"/>
    <n v="0"/>
    <n v="5"/>
    <n v="7"/>
    <n v="1"/>
    <x v="10"/>
    <s v="vs pi/Sotiris"/>
    <n v="106"/>
    <n v="0.53500000000000003"/>
    <n v="30"/>
    <n v="0.4"/>
    <n v="0.81799999999999995"/>
    <n v="260"/>
    <n v="42"/>
    <n v="102"/>
    <n v="54"/>
    <n v="26"/>
    <n v="17"/>
    <n v="29"/>
    <n v="1.86"/>
  </r>
  <r>
    <x v="6"/>
    <x v="0"/>
    <x v="13"/>
    <n v="141"/>
    <x v="11"/>
    <s v="pi/Sotiris"/>
    <n v="1"/>
    <n v="7"/>
    <n v="5"/>
    <n v="1"/>
    <x v="21"/>
    <s v="vs Tzokos"/>
    <n v="222"/>
    <n v="0.53200000000000003"/>
    <n v="63"/>
    <n v="0.441"/>
    <n v="0.76400000000000001"/>
    <n v="601"/>
    <n v="42"/>
    <n v="163"/>
    <n v="138"/>
    <n v="24"/>
    <n v="16"/>
    <n v="59"/>
    <n v="2.34"/>
  </r>
  <r>
    <x v="6"/>
    <x v="0"/>
    <x v="13"/>
    <n v="142"/>
    <x v="28"/>
    <s v="Panos"/>
    <n v="1"/>
    <n v="7"/>
    <n v="6"/>
    <n v="0"/>
    <x v="3"/>
    <s v="vs Fountos"/>
    <n v="172"/>
    <n v="0.52"/>
    <n v="57"/>
    <n v="0.38800000000000001"/>
    <n v="0.8"/>
    <n v="449"/>
    <n v="15"/>
    <n v="88"/>
    <n v="101"/>
    <n v="15"/>
    <n v="15"/>
    <n v="33"/>
    <n v="3.06"/>
  </r>
  <r>
    <x v="6"/>
    <x v="0"/>
    <x v="13"/>
    <n v="142"/>
    <x v="2"/>
    <s v="Fountos"/>
    <n v="0"/>
    <n v="6"/>
    <n v="7"/>
    <n v="0"/>
    <x v="28"/>
    <s v="vs Panos"/>
    <n v="175"/>
    <n v="0.46200000000000002"/>
    <n v="56"/>
    <n v="0.35699999999999998"/>
    <n v="0.77"/>
    <n v="463"/>
    <n v="22"/>
    <n v="114"/>
    <n v="136"/>
    <n v="29"/>
    <n v="13"/>
    <n v="62"/>
    <n v="2.19"/>
  </r>
  <r>
    <x v="6"/>
    <x v="0"/>
    <x v="13"/>
    <n v="143"/>
    <x v="6"/>
    <s v="Tassos"/>
    <n v="1"/>
    <n v="7"/>
    <n v="6"/>
    <n v="0"/>
    <x v="14"/>
    <s v="vs Vasilis"/>
    <n v="223"/>
    <n v="0.503"/>
    <n v="53"/>
    <n v="0.36799999999999999"/>
    <n v="0.75600000000000001"/>
    <n v="592"/>
    <n v="42"/>
    <n v="151"/>
    <n v="89"/>
    <n v="21"/>
    <n v="21"/>
    <n v="59"/>
    <n v="1.51"/>
  </r>
  <r>
    <x v="6"/>
    <x v="0"/>
    <x v="13"/>
    <n v="143"/>
    <x v="15"/>
    <s v="Vasilis"/>
    <n v="0"/>
    <n v="6"/>
    <n v="7"/>
    <n v="0"/>
    <x v="7"/>
    <s v="vs Tassos"/>
    <n v="185"/>
    <n v="0.503"/>
    <n v="23"/>
    <n v="0.307"/>
    <n v="0.76600000000000001"/>
    <n v="488"/>
    <n v="46"/>
    <n v="126"/>
    <n v="142"/>
    <n v="31"/>
    <n v="19"/>
    <n v="44"/>
    <n v="3.23"/>
  </r>
  <r>
    <x v="6"/>
    <x v="0"/>
    <x v="13"/>
    <n v="144"/>
    <x v="9"/>
    <s v="Ziogas/Christof"/>
    <n v="1"/>
    <n v="9"/>
    <n v="4"/>
    <n v="0"/>
    <x v="27"/>
    <s v="vs Dimitris"/>
    <n v="192"/>
    <n v="0.47799999999999998"/>
    <n v="58"/>
    <n v="0.377"/>
    <n v="0.85099999999999998"/>
    <n v="505"/>
    <n v="46"/>
    <n v="141"/>
    <n v="115"/>
    <n v="29"/>
    <n v="17"/>
    <n v="54"/>
    <n v="2.13"/>
  </r>
  <r>
    <x v="6"/>
    <x v="0"/>
    <x v="13"/>
    <n v="144"/>
    <x v="27"/>
    <s v="Dimitris"/>
    <n v="0"/>
    <n v="4"/>
    <n v="9"/>
    <n v="0"/>
    <x v="8"/>
    <s v="vs Ziogas/Christof"/>
    <n v="178"/>
    <n v="0.51"/>
    <n v="39"/>
    <n v="0.35499999999999998"/>
    <n v="0.78200000000000003"/>
    <n v="481"/>
    <n v="57"/>
    <n v="132"/>
    <n v="72"/>
    <n v="19"/>
    <n v="26"/>
    <n v="42"/>
    <n v="1.71"/>
  </r>
  <r>
    <x v="6"/>
    <x v="0"/>
    <x v="13"/>
    <n v="145"/>
    <x v="7"/>
    <s v="Johnny"/>
    <n v="0"/>
    <n v="6"/>
    <n v="7"/>
    <n v="0"/>
    <x v="25"/>
    <s v="vs Arvanitis"/>
    <n v="144"/>
    <n v="0.44"/>
    <n v="41"/>
    <n v="0.35699999999999998"/>
    <n v="0.85099999999999998"/>
    <n v="426"/>
    <n v="36"/>
    <n v="125"/>
    <n v="101"/>
    <n v="12"/>
    <n v="20"/>
    <n v="54"/>
    <n v="1.87"/>
  </r>
  <r>
    <x v="6"/>
    <x v="0"/>
    <x v="13"/>
    <n v="145"/>
    <x v="25"/>
    <s v="Arvanitis"/>
    <n v="1"/>
    <n v="7"/>
    <n v="6"/>
    <n v="0"/>
    <x v="6"/>
    <s v="vs Johnny"/>
    <n v="135"/>
    <n v="0.51100000000000001"/>
    <n v="32"/>
    <n v="0.39"/>
    <n v="0.77800000000000002"/>
    <n v="351"/>
    <n v="41"/>
    <n v="140"/>
    <n v="69"/>
    <n v="25"/>
    <n v="18"/>
    <n v="29"/>
    <n v="2.38"/>
  </r>
  <r>
    <x v="6"/>
    <x v="0"/>
    <x v="13"/>
    <n v="146"/>
    <x v="1"/>
    <s v="Fanis"/>
    <n v="0"/>
    <n v="4"/>
    <n v="8"/>
    <n v="1"/>
    <x v="13"/>
    <s v="vs Stavros"/>
    <n v="136"/>
    <n v="0.41299999999999998"/>
    <n v="44"/>
    <n v="0.29499999999999998"/>
    <n v="0.83099999999999996"/>
    <n v="385"/>
    <n v="32"/>
    <n v="99"/>
    <n v="100"/>
    <n v="19"/>
    <n v="18"/>
    <n v="38"/>
    <n v="2.63"/>
  </r>
  <r>
    <x v="6"/>
    <x v="0"/>
    <x v="13"/>
    <n v="146"/>
    <x v="12"/>
    <s v="Stavros"/>
    <n v="1"/>
    <n v="8"/>
    <n v="4"/>
    <n v="1"/>
    <x v="0"/>
    <s v="vs Fanis"/>
    <n v="162"/>
    <n v="0.46400000000000002"/>
    <n v="41"/>
    <n v="0.33300000000000002"/>
    <n v="0.82899999999999996"/>
    <n v="457"/>
    <n v="51"/>
    <n v="135"/>
    <n v="105"/>
    <n v="35"/>
    <n v="18"/>
    <n v="46"/>
    <n v="2.2799999999999998"/>
  </r>
  <r>
    <x v="6"/>
    <x v="0"/>
    <x v="13"/>
    <n v="147"/>
    <x v="18"/>
    <s v="Kotakis"/>
    <n v="1"/>
    <n v="8"/>
    <n v="5"/>
    <n v="0"/>
    <x v="20"/>
    <s v="vs Guru"/>
    <n v="185"/>
    <n v="0.504"/>
    <n v="47"/>
    <n v="0.33100000000000002"/>
    <n v="0.83799999999999997"/>
    <n v="479"/>
    <n v="38"/>
    <n v="169"/>
    <n v="137"/>
    <n v="35"/>
    <n v="34"/>
    <n v="63"/>
    <n v="2.17"/>
  </r>
  <r>
    <x v="6"/>
    <x v="0"/>
    <x v="13"/>
    <n v="147"/>
    <x v="20"/>
    <s v="Guru"/>
    <n v="0"/>
    <n v="5"/>
    <n v="8"/>
    <n v="0"/>
    <x v="19"/>
    <s v="vs Kotakis"/>
    <n v="192"/>
    <n v="0.45700000000000002"/>
    <n v="84"/>
    <n v="0.41399999999999998"/>
    <n v="0.82899999999999996"/>
    <n v="531"/>
    <n v="25"/>
    <n v="111"/>
    <n v="108"/>
    <n v="18"/>
    <n v="17"/>
    <n v="54"/>
    <n v="2"/>
  </r>
  <r>
    <x v="6"/>
    <x v="0"/>
    <x v="13"/>
    <n v="148"/>
    <x v="23"/>
    <s v="Sarantos"/>
    <n v="0"/>
    <n v="2"/>
    <n v="11"/>
    <n v="0"/>
    <x v="26"/>
    <s v="vs Lafa"/>
    <n v="124"/>
    <n v="0.44600000000000001"/>
    <n v="30"/>
    <n v="0.27300000000000002"/>
    <n v="0.70399999999999996"/>
    <n v="328"/>
    <n v="29"/>
    <n v="99"/>
    <n v="61"/>
    <n v="36"/>
    <n v="19"/>
    <n v="31"/>
    <n v="1.97"/>
  </r>
  <r>
    <x v="6"/>
    <x v="0"/>
    <x v="13"/>
    <n v="148"/>
    <x v="26"/>
    <s v="Lafa"/>
    <n v="1"/>
    <n v="11"/>
    <n v="2"/>
    <n v="0"/>
    <x v="23"/>
    <s v="vs Sarantos"/>
    <n v="219"/>
    <n v="0.49199999999999999"/>
    <n v="65"/>
    <n v="0.35899999999999999"/>
    <n v="0.755"/>
    <n v="614"/>
    <n v="43"/>
    <n v="161"/>
    <n v="149"/>
    <n v="21"/>
    <n v="21"/>
    <n v="71"/>
    <n v="2.1"/>
  </r>
  <r>
    <x v="6"/>
    <x v="0"/>
    <x v="13"/>
    <n v="149"/>
    <x v="16"/>
    <s v="Aris"/>
    <n v="0"/>
    <n v="5"/>
    <n v="8"/>
    <n v="0"/>
    <x v="24"/>
    <s v="vs Tolios"/>
    <n v="167"/>
    <n v="0.52700000000000002"/>
    <n v="28"/>
    <n v="0.40600000000000003"/>
    <n v="0.79700000000000004"/>
    <n v="425"/>
    <n v="40"/>
    <n v="101"/>
    <n v="115"/>
    <n v="28"/>
    <n v="13"/>
    <n v="51"/>
    <n v="2.25"/>
  </r>
  <r>
    <x v="6"/>
    <x v="0"/>
    <x v="13"/>
    <n v="149"/>
    <x v="24"/>
    <s v="Tolios"/>
    <n v="1"/>
    <n v="8"/>
    <n v="5"/>
    <n v="0"/>
    <x v="17"/>
    <s v="vs Aris"/>
    <n v="216"/>
    <n v="0.54100000000000004"/>
    <n v="42"/>
    <n v="0.39300000000000002"/>
    <n v="0.77700000000000002"/>
    <n v="547"/>
    <n v="50"/>
    <n v="144"/>
    <n v="75"/>
    <n v="21"/>
    <n v="24"/>
    <n v="39"/>
    <n v="1.92"/>
  </r>
  <r>
    <x v="6"/>
    <x v="0"/>
    <x v="13"/>
    <n v="150"/>
    <x v="3"/>
    <s v="Sakellariou"/>
    <n v="1"/>
    <n v="10"/>
    <n v="2"/>
    <n v="1"/>
    <x v="16"/>
    <s v="vs Spiridaus/Oladipas"/>
    <n v="189"/>
    <n v="0.49099999999999999"/>
    <n v="65"/>
    <n v="0.42499999999999999"/>
    <n v="0.78600000000000003"/>
    <n v="524"/>
    <n v="22"/>
    <n v="153"/>
    <n v="147"/>
    <n v="25"/>
    <n v="18"/>
    <n v="47"/>
    <n v="3.13"/>
  </r>
  <r>
    <x v="6"/>
    <x v="0"/>
    <x v="13"/>
    <n v="150"/>
    <x v="17"/>
    <s v="Spiridaus/Oladipas"/>
    <n v="0"/>
    <n v="2"/>
    <n v="10"/>
    <n v="1"/>
    <x v="2"/>
    <s v="vs Sakellariou"/>
    <n v="147"/>
    <n v="0.46100000000000002"/>
    <n v="38"/>
    <n v="0.33300000000000002"/>
    <n v="0.78300000000000003"/>
    <n v="415"/>
    <n v="45"/>
    <n v="110"/>
    <n v="105"/>
    <n v="25"/>
    <n v="21"/>
    <n v="49"/>
    <n v="2.14"/>
  </r>
  <r>
    <x v="6"/>
    <x v="0"/>
    <x v="14"/>
    <n v="151"/>
    <x v="2"/>
    <s v="Fountos"/>
    <n v="1"/>
    <n v="7"/>
    <n v="6"/>
    <n v="0"/>
    <x v="21"/>
    <s v="vs Tzokos"/>
    <n v="190"/>
    <n v="0.44600000000000001"/>
    <n v="43"/>
    <n v="0.28100000000000003"/>
    <n v="0.86499999999999999"/>
    <n v="506"/>
    <n v="33"/>
    <n v="124"/>
    <n v="133"/>
    <n v="30"/>
    <n v="11"/>
    <n v="52"/>
    <n v="2.56"/>
  </r>
  <r>
    <x v="6"/>
    <x v="0"/>
    <x v="14"/>
    <n v="151"/>
    <x v="21"/>
    <s v="Tzokos"/>
    <n v="0"/>
    <n v="6"/>
    <n v="7"/>
    <n v="0"/>
    <x v="3"/>
    <s v="vs Fountos"/>
    <n v="125"/>
    <n v="0.52100000000000002"/>
    <n v="34"/>
    <n v="0.37"/>
    <n v="0.72199999999999998"/>
    <n v="310"/>
    <n v="37"/>
    <n v="89"/>
    <n v="55"/>
    <n v="22"/>
    <n v="17"/>
    <n v="21"/>
    <n v="2.62"/>
  </r>
  <r>
    <x v="6"/>
    <x v="0"/>
    <x v="14"/>
    <n v="152"/>
    <x v="15"/>
    <s v="Vasilis"/>
    <n v="1"/>
    <n v="7"/>
    <n v="6"/>
    <n v="0"/>
    <x v="10"/>
    <s v="vs pi/Sotiris"/>
    <n v="235"/>
    <n v="0.49099999999999999"/>
    <n v="35"/>
    <n v="0.29899999999999999"/>
    <n v="0.76800000000000002"/>
    <n v="601"/>
    <n v="68"/>
    <n v="174"/>
    <n v="156"/>
    <n v="40"/>
    <n v="29"/>
    <n v="58"/>
    <n v="2.69"/>
  </r>
  <r>
    <x v="6"/>
    <x v="0"/>
    <x v="14"/>
    <n v="152"/>
    <x v="11"/>
    <s v="pi/Sotiris"/>
    <n v="0"/>
    <n v="6"/>
    <n v="7"/>
    <n v="0"/>
    <x v="14"/>
    <s v="vs Vasilis"/>
    <n v="250"/>
    <n v="0.504"/>
    <n v="70"/>
    <n v="0.378"/>
    <n v="0.75"/>
    <n v="681"/>
    <n v="46"/>
    <n v="167"/>
    <n v="161"/>
    <n v="35"/>
    <n v="26"/>
    <n v="65"/>
    <n v="2.48"/>
  </r>
  <r>
    <x v="6"/>
    <x v="0"/>
    <x v="14"/>
    <n v="153"/>
    <x v="27"/>
    <s v="Dimitris"/>
    <n v="0"/>
    <n v="6"/>
    <n v="6"/>
    <n v="1"/>
    <x v="28"/>
    <s v="vs Panos"/>
    <n v="151"/>
    <n v="0.52800000000000002"/>
    <n v="36"/>
    <n v="0.375"/>
    <n v="0.80200000000000005"/>
    <n v="407"/>
    <n v="31"/>
    <n v="118"/>
    <n v="92"/>
    <n v="19"/>
    <n v="13"/>
    <n v="42"/>
    <n v="2.19"/>
  </r>
  <r>
    <x v="6"/>
    <x v="0"/>
    <x v="14"/>
    <n v="153"/>
    <x v="28"/>
    <s v="Panos"/>
    <n v="0"/>
    <n v="6"/>
    <n v="6"/>
    <n v="1"/>
    <x v="27"/>
    <s v="vs Dimitris"/>
    <n v="205"/>
    <n v="0.45200000000000001"/>
    <n v="56"/>
    <n v="0.30099999999999999"/>
    <n v="0.77400000000000002"/>
    <n v="548"/>
    <n v="24"/>
    <n v="120"/>
    <n v="126"/>
    <n v="16"/>
    <n v="13"/>
    <n v="53"/>
    <n v="2.38"/>
  </r>
  <r>
    <x v="6"/>
    <x v="0"/>
    <x v="14"/>
    <n v="154"/>
    <x v="25"/>
    <s v="Arvanitis"/>
    <n v="0"/>
    <n v="4"/>
    <n v="9"/>
    <n v="0"/>
    <x v="7"/>
    <s v="vs Tassos"/>
    <n v="174"/>
    <n v="0.52700000000000002"/>
    <n v="50"/>
    <n v="0.373"/>
    <n v="0.70299999999999996"/>
    <n v="450"/>
    <n v="53"/>
    <n v="123"/>
    <n v="64"/>
    <n v="26"/>
    <n v="22"/>
    <n v="48"/>
    <n v="1.33"/>
  </r>
  <r>
    <x v="6"/>
    <x v="0"/>
    <x v="14"/>
    <n v="154"/>
    <x v="6"/>
    <s v="Tassos"/>
    <n v="1"/>
    <n v="9"/>
    <n v="4"/>
    <n v="0"/>
    <x v="25"/>
    <s v="vs Arvanitis"/>
    <n v="231"/>
    <n v="0.48499999999999999"/>
    <n v="46"/>
    <n v="0.313"/>
    <n v="0.80600000000000005"/>
    <n v="620"/>
    <n v="57"/>
    <n v="162"/>
    <n v="127"/>
    <n v="29"/>
    <n v="30"/>
    <n v="57"/>
    <n v="2.23"/>
  </r>
  <r>
    <x v="6"/>
    <x v="0"/>
    <x v="14"/>
    <n v="155"/>
    <x v="12"/>
    <s v="Stavros"/>
    <n v="1"/>
    <n v="7"/>
    <n v="6"/>
    <n v="0"/>
    <x v="8"/>
    <s v="vs Ziogas/Christof"/>
    <n v="194"/>
    <n v="0.496"/>
    <n v="47"/>
    <n v="0.34100000000000003"/>
    <n v="0.746"/>
    <n v="535"/>
    <n v="87"/>
    <n v="171"/>
    <n v="124"/>
    <n v="25"/>
    <n v="29"/>
    <n v="57"/>
    <n v="2.1800000000000002"/>
  </r>
  <r>
    <x v="6"/>
    <x v="0"/>
    <x v="14"/>
    <n v="155"/>
    <x v="9"/>
    <s v="Ziogas/Christof"/>
    <n v="0"/>
    <n v="6"/>
    <n v="7"/>
    <n v="0"/>
    <x v="13"/>
    <s v="vs Stavros"/>
    <n v="162"/>
    <n v="0.42899999999999999"/>
    <n v="51"/>
    <n v="0.33800000000000002"/>
    <n v="0.81100000000000005"/>
    <n v="435"/>
    <n v="53"/>
    <n v="188"/>
    <n v="117"/>
    <n v="26"/>
    <n v="20"/>
    <n v="53"/>
    <n v="2.21"/>
  </r>
  <r>
    <x v="6"/>
    <x v="0"/>
    <x v="14"/>
    <n v="156"/>
    <x v="20"/>
    <s v="Guru"/>
    <n v="1"/>
    <n v="9"/>
    <n v="4"/>
    <n v="0"/>
    <x v="6"/>
    <s v="vs Johnny"/>
    <n v="188"/>
    <n v="0.44900000000000001"/>
    <n v="77"/>
    <n v="0.38100000000000001"/>
    <n v="0.82399999999999995"/>
    <n v="528"/>
    <n v="19"/>
    <n v="134"/>
    <n v="120"/>
    <n v="32"/>
    <n v="20"/>
    <n v="63"/>
    <n v="1.9"/>
  </r>
  <r>
    <x v="6"/>
    <x v="0"/>
    <x v="14"/>
    <n v="156"/>
    <x v="7"/>
    <s v="Johnny"/>
    <n v="0"/>
    <n v="4"/>
    <n v="9"/>
    <n v="0"/>
    <x v="20"/>
    <s v="vs Guru"/>
    <n v="175"/>
    <n v="0.51800000000000002"/>
    <n v="51"/>
    <n v="0.38900000000000001"/>
    <n v="0.78100000000000003"/>
    <n v="458"/>
    <n v="42"/>
    <n v="128"/>
    <n v="88"/>
    <n v="27"/>
    <n v="16"/>
    <n v="59"/>
    <n v="1.49"/>
  </r>
  <r>
    <x v="6"/>
    <x v="0"/>
    <x v="14"/>
    <n v="157"/>
    <x v="26"/>
    <s v="Lafa"/>
    <n v="1"/>
    <n v="8"/>
    <n v="5"/>
    <n v="0"/>
    <x v="0"/>
    <s v="vs Fanis"/>
    <n v="222"/>
    <n v="0.497"/>
    <n v="68"/>
    <n v="0.39500000000000002"/>
    <n v="0.78900000000000003"/>
    <n v="598"/>
    <n v="35"/>
    <n v="154"/>
    <n v="135"/>
    <n v="31"/>
    <n v="19"/>
    <n v="65"/>
    <n v="2.08"/>
  </r>
  <r>
    <x v="6"/>
    <x v="0"/>
    <x v="14"/>
    <n v="157"/>
    <x v="1"/>
    <s v="Fanis"/>
    <n v="0"/>
    <n v="5"/>
    <n v="8"/>
    <n v="0"/>
    <x v="26"/>
    <s v="vs Lafa"/>
    <n v="131"/>
    <n v="0.45500000000000002"/>
    <n v="74"/>
    <n v="0.46500000000000002"/>
    <n v="0.8"/>
    <n v="372"/>
    <n v="15"/>
    <n v="68"/>
    <n v="89"/>
    <n v="25"/>
    <n v="17"/>
    <n v="40"/>
    <n v="2.23"/>
  </r>
  <r>
    <x v="6"/>
    <x v="0"/>
    <x v="14"/>
    <n v="158"/>
    <x v="24"/>
    <s v="Tolios"/>
    <n v="0"/>
    <n v="3"/>
    <n v="10"/>
    <n v="0"/>
    <x v="19"/>
    <s v="vs Kotakis"/>
    <n v="154"/>
    <n v="0.51"/>
    <n v="31"/>
    <n v="0.378"/>
    <n v="0.79200000000000004"/>
    <n v="377"/>
    <n v="49"/>
    <n v="121"/>
    <n v="75"/>
    <n v="21"/>
    <n v="26"/>
    <n v="24"/>
    <n v="3.13"/>
  </r>
  <r>
    <x v="6"/>
    <x v="0"/>
    <x v="14"/>
    <n v="158"/>
    <x v="18"/>
    <s v="Kotakis"/>
    <n v="1"/>
    <n v="10"/>
    <n v="3"/>
    <n v="0"/>
    <x v="24"/>
    <s v="vs Tolios"/>
    <n v="226"/>
    <n v="0.48899999999999999"/>
    <n v="65"/>
    <n v="0.36099999999999999"/>
    <n v="0.89500000000000002"/>
    <n v="602"/>
    <n v="52"/>
    <n v="189"/>
    <n v="166"/>
    <n v="37"/>
    <n v="29"/>
    <n v="52"/>
    <n v="3.19"/>
  </r>
  <r>
    <x v="6"/>
    <x v="0"/>
    <x v="14"/>
    <n v="159"/>
    <x v="17"/>
    <s v="Spiridaus/Oladipas"/>
    <n v="1"/>
    <n v="11"/>
    <n v="2"/>
    <n v="0"/>
    <x v="23"/>
    <s v="vs Sarantos"/>
    <n v="178"/>
    <n v="0.45500000000000002"/>
    <n v="54"/>
    <n v="0.36"/>
    <n v="0.84099999999999997"/>
    <n v="479"/>
    <n v="29"/>
    <n v="129"/>
    <n v="131"/>
    <n v="42"/>
    <n v="28"/>
    <n v="57"/>
    <n v="2.2999999999999998"/>
  </r>
  <r>
    <x v="6"/>
    <x v="0"/>
    <x v="14"/>
    <n v="159"/>
    <x v="23"/>
    <s v="Sarantos"/>
    <n v="0"/>
    <n v="2"/>
    <n v="11"/>
    <n v="0"/>
    <x v="16"/>
    <s v="vs Spiridaus/Oladipas"/>
    <n v="114"/>
    <n v="0.46500000000000002"/>
    <n v="31"/>
    <n v="0.32300000000000001"/>
    <n v="0.73199999999999998"/>
    <n v="311"/>
    <n v="23"/>
    <n v="106"/>
    <n v="54"/>
    <n v="29"/>
    <n v="15"/>
    <n v="26"/>
    <n v="2.08"/>
  </r>
  <r>
    <x v="6"/>
    <x v="0"/>
    <x v="14"/>
    <n v="160"/>
    <x v="3"/>
    <s v="Sakellariou"/>
    <n v="1"/>
    <n v="9"/>
    <n v="4"/>
    <n v="0"/>
    <x v="17"/>
    <s v="vs Aris"/>
    <n v="216"/>
    <n v="0.47199999999999998"/>
    <n v="53"/>
    <n v="0.315"/>
    <n v="0.76"/>
    <n v="596"/>
    <n v="49"/>
    <n v="179"/>
    <n v="149"/>
    <n v="39"/>
    <n v="43"/>
    <n v="71"/>
    <n v="2.1"/>
  </r>
  <r>
    <x v="6"/>
    <x v="0"/>
    <x v="14"/>
    <n v="160"/>
    <x v="16"/>
    <s v="Aris"/>
    <n v="0"/>
    <n v="4"/>
    <n v="9"/>
    <n v="0"/>
    <x v="2"/>
    <s v="vs Sakellariou"/>
    <n v="182"/>
    <n v="0.48699999999999999"/>
    <n v="28"/>
    <n v="0.32200000000000001"/>
    <n v="0.81699999999999995"/>
    <n v="490"/>
    <n v="48"/>
    <n v="106"/>
    <n v="108"/>
    <n v="27"/>
    <n v="12"/>
    <n v="60"/>
    <n v="1.8"/>
  </r>
  <r>
    <x v="6"/>
    <x v="0"/>
    <x v="15"/>
    <n v="161"/>
    <x v="21"/>
    <s v="Tzokos"/>
    <n v="0"/>
    <n v="3"/>
    <n v="10"/>
    <n v="0"/>
    <x v="14"/>
    <s v="vs Vasilis"/>
    <n v="129"/>
    <n v="0.54400000000000004"/>
    <n v="37"/>
    <n v="0.38100000000000001"/>
    <n v="0.8"/>
    <n v="343"/>
    <n v="31"/>
    <n v="95"/>
    <n v="57"/>
    <n v="18"/>
    <n v="20"/>
    <n v="32"/>
    <n v="1.78"/>
  </r>
  <r>
    <x v="6"/>
    <x v="0"/>
    <x v="15"/>
    <n v="161"/>
    <x v="15"/>
    <s v="Vasilis"/>
    <n v="1"/>
    <n v="10"/>
    <n v="3"/>
    <n v="0"/>
    <x v="21"/>
    <s v="vs Tzokos"/>
    <n v="212"/>
    <n v="0.53900000000000003"/>
    <n v="47"/>
    <n v="0.40500000000000003"/>
    <n v="0.67900000000000005"/>
    <n v="545"/>
    <n v="36"/>
    <n v="128"/>
    <n v="116"/>
    <n v="28"/>
    <n v="25"/>
    <n v="46"/>
    <n v="2.52"/>
  </r>
  <r>
    <x v="6"/>
    <x v="0"/>
    <x v="15"/>
    <n v="162"/>
    <x v="2"/>
    <s v="Fountos"/>
    <n v="1"/>
    <n v="7"/>
    <n v="5"/>
    <n v="1"/>
    <x v="27"/>
    <s v="vs Dimitris"/>
    <n v="194"/>
    <n v="0.47399999999999998"/>
    <n v="73"/>
    <n v="0.40600000000000003"/>
    <n v="0.76600000000000001"/>
    <n v="520"/>
    <n v="19"/>
    <n v="104"/>
    <n v="143"/>
    <n v="33"/>
    <n v="14"/>
    <n v="55"/>
    <n v="2.6"/>
  </r>
  <r>
    <x v="6"/>
    <x v="0"/>
    <x v="15"/>
    <n v="162"/>
    <x v="27"/>
    <s v="Dimitris"/>
    <n v="0"/>
    <n v="5"/>
    <n v="7"/>
    <n v="1"/>
    <x v="3"/>
    <s v="vs Fountos"/>
    <n v="121"/>
    <n v="0.47499999999999998"/>
    <n v="33"/>
    <n v="0.35099999999999998"/>
    <n v="0.78500000000000003"/>
    <n v="326"/>
    <n v="25"/>
    <n v="108"/>
    <n v="76"/>
    <n v="13"/>
    <n v="14"/>
    <n v="39"/>
    <n v="1.95"/>
  </r>
  <r>
    <x v="6"/>
    <x v="0"/>
    <x v="15"/>
    <n v="163"/>
    <x v="11"/>
    <s v="pi/Sotiris"/>
    <n v="1"/>
    <n v="7"/>
    <n v="6"/>
    <n v="0"/>
    <x v="25"/>
    <s v="vs Arvanitis"/>
    <n v="178"/>
    <n v="0.46800000000000003"/>
    <n v="66"/>
    <n v="0.39800000000000002"/>
    <n v="0.73199999999999998"/>
    <n v="482"/>
    <n v="27"/>
    <n v="107"/>
    <n v="114"/>
    <n v="20"/>
    <n v="14"/>
    <n v="45"/>
    <n v="2.5299999999999998"/>
  </r>
  <r>
    <x v="6"/>
    <x v="0"/>
    <x v="15"/>
    <n v="163"/>
    <x v="25"/>
    <s v="Arvanitis"/>
    <n v="0"/>
    <n v="6"/>
    <n v="7"/>
    <n v="0"/>
    <x v="10"/>
    <s v="vs pi/Sotiris"/>
    <n v="122"/>
    <n v="0.53700000000000003"/>
    <n v="29"/>
    <n v="0.42599999999999999"/>
    <n v="0.81499999999999995"/>
    <n v="317"/>
    <n v="42"/>
    <n v="131"/>
    <n v="57"/>
    <n v="15"/>
    <n v="21"/>
    <n v="51"/>
    <n v="1.1200000000000001"/>
  </r>
  <r>
    <x v="6"/>
    <x v="0"/>
    <x v="15"/>
    <n v="164"/>
    <x v="28"/>
    <s v="Panos"/>
    <n v="0"/>
    <n v="5"/>
    <n v="8"/>
    <n v="0"/>
    <x v="13"/>
    <s v="vs Stavros"/>
    <n v="154"/>
    <n v="0.46100000000000002"/>
    <n v="39"/>
    <n v="0.29799999999999999"/>
    <n v="0.79600000000000004"/>
    <n v="390"/>
    <n v="27"/>
    <n v="99"/>
    <n v="92"/>
    <n v="17"/>
    <n v="8"/>
    <n v="36"/>
    <n v="2.56"/>
  </r>
  <r>
    <x v="6"/>
    <x v="0"/>
    <x v="15"/>
    <n v="164"/>
    <x v="12"/>
    <s v="Stavros"/>
    <n v="1"/>
    <n v="8"/>
    <n v="5"/>
    <n v="0"/>
    <x v="28"/>
    <s v="vs Panos"/>
    <n v="135"/>
    <n v="0.52700000000000002"/>
    <n v="37"/>
    <n v="0.374"/>
    <n v="0.75900000000000001"/>
    <n v="351"/>
    <n v="36"/>
    <n v="115"/>
    <n v="79"/>
    <n v="25"/>
    <n v="12"/>
    <n v="20"/>
    <n v="3.95"/>
  </r>
  <r>
    <x v="6"/>
    <x v="0"/>
    <x v="15"/>
    <n v="165"/>
    <x v="6"/>
    <s v="Tassos"/>
    <n v="1"/>
    <n v="8"/>
    <n v="5"/>
    <n v="0"/>
    <x v="20"/>
    <s v="vs Guru"/>
    <n v="207"/>
    <n v="0.502"/>
    <n v="61"/>
    <n v="0.41199999999999998"/>
    <n v="0.73599999999999999"/>
    <n v="514"/>
    <n v="35"/>
    <n v="116"/>
    <n v="152"/>
    <n v="25"/>
    <n v="15"/>
    <n v="70"/>
    <n v="2.17"/>
  </r>
  <r>
    <x v="6"/>
    <x v="0"/>
    <x v="15"/>
    <n v="165"/>
    <x v="20"/>
    <s v="Guru"/>
    <n v="0"/>
    <n v="5"/>
    <n v="8"/>
    <n v="0"/>
    <x v="7"/>
    <s v="vs Tassos"/>
    <n v="152"/>
    <n v="0.45100000000000001"/>
    <n v="63"/>
    <n v="0.38"/>
    <n v="0.83699999999999997"/>
    <n v="408"/>
    <n v="28"/>
    <n v="110"/>
    <n v="80"/>
    <n v="23"/>
    <n v="24"/>
    <n v="32"/>
    <n v="2.5"/>
  </r>
  <r>
    <x v="6"/>
    <x v="0"/>
    <x v="15"/>
    <n v="166"/>
    <x v="9"/>
    <s v="Ziogas/Christof"/>
    <n v="0"/>
    <n v="4"/>
    <n v="8"/>
    <n v="1"/>
    <x v="26"/>
    <s v="vs Lafa"/>
    <n v="150"/>
    <n v="0.51200000000000001"/>
    <n v="47"/>
    <n v="0.45600000000000002"/>
    <n v="0.76500000000000001"/>
    <n v="399"/>
    <n v="35"/>
    <n v="98"/>
    <n v="86"/>
    <n v="27"/>
    <n v="8"/>
    <n v="40"/>
    <n v="2.15"/>
  </r>
  <r>
    <x v="6"/>
    <x v="0"/>
    <x v="15"/>
    <n v="166"/>
    <x v="26"/>
    <s v="Lafa"/>
    <n v="1"/>
    <n v="8"/>
    <n v="4"/>
    <n v="1"/>
    <x v="8"/>
    <s v="vs Ziogas/Christof"/>
    <n v="155"/>
    <n v="0.46800000000000003"/>
    <n v="56"/>
    <n v="0.40300000000000002"/>
    <n v="0.76"/>
    <n v="458"/>
    <n v="34"/>
    <n v="134"/>
    <n v="100"/>
    <n v="27"/>
    <n v="19"/>
    <n v="38"/>
    <n v="2.63"/>
  </r>
  <r>
    <x v="6"/>
    <x v="0"/>
    <x v="15"/>
    <n v="167"/>
    <x v="7"/>
    <s v="Johnny"/>
    <n v="1"/>
    <n v="7"/>
    <n v="6"/>
    <n v="0"/>
    <x v="24"/>
    <s v="vs Tolios"/>
    <n v="153"/>
    <n v="0.45700000000000002"/>
    <n v="45"/>
    <n v="0.375"/>
    <n v="0.81"/>
    <n v="419"/>
    <n v="37"/>
    <n v="124"/>
    <n v="90"/>
    <n v="21"/>
    <n v="24"/>
    <n v="46"/>
    <n v="1.96"/>
  </r>
  <r>
    <x v="6"/>
    <x v="0"/>
    <x v="15"/>
    <n v="167"/>
    <x v="24"/>
    <s v="Tolios"/>
    <n v="0"/>
    <n v="6"/>
    <n v="7"/>
    <n v="0"/>
    <x v="6"/>
    <s v="vs Johnny"/>
    <n v="145"/>
    <n v="0.53500000000000003"/>
    <n v="35"/>
    <n v="0.42699999999999999"/>
    <n v="0.75"/>
    <n v="370"/>
    <n v="41"/>
    <n v="96"/>
    <n v="81"/>
    <n v="22"/>
    <n v="13"/>
    <n v="40"/>
    <n v="2.02"/>
  </r>
  <r>
    <x v="6"/>
    <x v="0"/>
    <x v="15"/>
    <n v="168"/>
    <x v="1"/>
    <s v="Fanis"/>
    <n v="0"/>
    <n v="4"/>
    <n v="8"/>
    <n v="1"/>
    <x v="16"/>
    <s v="vs Spiridaus/Oladipas"/>
    <n v="122"/>
    <n v="0.433"/>
    <n v="40"/>
    <n v="0.29599999999999999"/>
    <n v="0.78300000000000003"/>
    <n v="338"/>
    <n v="21"/>
    <n v="111"/>
    <n v="126"/>
    <n v="26"/>
    <n v="19"/>
    <n v="59"/>
    <n v="2.14"/>
  </r>
  <r>
    <x v="6"/>
    <x v="0"/>
    <x v="15"/>
    <n v="168"/>
    <x v="17"/>
    <s v="Spiridaus/Oladipas"/>
    <n v="1"/>
    <n v="8"/>
    <n v="4"/>
    <n v="1"/>
    <x v="0"/>
    <s v="vs Fanis"/>
    <n v="183"/>
    <n v="0.52600000000000002"/>
    <n v="67"/>
    <n v="0.45"/>
    <n v="0.76900000000000002"/>
    <n v="493"/>
    <n v="30"/>
    <n v="119"/>
    <n v="84"/>
    <n v="23"/>
    <n v="19"/>
    <n v="54"/>
    <n v="1.56"/>
  </r>
  <r>
    <x v="6"/>
    <x v="0"/>
    <x v="15"/>
    <n v="169"/>
    <x v="18"/>
    <s v="Kotakis"/>
    <n v="1"/>
    <n v="7"/>
    <n v="6"/>
    <n v="0"/>
    <x v="2"/>
    <s v="vs Sakellariou"/>
    <n v="236"/>
    <n v="0.51300000000000001"/>
    <n v="54"/>
    <n v="0.375"/>
    <n v="0.77500000000000002"/>
    <n v="588"/>
    <n v="53"/>
    <n v="189"/>
    <n v="174"/>
    <n v="37"/>
    <n v="29"/>
    <n v="72"/>
    <n v="2.42"/>
  </r>
  <r>
    <x v="6"/>
    <x v="0"/>
    <x v="15"/>
    <n v="169"/>
    <x v="3"/>
    <s v="Sakellariou"/>
    <n v="0"/>
    <n v="6"/>
    <n v="7"/>
    <n v="0"/>
    <x v="19"/>
    <s v="vs Kotakis"/>
    <n v="224"/>
    <n v="0.53600000000000003"/>
    <n v="63"/>
    <n v="0.48799999999999999"/>
    <n v="0.91600000000000004"/>
    <n v="620"/>
    <n v="32"/>
    <n v="145"/>
    <n v="127"/>
    <n v="32"/>
    <n v="26"/>
    <n v="61"/>
    <n v="2.08"/>
  </r>
  <r>
    <x v="6"/>
    <x v="0"/>
    <x v="15"/>
    <n v="170"/>
    <x v="23"/>
    <s v="Sarantos"/>
    <n v="0"/>
    <n v="4"/>
    <n v="8"/>
    <n v="1"/>
    <x v="17"/>
    <s v="vs Aris"/>
    <n v="89"/>
    <n v="0.45200000000000001"/>
    <n v="22"/>
    <n v="0.35499999999999998"/>
    <n v="0.58099999999999996"/>
    <n v="218"/>
    <n v="23"/>
    <n v="77"/>
    <n v="53"/>
    <n v="23"/>
    <n v="26"/>
    <n v="27"/>
    <n v="1.96"/>
  </r>
  <r>
    <x v="6"/>
    <x v="0"/>
    <x v="15"/>
    <n v="170"/>
    <x v="16"/>
    <s v="Aris"/>
    <n v="1"/>
    <n v="8"/>
    <n v="4"/>
    <n v="1"/>
    <x v="23"/>
    <s v="vs Sarantos"/>
    <n v="152"/>
    <n v="0.51500000000000001"/>
    <n v="19"/>
    <n v="0.32800000000000001"/>
    <n v="0.71299999999999997"/>
    <n v="395"/>
    <n v="42"/>
    <n v="99"/>
    <n v="96"/>
    <n v="23"/>
    <n v="24"/>
    <n v="43"/>
    <n v="2.23"/>
  </r>
  <r>
    <x v="6"/>
    <x v="0"/>
    <x v="16"/>
    <n v="171"/>
    <x v="27"/>
    <s v="Dimitris"/>
    <n v="1"/>
    <n v="8"/>
    <n v="5"/>
    <n v="0"/>
    <x v="21"/>
    <s v="vs Tzokos"/>
    <n v="194"/>
    <n v="0.47"/>
    <n v="57"/>
    <n v="0.36099999999999999"/>
    <n v="0.77600000000000002"/>
    <n v="521"/>
    <n v="54"/>
    <n v="144"/>
    <n v="100"/>
    <n v="33"/>
    <n v="23"/>
    <n v="52"/>
    <n v="1.92"/>
  </r>
  <r>
    <x v="6"/>
    <x v="0"/>
    <x v="16"/>
    <n v="171"/>
    <x v="21"/>
    <s v="Tzokos"/>
    <n v="0"/>
    <n v="5"/>
    <n v="8"/>
    <n v="0"/>
    <x v="27"/>
    <s v="vs Dimitris"/>
    <n v="145"/>
    <n v="0.498"/>
    <n v="41"/>
    <n v="0.38700000000000001"/>
    <n v="0.83099999999999996"/>
    <n v="395"/>
    <n v="50"/>
    <n v="110"/>
    <n v="59"/>
    <n v="26"/>
    <n v="31"/>
    <n v="38"/>
    <n v="1.55"/>
  </r>
  <r>
    <x v="6"/>
    <x v="0"/>
    <x v="16"/>
    <n v="172"/>
    <x v="25"/>
    <s v="Arvanitis"/>
    <n v="0"/>
    <n v="3"/>
    <n v="10"/>
    <n v="0"/>
    <x v="14"/>
    <s v="vs Vasilis"/>
    <n v="164"/>
    <n v="0.47799999999999998"/>
    <n v="37"/>
    <n v="0.33"/>
    <n v="0.63700000000000001"/>
    <n v="423"/>
    <n v="72"/>
    <n v="144"/>
    <n v="65"/>
    <n v="34"/>
    <n v="40"/>
    <n v="63"/>
    <n v="1.03"/>
  </r>
  <r>
    <x v="6"/>
    <x v="0"/>
    <x v="16"/>
    <n v="172"/>
    <x v="15"/>
    <s v="Vasilis"/>
    <n v="1"/>
    <n v="10"/>
    <n v="3"/>
    <n v="0"/>
    <x v="25"/>
    <s v="vs Arvanitis"/>
    <n v="278"/>
    <n v="0.504"/>
    <n v="79"/>
    <n v="0.42499999999999999"/>
    <n v="0.81399999999999995"/>
    <n v="766"/>
    <n v="46"/>
    <n v="190"/>
    <n v="177"/>
    <n v="52"/>
    <n v="36"/>
    <n v="91"/>
    <n v="1.95"/>
  </r>
  <r>
    <x v="6"/>
    <x v="0"/>
    <x v="16"/>
    <n v="173"/>
    <x v="12"/>
    <s v="Stavros"/>
    <n v="0"/>
    <n v="5"/>
    <n v="8"/>
    <n v="0"/>
    <x v="3"/>
    <s v="vs Fountos"/>
    <n v="208"/>
    <n v="0.5"/>
    <n v="72"/>
    <n v="0.39100000000000001"/>
    <n v="0.74099999999999999"/>
    <n v="551"/>
    <n v="52"/>
    <n v="146"/>
    <n v="105"/>
    <n v="37"/>
    <n v="28"/>
    <n v="52"/>
    <n v="2.02"/>
  </r>
  <r>
    <x v="6"/>
    <x v="0"/>
    <x v="16"/>
    <n v="173"/>
    <x v="2"/>
    <s v="Fountos"/>
    <n v="1"/>
    <n v="8"/>
    <n v="5"/>
    <n v="0"/>
    <x v="13"/>
    <s v="vs Stavros"/>
    <n v="234"/>
    <n v="0.45400000000000001"/>
    <n v="87"/>
    <n v="0.39900000000000002"/>
    <n v="0.66700000000000004"/>
    <n v="601"/>
    <n v="27"/>
    <n v="180"/>
    <n v="194"/>
    <n v="42"/>
    <n v="12"/>
    <n v="84"/>
    <n v="2.31"/>
  </r>
  <r>
    <x v="6"/>
    <x v="0"/>
    <x v="16"/>
    <n v="174"/>
    <x v="20"/>
    <s v="Guru"/>
    <n v="0"/>
    <n v="3"/>
    <n v="10"/>
    <n v="0"/>
    <x v="10"/>
    <s v="vs pi/Sotiris"/>
    <n v="222"/>
    <n v="0.45400000000000001"/>
    <n v="70"/>
    <n v="0.36499999999999999"/>
    <n v="0.76600000000000001"/>
    <n v="586"/>
    <n v="64"/>
    <n v="168"/>
    <n v="130"/>
    <n v="38"/>
    <n v="27"/>
    <n v="63"/>
    <n v="2.06"/>
  </r>
  <r>
    <x v="6"/>
    <x v="0"/>
    <x v="16"/>
    <n v="174"/>
    <x v="11"/>
    <s v="pi/Sotiris"/>
    <n v="1"/>
    <n v="10"/>
    <n v="3"/>
    <n v="0"/>
    <x v="20"/>
    <s v="vs Guru"/>
    <n v="333"/>
    <n v="0.53100000000000003"/>
    <n v="96"/>
    <n v="0.374"/>
    <n v="0.77800000000000002"/>
    <n v="892"/>
    <n v="49"/>
    <n v="237"/>
    <n v="235"/>
    <n v="45"/>
    <n v="20"/>
    <n v="94"/>
    <n v="2.5"/>
  </r>
  <r>
    <x v="6"/>
    <x v="0"/>
    <x v="16"/>
    <n v="175"/>
    <x v="26"/>
    <s v="Lafa"/>
    <n v="1"/>
    <n v="11"/>
    <n v="2"/>
    <n v="0"/>
    <x v="28"/>
    <s v="vs Panos"/>
    <n v="241"/>
    <n v="0.45600000000000002"/>
    <n v="75"/>
    <n v="0.35699999999999998"/>
    <n v="0.79100000000000004"/>
    <n v="682"/>
    <n v="52"/>
    <n v="208"/>
    <n v="188"/>
    <n v="37"/>
    <n v="38"/>
    <n v="91"/>
    <n v="2.0699999999999998"/>
  </r>
  <r>
    <x v="6"/>
    <x v="0"/>
    <x v="16"/>
    <n v="175"/>
    <x v="28"/>
    <s v="Panos"/>
    <n v="0"/>
    <n v="2"/>
    <n v="11"/>
    <n v="0"/>
    <x v="26"/>
    <s v="vs Lafa"/>
    <n v="218"/>
    <n v="0.44900000000000001"/>
    <n v="74"/>
    <n v="0.376"/>
    <n v="0.76"/>
    <n v="583"/>
    <n v="43"/>
    <n v="157"/>
    <n v="146"/>
    <n v="26"/>
    <n v="22"/>
    <n v="74"/>
    <n v="1.97"/>
  </r>
  <r>
    <x v="6"/>
    <x v="0"/>
    <x v="16"/>
    <n v="176"/>
    <x v="24"/>
    <s v="Tolios"/>
    <n v="0"/>
    <n v="5"/>
    <n v="8"/>
    <n v="0"/>
    <x v="7"/>
    <s v="vs Tassos"/>
    <n v="221"/>
    <n v="0.501"/>
    <n v="53"/>
    <n v="0.40799999999999997"/>
    <n v="0.76100000000000001"/>
    <n v="578"/>
    <n v="57"/>
    <n v="164"/>
    <n v="138"/>
    <n v="48"/>
    <n v="20"/>
    <n v="61"/>
    <n v="2.2599999999999998"/>
  </r>
  <r>
    <x v="6"/>
    <x v="0"/>
    <x v="16"/>
    <n v="176"/>
    <x v="6"/>
    <s v="Tassos"/>
    <n v="1"/>
    <n v="8"/>
    <n v="5"/>
    <n v="0"/>
    <x v="24"/>
    <s v="vs Tolios"/>
    <n v="300"/>
    <n v="0.50800000000000001"/>
    <n v="82"/>
    <n v="0.38900000000000001"/>
    <n v="0.83099999999999996"/>
    <n v="785"/>
    <n v="54"/>
    <n v="211"/>
    <n v="181"/>
    <n v="39"/>
    <n v="25"/>
    <n v="84"/>
    <n v="2.15"/>
  </r>
  <r>
    <x v="6"/>
    <x v="0"/>
    <x v="16"/>
    <n v="177"/>
    <x v="17"/>
    <s v="Spiridaus/Oladipas"/>
    <n v="1"/>
    <n v="8"/>
    <n v="5"/>
    <n v="0"/>
    <x v="8"/>
    <s v="vs Ziogas/Christof"/>
    <n v="237"/>
    <n v="0.46700000000000003"/>
    <n v="61"/>
    <n v="0.33300000000000002"/>
    <n v="0.84799999999999998"/>
    <n v="624"/>
    <n v="51"/>
    <n v="189"/>
    <n v="167"/>
    <n v="51"/>
    <n v="47"/>
    <n v="91"/>
    <n v="1.84"/>
  </r>
  <r>
    <x v="6"/>
    <x v="0"/>
    <x v="16"/>
    <n v="177"/>
    <x v="9"/>
    <s v="Ziogas/Christof"/>
    <n v="0"/>
    <n v="5"/>
    <n v="8"/>
    <n v="0"/>
    <x v="16"/>
    <s v="vs Spiridaus/Oladipas"/>
    <n v="211"/>
    <n v="0.48499999999999999"/>
    <n v="57"/>
    <n v="0.35"/>
    <n v="0.71799999999999997"/>
    <n v="535"/>
    <n v="52"/>
    <n v="187"/>
    <n v="105"/>
    <n v="39"/>
    <n v="22"/>
    <n v="53"/>
    <n v="1.98"/>
  </r>
  <r>
    <x v="6"/>
    <x v="0"/>
    <x v="16"/>
    <n v="178"/>
    <x v="3"/>
    <s v="Sakellariou"/>
    <n v="1"/>
    <n v="10"/>
    <n v="3"/>
    <n v="0"/>
    <x v="6"/>
    <s v="vs Johnny"/>
    <n v="250"/>
    <n v="0.498"/>
    <n v="79"/>
    <n v="0.39500000000000002"/>
    <n v="0.85299999999999998"/>
    <n v="718"/>
    <n v="56"/>
    <n v="166"/>
    <n v="192"/>
    <n v="36"/>
    <n v="23"/>
    <n v="69"/>
    <n v="2.78"/>
  </r>
  <r>
    <x v="6"/>
    <x v="0"/>
    <x v="16"/>
    <n v="178"/>
    <x v="7"/>
    <s v="Johnny"/>
    <n v="0"/>
    <n v="3"/>
    <n v="10"/>
    <n v="0"/>
    <x v="2"/>
    <s v="vs Sakellariou"/>
    <n v="197"/>
    <n v="0.42499999999999999"/>
    <n v="54"/>
    <n v="0.307"/>
    <n v="0.82"/>
    <n v="548"/>
    <n v="54"/>
    <n v="173"/>
    <n v="117"/>
    <n v="35"/>
    <n v="25"/>
    <n v="66"/>
    <n v="1.77"/>
  </r>
  <r>
    <x v="6"/>
    <x v="0"/>
    <x v="16"/>
    <n v="179"/>
    <x v="16"/>
    <s v="Aris"/>
    <n v="0"/>
    <n v="6"/>
    <n v="6"/>
    <n v="1"/>
    <x v="0"/>
    <s v="vs Fanis"/>
    <n v="225"/>
    <n v="0.48799999999999999"/>
    <n v="30"/>
    <n v="0.32600000000000001"/>
    <n v="0.745"/>
    <n v="600"/>
    <n v="51"/>
    <n v="132"/>
    <n v="157"/>
    <n v="31"/>
    <n v="22"/>
    <n v="73"/>
    <n v="2.15"/>
  </r>
  <r>
    <x v="6"/>
    <x v="0"/>
    <x v="16"/>
    <n v="179"/>
    <x v="1"/>
    <s v="Fanis"/>
    <n v="0"/>
    <n v="6"/>
    <n v="6"/>
    <n v="1"/>
    <x v="17"/>
    <s v="vs Aris"/>
    <n v="188"/>
    <n v="0.44400000000000001"/>
    <n v="50"/>
    <n v="0.318"/>
    <n v="0.81299999999999994"/>
    <n v="513"/>
    <n v="64"/>
    <n v="176"/>
    <n v="167"/>
    <n v="31"/>
    <n v="26"/>
    <n v="80"/>
    <n v="2.09"/>
  </r>
  <r>
    <x v="6"/>
    <x v="0"/>
    <x v="16"/>
    <n v="180"/>
    <x v="23"/>
    <s v="Sarantos"/>
    <n v="0"/>
    <n v="4"/>
    <n v="9"/>
    <n v="0"/>
    <x v="19"/>
    <s v="vs Kotakis"/>
    <n v="165"/>
    <n v="0.49299999999999999"/>
    <n v="43"/>
    <n v="0.35"/>
    <n v="0.73499999999999999"/>
    <n v="423"/>
    <n v="46"/>
    <n v="120"/>
    <n v="91"/>
    <n v="32"/>
    <n v="17"/>
    <n v="38"/>
    <n v="2.39"/>
  </r>
  <r>
    <x v="6"/>
    <x v="0"/>
    <x v="16"/>
    <n v="180"/>
    <x v="18"/>
    <s v="Kotakis"/>
    <n v="1"/>
    <n v="9"/>
    <n v="4"/>
    <n v="0"/>
    <x v="23"/>
    <s v="vs Sarantos"/>
    <n v="251"/>
    <n v="0.46600000000000003"/>
    <n v="50"/>
    <n v="0.29099999999999998"/>
    <n v="0.83"/>
    <n v="630"/>
    <n v="79"/>
    <n v="212"/>
    <n v="144"/>
    <n v="42"/>
    <n v="34"/>
    <n v="68"/>
    <n v="2.12"/>
  </r>
  <r>
    <x v="6"/>
    <x v="0"/>
    <x v="17"/>
    <n v="181"/>
    <x v="21"/>
    <s v="Tzokos"/>
    <n v="0"/>
    <n v="5"/>
    <n v="8"/>
    <n v="0"/>
    <x v="25"/>
    <s v="vs Arvanitis"/>
    <n v="136"/>
    <n v="0.52300000000000002"/>
    <n v="25"/>
    <n v="0.28699999999999998"/>
    <n v="0.64"/>
    <n v="345"/>
    <n v="37"/>
    <n v="114"/>
    <n v="61"/>
    <n v="32"/>
    <n v="32"/>
    <n v="36"/>
    <n v="1.69"/>
  </r>
  <r>
    <x v="6"/>
    <x v="0"/>
    <x v="17"/>
    <n v="181"/>
    <x v="25"/>
    <s v="Arvanitis"/>
    <n v="1"/>
    <n v="8"/>
    <n v="5"/>
    <n v="0"/>
    <x v="21"/>
    <s v="vs Tzokos"/>
    <n v="145"/>
    <n v="0.47399999999999998"/>
    <n v="45"/>
    <n v="0.38100000000000001"/>
    <n v="0.67700000000000005"/>
    <n v="379"/>
    <n v="52"/>
    <n v="117"/>
    <n v="73"/>
    <n v="31"/>
    <n v="22"/>
    <n v="50"/>
    <n v="1.46"/>
  </r>
  <r>
    <x v="6"/>
    <x v="0"/>
    <x v="17"/>
    <n v="182"/>
    <x v="27"/>
    <s v="Dimitris"/>
    <n v="0"/>
    <n v="2"/>
    <n v="10"/>
    <n v="1"/>
    <x v="13"/>
    <s v="vs Stavros"/>
    <n v="142"/>
    <n v="0.441"/>
    <n v="49"/>
    <n v="0.35"/>
    <n v="0.80200000000000005"/>
    <n v="410"/>
    <n v="37"/>
    <n v="111"/>
    <n v="90"/>
    <n v="28"/>
    <n v="13"/>
    <n v="50"/>
    <n v="1.8"/>
  </r>
  <r>
    <x v="6"/>
    <x v="0"/>
    <x v="17"/>
    <n v="182"/>
    <x v="12"/>
    <s v="Stavros"/>
    <n v="1"/>
    <n v="10"/>
    <n v="2"/>
    <n v="1"/>
    <x v="27"/>
    <s v="vs Dimitris"/>
    <n v="182"/>
    <n v="0.495"/>
    <n v="70"/>
    <n v="0.44600000000000001"/>
    <n v="0.79700000000000004"/>
    <n v="497"/>
    <n v="37"/>
    <n v="152"/>
    <n v="122"/>
    <n v="27"/>
    <n v="30"/>
    <n v="48"/>
    <n v="2.54"/>
  </r>
  <r>
    <x v="6"/>
    <x v="0"/>
    <x v="17"/>
    <n v="183"/>
    <x v="15"/>
    <s v="Vasilis"/>
    <n v="1"/>
    <n v="8"/>
    <n v="5"/>
    <n v="0"/>
    <x v="20"/>
    <s v="vs Guru"/>
    <n v="199"/>
    <n v="0.47399999999999998"/>
    <n v="35"/>
    <n v="0.29899999999999999"/>
    <n v="0.79200000000000004"/>
    <n v="532"/>
    <n v="56"/>
    <n v="173"/>
    <n v="145"/>
    <n v="28"/>
    <n v="33"/>
    <n v="60"/>
    <n v="2.42"/>
  </r>
  <r>
    <x v="6"/>
    <x v="0"/>
    <x v="17"/>
    <n v="183"/>
    <x v="20"/>
    <s v="Guru"/>
    <n v="0"/>
    <n v="5"/>
    <n v="8"/>
    <n v="0"/>
    <x v="14"/>
    <s v="vs Vasilis"/>
    <n v="170"/>
    <n v="0.48399999999999999"/>
    <n v="58"/>
    <n v="0.36199999999999999"/>
    <n v="0.84099999999999997"/>
    <n v="456"/>
    <n v="34"/>
    <n v="125"/>
    <n v="97"/>
    <n v="25"/>
    <n v="17"/>
    <n v="48"/>
    <n v="2.02"/>
  </r>
  <r>
    <x v="6"/>
    <x v="0"/>
    <x v="17"/>
    <n v="184"/>
    <x v="2"/>
    <s v="Fountos"/>
    <n v="0"/>
    <n v="6"/>
    <n v="7"/>
    <n v="0"/>
    <x v="26"/>
    <s v="vs Lafa"/>
    <n v="205"/>
    <n v="0.51600000000000001"/>
    <n v="70"/>
    <n v="0.44600000000000001"/>
    <n v="0.77100000000000002"/>
    <n v="534"/>
    <n v="29"/>
    <n v="142"/>
    <n v="162"/>
    <n v="17"/>
    <n v="21"/>
    <n v="72"/>
    <n v="2.25"/>
  </r>
  <r>
    <x v="6"/>
    <x v="0"/>
    <x v="17"/>
    <n v="184"/>
    <x v="26"/>
    <s v="Lafa"/>
    <n v="1"/>
    <n v="7"/>
    <n v="6"/>
    <n v="0"/>
    <x v="3"/>
    <s v="vs Fountos"/>
    <n v="193"/>
    <n v="0.48499999999999999"/>
    <n v="53"/>
    <n v="0.35599999999999998"/>
    <n v="0.79300000000000004"/>
    <n v="535"/>
    <n v="36"/>
    <n v="145"/>
    <n v="154"/>
    <n v="27"/>
    <n v="8"/>
    <n v="58"/>
    <n v="2.66"/>
  </r>
  <r>
    <x v="6"/>
    <x v="0"/>
    <x v="17"/>
    <n v="185"/>
    <x v="11"/>
    <s v="pi/Sotiris"/>
    <n v="1"/>
    <n v="9"/>
    <n v="4"/>
    <n v="0"/>
    <x v="24"/>
    <s v="vs Tolios"/>
    <n v="183"/>
    <n v="0.50800000000000001"/>
    <n v="52"/>
    <n v="0.36599999999999999"/>
    <n v="0.873"/>
    <n v="487"/>
    <n v="37"/>
    <n v="154"/>
    <n v="119"/>
    <n v="22"/>
    <n v="14"/>
    <n v="50"/>
    <n v="2.38"/>
  </r>
  <r>
    <x v="6"/>
    <x v="0"/>
    <x v="17"/>
    <n v="185"/>
    <x v="24"/>
    <s v="Tolios"/>
    <n v="0"/>
    <n v="4"/>
    <n v="9"/>
    <n v="0"/>
    <x v="10"/>
    <s v="vs pi/Sotiris"/>
    <n v="107"/>
    <n v="0.56899999999999995"/>
    <n v="22"/>
    <n v="0.44"/>
    <n v="0.91900000000000004"/>
    <n v="270"/>
    <n v="28"/>
    <n v="66"/>
    <n v="34"/>
    <n v="17"/>
    <n v="13"/>
    <n v="24"/>
    <n v="1.42"/>
  </r>
  <r>
    <x v="6"/>
    <x v="0"/>
    <x v="17"/>
    <n v="186"/>
    <x v="28"/>
    <s v="Panos"/>
    <n v="0"/>
    <n v="1"/>
    <n v="12"/>
    <n v="0"/>
    <x v="16"/>
    <s v="vs Spiridaus/Oladipas"/>
    <n v="150"/>
    <n v="0.45700000000000002"/>
    <n v="53"/>
    <n v="0.36799999999999999"/>
    <n v="0.75600000000000001"/>
    <n v="384"/>
    <n v="37"/>
    <n v="99"/>
    <n v="73"/>
    <n v="27"/>
    <n v="14"/>
    <n v="40"/>
    <n v="1.82"/>
  </r>
  <r>
    <x v="6"/>
    <x v="0"/>
    <x v="17"/>
    <n v="186"/>
    <x v="17"/>
    <s v="Spiridaus/Oladipas"/>
    <n v="1"/>
    <n v="12"/>
    <n v="1"/>
    <n v="0"/>
    <x v="28"/>
    <s v="vs Panos"/>
    <n v="204"/>
    <n v="0.48799999999999999"/>
    <n v="54"/>
    <n v="0.41499999999999998"/>
    <n v="0.78900000000000003"/>
    <n v="533"/>
    <n v="52"/>
    <n v="149"/>
    <n v="128"/>
    <n v="29"/>
    <n v="32"/>
    <n v="64"/>
    <n v="2"/>
  </r>
  <r>
    <x v="6"/>
    <x v="0"/>
    <x v="17"/>
    <n v="187"/>
    <x v="6"/>
    <s v="Tassos"/>
    <n v="0"/>
    <n v="6"/>
    <n v="7"/>
    <n v="0"/>
    <x v="2"/>
    <s v="vs Sakellariou"/>
    <n v="216"/>
    <n v="0.45800000000000002"/>
    <n v="71"/>
    <n v="0.39400000000000002"/>
    <n v="0.79800000000000004"/>
    <n v="578"/>
    <n v="44"/>
    <n v="139"/>
    <n v="128"/>
    <n v="31"/>
    <n v="12"/>
    <n v="65"/>
    <n v="1.97"/>
  </r>
  <r>
    <x v="6"/>
    <x v="0"/>
    <x v="17"/>
    <n v="187"/>
    <x v="3"/>
    <s v="Sakellariou"/>
    <n v="1"/>
    <n v="7"/>
    <n v="6"/>
    <n v="0"/>
    <x v="7"/>
    <s v="vs Tassos"/>
    <n v="198"/>
    <n v="0.49299999999999999"/>
    <n v="64"/>
    <n v="0.438"/>
    <n v="0.81100000000000005"/>
    <n v="563"/>
    <n v="41"/>
    <n v="142"/>
    <n v="144"/>
    <n v="24"/>
    <n v="27"/>
    <n v="69"/>
    <n v="2.09"/>
  </r>
  <r>
    <x v="6"/>
    <x v="0"/>
    <x v="17"/>
    <n v="188"/>
    <x v="9"/>
    <s v="Ziogas/Christof"/>
    <n v="1"/>
    <n v="10"/>
    <n v="3"/>
    <n v="0"/>
    <x v="17"/>
    <s v="vs Aris"/>
    <n v="184"/>
    <n v="0.44"/>
    <n v="57"/>
    <n v="0.34799999999999998"/>
    <n v="0.74299999999999999"/>
    <n v="506"/>
    <n v="60"/>
    <n v="177"/>
    <n v="108"/>
    <n v="54"/>
    <n v="20"/>
    <n v="63"/>
    <n v="1.71"/>
  </r>
  <r>
    <x v="6"/>
    <x v="0"/>
    <x v="17"/>
    <n v="188"/>
    <x v="16"/>
    <s v="Aris"/>
    <n v="0"/>
    <n v="3"/>
    <n v="10"/>
    <n v="0"/>
    <x v="8"/>
    <s v="vs Ziogas/Christof"/>
    <n v="156"/>
    <n v="0.48099999999999998"/>
    <n v="18"/>
    <n v="0.28999999999999998"/>
    <n v="0.75700000000000001"/>
    <n v="411"/>
    <n v="41"/>
    <n v="106"/>
    <n v="73"/>
    <n v="23"/>
    <n v="13"/>
    <n v="50"/>
    <n v="1.46"/>
  </r>
  <r>
    <x v="6"/>
    <x v="0"/>
    <x v="17"/>
    <n v="189"/>
    <x v="7"/>
    <s v="Johnny"/>
    <n v="0"/>
    <n v="6"/>
    <n v="6"/>
    <n v="1"/>
    <x v="23"/>
    <s v="vs Sarantos"/>
    <n v="151"/>
    <n v="0.45200000000000001"/>
    <n v="33"/>
    <n v="0.28000000000000003"/>
    <n v="0.90300000000000002"/>
    <n v="437"/>
    <n v="30"/>
    <n v="126"/>
    <n v="79"/>
    <n v="22"/>
    <n v="23"/>
    <n v="44"/>
    <n v="1.8"/>
  </r>
  <r>
    <x v="6"/>
    <x v="0"/>
    <x v="17"/>
    <n v="189"/>
    <x v="23"/>
    <s v="Sarantos"/>
    <n v="0"/>
    <n v="6"/>
    <n v="6"/>
    <n v="1"/>
    <x v="6"/>
    <s v="vs Johnny"/>
    <n v="113"/>
    <n v="0.47299999999999998"/>
    <n v="39"/>
    <n v="0.39800000000000002"/>
    <n v="0.71"/>
    <n v="287"/>
    <n v="30"/>
    <n v="108"/>
    <n v="67"/>
    <n v="27"/>
    <n v="17"/>
    <n v="32"/>
    <n v="2.09"/>
  </r>
  <r>
    <x v="6"/>
    <x v="0"/>
    <x v="17"/>
    <n v="190"/>
    <x v="1"/>
    <s v="Fanis"/>
    <n v="0"/>
    <n v="2"/>
    <n v="11"/>
    <n v="0"/>
    <x v="19"/>
    <s v="vs Kotakis"/>
    <n v="117"/>
    <n v="0.438"/>
    <n v="45"/>
    <n v="0.36299999999999999"/>
    <n v="0.89800000000000002"/>
    <n v="323"/>
    <n v="29"/>
    <n v="97"/>
    <n v="74"/>
    <n v="24"/>
    <n v="17"/>
    <n v="48"/>
    <n v="1.54"/>
  </r>
  <r>
    <x v="6"/>
    <x v="0"/>
    <x v="17"/>
    <n v="190"/>
    <x v="18"/>
    <s v="Kotakis"/>
    <n v="1"/>
    <n v="11"/>
    <n v="2"/>
    <n v="0"/>
    <x v="0"/>
    <s v="vs Fanis"/>
    <n v="206"/>
    <n v="0.47099999999999997"/>
    <n v="54"/>
    <n v="0.34399999999999997"/>
    <n v="0.72"/>
    <n v="533"/>
    <n v="63"/>
    <n v="147"/>
    <n v="114"/>
    <n v="27"/>
    <n v="26"/>
    <n v="40"/>
    <n v="2.85"/>
  </r>
  <r>
    <x v="6"/>
    <x v="1"/>
    <x v="23"/>
    <n v="191"/>
    <x v="1"/>
    <s v="Fanis"/>
    <n v="1"/>
    <n v="7"/>
    <n v="6"/>
    <n v="0"/>
    <x v="20"/>
    <s v="vs Guru"/>
    <n v="138"/>
    <n v="0.505"/>
    <n v="42"/>
    <n v="0.36799999999999999"/>
    <n v="0.78100000000000003"/>
    <n v="368"/>
    <n v="39"/>
    <n v="128"/>
    <n v="105"/>
    <n v="25"/>
    <n v="36"/>
    <n v="32"/>
    <n v="3.28"/>
  </r>
  <r>
    <x v="6"/>
    <x v="1"/>
    <x v="23"/>
    <n v="191"/>
    <x v="20"/>
    <s v="Guru"/>
    <n v="0"/>
    <n v="6"/>
    <n v="7"/>
    <n v="0"/>
    <x v="0"/>
    <s v="vs Fanis"/>
    <n v="165"/>
    <n v="0.46600000000000003"/>
    <n v="61"/>
    <n v="0.39600000000000002"/>
    <n v="0.79"/>
    <n v="440"/>
    <n v="34"/>
    <n v="106"/>
    <n v="89"/>
    <n v="26"/>
    <n v="15"/>
    <n v="47"/>
    <n v="1.89"/>
  </r>
  <r>
    <x v="6"/>
    <x v="1"/>
    <x v="23"/>
    <n v="192"/>
    <x v="9"/>
    <s v="Ziogas/Christof"/>
    <n v="0"/>
    <n v="4"/>
    <n v="9"/>
    <n v="0"/>
    <x v="26"/>
    <s v="vs Lafa"/>
    <n v="144"/>
    <n v="0.503"/>
    <n v="48"/>
    <n v="0.39700000000000002"/>
    <n v="0.70799999999999996"/>
    <n v="382"/>
    <n v="33"/>
    <n v="132"/>
    <n v="81"/>
    <n v="29"/>
    <n v="24"/>
    <n v="50"/>
    <n v="1.62"/>
  </r>
  <r>
    <x v="6"/>
    <x v="1"/>
    <x v="23"/>
    <n v="192"/>
    <x v="26"/>
    <s v="Lafa"/>
    <n v="1"/>
    <n v="9"/>
    <n v="4"/>
    <n v="0"/>
    <x v="8"/>
    <s v="vs Ziogas/Christof"/>
    <n v="248"/>
    <n v="0.48399999999999999"/>
    <n v="81"/>
    <n v="0.38900000000000001"/>
    <n v="0.77800000000000002"/>
    <n v="668"/>
    <n v="37"/>
    <n v="165"/>
    <n v="148"/>
    <n v="37"/>
    <n v="15"/>
    <n v="74"/>
    <n v="2"/>
  </r>
  <r>
    <x v="6"/>
    <x v="1"/>
    <x v="23"/>
    <n v="193"/>
    <x v="2"/>
    <s v="Fountos"/>
    <n v="1"/>
    <n v="8"/>
    <n v="5"/>
    <n v="0"/>
    <x v="10"/>
    <s v="vs pi/Sotiris"/>
    <n v="215"/>
    <n v="0.45500000000000002"/>
    <n v="71"/>
    <n v="0.38400000000000001"/>
    <n v="0.78200000000000003"/>
    <n v="594"/>
    <n v="29"/>
    <n v="135"/>
    <n v="206"/>
    <n v="31"/>
    <n v="15"/>
    <n v="70"/>
    <n v="2.94"/>
  </r>
  <r>
    <x v="6"/>
    <x v="1"/>
    <x v="23"/>
    <n v="193"/>
    <x v="11"/>
    <s v="pi/Sotiris"/>
    <n v="0"/>
    <n v="5"/>
    <n v="8"/>
    <n v="0"/>
    <x v="3"/>
    <s v="vs Fountos"/>
    <n v="208"/>
    <n v="0.52100000000000002"/>
    <n v="58"/>
    <n v="0.4"/>
    <n v="0.78400000000000003"/>
    <n v="543"/>
    <n v="34"/>
    <n v="130"/>
    <n v="142"/>
    <n v="23"/>
    <n v="12"/>
    <n v="66"/>
    <n v="2.15"/>
  </r>
  <r>
    <x v="6"/>
    <x v="1"/>
    <x v="23"/>
    <n v="194"/>
    <x v="17"/>
    <s v="Spiridaus/Oladipas"/>
    <n v="0"/>
    <n v="6"/>
    <n v="7"/>
    <n v="0"/>
    <x v="13"/>
    <s v="vs Stavros"/>
    <n v="157"/>
    <n v="0.439"/>
    <n v="56"/>
    <n v="0.373"/>
    <n v="0.79500000000000004"/>
    <n v="436"/>
    <n v="40"/>
    <n v="125"/>
    <n v="126"/>
    <n v="24"/>
    <n v="18"/>
    <n v="66"/>
    <n v="1.91"/>
  </r>
  <r>
    <x v="6"/>
    <x v="1"/>
    <x v="23"/>
    <n v="194"/>
    <x v="12"/>
    <s v="Stavros"/>
    <n v="1"/>
    <n v="7"/>
    <n v="6"/>
    <n v="0"/>
    <x v="16"/>
    <s v="vs Spiridaus/Oladipas"/>
    <n v="161"/>
    <n v="0.47199999999999998"/>
    <n v="43"/>
    <n v="0.34100000000000003"/>
    <n v="0.77800000000000002"/>
    <n v="435"/>
    <n v="41"/>
    <n v="133"/>
    <n v="109"/>
    <n v="23"/>
    <n v="24"/>
    <n v="48"/>
    <n v="2.27"/>
  </r>
  <r>
    <x v="6"/>
    <x v="1"/>
    <x v="19"/>
    <n v="195"/>
    <x v="1"/>
    <s v="Fanis"/>
    <n v="0"/>
    <n v="4"/>
    <n v="9"/>
    <n v="0"/>
    <x v="19"/>
    <s v="vs Kotakis"/>
    <n v="147"/>
    <n v="0.47699999999999998"/>
    <n v="46"/>
    <n v="0.36199999999999999"/>
    <n v="0.81299999999999994"/>
    <n v="401"/>
    <n v="50"/>
    <n v="142"/>
    <n v="112"/>
    <n v="27"/>
    <n v="28"/>
    <n v="52"/>
    <n v="2.15"/>
  </r>
  <r>
    <x v="6"/>
    <x v="1"/>
    <x v="19"/>
    <n v="195"/>
    <x v="18"/>
    <s v="Kotakis"/>
    <n v="1"/>
    <n v="9"/>
    <n v="4"/>
    <n v="0"/>
    <x v="0"/>
    <s v="vs Fanis"/>
    <n v="206"/>
    <n v="0.49399999999999999"/>
    <n v="56"/>
    <n v="0.35899999999999999"/>
    <n v="0.85"/>
    <n v="559"/>
    <n v="42"/>
    <n v="166"/>
    <n v="134"/>
    <n v="31"/>
    <n v="20"/>
    <n v="57"/>
    <n v="2.35"/>
  </r>
  <r>
    <x v="6"/>
    <x v="1"/>
    <x v="19"/>
    <n v="196"/>
    <x v="26"/>
    <s v="Lafa"/>
    <n v="0"/>
    <n v="6"/>
    <n v="7"/>
    <n v="0"/>
    <x v="14"/>
    <s v="vs Vasilis"/>
    <n v="159"/>
    <n v="0.46899999999999997"/>
    <n v="60"/>
    <n v="0.4"/>
    <n v="0.878"/>
    <n v="450"/>
    <n v="20"/>
    <n v="112"/>
    <n v="104"/>
    <n v="12"/>
    <n v="9"/>
    <n v="41"/>
    <n v="2.54"/>
  </r>
  <r>
    <x v="6"/>
    <x v="1"/>
    <x v="19"/>
    <n v="196"/>
    <x v="15"/>
    <s v="Vasilis"/>
    <n v="1"/>
    <n v="7"/>
    <n v="6"/>
    <n v="0"/>
    <x v="26"/>
    <s v="vs Lafa"/>
    <n v="181"/>
    <n v="0.496"/>
    <n v="40"/>
    <n v="0.36699999999999999"/>
    <n v="0.72399999999999998"/>
    <n v="478"/>
    <n v="46"/>
    <n v="137"/>
    <n v="101"/>
    <n v="20"/>
    <n v="22"/>
    <n v="47"/>
    <n v="2.15"/>
  </r>
  <r>
    <x v="6"/>
    <x v="1"/>
    <x v="19"/>
    <n v="197"/>
    <x v="2"/>
    <s v="Fountos"/>
    <n v="0"/>
    <n v="6"/>
    <n v="7"/>
    <n v="0"/>
    <x v="2"/>
    <s v="vs Sakellariou"/>
    <n v="209"/>
    <n v="0.496"/>
    <n v="58"/>
    <n v="0.372"/>
    <n v="0.83699999999999997"/>
    <n v="563"/>
    <n v="25"/>
    <n v="116"/>
    <n v="155"/>
    <n v="43"/>
    <n v="14"/>
    <n v="77"/>
    <n v="2.0099999999999998"/>
  </r>
  <r>
    <x v="6"/>
    <x v="1"/>
    <x v="19"/>
    <n v="197"/>
    <x v="3"/>
    <s v="Sakellariou"/>
    <n v="1"/>
    <n v="7"/>
    <n v="6"/>
    <n v="0"/>
    <x v="3"/>
    <s v="vs Fountos"/>
    <n v="166"/>
    <n v="0.53400000000000003"/>
    <n v="59"/>
    <n v="0.46100000000000002"/>
    <n v="0.78700000000000003"/>
    <n v="461"/>
    <n v="29"/>
    <n v="109"/>
    <n v="108"/>
    <n v="29"/>
    <n v="20"/>
    <n v="47"/>
    <n v="2.2999999999999998"/>
  </r>
  <r>
    <x v="6"/>
    <x v="1"/>
    <x v="19"/>
    <n v="198"/>
    <x v="12"/>
    <s v="Stavros"/>
    <n v="0"/>
    <n v="4"/>
    <n v="9"/>
    <n v="0"/>
    <x v="7"/>
    <s v="vs Tassos"/>
    <n v="141"/>
    <n v="0.45"/>
    <n v="44"/>
    <n v="0.34100000000000003"/>
    <n v="0.84299999999999997"/>
    <n v="369"/>
    <n v="39"/>
    <n v="126"/>
    <n v="81"/>
    <n v="23"/>
    <n v="24"/>
    <n v="44"/>
    <n v="1.84"/>
  </r>
  <r>
    <x v="6"/>
    <x v="1"/>
    <x v="19"/>
    <n v="198"/>
    <x v="6"/>
    <s v="Tassos"/>
    <n v="1"/>
    <n v="9"/>
    <n v="4"/>
    <n v="0"/>
    <x v="13"/>
    <s v="vs Stavros"/>
    <n v="200"/>
    <n v="0.49099999999999999"/>
    <n v="62"/>
    <n v="0.41099999999999998"/>
    <n v="0.86099999999999999"/>
    <n v="530"/>
    <n v="23"/>
    <n v="119"/>
    <n v="159"/>
    <n v="34"/>
    <n v="16"/>
    <n v="52"/>
    <n v="3.06"/>
  </r>
  <r>
    <x v="6"/>
    <x v="1"/>
    <x v="20"/>
    <n v="199"/>
    <x v="15"/>
    <s v="Vasilis"/>
    <n v="0"/>
    <n v="3"/>
    <n v="10"/>
    <n v="0"/>
    <x v="19"/>
    <s v="vs Kotakis"/>
    <n v="187"/>
    <n v="0.47699999999999998"/>
    <n v="33"/>
    <n v="0.314"/>
    <n v="0.73299999999999998"/>
    <n v="470"/>
    <n v="54"/>
    <n v="156"/>
    <n v="104"/>
    <n v="44"/>
    <n v="38"/>
    <n v="62"/>
    <n v="1.68"/>
  </r>
  <r>
    <x v="6"/>
    <x v="1"/>
    <x v="20"/>
    <n v="199"/>
    <x v="18"/>
    <s v="Kotakis"/>
    <n v="1"/>
    <n v="10"/>
    <n v="3"/>
    <n v="0"/>
    <x v="14"/>
    <s v="vs Vasilis"/>
    <n v="202"/>
    <n v="0.49"/>
    <n v="70"/>
    <n v="0.41399999999999998"/>
    <n v="0.78400000000000003"/>
    <n v="543"/>
    <n v="42"/>
    <n v="166"/>
    <n v="126"/>
    <n v="32"/>
    <n v="22"/>
    <n v="61"/>
    <n v="2.0699999999999998"/>
  </r>
  <r>
    <x v="6"/>
    <x v="1"/>
    <x v="20"/>
    <n v="200"/>
    <x v="6"/>
    <s v="Tassos"/>
    <n v="0"/>
    <n v="6"/>
    <n v="6"/>
    <n v="1"/>
    <x v="2"/>
    <s v="vs Sakellariou"/>
    <n v="220"/>
    <n v="0.47299999999999998"/>
    <n v="42"/>
    <n v="0.29799999999999999"/>
    <n v="0.76500000000000001"/>
    <n v="573"/>
    <n v="44"/>
    <n v="136"/>
    <n v="142"/>
    <n v="42"/>
    <n v="17"/>
    <n v="62"/>
    <n v="2.29"/>
  </r>
  <r>
    <x v="6"/>
    <x v="1"/>
    <x v="20"/>
    <n v="200"/>
    <x v="3"/>
    <s v="Sakellariou"/>
    <n v="0"/>
    <n v="6"/>
    <n v="6"/>
    <n v="1"/>
    <x v="7"/>
    <s v="vs Tassos"/>
    <n v="157"/>
    <n v="0.48299999999999998"/>
    <n v="47"/>
    <n v="0.35899999999999999"/>
    <n v="0.85699999999999998"/>
    <n v="433"/>
    <n v="28"/>
    <n v="108"/>
    <n v="134"/>
    <n v="26"/>
    <n v="17"/>
    <n v="43"/>
    <n v="3.12"/>
  </r>
  <r>
    <x v="6"/>
    <x v="1"/>
    <x v="21"/>
    <n v="201"/>
    <x v="3"/>
    <s v="Sakellariou"/>
    <n v="0"/>
    <n v="3"/>
    <n v="10"/>
    <n v="0"/>
    <x v="19"/>
    <s v="vs Kotakis"/>
    <n v="202"/>
    <n v="0.49399999999999999"/>
    <n v="55"/>
    <n v="0.34799999999999998"/>
    <n v="0.77"/>
    <n v="556"/>
    <n v="38"/>
    <n v="165"/>
    <n v="152"/>
    <n v="40"/>
    <n v="27"/>
    <n v="67"/>
    <n v="2.27"/>
  </r>
  <r>
    <x v="6"/>
    <x v="1"/>
    <x v="21"/>
    <n v="201"/>
    <x v="18"/>
    <s v="Kotakis"/>
    <n v="1"/>
    <n v="10"/>
    <n v="3"/>
    <n v="0"/>
    <x v="2"/>
    <s v="vs Sakellariou"/>
    <n v="237"/>
    <n v="0.47099999999999997"/>
    <n v="78"/>
    <n v="0.38600000000000001"/>
    <n v="0.82399999999999995"/>
    <n v="627"/>
    <n v="46"/>
    <n v="204"/>
    <n v="136"/>
    <n v="42"/>
    <n v="38"/>
    <n v="64"/>
    <n v="2.13"/>
  </r>
  <r>
    <x v="7"/>
    <x v="0"/>
    <x v="0"/>
    <n v="1"/>
    <x v="26"/>
    <s v="Lafa"/>
    <n v="1"/>
    <n v="8"/>
    <n v="5"/>
    <n v="0"/>
    <x v="24"/>
    <s v="vs Tolios"/>
    <n v="159"/>
    <n v="0.42899999999999999"/>
    <n v="52"/>
    <n v="0.36899999999999999"/>
    <n v="0.74099999999999999"/>
    <n v="476"/>
    <n v="36"/>
    <n v="111"/>
    <n v="84"/>
    <n v="26"/>
    <n v="20"/>
    <n v="58"/>
    <n v="1.45"/>
  </r>
  <r>
    <x v="7"/>
    <x v="0"/>
    <x v="0"/>
    <n v="1"/>
    <x v="24"/>
    <s v="Tolios"/>
    <n v="0"/>
    <n v="5"/>
    <n v="8"/>
    <n v="0"/>
    <x v="26"/>
    <s v="vs Lafa"/>
    <n v="127"/>
    <n v="0.47899999999999998"/>
    <n v="27"/>
    <n v="0.32900000000000001"/>
    <n v="0.73199999999999998"/>
    <n v="341"/>
    <n v="38"/>
    <n v="96"/>
    <n v="77"/>
    <n v="23"/>
    <n v="24"/>
    <n v="49"/>
    <n v="1.57"/>
  </r>
  <r>
    <x v="7"/>
    <x v="0"/>
    <x v="0"/>
    <n v="2"/>
    <x v="9"/>
    <s v="Ziogas/Christof"/>
    <n v="1"/>
    <n v="9"/>
    <n v="3"/>
    <n v="1"/>
    <x v="23"/>
    <s v="vs Sarantos"/>
    <n v="121"/>
    <n v="0.48"/>
    <n v="34"/>
    <n v="0.34"/>
    <n v="0.79800000000000004"/>
    <n v="351"/>
    <n v="26"/>
    <n v="115"/>
    <n v="72"/>
    <n v="16"/>
    <n v="6"/>
    <n v="44"/>
    <n v="1.64"/>
  </r>
  <r>
    <x v="7"/>
    <x v="0"/>
    <x v="0"/>
    <n v="2"/>
    <x v="23"/>
    <s v="Sarantos"/>
    <n v="0"/>
    <n v="3"/>
    <n v="9"/>
    <n v="1"/>
    <x v="8"/>
    <s v="vs Ziogas/Christof"/>
    <n v="95"/>
    <n v="0.47299999999999998"/>
    <n v="32"/>
    <n v="0.314"/>
    <n v="0.81699999999999995"/>
    <n v="271"/>
    <n v="26"/>
    <n v="85"/>
    <n v="55"/>
    <n v="14"/>
    <n v="22"/>
    <n v="37"/>
    <n v="1.49"/>
  </r>
  <r>
    <x v="7"/>
    <x v="0"/>
    <x v="0"/>
    <n v="3"/>
    <x v="21"/>
    <s v="Tzokos"/>
    <n v="1"/>
    <n v="8"/>
    <n v="5"/>
    <n v="0"/>
    <x v="20"/>
    <s v="vs Guru"/>
    <n v="117"/>
    <n v="0.49399999999999999"/>
    <n v="24"/>
    <n v="0.34799999999999998"/>
    <n v="0.83"/>
    <n v="341"/>
    <n v="35"/>
    <n v="97"/>
    <n v="78"/>
    <n v="31"/>
    <n v="16"/>
    <n v="39"/>
    <n v="2"/>
  </r>
  <r>
    <x v="7"/>
    <x v="0"/>
    <x v="0"/>
    <n v="3"/>
    <x v="20"/>
    <s v="Guru"/>
    <n v="0"/>
    <n v="5"/>
    <n v="8"/>
    <n v="0"/>
    <x v="21"/>
    <s v="vs Tzokos"/>
    <n v="120"/>
    <n v="0.44"/>
    <n v="53"/>
    <n v="0.36299999999999999"/>
    <n v="0.80400000000000005"/>
    <n v="338"/>
    <n v="25"/>
    <n v="81"/>
    <n v="68"/>
    <n v="34"/>
    <n v="13"/>
    <n v="37"/>
    <n v="1.84"/>
  </r>
  <r>
    <x v="7"/>
    <x v="0"/>
    <x v="0"/>
    <n v="4"/>
    <x v="18"/>
    <s v="Kotakis"/>
    <n v="0"/>
    <n v="4"/>
    <n v="9"/>
    <n v="0"/>
    <x v="0"/>
    <s v="vs Fanis"/>
    <n v="115"/>
    <n v="0.46400000000000002"/>
    <n v="41"/>
    <n v="0.36299999999999999"/>
    <n v="0.77400000000000002"/>
    <n v="336"/>
    <n v="40"/>
    <n v="138"/>
    <n v="82"/>
    <n v="25"/>
    <n v="19"/>
    <n v="42"/>
    <n v="1.95"/>
  </r>
  <r>
    <x v="7"/>
    <x v="0"/>
    <x v="0"/>
    <n v="4"/>
    <x v="1"/>
    <s v="Fanis"/>
    <n v="1"/>
    <n v="9"/>
    <n v="4"/>
    <n v="0"/>
    <x v="19"/>
    <s v="vs Kotakis"/>
    <n v="167"/>
    <n v="0.42899999999999999"/>
    <n v="44"/>
    <n v="0.30299999999999999"/>
    <n v="0.78100000000000003"/>
    <n v="496"/>
    <n v="52"/>
    <n v="141"/>
    <n v="112"/>
    <n v="36"/>
    <n v="24"/>
    <n v="85"/>
    <n v="1.32"/>
  </r>
  <r>
    <x v="7"/>
    <x v="0"/>
    <x v="0"/>
    <n v="5"/>
    <x v="25"/>
    <s v="Arvanitis"/>
    <n v="0"/>
    <n v="5"/>
    <n v="8"/>
    <n v="0"/>
    <x v="28"/>
    <s v="vs Panos"/>
    <n v="90"/>
    <n v="0.42699999999999999"/>
    <n v="20"/>
    <n v="0.23499999999999999"/>
    <n v="0.73199999999999998"/>
    <n v="241"/>
    <n v="47"/>
    <n v="81"/>
    <n v="53"/>
    <n v="21"/>
    <n v="22"/>
    <n v="43"/>
    <n v="1.23"/>
  </r>
  <r>
    <x v="7"/>
    <x v="0"/>
    <x v="0"/>
    <n v="5"/>
    <x v="28"/>
    <s v="Panos"/>
    <n v="1"/>
    <n v="8"/>
    <n v="5"/>
    <n v="0"/>
    <x v="25"/>
    <s v="vs Arvanitis"/>
    <n v="91"/>
    <n v="0.42499999999999999"/>
    <n v="31"/>
    <n v="0.316"/>
    <n v="0.82499999999999996"/>
    <n v="246"/>
    <n v="31"/>
    <n v="85"/>
    <n v="39"/>
    <n v="18"/>
    <n v="19"/>
    <n v="22"/>
    <n v="1.77"/>
  </r>
  <r>
    <x v="7"/>
    <x v="0"/>
    <x v="0"/>
    <n v="6"/>
    <x v="16"/>
    <s v="Aris"/>
    <n v="0"/>
    <n v="2"/>
    <n v="11"/>
    <n v="0"/>
    <x v="13"/>
    <s v="vs Stavros"/>
    <n v="110"/>
    <n v="0.42799999999999999"/>
    <n v="29"/>
    <n v="0.33"/>
    <n v="0.73699999999999999"/>
    <n v="322"/>
    <n v="30"/>
    <n v="84"/>
    <n v="66"/>
    <n v="26"/>
    <n v="18"/>
    <n v="51"/>
    <n v="1.29"/>
  </r>
  <r>
    <x v="7"/>
    <x v="0"/>
    <x v="0"/>
    <n v="6"/>
    <x v="12"/>
    <s v="Stavros"/>
    <n v="1"/>
    <n v="11"/>
    <n v="2"/>
    <n v="0"/>
    <x v="17"/>
    <s v="vs Aris"/>
    <n v="126"/>
    <n v="0.49399999999999999"/>
    <n v="32"/>
    <n v="0.39"/>
    <n v="0.73"/>
    <n v="349"/>
    <n v="38"/>
    <n v="107"/>
    <n v="80"/>
    <n v="18"/>
    <n v="20"/>
    <n v="43"/>
    <n v="1.86"/>
  </r>
  <r>
    <x v="7"/>
    <x v="0"/>
    <x v="0"/>
    <n v="7"/>
    <x v="7"/>
    <s v="Johnny"/>
    <n v="1"/>
    <n v="7"/>
    <n v="5"/>
    <n v="1"/>
    <x v="7"/>
    <s v="vs Tassos"/>
    <n v="184"/>
    <n v="0.45500000000000002"/>
    <n v="70"/>
    <n v="0.38700000000000001"/>
    <n v="0.77700000000000002"/>
    <n v="511"/>
    <n v="32"/>
    <n v="126"/>
    <n v="101"/>
    <n v="19"/>
    <n v="18"/>
    <n v="55"/>
    <n v="1.84"/>
  </r>
  <r>
    <x v="7"/>
    <x v="0"/>
    <x v="0"/>
    <n v="7"/>
    <x v="6"/>
    <s v="Tassos"/>
    <n v="0"/>
    <n v="5"/>
    <n v="7"/>
    <n v="1"/>
    <x v="6"/>
    <s v="vs Johnny"/>
    <n v="156"/>
    <n v="0.44700000000000001"/>
    <n v="44"/>
    <n v="0.35799999999999998"/>
    <n v="0.83799999999999997"/>
    <n v="423"/>
    <n v="38"/>
    <n v="126"/>
    <n v="77"/>
    <n v="33"/>
    <n v="22"/>
    <n v="47"/>
    <n v="1.64"/>
  </r>
  <r>
    <x v="7"/>
    <x v="0"/>
    <x v="0"/>
    <n v="8"/>
    <x v="17"/>
    <s v="Spiridaus/Oladipas"/>
    <n v="0"/>
    <n v="5"/>
    <n v="8"/>
    <n v="0"/>
    <x v="27"/>
    <s v="vs Dimitris"/>
    <n v="96"/>
    <n v="0.47099999999999997"/>
    <n v="27"/>
    <n v="0.32900000000000001"/>
    <n v="0.873"/>
    <n v="274"/>
    <n v="21"/>
    <n v="73"/>
    <n v="55"/>
    <n v="19"/>
    <n v="9"/>
    <n v="37"/>
    <n v="1.49"/>
  </r>
  <r>
    <x v="7"/>
    <x v="0"/>
    <x v="0"/>
    <n v="8"/>
    <x v="27"/>
    <s v="Dimitris"/>
    <n v="1"/>
    <n v="8"/>
    <n v="5"/>
    <n v="0"/>
    <x v="16"/>
    <s v="vs Spiridaus/Oladipas"/>
    <n v="121"/>
    <n v="0.45700000000000002"/>
    <n v="41"/>
    <n v="0.32"/>
    <n v="0.67900000000000005"/>
    <n v="340"/>
    <n v="35"/>
    <n v="96"/>
    <n v="58"/>
    <n v="18"/>
    <n v="11"/>
    <n v="38"/>
    <n v="1.53"/>
  </r>
  <r>
    <x v="7"/>
    <x v="0"/>
    <x v="0"/>
    <n v="9"/>
    <x v="11"/>
    <s v="pi/Sotiris"/>
    <n v="1"/>
    <n v="8"/>
    <n v="5"/>
    <n v="0"/>
    <x v="3"/>
    <s v="vs Fountos"/>
    <n v="130"/>
    <n v="0.45"/>
    <n v="39"/>
    <n v="0.34200000000000003"/>
    <n v="0.69"/>
    <n v="368"/>
    <n v="32"/>
    <n v="120"/>
    <n v="110"/>
    <n v="23"/>
    <n v="14"/>
    <n v="55"/>
    <n v="2"/>
  </r>
  <r>
    <x v="7"/>
    <x v="0"/>
    <x v="0"/>
    <n v="9"/>
    <x v="2"/>
    <s v="Fountos"/>
    <n v="0"/>
    <n v="5"/>
    <n v="8"/>
    <n v="0"/>
    <x v="10"/>
    <s v="vs pi/Sotiris"/>
    <n v="123"/>
    <n v="0.43"/>
    <n v="46"/>
    <n v="0.4"/>
    <n v="0.78100000000000003"/>
    <n v="349"/>
    <n v="20"/>
    <n v="87"/>
    <n v="99"/>
    <n v="20"/>
    <n v="8"/>
    <n v="41"/>
    <n v="2.41"/>
  </r>
  <r>
    <x v="7"/>
    <x v="0"/>
    <x v="0"/>
    <n v="10"/>
    <x v="3"/>
    <s v="Sakellariou"/>
    <n v="0"/>
    <n v="4"/>
    <n v="9"/>
    <n v="0"/>
    <x v="14"/>
    <s v="vs Vasilis"/>
    <n v="151"/>
    <n v="0.45500000000000002"/>
    <n v="55"/>
    <n v="0.377"/>
    <n v="0.8"/>
    <n v="445"/>
    <n v="40"/>
    <n v="92"/>
    <n v="114"/>
    <n v="34"/>
    <n v="10"/>
    <n v="63"/>
    <n v="1.81"/>
  </r>
  <r>
    <x v="7"/>
    <x v="0"/>
    <x v="0"/>
    <n v="10"/>
    <x v="15"/>
    <s v="Vasilis"/>
    <n v="1"/>
    <n v="9"/>
    <n v="4"/>
    <n v="0"/>
    <x v="2"/>
    <s v="vs Sakellariou"/>
    <n v="202"/>
    <n v="0.46400000000000002"/>
    <n v="60"/>
    <n v="0.35899999999999999"/>
    <n v="0.80700000000000005"/>
    <n v="577"/>
    <n v="34"/>
    <n v="132"/>
    <n v="103"/>
    <n v="44"/>
    <n v="31"/>
    <n v="60"/>
    <n v="1.72"/>
  </r>
  <r>
    <x v="7"/>
    <x v="0"/>
    <x v="0"/>
    <n v="11"/>
    <x v="23"/>
    <s v="Sarantos"/>
    <n v="0"/>
    <n v="3"/>
    <n v="10"/>
    <n v="0"/>
    <x v="24"/>
    <s v="vs Tolios"/>
    <n v="95"/>
    <n v="0.47299999999999998"/>
    <n v="32"/>
    <n v="0.314"/>
    <n v="0.81699999999999995"/>
    <n v="271"/>
    <n v="26"/>
    <n v="85"/>
    <n v="55"/>
    <n v="14"/>
    <n v="22"/>
    <n v="37"/>
    <n v="1.49"/>
  </r>
  <r>
    <x v="7"/>
    <x v="0"/>
    <x v="0"/>
    <n v="11"/>
    <x v="24"/>
    <s v="Tolios"/>
    <n v="1"/>
    <n v="10"/>
    <n v="3"/>
    <n v="0"/>
    <x v="23"/>
    <s v="vs Sarantos"/>
    <n v="127"/>
    <n v="0.47899999999999998"/>
    <n v="27"/>
    <n v="0.32900000000000001"/>
    <n v="0.73199999999999998"/>
    <n v="341"/>
    <n v="38"/>
    <n v="96"/>
    <n v="77"/>
    <n v="23"/>
    <n v="24"/>
    <n v="49"/>
    <n v="1.57"/>
  </r>
  <r>
    <x v="7"/>
    <x v="0"/>
    <x v="0"/>
    <n v="12"/>
    <x v="18"/>
    <s v="Kotakis"/>
    <n v="1"/>
    <n v="8"/>
    <n v="5"/>
    <n v="0"/>
    <x v="13"/>
    <s v="vs Stavros"/>
    <n v="115"/>
    <n v="0.46400000000000002"/>
    <n v="41"/>
    <n v="0.36299999999999999"/>
    <n v="0.77400000000000002"/>
    <n v="336"/>
    <n v="40"/>
    <n v="138"/>
    <n v="82"/>
    <n v="25"/>
    <n v="19"/>
    <n v="42"/>
    <n v="1.95"/>
  </r>
  <r>
    <x v="7"/>
    <x v="0"/>
    <x v="0"/>
    <n v="12"/>
    <x v="12"/>
    <s v="Stavros"/>
    <n v="0"/>
    <n v="5"/>
    <n v="8"/>
    <n v="0"/>
    <x v="19"/>
    <s v="vs Kotakis"/>
    <n v="126"/>
    <n v="0.49399999999999999"/>
    <n v="32"/>
    <n v="0.39"/>
    <n v="0.73"/>
    <n v="349"/>
    <n v="38"/>
    <n v="107"/>
    <n v="80"/>
    <n v="18"/>
    <n v="20"/>
    <n v="43"/>
    <n v="1.86"/>
  </r>
  <r>
    <x v="7"/>
    <x v="0"/>
    <x v="0"/>
    <n v="13"/>
    <x v="26"/>
    <s v="Lafa"/>
    <n v="1"/>
    <n v="7"/>
    <n v="6"/>
    <n v="0"/>
    <x v="20"/>
    <s v="vs Guru"/>
    <n v="159"/>
    <n v="0.42899999999999999"/>
    <n v="52"/>
    <n v="0.36899999999999999"/>
    <n v="0.74099999999999999"/>
    <n v="476"/>
    <n v="36"/>
    <n v="111"/>
    <n v="84"/>
    <n v="26"/>
    <n v="20"/>
    <n v="58"/>
    <n v="1.45"/>
  </r>
  <r>
    <x v="7"/>
    <x v="0"/>
    <x v="0"/>
    <n v="13"/>
    <x v="20"/>
    <s v="Guru"/>
    <n v="0"/>
    <n v="6"/>
    <n v="7"/>
    <n v="0"/>
    <x v="26"/>
    <s v="vs Lafa"/>
    <n v="120"/>
    <n v="0.44"/>
    <n v="53"/>
    <n v="0.36299999999999999"/>
    <n v="0.80400000000000005"/>
    <n v="338"/>
    <n v="25"/>
    <n v="81"/>
    <n v="68"/>
    <n v="34"/>
    <n v="13"/>
    <n v="37"/>
    <n v="1.84"/>
  </r>
  <r>
    <x v="7"/>
    <x v="0"/>
    <x v="0"/>
    <n v="14"/>
    <x v="16"/>
    <s v="Aris"/>
    <n v="0"/>
    <n v="5"/>
    <n v="8"/>
    <n v="0"/>
    <x v="27"/>
    <s v="vs Dimitris"/>
    <n v="110"/>
    <n v="0.42799999999999999"/>
    <n v="29"/>
    <n v="0.33"/>
    <n v="0.73699999999999999"/>
    <n v="322"/>
    <n v="30"/>
    <n v="84"/>
    <n v="66"/>
    <n v="26"/>
    <n v="18"/>
    <n v="51"/>
    <n v="1.29"/>
  </r>
  <r>
    <x v="7"/>
    <x v="0"/>
    <x v="0"/>
    <n v="14"/>
    <x v="27"/>
    <s v="Dimitris"/>
    <n v="1"/>
    <n v="8"/>
    <n v="5"/>
    <n v="0"/>
    <x v="17"/>
    <s v="vs Aris"/>
    <n v="121"/>
    <n v="0.45700000000000002"/>
    <n v="41"/>
    <n v="0.32"/>
    <n v="0.67900000000000005"/>
    <n v="340"/>
    <n v="35"/>
    <n v="96"/>
    <n v="58"/>
    <n v="18"/>
    <n v="11"/>
    <n v="38"/>
    <n v="1.53"/>
  </r>
  <r>
    <x v="7"/>
    <x v="0"/>
    <x v="0"/>
    <n v="15"/>
    <x v="6"/>
    <s v="Tassos"/>
    <n v="1"/>
    <n v="10"/>
    <n v="2"/>
    <n v="1"/>
    <x v="25"/>
    <s v="vs Arvanitis"/>
    <n v="156"/>
    <n v="0.44700000000000001"/>
    <n v="44"/>
    <n v="0.35799999999999998"/>
    <n v="0.83799999999999997"/>
    <n v="423"/>
    <n v="38"/>
    <n v="126"/>
    <n v="77"/>
    <n v="33"/>
    <n v="22"/>
    <n v="47"/>
    <n v="1.64"/>
  </r>
  <r>
    <x v="7"/>
    <x v="0"/>
    <x v="0"/>
    <n v="15"/>
    <x v="25"/>
    <s v="Arvanitis"/>
    <n v="0"/>
    <n v="2"/>
    <n v="10"/>
    <n v="1"/>
    <x v="7"/>
    <s v="vs Tassos"/>
    <n v="90"/>
    <n v="0.42699999999999999"/>
    <n v="20"/>
    <n v="0.23499999999999999"/>
    <n v="0.73199999999999998"/>
    <n v="241"/>
    <n v="47"/>
    <n v="81"/>
    <n v="53"/>
    <n v="21"/>
    <n v="22"/>
    <n v="43"/>
    <n v="1.23"/>
  </r>
  <r>
    <x v="7"/>
    <x v="0"/>
    <x v="0"/>
    <n v="16"/>
    <x v="9"/>
    <s v="Ziogas/Christof"/>
    <n v="0"/>
    <n v="5"/>
    <n v="8"/>
    <n v="0"/>
    <x v="0"/>
    <s v="vs Fanis"/>
    <n v="121"/>
    <n v="0.48"/>
    <n v="34"/>
    <n v="0.34"/>
    <n v="0.79800000000000004"/>
    <n v="351"/>
    <n v="26"/>
    <n v="115"/>
    <n v="72"/>
    <n v="16"/>
    <n v="6"/>
    <n v="44"/>
    <n v="1.64"/>
  </r>
  <r>
    <x v="7"/>
    <x v="0"/>
    <x v="0"/>
    <n v="16"/>
    <x v="1"/>
    <s v="Fanis"/>
    <n v="1"/>
    <n v="8"/>
    <n v="5"/>
    <n v="0"/>
    <x v="8"/>
    <s v="vs Ziogas/Christof"/>
    <n v="167"/>
    <n v="0.42899999999999999"/>
    <n v="44"/>
    <n v="0.30299999999999999"/>
    <n v="0.78100000000000003"/>
    <n v="496"/>
    <n v="52"/>
    <n v="141"/>
    <n v="112"/>
    <n v="36"/>
    <n v="24"/>
    <n v="85"/>
    <n v="1.32"/>
  </r>
  <r>
    <x v="7"/>
    <x v="0"/>
    <x v="0"/>
    <n v="17"/>
    <x v="15"/>
    <s v="Vasilis"/>
    <n v="1"/>
    <n v="10"/>
    <n v="3"/>
    <n v="0"/>
    <x v="16"/>
    <s v="vs Spiridaus/Oladipas"/>
    <n v="202"/>
    <n v="0.46400000000000002"/>
    <n v="60"/>
    <n v="0.35899999999999999"/>
    <n v="0.80700000000000005"/>
    <n v="577"/>
    <n v="34"/>
    <n v="132"/>
    <n v="103"/>
    <n v="44"/>
    <n v="31"/>
    <n v="60"/>
    <n v="1.72"/>
  </r>
  <r>
    <x v="7"/>
    <x v="0"/>
    <x v="0"/>
    <n v="17"/>
    <x v="17"/>
    <s v="Spiridaus/Oladipas"/>
    <n v="0"/>
    <n v="3"/>
    <n v="10"/>
    <n v="0"/>
    <x v="14"/>
    <s v="vs Vasilis"/>
    <n v="96"/>
    <n v="0.47099999999999997"/>
    <n v="27"/>
    <n v="0.32900000000000001"/>
    <n v="0.873"/>
    <n v="274"/>
    <n v="21"/>
    <n v="73"/>
    <n v="55"/>
    <n v="19"/>
    <n v="9"/>
    <n v="37"/>
    <n v="1.49"/>
  </r>
  <r>
    <x v="7"/>
    <x v="0"/>
    <x v="0"/>
    <n v="18"/>
    <x v="21"/>
    <s v="Tzokos"/>
    <n v="1"/>
    <n v="10"/>
    <n v="3"/>
    <n v="0"/>
    <x v="28"/>
    <s v="vs Panos"/>
    <n v="117"/>
    <n v="0.49399999999999999"/>
    <n v="24"/>
    <n v="0.34799999999999998"/>
    <n v="0.83"/>
    <n v="341"/>
    <n v="35"/>
    <n v="97"/>
    <n v="78"/>
    <n v="31"/>
    <n v="16"/>
    <n v="39"/>
    <n v="2"/>
  </r>
  <r>
    <x v="7"/>
    <x v="0"/>
    <x v="0"/>
    <n v="18"/>
    <x v="28"/>
    <s v="Panos"/>
    <n v="0"/>
    <n v="3"/>
    <n v="10"/>
    <n v="0"/>
    <x v="21"/>
    <s v="vs Tzokos"/>
    <n v="91"/>
    <n v="0.42499999999999999"/>
    <n v="31"/>
    <n v="0.316"/>
    <n v="0.82499999999999996"/>
    <n v="246"/>
    <n v="31"/>
    <n v="85"/>
    <n v="39"/>
    <n v="18"/>
    <n v="19"/>
    <n v="22"/>
    <n v="1.77"/>
  </r>
  <r>
    <x v="7"/>
    <x v="0"/>
    <x v="0"/>
    <n v="19"/>
    <x v="11"/>
    <s v="pi/Sotiris"/>
    <n v="0"/>
    <n v="4"/>
    <n v="9"/>
    <n v="0"/>
    <x v="2"/>
    <s v="vs Sakellariou"/>
    <n v="130"/>
    <n v="0.45"/>
    <n v="39"/>
    <n v="0.34200000000000003"/>
    <n v="0.69"/>
    <n v="368"/>
    <n v="32"/>
    <n v="120"/>
    <n v="110"/>
    <n v="23"/>
    <n v="14"/>
    <n v="55"/>
    <n v="2"/>
  </r>
  <r>
    <x v="7"/>
    <x v="0"/>
    <x v="0"/>
    <n v="19"/>
    <x v="3"/>
    <s v="Sakellariou"/>
    <n v="1"/>
    <n v="9"/>
    <n v="4"/>
    <n v="0"/>
    <x v="10"/>
    <s v="vs pi/Sotiris"/>
    <n v="151"/>
    <n v="0.45500000000000002"/>
    <n v="55"/>
    <n v="0.377"/>
    <n v="0.8"/>
    <n v="445"/>
    <n v="40"/>
    <n v="92"/>
    <n v="114"/>
    <n v="34"/>
    <n v="10"/>
    <n v="63"/>
    <n v="1.81"/>
  </r>
  <r>
    <x v="7"/>
    <x v="0"/>
    <x v="0"/>
    <n v="20"/>
    <x v="2"/>
    <s v="Fountos"/>
    <n v="0"/>
    <n v="5"/>
    <n v="8"/>
    <n v="0"/>
    <x v="6"/>
    <s v="vs Johnny"/>
    <n v="123"/>
    <n v="0.43"/>
    <n v="46"/>
    <n v="0.4"/>
    <n v="0.78100000000000003"/>
    <n v="349"/>
    <n v="20"/>
    <n v="87"/>
    <n v="99"/>
    <n v="20"/>
    <n v="8"/>
    <n v="41"/>
    <n v="2.41"/>
  </r>
  <r>
    <x v="7"/>
    <x v="0"/>
    <x v="0"/>
    <n v="20"/>
    <x v="7"/>
    <s v="Johnny"/>
    <n v="1"/>
    <n v="8"/>
    <n v="5"/>
    <n v="0"/>
    <x v="3"/>
    <s v="vs Fountos"/>
    <n v="184"/>
    <n v="0.45500000000000002"/>
    <n v="70"/>
    <n v="0.38700000000000001"/>
    <n v="0.77700000000000002"/>
    <n v="511"/>
    <n v="32"/>
    <n v="126"/>
    <n v="101"/>
    <n v="19"/>
    <n v="18"/>
    <n v="55"/>
    <n v="1.84"/>
  </r>
  <r>
    <x v="7"/>
    <x v="0"/>
    <x v="1"/>
    <n v="21"/>
    <x v="24"/>
    <s v="Tolios"/>
    <n v="1"/>
    <n v="11"/>
    <n v="2"/>
    <n v="0"/>
    <x v="8"/>
    <s v="vs Ziogas/Christof"/>
    <n v="160"/>
    <n v="0.51900000000000002"/>
    <n v="35"/>
    <n v="0.38"/>
    <n v="0.82099999999999995"/>
    <n v="447"/>
    <n v="36"/>
    <n v="147"/>
    <n v="84"/>
    <n v="37"/>
    <n v="13"/>
    <n v="55"/>
    <n v="1.53"/>
  </r>
  <r>
    <x v="7"/>
    <x v="0"/>
    <x v="1"/>
    <n v="21"/>
    <x v="9"/>
    <s v="Ziogas/Christof"/>
    <n v="0"/>
    <n v="2"/>
    <n v="11"/>
    <n v="0"/>
    <x v="24"/>
    <s v="vs Tolios"/>
    <n v="118"/>
    <n v="0.46500000000000002"/>
    <n v="36"/>
    <n v="0.35"/>
    <n v="0.77600000000000002"/>
    <n v="317"/>
    <n v="34"/>
    <n v="133"/>
    <n v="68"/>
    <n v="22"/>
    <n v="6"/>
    <n v="49"/>
    <n v="1.39"/>
  </r>
  <r>
    <x v="7"/>
    <x v="0"/>
    <x v="1"/>
    <n v="22"/>
    <x v="26"/>
    <s v="Lafa"/>
    <n v="0"/>
    <n v="6"/>
    <n v="7"/>
    <n v="0"/>
    <x v="21"/>
    <s v="vs Tzokos"/>
    <n v="201"/>
    <n v="0.44800000000000001"/>
    <n v="50"/>
    <n v="0.29899999999999999"/>
    <n v="0.752"/>
    <n v="558"/>
    <n v="29"/>
    <n v="130"/>
    <n v="104"/>
    <n v="28"/>
    <n v="15"/>
    <n v="59"/>
    <n v="1.76"/>
  </r>
  <r>
    <x v="7"/>
    <x v="0"/>
    <x v="1"/>
    <n v="22"/>
    <x v="21"/>
    <s v="Tzokos"/>
    <n v="1"/>
    <n v="7"/>
    <n v="6"/>
    <n v="0"/>
    <x v="26"/>
    <s v="vs Lafa"/>
    <n v="149"/>
    <n v="0.53600000000000003"/>
    <n v="31"/>
    <n v="0.373"/>
    <n v="0.74099999999999999"/>
    <n v="369"/>
    <n v="33"/>
    <n v="116"/>
    <n v="89"/>
    <n v="29"/>
    <n v="18"/>
    <n v="41"/>
    <n v="2.17"/>
  </r>
  <r>
    <x v="7"/>
    <x v="0"/>
    <x v="1"/>
    <n v="23"/>
    <x v="23"/>
    <s v="Sarantos"/>
    <n v="0"/>
    <n v="3"/>
    <n v="8"/>
    <n v="2"/>
    <x v="19"/>
    <s v="vs Kotakis"/>
    <n v="175"/>
    <n v="0.47599999999999998"/>
    <n v="52"/>
    <n v="0.33500000000000002"/>
    <n v="0.76100000000000001"/>
    <n v="485"/>
    <n v="47"/>
    <n v="131"/>
    <n v="100"/>
    <n v="39"/>
    <n v="15"/>
    <n v="52"/>
    <n v="1.92"/>
  </r>
  <r>
    <x v="7"/>
    <x v="0"/>
    <x v="1"/>
    <n v="23"/>
    <x v="18"/>
    <s v="Kotakis"/>
    <n v="1"/>
    <n v="8"/>
    <n v="3"/>
    <n v="2"/>
    <x v="23"/>
    <s v="vs Sarantos"/>
    <n v="183"/>
    <n v="0.47299999999999998"/>
    <n v="48"/>
    <n v="0.32700000000000001"/>
    <n v="0.84499999999999997"/>
    <n v="485"/>
    <n v="69"/>
    <n v="187"/>
    <n v="124"/>
    <n v="39"/>
    <n v="20"/>
    <n v="46"/>
    <n v="2.7"/>
  </r>
  <r>
    <x v="7"/>
    <x v="0"/>
    <x v="1"/>
    <n v="24"/>
    <x v="20"/>
    <s v="Guru"/>
    <n v="1"/>
    <n v="7"/>
    <n v="6"/>
    <n v="0"/>
    <x v="25"/>
    <s v="vs Arvanitis"/>
    <n v="156"/>
    <n v="0.46600000000000003"/>
    <n v="60"/>
    <n v="0.35299999999999998"/>
    <n v="0.81200000000000006"/>
    <n v="441"/>
    <n v="22"/>
    <n v="130"/>
    <n v="111"/>
    <n v="20"/>
    <n v="19"/>
    <n v="42"/>
    <n v="2.64"/>
  </r>
  <r>
    <x v="7"/>
    <x v="0"/>
    <x v="1"/>
    <n v="24"/>
    <x v="25"/>
    <s v="Arvanitis"/>
    <n v="0"/>
    <n v="6"/>
    <n v="7"/>
    <n v="0"/>
    <x v="20"/>
    <s v="vs Guru"/>
    <n v="106"/>
    <n v="0.49099999999999999"/>
    <n v="27"/>
    <n v="0.37"/>
    <n v="0.71399999999999997"/>
    <n v="289"/>
    <n v="52"/>
    <n v="136"/>
    <n v="72"/>
    <n v="26"/>
    <n v="35"/>
    <n v="54"/>
    <n v="1.33"/>
  </r>
  <r>
    <x v="7"/>
    <x v="0"/>
    <x v="1"/>
    <n v="25"/>
    <x v="1"/>
    <s v="Fanis"/>
    <n v="1"/>
    <n v="11"/>
    <n v="2"/>
    <n v="0"/>
    <x v="17"/>
    <s v="vs Aris"/>
    <n v="201"/>
    <n v="0.47399999999999998"/>
    <n v="54"/>
    <n v="0.32100000000000001"/>
    <n v="0.78800000000000003"/>
    <n v="534"/>
    <n v="47"/>
    <n v="140"/>
    <n v="155"/>
    <n v="43"/>
    <n v="16"/>
    <n v="72"/>
    <n v="2.15"/>
  </r>
  <r>
    <x v="7"/>
    <x v="0"/>
    <x v="1"/>
    <n v="25"/>
    <x v="16"/>
    <s v="Aris"/>
    <n v="0"/>
    <n v="2"/>
    <n v="11"/>
    <n v="0"/>
    <x v="0"/>
    <s v="vs Fanis"/>
    <n v="163"/>
    <n v="0.45"/>
    <n v="43"/>
    <n v="0.36099999999999999"/>
    <n v="0.74199999999999999"/>
    <n v="438"/>
    <n v="38"/>
    <n v="114"/>
    <n v="87"/>
    <n v="27"/>
    <n v="14"/>
    <n v="57"/>
    <n v="1.53"/>
  </r>
  <r>
    <x v="7"/>
    <x v="0"/>
    <x v="1"/>
    <n v="26"/>
    <x v="28"/>
    <s v="Panos"/>
    <n v="0"/>
    <n v="6"/>
    <n v="7"/>
    <n v="0"/>
    <x v="6"/>
    <s v="vs Johnny"/>
    <n v="167"/>
    <n v="0.441"/>
    <n v="53"/>
    <n v="0.32100000000000001"/>
    <n v="0.67200000000000004"/>
    <n v="432"/>
    <n v="48"/>
    <n v="135"/>
    <n v="94"/>
    <n v="29"/>
    <n v="29"/>
    <n v="38"/>
    <n v="2.4700000000000002"/>
  </r>
  <r>
    <x v="7"/>
    <x v="0"/>
    <x v="1"/>
    <n v="26"/>
    <x v="7"/>
    <s v="Johnny"/>
    <n v="1"/>
    <n v="7"/>
    <n v="6"/>
    <n v="0"/>
    <x v="28"/>
    <s v="vs Panos"/>
    <n v="204"/>
    <n v="0.42599999999999999"/>
    <n v="95"/>
    <n v="0.36699999999999999"/>
    <n v="0.78400000000000003"/>
    <n v="608"/>
    <n v="27"/>
    <n v="140"/>
    <n v="88"/>
    <n v="30"/>
    <n v="12"/>
    <n v="88"/>
    <n v="1"/>
  </r>
  <r>
    <x v="7"/>
    <x v="0"/>
    <x v="1"/>
    <n v="27"/>
    <x v="12"/>
    <s v="Stavros"/>
    <n v="1"/>
    <n v="8"/>
    <n v="4"/>
    <n v="1"/>
    <x v="16"/>
    <s v="vs Spiridaus/Oladipas"/>
    <n v="150"/>
    <n v="0.5"/>
    <n v="40"/>
    <n v="0.35699999999999998"/>
    <n v="0.80600000000000005"/>
    <n v="398"/>
    <n v="45"/>
    <n v="88"/>
    <n v="98"/>
    <n v="29"/>
    <n v="19"/>
    <n v="43"/>
    <n v="2.2799999999999998"/>
  </r>
  <r>
    <x v="7"/>
    <x v="0"/>
    <x v="1"/>
    <n v="27"/>
    <x v="17"/>
    <s v="Spiridaus/Oladipas"/>
    <n v="0"/>
    <n v="4"/>
    <n v="8"/>
    <n v="1"/>
    <x v="13"/>
    <s v="vs Stavros"/>
    <n v="130"/>
    <n v="0.44400000000000001"/>
    <n v="44"/>
    <n v="0.312"/>
    <n v="0.754"/>
    <n v="347"/>
    <n v="29"/>
    <n v="125"/>
    <n v="92"/>
    <n v="32"/>
    <n v="30"/>
    <n v="43"/>
    <n v="2.14"/>
  </r>
  <r>
    <x v="7"/>
    <x v="0"/>
    <x v="1"/>
    <n v="28"/>
    <x v="6"/>
    <s v="Tassos"/>
    <n v="0"/>
    <n v="5"/>
    <n v="7"/>
    <n v="1"/>
    <x v="10"/>
    <s v="vs pi/Sotiris"/>
    <n v="214"/>
    <n v="0.46"/>
    <n v="55"/>
    <n v="0.35899999999999999"/>
    <n v="0.85899999999999999"/>
    <n v="593"/>
    <n v="51"/>
    <n v="155"/>
    <n v="154"/>
    <n v="30"/>
    <n v="22"/>
    <n v="70"/>
    <n v="2.2000000000000002"/>
  </r>
  <r>
    <x v="7"/>
    <x v="0"/>
    <x v="1"/>
    <n v="28"/>
    <x v="11"/>
    <s v="pi/Sotiris"/>
    <n v="1"/>
    <n v="7"/>
    <n v="5"/>
    <n v="1"/>
    <x v="7"/>
    <s v="vs Tassos"/>
    <n v="204"/>
    <n v="0.51600000000000001"/>
    <n v="57"/>
    <n v="0.47499999999999998"/>
    <n v="0.69899999999999995"/>
    <n v="560"/>
    <n v="55"/>
    <n v="157"/>
    <n v="147"/>
    <n v="30"/>
    <n v="12"/>
    <n v="60"/>
    <n v="2.4500000000000002"/>
  </r>
  <r>
    <x v="7"/>
    <x v="0"/>
    <x v="1"/>
    <n v="29"/>
    <x v="27"/>
    <s v="Dimitris"/>
    <n v="0"/>
    <n v="4"/>
    <n v="9"/>
    <n v="0"/>
    <x v="2"/>
    <s v="vs Sakellariou"/>
    <n v="130"/>
    <n v="0.46100000000000002"/>
    <n v="43"/>
    <n v="0.374"/>
    <n v="0.76200000000000001"/>
    <n v="367"/>
    <n v="38"/>
    <n v="111"/>
    <n v="54"/>
    <n v="14"/>
    <n v="20"/>
    <n v="39"/>
    <n v="1.38"/>
  </r>
  <r>
    <x v="7"/>
    <x v="0"/>
    <x v="1"/>
    <n v="29"/>
    <x v="3"/>
    <s v="Sakellariou"/>
    <n v="1"/>
    <n v="9"/>
    <n v="4"/>
    <n v="0"/>
    <x v="27"/>
    <s v="vs Dimitris"/>
    <n v="196"/>
    <n v="0.45900000000000002"/>
    <n v="68"/>
    <n v="0.38600000000000001"/>
    <n v="0.80500000000000005"/>
    <n v="551"/>
    <n v="34"/>
    <n v="138"/>
    <n v="143"/>
    <n v="46"/>
    <n v="17"/>
    <n v="61"/>
    <n v="2.34"/>
  </r>
  <r>
    <x v="7"/>
    <x v="0"/>
    <x v="1"/>
    <n v="30"/>
    <x v="2"/>
    <s v="Fountos"/>
    <n v="0"/>
    <n v="6"/>
    <n v="7"/>
    <n v="0"/>
    <x v="14"/>
    <s v="vs Vasilis"/>
    <n v="169"/>
    <n v="0.45700000000000002"/>
    <n v="78"/>
    <n v="0.42399999999999999"/>
    <n v="0.78900000000000003"/>
    <n v="476"/>
    <n v="33"/>
    <n v="104"/>
    <n v="124"/>
    <n v="24"/>
    <n v="14"/>
    <n v="52"/>
    <n v="2.38"/>
  </r>
  <r>
    <x v="7"/>
    <x v="0"/>
    <x v="1"/>
    <n v="30"/>
    <x v="15"/>
    <s v="Vasilis"/>
    <n v="1"/>
    <n v="7"/>
    <n v="6"/>
    <n v="0"/>
    <x v="3"/>
    <s v="vs Fountos"/>
    <n v="192"/>
    <n v="0.46200000000000002"/>
    <n v="58"/>
    <n v="0.372"/>
    <n v="0.86499999999999999"/>
    <n v="519"/>
    <n v="28"/>
    <n v="125"/>
    <n v="105"/>
    <n v="27"/>
    <n v="19"/>
    <n v="66"/>
    <n v="1.59"/>
  </r>
  <r>
    <x v="7"/>
    <x v="0"/>
    <x v="2"/>
    <n v="31"/>
    <x v="21"/>
    <s v="Tzokos"/>
    <n v="0"/>
    <n v="4"/>
    <n v="9"/>
    <n v="0"/>
    <x v="24"/>
    <s v="vs Tolios"/>
    <n v="166"/>
    <n v="0.48499999999999999"/>
    <n v="38"/>
    <n v="0.35499999999999998"/>
    <n v="0.75600000000000001"/>
    <n v="438"/>
    <n v="40"/>
    <n v="111"/>
    <n v="97"/>
    <n v="27"/>
    <n v="19"/>
    <n v="40"/>
    <n v="2.42"/>
  </r>
  <r>
    <x v="7"/>
    <x v="0"/>
    <x v="2"/>
    <n v="31"/>
    <x v="24"/>
    <s v="Tolios"/>
    <n v="1"/>
    <n v="9"/>
    <n v="4"/>
    <n v="0"/>
    <x v="21"/>
    <s v="vs Tzokos"/>
    <n v="200"/>
    <n v="0.46899999999999997"/>
    <n v="41"/>
    <n v="0.29499999999999998"/>
    <n v="0.78600000000000003"/>
    <n v="529"/>
    <n v="53"/>
    <n v="132"/>
    <n v="125"/>
    <n v="31"/>
    <n v="28"/>
    <n v="59"/>
    <n v="2.12"/>
  </r>
  <r>
    <x v="7"/>
    <x v="0"/>
    <x v="2"/>
    <n v="32"/>
    <x v="18"/>
    <s v="Kotakis"/>
    <n v="1"/>
    <n v="9"/>
    <n v="4"/>
    <n v="0"/>
    <x v="8"/>
    <s v="vs Ziogas/Christof"/>
    <n v="199"/>
    <n v="0.52400000000000002"/>
    <n v="48"/>
    <n v="0.32700000000000001"/>
    <n v="0.747"/>
    <n v="505"/>
    <n v="60"/>
    <n v="192"/>
    <n v="141"/>
    <n v="36"/>
    <n v="28"/>
    <n v="68"/>
    <n v="2.0699999999999998"/>
  </r>
  <r>
    <x v="7"/>
    <x v="0"/>
    <x v="2"/>
    <n v="32"/>
    <x v="9"/>
    <s v="Ziogas/Christof"/>
    <n v="0"/>
    <n v="4"/>
    <n v="9"/>
    <n v="0"/>
    <x v="19"/>
    <s v="vs Kotakis"/>
    <n v="128"/>
    <n v="0.46400000000000002"/>
    <n v="39"/>
    <n v="0.36399999999999999"/>
    <n v="0.89400000000000002"/>
    <n v="354"/>
    <n v="35"/>
    <n v="107"/>
    <n v="81"/>
    <n v="23"/>
    <n v="5"/>
    <n v="31"/>
    <n v="2.61"/>
  </r>
  <r>
    <x v="7"/>
    <x v="0"/>
    <x v="2"/>
    <n v="33"/>
    <x v="25"/>
    <s v="Arvanitis"/>
    <n v="0"/>
    <n v="2"/>
    <n v="11"/>
    <n v="0"/>
    <x v="26"/>
    <s v="vs Lafa"/>
    <n v="126"/>
    <n v="0.46"/>
    <n v="28"/>
    <n v="0.25900000000000001"/>
    <n v="0.7"/>
    <n v="336"/>
    <n v="50"/>
    <n v="126"/>
    <n v="92"/>
    <n v="31"/>
    <n v="23"/>
    <n v="60"/>
    <n v="1.53"/>
  </r>
  <r>
    <x v="7"/>
    <x v="0"/>
    <x v="2"/>
    <n v="33"/>
    <x v="26"/>
    <s v="Lafa"/>
    <n v="1"/>
    <n v="11"/>
    <n v="2"/>
    <n v="0"/>
    <x v="25"/>
    <s v="vs Arvanitis"/>
    <n v="243"/>
    <n v="0.47199999999999998"/>
    <n v="81"/>
    <n v="0.39700000000000002"/>
    <n v="0.81299999999999994"/>
    <n v="689"/>
    <n v="33"/>
    <n v="182"/>
    <n v="157"/>
    <n v="40"/>
    <n v="24"/>
    <n v="80"/>
    <n v="1.96"/>
  </r>
  <r>
    <x v="7"/>
    <x v="0"/>
    <x v="2"/>
    <n v="34"/>
    <x v="16"/>
    <s v="Aris"/>
    <n v="0"/>
    <n v="2"/>
    <n v="10"/>
    <n v="1"/>
    <x v="23"/>
    <s v="vs Sarantos"/>
    <n v="152"/>
    <n v="0.47899999999999998"/>
    <n v="28"/>
    <n v="0.29199999999999998"/>
    <n v="0.74199999999999999"/>
    <n v="378"/>
    <n v="40"/>
    <n v="86"/>
    <n v="70"/>
    <n v="45"/>
    <n v="11"/>
    <n v="57"/>
    <n v="1.23"/>
  </r>
  <r>
    <x v="7"/>
    <x v="0"/>
    <x v="2"/>
    <n v="34"/>
    <x v="23"/>
    <s v="Sarantos"/>
    <n v="1"/>
    <n v="10"/>
    <n v="2"/>
    <n v="1"/>
    <x v="17"/>
    <s v="vs Aris"/>
    <n v="186"/>
    <n v="0.45900000000000002"/>
    <n v="50"/>
    <n v="0.314"/>
    <n v="0.876"/>
    <n v="514"/>
    <n v="40"/>
    <n v="133"/>
    <n v="128"/>
    <n v="44"/>
    <n v="23"/>
    <n v="54"/>
    <n v="2.37"/>
  </r>
  <r>
    <x v="7"/>
    <x v="0"/>
    <x v="2"/>
    <n v="35"/>
    <x v="7"/>
    <s v="Johnny"/>
    <n v="0"/>
    <n v="5"/>
    <n v="8"/>
    <n v="0"/>
    <x v="20"/>
    <s v="vs Guru"/>
    <n v="205"/>
    <n v="0.44"/>
    <n v="79"/>
    <n v="0.371"/>
    <n v="0.76700000000000002"/>
    <n v="578"/>
    <n v="29"/>
    <n v="147"/>
    <n v="130"/>
    <n v="25"/>
    <n v="18"/>
    <n v="85"/>
    <n v="1.53"/>
  </r>
  <r>
    <x v="7"/>
    <x v="0"/>
    <x v="2"/>
    <n v="35"/>
    <x v="20"/>
    <s v="Guru"/>
    <n v="1"/>
    <n v="8"/>
    <n v="5"/>
    <n v="0"/>
    <x v="6"/>
    <s v="vs Johnny"/>
    <n v="196"/>
    <n v="0.499"/>
    <n v="81"/>
    <n v="0.39700000000000002"/>
    <n v="0.83299999999999996"/>
    <n v="543"/>
    <n v="36"/>
    <n v="117"/>
    <n v="107"/>
    <n v="32"/>
    <n v="11"/>
    <n v="54"/>
    <n v="1.98"/>
  </r>
  <r>
    <x v="7"/>
    <x v="0"/>
    <x v="2"/>
    <n v="36"/>
    <x v="17"/>
    <s v="Spiridaus/Oladipas"/>
    <n v="0"/>
    <n v="3"/>
    <n v="10"/>
    <n v="0"/>
    <x v="0"/>
    <s v="vs Fanis"/>
    <n v="148"/>
    <n v="0.42399999999999999"/>
    <n v="53"/>
    <n v="0.28299999999999997"/>
    <n v="0.89600000000000002"/>
    <n v="409"/>
    <n v="36"/>
    <n v="142"/>
    <n v="93"/>
    <n v="34"/>
    <n v="42"/>
    <n v="71"/>
    <n v="1.31"/>
  </r>
  <r>
    <x v="7"/>
    <x v="0"/>
    <x v="2"/>
    <n v="36"/>
    <x v="1"/>
    <s v="Fanis"/>
    <n v="1"/>
    <n v="10"/>
    <n v="3"/>
    <n v="0"/>
    <x v="16"/>
    <s v="vs Spiridaus/Oladipas"/>
    <n v="211"/>
    <n v="0.47099999999999997"/>
    <n v="59"/>
    <n v="0.35299999999999998"/>
    <n v="0.748"/>
    <n v="561"/>
    <n v="62"/>
    <n v="174"/>
    <n v="149"/>
    <n v="36"/>
    <n v="20"/>
    <n v="79"/>
    <n v="1.89"/>
  </r>
  <r>
    <x v="7"/>
    <x v="0"/>
    <x v="2"/>
    <n v="37"/>
    <x v="11"/>
    <s v="pi/Sotiris"/>
    <n v="1"/>
    <n v="10"/>
    <n v="3"/>
    <n v="0"/>
    <x v="28"/>
    <s v="vs Panos"/>
    <n v="235"/>
    <n v="0.50800000000000001"/>
    <n v="74"/>
    <n v="0.41599999999999998"/>
    <n v="0.79300000000000004"/>
    <n v="659"/>
    <n v="54"/>
    <n v="161"/>
    <n v="195"/>
    <n v="39"/>
    <n v="19"/>
    <n v="78"/>
    <n v="2.5"/>
  </r>
  <r>
    <x v="7"/>
    <x v="0"/>
    <x v="2"/>
    <n v="37"/>
    <x v="28"/>
    <s v="Panos"/>
    <n v="0"/>
    <n v="3"/>
    <n v="10"/>
    <n v="0"/>
    <x v="10"/>
    <s v="vs pi/Sotiris"/>
    <n v="166"/>
    <n v="0.46"/>
    <n v="51"/>
    <n v="0.32100000000000001"/>
    <n v="0.81599999999999995"/>
    <n v="463"/>
    <n v="40"/>
    <n v="140"/>
    <n v="104"/>
    <n v="18"/>
    <n v="23"/>
    <n v="46"/>
    <n v="2.2599999999999998"/>
  </r>
  <r>
    <x v="7"/>
    <x v="0"/>
    <x v="2"/>
    <n v="38"/>
    <x v="3"/>
    <s v="Sakellariou"/>
    <n v="1"/>
    <n v="10"/>
    <n v="3"/>
    <n v="0"/>
    <x v="13"/>
    <s v="vs Stavros"/>
    <n v="218"/>
    <n v="0.437"/>
    <n v="58"/>
    <n v="0.32800000000000001"/>
    <n v="0.84899999999999998"/>
    <n v="601"/>
    <n v="45"/>
    <n v="175"/>
    <n v="179"/>
    <n v="43"/>
    <n v="22"/>
    <n v="82"/>
    <n v="2.1800000000000002"/>
  </r>
  <r>
    <x v="7"/>
    <x v="0"/>
    <x v="2"/>
    <n v="38"/>
    <x v="12"/>
    <s v="Stavros"/>
    <n v="0"/>
    <n v="3"/>
    <n v="10"/>
    <n v="0"/>
    <x v="2"/>
    <s v="vs Sakellariou"/>
    <n v="142"/>
    <n v="0.50900000000000001"/>
    <n v="42"/>
    <n v="0.38200000000000001"/>
    <n v="0.72699999999999998"/>
    <n v="366"/>
    <n v="33"/>
    <n v="92"/>
    <n v="91"/>
    <n v="33"/>
    <n v="17"/>
    <n v="42"/>
    <n v="2.17"/>
  </r>
  <r>
    <x v="7"/>
    <x v="0"/>
    <x v="2"/>
    <n v="39"/>
    <x v="15"/>
    <s v="Vasilis"/>
    <n v="0"/>
    <n v="0"/>
    <n v="13"/>
    <n v="0"/>
    <x v="7"/>
    <s v="vs Tassos"/>
    <n v="217"/>
    <n v="0.46400000000000002"/>
    <n v="53"/>
    <n v="0.31900000000000001"/>
    <n v="0.81599999999999995"/>
    <n v="607"/>
    <n v="28"/>
    <n v="131"/>
    <n v="112"/>
    <n v="29"/>
    <n v="20"/>
    <n v="76"/>
    <n v="1.47"/>
  </r>
  <r>
    <x v="7"/>
    <x v="0"/>
    <x v="2"/>
    <n v="39"/>
    <x v="6"/>
    <s v="Tassos"/>
    <n v="1"/>
    <n v="13"/>
    <n v="0"/>
    <n v="0"/>
    <x v="14"/>
    <s v="vs Vasilis"/>
    <n v="248"/>
    <n v="0.53300000000000003"/>
    <n v="75"/>
    <n v="0.439"/>
    <n v="0.85"/>
    <n v="673"/>
    <n v="53"/>
    <n v="178"/>
    <n v="123"/>
    <n v="31"/>
    <n v="26"/>
    <n v="63"/>
    <n v="1.95"/>
  </r>
  <r>
    <x v="7"/>
    <x v="0"/>
    <x v="2"/>
    <n v="40"/>
    <x v="2"/>
    <s v="Fountos"/>
    <n v="1"/>
    <n v="10"/>
    <n v="3"/>
    <n v="0"/>
    <x v="27"/>
    <s v="vs Dimitris"/>
    <n v="177"/>
    <n v="0.46"/>
    <n v="76"/>
    <n v="0.41499999999999998"/>
    <n v="0.78900000000000003"/>
    <n v="505"/>
    <n v="35"/>
    <n v="129"/>
    <n v="98"/>
    <n v="28"/>
    <n v="15"/>
    <n v="40"/>
    <n v="2.4500000000000002"/>
  </r>
  <r>
    <x v="7"/>
    <x v="0"/>
    <x v="2"/>
    <n v="40"/>
    <x v="27"/>
    <s v="Dimitris"/>
    <n v="0"/>
    <n v="3"/>
    <n v="10"/>
    <n v="0"/>
    <x v="3"/>
    <s v="vs Fountos"/>
    <n v="161"/>
    <n v="0.48099999999999998"/>
    <n v="48"/>
    <n v="0.36399999999999999"/>
    <n v="0.80900000000000005"/>
    <n v="442"/>
    <n v="40"/>
    <n v="120"/>
    <n v="91"/>
    <n v="27"/>
    <n v="14"/>
    <n v="62"/>
    <n v="1.47"/>
  </r>
  <r>
    <x v="7"/>
    <x v="0"/>
    <x v="3"/>
    <n v="41"/>
    <x v="24"/>
    <s v="Tolios"/>
    <n v="1"/>
    <n v="9"/>
    <n v="3"/>
    <n v="1"/>
    <x v="19"/>
    <s v="vs Kotakis"/>
    <n v="189"/>
    <n v="0.495"/>
    <n v="42"/>
    <n v="0.40400000000000003"/>
    <n v="0.77600000000000002"/>
    <n v="510"/>
    <n v="65"/>
    <n v="140"/>
    <n v="111"/>
    <n v="40"/>
    <n v="19"/>
    <n v="48"/>
    <n v="2.31"/>
  </r>
  <r>
    <x v="7"/>
    <x v="0"/>
    <x v="3"/>
    <n v="41"/>
    <x v="18"/>
    <s v="Kotakis"/>
    <n v="0"/>
    <n v="3"/>
    <n v="9"/>
    <n v="1"/>
    <x v="24"/>
    <s v="vs Tolios"/>
    <n v="189"/>
    <n v="0.48799999999999999"/>
    <n v="49"/>
    <n v="0.377"/>
    <n v="0.754"/>
    <n v="473"/>
    <n v="61"/>
    <n v="158"/>
    <n v="110"/>
    <n v="35"/>
    <n v="31"/>
    <n v="60"/>
    <n v="1.83"/>
  </r>
  <r>
    <x v="7"/>
    <x v="0"/>
    <x v="3"/>
    <n v="42"/>
    <x v="21"/>
    <s v="Tzokos"/>
    <n v="1"/>
    <n v="9"/>
    <n v="3"/>
    <n v="1"/>
    <x v="25"/>
    <s v="vs Arvanitis"/>
    <n v="134"/>
    <n v="0.47899999999999998"/>
    <n v="33"/>
    <n v="0.32400000000000001"/>
    <n v="0.75700000000000001"/>
    <n v="357"/>
    <n v="35"/>
    <n v="126"/>
    <n v="64"/>
    <n v="36"/>
    <n v="26"/>
    <n v="38"/>
    <n v="1.68"/>
  </r>
  <r>
    <x v="7"/>
    <x v="0"/>
    <x v="3"/>
    <n v="42"/>
    <x v="25"/>
    <s v="Arvanitis"/>
    <n v="0"/>
    <n v="3"/>
    <n v="9"/>
    <n v="1"/>
    <x v="21"/>
    <s v="vs Tzokos"/>
    <n v="112"/>
    <n v="0.41499999999999998"/>
    <n v="33"/>
    <n v="0.314"/>
    <n v="0.70299999999999996"/>
    <n v="309"/>
    <n v="30"/>
    <n v="121"/>
    <n v="82"/>
    <n v="43"/>
    <n v="25"/>
    <n v="42"/>
    <n v="1.95"/>
  </r>
  <r>
    <x v="7"/>
    <x v="0"/>
    <x v="3"/>
    <n v="43"/>
    <x v="9"/>
    <s v="Ziogas/Christof"/>
    <n v="1"/>
    <n v="10"/>
    <n v="3"/>
    <n v="0"/>
    <x v="17"/>
    <s v="vs Aris"/>
    <n v="150"/>
    <n v="0.48199999999999998"/>
    <n v="46"/>
    <n v="0.32900000000000001"/>
    <n v="0.85899999999999999"/>
    <n v="431"/>
    <n v="37"/>
    <n v="125"/>
    <n v="104"/>
    <n v="23"/>
    <n v="6"/>
    <n v="43"/>
    <n v="2.42"/>
  </r>
  <r>
    <x v="7"/>
    <x v="0"/>
    <x v="3"/>
    <n v="43"/>
    <x v="16"/>
    <s v="Aris"/>
    <n v="0"/>
    <n v="3"/>
    <n v="10"/>
    <n v="0"/>
    <x v="8"/>
    <s v="vs Ziogas/Christof"/>
    <n v="117"/>
    <n v="0.51300000000000001"/>
    <n v="25"/>
    <n v="0.32100000000000001"/>
    <n v="0.66700000000000004"/>
    <n v="287"/>
    <n v="28"/>
    <n v="83"/>
    <n v="70"/>
    <n v="37"/>
    <n v="20"/>
    <n v="49"/>
    <n v="1.43"/>
  </r>
  <r>
    <x v="7"/>
    <x v="0"/>
    <x v="3"/>
    <n v="44"/>
    <x v="26"/>
    <s v="Lafa"/>
    <n v="1"/>
    <n v="10"/>
    <n v="3"/>
    <n v="0"/>
    <x v="6"/>
    <s v="vs Johnny"/>
    <n v="239"/>
    <n v="0.47499999999999998"/>
    <n v="82"/>
    <n v="0.38900000000000001"/>
    <n v="0.8"/>
    <n v="664"/>
    <n v="51"/>
    <n v="150"/>
    <n v="147"/>
    <n v="41"/>
    <n v="26"/>
    <n v="70"/>
    <n v="2.1"/>
  </r>
  <r>
    <x v="7"/>
    <x v="0"/>
    <x v="3"/>
    <n v="44"/>
    <x v="7"/>
    <s v="Johnny"/>
    <n v="0"/>
    <n v="3"/>
    <n v="10"/>
    <n v="0"/>
    <x v="26"/>
    <s v="vs Lafa"/>
    <n v="175"/>
    <n v="0.44400000000000001"/>
    <n v="68"/>
    <n v="0.38900000000000001"/>
    <n v="0.86699999999999999"/>
    <n v="509"/>
    <n v="36"/>
    <n v="126"/>
    <n v="129"/>
    <n v="32"/>
    <n v="19"/>
    <n v="60"/>
    <n v="2.15"/>
  </r>
  <r>
    <x v="7"/>
    <x v="0"/>
    <x v="3"/>
    <n v="45"/>
    <x v="23"/>
    <s v="Sarantos"/>
    <n v="1"/>
    <n v="11"/>
    <n v="2"/>
    <n v="0"/>
    <x v="16"/>
    <s v="vs Spiridaus/Oladipas"/>
    <n v="159"/>
    <n v="0.48599999999999999"/>
    <n v="39"/>
    <n v="0.35499999999999998"/>
    <n v="0.82699999999999996"/>
    <n v="443"/>
    <n v="40"/>
    <n v="107"/>
    <n v="81"/>
    <n v="32"/>
    <n v="28"/>
    <n v="53"/>
    <n v="1.53"/>
  </r>
  <r>
    <x v="7"/>
    <x v="0"/>
    <x v="3"/>
    <n v="45"/>
    <x v="17"/>
    <s v="Spiridaus/Oladipas"/>
    <n v="0"/>
    <n v="2"/>
    <n v="11"/>
    <n v="0"/>
    <x v="23"/>
    <s v="vs Sarantos"/>
    <n v="123"/>
    <n v="0.39800000000000002"/>
    <n v="58"/>
    <n v="0.312"/>
    <n v="0.68200000000000005"/>
    <n v="334"/>
    <n v="32"/>
    <n v="93"/>
    <n v="62"/>
    <n v="29"/>
    <n v="22"/>
    <n v="46"/>
    <n v="1.35"/>
  </r>
  <r>
    <x v="7"/>
    <x v="0"/>
    <x v="3"/>
    <n v="46"/>
    <x v="20"/>
    <s v="Guru"/>
    <n v="0"/>
    <n v="6"/>
    <n v="6"/>
    <n v="1"/>
    <x v="10"/>
    <s v="vs pi/Sotiris"/>
    <n v="111"/>
    <n v="0.47599999999999998"/>
    <n v="56"/>
    <n v="0.438"/>
    <n v="0.91300000000000003"/>
    <n v="320"/>
    <n v="26"/>
    <n v="68"/>
    <n v="86"/>
    <n v="26"/>
    <n v="6"/>
    <n v="39"/>
    <n v="2.21"/>
  </r>
  <r>
    <x v="7"/>
    <x v="0"/>
    <x v="3"/>
    <n v="46"/>
    <x v="11"/>
    <s v="pi/Sotiris"/>
    <n v="0"/>
    <n v="6"/>
    <n v="6"/>
    <n v="1"/>
    <x v="20"/>
    <s v="vs Guru"/>
    <n v="152"/>
    <n v="0.45500000000000002"/>
    <n v="56"/>
    <n v="0.35399999999999998"/>
    <n v="0.85299999999999998"/>
    <n v="424"/>
    <n v="19"/>
    <n v="94"/>
    <n v="124"/>
    <n v="21"/>
    <n v="19"/>
    <n v="40"/>
    <n v="3.1"/>
  </r>
  <r>
    <x v="7"/>
    <x v="0"/>
    <x v="3"/>
    <n v="47"/>
    <x v="1"/>
    <s v="Fanis"/>
    <n v="0"/>
    <n v="4"/>
    <n v="9"/>
    <n v="0"/>
    <x v="2"/>
    <s v="vs Sakellariou"/>
    <n v="169"/>
    <n v="0.49299999999999999"/>
    <n v="49"/>
    <n v="0.38300000000000001"/>
    <n v="0.80200000000000005"/>
    <n v="460"/>
    <n v="54"/>
    <n v="125"/>
    <n v="90"/>
    <n v="19"/>
    <n v="28"/>
    <n v="69"/>
    <n v="1.3"/>
  </r>
  <r>
    <x v="7"/>
    <x v="0"/>
    <x v="3"/>
    <n v="47"/>
    <x v="3"/>
    <s v="Sakellariou"/>
    <n v="1"/>
    <n v="9"/>
    <n v="4"/>
    <n v="0"/>
    <x v="0"/>
    <s v="vs Fanis"/>
    <n v="172"/>
    <n v="0.46"/>
    <n v="74"/>
    <n v="0.40699999999999997"/>
    <n v="0.78200000000000003"/>
    <n v="486"/>
    <n v="39"/>
    <n v="148"/>
    <n v="141"/>
    <n v="46"/>
    <n v="13"/>
    <n v="58"/>
    <n v="2.4300000000000002"/>
  </r>
  <r>
    <x v="7"/>
    <x v="0"/>
    <x v="3"/>
    <n v="48"/>
    <x v="28"/>
    <s v="Panos"/>
    <n v="0"/>
    <n v="2"/>
    <n v="11"/>
    <n v="0"/>
    <x v="14"/>
    <s v="vs Vasilis"/>
    <n v="186"/>
    <n v="0.45500000000000002"/>
    <n v="61"/>
    <n v="0.35499999999999998"/>
    <n v="0.78600000000000003"/>
    <n v="521"/>
    <n v="42"/>
    <n v="114"/>
    <n v="106"/>
    <n v="33"/>
    <n v="14"/>
    <n v="58"/>
    <n v="1.83"/>
  </r>
  <r>
    <x v="7"/>
    <x v="0"/>
    <x v="3"/>
    <n v="48"/>
    <x v="15"/>
    <s v="Vasilis"/>
    <n v="1"/>
    <n v="11"/>
    <n v="2"/>
    <n v="0"/>
    <x v="28"/>
    <s v="vs Panos"/>
    <n v="227"/>
    <n v="0.44"/>
    <n v="69"/>
    <n v="0.36699999999999999"/>
    <n v="0.85099999999999998"/>
    <n v="637"/>
    <n v="44"/>
    <n v="151"/>
    <n v="156"/>
    <n v="44"/>
    <n v="24"/>
    <n v="84"/>
    <n v="1.86"/>
  </r>
  <r>
    <x v="7"/>
    <x v="0"/>
    <x v="3"/>
    <n v="49"/>
    <x v="12"/>
    <s v="Stavros"/>
    <n v="0"/>
    <n v="6"/>
    <n v="6"/>
    <n v="1"/>
    <x v="3"/>
    <s v="vs Fountos"/>
    <n v="141"/>
    <n v="0.46400000000000002"/>
    <n v="44"/>
    <n v="0.34899999999999998"/>
    <n v="0.877"/>
    <n v="397"/>
    <n v="37"/>
    <n v="103"/>
    <n v="90"/>
    <n v="28"/>
    <n v="21"/>
    <n v="59"/>
    <n v="1.53"/>
  </r>
  <r>
    <x v="7"/>
    <x v="0"/>
    <x v="3"/>
    <n v="49"/>
    <x v="2"/>
    <s v="Fountos"/>
    <n v="0"/>
    <n v="6"/>
    <n v="6"/>
    <n v="1"/>
    <x v="13"/>
    <s v="vs Stavros"/>
    <n v="151"/>
    <n v="0.45100000000000001"/>
    <n v="55"/>
    <n v="0.34799999999999998"/>
    <n v="0.82499999999999996"/>
    <n v="404"/>
    <n v="21"/>
    <n v="103"/>
    <n v="84"/>
    <n v="29"/>
    <n v="10"/>
    <n v="49"/>
    <n v="1.71"/>
  </r>
  <r>
    <x v="7"/>
    <x v="0"/>
    <x v="3"/>
    <n v="50"/>
    <x v="6"/>
    <s v="Tassos"/>
    <n v="1"/>
    <n v="10"/>
    <n v="3"/>
    <n v="0"/>
    <x v="27"/>
    <s v="vs Dimitris"/>
    <n v="236"/>
    <n v="0.502"/>
    <n v="62"/>
    <n v="0.378"/>
    <n v="0.82499999999999996"/>
    <n v="647"/>
    <n v="57"/>
    <n v="154"/>
    <n v="152"/>
    <n v="35"/>
    <n v="15"/>
    <n v="68"/>
    <n v="2.2400000000000002"/>
  </r>
  <r>
    <x v="7"/>
    <x v="0"/>
    <x v="3"/>
    <n v="50"/>
    <x v="27"/>
    <s v="Dimitris"/>
    <n v="0"/>
    <n v="3"/>
    <n v="10"/>
    <n v="0"/>
    <x v="7"/>
    <s v="vs Tassos"/>
    <n v="145"/>
    <n v="0.47399999999999998"/>
    <n v="49"/>
    <n v="0.374"/>
    <n v="0.875"/>
    <n v="423"/>
    <n v="42"/>
    <n v="125"/>
    <n v="75"/>
    <n v="27"/>
    <n v="18"/>
    <n v="52"/>
    <n v="1.44"/>
  </r>
  <r>
    <x v="7"/>
    <x v="0"/>
    <x v="4"/>
    <n v="51"/>
    <x v="25"/>
    <s v="Arvanitis"/>
    <n v="0"/>
    <n v="4"/>
    <n v="9"/>
    <n v="0"/>
    <x v="24"/>
    <s v="vs Tolios"/>
    <n v="133"/>
    <n v="0.47199999999999998"/>
    <n v="40"/>
    <n v="0.40799999999999997"/>
    <n v="0.748"/>
    <n v="386"/>
    <n v="52"/>
    <n v="124"/>
    <n v="77"/>
    <n v="42"/>
    <n v="22"/>
    <n v="59"/>
    <n v="1.31"/>
  </r>
  <r>
    <x v="7"/>
    <x v="0"/>
    <x v="4"/>
    <n v="51"/>
    <x v="24"/>
    <s v="Tolios"/>
    <n v="1"/>
    <n v="9"/>
    <n v="4"/>
    <n v="0"/>
    <x v="25"/>
    <s v="vs Arvanitis"/>
    <n v="177"/>
    <n v="0.54300000000000004"/>
    <n v="42"/>
    <n v="0.39600000000000002"/>
    <n v="0.80200000000000005"/>
    <n v="469"/>
    <n v="56"/>
    <n v="116"/>
    <n v="92"/>
    <n v="26"/>
    <n v="19"/>
    <n v="36"/>
    <n v="2.56"/>
  </r>
  <r>
    <x v="7"/>
    <x v="0"/>
    <x v="4"/>
    <n v="52"/>
    <x v="16"/>
    <s v="Aris"/>
    <n v="0"/>
    <n v="3"/>
    <n v="10"/>
    <n v="0"/>
    <x v="19"/>
    <s v="vs Kotakis"/>
    <n v="103"/>
    <n v="0.438"/>
    <n v="45"/>
    <n v="0.42099999999999999"/>
    <n v="0.75600000000000001"/>
    <n v="285"/>
    <n v="25"/>
    <n v="82"/>
    <n v="50"/>
    <n v="19"/>
    <n v="25"/>
    <n v="39"/>
    <n v="1.28"/>
  </r>
  <r>
    <x v="7"/>
    <x v="0"/>
    <x v="4"/>
    <n v="52"/>
    <x v="18"/>
    <s v="Kotakis"/>
    <n v="1"/>
    <n v="10"/>
    <n v="3"/>
    <n v="0"/>
    <x v="17"/>
    <s v="vs Aris"/>
    <n v="148"/>
    <n v="0.46500000000000002"/>
    <n v="39"/>
    <n v="0.30199999999999999"/>
    <n v="0.77900000000000003"/>
    <n v="388"/>
    <n v="47"/>
    <n v="123"/>
    <n v="80"/>
    <n v="35"/>
    <n v="8"/>
    <n v="34"/>
    <n v="2.35"/>
  </r>
  <r>
    <x v="7"/>
    <x v="0"/>
    <x v="4"/>
    <n v="53"/>
    <x v="7"/>
    <s v="Johnny"/>
    <n v="0"/>
    <n v="5"/>
    <n v="7"/>
    <n v="1"/>
    <x v="21"/>
    <s v="vs Tzokos"/>
    <n v="105"/>
    <n v="0.375"/>
    <n v="50"/>
    <n v="0.376"/>
    <n v="0.77500000000000002"/>
    <n v="322"/>
    <n v="27"/>
    <n v="95"/>
    <n v="82"/>
    <n v="19"/>
    <n v="18"/>
    <n v="32"/>
    <n v="2.56"/>
  </r>
  <r>
    <x v="7"/>
    <x v="0"/>
    <x v="4"/>
    <n v="53"/>
    <x v="21"/>
    <s v="Tzokos"/>
    <n v="1"/>
    <n v="7"/>
    <n v="5"/>
    <n v="1"/>
    <x v="6"/>
    <s v="vs Johnny"/>
    <n v="111"/>
    <n v="0.505"/>
    <n v="28"/>
    <n v="0.36799999999999999"/>
    <n v="0.76900000000000002"/>
    <n v="300"/>
    <n v="38"/>
    <n v="111"/>
    <n v="87"/>
    <n v="26"/>
    <n v="16"/>
    <n v="32"/>
    <n v="2.72"/>
  </r>
  <r>
    <x v="7"/>
    <x v="0"/>
    <x v="4"/>
    <n v="54"/>
    <x v="17"/>
    <s v="Spiridaus/Oladipas"/>
    <n v="1"/>
    <n v="10"/>
    <n v="3"/>
    <n v="0"/>
    <x v="8"/>
    <s v="vs Ziogas/Christof"/>
    <n v="126"/>
    <n v="0.46700000000000003"/>
    <n v="53"/>
    <n v="0.39300000000000002"/>
    <n v="0.82199999999999995"/>
    <n v="342"/>
    <n v="36"/>
    <n v="92"/>
    <n v="59"/>
    <n v="22"/>
    <n v="22"/>
    <n v="42"/>
    <n v="1.4"/>
  </r>
  <r>
    <x v="7"/>
    <x v="0"/>
    <x v="4"/>
    <n v="54"/>
    <x v="9"/>
    <s v="Ziogas/Christof"/>
    <n v="0"/>
    <n v="3"/>
    <n v="10"/>
    <n v="0"/>
    <x v="16"/>
    <s v="vs Spiridaus/Oladipas"/>
    <n v="101"/>
    <n v="0.47899999999999998"/>
    <n v="33"/>
    <n v="0.33300000000000002"/>
    <n v="0.76700000000000002"/>
    <n v="291"/>
    <n v="22"/>
    <n v="89"/>
    <n v="49"/>
    <n v="18"/>
    <n v="10"/>
    <n v="25"/>
    <n v="1.96"/>
  </r>
  <r>
    <x v="7"/>
    <x v="0"/>
    <x v="4"/>
    <n v="55"/>
    <x v="11"/>
    <s v="pi/Sotiris"/>
    <n v="1"/>
    <n v="10"/>
    <n v="3"/>
    <n v="0"/>
    <x v="26"/>
    <s v="vs Lafa"/>
    <n v="229"/>
    <n v="0.49199999999999999"/>
    <n v="70"/>
    <n v="0.38700000000000001"/>
    <n v="0.68300000000000005"/>
    <n v="610"/>
    <n v="45"/>
    <n v="159"/>
    <n v="185"/>
    <n v="23"/>
    <n v="17"/>
    <n v="89"/>
    <n v="2.08"/>
  </r>
  <r>
    <x v="7"/>
    <x v="0"/>
    <x v="4"/>
    <n v="55"/>
    <x v="26"/>
    <s v="Lafa"/>
    <n v="0"/>
    <n v="3"/>
    <n v="10"/>
    <n v="0"/>
    <x v="10"/>
    <s v="vs pi/Sotiris"/>
    <n v="144"/>
    <n v="0.45"/>
    <n v="39"/>
    <n v="0.36099999999999999"/>
    <n v="0.76500000000000001"/>
    <n v="402"/>
    <n v="27"/>
    <n v="87"/>
    <n v="89"/>
    <n v="21"/>
    <n v="22"/>
    <n v="78"/>
    <n v="1.1399999999999999"/>
  </r>
  <r>
    <x v="7"/>
    <x v="0"/>
    <x v="4"/>
    <n v="56"/>
    <x v="3"/>
    <s v="Sakellariou"/>
    <n v="0"/>
    <n v="3"/>
    <n v="9"/>
    <n v="1"/>
    <x v="23"/>
    <s v="vs Sarantos"/>
    <n v="129"/>
    <n v="0.40600000000000003"/>
    <n v="55"/>
    <n v="0.377"/>
    <n v="0.78900000000000003"/>
    <n v="388"/>
    <n v="28"/>
    <n v="126"/>
    <n v="105"/>
    <n v="31"/>
    <n v="14"/>
    <n v="59"/>
    <n v="1.78"/>
  </r>
  <r>
    <x v="7"/>
    <x v="0"/>
    <x v="4"/>
    <n v="56"/>
    <x v="23"/>
    <s v="Sarantos"/>
    <n v="1"/>
    <n v="9"/>
    <n v="3"/>
    <n v="1"/>
    <x v="2"/>
    <s v="vs Sakellariou"/>
    <n v="143"/>
    <n v="0.441"/>
    <n v="48"/>
    <n v="0.34499999999999997"/>
    <n v="0.79800000000000004"/>
    <n v="409"/>
    <n v="42"/>
    <n v="120"/>
    <n v="106"/>
    <n v="31"/>
    <n v="17"/>
    <n v="58"/>
    <n v="1.83"/>
  </r>
  <r>
    <x v="7"/>
    <x v="0"/>
    <x v="4"/>
    <n v="57"/>
    <x v="15"/>
    <s v="Vasilis"/>
    <n v="1"/>
    <n v="7"/>
    <n v="6"/>
    <n v="0"/>
    <x v="20"/>
    <s v="vs Guru"/>
    <n v="155"/>
    <n v="0.45200000000000001"/>
    <n v="50"/>
    <n v="0.379"/>
    <n v="0.8"/>
    <n v="436"/>
    <n v="43"/>
    <n v="97"/>
    <n v="107"/>
    <n v="31"/>
    <n v="19"/>
    <n v="53"/>
    <n v="2.02"/>
  </r>
  <r>
    <x v="7"/>
    <x v="0"/>
    <x v="4"/>
    <n v="57"/>
    <x v="20"/>
    <s v="Guru"/>
    <n v="0"/>
    <n v="6"/>
    <n v="7"/>
    <n v="0"/>
    <x v="14"/>
    <s v="vs Vasilis"/>
    <n v="140"/>
    <n v="0.47799999999999998"/>
    <n v="59"/>
    <n v="0.373"/>
    <n v="0.83299999999999996"/>
    <n v="394"/>
    <n v="29"/>
    <n v="83"/>
    <n v="85"/>
    <n v="18"/>
    <n v="20"/>
    <n v="34"/>
    <n v="2.5"/>
  </r>
  <r>
    <x v="7"/>
    <x v="0"/>
    <x v="4"/>
    <n v="58"/>
    <x v="2"/>
    <s v="Fountos"/>
    <n v="0"/>
    <n v="4"/>
    <n v="9"/>
    <n v="0"/>
    <x v="0"/>
    <s v="vs Fanis"/>
    <n v="160"/>
    <n v="0.47599999999999998"/>
    <n v="53"/>
    <n v="0.35799999999999998"/>
    <n v="0.70499999999999996"/>
    <n v="428"/>
    <n v="32"/>
    <n v="116"/>
    <n v="108"/>
    <n v="22"/>
    <n v="14"/>
    <n v="67"/>
    <n v="1.61"/>
  </r>
  <r>
    <x v="7"/>
    <x v="0"/>
    <x v="4"/>
    <n v="58"/>
    <x v="1"/>
    <s v="Fanis"/>
    <n v="1"/>
    <n v="9"/>
    <n v="4"/>
    <n v="0"/>
    <x v="3"/>
    <s v="vs Fountos"/>
    <n v="169"/>
    <n v="0.45900000000000002"/>
    <n v="41"/>
    <n v="0.29699999999999999"/>
    <n v="0.755"/>
    <n v="453"/>
    <n v="49"/>
    <n v="163"/>
    <n v="147"/>
    <n v="31"/>
    <n v="28"/>
    <n v="68"/>
    <n v="2.16"/>
  </r>
  <r>
    <x v="7"/>
    <x v="0"/>
    <x v="4"/>
    <n v="59"/>
    <x v="27"/>
    <s v="Dimitris"/>
    <n v="1"/>
    <n v="10"/>
    <n v="3"/>
    <n v="0"/>
    <x v="28"/>
    <s v="vs Panos"/>
    <n v="182"/>
    <n v="0.48"/>
    <n v="73"/>
    <n v="0.41699999999999998"/>
    <n v="0.79500000000000004"/>
    <n v="495"/>
    <n v="41"/>
    <n v="120"/>
    <n v="89"/>
    <n v="26"/>
    <n v="21"/>
    <n v="59"/>
    <n v="1.51"/>
  </r>
  <r>
    <x v="7"/>
    <x v="0"/>
    <x v="4"/>
    <n v="59"/>
    <x v="28"/>
    <s v="Panos"/>
    <n v="0"/>
    <n v="3"/>
    <n v="10"/>
    <n v="0"/>
    <x v="27"/>
    <s v="vs Dimitris"/>
    <n v="127"/>
    <n v="0.42499999999999999"/>
    <n v="47"/>
    <n v="0.35299999999999998"/>
    <n v="0.83099999999999996"/>
    <n v="360"/>
    <n v="36"/>
    <n v="97"/>
    <n v="88"/>
    <n v="18"/>
    <n v="7"/>
    <n v="43"/>
    <n v="2.0499999999999998"/>
  </r>
  <r>
    <x v="7"/>
    <x v="0"/>
    <x v="4"/>
    <n v="60"/>
    <x v="6"/>
    <s v="Tassos"/>
    <n v="1"/>
    <n v="7"/>
    <n v="5"/>
    <n v="1"/>
    <x v="13"/>
    <s v="vs Stavros"/>
    <n v="190"/>
    <n v="0.438"/>
    <n v="68"/>
    <n v="0.376"/>
    <n v="0.86299999999999999"/>
    <n v="517"/>
    <n v="46"/>
    <n v="148"/>
    <n v="142"/>
    <n v="31"/>
    <n v="21"/>
    <n v="67"/>
    <n v="2.12"/>
  </r>
  <r>
    <x v="7"/>
    <x v="0"/>
    <x v="4"/>
    <n v="60"/>
    <x v="12"/>
    <s v="Stavros"/>
    <n v="0"/>
    <n v="5"/>
    <n v="7"/>
    <n v="1"/>
    <x v="7"/>
    <s v="vs Tassos"/>
    <n v="190"/>
    <n v="0.53500000000000003"/>
    <n v="59"/>
    <n v="0.42399999999999999"/>
    <n v="0.80300000000000005"/>
    <n v="496"/>
    <n v="37"/>
    <n v="126"/>
    <n v="97"/>
    <n v="42"/>
    <n v="31"/>
    <n v="46"/>
    <n v="2.11"/>
  </r>
  <r>
    <x v="7"/>
    <x v="0"/>
    <x v="5"/>
    <n v="61"/>
    <x v="24"/>
    <s v="Tolios"/>
    <n v="1"/>
    <n v="10"/>
    <n v="3"/>
    <n v="0"/>
    <x v="17"/>
    <s v="vs Aris"/>
    <n v="174"/>
    <n v="0.45900000000000002"/>
    <n v="55"/>
    <n v="0.372"/>
    <n v="0.80900000000000005"/>
    <n v="479"/>
    <n v="34"/>
    <n v="124"/>
    <n v="96"/>
    <n v="32"/>
    <n v="18"/>
    <n v="46"/>
    <n v="2.09"/>
  </r>
  <r>
    <x v="7"/>
    <x v="0"/>
    <x v="5"/>
    <n v="61"/>
    <x v="16"/>
    <s v="Aris"/>
    <n v="0"/>
    <n v="3"/>
    <n v="10"/>
    <n v="0"/>
    <x v="24"/>
    <s v="vs Tolios"/>
    <n v="130"/>
    <n v="0.45800000000000002"/>
    <n v="46"/>
    <n v="0.371"/>
    <n v="0.73799999999999999"/>
    <n v="351"/>
    <n v="30"/>
    <n v="82"/>
    <n v="76"/>
    <n v="30"/>
    <n v="22"/>
    <n v="34"/>
    <n v="2.2400000000000002"/>
  </r>
  <r>
    <x v="7"/>
    <x v="0"/>
    <x v="5"/>
    <n v="62"/>
    <x v="25"/>
    <s v="Arvanitis"/>
    <n v="1"/>
    <n v="8"/>
    <n v="5"/>
    <n v="0"/>
    <x v="6"/>
    <s v="vs Johnny"/>
    <n v="153"/>
    <n v="0.5"/>
    <n v="30"/>
    <n v="0.28799999999999998"/>
    <n v="0.71599999999999997"/>
    <n v="394"/>
    <n v="46"/>
    <n v="144"/>
    <n v="99"/>
    <n v="29"/>
    <n v="39"/>
    <n v="64"/>
    <n v="1.55"/>
  </r>
  <r>
    <x v="7"/>
    <x v="0"/>
    <x v="5"/>
    <n v="62"/>
    <x v="7"/>
    <s v="Johnny"/>
    <n v="0"/>
    <n v="5"/>
    <n v="8"/>
    <n v="0"/>
    <x v="25"/>
    <s v="vs Arvanitis"/>
    <n v="133"/>
    <n v="0.45500000000000002"/>
    <n v="48"/>
    <n v="0.36099999999999999"/>
    <n v="0.81299999999999994"/>
    <n v="379"/>
    <n v="21"/>
    <n v="116"/>
    <n v="74"/>
    <n v="20"/>
    <n v="15"/>
    <n v="43"/>
    <n v="1.72"/>
  </r>
  <r>
    <x v="7"/>
    <x v="0"/>
    <x v="5"/>
    <n v="63"/>
    <x v="18"/>
    <s v="Kotakis"/>
    <n v="1"/>
    <n v="8"/>
    <n v="5"/>
    <n v="0"/>
    <x v="16"/>
    <s v="vs Spiridaus/Oladipas"/>
    <n v="193"/>
    <n v="0.495"/>
    <n v="79"/>
    <n v="0.45100000000000001"/>
    <n v="0.77600000000000002"/>
    <n v="555"/>
    <n v="54"/>
    <n v="154"/>
    <n v="111"/>
    <n v="24"/>
    <n v="19"/>
    <n v="52"/>
    <n v="2.13"/>
  </r>
  <r>
    <x v="7"/>
    <x v="0"/>
    <x v="5"/>
    <n v="63"/>
    <x v="17"/>
    <s v="Spiridaus/Oladipas"/>
    <n v="0"/>
    <n v="5"/>
    <n v="8"/>
    <n v="0"/>
    <x v="19"/>
    <s v="vs Kotakis"/>
    <n v="190"/>
    <n v="0.441"/>
    <n v="83"/>
    <n v="0.371"/>
    <n v="0.8"/>
    <n v="515"/>
    <n v="45"/>
    <n v="131"/>
    <n v="120"/>
    <n v="31"/>
    <n v="32"/>
    <n v="68"/>
    <n v="1.76"/>
  </r>
  <r>
    <x v="7"/>
    <x v="0"/>
    <x v="5"/>
    <n v="64"/>
    <x v="21"/>
    <s v="Tzokos"/>
    <n v="1"/>
    <n v="12"/>
    <n v="1"/>
    <n v="0"/>
    <x v="10"/>
    <s v="vs pi/Sotiris"/>
    <n v="163"/>
    <n v="0.48199999999999998"/>
    <n v="42"/>
    <n v="0.35599999999999998"/>
    <n v="0.85799999999999998"/>
    <n v="459"/>
    <n v="58"/>
    <n v="119"/>
    <n v="128"/>
    <n v="33"/>
    <n v="33"/>
    <n v="42"/>
    <n v="3.05"/>
  </r>
  <r>
    <x v="7"/>
    <x v="0"/>
    <x v="5"/>
    <n v="64"/>
    <x v="11"/>
    <s v="pi/Sotiris"/>
    <n v="0"/>
    <n v="1"/>
    <n v="12"/>
    <n v="0"/>
    <x v="21"/>
    <s v="vs Tzokos"/>
    <n v="161"/>
    <n v="0.46400000000000002"/>
    <n v="52"/>
    <n v="0.34200000000000003"/>
    <n v="0.75900000000000001"/>
    <n v="437"/>
    <n v="29"/>
    <n v="107"/>
    <n v="104"/>
    <n v="25"/>
    <n v="9"/>
    <n v="55"/>
    <n v="1.89"/>
  </r>
  <r>
    <x v="7"/>
    <x v="0"/>
    <x v="5"/>
    <n v="65"/>
    <x v="9"/>
    <s v="Ziogas/Christof"/>
    <n v="0"/>
    <n v="3"/>
    <n v="10"/>
    <n v="0"/>
    <x v="2"/>
    <s v="vs Sakellariou"/>
    <n v="126"/>
    <n v="0.45300000000000001"/>
    <n v="30"/>
    <n v="0.26500000000000001"/>
    <n v="0.745"/>
    <n v="320"/>
    <n v="30"/>
    <n v="127"/>
    <n v="71"/>
    <n v="29"/>
    <n v="11"/>
    <n v="50"/>
    <n v="1.42"/>
  </r>
  <r>
    <x v="7"/>
    <x v="0"/>
    <x v="5"/>
    <n v="65"/>
    <x v="3"/>
    <s v="Sakellariou"/>
    <n v="1"/>
    <n v="10"/>
    <n v="3"/>
    <n v="0"/>
    <x v="8"/>
    <s v="vs Ziogas/Christof"/>
    <n v="193"/>
    <n v="0.44500000000000001"/>
    <n v="54"/>
    <n v="0.318"/>
    <n v="0.82499999999999996"/>
    <n v="520"/>
    <n v="49"/>
    <n v="162"/>
    <n v="174"/>
    <n v="40"/>
    <n v="9"/>
    <n v="69"/>
    <n v="2.52"/>
  </r>
  <r>
    <x v="7"/>
    <x v="0"/>
    <x v="5"/>
    <n v="66"/>
    <x v="26"/>
    <s v="Lafa"/>
    <n v="0"/>
    <n v="3"/>
    <n v="10"/>
    <n v="0"/>
    <x v="14"/>
    <s v="vs Vasilis"/>
    <n v="129"/>
    <n v="0.437"/>
    <n v="36"/>
    <n v="0.29799999999999999"/>
    <n v="0.81699999999999995"/>
    <n v="361"/>
    <n v="61"/>
    <n v="105"/>
    <n v="101"/>
    <n v="33"/>
    <n v="30"/>
    <n v="55"/>
    <n v="1.84"/>
  </r>
  <r>
    <x v="7"/>
    <x v="0"/>
    <x v="5"/>
    <n v="66"/>
    <x v="15"/>
    <s v="Vasilis"/>
    <n v="1"/>
    <n v="10"/>
    <n v="3"/>
    <n v="0"/>
    <x v="26"/>
    <s v="vs Lafa"/>
    <n v="183"/>
    <n v="0.48899999999999999"/>
    <n v="38"/>
    <n v="0.314"/>
    <n v="0.75800000000000001"/>
    <n v="504"/>
    <n v="29"/>
    <n v="170"/>
    <n v="130"/>
    <n v="37"/>
    <n v="20"/>
    <n v="50"/>
    <n v="2.6"/>
  </r>
  <r>
    <x v="7"/>
    <x v="0"/>
    <x v="5"/>
    <n v="67"/>
    <x v="23"/>
    <s v="Sarantos"/>
    <n v="1"/>
    <n v="8"/>
    <n v="5"/>
    <n v="0"/>
    <x v="3"/>
    <s v="vs Fountos"/>
    <n v="167"/>
    <n v="0.52800000000000002"/>
    <n v="55"/>
    <n v="0.43"/>
    <n v="0.73099999999999998"/>
    <n v="446"/>
    <n v="42"/>
    <n v="115"/>
    <n v="103"/>
    <n v="36"/>
    <n v="29"/>
    <n v="51"/>
    <n v="2.02"/>
  </r>
  <r>
    <x v="7"/>
    <x v="0"/>
    <x v="5"/>
    <n v="67"/>
    <x v="2"/>
    <s v="Fountos"/>
    <n v="0"/>
    <n v="5"/>
    <n v="8"/>
    <n v="0"/>
    <x v="23"/>
    <s v="vs Sarantos"/>
    <n v="178"/>
    <n v="0.46100000000000002"/>
    <n v="49"/>
    <n v="0.33100000000000002"/>
    <n v="0.84399999999999997"/>
    <n v="481"/>
    <n v="28"/>
    <n v="118"/>
    <n v="117"/>
    <n v="29"/>
    <n v="16"/>
    <n v="71"/>
    <n v="1.65"/>
  </r>
  <r>
    <x v="7"/>
    <x v="0"/>
    <x v="5"/>
    <n v="68"/>
    <x v="20"/>
    <s v="Guru"/>
    <n v="1"/>
    <n v="9"/>
    <n v="4"/>
    <n v="0"/>
    <x v="27"/>
    <s v="vs Dimitris"/>
    <n v="168"/>
    <n v="0.442"/>
    <n v="63"/>
    <n v="0.33700000000000002"/>
    <n v="0.753"/>
    <n v="463"/>
    <n v="37"/>
    <n v="106"/>
    <n v="96"/>
    <n v="23"/>
    <n v="20"/>
    <n v="46"/>
    <n v="2.09"/>
  </r>
  <r>
    <x v="7"/>
    <x v="0"/>
    <x v="5"/>
    <n v="68"/>
    <x v="27"/>
    <s v="Dimitris"/>
    <n v="0"/>
    <n v="4"/>
    <n v="9"/>
    <n v="0"/>
    <x v="20"/>
    <s v="vs Guru"/>
    <n v="123"/>
    <n v="0.42299999999999999"/>
    <n v="40"/>
    <n v="0.315"/>
    <n v="0.81499999999999995"/>
    <n v="352"/>
    <n v="34"/>
    <n v="122"/>
    <n v="65"/>
    <n v="26"/>
    <n v="12"/>
    <n v="44"/>
    <n v="1.48"/>
  </r>
  <r>
    <x v="7"/>
    <x v="0"/>
    <x v="5"/>
    <n v="69"/>
    <x v="1"/>
    <s v="Fanis"/>
    <n v="0"/>
    <n v="6"/>
    <n v="7"/>
    <n v="0"/>
    <x v="7"/>
    <s v="vs Tassos"/>
    <n v="205"/>
    <n v="0.52300000000000002"/>
    <n v="48"/>
    <n v="0.34499999999999997"/>
    <n v="0.72499999999999998"/>
    <n v="524"/>
    <n v="44"/>
    <n v="184"/>
    <n v="171"/>
    <n v="37"/>
    <n v="24"/>
    <n v="88"/>
    <n v="1.94"/>
  </r>
  <r>
    <x v="7"/>
    <x v="0"/>
    <x v="5"/>
    <n v="69"/>
    <x v="6"/>
    <s v="Tassos"/>
    <n v="1"/>
    <n v="7"/>
    <n v="6"/>
    <n v="0"/>
    <x v="0"/>
    <s v="vs Fanis"/>
    <n v="202"/>
    <n v="0.47399999999999998"/>
    <n v="70"/>
    <n v="0.38300000000000001"/>
    <n v="0.82899999999999996"/>
    <n v="561"/>
    <n v="40"/>
    <n v="170"/>
    <n v="158"/>
    <n v="45"/>
    <n v="16"/>
    <n v="57"/>
    <n v="2.77"/>
  </r>
  <r>
    <x v="7"/>
    <x v="0"/>
    <x v="5"/>
    <n v="70"/>
    <x v="28"/>
    <s v="Panos"/>
    <n v="1"/>
    <n v="8"/>
    <n v="5"/>
    <n v="0"/>
    <x v="13"/>
    <s v="vs Stavros"/>
    <n v="186"/>
    <n v="0.46500000000000002"/>
    <n v="63"/>
    <n v="0.35"/>
    <n v="0.79200000000000004"/>
    <n v="515"/>
    <n v="51"/>
    <n v="118"/>
    <n v="109"/>
    <n v="27"/>
    <n v="22"/>
    <n v="55"/>
    <n v="1.98"/>
  </r>
  <r>
    <x v="7"/>
    <x v="0"/>
    <x v="5"/>
    <n v="70"/>
    <x v="12"/>
    <s v="Stavros"/>
    <n v="0"/>
    <n v="5"/>
    <n v="8"/>
    <n v="0"/>
    <x v="28"/>
    <s v="vs Panos"/>
    <n v="152"/>
    <n v="0.56100000000000005"/>
    <n v="43"/>
    <n v="0.46700000000000003"/>
    <n v="0.86799999999999999"/>
    <n v="406"/>
    <n v="28"/>
    <n v="104"/>
    <n v="84"/>
    <n v="21"/>
    <n v="12"/>
    <n v="40"/>
    <n v="2.1"/>
  </r>
  <r>
    <x v="7"/>
    <x v="0"/>
    <x v="6"/>
    <n v="71"/>
    <x v="7"/>
    <s v="Johnny"/>
    <n v="0"/>
    <n v="4"/>
    <n v="9"/>
    <n v="0"/>
    <x v="24"/>
    <s v="vs Tolios"/>
    <n v="139"/>
    <n v="0.443"/>
    <n v="54"/>
    <n v="0.36199999999999999"/>
    <n v="0.75"/>
    <n v="383"/>
    <n v="29"/>
    <n v="126"/>
    <n v="109"/>
    <n v="21"/>
    <n v="13"/>
    <n v="60"/>
    <n v="1.82"/>
  </r>
  <r>
    <x v="7"/>
    <x v="0"/>
    <x v="6"/>
    <n v="71"/>
    <x v="24"/>
    <s v="Tolios"/>
    <n v="1"/>
    <n v="9"/>
    <n v="4"/>
    <n v="0"/>
    <x v="6"/>
    <s v="vs Johnny"/>
    <n v="168"/>
    <n v="0.44900000000000001"/>
    <n v="43"/>
    <n v="0.35799999999999998"/>
    <n v="0.82499999999999996"/>
    <n v="483"/>
    <n v="60"/>
    <n v="146"/>
    <n v="91"/>
    <n v="41"/>
    <n v="19"/>
    <n v="58"/>
    <n v="1.57"/>
  </r>
  <r>
    <x v="7"/>
    <x v="0"/>
    <x v="6"/>
    <n v="72"/>
    <x v="17"/>
    <s v="Spiridaus/Oladipas"/>
    <n v="1"/>
    <n v="8"/>
    <n v="4"/>
    <n v="1"/>
    <x v="17"/>
    <s v="vs Aris"/>
    <n v="184"/>
    <n v="0.46600000000000003"/>
    <n v="84"/>
    <n v="0.38200000000000001"/>
    <n v="0.82299999999999995"/>
    <n v="517"/>
    <n v="32"/>
    <n v="107"/>
    <n v="112"/>
    <n v="27"/>
    <n v="15"/>
    <n v="61"/>
    <n v="1.84"/>
  </r>
  <r>
    <x v="7"/>
    <x v="0"/>
    <x v="6"/>
    <n v="72"/>
    <x v="16"/>
    <s v="Aris"/>
    <n v="0"/>
    <n v="4"/>
    <n v="8"/>
    <n v="1"/>
    <x v="16"/>
    <s v="vs Spiridaus/Oladipas"/>
    <n v="155"/>
    <n v="0.48099999999999998"/>
    <n v="45"/>
    <n v="0.34899999999999998"/>
    <n v="0.74199999999999999"/>
    <n v="404"/>
    <n v="32"/>
    <n v="92"/>
    <n v="78"/>
    <n v="41"/>
    <n v="21"/>
    <n v="47"/>
    <n v="1.66"/>
  </r>
  <r>
    <x v="7"/>
    <x v="0"/>
    <x v="6"/>
    <n v="73"/>
    <x v="11"/>
    <s v="pi/Sotiris"/>
    <n v="1"/>
    <n v="10"/>
    <n v="3"/>
    <n v="0"/>
    <x v="25"/>
    <s v="vs Arvanitis"/>
    <n v="252"/>
    <n v="0.52300000000000002"/>
    <n v="53"/>
    <n v="0.33800000000000002"/>
    <n v="0.69899999999999995"/>
    <n v="673"/>
    <n v="40"/>
    <n v="183"/>
    <n v="183"/>
    <n v="43"/>
    <n v="14"/>
    <n v="97"/>
    <n v="1.89"/>
  </r>
  <r>
    <x v="7"/>
    <x v="0"/>
    <x v="6"/>
    <n v="73"/>
    <x v="25"/>
    <s v="Arvanitis"/>
    <n v="0"/>
    <n v="3"/>
    <n v="10"/>
    <n v="0"/>
    <x v="10"/>
    <s v="vs pi/Sotiris"/>
    <n v="122"/>
    <n v="0.46600000000000003"/>
    <n v="28"/>
    <n v="0.29199999999999998"/>
    <n v="0.69799999999999995"/>
    <n v="316"/>
    <n v="49"/>
    <n v="118"/>
    <n v="71"/>
    <n v="22"/>
    <n v="26"/>
    <n v="49"/>
    <n v="1.45"/>
  </r>
  <r>
    <x v="7"/>
    <x v="0"/>
    <x v="6"/>
    <n v="74"/>
    <x v="3"/>
    <s v="Sakellariou"/>
    <n v="1"/>
    <n v="7"/>
    <n v="6"/>
    <n v="0"/>
    <x v="19"/>
    <s v="vs Kotakis"/>
    <n v="188"/>
    <n v="0.441"/>
    <n v="71"/>
    <n v="0.376"/>
    <n v="0.83899999999999997"/>
    <n v="546"/>
    <n v="30"/>
    <n v="133"/>
    <n v="147"/>
    <n v="28"/>
    <n v="23"/>
    <n v="71"/>
    <n v="2.0699999999999998"/>
  </r>
  <r>
    <x v="7"/>
    <x v="0"/>
    <x v="6"/>
    <n v="74"/>
    <x v="18"/>
    <s v="Kotakis"/>
    <n v="0"/>
    <n v="6"/>
    <n v="7"/>
    <n v="0"/>
    <x v="2"/>
    <s v="vs Sakellariou"/>
    <n v="186"/>
    <n v="0.52100000000000002"/>
    <n v="52"/>
    <n v="0.36099999999999999"/>
    <n v="0.8"/>
    <n v="488"/>
    <n v="52"/>
    <n v="159"/>
    <n v="114"/>
    <n v="33"/>
    <n v="18"/>
    <n v="45"/>
    <n v="2.5299999999999998"/>
  </r>
  <r>
    <x v="7"/>
    <x v="0"/>
    <x v="6"/>
    <n v="75"/>
    <x v="15"/>
    <s v="Vasilis"/>
    <n v="1"/>
    <n v="7"/>
    <n v="6"/>
    <n v="0"/>
    <x v="21"/>
    <s v="vs Tzokos"/>
    <n v="210"/>
    <n v="0.48199999999999998"/>
    <n v="70"/>
    <n v="0.378"/>
    <n v="0.82"/>
    <n v="590"/>
    <n v="37"/>
    <n v="144"/>
    <n v="136"/>
    <n v="47"/>
    <n v="19"/>
    <n v="66"/>
    <n v="2.06"/>
  </r>
  <r>
    <x v="7"/>
    <x v="0"/>
    <x v="6"/>
    <n v="75"/>
    <x v="21"/>
    <s v="Tzokos"/>
    <n v="0"/>
    <n v="6"/>
    <n v="7"/>
    <n v="0"/>
    <x v="14"/>
    <s v="vs Vasilis"/>
    <n v="172"/>
    <n v="0.504"/>
    <n v="48"/>
    <n v="0.40699999999999997"/>
    <n v="0.83299999999999996"/>
    <n v="482"/>
    <n v="49"/>
    <n v="96"/>
    <n v="72"/>
    <n v="36"/>
    <n v="21"/>
    <n v="51"/>
    <n v="1.41"/>
  </r>
  <r>
    <x v="7"/>
    <x v="0"/>
    <x v="6"/>
    <n v="76"/>
    <x v="2"/>
    <s v="Fountos"/>
    <n v="1"/>
    <n v="10"/>
    <n v="3"/>
    <n v="0"/>
    <x v="8"/>
    <s v="vs Ziogas/Christof"/>
    <n v="189"/>
    <n v="0.48299999999999998"/>
    <n v="47"/>
    <n v="0.34100000000000003"/>
    <n v="0.81399999999999995"/>
    <n v="504"/>
    <n v="32"/>
    <n v="137"/>
    <n v="137"/>
    <n v="49"/>
    <n v="20"/>
    <n v="80"/>
    <n v="1.71"/>
  </r>
  <r>
    <x v="7"/>
    <x v="0"/>
    <x v="6"/>
    <n v="76"/>
    <x v="9"/>
    <s v="Ziogas/Christof"/>
    <n v="0"/>
    <n v="3"/>
    <n v="10"/>
    <n v="0"/>
    <x v="3"/>
    <s v="vs Fountos"/>
    <n v="105"/>
    <n v="0.46100000000000002"/>
    <n v="32"/>
    <n v="0.32700000000000001"/>
    <n v="0.90200000000000002"/>
    <n v="297"/>
    <n v="23"/>
    <n v="127"/>
    <n v="81"/>
    <n v="27"/>
    <n v="14"/>
    <n v="36"/>
    <n v="2.25"/>
  </r>
  <r>
    <x v="7"/>
    <x v="0"/>
    <x v="6"/>
    <n v="77"/>
    <x v="27"/>
    <s v="Dimitris"/>
    <n v="0"/>
    <n v="4"/>
    <n v="9"/>
    <n v="0"/>
    <x v="26"/>
    <s v="vs Lafa"/>
    <n v="150"/>
    <n v="0.46200000000000002"/>
    <n v="53"/>
    <n v="0.36299999999999999"/>
    <n v="0.875"/>
    <n v="416"/>
    <n v="27"/>
    <n v="102"/>
    <n v="77"/>
    <n v="32"/>
    <n v="15"/>
    <n v="45"/>
    <n v="1.71"/>
  </r>
  <r>
    <x v="7"/>
    <x v="0"/>
    <x v="6"/>
    <n v="77"/>
    <x v="26"/>
    <s v="Lafa"/>
    <n v="1"/>
    <n v="9"/>
    <n v="4"/>
    <n v="0"/>
    <x v="27"/>
    <s v="vs Dimitris"/>
    <n v="186"/>
    <n v="0.44700000000000001"/>
    <n v="77"/>
    <n v="0.39500000000000002"/>
    <n v="0.79200000000000004"/>
    <n v="533"/>
    <n v="30"/>
    <n v="155"/>
    <n v="117"/>
    <n v="43"/>
    <n v="23"/>
    <n v="81"/>
    <n v="1.44"/>
  </r>
  <r>
    <x v="7"/>
    <x v="0"/>
    <x v="6"/>
    <n v="78"/>
    <x v="6"/>
    <s v="Tassos"/>
    <n v="0"/>
    <n v="6"/>
    <n v="6"/>
    <n v="1"/>
    <x v="23"/>
    <s v="vs Sarantos"/>
    <n v="210"/>
    <n v="0.48099999999999998"/>
    <n v="58"/>
    <n v="0.36"/>
    <n v="0.85599999999999998"/>
    <n v="573"/>
    <n v="42"/>
    <n v="137"/>
    <n v="122"/>
    <n v="30"/>
    <n v="28"/>
    <n v="74"/>
    <n v="1.65"/>
  </r>
  <r>
    <x v="7"/>
    <x v="0"/>
    <x v="6"/>
    <n v="78"/>
    <x v="23"/>
    <s v="Sarantos"/>
    <n v="0"/>
    <n v="6"/>
    <n v="6"/>
    <n v="1"/>
    <x v="7"/>
    <s v="vs Tassos"/>
    <n v="194"/>
    <n v="0.52"/>
    <n v="63"/>
    <n v="0.39400000000000002"/>
    <n v="0.75600000000000001"/>
    <n v="510"/>
    <n v="38"/>
    <n v="137"/>
    <n v="100"/>
    <n v="54"/>
    <n v="23"/>
    <n v="58"/>
    <n v="1.72"/>
  </r>
  <r>
    <x v="7"/>
    <x v="0"/>
    <x v="6"/>
    <n v="79"/>
    <x v="12"/>
    <s v="Stavros"/>
    <n v="1"/>
    <n v="8"/>
    <n v="5"/>
    <n v="0"/>
    <x v="20"/>
    <s v="vs Guru"/>
    <n v="164"/>
    <n v="0.5"/>
    <n v="38"/>
    <n v="0.32500000000000001"/>
    <n v="0.77300000000000002"/>
    <n v="434"/>
    <n v="48"/>
    <n v="109"/>
    <n v="113"/>
    <n v="34"/>
    <n v="19"/>
    <n v="45"/>
    <n v="2.5099999999999998"/>
  </r>
  <r>
    <x v="7"/>
    <x v="0"/>
    <x v="6"/>
    <n v="79"/>
    <x v="20"/>
    <s v="Guru"/>
    <n v="0"/>
    <n v="5"/>
    <n v="8"/>
    <n v="0"/>
    <x v="13"/>
    <s v="vs Stavros"/>
    <n v="153"/>
    <n v="0.45500000000000002"/>
    <n v="67"/>
    <n v="0.39400000000000002"/>
    <n v="0.72599999999999998"/>
    <n v="418"/>
    <n v="28"/>
    <n v="113"/>
    <n v="126"/>
    <n v="30"/>
    <n v="13"/>
    <n v="48"/>
    <n v="2.63"/>
  </r>
  <r>
    <x v="7"/>
    <x v="0"/>
    <x v="6"/>
    <n v="80"/>
    <x v="28"/>
    <s v="Panos"/>
    <n v="1"/>
    <n v="7"/>
    <n v="6"/>
    <n v="0"/>
    <x v="0"/>
    <s v="vs Fanis"/>
    <n v="189"/>
    <n v="0.49299999999999999"/>
    <n v="68"/>
    <n v="0.40500000000000003"/>
    <n v="0.80400000000000005"/>
    <n v="524"/>
    <n v="52"/>
    <n v="142"/>
    <n v="88"/>
    <n v="29"/>
    <n v="19"/>
    <n v="56"/>
    <n v="1.57"/>
  </r>
  <r>
    <x v="7"/>
    <x v="0"/>
    <x v="6"/>
    <n v="80"/>
    <x v="1"/>
    <s v="Fanis"/>
    <n v="0"/>
    <n v="6"/>
    <n v="7"/>
    <n v="0"/>
    <x v="28"/>
    <s v="vs Panos"/>
    <n v="185"/>
    <n v="0.46600000000000003"/>
    <n v="44"/>
    <n v="0.28000000000000003"/>
    <n v="0.83799999999999997"/>
    <n v="502"/>
    <n v="44"/>
    <n v="157"/>
    <n v="167"/>
    <n v="35"/>
    <n v="20"/>
    <n v="74"/>
    <n v="2.2599999999999998"/>
  </r>
  <r>
    <x v="7"/>
    <x v="0"/>
    <x v="7"/>
    <n v="81"/>
    <x v="24"/>
    <s v="Tolios"/>
    <n v="0"/>
    <n v="6"/>
    <n v="6"/>
    <n v="1"/>
    <x v="16"/>
    <s v="vs Spiridaus/Oladipas"/>
    <n v="103"/>
    <n v="0.44"/>
    <n v="30"/>
    <n v="0.375"/>
    <n v="0.81299999999999994"/>
    <n v="275"/>
    <n v="25"/>
    <n v="59"/>
    <n v="53"/>
    <n v="12"/>
    <n v="10"/>
    <n v="34"/>
    <n v="1.56"/>
  </r>
  <r>
    <x v="7"/>
    <x v="0"/>
    <x v="7"/>
    <n v="81"/>
    <x v="17"/>
    <s v="Spiridaus/Oladipas"/>
    <n v="0"/>
    <n v="6"/>
    <n v="6"/>
    <n v="1"/>
    <x v="24"/>
    <s v="vs Tolios"/>
    <n v="65"/>
    <n v="0.35299999999999998"/>
    <n v="19"/>
    <n v="0.224"/>
    <n v="0.88200000000000001"/>
    <n v="179"/>
    <n v="13"/>
    <n v="59"/>
    <n v="56"/>
    <n v="19"/>
    <n v="17"/>
    <n v="31"/>
    <n v="1.81"/>
  </r>
  <r>
    <x v="7"/>
    <x v="0"/>
    <x v="7"/>
    <n v="82"/>
    <x v="7"/>
    <s v="Johnny"/>
    <n v="0"/>
    <n v="3"/>
    <n v="10"/>
    <n v="0"/>
    <x v="10"/>
    <s v="vs pi/Sotiris"/>
    <n v="64"/>
    <n v="0.435"/>
    <n v="19"/>
    <n v="0.30599999999999999"/>
    <n v="0.82599999999999996"/>
    <n v="166"/>
    <n v="11"/>
    <n v="42"/>
    <n v="20"/>
    <n v="6"/>
    <n v="7"/>
    <n v="22"/>
    <n v="0.91"/>
  </r>
  <r>
    <x v="7"/>
    <x v="0"/>
    <x v="7"/>
    <n v="82"/>
    <x v="11"/>
    <s v="pi/Sotiris"/>
    <n v="1"/>
    <n v="10"/>
    <n v="3"/>
    <n v="0"/>
    <x v="6"/>
    <s v="vs Johnny"/>
    <n v="87"/>
    <n v="0.49199999999999999"/>
    <n v="28"/>
    <n v="0.378"/>
    <n v="0.71399999999999997"/>
    <n v="242"/>
    <n v="10"/>
    <n v="59"/>
    <n v="64"/>
    <n v="19"/>
    <n v="10"/>
    <n v="32"/>
    <n v="2"/>
  </r>
  <r>
    <x v="7"/>
    <x v="0"/>
    <x v="7"/>
    <n v="83"/>
    <x v="16"/>
    <s v="Aris"/>
    <n v="0"/>
    <n v="5"/>
    <n v="7"/>
    <n v="1"/>
    <x v="2"/>
    <s v="vs Sakellariou"/>
    <n v="57"/>
    <n v="0.438"/>
    <n v="15"/>
    <n v="0.28299999999999997"/>
    <n v="0.76500000000000001"/>
    <n v="155"/>
    <n v="19"/>
    <n v="37"/>
    <n v="41"/>
    <n v="12"/>
    <n v="7"/>
    <n v="17"/>
    <n v="2.41"/>
  </r>
  <r>
    <x v="7"/>
    <x v="0"/>
    <x v="7"/>
    <n v="83"/>
    <x v="3"/>
    <s v="Sakellariou"/>
    <n v="1"/>
    <n v="7"/>
    <n v="5"/>
    <n v="1"/>
    <x v="17"/>
    <s v="vs Aris"/>
    <n v="71"/>
    <n v="0.43"/>
    <n v="29"/>
    <n v="0.41399999999999998"/>
    <n v="0.71399999999999997"/>
    <n v="201"/>
    <n v="16"/>
    <n v="60"/>
    <n v="63"/>
    <n v="13"/>
    <n v="7"/>
    <n v="29"/>
    <n v="2.17"/>
  </r>
  <r>
    <x v="7"/>
    <x v="0"/>
    <x v="7"/>
    <n v="84"/>
    <x v="25"/>
    <s v="Arvanitis"/>
    <n v="0"/>
    <n v="3"/>
    <n v="10"/>
    <n v="0"/>
    <x v="14"/>
    <s v="vs Vasilis"/>
    <n v="81"/>
    <n v="0.503"/>
    <n v="19"/>
    <n v="0.42199999999999999"/>
    <n v="0.68400000000000005"/>
    <n v="207"/>
    <n v="22"/>
    <n v="71"/>
    <n v="40"/>
    <n v="21"/>
    <n v="10"/>
    <n v="29"/>
    <n v="1.38"/>
  </r>
  <r>
    <x v="7"/>
    <x v="0"/>
    <x v="7"/>
    <n v="84"/>
    <x v="15"/>
    <s v="Vasilis"/>
    <n v="1"/>
    <n v="10"/>
    <n v="3"/>
    <n v="0"/>
    <x v="25"/>
    <s v="vs Arvanitis"/>
    <n v="139"/>
    <n v="0.51700000000000002"/>
    <n v="43"/>
    <n v="0.40200000000000002"/>
    <n v="0.81299999999999994"/>
    <n v="382"/>
    <n v="23"/>
    <n v="104"/>
    <n v="59"/>
    <n v="25"/>
    <n v="16"/>
    <n v="48"/>
    <n v="1.23"/>
  </r>
  <r>
    <x v="7"/>
    <x v="0"/>
    <x v="7"/>
    <n v="85"/>
    <x v="18"/>
    <s v="Kotakis"/>
    <n v="1"/>
    <n v="11"/>
    <n v="2"/>
    <n v="0"/>
    <x v="3"/>
    <s v="vs Fountos"/>
    <n v="91"/>
    <n v="0.47399999999999998"/>
    <n v="27"/>
    <n v="0.33300000000000002"/>
    <n v="0.79400000000000004"/>
    <n v="236"/>
    <n v="38"/>
    <n v="91"/>
    <n v="60"/>
    <n v="15"/>
    <n v="10"/>
    <n v="23"/>
    <n v="2.61"/>
  </r>
  <r>
    <x v="7"/>
    <x v="0"/>
    <x v="7"/>
    <n v="85"/>
    <x v="2"/>
    <s v="Fountos"/>
    <n v="0"/>
    <n v="2"/>
    <n v="11"/>
    <n v="0"/>
    <x v="19"/>
    <s v="vs Kotakis"/>
    <n v="74"/>
    <n v="0.48399999999999999"/>
    <n v="21"/>
    <n v="0.36799999999999999"/>
    <n v="0.75"/>
    <n v="193"/>
    <n v="17"/>
    <n v="60"/>
    <n v="58"/>
    <n v="14"/>
    <n v="9"/>
    <n v="45"/>
    <n v="1.29"/>
  </r>
  <r>
    <x v="7"/>
    <x v="0"/>
    <x v="7"/>
    <n v="86"/>
    <x v="21"/>
    <s v="Tzokos"/>
    <n v="1"/>
    <n v="9"/>
    <n v="4"/>
    <n v="0"/>
    <x v="27"/>
    <s v="vs Dimitris"/>
    <n v="67"/>
    <n v="0.46899999999999997"/>
    <n v="24"/>
    <n v="0.45300000000000001"/>
    <n v="0.66700000000000004"/>
    <n v="188"/>
    <n v="27"/>
    <n v="59"/>
    <n v="41"/>
    <n v="12"/>
    <n v="6"/>
    <n v="24"/>
    <n v="1.71"/>
  </r>
  <r>
    <x v="7"/>
    <x v="0"/>
    <x v="7"/>
    <n v="86"/>
    <x v="27"/>
    <s v="Dimitris"/>
    <n v="0"/>
    <n v="4"/>
    <n v="9"/>
    <n v="0"/>
    <x v="21"/>
    <s v="vs Tzokos"/>
    <n v="42"/>
    <n v="0.372"/>
    <n v="9"/>
    <n v="0.188"/>
    <n v="0.73899999999999999"/>
    <n v="110"/>
    <n v="15"/>
    <n v="61"/>
    <n v="26"/>
    <n v="11"/>
    <n v="10"/>
    <n v="19"/>
    <n v="1.37"/>
  </r>
  <r>
    <x v="7"/>
    <x v="0"/>
    <x v="7"/>
    <n v="87"/>
    <x v="9"/>
    <s v="Ziogas/Christof"/>
    <n v="0"/>
    <n v="4"/>
    <n v="9"/>
    <n v="0"/>
    <x v="7"/>
    <s v="vs Tassos"/>
    <n v="67"/>
    <n v="0.45900000000000002"/>
    <n v="17"/>
    <n v="0.33300000000000002"/>
    <n v="0.86399999999999999"/>
    <n v="189"/>
    <n v="18"/>
    <n v="61"/>
    <n v="48"/>
    <n v="15"/>
    <n v="5"/>
    <n v="22"/>
    <n v="2.1800000000000002"/>
  </r>
  <r>
    <x v="7"/>
    <x v="0"/>
    <x v="7"/>
    <n v="87"/>
    <x v="6"/>
    <s v="Tassos"/>
    <n v="1"/>
    <n v="9"/>
    <n v="4"/>
    <n v="0"/>
    <x v="8"/>
    <s v="vs Ziogas/Christof"/>
    <n v="102"/>
    <n v="0.47199999999999998"/>
    <n v="39"/>
    <n v="0.42399999999999999"/>
    <n v="0.76700000000000002"/>
    <n v="289"/>
    <n v="17"/>
    <n v="90"/>
    <n v="84"/>
    <n v="23"/>
    <n v="14"/>
    <n v="46"/>
    <n v="1.83"/>
  </r>
  <r>
    <x v="7"/>
    <x v="0"/>
    <x v="7"/>
    <n v="88"/>
    <x v="26"/>
    <s v="Lafa"/>
    <n v="1"/>
    <n v="10"/>
    <n v="3"/>
    <n v="0"/>
    <x v="13"/>
    <s v="vs Stavros"/>
    <n v="95"/>
    <n v="0.47499999999999998"/>
    <n v="35"/>
    <n v="0.41699999999999998"/>
    <n v="0.77300000000000002"/>
    <n v="259"/>
    <n v="22"/>
    <n v="85"/>
    <n v="69"/>
    <n v="21"/>
    <n v="9"/>
    <n v="32"/>
    <n v="2.16"/>
  </r>
  <r>
    <x v="7"/>
    <x v="0"/>
    <x v="7"/>
    <n v="88"/>
    <x v="12"/>
    <s v="Stavros"/>
    <n v="0"/>
    <n v="3"/>
    <n v="10"/>
    <n v="0"/>
    <x v="26"/>
    <s v="vs Lafa"/>
    <n v="53"/>
    <n v="0.52500000000000002"/>
    <n v="14"/>
    <n v="0.38900000000000001"/>
    <n v="0.69199999999999995"/>
    <n v="147"/>
    <n v="18"/>
    <n v="37"/>
    <n v="44"/>
    <n v="10"/>
    <n v="10"/>
    <n v="21"/>
    <n v="2.1"/>
  </r>
  <r>
    <x v="7"/>
    <x v="0"/>
    <x v="7"/>
    <n v="89"/>
    <x v="23"/>
    <s v="Sarantos"/>
    <n v="0"/>
    <n v="4"/>
    <n v="9"/>
    <n v="0"/>
    <x v="28"/>
    <s v="vs Panos"/>
    <n v="78"/>
    <n v="0.38600000000000001"/>
    <n v="24"/>
    <n v="0.26400000000000001"/>
    <n v="0.75"/>
    <n v="213"/>
    <n v="16"/>
    <n v="71"/>
    <n v="43"/>
    <n v="15"/>
    <n v="11"/>
    <n v="33"/>
    <n v="1.3"/>
  </r>
  <r>
    <x v="7"/>
    <x v="0"/>
    <x v="7"/>
    <n v="89"/>
    <x v="28"/>
    <s v="Panos"/>
    <n v="1"/>
    <n v="9"/>
    <n v="4"/>
    <n v="0"/>
    <x v="23"/>
    <s v="vs Sarantos"/>
    <n v="90"/>
    <n v="0.441"/>
    <n v="33"/>
    <n v="0.36699999999999999"/>
    <n v="0.69399999999999995"/>
    <n v="238"/>
    <n v="26"/>
    <n v="62"/>
    <n v="56"/>
    <n v="11"/>
    <n v="7"/>
    <n v="25"/>
    <n v="2.2400000000000002"/>
  </r>
  <r>
    <x v="7"/>
    <x v="0"/>
    <x v="7"/>
    <n v="90"/>
    <x v="20"/>
    <s v="Guru"/>
    <n v="0"/>
    <n v="5"/>
    <n v="7"/>
    <n v="1"/>
    <x v="0"/>
    <s v="vs Fanis"/>
    <n v="65"/>
    <n v="0.45800000000000002"/>
    <n v="27"/>
    <n v="0.36499999999999999"/>
    <n v="0.76900000000000002"/>
    <n v="177"/>
    <n v="13"/>
    <n v="59"/>
    <n v="36"/>
    <n v="14"/>
    <n v="5"/>
    <n v="26"/>
    <n v="1.38"/>
  </r>
  <r>
    <x v="7"/>
    <x v="0"/>
    <x v="7"/>
    <n v="90"/>
    <x v="1"/>
    <s v="Fanis"/>
    <n v="1"/>
    <n v="7"/>
    <n v="5"/>
    <n v="1"/>
    <x v="20"/>
    <s v="vs Guru"/>
    <n v="96"/>
    <n v="0.44900000000000001"/>
    <n v="26"/>
    <n v="0.33300000000000002"/>
    <n v="0.72"/>
    <n v="254"/>
    <n v="32"/>
    <n v="92"/>
    <n v="67"/>
    <n v="14"/>
    <n v="13"/>
    <n v="32"/>
    <n v="2.09"/>
  </r>
  <r>
    <x v="7"/>
    <x v="0"/>
    <x v="8"/>
    <n v="91"/>
    <x v="11"/>
    <s v="pi/Sotiris"/>
    <n v="1"/>
    <n v="8"/>
    <n v="4"/>
    <n v="1"/>
    <x v="24"/>
    <s v="vs Tolios"/>
    <n v="133"/>
    <n v="0.50800000000000001"/>
    <n v="37"/>
    <n v="0.33900000000000002"/>
    <n v="0.71099999999999997"/>
    <n v="362"/>
    <n v="31"/>
    <n v="108"/>
    <n v="105"/>
    <n v="24"/>
    <n v="9"/>
    <n v="55"/>
    <n v="1.91"/>
  </r>
  <r>
    <x v="7"/>
    <x v="0"/>
    <x v="8"/>
    <n v="91"/>
    <x v="24"/>
    <s v="Tolios"/>
    <n v="0"/>
    <n v="4"/>
    <n v="8"/>
    <n v="1"/>
    <x v="10"/>
    <s v="vs pi/Sotiris"/>
    <n v="120"/>
    <n v="0.46500000000000002"/>
    <n v="31"/>
    <n v="0.36499999999999999"/>
    <n v="0.77600000000000002"/>
    <n v="330"/>
    <n v="32"/>
    <n v="85"/>
    <n v="92"/>
    <n v="37"/>
    <n v="9"/>
    <n v="65"/>
    <n v="1.42"/>
  </r>
  <r>
    <x v="7"/>
    <x v="0"/>
    <x v="8"/>
    <n v="92"/>
    <x v="3"/>
    <s v="Sakellariou"/>
    <n v="1"/>
    <n v="9"/>
    <n v="4"/>
    <n v="0"/>
    <x v="16"/>
    <s v="vs Spiridaus/Oladipas"/>
    <n v="150"/>
    <n v="0.45300000000000001"/>
    <n v="43"/>
    <n v="0.33100000000000002"/>
    <n v="0.84299999999999997"/>
    <n v="418"/>
    <n v="18"/>
    <n v="101"/>
    <n v="81"/>
    <n v="38"/>
    <n v="13"/>
    <n v="57"/>
    <n v="1.42"/>
  </r>
  <r>
    <x v="7"/>
    <x v="0"/>
    <x v="8"/>
    <n v="92"/>
    <x v="17"/>
    <s v="Spiridaus/Oladipas"/>
    <n v="0"/>
    <n v="4"/>
    <n v="9"/>
    <n v="0"/>
    <x v="2"/>
    <s v="vs Sakellariou"/>
    <n v="97"/>
    <n v="0.46899999999999997"/>
    <n v="38"/>
    <n v="0.35799999999999998"/>
    <n v="0.76900000000000002"/>
    <n v="262"/>
    <n v="16"/>
    <n v="76"/>
    <n v="59"/>
    <n v="16"/>
    <n v="27"/>
    <n v="49"/>
    <n v="1.2"/>
  </r>
  <r>
    <x v="7"/>
    <x v="0"/>
    <x v="8"/>
    <n v="93"/>
    <x v="15"/>
    <s v="Vasilis"/>
    <n v="1"/>
    <n v="7"/>
    <n v="6"/>
    <n v="0"/>
    <x v="6"/>
    <s v="vs Johnny"/>
    <n v="140"/>
    <n v="0.48099999999999998"/>
    <n v="43"/>
    <n v="0.41"/>
    <n v="0.73799999999999999"/>
    <n v="382"/>
    <n v="34"/>
    <n v="113"/>
    <n v="73"/>
    <n v="31"/>
    <n v="22"/>
    <n v="52"/>
    <n v="1.4"/>
  </r>
  <r>
    <x v="7"/>
    <x v="0"/>
    <x v="8"/>
    <n v="93"/>
    <x v="7"/>
    <s v="Johnny"/>
    <n v="0"/>
    <n v="6"/>
    <n v="7"/>
    <n v="0"/>
    <x v="14"/>
    <s v="vs Vasilis"/>
    <n v="116"/>
    <n v="0.46600000000000003"/>
    <n v="57"/>
    <n v="0.438"/>
    <n v="0.81299999999999994"/>
    <n v="328"/>
    <n v="13"/>
    <n v="85"/>
    <n v="94"/>
    <n v="18"/>
    <n v="17"/>
    <n v="33"/>
    <n v="2.85"/>
  </r>
  <r>
    <x v="7"/>
    <x v="0"/>
    <x v="8"/>
    <n v="94"/>
    <x v="2"/>
    <s v="Fountos"/>
    <n v="0"/>
    <n v="5"/>
    <n v="8"/>
    <n v="0"/>
    <x v="17"/>
    <s v="vs Aris"/>
    <n v="99"/>
    <n v="0.41099999999999998"/>
    <n v="27"/>
    <n v="0.32100000000000001"/>
    <n v="0.754"/>
    <n v="271"/>
    <n v="20"/>
    <n v="91"/>
    <n v="83"/>
    <n v="18"/>
    <n v="11"/>
    <n v="45"/>
    <n v="1.84"/>
  </r>
  <r>
    <x v="7"/>
    <x v="0"/>
    <x v="8"/>
    <n v="94"/>
    <x v="16"/>
    <s v="Aris"/>
    <n v="1"/>
    <n v="8"/>
    <n v="5"/>
    <n v="0"/>
    <x v="3"/>
    <s v="vs Fountos"/>
    <n v="84"/>
    <n v="0.41199999999999998"/>
    <n v="30"/>
    <n v="0.36099999999999999"/>
    <n v="0.75900000000000001"/>
    <n v="239"/>
    <n v="27"/>
    <n v="78"/>
    <n v="52"/>
    <n v="25"/>
    <n v="15"/>
    <n v="34"/>
    <n v="1.53"/>
  </r>
  <r>
    <x v="7"/>
    <x v="0"/>
    <x v="8"/>
    <n v="95"/>
    <x v="27"/>
    <s v="Dimitris"/>
    <n v="1"/>
    <n v="7"/>
    <n v="6"/>
    <n v="0"/>
    <x v="25"/>
    <s v="vs Arvanitis"/>
    <n v="115"/>
    <n v="0.45500000000000002"/>
    <n v="30"/>
    <n v="0.316"/>
    <n v="0.72699999999999998"/>
    <n v="300"/>
    <n v="29"/>
    <n v="103"/>
    <n v="63"/>
    <n v="24"/>
    <n v="10"/>
    <n v="43"/>
    <n v="1.47"/>
  </r>
  <r>
    <x v="7"/>
    <x v="0"/>
    <x v="8"/>
    <n v="95"/>
    <x v="25"/>
    <s v="Arvanitis"/>
    <n v="0"/>
    <n v="6"/>
    <n v="7"/>
    <n v="0"/>
    <x v="27"/>
    <s v="vs Dimitris"/>
    <n v="82"/>
    <n v="0.53200000000000003"/>
    <n v="20"/>
    <n v="0.40799999999999997"/>
    <n v="0.78600000000000003"/>
    <n v="217"/>
    <n v="35"/>
    <n v="77"/>
    <n v="50"/>
    <n v="13"/>
    <n v="18"/>
    <n v="40"/>
    <n v="1.25"/>
  </r>
  <r>
    <x v="7"/>
    <x v="0"/>
    <x v="8"/>
    <n v="96"/>
    <x v="6"/>
    <s v="Tassos"/>
    <n v="1"/>
    <n v="7"/>
    <n v="5"/>
    <n v="1"/>
    <x v="19"/>
    <s v="vs Kotakis"/>
    <n v="149"/>
    <n v="0.46899999999999997"/>
    <n v="54"/>
    <n v="0.40300000000000002"/>
    <n v="0.81299999999999994"/>
    <n v="404"/>
    <n v="29"/>
    <n v="103"/>
    <n v="108"/>
    <n v="27"/>
    <n v="9"/>
    <n v="59"/>
    <n v="1.83"/>
  </r>
  <r>
    <x v="7"/>
    <x v="0"/>
    <x v="8"/>
    <n v="96"/>
    <x v="18"/>
    <s v="Kotakis"/>
    <n v="0"/>
    <n v="5"/>
    <n v="7"/>
    <n v="1"/>
    <x v="7"/>
    <s v="vs Tassos"/>
    <n v="141"/>
    <n v="0.45900000000000002"/>
    <n v="51"/>
    <n v="0.375"/>
    <n v="0.64900000000000002"/>
    <n v="370"/>
    <n v="46"/>
    <n v="122"/>
    <n v="93"/>
    <n v="32"/>
    <n v="9"/>
    <n v="36"/>
    <n v="2.58"/>
  </r>
  <r>
    <x v="7"/>
    <x v="0"/>
    <x v="8"/>
    <n v="97"/>
    <x v="12"/>
    <s v="Stavros"/>
    <n v="1"/>
    <n v="10"/>
    <n v="3"/>
    <n v="0"/>
    <x v="21"/>
    <s v="vs Tzokos"/>
    <n v="113"/>
    <n v="0.47499999999999998"/>
    <n v="32"/>
    <n v="0.34399999999999997"/>
    <n v="0.84399999999999997"/>
    <n v="296"/>
    <n v="33"/>
    <n v="83"/>
    <n v="87"/>
    <n v="20"/>
    <n v="15"/>
    <n v="30"/>
    <n v="2.9"/>
  </r>
  <r>
    <x v="7"/>
    <x v="0"/>
    <x v="8"/>
    <n v="97"/>
    <x v="21"/>
    <s v="Tzokos"/>
    <n v="0"/>
    <n v="3"/>
    <n v="10"/>
    <n v="0"/>
    <x v="13"/>
    <s v="vs Stavros"/>
    <n v="96"/>
    <n v="0.60799999999999998"/>
    <n v="21"/>
    <n v="0.36199999999999999"/>
    <n v="0.83699999999999997"/>
    <n v="249"/>
    <n v="18"/>
    <n v="64"/>
    <n v="34"/>
    <n v="11"/>
    <n v="14"/>
    <n v="15"/>
    <n v="2.27"/>
  </r>
  <r>
    <x v="7"/>
    <x v="0"/>
    <x v="8"/>
    <n v="98"/>
    <x v="28"/>
    <s v="Panos"/>
    <n v="1"/>
    <n v="11"/>
    <n v="2"/>
    <n v="0"/>
    <x v="8"/>
    <s v="vs Ziogas/Christof"/>
    <n v="151"/>
    <n v="0.51700000000000002"/>
    <n v="52"/>
    <n v="0.40600000000000003"/>
    <n v="0.754"/>
    <n v="403"/>
    <n v="35"/>
    <n v="95"/>
    <n v="58"/>
    <n v="27"/>
    <n v="8"/>
    <n v="31"/>
    <n v="1.87"/>
  </r>
  <r>
    <x v="7"/>
    <x v="0"/>
    <x v="8"/>
    <n v="98"/>
    <x v="9"/>
    <s v="Ziogas/Christof"/>
    <n v="0"/>
    <n v="2"/>
    <n v="11"/>
    <n v="0"/>
    <x v="28"/>
    <s v="vs Panos"/>
    <n v="111"/>
    <n v="0.44600000000000001"/>
    <n v="32"/>
    <n v="0.30499999999999999"/>
    <n v="0.79700000000000004"/>
    <n v="317"/>
    <n v="22"/>
    <n v="93"/>
    <n v="55"/>
    <n v="20"/>
    <n v="12"/>
    <n v="45"/>
    <n v="1.22"/>
  </r>
  <r>
    <x v="7"/>
    <x v="0"/>
    <x v="8"/>
    <n v="99"/>
    <x v="1"/>
    <s v="Fanis"/>
    <n v="1"/>
    <n v="11"/>
    <n v="2"/>
    <n v="0"/>
    <x v="26"/>
    <s v="vs Lafa"/>
    <n v="124"/>
    <n v="0.52800000000000002"/>
    <n v="34"/>
    <n v="0.436"/>
    <n v="0.71399999999999997"/>
    <n v="342"/>
    <n v="25"/>
    <n v="114"/>
    <n v="94"/>
    <n v="30"/>
    <n v="13"/>
    <n v="45"/>
    <n v="2.09"/>
  </r>
  <r>
    <x v="7"/>
    <x v="0"/>
    <x v="8"/>
    <n v="99"/>
    <x v="26"/>
    <s v="Lafa"/>
    <n v="0"/>
    <n v="2"/>
    <n v="11"/>
    <n v="0"/>
    <x v="0"/>
    <s v="vs Fanis"/>
    <n v="104"/>
    <n v="0.5"/>
    <n v="33"/>
    <n v="0.39800000000000002"/>
    <n v="0.83699999999999997"/>
    <n v="282"/>
    <n v="8"/>
    <n v="79"/>
    <n v="63"/>
    <n v="22"/>
    <n v="12"/>
    <n v="38"/>
    <n v="1.66"/>
  </r>
  <r>
    <x v="7"/>
    <x v="0"/>
    <x v="8"/>
    <n v="100"/>
    <x v="20"/>
    <s v="Guru"/>
    <n v="1"/>
    <n v="7"/>
    <n v="6"/>
    <n v="0"/>
    <x v="23"/>
    <s v="vs Sarantos"/>
    <n v="132"/>
    <n v="0.48199999999999998"/>
    <n v="52"/>
    <n v="0.38500000000000001"/>
    <n v="0.82"/>
    <n v="389"/>
    <n v="13"/>
    <n v="94"/>
    <n v="90"/>
    <n v="20"/>
    <n v="12"/>
    <n v="51"/>
    <n v="1.76"/>
  </r>
  <r>
    <x v="7"/>
    <x v="0"/>
    <x v="8"/>
    <n v="100"/>
    <x v="23"/>
    <s v="Sarantos"/>
    <n v="0"/>
    <n v="6"/>
    <n v="7"/>
    <n v="0"/>
    <x v="20"/>
    <s v="vs Guru"/>
    <n v="118"/>
    <n v="0.47"/>
    <n v="40"/>
    <n v="0.40400000000000003"/>
    <n v="0.83899999999999997"/>
    <n v="323"/>
    <n v="36"/>
    <n v="77"/>
    <n v="73"/>
    <n v="24"/>
    <n v="10"/>
    <n v="37"/>
    <n v="1.97"/>
  </r>
  <r>
    <x v="7"/>
    <x v="0"/>
    <x v="9"/>
    <n v="101"/>
    <x v="24"/>
    <s v="Tolios"/>
    <n v="0"/>
    <n v="5"/>
    <n v="8"/>
    <n v="0"/>
    <x v="2"/>
    <s v="vs Sakellariou"/>
    <n v="156"/>
    <n v="0.437"/>
    <n v="38"/>
    <n v="0.32800000000000001"/>
    <n v="0.84299999999999997"/>
    <n v="393"/>
    <n v="44"/>
    <n v="114"/>
    <n v="128"/>
    <n v="21"/>
    <n v="12"/>
    <n v="53"/>
    <n v="2.42"/>
  </r>
  <r>
    <x v="7"/>
    <x v="0"/>
    <x v="9"/>
    <n v="101"/>
    <x v="3"/>
    <s v="Sakellariou"/>
    <n v="1"/>
    <n v="8"/>
    <n v="5"/>
    <n v="0"/>
    <x v="24"/>
    <s v="vs Tolios"/>
    <n v="142"/>
    <n v="0.46600000000000003"/>
    <n v="44"/>
    <n v="0.34100000000000003"/>
    <n v="0.86399999999999999"/>
    <n v="398"/>
    <n v="24"/>
    <n v="104"/>
    <n v="110"/>
    <n v="31"/>
    <n v="17"/>
    <n v="47"/>
    <n v="2.34"/>
  </r>
  <r>
    <x v="7"/>
    <x v="0"/>
    <x v="9"/>
    <n v="102"/>
    <x v="11"/>
    <s v="pi/Sotiris"/>
    <n v="0"/>
    <n v="4"/>
    <n v="9"/>
    <n v="0"/>
    <x v="14"/>
    <s v="vs Vasilis"/>
    <n v="169"/>
    <n v="0.51100000000000001"/>
    <n v="61"/>
    <n v="0.39400000000000002"/>
    <n v="0.753"/>
    <n v="460"/>
    <n v="32"/>
    <n v="115"/>
    <n v="126"/>
    <n v="22"/>
    <n v="5"/>
    <n v="61"/>
    <n v="2.0699999999999998"/>
  </r>
  <r>
    <x v="7"/>
    <x v="0"/>
    <x v="9"/>
    <n v="102"/>
    <x v="15"/>
    <s v="Vasilis"/>
    <n v="1"/>
    <n v="9"/>
    <n v="4"/>
    <n v="0"/>
    <x v="10"/>
    <s v="vs pi/Sotiris"/>
    <n v="173"/>
    <n v="0.48899999999999999"/>
    <n v="50"/>
    <n v="0.36199999999999999"/>
    <n v="0.85"/>
    <n v="504"/>
    <n v="35"/>
    <n v="156"/>
    <n v="120"/>
    <n v="24"/>
    <n v="31"/>
    <n v="49"/>
    <n v="2.4500000000000002"/>
  </r>
  <r>
    <x v="7"/>
    <x v="0"/>
    <x v="9"/>
    <n v="103"/>
    <x v="17"/>
    <s v="Spiridaus/Oladipas"/>
    <n v="1"/>
    <n v="8"/>
    <n v="5"/>
    <n v="0"/>
    <x v="3"/>
    <s v="vs Fountos"/>
    <n v="190"/>
    <n v="0.5"/>
    <n v="63"/>
    <n v="0.41199999999999998"/>
    <n v="0.83799999999999997"/>
    <n v="505"/>
    <n v="33"/>
    <n v="139"/>
    <n v="101"/>
    <n v="28"/>
    <n v="35"/>
    <n v="77"/>
    <n v="1.31"/>
  </r>
  <r>
    <x v="7"/>
    <x v="0"/>
    <x v="9"/>
    <n v="103"/>
    <x v="2"/>
    <s v="Fountos"/>
    <n v="0"/>
    <n v="5"/>
    <n v="8"/>
    <n v="0"/>
    <x v="16"/>
    <s v="vs Spiridaus/Oladipas"/>
    <n v="164"/>
    <n v="0.437"/>
    <n v="57"/>
    <n v="0.35399999999999998"/>
    <n v="0.80300000000000005"/>
    <n v="434"/>
    <n v="35"/>
    <n v="124"/>
    <n v="102"/>
    <n v="37"/>
    <n v="18"/>
    <n v="52"/>
    <n v="1.96"/>
  </r>
  <r>
    <x v="7"/>
    <x v="0"/>
    <x v="9"/>
    <n v="104"/>
    <x v="7"/>
    <s v="Johnny"/>
    <n v="1"/>
    <n v="10"/>
    <n v="3"/>
    <n v="0"/>
    <x v="27"/>
    <s v="vs Dimitris"/>
    <n v="152"/>
    <n v="0.42499999999999999"/>
    <n v="48"/>
    <n v="0.29299999999999998"/>
    <n v="0.83799999999999997"/>
    <n v="414"/>
    <n v="44"/>
    <n v="126"/>
    <n v="84"/>
    <n v="23"/>
    <n v="16"/>
    <n v="52"/>
    <n v="1.62"/>
  </r>
  <r>
    <x v="7"/>
    <x v="0"/>
    <x v="9"/>
    <n v="104"/>
    <x v="27"/>
    <s v="Dimitris"/>
    <n v="0"/>
    <n v="3"/>
    <n v="10"/>
    <n v="0"/>
    <x v="6"/>
    <s v="vs Johnny"/>
    <n v="124"/>
    <n v="0.45600000000000002"/>
    <n v="34"/>
    <n v="0.35799999999999998"/>
    <n v="0.73299999999999998"/>
    <n v="326"/>
    <n v="42"/>
    <n v="97"/>
    <n v="63"/>
    <n v="17"/>
    <n v="11"/>
    <n v="40"/>
    <n v="1.57"/>
  </r>
  <r>
    <x v="7"/>
    <x v="0"/>
    <x v="9"/>
    <n v="105"/>
    <x v="16"/>
    <s v="Aris"/>
    <n v="0"/>
    <n v="5"/>
    <n v="8"/>
    <n v="0"/>
    <x v="7"/>
    <s v="vs Tassos"/>
    <n v="158"/>
    <n v="0.47899999999999998"/>
    <n v="39"/>
    <n v="0.38200000000000001"/>
    <n v="0.72899999999999998"/>
    <n v="417"/>
    <n v="62"/>
    <n v="129"/>
    <n v="92"/>
    <n v="40"/>
    <n v="20"/>
    <n v="56"/>
    <n v="1.64"/>
  </r>
  <r>
    <x v="7"/>
    <x v="0"/>
    <x v="9"/>
    <n v="105"/>
    <x v="6"/>
    <s v="Tassos"/>
    <n v="1"/>
    <n v="8"/>
    <n v="5"/>
    <n v="0"/>
    <x v="17"/>
    <s v="vs Aris"/>
    <n v="240"/>
    <n v="0.51500000000000001"/>
    <n v="65"/>
    <n v="0.36699999999999999"/>
    <n v="0.84299999999999997"/>
    <n v="647"/>
    <n v="32"/>
    <n v="131"/>
    <n v="146"/>
    <n v="37"/>
    <n v="11"/>
    <n v="65"/>
    <n v="2.25"/>
  </r>
  <r>
    <x v="7"/>
    <x v="0"/>
    <x v="9"/>
    <n v="106"/>
    <x v="25"/>
    <s v="Arvanitis"/>
    <n v="0"/>
    <n v="5"/>
    <n v="8"/>
    <n v="0"/>
    <x v="13"/>
    <s v="vs Stavros"/>
    <n v="132"/>
    <n v="0.47"/>
    <n v="42"/>
    <n v="0.36199999999999999"/>
    <n v="0.74"/>
    <n v="377"/>
    <n v="66"/>
    <n v="141"/>
    <n v="73"/>
    <n v="29"/>
    <n v="26"/>
    <n v="45"/>
    <n v="1.62"/>
  </r>
  <r>
    <x v="7"/>
    <x v="0"/>
    <x v="9"/>
    <n v="106"/>
    <x v="12"/>
    <s v="Stavros"/>
    <n v="1"/>
    <n v="8"/>
    <n v="5"/>
    <n v="0"/>
    <x v="25"/>
    <s v="vs Arvanitis"/>
    <n v="150"/>
    <n v="0.47299999999999998"/>
    <n v="49"/>
    <n v="0.42199999999999999"/>
    <n v="0.86399999999999999"/>
    <n v="406"/>
    <n v="30"/>
    <n v="112"/>
    <n v="91"/>
    <n v="19"/>
    <n v="15"/>
    <n v="49"/>
    <n v="1.86"/>
  </r>
  <r>
    <x v="7"/>
    <x v="0"/>
    <x v="9"/>
    <n v="107"/>
    <x v="18"/>
    <s v="Kotakis"/>
    <n v="1"/>
    <n v="7"/>
    <n v="5"/>
    <n v="1"/>
    <x v="28"/>
    <s v="vs Panos"/>
    <n v="172"/>
    <n v="0.443"/>
    <n v="66"/>
    <n v="0.36899999999999999"/>
    <n v="0.73199999999999998"/>
    <n v="462"/>
    <n v="51"/>
    <n v="117"/>
    <n v="94"/>
    <n v="29"/>
    <n v="23"/>
    <n v="40"/>
    <n v="2.35"/>
  </r>
  <r>
    <x v="7"/>
    <x v="0"/>
    <x v="9"/>
    <n v="107"/>
    <x v="28"/>
    <s v="Panos"/>
    <n v="0"/>
    <n v="5"/>
    <n v="7"/>
    <n v="1"/>
    <x v="19"/>
    <s v="vs Kotakis"/>
    <n v="171"/>
    <n v="0.435"/>
    <n v="56"/>
    <n v="0.33900000000000002"/>
    <n v="0.80900000000000005"/>
    <n v="474"/>
    <n v="36"/>
    <n v="120"/>
    <n v="128"/>
    <n v="24"/>
    <n v="18"/>
    <n v="40"/>
    <n v="3.2"/>
  </r>
  <r>
    <x v="7"/>
    <x v="0"/>
    <x v="9"/>
    <n v="108"/>
    <x v="21"/>
    <s v="Tzokos"/>
    <n v="0"/>
    <n v="4"/>
    <n v="9"/>
    <n v="0"/>
    <x v="0"/>
    <s v="vs Fanis"/>
    <n v="109"/>
    <n v="0.5"/>
    <n v="36"/>
    <n v="0.40400000000000003"/>
    <n v="0.80300000000000005"/>
    <n v="311"/>
    <n v="23"/>
    <n v="78"/>
    <n v="83"/>
    <n v="26"/>
    <n v="12"/>
    <n v="39"/>
    <n v="2.13"/>
  </r>
  <r>
    <x v="7"/>
    <x v="0"/>
    <x v="9"/>
    <n v="108"/>
    <x v="1"/>
    <s v="Fanis"/>
    <n v="1"/>
    <n v="9"/>
    <n v="4"/>
    <n v="0"/>
    <x v="21"/>
    <s v="vs Tzokos"/>
    <n v="200"/>
    <n v="0.50600000000000001"/>
    <n v="65"/>
    <n v="0.40100000000000002"/>
    <n v="0.78700000000000003"/>
    <n v="550"/>
    <n v="48"/>
    <n v="141"/>
    <n v="148"/>
    <n v="40"/>
    <n v="28"/>
    <n v="71"/>
    <n v="2.08"/>
  </r>
  <r>
    <x v="7"/>
    <x v="0"/>
    <x v="9"/>
    <n v="109"/>
    <x v="9"/>
    <s v="Ziogas/Christof"/>
    <n v="1"/>
    <n v="8"/>
    <n v="5"/>
    <n v="0"/>
    <x v="20"/>
    <s v="vs Guru"/>
    <n v="176"/>
    <n v="0.48"/>
    <n v="54"/>
    <n v="0.34799999999999998"/>
    <n v="0.84499999999999997"/>
    <n v="488"/>
    <n v="55"/>
    <n v="154"/>
    <n v="104"/>
    <n v="30"/>
    <n v="15"/>
    <n v="60"/>
    <n v="1.73"/>
  </r>
  <r>
    <x v="7"/>
    <x v="0"/>
    <x v="9"/>
    <n v="109"/>
    <x v="20"/>
    <s v="Guru"/>
    <n v="0"/>
    <n v="5"/>
    <n v="8"/>
    <n v="0"/>
    <x v="8"/>
    <s v="vs Ziogas/Christof"/>
    <n v="135"/>
    <n v="0.42499999999999999"/>
    <n v="58"/>
    <n v="0.372"/>
    <n v="0.89900000000000002"/>
    <n v="408"/>
    <n v="21"/>
    <n v="89"/>
    <n v="90"/>
    <n v="23"/>
    <n v="12"/>
    <n v="42"/>
    <n v="2.14"/>
  </r>
  <r>
    <x v="7"/>
    <x v="0"/>
    <x v="9"/>
    <n v="110"/>
    <x v="26"/>
    <s v="Lafa"/>
    <n v="1"/>
    <n v="10"/>
    <n v="3"/>
    <n v="0"/>
    <x v="23"/>
    <s v="vs Sarantos"/>
    <n v="197"/>
    <n v="0.46100000000000002"/>
    <n v="49"/>
    <n v="0.316"/>
    <n v="0.75700000000000001"/>
    <n v="527"/>
    <n v="49"/>
    <n v="135"/>
    <n v="99"/>
    <n v="29"/>
    <n v="26"/>
    <n v="73"/>
    <n v="1.36"/>
  </r>
  <r>
    <x v="7"/>
    <x v="0"/>
    <x v="9"/>
    <n v="110"/>
    <x v="23"/>
    <s v="Sarantos"/>
    <n v="0"/>
    <n v="3"/>
    <n v="10"/>
    <n v="0"/>
    <x v="26"/>
    <s v="vs Lafa"/>
    <n v="126"/>
    <n v="0.434"/>
    <n v="31"/>
    <n v="0.30099999999999999"/>
    <n v="0.7"/>
    <n v="332"/>
    <n v="40"/>
    <n v="107"/>
    <n v="75"/>
    <n v="39"/>
    <n v="16"/>
    <n v="47"/>
    <n v="1.6"/>
  </r>
  <r>
    <x v="7"/>
    <x v="0"/>
    <x v="10"/>
    <n v="111"/>
    <x v="15"/>
    <s v="Vasilis"/>
    <n v="1"/>
    <n v="7"/>
    <n v="6"/>
    <n v="0"/>
    <x v="24"/>
    <s v="vs Tolios"/>
    <n v="171"/>
    <n v="0.47099999999999997"/>
    <n v="46"/>
    <n v="0.377"/>
    <n v="0.90600000000000003"/>
    <n v="494"/>
    <n v="35"/>
    <n v="125"/>
    <n v="97"/>
    <n v="43"/>
    <n v="25"/>
    <n v="54"/>
    <n v="1.8"/>
  </r>
  <r>
    <x v="7"/>
    <x v="0"/>
    <x v="10"/>
    <n v="111"/>
    <x v="24"/>
    <s v="Tolios"/>
    <n v="0"/>
    <n v="6"/>
    <n v="7"/>
    <n v="0"/>
    <x v="14"/>
    <s v="vs Vasilis"/>
    <n v="167"/>
    <n v="0.48699999999999999"/>
    <n v="34"/>
    <n v="0.33300000000000002"/>
    <n v="0.77500000000000002"/>
    <n v="423"/>
    <n v="37"/>
    <n v="128"/>
    <n v="113"/>
    <n v="31"/>
    <n v="19"/>
    <n v="51"/>
    <n v="2.2200000000000002"/>
  </r>
  <r>
    <x v="7"/>
    <x v="0"/>
    <x v="10"/>
    <n v="112"/>
    <x v="2"/>
    <s v="Fountos"/>
    <n v="1"/>
    <n v="7"/>
    <n v="6"/>
    <n v="0"/>
    <x v="2"/>
    <s v="vs Sakellariou"/>
    <n v="173"/>
    <n v="0.46899999999999997"/>
    <n v="38"/>
    <n v="0.311"/>
    <n v="0.63800000000000001"/>
    <n v="428"/>
    <n v="39"/>
    <n v="144"/>
    <n v="143"/>
    <n v="34"/>
    <n v="20"/>
    <n v="66"/>
    <n v="2.17"/>
  </r>
  <r>
    <x v="7"/>
    <x v="0"/>
    <x v="10"/>
    <n v="112"/>
    <x v="3"/>
    <s v="Sakellariou"/>
    <n v="0"/>
    <n v="6"/>
    <n v="7"/>
    <n v="0"/>
    <x v="3"/>
    <s v="vs Fountos"/>
    <n v="192"/>
    <n v="0.46899999999999997"/>
    <n v="75"/>
    <n v="0.41199999999999998"/>
    <n v="0.83"/>
    <n v="542"/>
    <n v="26"/>
    <n v="105"/>
    <n v="136"/>
    <n v="28"/>
    <n v="11"/>
    <n v="69"/>
    <n v="1.97"/>
  </r>
  <r>
    <x v="7"/>
    <x v="0"/>
    <x v="10"/>
    <n v="113"/>
    <x v="27"/>
    <s v="Dimitris"/>
    <n v="0"/>
    <n v="1"/>
    <n v="12"/>
    <n v="0"/>
    <x v="10"/>
    <s v="vs pi/Sotiris"/>
    <n v="116"/>
    <n v="0.44800000000000001"/>
    <n v="39"/>
    <n v="0.36099999999999999"/>
    <n v="0.78"/>
    <n v="317"/>
    <n v="20"/>
    <n v="82"/>
    <n v="56"/>
    <n v="11"/>
    <n v="14"/>
    <n v="36"/>
    <n v="1.56"/>
  </r>
  <r>
    <x v="7"/>
    <x v="0"/>
    <x v="10"/>
    <n v="113"/>
    <x v="11"/>
    <s v="pi/Sotiris"/>
    <n v="1"/>
    <n v="12"/>
    <n v="1"/>
    <n v="0"/>
    <x v="27"/>
    <s v="vs Dimitris"/>
    <n v="232"/>
    <n v="0.48799999999999999"/>
    <n v="68"/>
    <n v="0.42"/>
    <n v="0.80800000000000005"/>
    <n v="637"/>
    <n v="60"/>
    <n v="180"/>
    <n v="180"/>
    <n v="40"/>
    <n v="16"/>
    <n v="58"/>
    <n v="3.1"/>
  </r>
  <r>
    <x v="7"/>
    <x v="0"/>
    <x v="10"/>
    <n v="114"/>
    <x v="6"/>
    <s v="Tassos"/>
    <n v="1"/>
    <n v="9"/>
    <n v="4"/>
    <n v="0"/>
    <x v="16"/>
    <s v="vs Spiridaus/Oladipas"/>
    <n v="207"/>
    <n v="0.47"/>
    <n v="59"/>
    <n v="0.378"/>
    <n v="0.85599999999999998"/>
    <n v="556"/>
    <n v="52"/>
    <n v="169"/>
    <n v="132"/>
    <n v="51"/>
    <n v="21"/>
    <n v="69"/>
    <n v="1.91"/>
  </r>
  <r>
    <x v="7"/>
    <x v="0"/>
    <x v="10"/>
    <n v="114"/>
    <x v="17"/>
    <s v="Spiridaus/Oladipas"/>
    <n v="0"/>
    <n v="4"/>
    <n v="9"/>
    <n v="0"/>
    <x v="7"/>
    <s v="vs Tassos"/>
    <n v="174"/>
    <n v="0.48499999999999999"/>
    <n v="58"/>
    <n v="0.38700000000000001"/>
    <n v="0.85499999999999998"/>
    <n v="477"/>
    <n v="27"/>
    <n v="166"/>
    <n v="97"/>
    <n v="28"/>
    <n v="22"/>
    <n v="65"/>
    <n v="1.49"/>
  </r>
  <r>
    <x v="7"/>
    <x v="0"/>
    <x v="10"/>
    <n v="115"/>
    <x v="12"/>
    <s v="Stavros"/>
    <n v="1"/>
    <n v="10"/>
    <n v="3"/>
    <n v="0"/>
    <x v="6"/>
    <s v="vs Johnny"/>
    <n v="157"/>
    <n v="0.47"/>
    <n v="49"/>
    <n v="0.374"/>
    <n v="0.80700000000000005"/>
    <n v="430"/>
    <n v="36"/>
    <n v="134"/>
    <n v="100"/>
    <n v="26"/>
    <n v="21"/>
    <n v="47"/>
    <n v="2.13"/>
  </r>
  <r>
    <x v="7"/>
    <x v="0"/>
    <x v="10"/>
    <n v="115"/>
    <x v="7"/>
    <s v="Johnny"/>
    <n v="0"/>
    <n v="3"/>
    <n v="10"/>
    <n v="0"/>
    <x v="13"/>
    <s v="vs Stavros"/>
    <n v="148"/>
    <n v="0.42799999999999999"/>
    <n v="72"/>
    <n v="0.39300000000000002"/>
    <n v="0.76800000000000002"/>
    <n v="431"/>
    <n v="16"/>
    <n v="111"/>
    <n v="94"/>
    <n v="20"/>
    <n v="14"/>
    <n v="50"/>
    <n v="1.88"/>
  </r>
  <r>
    <x v="7"/>
    <x v="0"/>
    <x v="10"/>
    <n v="116"/>
    <x v="28"/>
    <s v="Panos"/>
    <n v="0"/>
    <n v="6"/>
    <n v="7"/>
    <n v="0"/>
    <x v="17"/>
    <s v="vs Aris"/>
    <n v="142"/>
    <n v="0.436"/>
    <n v="41"/>
    <n v="0.30599999999999999"/>
    <n v="0.74399999999999999"/>
    <n v="386"/>
    <n v="39"/>
    <n v="99"/>
    <n v="80"/>
    <n v="19"/>
    <n v="16"/>
    <n v="43"/>
    <n v="1.86"/>
  </r>
  <r>
    <x v="7"/>
    <x v="0"/>
    <x v="10"/>
    <n v="116"/>
    <x v="16"/>
    <s v="Aris"/>
    <n v="1"/>
    <n v="7"/>
    <n v="6"/>
    <n v="0"/>
    <x v="28"/>
    <s v="vs Panos"/>
    <n v="139"/>
    <n v="0.48599999999999999"/>
    <n v="39"/>
    <n v="0.34499999999999997"/>
    <n v="0.75"/>
    <n v="380"/>
    <n v="29"/>
    <n v="108"/>
    <n v="88"/>
    <n v="40"/>
    <n v="17"/>
    <n v="55"/>
    <n v="1.6"/>
  </r>
  <r>
    <x v="7"/>
    <x v="0"/>
    <x v="10"/>
    <n v="117"/>
    <x v="1"/>
    <s v="Fanis"/>
    <n v="1"/>
    <n v="7"/>
    <n v="6"/>
    <n v="0"/>
    <x v="25"/>
    <s v="vs Arvanitis"/>
    <n v="189"/>
    <n v="0.49"/>
    <n v="44"/>
    <n v="0.34100000000000003"/>
    <n v="0.754"/>
    <n v="520"/>
    <n v="43"/>
    <n v="127"/>
    <n v="166"/>
    <n v="29"/>
    <n v="21"/>
    <n v="72"/>
    <n v="2.31"/>
  </r>
  <r>
    <x v="7"/>
    <x v="0"/>
    <x v="10"/>
    <n v="117"/>
    <x v="25"/>
    <s v="Arvanitis"/>
    <n v="0"/>
    <n v="6"/>
    <n v="7"/>
    <n v="0"/>
    <x v="0"/>
    <s v="vs Fanis"/>
    <n v="103"/>
    <n v="0.53900000000000003"/>
    <n v="26"/>
    <n v="0.34200000000000003"/>
    <n v="0.81799999999999995"/>
    <n v="259"/>
    <n v="49"/>
    <n v="136"/>
    <n v="46"/>
    <n v="21"/>
    <n v="9"/>
    <n v="55"/>
    <n v="0.84"/>
  </r>
  <r>
    <x v="7"/>
    <x v="0"/>
    <x v="10"/>
    <n v="118"/>
    <x v="20"/>
    <s v="Guru"/>
    <n v="0"/>
    <n v="5"/>
    <n v="7"/>
    <n v="1"/>
    <x v="19"/>
    <s v="vs Kotakis"/>
    <n v="141"/>
    <n v="0.47599999999999998"/>
    <n v="61"/>
    <n v="0.39600000000000002"/>
    <n v="0.86499999999999999"/>
    <n v="388"/>
    <n v="17"/>
    <n v="83"/>
    <n v="101"/>
    <n v="20"/>
    <n v="10"/>
    <n v="38"/>
    <n v="2.66"/>
  </r>
  <r>
    <x v="7"/>
    <x v="0"/>
    <x v="10"/>
    <n v="118"/>
    <x v="18"/>
    <s v="Kotakis"/>
    <n v="1"/>
    <n v="7"/>
    <n v="5"/>
    <n v="1"/>
    <x v="20"/>
    <s v="vs Guru"/>
    <n v="196"/>
    <n v="0.51200000000000001"/>
    <n v="52"/>
    <n v="0.34899999999999998"/>
    <n v="0.78600000000000003"/>
    <n v="488"/>
    <n v="61"/>
    <n v="146"/>
    <n v="101"/>
    <n v="29"/>
    <n v="18"/>
    <n v="56"/>
    <n v="1.8"/>
  </r>
  <r>
    <x v="7"/>
    <x v="0"/>
    <x v="10"/>
    <n v="119"/>
    <x v="23"/>
    <s v="Sarantos"/>
    <n v="1"/>
    <n v="7"/>
    <n v="6"/>
    <n v="0"/>
    <x v="21"/>
    <s v="vs Tzokos"/>
    <n v="138"/>
    <n v="0.47899999999999998"/>
    <n v="43"/>
    <n v="0.36399999999999999"/>
    <n v="0.83099999999999996"/>
    <n v="383"/>
    <n v="24"/>
    <n v="79"/>
    <n v="60"/>
    <n v="30"/>
    <n v="12"/>
    <n v="33"/>
    <n v="1.82"/>
  </r>
  <r>
    <x v="7"/>
    <x v="0"/>
    <x v="10"/>
    <n v="119"/>
    <x v="21"/>
    <s v="Tzokos"/>
    <n v="0"/>
    <n v="6"/>
    <n v="7"/>
    <n v="0"/>
    <x v="23"/>
    <s v="vs Sarantos"/>
    <n v="116"/>
    <n v="0.47199999999999998"/>
    <n v="29"/>
    <n v="0.29599999999999999"/>
    <n v="0.8"/>
    <n v="293"/>
    <n v="36"/>
    <n v="105"/>
    <n v="72"/>
    <n v="27"/>
    <n v="20"/>
    <n v="32"/>
    <n v="2.25"/>
  </r>
  <r>
    <x v="7"/>
    <x v="0"/>
    <x v="10"/>
    <n v="120"/>
    <x v="26"/>
    <s v="Lafa"/>
    <n v="1"/>
    <n v="7"/>
    <n v="6"/>
    <n v="0"/>
    <x v="8"/>
    <s v="vs Ziogas/Christof"/>
    <n v="169"/>
    <n v="0.45300000000000001"/>
    <n v="49"/>
    <n v="0.32700000000000001"/>
    <n v="0.752"/>
    <n v="463"/>
    <n v="26"/>
    <n v="115"/>
    <n v="83"/>
    <n v="28"/>
    <n v="15"/>
    <n v="56"/>
    <n v="1.48"/>
  </r>
  <r>
    <x v="7"/>
    <x v="0"/>
    <x v="10"/>
    <n v="120"/>
    <x v="9"/>
    <s v="Ziogas/Christof"/>
    <n v="0"/>
    <n v="6"/>
    <n v="7"/>
    <n v="0"/>
    <x v="26"/>
    <s v="vs Lafa"/>
    <n v="141"/>
    <n v="0.42499999999999999"/>
    <n v="41"/>
    <n v="0.29099999999999998"/>
    <n v="0.76700000000000002"/>
    <n v="389"/>
    <n v="52"/>
    <n v="150"/>
    <n v="117"/>
    <n v="36"/>
    <n v="11"/>
    <n v="66"/>
    <n v="1.77"/>
  </r>
  <r>
    <x v="7"/>
    <x v="0"/>
    <x v="11"/>
    <n v="121"/>
    <x v="24"/>
    <s v="Tolios"/>
    <n v="1"/>
    <n v="7"/>
    <n v="4"/>
    <n v="2"/>
    <x v="3"/>
    <s v="vs Fountos"/>
    <n v="180"/>
    <n v="0.45700000000000002"/>
    <n v="39"/>
    <n v="0.29099999999999998"/>
    <n v="0.82899999999999996"/>
    <n v="491"/>
    <n v="51"/>
    <n v="109"/>
    <n v="126"/>
    <n v="33"/>
    <n v="19"/>
    <n v="52"/>
    <n v="2.42"/>
  </r>
  <r>
    <x v="7"/>
    <x v="0"/>
    <x v="11"/>
    <n v="121"/>
    <x v="2"/>
    <s v="Fountos"/>
    <n v="0"/>
    <n v="4"/>
    <n v="7"/>
    <n v="2"/>
    <x v="24"/>
    <s v="vs Tolios"/>
    <n v="188"/>
    <n v="0.48099999999999998"/>
    <n v="39"/>
    <n v="0.29099999999999998"/>
    <n v="0.70099999999999996"/>
    <n v="476"/>
    <n v="36"/>
    <n v="136"/>
    <n v="113"/>
    <n v="31"/>
    <n v="23"/>
    <n v="64"/>
    <n v="1.77"/>
  </r>
  <r>
    <x v="7"/>
    <x v="0"/>
    <x v="11"/>
    <n v="122"/>
    <x v="15"/>
    <s v="Vasilis"/>
    <n v="1"/>
    <n v="7"/>
    <n v="6"/>
    <n v="0"/>
    <x v="27"/>
    <s v="vs Dimitris"/>
    <n v="166"/>
    <n v="0.443"/>
    <n v="45"/>
    <n v="0.34399999999999997"/>
    <n v="0.85599999999999998"/>
    <n v="472"/>
    <n v="41"/>
    <n v="124"/>
    <n v="110"/>
    <n v="27"/>
    <n v="11"/>
    <n v="57"/>
    <n v="1.93"/>
  </r>
  <r>
    <x v="7"/>
    <x v="0"/>
    <x v="11"/>
    <n v="122"/>
    <x v="27"/>
    <s v="Dimitris"/>
    <n v="0"/>
    <n v="6"/>
    <n v="7"/>
    <n v="0"/>
    <x v="14"/>
    <s v="vs Vasilis"/>
    <n v="123"/>
    <n v="0.49"/>
    <n v="50"/>
    <n v="0.41699999999999998"/>
    <n v="0.67500000000000004"/>
    <n v="323"/>
    <n v="39"/>
    <n v="73"/>
    <n v="62"/>
    <n v="20"/>
    <n v="19"/>
    <n v="30"/>
    <n v="2.0699999999999998"/>
  </r>
  <r>
    <x v="7"/>
    <x v="0"/>
    <x v="11"/>
    <n v="123"/>
    <x v="3"/>
    <s v="Sakellariou"/>
    <n v="1"/>
    <n v="7"/>
    <n v="6"/>
    <n v="0"/>
    <x v="7"/>
    <s v="vs Tassos"/>
    <n v="178"/>
    <n v="0.40899999999999997"/>
    <n v="57"/>
    <n v="0.35599999999999998"/>
    <n v="0.79400000000000004"/>
    <n v="494"/>
    <n v="47"/>
    <n v="141"/>
    <n v="104"/>
    <n v="41"/>
    <n v="26"/>
    <n v="48"/>
    <n v="2.17"/>
  </r>
  <r>
    <x v="7"/>
    <x v="0"/>
    <x v="11"/>
    <n v="123"/>
    <x v="6"/>
    <s v="Tassos"/>
    <n v="0"/>
    <n v="6"/>
    <n v="7"/>
    <n v="0"/>
    <x v="2"/>
    <s v="vs Sakellariou"/>
    <n v="183"/>
    <n v="0.48199999999999998"/>
    <n v="49"/>
    <n v="0.38300000000000001"/>
    <n v="0.89900000000000002"/>
    <n v="513"/>
    <n v="42"/>
    <n v="129"/>
    <n v="134"/>
    <n v="35"/>
    <n v="11"/>
    <n v="67"/>
    <n v="2"/>
  </r>
  <r>
    <x v="7"/>
    <x v="0"/>
    <x v="11"/>
    <n v="124"/>
    <x v="11"/>
    <s v="pi/Sotiris"/>
    <n v="1"/>
    <n v="8"/>
    <n v="5"/>
    <n v="0"/>
    <x v="13"/>
    <s v="vs Stavros"/>
    <n v="187"/>
    <n v="0.495"/>
    <n v="43"/>
    <n v="0.33100000000000002"/>
    <n v="0.622"/>
    <n v="473"/>
    <n v="54"/>
    <n v="162"/>
    <n v="130"/>
    <n v="35"/>
    <n v="14"/>
    <n v="72"/>
    <n v="1.81"/>
  </r>
  <r>
    <x v="7"/>
    <x v="0"/>
    <x v="11"/>
    <n v="124"/>
    <x v="12"/>
    <s v="Stavros"/>
    <n v="0"/>
    <n v="5"/>
    <n v="8"/>
    <n v="0"/>
    <x v="10"/>
    <s v="vs pi/Sotiris"/>
    <n v="114"/>
    <n v="0.435"/>
    <n v="42"/>
    <n v="0.33300000000000002"/>
    <n v="0.81100000000000005"/>
    <n v="313"/>
    <n v="24"/>
    <n v="87"/>
    <n v="74"/>
    <n v="23"/>
    <n v="23"/>
    <n v="29"/>
    <n v="2.5499999999999998"/>
  </r>
  <r>
    <x v="7"/>
    <x v="0"/>
    <x v="11"/>
    <n v="125"/>
    <x v="17"/>
    <s v="Spiridaus/Oladipas"/>
    <n v="1"/>
    <n v="8"/>
    <n v="5"/>
    <n v="0"/>
    <x v="28"/>
    <s v="vs Panos"/>
    <n v="144"/>
    <n v="0.44900000000000001"/>
    <n v="36"/>
    <n v="0.29799999999999999"/>
    <n v="0.78300000000000003"/>
    <n v="371"/>
    <n v="42"/>
    <n v="111"/>
    <n v="91"/>
    <n v="35"/>
    <n v="27"/>
    <n v="40"/>
    <n v="2.27"/>
  </r>
  <r>
    <x v="7"/>
    <x v="0"/>
    <x v="11"/>
    <n v="125"/>
    <x v="28"/>
    <s v="Panos"/>
    <n v="0"/>
    <n v="5"/>
    <n v="8"/>
    <n v="0"/>
    <x v="16"/>
    <s v="vs Spiridaus/Oladipas"/>
    <n v="143"/>
    <n v="0.40300000000000002"/>
    <n v="60"/>
    <n v="0.35499999999999998"/>
    <n v="0.79500000000000004"/>
    <n v="404"/>
    <n v="40"/>
    <n v="123"/>
    <n v="81"/>
    <n v="30"/>
    <n v="25"/>
    <n v="54"/>
    <n v="1.5"/>
  </r>
  <r>
    <x v="7"/>
    <x v="0"/>
    <x v="11"/>
    <n v="126"/>
    <x v="7"/>
    <s v="Johnny"/>
    <n v="0"/>
    <n v="6"/>
    <n v="7"/>
    <n v="0"/>
    <x v="0"/>
    <s v="vs Fanis"/>
    <n v="173"/>
    <n v="0.45500000000000002"/>
    <n v="76"/>
    <n v="0.40600000000000003"/>
    <n v="0.753"/>
    <n v="489"/>
    <n v="28"/>
    <n v="122"/>
    <n v="105"/>
    <n v="26"/>
    <n v="14"/>
    <n v="70"/>
    <n v="1.5"/>
  </r>
  <r>
    <x v="7"/>
    <x v="0"/>
    <x v="11"/>
    <n v="126"/>
    <x v="1"/>
    <s v="Fanis"/>
    <n v="1"/>
    <n v="7"/>
    <n v="6"/>
    <n v="0"/>
    <x v="6"/>
    <s v="vs Johnny"/>
    <n v="156"/>
    <n v="0.49199999999999999"/>
    <n v="52"/>
    <n v="0.42599999999999999"/>
    <n v="0.84599999999999997"/>
    <n v="452"/>
    <n v="15"/>
    <n v="104"/>
    <n v="117"/>
    <n v="23"/>
    <n v="22"/>
    <n v="50"/>
    <n v="2.34"/>
  </r>
  <r>
    <x v="7"/>
    <x v="0"/>
    <x v="11"/>
    <n v="127"/>
    <x v="16"/>
    <s v="Aris"/>
    <n v="1"/>
    <n v="11"/>
    <n v="2"/>
    <n v="0"/>
    <x v="20"/>
    <s v="vs Guru"/>
    <n v="188"/>
    <n v="0.53900000000000003"/>
    <n v="51"/>
    <n v="0.41099999999999998"/>
    <n v="0.77800000000000002"/>
    <n v="476"/>
    <n v="49"/>
    <n v="123"/>
    <n v="91"/>
    <n v="26"/>
    <n v="22"/>
    <n v="38"/>
    <n v="2.39"/>
  </r>
  <r>
    <x v="7"/>
    <x v="0"/>
    <x v="11"/>
    <n v="127"/>
    <x v="20"/>
    <s v="Guru"/>
    <n v="0"/>
    <n v="2"/>
    <n v="11"/>
    <n v="0"/>
    <x v="17"/>
    <s v="vs Aris"/>
    <n v="120"/>
    <n v="0.45500000000000002"/>
    <n v="50"/>
    <n v="0.376"/>
    <n v="0.75600000000000001"/>
    <n v="324"/>
    <n v="16"/>
    <n v="82"/>
    <n v="79"/>
    <n v="14"/>
    <n v="9"/>
    <n v="30"/>
    <n v="2.63"/>
  </r>
  <r>
    <x v="7"/>
    <x v="0"/>
    <x v="11"/>
    <n v="128"/>
    <x v="25"/>
    <s v="Arvanitis"/>
    <n v="1"/>
    <n v="7"/>
    <n v="5"/>
    <n v="1"/>
    <x v="23"/>
    <s v="vs Sarantos"/>
    <n v="137"/>
    <n v="0.47899999999999998"/>
    <n v="46"/>
    <n v="0.377"/>
    <n v="0.82699999999999996"/>
    <n v="387"/>
    <n v="52"/>
    <n v="146"/>
    <n v="68"/>
    <n v="33"/>
    <n v="21"/>
    <n v="35"/>
    <n v="1.94"/>
  </r>
  <r>
    <x v="7"/>
    <x v="0"/>
    <x v="11"/>
    <n v="128"/>
    <x v="23"/>
    <s v="Sarantos"/>
    <n v="0"/>
    <n v="5"/>
    <n v="7"/>
    <n v="1"/>
    <x v="25"/>
    <s v="vs Arvanitis"/>
    <n v="137"/>
    <n v="0.48099999999999998"/>
    <n v="47"/>
    <n v="0.40500000000000003"/>
    <n v="0.73499999999999999"/>
    <n v="371"/>
    <n v="38"/>
    <n v="109"/>
    <n v="76"/>
    <n v="28"/>
    <n v="23"/>
    <n v="42"/>
    <n v="1.81"/>
  </r>
  <r>
    <x v="7"/>
    <x v="0"/>
    <x v="11"/>
    <n v="129"/>
    <x v="18"/>
    <s v="Kotakis"/>
    <n v="1"/>
    <n v="10"/>
    <n v="3"/>
    <n v="0"/>
    <x v="26"/>
    <s v="vs Lafa"/>
    <n v="186"/>
    <n v="0.46899999999999997"/>
    <n v="54"/>
    <n v="0.32700000000000001"/>
    <n v="0.63800000000000001"/>
    <n v="470"/>
    <n v="53"/>
    <n v="185"/>
    <n v="131"/>
    <n v="35"/>
    <n v="23"/>
    <n v="59"/>
    <n v="2.2200000000000002"/>
  </r>
  <r>
    <x v="7"/>
    <x v="0"/>
    <x v="11"/>
    <n v="129"/>
    <x v="26"/>
    <s v="Lafa"/>
    <n v="0"/>
    <n v="3"/>
    <n v="10"/>
    <n v="0"/>
    <x v="19"/>
    <s v="vs Kotakis"/>
    <n v="129"/>
    <n v="0.44600000000000001"/>
    <n v="34"/>
    <n v="0.33"/>
    <n v="0.68500000000000005"/>
    <n v="353"/>
    <n v="45"/>
    <n v="117"/>
    <n v="84"/>
    <n v="29"/>
    <n v="20"/>
    <n v="42"/>
    <n v="2"/>
  </r>
  <r>
    <x v="7"/>
    <x v="0"/>
    <x v="11"/>
    <n v="130"/>
    <x v="21"/>
    <s v="Tzokos"/>
    <n v="0"/>
    <n v="6"/>
    <n v="7"/>
    <n v="0"/>
    <x v="8"/>
    <s v="vs Ziogas/Christof"/>
    <n v="119"/>
    <n v="0.49399999999999999"/>
    <n v="31"/>
    <n v="0.36"/>
    <n v="0.8"/>
    <n v="313"/>
    <n v="38"/>
    <n v="113"/>
    <n v="76"/>
    <n v="23"/>
    <n v="18"/>
    <n v="37"/>
    <n v="2.0499999999999998"/>
  </r>
  <r>
    <x v="7"/>
    <x v="0"/>
    <x v="11"/>
    <n v="130"/>
    <x v="9"/>
    <s v="Ziogas/Christof"/>
    <n v="1"/>
    <n v="7"/>
    <n v="6"/>
    <n v="0"/>
    <x v="21"/>
    <s v="vs Tzokos"/>
    <n v="187"/>
    <n v="0.48299999999999998"/>
    <n v="56"/>
    <n v="0.35399999999999998"/>
    <n v="0.745"/>
    <n v="509"/>
    <n v="58"/>
    <n v="154"/>
    <n v="106"/>
    <n v="46"/>
    <n v="17"/>
    <n v="57"/>
    <n v="1.86"/>
  </r>
  <r>
    <x v="7"/>
    <x v="0"/>
    <x v="12"/>
    <n v="131"/>
    <x v="27"/>
    <s v="Dimitris"/>
    <n v="0"/>
    <n v="3"/>
    <n v="10"/>
    <n v="0"/>
    <x v="24"/>
    <s v="vs Tolios"/>
    <n v="124"/>
    <n v="0.51700000000000002"/>
    <n v="38"/>
    <n v="0.36199999999999999"/>
    <n v="0.871"/>
    <n v="347"/>
    <n v="19"/>
    <n v="80"/>
    <n v="55"/>
    <n v="15"/>
    <n v="9"/>
    <n v="42"/>
    <n v="1.31"/>
  </r>
  <r>
    <x v="7"/>
    <x v="0"/>
    <x v="12"/>
    <n v="131"/>
    <x v="24"/>
    <s v="Tolios"/>
    <n v="1"/>
    <n v="10"/>
    <n v="3"/>
    <n v="0"/>
    <x v="27"/>
    <s v="vs Dimitris"/>
    <n v="154"/>
    <n v="0.47199999999999998"/>
    <n v="46"/>
    <n v="0.374"/>
    <n v="0.78600000000000003"/>
    <n v="442"/>
    <n v="34"/>
    <n v="116"/>
    <n v="92"/>
    <n v="25"/>
    <n v="12"/>
    <n v="52"/>
    <n v="1.77"/>
  </r>
  <r>
    <x v="7"/>
    <x v="0"/>
    <x v="12"/>
    <n v="132"/>
    <x v="6"/>
    <s v="Tassos"/>
    <n v="1"/>
    <n v="7"/>
    <n v="6"/>
    <n v="0"/>
    <x v="3"/>
    <s v="vs Fountos"/>
    <n v="177"/>
    <n v="0.44400000000000001"/>
    <n v="51"/>
    <n v="0.35899999999999999"/>
    <n v="0.86499999999999999"/>
    <n v="482"/>
    <n v="33"/>
    <n v="137"/>
    <n v="106"/>
    <n v="30"/>
    <n v="8"/>
    <n v="54"/>
    <n v="1.96"/>
  </r>
  <r>
    <x v="7"/>
    <x v="0"/>
    <x v="12"/>
    <n v="132"/>
    <x v="2"/>
    <s v="Fountos"/>
    <n v="0"/>
    <n v="6"/>
    <n v="7"/>
    <n v="0"/>
    <x v="7"/>
    <s v="vs Tassos"/>
    <n v="157"/>
    <n v="0.47699999999999998"/>
    <n v="39"/>
    <n v="0.34200000000000003"/>
    <n v="0.74199999999999999"/>
    <n v="422"/>
    <n v="40"/>
    <n v="104"/>
    <n v="87"/>
    <n v="34"/>
    <n v="11"/>
    <n v="35"/>
    <n v="2.4900000000000002"/>
  </r>
  <r>
    <x v="7"/>
    <x v="0"/>
    <x v="12"/>
    <n v="133"/>
    <x v="12"/>
    <s v="Stavros"/>
    <n v="0"/>
    <n v="2"/>
    <n v="11"/>
    <n v="0"/>
    <x v="14"/>
    <s v="vs Vasilis"/>
    <n v="109"/>
    <n v="0.48"/>
    <n v="28"/>
    <n v="0.32900000000000001"/>
    <n v="0.86499999999999999"/>
    <n v="278"/>
    <n v="30"/>
    <n v="96"/>
    <n v="81"/>
    <n v="17"/>
    <n v="19"/>
    <n v="32"/>
    <n v="2.5299999999999998"/>
  </r>
  <r>
    <x v="7"/>
    <x v="0"/>
    <x v="12"/>
    <n v="133"/>
    <x v="15"/>
    <s v="Vasilis"/>
    <n v="1"/>
    <n v="11"/>
    <n v="2"/>
    <n v="0"/>
    <x v="13"/>
    <s v="vs Stavros"/>
    <n v="192"/>
    <n v="0.51800000000000002"/>
    <n v="55"/>
    <n v="0.35899999999999999"/>
    <n v="0.88"/>
    <n v="542"/>
    <n v="34"/>
    <n v="137"/>
    <n v="127"/>
    <n v="43"/>
    <n v="18"/>
    <n v="43"/>
    <n v="2.95"/>
  </r>
  <r>
    <x v="7"/>
    <x v="0"/>
    <x v="12"/>
    <n v="134"/>
    <x v="28"/>
    <s v="Panos"/>
    <n v="0"/>
    <n v="3"/>
    <n v="10"/>
    <n v="0"/>
    <x v="2"/>
    <s v="vs Sakellariou"/>
    <n v="163"/>
    <n v="0.44800000000000001"/>
    <n v="67"/>
    <n v="0.37"/>
    <n v="0.77600000000000002"/>
    <n v="452"/>
    <n v="30"/>
    <n v="106"/>
    <n v="95"/>
    <n v="24"/>
    <n v="15"/>
    <n v="58"/>
    <n v="1.64"/>
  </r>
  <r>
    <x v="7"/>
    <x v="0"/>
    <x v="12"/>
    <n v="134"/>
    <x v="3"/>
    <s v="Sakellariou"/>
    <n v="1"/>
    <n v="10"/>
    <n v="3"/>
    <n v="0"/>
    <x v="28"/>
    <s v="vs Panos"/>
    <n v="197"/>
    <n v="0.46"/>
    <n v="64"/>
    <n v="0.36799999999999999"/>
    <n v="0.81100000000000005"/>
    <n v="548"/>
    <n v="41"/>
    <n v="145"/>
    <n v="147"/>
    <n v="39"/>
    <n v="20"/>
    <n v="73"/>
    <n v="2.0099999999999998"/>
  </r>
  <r>
    <x v="7"/>
    <x v="0"/>
    <x v="12"/>
    <n v="135"/>
    <x v="1"/>
    <s v="Fanis"/>
    <n v="1"/>
    <n v="7"/>
    <n v="6"/>
    <n v="0"/>
    <x v="10"/>
    <s v="vs pi/Sotiris"/>
    <n v="206"/>
    <n v="0.50700000000000001"/>
    <n v="53"/>
    <n v="0.36799999999999999"/>
    <n v="0.84399999999999997"/>
    <n v="546"/>
    <n v="48"/>
    <n v="124"/>
    <n v="120"/>
    <n v="36"/>
    <n v="20"/>
    <n v="53"/>
    <n v="2.2599999999999998"/>
  </r>
  <r>
    <x v="7"/>
    <x v="0"/>
    <x v="12"/>
    <n v="135"/>
    <x v="11"/>
    <s v="pi/Sotiris"/>
    <n v="0"/>
    <n v="6"/>
    <n v="7"/>
    <n v="0"/>
    <x v="0"/>
    <s v="vs Fanis"/>
    <n v="214"/>
    <n v="0.497"/>
    <n v="78"/>
    <n v="0.42599999999999999"/>
    <n v="0.74099999999999999"/>
    <n v="589"/>
    <n v="40"/>
    <n v="172"/>
    <n v="169"/>
    <n v="31"/>
    <n v="19"/>
    <n v="80"/>
    <n v="2.11"/>
  </r>
  <r>
    <x v="7"/>
    <x v="0"/>
    <x v="12"/>
    <n v="136"/>
    <x v="20"/>
    <s v="Guru"/>
    <n v="0"/>
    <n v="6"/>
    <n v="7"/>
    <n v="0"/>
    <x v="16"/>
    <s v="vs Spiridaus/Oladipas"/>
    <n v="133"/>
    <n v="0.438"/>
    <n v="58"/>
    <n v="0.33700000000000002"/>
    <n v="0.79400000000000004"/>
    <n v="374"/>
    <n v="19"/>
    <n v="87"/>
    <n v="114"/>
    <n v="30"/>
    <n v="18"/>
    <n v="39"/>
    <n v="2.92"/>
  </r>
  <r>
    <x v="7"/>
    <x v="0"/>
    <x v="12"/>
    <n v="136"/>
    <x v="17"/>
    <s v="Spiridaus/Oladipas"/>
    <n v="1"/>
    <n v="7"/>
    <n v="6"/>
    <n v="0"/>
    <x v="20"/>
    <s v="vs Guru"/>
    <n v="145"/>
    <n v="0.46"/>
    <n v="39"/>
    <n v="0.33100000000000002"/>
    <n v="0.68100000000000005"/>
    <n v="376"/>
    <n v="49"/>
    <n v="126"/>
    <n v="120"/>
    <n v="28"/>
    <n v="30"/>
    <n v="44"/>
    <n v="2.73"/>
  </r>
  <r>
    <x v="7"/>
    <x v="0"/>
    <x v="12"/>
    <n v="137"/>
    <x v="23"/>
    <s v="Sarantos"/>
    <n v="1"/>
    <n v="8"/>
    <n v="5"/>
    <n v="0"/>
    <x v="6"/>
    <s v="vs Johnny"/>
    <n v="134"/>
    <n v="0.47"/>
    <n v="45"/>
    <n v="0.36599999999999999"/>
    <n v="0.85699999999999998"/>
    <n v="373"/>
    <n v="36"/>
    <n v="120"/>
    <n v="95"/>
    <n v="36"/>
    <n v="15"/>
    <n v="42"/>
    <n v="2.2599999999999998"/>
  </r>
  <r>
    <x v="7"/>
    <x v="0"/>
    <x v="12"/>
    <n v="137"/>
    <x v="7"/>
    <s v="Johnny"/>
    <n v="0"/>
    <n v="5"/>
    <n v="8"/>
    <n v="0"/>
    <x v="23"/>
    <s v="vs Sarantos"/>
    <n v="164"/>
    <n v="0.43"/>
    <n v="68"/>
    <n v="0.38"/>
    <n v="0.79800000000000004"/>
    <n v="471"/>
    <n v="33"/>
    <n v="112"/>
    <n v="87"/>
    <n v="19"/>
    <n v="19"/>
    <n v="53"/>
    <n v="1.64"/>
  </r>
  <r>
    <x v="7"/>
    <x v="0"/>
    <x v="12"/>
    <n v="138"/>
    <x v="26"/>
    <s v="Lafa"/>
    <n v="1"/>
    <n v="7"/>
    <n v="6"/>
    <n v="0"/>
    <x v="17"/>
    <s v="vs Aris"/>
    <n v="201"/>
    <n v="0.46899999999999997"/>
    <n v="54"/>
    <n v="0.378"/>
    <n v="0.71799999999999997"/>
    <n v="535"/>
    <n v="40"/>
    <n v="134"/>
    <n v="95"/>
    <n v="40"/>
    <n v="13"/>
    <n v="59"/>
    <n v="1.61"/>
  </r>
  <r>
    <x v="7"/>
    <x v="0"/>
    <x v="12"/>
    <n v="138"/>
    <x v="16"/>
    <s v="Aris"/>
    <n v="0"/>
    <n v="6"/>
    <n v="7"/>
    <n v="0"/>
    <x v="26"/>
    <s v="vs Lafa"/>
    <n v="174"/>
    <n v="0.48499999999999999"/>
    <n v="48"/>
    <n v="0.44400000000000001"/>
    <n v="0.63"/>
    <n v="447"/>
    <n v="66"/>
    <n v="118"/>
    <n v="113"/>
    <n v="31"/>
    <n v="23"/>
    <n v="60"/>
    <n v="1.88"/>
  </r>
  <r>
    <x v="7"/>
    <x v="0"/>
    <x v="12"/>
    <n v="139"/>
    <x v="9"/>
    <s v="Ziogas/Christof"/>
    <n v="1"/>
    <n v="9"/>
    <n v="4"/>
    <n v="0"/>
    <x v="25"/>
    <s v="vs Arvanitis"/>
    <n v="138"/>
    <n v="0.48599999999999999"/>
    <n v="58"/>
    <n v="0.439"/>
    <n v="0.77600000000000002"/>
    <n v="393"/>
    <n v="42"/>
    <n v="141"/>
    <n v="102"/>
    <n v="34"/>
    <n v="11"/>
    <n v="50"/>
    <n v="2.04"/>
  </r>
  <r>
    <x v="7"/>
    <x v="0"/>
    <x v="12"/>
    <n v="139"/>
    <x v="25"/>
    <s v="Arvanitis"/>
    <n v="0"/>
    <n v="4"/>
    <n v="9"/>
    <n v="0"/>
    <x v="8"/>
    <s v="vs Ziogas/Christof"/>
    <n v="130"/>
    <n v="0.498"/>
    <n v="39"/>
    <n v="0.36099999999999999"/>
    <n v="0.73299999999999998"/>
    <n v="343"/>
    <n v="60"/>
    <n v="108"/>
    <n v="53"/>
    <n v="23"/>
    <n v="21"/>
    <n v="41"/>
    <n v="1.29"/>
  </r>
  <r>
    <x v="7"/>
    <x v="0"/>
    <x v="12"/>
    <n v="140"/>
    <x v="21"/>
    <s v="Tzokos"/>
    <n v="0"/>
    <n v="1"/>
    <n v="12"/>
    <n v="0"/>
    <x v="19"/>
    <s v="vs Kotakis"/>
    <n v="105"/>
    <n v="0.51200000000000001"/>
    <n v="32"/>
    <n v="0.40500000000000003"/>
    <n v="0.71699999999999997"/>
    <n v="275"/>
    <n v="37"/>
    <n v="88"/>
    <n v="66"/>
    <n v="21"/>
    <n v="11"/>
    <n v="31"/>
    <n v="2.13"/>
  </r>
  <r>
    <x v="7"/>
    <x v="0"/>
    <x v="12"/>
    <n v="140"/>
    <x v="18"/>
    <s v="Kotakis"/>
    <n v="1"/>
    <n v="12"/>
    <n v="1"/>
    <n v="0"/>
    <x v="21"/>
    <s v="vs Tzokos"/>
    <n v="178"/>
    <n v="0.54400000000000004"/>
    <n v="50"/>
    <n v="0.45500000000000002"/>
    <n v="0.76900000000000002"/>
    <n v="456"/>
    <n v="45"/>
    <n v="139"/>
    <n v="93"/>
    <n v="25"/>
    <n v="13"/>
    <n v="40"/>
    <n v="2.33"/>
  </r>
  <r>
    <x v="7"/>
    <x v="0"/>
    <x v="13"/>
    <n v="141"/>
    <x v="24"/>
    <s v="Tolios"/>
    <n v="0"/>
    <n v="4"/>
    <n v="9"/>
    <n v="0"/>
    <x v="7"/>
    <s v="vs Tassos"/>
    <n v="140"/>
    <n v="0.47499999999999998"/>
    <n v="29"/>
    <n v="0.30199999999999999"/>
    <n v="0.84099999999999997"/>
    <n v="383"/>
    <n v="42"/>
    <n v="97"/>
    <n v="77"/>
    <n v="27"/>
    <n v="21"/>
    <n v="44"/>
    <n v="1.75"/>
  </r>
  <r>
    <x v="7"/>
    <x v="0"/>
    <x v="13"/>
    <n v="141"/>
    <x v="6"/>
    <s v="Tassos"/>
    <n v="1"/>
    <n v="9"/>
    <n v="4"/>
    <n v="0"/>
    <x v="24"/>
    <s v="vs Tolios"/>
    <n v="177"/>
    <n v="0.49"/>
    <n v="39"/>
    <n v="0.33600000000000002"/>
    <n v="0.82099999999999995"/>
    <n v="457"/>
    <n v="32"/>
    <n v="109"/>
    <n v="113"/>
    <n v="23"/>
    <n v="9"/>
    <n v="43"/>
    <n v="2.63"/>
  </r>
  <r>
    <x v="7"/>
    <x v="0"/>
    <x v="13"/>
    <n v="142"/>
    <x v="27"/>
    <s v="Dimitris"/>
    <n v="1"/>
    <n v="7"/>
    <n v="6"/>
    <n v="0"/>
    <x v="13"/>
    <s v="vs Stavros"/>
    <n v="108"/>
    <n v="0.48899999999999999"/>
    <n v="42"/>
    <n v="0.45700000000000002"/>
    <n v="0.89500000000000002"/>
    <n v="292"/>
    <n v="29"/>
    <n v="104"/>
    <n v="41"/>
    <n v="14"/>
    <n v="14"/>
    <n v="31"/>
    <n v="1.32"/>
  </r>
  <r>
    <x v="7"/>
    <x v="0"/>
    <x v="13"/>
    <n v="142"/>
    <x v="12"/>
    <s v="Stavros"/>
    <n v="0"/>
    <n v="6"/>
    <n v="7"/>
    <n v="0"/>
    <x v="27"/>
    <s v="vs Dimitris"/>
    <n v="80"/>
    <n v="0.41499999999999998"/>
    <n v="30"/>
    <n v="0.35299999999999998"/>
    <n v="0.91400000000000003"/>
    <n v="222"/>
    <n v="27"/>
    <n v="76"/>
    <n v="65"/>
    <n v="25"/>
    <n v="17"/>
    <n v="30"/>
    <n v="2.17"/>
  </r>
  <r>
    <x v="7"/>
    <x v="0"/>
    <x v="13"/>
    <n v="143"/>
    <x v="2"/>
    <s v="Fountos"/>
    <n v="1"/>
    <n v="7"/>
    <n v="6"/>
    <n v="0"/>
    <x v="28"/>
    <s v="vs Panos"/>
    <n v="146"/>
    <n v="0.45200000000000001"/>
    <n v="38"/>
    <n v="0.34499999999999997"/>
    <n v="0.78"/>
    <n v="401"/>
    <n v="34"/>
    <n v="98"/>
    <n v="108"/>
    <n v="20"/>
    <n v="14"/>
    <n v="41"/>
    <n v="2.63"/>
  </r>
  <r>
    <x v="7"/>
    <x v="0"/>
    <x v="13"/>
    <n v="143"/>
    <x v="28"/>
    <s v="Panos"/>
    <n v="0"/>
    <n v="6"/>
    <n v="7"/>
    <n v="0"/>
    <x v="3"/>
    <s v="vs Fountos"/>
    <n v="142"/>
    <n v="0.40600000000000003"/>
    <n v="59"/>
    <n v="0.373"/>
    <n v="0.76900000000000002"/>
    <n v="393"/>
    <n v="37"/>
    <n v="103"/>
    <n v="101"/>
    <n v="32"/>
    <n v="24"/>
    <n v="48"/>
    <n v="2.1"/>
  </r>
  <r>
    <x v="7"/>
    <x v="0"/>
    <x v="13"/>
    <n v="144"/>
    <x v="15"/>
    <s v="Vasilis"/>
    <n v="0"/>
    <n v="3"/>
    <n v="10"/>
    <n v="0"/>
    <x v="0"/>
    <s v="vs Fanis"/>
    <n v="194"/>
    <n v="0.46400000000000002"/>
    <n v="50"/>
    <n v="0.34499999999999997"/>
    <n v="0.874"/>
    <n v="542"/>
    <n v="33"/>
    <n v="129"/>
    <n v="108"/>
    <n v="33"/>
    <n v="20"/>
    <n v="45"/>
    <n v="2.4"/>
  </r>
  <r>
    <x v="7"/>
    <x v="0"/>
    <x v="13"/>
    <n v="144"/>
    <x v="1"/>
    <s v="Fanis"/>
    <n v="1"/>
    <n v="10"/>
    <n v="3"/>
    <n v="0"/>
    <x v="14"/>
    <s v="vs Vasilis"/>
    <n v="216"/>
    <n v="0.49299999999999999"/>
    <n v="58"/>
    <n v="0.41399999999999998"/>
    <n v="0.75"/>
    <n v="571"/>
    <n v="50"/>
    <n v="131"/>
    <n v="155"/>
    <n v="40"/>
    <n v="24"/>
    <n v="77"/>
    <n v="2.0099999999999998"/>
  </r>
  <r>
    <x v="7"/>
    <x v="0"/>
    <x v="13"/>
    <n v="145"/>
    <x v="3"/>
    <s v="Sakellariou"/>
    <n v="0"/>
    <n v="6"/>
    <n v="6"/>
    <n v="1"/>
    <x v="20"/>
    <s v="vs Guru"/>
    <n v="225"/>
    <n v="0.46700000000000003"/>
    <n v="67"/>
    <n v="0.39"/>
    <n v="0.84199999999999997"/>
    <n v="645"/>
    <n v="53"/>
    <n v="166"/>
    <n v="132"/>
    <n v="29"/>
    <n v="18"/>
    <n v="65"/>
    <n v="2.0299999999999998"/>
  </r>
  <r>
    <x v="7"/>
    <x v="0"/>
    <x v="13"/>
    <n v="145"/>
    <x v="20"/>
    <s v="Guru"/>
    <n v="0"/>
    <n v="6"/>
    <n v="6"/>
    <n v="1"/>
    <x v="2"/>
    <s v="vs Sakellariou"/>
    <n v="139"/>
    <n v="0.46800000000000003"/>
    <n v="67"/>
    <n v="0.41099999999999998"/>
    <n v="0.877"/>
    <n v="402"/>
    <n v="13"/>
    <n v="81"/>
    <n v="83"/>
    <n v="18"/>
    <n v="22"/>
    <n v="33"/>
    <n v="2.52"/>
  </r>
  <r>
    <x v="7"/>
    <x v="0"/>
    <x v="13"/>
    <n v="146"/>
    <x v="11"/>
    <s v="pi/Sotiris"/>
    <n v="1"/>
    <n v="8"/>
    <n v="5"/>
    <n v="0"/>
    <x v="23"/>
    <s v="vs Sarantos"/>
    <n v="177"/>
    <n v="0.47699999999999998"/>
    <n v="53"/>
    <n v="0.34399999999999997"/>
    <n v="0.79600000000000004"/>
    <n v="485"/>
    <n v="46"/>
    <n v="140"/>
    <n v="147"/>
    <n v="22"/>
    <n v="11"/>
    <n v="73"/>
    <n v="2.0099999999999998"/>
  </r>
  <r>
    <x v="7"/>
    <x v="0"/>
    <x v="13"/>
    <n v="146"/>
    <x v="23"/>
    <s v="Sarantos"/>
    <n v="0"/>
    <n v="5"/>
    <n v="8"/>
    <n v="0"/>
    <x v="10"/>
    <s v="vs pi/Sotiris"/>
    <n v="100"/>
    <n v="0.42399999999999999"/>
    <n v="22"/>
    <n v="0.26800000000000002"/>
    <n v="0.86399999999999999"/>
    <n v="279"/>
    <n v="40"/>
    <n v="91"/>
    <n v="69"/>
    <n v="23"/>
    <n v="16"/>
    <n v="34"/>
    <n v="2.0299999999999998"/>
  </r>
  <r>
    <x v="7"/>
    <x v="0"/>
    <x v="13"/>
    <n v="147"/>
    <x v="17"/>
    <s v="Spiridaus/Oladipas"/>
    <n v="1"/>
    <n v="9"/>
    <n v="4"/>
    <n v="0"/>
    <x v="26"/>
    <s v="vs Lafa"/>
    <n v="145"/>
    <n v="0.48499999999999999"/>
    <n v="33"/>
    <n v="0.29699999999999999"/>
    <n v="0.77"/>
    <n v="390"/>
    <n v="41"/>
    <n v="114"/>
    <n v="97"/>
    <n v="30"/>
    <n v="13"/>
    <n v="43"/>
    <n v="2.2599999999999998"/>
  </r>
  <r>
    <x v="7"/>
    <x v="0"/>
    <x v="13"/>
    <n v="147"/>
    <x v="26"/>
    <s v="Lafa"/>
    <n v="0"/>
    <n v="4"/>
    <n v="9"/>
    <n v="0"/>
    <x v="16"/>
    <s v="vs Spiridaus/Oladipas"/>
    <n v="161"/>
    <n v="0.40100000000000002"/>
    <n v="42"/>
    <n v="0.27500000000000002"/>
    <n v="0.75600000000000001"/>
    <n v="454"/>
    <n v="37"/>
    <n v="113"/>
    <n v="75"/>
    <n v="20"/>
    <n v="16"/>
    <n v="53"/>
    <n v="1.42"/>
  </r>
  <r>
    <x v="7"/>
    <x v="0"/>
    <x v="13"/>
    <n v="148"/>
    <x v="7"/>
    <s v="Johnny"/>
    <n v="0"/>
    <n v="3"/>
    <n v="10"/>
    <n v="0"/>
    <x v="8"/>
    <s v="vs Ziogas/Christof"/>
    <n v="148"/>
    <n v="0.43099999999999999"/>
    <n v="49"/>
    <n v="0.34499999999999997"/>
    <n v="0.78200000000000003"/>
    <n v="413"/>
    <n v="21"/>
    <n v="100"/>
    <n v="109"/>
    <n v="23"/>
    <n v="13"/>
    <n v="63"/>
    <n v="1.73"/>
  </r>
  <r>
    <x v="7"/>
    <x v="0"/>
    <x v="13"/>
    <n v="148"/>
    <x v="9"/>
    <s v="Ziogas/Christof"/>
    <n v="1"/>
    <n v="10"/>
    <n v="3"/>
    <n v="0"/>
    <x v="6"/>
    <s v="vs Johnny"/>
    <n v="135"/>
    <n v="0.47499999999999998"/>
    <n v="36"/>
    <n v="0.34599999999999997"/>
    <n v="0.85499999999999998"/>
    <n v="365"/>
    <n v="48"/>
    <n v="116"/>
    <n v="114"/>
    <n v="33"/>
    <n v="17"/>
    <n v="52"/>
    <n v="2.19"/>
  </r>
  <r>
    <x v="7"/>
    <x v="0"/>
    <x v="13"/>
    <n v="149"/>
    <x v="16"/>
    <s v="Aris"/>
    <n v="1"/>
    <n v="10"/>
    <n v="3"/>
    <n v="0"/>
    <x v="21"/>
    <s v="vs Tzokos"/>
    <n v="148"/>
    <n v="0.52500000000000002"/>
    <n v="42"/>
    <n v="0.38500000000000001"/>
    <n v="0.72199999999999998"/>
    <n v="403"/>
    <n v="44"/>
    <n v="95"/>
    <n v="67"/>
    <n v="35"/>
    <n v="14"/>
    <n v="43"/>
    <n v="1.56"/>
  </r>
  <r>
    <x v="7"/>
    <x v="0"/>
    <x v="13"/>
    <n v="149"/>
    <x v="21"/>
    <s v="Tzokos"/>
    <n v="0"/>
    <n v="3"/>
    <n v="10"/>
    <n v="0"/>
    <x v="17"/>
    <s v="vs Aris"/>
    <n v="111"/>
    <n v="0.46800000000000003"/>
    <n v="41"/>
    <n v="0.38"/>
    <n v="0.73099999999999998"/>
    <n v="312"/>
    <n v="36"/>
    <n v="79"/>
    <n v="84"/>
    <n v="30"/>
    <n v="9"/>
    <n v="45"/>
    <n v="1.87"/>
  </r>
  <r>
    <x v="7"/>
    <x v="0"/>
    <x v="13"/>
    <n v="150"/>
    <x v="25"/>
    <s v="Arvanitis"/>
    <n v="0"/>
    <n v="4"/>
    <n v="9"/>
    <n v="0"/>
    <x v="19"/>
    <s v="vs Kotakis"/>
    <n v="130"/>
    <n v="0.51800000000000002"/>
    <n v="35"/>
    <n v="0.36799999999999999"/>
    <n v="0.68400000000000005"/>
    <n v="349"/>
    <n v="50"/>
    <n v="125"/>
    <n v="59"/>
    <n v="37"/>
    <n v="18"/>
    <n v="51"/>
    <n v="1.1599999999999999"/>
  </r>
  <r>
    <x v="7"/>
    <x v="0"/>
    <x v="13"/>
    <n v="150"/>
    <x v="18"/>
    <s v="Kotakis"/>
    <n v="1"/>
    <n v="9"/>
    <n v="4"/>
    <n v="0"/>
    <x v="25"/>
    <s v="vs Arvanitis"/>
    <n v="173"/>
    <n v="0.49099999999999999"/>
    <n v="60"/>
    <n v="0.41099999999999998"/>
    <n v="0.88300000000000001"/>
    <n v="459"/>
    <n v="62"/>
    <n v="132"/>
    <n v="104"/>
    <n v="29"/>
    <n v="11"/>
    <n v="63"/>
    <n v="1.65"/>
  </r>
  <r>
    <x v="7"/>
    <x v="0"/>
    <x v="14"/>
    <n v="151"/>
    <x v="12"/>
    <s v="Stavros"/>
    <n v="0"/>
    <n v="2"/>
    <n v="11"/>
    <n v="0"/>
    <x v="24"/>
    <s v="vs Tolios"/>
    <n v="120"/>
    <n v="0.44"/>
    <n v="52"/>
    <n v="0.35599999999999998"/>
    <n v="0.76700000000000002"/>
    <n v="325"/>
    <n v="31"/>
    <n v="116"/>
    <n v="97"/>
    <n v="21"/>
    <n v="17"/>
    <n v="34"/>
    <n v="2.85"/>
  </r>
  <r>
    <x v="7"/>
    <x v="0"/>
    <x v="14"/>
    <n v="151"/>
    <x v="24"/>
    <s v="Tolios"/>
    <n v="1"/>
    <n v="11"/>
    <n v="2"/>
    <n v="0"/>
    <x v="13"/>
    <s v="vs Stavros"/>
    <n v="191"/>
    <n v="0.50900000000000001"/>
    <n v="63"/>
    <n v="0.45"/>
    <n v="0.77"/>
    <n v="539"/>
    <n v="49"/>
    <n v="117"/>
    <n v="108"/>
    <n v="25"/>
    <n v="19"/>
    <n v="51"/>
    <n v="2.12"/>
  </r>
  <r>
    <x v="7"/>
    <x v="0"/>
    <x v="14"/>
    <n v="152"/>
    <x v="28"/>
    <s v="Panos"/>
    <n v="0"/>
    <n v="2"/>
    <n v="11"/>
    <n v="0"/>
    <x v="7"/>
    <s v="vs Tassos"/>
    <n v="131"/>
    <n v="0.45300000000000001"/>
    <n v="43"/>
    <n v="0.33600000000000002"/>
    <n v="0.69399999999999995"/>
    <n v="339"/>
    <n v="30"/>
    <n v="77"/>
    <n v="73"/>
    <n v="17"/>
    <n v="15"/>
    <n v="41"/>
    <n v="1.78"/>
  </r>
  <r>
    <x v="7"/>
    <x v="0"/>
    <x v="14"/>
    <n v="152"/>
    <x v="6"/>
    <s v="Tassos"/>
    <n v="1"/>
    <n v="11"/>
    <n v="2"/>
    <n v="0"/>
    <x v="28"/>
    <s v="vs Panos"/>
    <n v="222"/>
    <n v="0.49299999999999999"/>
    <n v="58"/>
    <n v="0.374"/>
    <n v="0.85699999999999998"/>
    <n v="610"/>
    <n v="45"/>
    <n v="122"/>
    <n v="126"/>
    <n v="20"/>
    <n v="14"/>
    <n v="54"/>
    <n v="2.33"/>
  </r>
  <r>
    <x v="7"/>
    <x v="0"/>
    <x v="14"/>
    <n v="153"/>
    <x v="1"/>
    <s v="Fanis"/>
    <n v="1"/>
    <n v="11"/>
    <n v="2"/>
    <n v="0"/>
    <x v="27"/>
    <s v="vs Dimitris"/>
    <n v="205"/>
    <n v="0.53500000000000003"/>
    <n v="44"/>
    <n v="0.38600000000000001"/>
    <n v="0.76100000000000001"/>
    <n v="521"/>
    <n v="67"/>
    <n v="162"/>
    <n v="142"/>
    <n v="31"/>
    <n v="27"/>
    <n v="66"/>
    <n v="2.15"/>
  </r>
  <r>
    <x v="7"/>
    <x v="0"/>
    <x v="14"/>
    <n v="153"/>
    <x v="27"/>
    <s v="Dimitris"/>
    <n v="0"/>
    <n v="2"/>
    <n v="11"/>
    <n v="0"/>
    <x v="0"/>
    <s v="vs Fanis"/>
    <n v="129"/>
    <n v="0.43"/>
    <n v="38"/>
    <n v="0.29699999999999999"/>
    <n v="0.8"/>
    <n v="336"/>
    <n v="37"/>
    <n v="120"/>
    <n v="59"/>
    <n v="12"/>
    <n v="19"/>
    <n v="44"/>
    <n v="1.34"/>
  </r>
  <r>
    <x v="7"/>
    <x v="0"/>
    <x v="14"/>
    <n v="154"/>
    <x v="20"/>
    <s v="Guru"/>
    <n v="0"/>
    <n v="4"/>
    <n v="9"/>
    <n v="0"/>
    <x v="3"/>
    <s v="vs Fountos"/>
    <n v="153"/>
    <n v="0.44600000000000001"/>
    <n v="68"/>
    <n v="0.376"/>
    <n v="0.78700000000000003"/>
    <n v="422"/>
    <n v="18"/>
    <n v="82"/>
    <n v="85"/>
    <n v="25"/>
    <n v="12"/>
    <n v="43"/>
    <n v="1.98"/>
  </r>
  <r>
    <x v="7"/>
    <x v="0"/>
    <x v="14"/>
    <n v="154"/>
    <x v="2"/>
    <s v="Fountos"/>
    <n v="1"/>
    <n v="9"/>
    <n v="4"/>
    <n v="0"/>
    <x v="20"/>
    <s v="vs Guru"/>
    <n v="183"/>
    <n v="0.48299999999999998"/>
    <n v="46"/>
    <n v="0.34599999999999997"/>
    <n v="0.80900000000000005"/>
    <n v="505"/>
    <n v="36"/>
    <n v="129"/>
    <n v="101"/>
    <n v="30"/>
    <n v="15"/>
    <n v="57"/>
    <n v="1.77"/>
  </r>
  <r>
    <x v="7"/>
    <x v="0"/>
    <x v="14"/>
    <n v="155"/>
    <x v="23"/>
    <s v="Sarantos"/>
    <n v="0"/>
    <n v="6"/>
    <n v="7"/>
    <n v="0"/>
    <x v="14"/>
    <s v="vs Vasilis"/>
    <n v="158"/>
    <n v="0.497"/>
    <n v="52"/>
    <n v="0.39700000000000002"/>
    <n v="0.85299999999999998"/>
    <n v="426"/>
    <n v="36"/>
    <n v="92"/>
    <n v="80"/>
    <n v="20"/>
    <n v="25"/>
    <n v="30"/>
    <n v="2.67"/>
  </r>
  <r>
    <x v="7"/>
    <x v="0"/>
    <x v="14"/>
    <n v="155"/>
    <x v="15"/>
    <s v="Vasilis"/>
    <n v="1"/>
    <n v="7"/>
    <n v="6"/>
    <n v="0"/>
    <x v="23"/>
    <s v="vs Sarantos"/>
    <n v="186"/>
    <n v="0.48799999999999999"/>
    <n v="54"/>
    <n v="0.372"/>
    <n v="0.79200000000000004"/>
    <n v="506"/>
    <n v="35"/>
    <n v="137"/>
    <n v="136"/>
    <n v="24"/>
    <n v="14"/>
    <n v="45"/>
    <n v="3.02"/>
  </r>
  <r>
    <x v="7"/>
    <x v="0"/>
    <x v="14"/>
    <n v="156"/>
    <x v="26"/>
    <s v="Lafa"/>
    <n v="0"/>
    <n v="1"/>
    <n v="12"/>
    <n v="0"/>
    <x v="2"/>
    <s v="vs Sakellariou"/>
    <n v="157"/>
    <n v="0.43099999999999999"/>
    <n v="57"/>
    <n v="0.35799999999999998"/>
    <n v="0.73299999999999998"/>
    <n v="445"/>
    <n v="21"/>
    <n v="110"/>
    <n v="97"/>
    <n v="33"/>
    <n v="6"/>
    <n v="44"/>
    <n v="2.2000000000000002"/>
  </r>
  <r>
    <x v="7"/>
    <x v="0"/>
    <x v="14"/>
    <n v="156"/>
    <x v="3"/>
    <s v="Sakellariou"/>
    <n v="1"/>
    <n v="12"/>
    <n v="1"/>
    <n v="0"/>
    <x v="26"/>
    <s v="vs Lafa"/>
    <n v="233"/>
    <n v="0.49199999999999999"/>
    <n v="71"/>
    <n v="0.37"/>
    <n v="0.83899999999999997"/>
    <n v="652"/>
    <n v="39"/>
    <n v="176"/>
    <n v="192"/>
    <n v="37"/>
    <n v="25"/>
    <n v="82"/>
    <n v="2.34"/>
  </r>
  <r>
    <x v="7"/>
    <x v="0"/>
    <x v="14"/>
    <n v="157"/>
    <x v="9"/>
    <s v="Ziogas/Christof"/>
    <n v="0"/>
    <n v="2"/>
    <n v="11"/>
    <n v="0"/>
    <x v="10"/>
    <s v="vs pi/Sotiris"/>
    <n v="157"/>
    <n v="0.45400000000000001"/>
    <n v="42"/>
    <n v="0.27300000000000002"/>
    <n v="0.77"/>
    <n v="403"/>
    <n v="31"/>
    <n v="147"/>
    <n v="80"/>
    <n v="30"/>
    <n v="15"/>
    <n v="41"/>
    <n v="1.95"/>
  </r>
  <r>
    <x v="7"/>
    <x v="0"/>
    <x v="14"/>
    <n v="157"/>
    <x v="11"/>
    <s v="pi/Sotiris"/>
    <n v="1"/>
    <n v="11"/>
    <n v="2"/>
    <n v="0"/>
    <x v="8"/>
    <s v="vs Ziogas/Christof"/>
    <n v="225"/>
    <n v="0.53400000000000003"/>
    <n v="45"/>
    <n v="0.34399999999999997"/>
    <n v="0.72699999999999998"/>
    <n v="583"/>
    <n v="52"/>
    <n v="169"/>
    <n v="171"/>
    <n v="42"/>
    <n v="16"/>
    <n v="73"/>
    <n v="2.34"/>
  </r>
  <r>
    <x v="7"/>
    <x v="0"/>
    <x v="14"/>
    <n v="158"/>
    <x v="21"/>
    <s v="Tzokos"/>
    <n v="0"/>
    <n v="1"/>
    <n v="12"/>
    <n v="0"/>
    <x v="16"/>
    <s v="vs Spiridaus/Oladipas"/>
    <n v="143"/>
    <n v="0.48099999999999998"/>
    <n v="30"/>
    <n v="0.28599999999999998"/>
    <n v="0.77600000000000002"/>
    <n v="399"/>
    <n v="37"/>
    <n v="120"/>
    <n v="77"/>
    <n v="24"/>
    <n v="15"/>
    <n v="43"/>
    <n v="1.79"/>
  </r>
  <r>
    <x v="7"/>
    <x v="0"/>
    <x v="14"/>
    <n v="158"/>
    <x v="17"/>
    <s v="Spiridaus/Oladipas"/>
    <n v="1"/>
    <n v="12"/>
    <n v="1"/>
    <n v="0"/>
    <x v="21"/>
    <s v="vs Tzokos"/>
    <n v="170"/>
    <n v="0.48399999999999999"/>
    <n v="48"/>
    <n v="0.35799999999999998"/>
    <n v="0.84499999999999997"/>
    <n v="448"/>
    <n v="27"/>
    <n v="121"/>
    <n v="113"/>
    <n v="27"/>
    <n v="25"/>
    <n v="41"/>
    <n v="2.76"/>
  </r>
  <r>
    <x v="7"/>
    <x v="0"/>
    <x v="14"/>
    <n v="159"/>
    <x v="18"/>
    <s v="Kotakis"/>
    <n v="1"/>
    <n v="7"/>
    <n v="5"/>
    <n v="1"/>
    <x v="6"/>
    <s v="vs Johnny"/>
    <n v="166"/>
    <n v="0.496"/>
    <n v="59"/>
    <n v="0.41299999999999998"/>
    <n v="0.7"/>
    <n v="447"/>
    <n v="42"/>
    <n v="136"/>
    <n v="119"/>
    <n v="29"/>
    <n v="19"/>
    <n v="45"/>
    <n v="2.64"/>
  </r>
  <r>
    <x v="7"/>
    <x v="0"/>
    <x v="14"/>
    <n v="159"/>
    <x v="7"/>
    <s v="Johnny"/>
    <n v="0"/>
    <n v="5"/>
    <n v="7"/>
    <n v="1"/>
    <x v="19"/>
    <s v="vs Kotakis"/>
    <n v="174"/>
    <n v="0.47699999999999998"/>
    <n v="51"/>
    <n v="0.35699999999999998"/>
    <n v="0.80200000000000005"/>
    <n v="472"/>
    <n v="38"/>
    <n v="108"/>
    <n v="124"/>
    <n v="29"/>
    <n v="20"/>
    <n v="59"/>
    <n v="2.1"/>
  </r>
  <r>
    <x v="7"/>
    <x v="0"/>
    <x v="14"/>
    <n v="160"/>
    <x v="25"/>
    <s v="Arvanitis"/>
    <n v="0"/>
    <n v="2"/>
    <n v="11"/>
    <n v="0"/>
    <x v="17"/>
    <s v="vs Aris"/>
    <n v="117"/>
    <n v="0.45700000000000002"/>
    <n v="30"/>
    <n v="0.33300000000000002"/>
    <n v="0.63200000000000001"/>
    <n v="300"/>
    <n v="43"/>
    <n v="128"/>
    <n v="60"/>
    <n v="28"/>
    <n v="10"/>
    <n v="44"/>
    <n v="1.36"/>
  </r>
  <r>
    <x v="7"/>
    <x v="0"/>
    <x v="14"/>
    <n v="160"/>
    <x v="16"/>
    <s v="Aris"/>
    <n v="1"/>
    <n v="11"/>
    <n v="2"/>
    <n v="0"/>
    <x v="25"/>
    <s v="vs Arvanitis"/>
    <n v="151"/>
    <n v="0.51500000000000001"/>
    <n v="29"/>
    <n v="0.35799999999999998"/>
    <n v="0.8"/>
    <n v="391"/>
    <n v="54"/>
    <n v="97"/>
    <n v="89"/>
    <n v="39"/>
    <n v="19"/>
    <n v="33"/>
    <n v="2.7"/>
  </r>
  <r>
    <x v="7"/>
    <x v="0"/>
    <x v="15"/>
    <n v="161"/>
    <x v="24"/>
    <s v="Tolios"/>
    <n v="0"/>
    <n v="5"/>
    <n v="7"/>
    <n v="1"/>
    <x v="28"/>
    <s v="vs Panos"/>
    <n v="167"/>
    <n v="0.51700000000000002"/>
    <n v="36"/>
    <n v="0.32100000000000001"/>
    <n v="0.81200000000000006"/>
    <n v="465"/>
    <n v="33"/>
    <n v="105"/>
    <n v="94"/>
    <n v="25"/>
    <n v="14"/>
    <n v="50"/>
    <n v="1.88"/>
  </r>
  <r>
    <x v="7"/>
    <x v="0"/>
    <x v="15"/>
    <n v="161"/>
    <x v="28"/>
    <s v="Panos"/>
    <n v="1"/>
    <n v="7"/>
    <n v="5"/>
    <n v="1"/>
    <x v="24"/>
    <s v="vs Tolios"/>
    <n v="173"/>
    <n v="0.44700000000000001"/>
    <n v="45"/>
    <n v="0.26600000000000001"/>
    <n v="0.85699999999999998"/>
    <n v="445"/>
    <n v="35"/>
    <n v="98"/>
    <n v="111"/>
    <n v="31"/>
    <n v="14"/>
    <n v="54"/>
    <n v="2.06"/>
  </r>
  <r>
    <x v="7"/>
    <x v="0"/>
    <x v="15"/>
    <n v="162"/>
    <x v="12"/>
    <s v="Stavros"/>
    <n v="0"/>
    <n v="2"/>
    <n v="11"/>
    <n v="0"/>
    <x v="0"/>
    <s v="vs Fanis"/>
    <n v="156"/>
    <n v="0.44600000000000001"/>
    <n v="61"/>
    <n v="0.38100000000000001"/>
    <n v="0.76800000000000002"/>
    <n v="436"/>
    <n v="37"/>
    <n v="122"/>
    <n v="116"/>
    <n v="23"/>
    <n v="12"/>
    <n v="52"/>
    <n v="2.23"/>
  </r>
  <r>
    <x v="7"/>
    <x v="0"/>
    <x v="15"/>
    <n v="162"/>
    <x v="1"/>
    <s v="Fanis"/>
    <n v="1"/>
    <n v="11"/>
    <n v="2"/>
    <n v="0"/>
    <x v="13"/>
    <s v="vs Stavros"/>
    <n v="223"/>
    <n v="0.503"/>
    <n v="63"/>
    <n v="0.41699999999999998"/>
    <n v="0.79"/>
    <n v="618"/>
    <n v="63"/>
    <n v="145"/>
    <n v="136"/>
    <n v="28"/>
    <n v="20"/>
    <n v="68"/>
    <n v="2"/>
  </r>
  <r>
    <x v="7"/>
    <x v="0"/>
    <x v="15"/>
    <n v="163"/>
    <x v="6"/>
    <s v="Tassos"/>
    <n v="1"/>
    <n v="11"/>
    <n v="1"/>
    <n v="1"/>
    <x v="20"/>
    <s v="vs Guru"/>
    <n v="199"/>
    <n v="0.47"/>
    <n v="54"/>
    <n v="0.36699999999999999"/>
    <n v="0.88300000000000001"/>
    <n v="535"/>
    <n v="47"/>
    <n v="112"/>
    <n v="127"/>
    <n v="44"/>
    <n v="23"/>
    <n v="56"/>
    <n v="2.27"/>
  </r>
  <r>
    <x v="7"/>
    <x v="0"/>
    <x v="15"/>
    <n v="163"/>
    <x v="20"/>
    <s v="Guru"/>
    <n v="0"/>
    <n v="1"/>
    <n v="11"/>
    <n v="1"/>
    <x v="7"/>
    <s v="vs Tassos"/>
    <n v="131"/>
    <n v="0.41599999999999998"/>
    <n v="54"/>
    <n v="0.34799999999999998"/>
    <n v="0.76700000000000002"/>
    <n v="382"/>
    <n v="37"/>
    <n v="105"/>
    <n v="93"/>
    <n v="27"/>
    <n v="19"/>
    <n v="47"/>
    <n v="1.98"/>
  </r>
  <r>
    <x v="7"/>
    <x v="0"/>
    <x v="15"/>
    <n v="164"/>
    <x v="27"/>
    <s v="Dimitris"/>
    <n v="1"/>
    <n v="10"/>
    <n v="3"/>
    <n v="0"/>
    <x v="23"/>
    <s v="vs Sarantos"/>
    <n v="165"/>
    <n v="0.48099999999999998"/>
    <n v="57"/>
    <n v="0.42499999999999999"/>
    <n v="0.78400000000000003"/>
    <n v="456"/>
    <n v="45"/>
    <n v="116"/>
    <n v="87"/>
    <n v="20"/>
    <n v="19"/>
    <n v="40"/>
    <n v="2.17"/>
  </r>
  <r>
    <x v="7"/>
    <x v="0"/>
    <x v="15"/>
    <n v="164"/>
    <x v="23"/>
    <s v="Sarantos"/>
    <n v="0"/>
    <n v="3"/>
    <n v="10"/>
    <n v="0"/>
    <x v="27"/>
    <s v="vs Dimitris"/>
    <n v="113"/>
    <n v="0.45600000000000002"/>
    <n v="34"/>
    <n v="0.35099999999999998"/>
    <n v="0.77300000000000002"/>
    <n v="311"/>
    <n v="37"/>
    <n v="96"/>
    <n v="82"/>
    <n v="25"/>
    <n v="16"/>
    <n v="33"/>
    <n v="2.48"/>
  </r>
  <r>
    <x v="7"/>
    <x v="0"/>
    <x v="15"/>
    <n v="165"/>
    <x v="2"/>
    <s v="Fountos"/>
    <n v="0"/>
    <n v="6"/>
    <n v="7"/>
    <n v="0"/>
    <x v="26"/>
    <s v="vs Lafa"/>
    <n v="194"/>
    <n v="0.47899999999999998"/>
    <n v="64"/>
    <n v="0.36799999999999999"/>
    <n v="0.89400000000000002"/>
    <n v="553"/>
    <n v="35"/>
    <n v="140"/>
    <n v="105"/>
    <n v="28"/>
    <n v="10"/>
    <n v="39"/>
    <n v="2.69"/>
  </r>
  <r>
    <x v="7"/>
    <x v="0"/>
    <x v="15"/>
    <n v="165"/>
    <x v="26"/>
    <s v="Lafa"/>
    <n v="1"/>
    <n v="7"/>
    <n v="6"/>
    <n v="0"/>
    <x v="3"/>
    <s v="vs Fountos"/>
    <n v="222"/>
    <n v="0.47699999999999998"/>
    <n v="80"/>
    <n v="0.42599999999999999"/>
    <n v="0.75900000000000001"/>
    <n v="628"/>
    <n v="36"/>
    <n v="120"/>
    <n v="117"/>
    <n v="27"/>
    <n v="23"/>
    <n v="58"/>
    <n v="2.02"/>
  </r>
  <r>
    <x v="7"/>
    <x v="0"/>
    <x v="15"/>
    <n v="166"/>
    <x v="15"/>
    <s v="Vasilis"/>
    <n v="1"/>
    <n v="8"/>
    <n v="5"/>
    <n v="0"/>
    <x v="8"/>
    <s v="vs Ziogas/Christof"/>
    <n v="213"/>
    <n v="0.46"/>
    <n v="65"/>
    <n v="0.33500000000000002"/>
    <n v="0.84799999999999998"/>
    <n v="608"/>
    <n v="35"/>
    <n v="142"/>
    <n v="154"/>
    <n v="38"/>
    <n v="22"/>
    <n v="64"/>
    <n v="2.41"/>
  </r>
  <r>
    <x v="7"/>
    <x v="0"/>
    <x v="15"/>
    <n v="166"/>
    <x v="9"/>
    <s v="Ziogas/Christof"/>
    <n v="0"/>
    <n v="5"/>
    <n v="8"/>
    <n v="0"/>
    <x v="14"/>
    <s v="vs Vasilis"/>
    <n v="190"/>
    <n v="0.50700000000000001"/>
    <n v="64"/>
    <n v="0.435"/>
    <n v="0.76300000000000001"/>
    <n v="515"/>
    <n v="44"/>
    <n v="152"/>
    <n v="118"/>
    <n v="35"/>
    <n v="15"/>
    <n v="59"/>
    <n v="2"/>
  </r>
  <r>
    <x v="7"/>
    <x v="0"/>
    <x v="15"/>
    <n v="167"/>
    <x v="3"/>
    <s v="Sakellariou"/>
    <n v="1"/>
    <n v="10"/>
    <n v="3"/>
    <n v="0"/>
    <x v="21"/>
    <s v="vs Tzokos"/>
    <n v="174"/>
    <n v="0.47199999999999998"/>
    <n v="46"/>
    <n v="0.36499999999999999"/>
    <n v="0.82099999999999995"/>
    <n v="472"/>
    <n v="38"/>
    <n v="130"/>
    <n v="133"/>
    <n v="26"/>
    <n v="15"/>
    <n v="57"/>
    <n v="2.33"/>
  </r>
  <r>
    <x v="7"/>
    <x v="0"/>
    <x v="15"/>
    <n v="167"/>
    <x v="21"/>
    <s v="Tzokos"/>
    <n v="0"/>
    <n v="3"/>
    <n v="10"/>
    <n v="0"/>
    <x v="2"/>
    <s v="vs Sakellariou"/>
    <n v="128"/>
    <n v="0.48099999999999998"/>
    <n v="33"/>
    <n v="0.32400000000000001"/>
    <n v="0.75700000000000001"/>
    <n v="342"/>
    <n v="44"/>
    <n v="104"/>
    <n v="73"/>
    <n v="21"/>
    <n v="13"/>
    <n v="41"/>
    <n v="1.78"/>
  </r>
  <r>
    <x v="7"/>
    <x v="0"/>
    <x v="15"/>
    <n v="168"/>
    <x v="11"/>
    <s v="pi/Sotiris"/>
    <n v="1"/>
    <n v="9"/>
    <n v="3"/>
    <n v="1"/>
    <x v="19"/>
    <s v="vs Kotakis"/>
    <n v="228"/>
    <n v="0.48899999999999999"/>
    <n v="96"/>
    <n v="0.40200000000000002"/>
    <n v="0.84599999999999997"/>
    <n v="667"/>
    <n v="43"/>
    <n v="122"/>
    <n v="152"/>
    <n v="27"/>
    <n v="18"/>
    <n v="59"/>
    <n v="2.58"/>
  </r>
  <r>
    <x v="7"/>
    <x v="0"/>
    <x v="15"/>
    <n v="168"/>
    <x v="18"/>
    <s v="Kotakis"/>
    <n v="0"/>
    <n v="3"/>
    <n v="9"/>
    <n v="1"/>
    <x v="10"/>
    <s v="vs pi/Sotiris"/>
    <n v="139"/>
    <n v="0.504"/>
    <n v="44"/>
    <n v="0.41499999999999998"/>
    <n v="0.73499999999999999"/>
    <n v="372"/>
    <n v="43"/>
    <n v="100"/>
    <n v="74"/>
    <n v="19"/>
    <n v="12"/>
    <n v="44"/>
    <n v="1.68"/>
  </r>
  <r>
    <x v="7"/>
    <x v="0"/>
    <x v="15"/>
    <n v="169"/>
    <x v="17"/>
    <s v="Spiridaus/Oladipas"/>
    <n v="0"/>
    <n v="6"/>
    <n v="7"/>
    <n v="0"/>
    <x v="25"/>
    <s v="vs Arvanitis"/>
    <n v="165"/>
    <n v="0.437"/>
    <n v="48"/>
    <n v="0.32200000000000001"/>
    <n v="0.86799999999999999"/>
    <n v="437"/>
    <n v="34"/>
    <n v="125"/>
    <n v="100"/>
    <n v="33"/>
    <n v="27"/>
    <n v="54"/>
    <n v="1.85"/>
  </r>
  <r>
    <x v="7"/>
    <x v="0"/>
    <x v="15"/>
    <n v="169"/>
    <x v="25"/>
    <s v="Arvanitis"/>
    <n v="1"/>
    <n v="7"/>
    <n v="6"/>
    <n v="0"/>
    <x v="16"/>
    <s v="vs Spiridaus/Oladipas"/>
    <n v="166"/>
    <n v="0.47799999999999998"/>
    <n v="31"/>
    <n v="0.28399999999999997"/>
    <n v="0.82799999999999996"/>
    <n v="440"/>
    <n v="77"/>
    <n v="156"/>
    <n v="97"/>
    <n v="37"/>
    <n v="32"/>
    <n v="71"/>
    <n v="1.37"/>
  </r>
  <r>
    <x v="7"/>
    <x v="0"/>
    <x v="15"/>
    <n v="170"/>
    <x v="7"/>
    <s v="Johnny"/>
    <n v="0"/>
    <n v="3"/>
    <n v="10"/>
    <n v="0"/>
    <x v="17"/>
    <s v="vs Aris"/>
    <n v="123"/>
    <n v="0.38"/>
    <n v="49"/>
    <n v="0.34"/>
    <n v="0.88300000000000001"/>
    <n v="393"/>
    <n v="38"/>
    <n v="99"/>
    <n v="84"/>
    <n v="17"/>
    <n v="11"/>
    <n v="40"/>
    <n v="2.1"/>
  </r>
  <r>
    <x v="7"/>
    <x v="0"/>
    <x v="15"/>
    <n v="170"/>
    <x v="16"/>
    <s v="Aris"/>
    <n v="1"/>
    <n v="10"/>
    <n v="3"/>
    <n v="0"/>
    <x v="6"/>
    <s v="vs Johnny"/>
    <n v="172"/>
    <n v="0.501"/>
    <n v="43"/>
    <n v="0.45300000000000001"/>
    <n v="0.76200000000000001"/>
    <n v="464"/>
    <n v="64"/>
    <n v="123"/>
    <n v="130"/>
    <n v="46"/>
    <n v="26"/>
    <n v="60"/>
    <n v="2.17"/>
  </r>
  <r>
    <x v="7"/>
    <x v="0"/>
    <x v="16"/>
    <n v="171"/>
    <x v="1"/>
    <s v="Fanis"/>
    <n v="0"/>
    <n v="6"/>
    <n v="6"/>
    <n v="1"/>
    <x v="24"/>
    <s v="vs Tolios"/>
    <n v="267"/>
    <n v="0.46400000000000002"/>
    <n v="71"/>
    <n v="0.32900000000000001"/>
    <n v="0.82399999999999995"/>
    <n v="736"/>
    <n v="44"/>
    <n v="168"/>
    <n v="180"/>
    <n v="35"/>
    <n v="20"/>
    <n v="104"/>
    <n v="1.73"/>
  </r>
  <r>
    <x v="7"/>
    <x v="0"/>
    <x v="16"/>
    <n v="171"/>
    <x v="24"/>
    <s v="Tolios"/>
    <n v="0"/>
    <n v="6"/>
    <n v="6"/>
    <n v="1"/>
    <x v="0"/>
    <s v="vs Fanis"/>
    <n v="217"/>
    <n v="0.46"/>
    <n v="66"/>
    <n v="0.35699999999999998"/>
    <n v="0.82699999999999996"/>
    <n v="610"/>
    <n v="50"/>
    <n v="163"/>
    <n v="128"/>
    <n v="38"/>
    <n v="20"/>
    <n v="68"/>
    <n v="1.88"/>
  </r>
  <r>
    <x v="7"/>
    <x v="0"/>
    <x v="16"/>
    <n v="172"/>
    <x v="20"/>
    <s v="Guru"/>
    <n v="0"/>
    <n v="6"/>
    <n v="7"/>
    <n v="0"/>
    <x v="28"/>
    <s v="vs Panos"/>
    <n v="183"/>
    <n v="0.52"/>
    <n v="54"/>
    <n v="0.34399999999999997"/>
    <n v="0.76500000000000001"/>
    <n v="482"/>
    <n v="38"/>
    <n v="136"/>
    <n v="133"/>
    <n v="26"/>
    <n v="21"/>
    <n v="60"/>
    <n v="2.2200000000000002"/>
  </r>
  <r>
    <x v="7"/>
    <x v="0"/>
    <x v="16"/>
    <n v="172"/>
    <x v="28"/>
    <s v="Panos"/>
    <n v="1"/>
    <n v="7"/>
    <n v="6"/>
    <n v="0"/>
    <x v="20"/>
    <s v="vs Guru"/>
    <n v="201"/>
    <n v="0.42899999999999999"/>
    <n v="69"/>
    <n v="0.33800000000000002"/>
    <n v="0.71899999999999997"/>
    <n v="540"/>
    <n v="56"/>
    <n v="141"/>
    <n v="140"/>
    <n v="38"/>
    <n v="20"/>
    <n v="76"/>
    <n v="1.84"/>
  </r>
  <r>
    <x v="7"/>
    <x v="0"/>
    <x v="16"/>
    <n v="173"/>
    <x v="23"/>
    <s v="Sarantos"/>
    <n v="0"/>
    <n v="3"/>
    <n v="10"/>
    <n v="0"/>
    <x v="13"/>
    <s v="vs Stavros"/>
    <n v="169"/>
    <n v="0.42599999999999999"/>
    <n v="55"/>
    <n v="0.33100000000000002"/>
    <n v="0.72799999999999998"/>
    <n v="484"/>
    <n v="58"/>
    <n v="137"/>
    <n v="102"/>
    <n v="35"/>
    <n v="31"/>
    <n v="62"/>
    <n v="1.65"/>
  </r>
  <r>
    <x v="7"/>
    <x v="0"/>
    <x v="16"/>
    <n v="173"/>
    <x v="12"/>
    <s v="Stavros"/>
    <n v="1"/>
    <n v="10"/>
    <n v="3"/>
    <n v="0"/>
    <x v="23"/>
    <s v="vs Sarantos"/>
    <n v="214"/>
    <n v="0.46100000000000002"/>
    <n v="75"/>
    <n v="0.371"/>
    <n v="0.878"/>
    <n v="632"/>
    <n v="72"/>
    <n v="177"/>
    <n v="140"/>
    <n v="30"/>
    <n v="28"/>
    <n v="64"/>
    <n v="2.19"/>
  </r>
  <r>
    <x v="7"/>
    <x v="0"/>
    <x v="16"/>
    <n v="174"/>
    <x v="26"/>
    <s v="Lafa"/>
    <n v="0"/>
    <n v="1"/>
    <n v="11"/>
    <n v="1"/>
    <x v="7"/>
    <s v="vs Tassos"/>
    <n v="242"/>
    <n v="0.42799999999999999"/>
    <n v="64"/>
    <n v="0.309"/>
    <n v="0.73"/>
    <n v="702"/>
    <n v="43"/>
    <n v="194"/>
    <n v="141"/>
    <n v="35"/>
    <n v="28"/>
    <n v="81"/>
    <n v="1.74"/>
  </r>
  <r>
    <x v="7"/>
    <x v="0"/>
    <x v="16"/>
    <n v="174"/>
    <x v="6"/>
    <s v="Tassos"/>
    <n v="1"/>
    <n v="11"/>
    <n v="1"/>
    <n v="1"/>
    <x v="26"/>
    <s v="vs Lafa"/>
    <n v="275"/>
    <n v="0.52400000000000002"/>
    <n v="84"/>
    <n v="0.42"/>
    <n v="0.82899999999999996"/>
    <n v="736"/>
    <n v="51"/>
    <n v="164"/>
    <n v="144"/>
    <n v="44"/>
    <n v="28"/>
    <n v="66"/>
    <n v="2.1800000000000002"/>
  </r>
  <r>
    <x v="7"/>
    <x v="0"/>
    <x v="16"/>
    <n v="175"/>
    <x v="9"/>
    <s v="Ziogas/Christof"/>
    <n v="1"/>
    <n v="12"/>
    <n v="1"/>
    <n v="0"/>
    <x v="27"/>
    <s v="vs Dimitris"/>
    <n v="231"/>
    <n v="0.45400000000000001"/>
    <n v="63"/>
    <n v="0.309"/>
    <n v="0.84799999999999998"/>
    <n v="620"/>
    <n v="57"/>
    <n v="195"/>
    <n v="121"/>
    <n v="44"/>
    <n v="25"/>
    <n v="58"/>
    <n v="2.09"/>
  </r>
  <r>
    <x v="7"/>
    <x v="0"/>
    <x v="16"/>
    <n v="175"/>
    <x v="27"/>
    <s v="Dimitris"/>
    <n v="0"/>
    <n v="1"/>
    <n v="12"/>
    <n v="0"/>
    <x v="8"/>
    <s v="vs Ziogas/Christof"/>
    <n v="163"/>
    <n v="0.44800000000000001"/>
    <n v="45"/>
    <n v="0.29199999999999998"/>
    <n v="0.77800000000000002"/>
    <n v="448"/>
    <n v="42"/>
    <n v="130"/>
    <n v="90"/>
    <n v="29"/>
    <n v="19"/>
    <n v="55"/>
    <n v="1.64"/>
  </r>
  <r>
    <x v="7"/>
    <x v="0"/>
    <x v="16"/>
    <n v="176"/>
    <x v="21"/>
    <s v="Tzokos"/>
    <n v="0"/>
    <n v="5"/>
    <n v="7"/>
    <n v="1"/>
    <x v="3"/>
    <s v="vs Fountos"/>
    <n v="185"/>
    <n v="0.50700000000000001"/>
    <n v="41"/>
    <n v="0.32"/>
    <n v="0.78600000000000003"/>
    <n v="488"/>
    <n v="46"/>
    <n v="138"/>
    <n v="125"/>
    <n v="29"/>
    <n v="21"/>
    <n v="60"/>
    <n v="2.08"/>
  </r>
  <r>
    <x v="7"/>
    <x v="0"/>
    <x v="16"/>
    <n v="176"/>
    <x v="2"/>
    <s v="Fountos"/>
    <n v="1"/>
    <n v="7"/>
    <n v="5"/>
    <n v="1"/>
    <x v="21"/>
    <s v="vs Tzokos"/>
    <n v="236"/>
    <n v="0.47899999999999998"/>
    <n v="72"/>
    <n v="0.34799999999999998"/>
    <n v="0.72899999999999998"/>
    <n v="646"/>
    <n v="36"/>
    <n v="188"/>
    <n v="143"/>
    <n v="29"/>
    <n v="13"/>
    <n v="65"/>
    <n v="2.2000000000000002"/>
  </r>
  <r>
    <x v="7"/>
    <x v="0"/>
    <x v="16"/>
    <n v="177"/>
    <x v="18"/>
    <s v="Kotakis"/>
    <n v="0"/>
    <n v="3"/>
    <n v="10"/>
    <n v="0"/>
    <x v="14"/>
    <s v="vs Vasilis"/>
    <n v="146"/>
    <n v="0.503"/>
    <n v="23"/>
    <n v="0.27700000000000002"/>
    <n v="0.69799999999999995"/>
    <n v="352"/>
    <n v="81"/>
    <n v="177"/>
    <n v="86"/>
    <n v="27"/>
    <n v="12"/>
    <n v="56"/>
    <n v="1.54"/>
  </r>
  <r>
    <x v="7"/>
    <x v="0"/>
    <x v="16"/>
    <n v="177"/>
    <x v="15"/>
    <s v="Vasilis"/>
    <n v="1"/>
    <n v="10"/>
    <n v="3"/>
    <n v="0"/>
    <x v="19"/>
    <s v="vs Kotakis"/>
    <n v="263"/>
    <n v="0.439"/>
    <n v="72"/>
    <n v="0.29499999999999998"/>
    <n v="0.873"/>
    <n v="749"/>
    <n v="35"/>
    <n v="178"/>
    <n v="214"/>
    <n v="63"/>
    <n v="22"/>
    <n v="101"/>
    <n v="2.12"/>
  </r>
  <r>
    <x v="7"/>
    <x v="0"/>
    <x v="16"/>
    <n v="178"/>
    <x v="25"/>
    <s v="Arvanitis"/>
    <n v="0"/>
    <n v="5"/>
    <n v="8"/>
    <n v="0"/>
    <x v="2"/>
    <s v="vs Sakellariou"/>
    <n v="178"/>
    <n v="0.53600000000000003"/>
    <n v="35"/>
    <n v="0.372"/>
    <n v="0.68100000000000005"/>
    <n v="455"/>
    <n v="74"/>
    <n v="162"/>
    <n v="111"/>
    <n v="35"/>
    <n v="33"/>
    <n v="43"/>
    <n v="2.58"/>
  </r>
  <r>
    <x v="7"/>
    <x v="0"/>
    <x v="16"/>
    <n v="178"/>
    <x v="3"/>
    <s v="Sakellariou"/>
    <n v="1"/>
    <n v="8"/>
    <n v="5"/>
    <n v="0"/>
    <x v="25"/>
    <s v="vs Arvanitis"/>
    <n v="309"/>
    <n v="0.498"/>
    <n v="122"/>
    <n v="0.41899999999999998"/>
    <n v="0.81699999999999995"/>
    <n v="887"/>
    <n v="52"/>
    <n v="196"/>
    <n v="184"/>
    <n v="46"/>
    <n v="31"/>
    <n v="88"/>
    <n v="2.09"/>
  </r>
  <r>
    <x v="7"/>
    <x v="0"/>
    <x v="16"/>
    <n v="179"/>
    <x v="16"/>
    <s v="Aris"/>
    <n v="0"/>
    <n v="1"/>
    <n v="11"/>
    <n v="1"/>
    <x v="10"/>
    <s v="vs pi/Sotiris"/>
    <n v="166"/>
    <n v="0.502"/>
    <n v="37"/>
    <n v="0.38500000000000001"/>
    <n v="0.69"/>
    <n v="429"/>
    <n v="50"/>
    <n v="118"/>
    <n v="90"/>
    <n v="38"/>
    <n v="19"/>
    <n v="51"/>
    <n v="1.76"/>
  </r>
  <r>
    <x v="7"/>
    <x v="0"/>
    <x v="16"/>
    <n v="179"/>
    <x v="11"/>
    <s v="pi/Sotiris"/>
    <n v="1"/>
    <n v="11"/>
    <n v="1"/>
    <n v="1"/>
    <x v="17"/>
    <s v="vs Aris"/>
    <n v="255"/>
    <n v="0.50800000000000001"/>
    <n v="98"/>
    <n v="0.41"/>
    <n v="0.84199999999999997"/>
    <n v="736"/>
    <n v="57"/>
    <n v="185"/>
    <n v="173"/>
    <n v="47"/>
    <n v="19"/>
    <n v="84"/>
    <n v="2.06"/>
  </r>
  <r>
    <x v="7"/>
    <x v="0"/>
    <x v="16"/>
    <n v="180"/>
    <x v="7"/>
    <s v="Johnny"/>
    <n v="1"/>
    <n v="9"/>
    <n v="4"/>
    <n v="0"/>
    <x v="16"/>
    <s v="vs Spiridaus/Oladipas"/>
    <n v="193"/>
    <n v="0.433"/>
    <n v="82"/>
    <n v="0.35499999999999998"/>
    <n v="0.83499999999999996"/>
    <n v="569"/>
    <n v="23"/>
    <n v="157"/>
    <n v="129"/>
    <n v="23"/>
    <n v="16"/>
    <n v="61"/>
    <n v="2.11"/>
  </r>
  <r>
    <x v="7"/>
    <x v="0"/>
    <x v="16"/>
    <n v="180"/>
    <x v="17"/>
    <s v="Spiridaus/Oladipas"/>
    <n v="0"/>
    <n v="4"/>
    <n v="9"/>
    <n v="0"/>
    <x v="6"/>
    <s v="vs Johnny"/>
    <n v="176"/>
    <n v="0.42299999999999999"/>
    <n v="62"/>
    <n v="0.32800000000000001"/>
    <n v="0.84499999999999997"/>
    <n v="485"/>
    <n v="38"/>
    <n v="142"/>
    <n v="103"/>
    <n v="33"/>
    <n v="23"/>
    <n v="64"/>
    <n v="1.61"/>
  </r>
  <r>
    <x v="7"/>
    <x v="0"/>
    <x v="17"/>
    <n v="181"/>
    <x v="24"/>
    <s v="Tolios"/>
    <n v="0"/>
    <n v="1"/>
    <n v="12"/>
    <n v="0"/>
    <x v="20"/>
    <s v="vs Guru"/>
    <n v="139"/>
    <n v="0.45700000000000002"/>
    <n v="43"/>
    <n v="0.32800000000000001"/>
    <n v="0.81699999999999995"/>
    <n v="379"/>
    <n v="38"/>
    <n v="93"/>
    <n v="91"/>
    <n v="16"/>
    <n v="10"/>
    <n v="56"/>
    <n v="1.63"/>
  </r>
  <r>
    <x v="7"/>
    <x v="0"/>
    <x v="17"/>
    <n v="181"/>
    <x v="20"/>
    <s v="Guru"/>
    <n v="1"/>
    <n v="12"/>
    <n v="1"/>
    <n v="0"/>
    <x v="24"/>
    <s v="vs Tolios"/>
    <n v="180"/>
    <n v="0.51"/>
    <n v="67"/>
    <n v="0.39200000000000002"/>
    <n v="0.84399999999999997"/>
    <n v="492"/>
    <n v="41"/>
    <n v="126"/>
    <n v="127"/>
    <n v="36"/>
    <n v="15"/>
    <n v="58"/>
    <n v="2.19"/>
  </r>
  <r>
    <x v="7"/>
    <x v="0"/>
    <x v="17"/>
    <n v="182"/>
    <x v="1"/>
    <s v="Fanis"/>
    <n v="1"/>
    <n v="8"/>
    <n v="5"/>
    <n v="0"/>
    <x v="23"/>
    <s v="vs Sarantos"/>
    <n v="182"/>
    <n v="0.49199999999999999"/>
    <n v="37"/>
    <n v="0.308"/>
    <n v="0.85299999999999998"/>
    <n v="482"/>
    <n v="51"/>
    <n v="132"/>
    <n v="123"/>
    <n v="27"/>
    <n v="24"/>
    <n v="59"/>
    <n v="2.08"/>
  </r>
  <r>
    <x v="7"/>
    <x v="0"/>
    <x v="17"/>
    <n v="182"/>
    <x v="23"/>
    <s v="Sarantos"/>
    <n v="0"/>
    <n v="5"/>
    <n v="8"/>
    <n v="0"/>
    <x v="0"/>
    <s v="vs Fanis"/>
    <n v="151"/>
    <n v="0.44700000000000001"/>
    <n v="49"/>
    <n v="0.33800000000000002"/>
    <n v="0.78100000000000003"/>
    <n v="408"/>
    <n v="43"/>
    <n v="113"/>
    <n v="101"/>
    <n v="33"/>
    <n v="21"/>
    <n v="42"/>
    <n v="2.4"/>
  </r>
  <r>
    <x v="7"/>
    <x v="0"/>
    <x v="17"/>
    <n v="183"/>
    <x v="28"/>
    <s v="Panos"/>
    <n v="0"/>
    <n v="3"/>
    <n v="10"/>
    <n v="0"/>
    <x v="26"/>
    <s v="vs Lafa"/>
    <n v="174"/>
    <n v="0.46300000000000002"/>
    <n v="51"/>
    <n v="0.34"/>
    <n v="0.76700000000000002"/>
    <n v="465"/>
    <n v="44"/>
    <n v="116"/>
    <n v="103"/>
    <n v="22"/>
    <n v="16"/>
    <n v="50"/>
    <n v="2.06"/>
  </r>
  <r>
    <x v="7"/>
    <x v="0"/>
    <x v="17"/>
    <n v="183"/>
    <x v="26"/>
    <s v="Lafa"/>
    <n v="1"/>
    <n v="10"/>
    <n v="3"/>
    <n v="0"/>
    <x v="28"/>
    <s v="vs Panos"/>
    <n v="226"/>
    <n v="0.47199999999999998"/>
    <n v="72"/>
    <n v="0.36399999999999999"/>
    <n v="0.745"/>
    <n v="679"/>
    <n v="51"/>
    <n v="163"/>
    <n v="123"/>
    <n v="42"/>
    <n v="25"/>
    <n v="79"/>
    <n v="1.56"/>
  </r>
  <r>
    <x v="7"/>
    <x v="0"/>
    <x v="17"/>
    <n v="184"/>
    <x v="12"/>
    <s v="Stavros"/>
    <n v="1"/>
    <n v="9"/>
    <n v="3"/>
    <n v="1"/>
    <x v="8"/>
    <s v="vs Ziogas/Christof"/>
    <n v="156"/>
    <n v="0.45"/>
    <n v="59"/>
    <n v="0.32800000000000001"/>
    <n v="0.84499999999999997"/>
    <n v="453"/>
    <n v="30"/>
    <n v="93"/>
    <n v="100"/>
    <n v="29"/>
    <n v="20"/>
    <n v="37"/>
    <n v="2.7"/>
  </r>
  <r>
    <x v="7"/>
    <x v="0"/>
    <x v="17"/>
    <n v="184"/>
    <x v="9"/>
    <s v="Ziogas/Christof"/>
    <n v="0"/>
    <n v="3"/>
    <n v="9"/>
    <n v="1"/>
    <x v="13"/>
    <s v="vs Stavros"/>
    <n v="128"/>
    <n v="0.43099999999999999"/>
    <n v="33"/>
    <n v="0.28899999999999998"/>
    <n v="0.70899999999999996"/>
    <n v="328"/>
    <n v="39"/>
    <n v="140"/>
    <n v="83"/>
    <n v="31"/>
    <n v="20"/>
    <n v="65"/>
    <n v="1.28"/>
  </r>
  <r>
    <x v="7"/>
    <x v="0"/>
    <x v="17"/>
    <n v="185"/>
    <x v="6"/>
    <s v="Tassos"/>
    <n v="1"/>
    <n v="12"/>
    <n v="1"/>
    <n v="0"/>
    <x v="21"/>
    <s v="vs Tzokos"/>
    <n v="249"/>
    <n v="0.48299999999999998"/>
    <n v="75"/>
    <n v="0.39900000000000002"/>
    <n v="0.879"/>
    <n v="675"/>
    <n v="42"/>
    <n v="131"/>
    <n v="166"/>
    <n v="45"/>
    <n v="23"/>
    <n v="60"/>
    <n v="2.77"/>
  </r>
  <r>
    <x v="7"/>
    <x v="0"/>
    <x v="17"/>
    <n v="185"/>
    <x v="21"/>
    <s v="Tzokos"/>
    <n v="0"/>
    <n v="1"/>
    <n v="12"/>
    <n v="0"/>
    <x v="7"/>
    <s v="vs Tassos"/>
    <n v="150"/>
    <n v="0.48399999999999999"/>
    <n v="45"/>
    <n v="0.36"/>
    <n v="0.75"/>
    <n v="405"/>
    <n v="34"/>
    <n v="115"/>
    <n v="105"/>
    <n v="29"/>
    <n v="11"/>
    <n v="64"/>
    <n v="1.64"/>
  </r>
  <r>
    <x v="7"/>
    <x v="0"/>
    <x v="17"/>
    <n v="186"/>
    <x v="27"/>
    <s v="Dimitris"/>
    <n v="0"/>
    <n v="6"/>
    <n v="7"/>
    <n v="0"/>
    <x v="19"/>
    <s v="vs Kotakis"/>
    <n v="142"/>
    <n v="0.505"/>
    <n v="40"/>
    <n v="0.35399999999999998"/>
    <n v="0.85699999999999998"/>
    <n v="372"/>
    <n v="38"/>
    <n v="113"/>
    <n v="49"/>
    <n v="30"/>
    <n v="14"/>
    <n v="50"/>
    <n v="0.98"/>
  </r>
  <r>
    <x v="7"/>
    <x v="0"/>
    <x v="17"/>
    <n v="186"/>
    <x v="18"/>
    <s v="Kotakis"/>
    <n v="1"/>
    <n v="7"/>
    <n v="6"/>
    <n v="0"/>
    <x v="27"/>
    <s v="vs Dimitris"/>
    <n v="139"/>
    <n v="0.47299999999999998"/>
    <n v="37"/>
    <n v="0.32500000000000001"/>
    <n v="0.79400000000000004"/>
    <n v="365"/>
    <n v="56"/>
    <n v="122"/>
    <n v="105"/>
    <n v="34"/>
    <n v="15"/>
    <n v="43"/>
    <n v="2.44"/>
  </r>
  <r>
    <x v="7"/>
    <x v="0"/>
    <x v="17"/>
    <n v="187"/>
    <x v="2"/>
    <s v="Fountos"/>
    <n v="1"/>
    <n v="8"/>
    <n v="5"/>
    <n v="0"/>
    <x v="25"/>
    <s v="vs Arvanitis"/>
    <n v="176"/>
    <n v="0.47799999999999998"/>
    <n v="51"/>
    <n v="0.39200000000000002"/>
    <n v="0.72"/>
    <n v="462"/>
    <n v="33"/>
    <n v="152"/>
    <n v="101"/>
    <n v="20"/>
    <n v="21"/>
    <n v="57"/>
    <n v="1.77"/>
  </r>
  <r>
    <x v="7"/>
    <x v="0"/>
    <x v="17"/>
    <n v="187"/>
    <x v="25"/>
    <s v="Arvanitis"/>
    <n v="0"/>
    <n v="5"/>
    <n v="8"/>
    <n v="0"/>
    <x v="3"/>
    <s v="vs Fountos"/>
    <n v="152"/>
    <n v="0.52100000000000002"/>
    <n v="31"/>
    <n v="0.36899999999999999"/>
    <n v="0.77800000000000002"/>
    <n v="391"/>
    <n v="47"/>
    <n v="146"/>
    <n v="80"/>
    <n v="26"/>
    <n v="15"/>
    <n v="49"/>
    <n v="1.63"/>
  </r>
  <r>
    <x v="7"/>
    <x v="0"/>
    <x v="17"/>
    <n v="188"/>
    <x v="15"/>
    <s v="Vasilis"/>
    <n v="1"/>
    <n v="9"/>
    <n v="3"/>
    <n v="1"/>
    <x v="17"/>
    <s v="vs Aris"/>
    <n v="238"/>
    <n v="0.46899999999999997"/>
    <n v="90"/>
    <n v="0.40899999999999997"/>
    <n v="0.81399999999999995"/>
    <n v="680"/>
    <n v="35"/>
    <n v="136"/>
    <n v="148"/>
    <n v="44"/>
    <n v="18"/>
    <n v="76"/>
    <n v="1.95"/>
  </r>
  <r>
    <x v="7"/>
    <x v="0"/>
    <x v="17"/>
    <n v="188"/>
    <x v="16"/>
    <s v="Aris"/>
    <n v="0"/>
    <n v="3"/>
    <n v="9"/>
    <n v="1"/>
    <x v="14"/>
    <s v="vs Vasilis"/>
    <n v="133"/>
    <n v="0.52"/>
    <n v="34"/>
    <n v="0.39500000000000002"/>
    <n v="0.74199999999999999"/>
    <n v="346"/>
    <n v="45"/>
    <n v="86"/>
    <n v="94"/>
    <n v="41"/>
    <n v="18"/>
    <n v="49"/>
    <n v="1.92"/>
  </r>
  <r>
    <x v="7"/>
    <x v="0"/>
    <x v="17"/>
    <n v="189"/>
    <x v="3"/>
    <s v="Sakellariou"/>
    <n v="1"/>
    <n v="10"/>
    <n v="3"/>
    <n v="0"/>
    <x v="6"/>
    <s v="vs Johnny"/>
    <n v="203"/>
    <n v="0.46100000000000002"/>
    <n v="78"/>
    <n v="0.40600000000000003"/>
    <n v="0.83499999999999996"/>
    <n v="575"/>
    <n v="40"/>
    <n v="118"/>
    <n v="131"/>
    <n v="43"/>
    <n v="8"/>
    <n v="75"/>
    <n v="1.75"/>
  </r>
  <r>
    <x v="7"/>
    <x v="0"/>
    <x v="17"/>
    <n v="189"/>
    <x v="7"/>
    <s v="Johnny"/>
    <n v="0"/>
    <n v="3"/>
    <n v="10"/>
    <n v="0"/>
    <x v="2"/>
    <s v="vs Sakellariou"/>
    <n v="147"/>
    <n v="0.42599999999999999"/>
    <n v="52"/>
    <n v="0.317"/>
    <n v="0.83099999999999996"/>
    <n v="420"/>
    <n v="32"/>
    <n v="130"/>
    <n v="110"/>
    <n v="17"/>
    <n v="15"/>
    <n v="71"/>
    <n v="1.55"/>
  </r>
  <r>
    <x v="7"/>
    <x v="0"/>
    <x v="17"/>
    <n v="190"/>
    <x v="11"/>
    <s v="pi/Sotiris"/>
    <n v="1"/>
    <n v="12"/>
    <n v="1"/>
    <n v="0"/>
    <x v="16"/>
    <s v="vs Spiridaus/Oladipas"/>
    <n v="228"/>
    <n v="0.49399999999999999"/>
    <n v="79"/>
    <n v="0.40500000000000003"/>
    <n v="0.80900000000000005"/>
    <n v="641"/>
    <n v="53"/>
    <n v="190"/>
    <n v="188"/>
    <n v="35"/>
    <n v="17"/>
    <n v="74"/>
    <n v="2.54"/>
  </r>
  <r>
    <x v="7"/>
    <x v="0"/>
    <x v="17"/>
    <n v="190"/>
    <x v="17"/>
    <s v="Spiridaus/Oladipas"/>
    <n v="0"/>
    <n v="1"/>
    <n v="12"/>
    <n v="0"/>
    <x v="10"/>
    <s v="vs pi/Sotiris"/>
    <n v="149"/>
    <n v="0.44500000000000001"/>
    <n v="53"/>
    <n v="0.34200000000000003"/>
    <n v="0.78"/>
    <n v="390"/>
    <n v="35"/>
    <n v="101"/>
    <n v="101"/>
    <n v="22"/>
    <n v="11"/>
    <n v="49"/>
    <n v="2.06"/>
  </r>
  <r>
    <x v="7"/>
    <x v="1"/>
    <x v="23"/>
    <n v="191"/>
    <x v="26"/>
    <s v="Lafa"/>
    <n v="0"/>
    <n v="4"/>
    <n v="9"/>
    <n v="0"/>
    <x v="13"/>
    <s v="vs Stavros"/>
    <n v="197"/>
    <n v="0.48599999999999999"/>
    <n v="53"/>
    <n v="0.34599999999999997"/>
    <n v="0.76600000000000001"/>
    <n v="555"/>
    <n v="35"/>
    <n v="111"/>
    <n v="144"/>
    <n v="31"/>
    <n v="18"/>
    <n v="68"/>
    <n v="2.12"/>
  </r>
  <r>
    <x v="7"/>
    <x v="1"/>
    <x v="23"/>
    <n v="191"/>
    <x v="12"/>
    <s v="Stavros"/>
    <n v="1"/>
    <n v="9"/>
    <n v="4"/>
    <n v="0"/>
    <x v="26"/>
    <s v="vs Lafa"/>
    <n v="164"/>
    <n v="0.47"/>
    <n v="58"/>
    <n v="0.36"/>
    <n v="0.84799999999999998"/>
    <n v="470"/>
    <n v="37"/>
    <n v="120"/>
    <n v="94"/>
    <n v="35"/>
    <n v="19"/>
    <n v="38"/>
    <n v="2.4700000000000002"/>
  </r>
  <r>
    <x v="7"/>
    <x v="1"/>
    <x v="23"/>
    <n v="192"/>
    <x v="23"/>
    <s v="Sarantos"/>
    <n v="0"/>
    <n v="4"/>
    <n v="9"/>
    <n v="0"/>
    <x v="14"/>
    <s v="vs Vasilis"/>
    <n v="138"/>
    <n v="0.51300000000000001"/>
    <n v="31"/>
    <n v="0.33700000000000002"/>
    <n v="0.78700000000000003"/>
    <n v="355"/>
    <n v="45"/>
    <n v="107"/>
    <n v="77"/>
    <n v="22"/>
    <n v="20"/>
    <n v="39"/>
    <n v="1.97"/>
  </r>
  <r>
    <x v="7"/>
    <x v="1"/>
    <x v="23"/>
    <n v="192"/>
    <x v="15"/>
    <s v="Vasilis"/>
    <n v="1"/>
    <n v="9"/>
    <n v="4"/>
    <n v="0"/>
    <x v="23"/>
    <s v="vs Sarantos"/>
    <n v="246"/>
    <n v="0.48799999999999999"/>
    <n v="61"/>
    <n v="0.33700000000000002"/>
    <n v="0.86899999999999999"/>
    <n v="666"/>
    <n v="37"/>
    <n v="149"/>
    <n v="154"/>
    <n v="36"/>
    <n v="18"/>
    <n v="61"/>
    <n v="2.52"/>
  </r>
  <r>
    <x v="7"/>
    <x v="1"/>
    <x v="23"/>
    <n v="193"/>
    <x v="2"/>
    <s v="Fountos"/>
    <n v="1"/>
    <n v="9"/>
    <n v="4"/>
    <n v="0"/>
    <x v="24"/>
    <s v="vs Tolios"/>
    <n v="154"/>
    <n v="0.47799999999999998"/>
    <n v="42"/>
    <n v="0.35"/>
    <n v="0.73299999999999998"/>
    <n v="427"/>
    <n v="26"/>
    <n v="121"/>
    <n v="89"/>
    <n v="19"/>
    <n v="11"/>
    <n v="39"/>
    <n v="2.2799999999999998"/>
  </r>
  <r>
    <x v="7"/>
    <x v="1"/>
    <x v="23"/>
    <n v="193"/>
    <x v="24"/>
    <s v="Tolios"/>
    <n v="0"/>
    <n v="4"/>
    <n v="9"/>
    <n v="0"/>
    <x v="3"/>
    <s v="vs Fountos"/>
    <n v="136"/>
    <n v="0.439"/>
    <n v="35"/>
    <n v="0.32400000000000001"/>
    <n v="0.77500000000000002"/>
    <n v="362"/>
    <n v="42"/>
    <n v="81"/>
    <n v="71"/>
    <n v="31"/>
    <n v="18"/>
    <n v="46"/>
    <n v="1.54"/>
  </r>
  <r>
    <x v="7"/>
    <x v="1"/>
    <x v="23"/>
    <n v="194"/>
    <x v="20"/>
    <s v="Guru"/>
    <n v="0"/>
    <n v="5"/>
    <n v="8"/>
    <n v="0"/>
    <x v="19"/>
    <s v="vs Kotakis"/>
    <n v="146"/>
    <n v="0.46500000000000002"/>
    <n v="58"/>
    <n v="0.4"/>
    <n v="0.83299999999999996"/>
    <n v="405"/>
    <n v="28"/>
    <n v="106"/>
    <n v="120"/>
    <n v="24"/>
    <n v="11"/>
    <n v="42"/>
    <n v="2.86"/>
  </r>
  <r>
    <x v="7"/>
    <x v="1"/>
    <x v="23"/>
    <n v="194"/>
    <x v="18"/>
    <s v="Kotakis"/>
    <n v="1"/>
    <n v="8"/>
    <n v="5"/>
    <n v="0"/>
    <x v="20"/>
    <s v="vs Guru"/>
    <n v="114"/>
    <n v="0.5"/>
    <n v="34"/>
    <n v="0.37"/>
    <n v="0.83699999999999997"/>
    <n v="298"/>
    <n v="38"/>
    <n v="113"/>
    <n v="78"/>
    <n v="29"/>
    <n v="15"/>
    <n v="24"/>
    <n v="3.25"/>
  </r>
  <r>
    <x v="7"/>
    <x v="1"/>
    <x v="19"/>
    <n v="195"/>
    <x v="12"/>
    <s v="Stavros"/>
    <n v="0"/>
    <n v="4"/>
    <n v="9"/>
    <n v="0"/>
    <x v="7"/>
    <s v="vs Tassos"/>
    <n v="149"/>
    <n v="0.51400000000000001"/>
    <n v="50"/>
    <n v="0.379"/>
    <n v="0.81299999999999994"/>
    <n v="409"/>
    <n v="27"/>
    <n v="103"/>
    <n v="94"/>
    <n v="30"/>
    <n v="17"/>
    <n v="37"/>
    <n v="2.54"/>
  </r>
  <r>
    <x v="7"/>
    <x v="1"/>
    <x v="19"/>
    <n v="195"/>
    <x v="6"/>
    <s v="Tassos"/>
    <n v="1"/>
    <n v="9"/>
    <n v="4"/>
    <n v="0"/>
    <x v="13"/>
    <s v="vs Stavros"/>
    <n v="152"/>
    <n v="0.47899999999999998"/>
    <n v="43"/>
    <n v="0.36799999999999999"/>
    <n v="0.76300000000000001"/>
    <n v="421"/>
    <n v="44"/>
    <n v="134"/>
    <n v="99"/>
    <n v="32"/>
    <n v="18"/>
    <n v="32"/>
    <n v="3.09"/>
  </r>
  <r>
    <x v="7"/>
    <x v="1"/>
    <x v="19"/>
    <n v="196"/>
    <x v="15"/>
    <s v="Vasilis"/>
    <n v="0"/>
    <n v="5"/>
    <n v="8"/>
    <n v="0"/>
    <x v="2"/>
    <s v="vs Sakellariou"/>
    <n v="215"/>
    <n v="0.51200000000000001"/>
    <n v="65"/>
    <n v="0.41099999999999998"/>
    <n v="0.82899999999999996"/>
    <n v="587"/>
    <n v="27"/>
    <n v="110"/>
    <n v="127"/>
    <n v="39"/>
    <n v="14"/>
    <n v="68"/>
    <n v="1.87"/>
  </r>
  <r>
    <x v="7"/>
    <x v="1"/>
    <x v="19"/>
    <n v="196"/>
    <x v="3"/>
    <s v="Sakellariou"/>
    <n v="1"/>
    <n v="8"/>
    <n v="5"/>
    <n v="0"/>
    <x v="14"/>
    <s v="vs Vasilis"/>
    <n v="188"/>
    <n v="0.46100000000000002"/>
    <n v="73"/>
    <n v="0.378"/>
    <n v="0.85599999999999998"/>
    <n v="526"/>
    <n v="42"/>
    <n v="105"/>
    <n v="145"/>
    <n v="46"/>
    <n v="17"/>
    <n v="57"/>
    <n v="2.54"/>
  </r>
  <r>
    <x v="7"/>
    <x v="1"/>
    <x v="19"/>
    <n v="197"/>
    <x v="2"/>
    <s v="Fountos"/>
    <n v="0"/>
    <n v="4"/>
    <n v="8"/>
    <n v="1"/>
    <x v="0"/>
    <s v="vs Fanis"/>
    <n v="180"/>
    <n v="0.51400000000000001"/>
    <n v="44"/>
    <n v="0.33600000000000002"/>
    <n v="0.76400000000000001"/>
    <n v="459"/>
    <n v="37"/>
    <n v="127"/>
    <n v="95"/>
    <n v="26"/>
    <n v="19"/>
    <n v="50"/>
    <n v="1.9"/>
  </r>
  <r>
    <x v="7"/>
    <x v="1"/>
    <x v="19"/>
    <n v="197"/>
    <x v="1"/>
    <s v="Fanis"/>
    <n v="1"/>
    <n v="8"/>
    <n v="4"/>
    <n v="1"/>
    <x v="3"/>
    <s v="vs Fountos"/>
    <n v="201"/>
    <n v="0.49299999999999999"/>
    <n v="44"/>
    <n v="0.37"/>
    <n v="0.82799999999999996"/>
    <n v="542"/>
    <n v="53"/>
    <n v="141"/>
    <n v="131"/>
    <n v="37"/>
    <n v="17"/>
    <n v="77"/>
    <n v="1.7"/>
  </r>
  <r>
    <x v="7"/>
    <x v="1"/>
    <x v="19"/>
    <n v="198"/>
    <x v="18"/>
    <s v="Kotakis"/>
    <n v="1"/>
    <n v="7"/>
    <n v="6"/>
    <n v="0"/>
    <x v="10"/>
    <s v="vs pi/Sotiris"/>
    <n v="168"/>
    <n v="0.51900000000000002"/>
    <n v="42"/>
    <n v="0.39600000000000002"/>
    <n v="0.80300000000000005"/>
    <n v="435"/>
    <n v="58"/>
    <n v="145"/>
    <n v="95"/>
    <n v="37"/>
    <n v="24"/>
    <n v="53"/>
    <n v="1.79"/>
  </r>
  <r>
    <x v="7"/>
    <x v="1"/>
    <x v="19"/>
    <n v="198"/>
    <x v="11"/>
    <s v="pi/Sotiris"/>
    <n v="0"/>
    <n v="6"/>
    <n v="7"/>
    <n v="0"/>
    <x v="19"/>
    <s v="vs Kotakis"/>
    <n v="241"/>
    <n v="0.501"/>
    <n v="67"/>
    <n v="0.374"/>
    <n v="0.78500000000000003"/>
    <n v="666"/>
    <n v="37"/>
    <n v="203"/>
    <n v="169"/>
    <n v="34"/>
    <n v="19"/>
    <n v="80"/>
    <n v="2.11"/>
  </r>
  <r>
    <x v="7"/>
    <x v="1"/>
    <x v="20"/>
    <n v="199"/>
    <x v="3"/>
    <s v="Sakellariou"/>
    <n v="1"/>
    <n v="8"/>
    <n v="4"/>
    <n v="1"/>
    <x v="7"/>
    <s v="vs Tassos"/>
    <n v="184"/>
    <n v="0.41799999999999998"/>
    <n v="60"/>
    <n v="0.32100000000000001"/>
    <n v="0.81399999999999995"/>
    <n v="542"/>
    <n v="33"/>
    <n v="114"/>
    <n v="152"/>
    <n v="32"/>
    <n v="15"/>
    <n v="45"/>
    <n v="3.38"/>
  </r>
  <r>
    <x v="7"/>
    <x v="1"/>
    <x v="20"/>
    <n v="199"/>
    <x v="6"/>
    <s v="Tassos"/>
    <n v="0"/>
    <n v="4"/>
    <n v="8"/>
    <n v="1"/>
    <x v="2"/>
    <s v="vs Sakellariou"/>
    <n v="128"/>
    <n v="0.54200000000000004"/>
    <n v="15"/>
    <n v="0.28299999999999997"/>
    <n v="0.625"/>
    <n v="306"/>
    <n v="33"/>
    <n v="117"/>
    <n v="62"/>
    <n v="24"/>
    <n v="21"/>
    <n v="27"/>
    <n v="2.2999999999999998"/>
  </r>
  <r>
    <x v="7"/>
    <x v="1"/>
    <x v="20"/>
    <n v="200"/>
    <x v="18"/>
    <s v="Kotakis"/>
    <n v="0"/>
    <n v="4"/>
    <n v="9"/>
    <n v="0"/>
    <x v="0"/>
    <s v="vs Fanis"/>
    <n v="119"/>
    <n v="0.48799999999999999"/>
    <n v="47"/>
    <n v="0.41199999999999998"/>
    <n v="0.80800000000000005"/>
    <n v="327"/>
    <n v="33"/>
    <n v="98"/>
    <n v="89"/>
    <n v="22"/>
    <n v="17"/>
    <n v="33"/>
    <n v="2.7"/>
  </r>
  <r>
    <x v="7"/>
    <x v="1"/>
    <x v="20"/>
    <n v="200"/>
    <x v="1"/>
    <s v="Fanis"/>
    <n v="1"/>
    <n v="9"/>
    <n v="4"/>
    <n v="0"/>
    <x v="19"/>
    <s v="vs Kotakis"/>
    <n v="178"/>
    <n v="0.51"/>
    <n v="45"/>
    <n v="0.38800000000000001"/>
    <n v="0.86"/>
    <n v="481"/>
    <n v="35"/>
    <n v="148"/>
    <n v="112"/>
    <n v="33"/>
    <n v="20"/>
    <n v="64"/>
    <n v="1.75"/>
  </r>
  <r>
    <x v="7"/>
    <x v="1"/>
    <x v="21"/>
    <n v="201"/>
    <x v="3"/>
    <s v="Sakellariou"/>
    <n v="0"/>
    <n v="4"/>
    <n v="7"/>
    <n v="2"/>
    <x v="0"/>
    <s v="vs Fanis"/>
    <n v="179"/>
    <n v="0.46300000000000002"/>
    <n v="56"/>
    <n v="0.38400000000000001"/>
    <n v="0.85"/>
    <n v="499"/>
    <n v="38"/>
    <n v="119"/>
    <n v="130"/>
    <n v="25"/>
    <n v="18"/>
    <n v="48"/>
    <n v="2.71"/>
  </r>
  <r>
    <x v="7"/>
    <x v="1"/>
    <x v="21"/>
    <n v="201"/>
    <x v="1"/>
    <s v="Fanis"/>
    <n v="1"/>
    <n v="7"/>
    <n v="4"/>
    <n v="2"/>
    <x v="2"/>
    <s v="vs Sakellariou"/>
    <n v="204"/>
    <n v="0.49199999999999999"/>
    <n v="56"/>
    <n v="0.373"/>
    <n v="0.81100000000000005"/>
    <n v="537"/>
    <n v="46"/>
    <n v="151"/>
    <n v="161"/>
    <n v="36"/>
    <n v="18"/>
    <n v="62"/>
    <n v="2.6"/>
  </r>
  <r>
    <x v="8"/>
    <x v="0"/>
    <x v="0"/>
    <n v="1"/>
    <x v="9"/>
    <s v="Ziogas/Christof"/>
    <n v="0"/>
    <n v="6"/>
    <n v="7"/>
    <n v="0"/>
    <x v="26"/>
    <s v="vs Lafa"/>
    <n v="127"/>
    <n v="0.46400000000000002"/>
    <n v="30"/>
    <n v="0.29099999999999998"/>
    <n v="0.74299999999999999"/>
    <n v="359"/>
    <n v="46"/>
    <n v="113"/>
    <n v="82"/>
    <n v="19"/>
    <n v="12"/>
    <n v="31"/>
    <n v="2.65"/>
  </r>
  <r>
    <x v="8"/>
    <x v="0"/>
    <x v="0"/>
    <n v="1"/>
    <x v="26"/>
    <s v="Lafa"/>
    <n v="1"/>
    <n v="7"/>
    <n v="6"/>
    <n v="0"/>
    <x v="8"/>
    <s v="vs Ziogas/Christof"/>
    <n v="171"/>
    <n v="0.46"/>
    <n v="37"/>
    <n v="0.29099999999999998"/>
    <n v="0.81599999999999995"/>
    <n v="508"/>
    <n v="25"/>
    <n v="132"/>
    <n v="77"/>
    <n v="17"/>
    <n v="25"/>
    <n v="66"/>
    <n v="1.17"/>
  </r>
  <r>
    <x v="8"/>
    <x v="0"/>
    <x v="0"/>
    <n v="2"/>
    <x v="18"/>
    <s v="Kotakis"/>
    <n v="0"/>
    <n v="3"/>
    <n v="10"/>
    <n v="0"/>
    <x v="0"/>
    <s v="vs Fanis"/>
    <n v="85"/>
    <n v="0.436"/>
    <n v="31"/>
    <n v="0.36499999999999999"/>
    <n v="0.76600000000000001"/>
    <n v="250"/>
    <n v="38"/>
    <n v="85"/>
    <n v="50"/>
    <n v="23"/>
    <n v="13"/>
    <n v="29"/>
    <n v="1.72"/>
  </r>
  <r>
    <x v="8"/>
    <x v="0"/>
    <x v="0"/>
    <n v="2"/>
    <x v="1"/>
    <s v="Fanis"/>
    <n v="1"/>
    <n v="10"/>
    <n v="3"/>
    <n v="0"/>
    <x v="19"/>
    <s v="vs Kotakis"/>
    <n v="165"/>
    <n v="0.49299999999999999"/>
    <n v="54"/>
    <n v="0.39400000000000002"/>
    <n v="0.81699999999999995"/>
    <n v="473"/>
    <n v="24"/>
    <n v="109"/>
    <n v="82"/>
    <n v="29"/>
    <n v="17"/>
    <n v="50"/>
    <n v="1.64"/>
  </r>
  <r>
    <x v="8"/>
    <x v="0"/>
    <x v="0"/>
    <n v="3"/>
    <x v="15"/>
    <s v="Vasilis"/>
    <n v="1"/>
    <n v="10"/>
    <n v="3"/>
    <n v="0"/>
    <x v="27"/>
    <s v="vs Dimitris"/>
    <n v="165"/>
    <n v="0.47299999999999998"/>
    <n v="38"/>
    <n v="0.28799999999999998"/>
    <n v="0.82599999999999996"/>
    <n v="477"/>
    <n v="41"/>
    <n v="122"/>
    <n v="89"/>
    <n v="29"/>
    <n v="20"/>
    <n v="46"/>
    <n v="1.93"/>
  </r>
  <r>
    <x v="8"/>
    <x v="0"/>
    <x v="0"/>
    <n v="3"/>
    <x v="27"/>
    <s v="Dimitris"/>
    <n v="0"/>
    <n v="3"/>
    <n v="10"/>
    <n v="0"/>
    <x v="14"/>
    <s v="vs Vasilis"/>
    <n v="68"/>
    <n v="0.45600000000000002"/>
    <n v="19"/>
    <n v="0.34499999999999997"/>
    <n v="0.87"/>
    <n v="195"/>
    <n v="19"/>
    <n v="54"/>
    <n v="29"/>
    <n v="9"/>
    <n v="4"/>
    <n v="24"/>
    <n v="1.21"/>
  </r>
  <r>
    <x v="8"/>
    <x v="0"/>
    <x v="0"/>
    <n v="4"/>
    <x v="21"/>
    <s v="Tzokos"/>
    <n v="0"/>
    <n v="5"/>
    <n v="8"/>
    <n v="0"/>
    <x v="20"/>
    <s v="vs Guru"/>
    <n v="130"/>
    <n v="0.45500000000000002"/>
    <n v="24"/>
    <n v="0.29299999999999998"/>
    <n v="0.83899999999999997"/>
    <n v="357"/>
    <n v="33"/>
    <n v="107"/>
    <n v="89"/>
    <n v="17"/>
    <n v="12"/>
    <n v="58"/>
    <n v="1.53"/>
  </r>
  <r>
    <x v="8"/>
    <x v="0"/>
    <x v="0"/>
    <n v="4"/>
    <x v="20"/>
    <s v="Guru"/>
    <n v="1"/>
    <n v="8"/>
    <n v="5"/>
    <n v="0"/>
    <x v="21"/>
    <s v="vs Tzokos"/>
    <n v="125"/>
    <n v="0.44800000000000001"/>
    <n v="44"/>
    <n v="0.36099999999999999"/>
    <n v="0.76500000000000001"/>
    <n v="398"/>
    <n v="36"/>
    <n v="83"/>
    <n v="102"/>
    <n v="28"/>
    <n v="7"/>
    <n v="32"/>
    <n v="3.19"/>
  </r>
  <r>
    <x v="8"/>
    <x v="0"/>
    <x v="0"/>
    <n v="5"/>
    <x v="29"/>
    <s v="Pals"/>
    <n v="0"/>
    <n v="3"/>
    <n v="10"/>
    <n v="0"/>
    <x v="24"/>
    <s v="vs Tolios"/>
    <n v="66"/>
    <n v="0.379"/>
    <n v="32"/>
    <n v="0.39"/>
    <n v="0.82199999999999995"/>
    <n v="201"/>
    <n v="30"/>
    <n v="78"/>
    <n v="54"/>
    <n v="19"/>
    <n v="5"/>
    <n v="27"/>
    <n v="2"/>
  </r>
  <r>
    <x v="8"/>
    <x v="0"/>
    <x v="0"/>
    <n v="5"/>
    <x v="24"/>
    <s v="Tolios"/>
    <n v="1"/>
    <n v="10"/>
    <n v="3"/>
    <n v="0"/>
    <x v="29"/>
    <s v="vs Pals"/>
    <n v="129"/>
    <n v="0.52"/>
    <n v="36"/>
    <n v="0.41899999999999998"/>
    <n v="0.80200000000000005"/>
    <n v="387"/>
    <n v="35"/>
    <n v="105"/>
    <n v="63"/>
    <n v="25"/>
    <n v="13"/>
    <n v="53"/>
    <n v="1.19"/>
  </r>
  <r>
    <x v="8"/>
    <x v="0"/>
    <x v="0"/>
    <n v="6"/>
    <x v="12"/>
    <s v="Stavros"/>
    <n v="0"/>
    <n v="3"/>
    <n v="10"/>
    <n v="0"/>
    <x v="10"/>
    <s v="vs pi/Sotiris"/>
    <n v="123"/>
    <n v="0.42399999999999999"/>
    <n v="54"/>
    <n v="0.35299999999999998"/>
    <n v="0.88300000000000001"/>
    <n v="368"/>
    <n v="21"/>
    <n v="106"/>
    <n v="91"/>
    <n v="27"/>
    <n v="13"/>
    <n v="43"/>
    <n v="2.12"/>
  </r>
  <r>
    <x v="8"/>
    <x v="0"/>
    <x v="0"/>
    <n v="6"/>
    <x v="11"/>
    <s v="pi/Sotiris"/>
    <n v="1"/>
    <n v="10"/>
    <n v="3"/>
    <n v="0"/>
    <x v="13"/>
    <s v="vs Stavros"/>
    <n v="207"/>
    <n v="0.55200000000000005"/>
    <n v="56"/>
    <n v="0.41799999999999998"/>
    <n v="0.78200000000000003"/>
    <n v="585"/>
    <n v="29"/>
    <n v="156"/>
    <n v="135"/>
    <n v="29"/>
    <n v="11"/>
    <n v="55"/>
    <n v="2.4500000000000002"/>
  </r>
  <r>
    <x v="8"/>
    <x v="0"/>
    <x v="0"/>
    <n v="7"/>
    <x v="6"/>
    <s v="Tassos"/>
    <n v="1"/>
    <n v="10"/>
    <n v="2"/>
    <n v="1"/>
    <x v="25"/>
    <s v="vs Arvanitis"/>
    <n v="161"/>
    <n v="0.47799999999999998"/>
    <n v="49"/>
    <n v="0.40799999999999997"/>
    <n v="0.78300000000000003"/>
    <n v="472"/>
    <n v="30"/>
    <n v="118"/>
    <n v="96"/>
    <n v="22"/>
    <n v="15"/>
    <n v="67"/>
    <n v="1.43"/>
  </r>
  <r>
    <x v="8"/>
    <x v="0"/>
    <x v="0"/>
    <n v="7"/>
    <x v="25"/>
    <s v="Arvanitis"/>
    <n v="0"/>
    <n v="2"/>
    <n v="10"/>
    <n v="1"/>
    <x v="7"/>
    <s v="vs Tassos"/>
    <n v="135"/>
    <n v="0.47199999999999998"/>
    <n v="43"/>
    <n v="0.35799999999999998"/>
    <n v="0.63"/>
    <n v="376"/>
    <n v="25"/>
    <n v="117"/>
    <n v="78"/>
    <n v="26"/>
    <n v="17"/>
    <n v="67"/>
    <n v="1.1599999999999999"/>
  </r>
  <r>
    <x v="8"/>
    <x v="0"/>
    <x v="0"/>
    <n v="8"/>
    <x v="17"/>
    <s v="Spiridaus/Oladipas"/>
    <n v="0"/>
    <n v="6"/>
    <n v="7"/>
    <n v="0"/>
    <x v="2"/>
    <s v="vs Sakellariou"/>
    <n v="157"/>
    <n v="0.52300000000000002"/>
    <n v="37"/>
    <n v="0.41099999999999998"/>
    <n v="0.70299999999999996"/>
    <n v="415"/>
    <n v="37"/>
    <n v="108"/>
    <n v="84"/>
    <n v="32"/>
    <n v="34"/>
    <n v="35"/>
    <n v="2.4"/>
  </r>
  <r>
    <x v="8"/>
    <x v="0"/>
    <x v="0"/>
    <n v="8"/>
    <x v="3"/>
    <s v="Sakellariou"/>
    <n v="1"/>
    <n v="7"/>
    <n v="6"/>
    <n v="0"/>
    <x v="16"/>
    <s v="vs Spiridaus/Oladipas"/>
    <n v="166"/>
    <n v="0.44700000000000001"/>
    <n v="58"/>
    <n v="0.34899999999999998"/>
    <n v="0.82099999999999995"/>
    <n v="482"/>
    <n v="25"/>
    <n v="123"/>
    <n v="131"/>
    <n v="44"/>
    <n v="8"/>
    <n v="70"/>
    <n v="1.87"/>
  </r>
  <r>
    <x v="8"/>
    <x v="0"/>
    <x v="0"/>
    <n v="9"/>
    <x v="16"/>
    <s v="Aris"/>
    <n v="0"/>
    <n v="6"/>
    <n v="7"/>
    <n v="0"/>
    <x v="3"/>
    <s v="vs Fountos"/>
    <n v="146"/>
    <n v="0.49199999999999999"/>
    <n v="33"/>
    <n v="0.371"/>
    <n v="0.67100000000000004"/>
    <n v="382"/>
    <n v="40"/>
    <n v="112"/>
    <n v="60"/>
    <n v="34"/>
    <n v="14"/>
    <n v="57"/>
    <n v="1.05"/>
  </r>
  <r>
    <x v="8"/>
    <x v="0"/>
    <x v="0"/>
    <n v="9"/>
    <x v="2"/>
    <s v="Fountos"/>
    <n v="1"/>
    <n v="7"/>
    <n v="6"/>
    <n v="0"/>
    <x v="17"/>
    <s v="vs Aris"/>
    <n v="108"/>
    <n v="0.51200000000000001"/>
    <n v="22"/>
    <n v="0.314"/>
    <n v="0.86899999999999999"/>
    <n v="291"/>
    <n v="44"/>
    <n v="70"/>
    <n v="63"/>
    <n v="18"/>
    <n v="15"/>
    <n v="38"/>
    <n v="1.66"/>
  </r>
  <r>
    <x v="8"/>
    <x v="0"/>
    <x v="0"/>
    <n v="10"/>
    <x v="28"/>
    <s v="Panos"/>
    <n v="1"/>
    <n v="9"/>
    <n v="4"/>
    <n v="0"/>
    <x v="6"/>
    <s v="vs Johnny"/>
    <n v="149"/>
    <n v="0.442"/>
    <n v="53"/>
    <n v="0.373"/>
    <n v="0.79500000000000004"/>
    <n v="413"/>
    <n v="36"/>
    <n v="100"/>
    <n v="86"/>
    <n v="29"/>
    <n v="8"/>
    <n v="58"/>
    <n v="1.48"/>
  </r>
  <r>
    <x v="8"/>
    <x v="0"/>
    <x v="0"/>
    <n v="10"/>
    <x v="7"/>
    <s v="Johnny"/>
    <n v="0"/>
    <n v="4"/>
    <n v="9"/>
    <n v="0"/>
    <x v="28"/>
    <s v="vs Panos"/>
    <n v="94"/>
    <n v="0.46300000000000002"/>
    <n v="29"/>
    <n v="0.33300000000000002"/>
    <n v="0.75"/>
    <n v="259"/>
    <n v="30"/>
    <n v="67"/>
    <n v="52"/>
    <n v="12"/>
    <n v="10"/>
    <n v="34"/>
    <n v="1.53"/>
  </r>
  <r>
    <x v="8"/>
    <x v="0"/>
    <x v="1"/>
    <n v="11"/>
    <x v="26"/>
    <s v="Lafa"/>
    <n v="1"/>
    <n v="7"/>
    <n v="6"/>
    <n v="0"/>
    <x v="19"/>
    <s v="vs Kotakis"/>
    <n v="161"/>
    <n v="0.503"/>
    <n v="45"/>
    <n v="0.42899999999999999"/>
    <n v="0.72899999999999998"/>
    <n v="464"/>
    <n v="47"/>
    <n v="136"/>
    <n v="93"/>
    <n v="29"/>
    <n v="27"/>
    <n v="54"/>
    <n v="1.72"/>
  </r>
  <r>
    <x v="8"/>
    <x v="0"/>
    <x v="1"/>
    <n v="11"/>
    <x v="18"/>
    <s v="Kotakis"/>
    <n v="0"/>
    <n v="6"/>
    <n v="7"/>
    <n v="0"/>
    <x v="26"/>
    <s v="vs Lafa"/>
    <n v="149"/>
    <n v="0.52700000000000002"/>
    <n v="43"/>
    <n v="0.40600000000000003"/>
    <n v="0.81200000000000006"/>
    <n v="397"/>
    <n v="55"/>
    <n v="146"/>
    <n v="115"/>
    <n v="19"/>
    <n v="17"/>
    <n v="56"/>
    <n v="2.0499999999999998"/>
  </r>
  <r>
    <x v="8"/>
    <x v="0"/>
    <x v="1"/>
    <n v="12"/>
    <x v="9"/>
    <s v="Ziogas/Christof"/>
    <n v="0"/>
    <n v="3"/>
    <n v="10"/>
    <n v="0"/>
    <x v="14"/>
    <s v="vs Vasilis"/>
    <n v="181"/>
    <n v="0.46899999999999997"/>
    <n v="53"/>
    <n v="0.34599999999999997"/>
    <n v="0.82799999999999996"/>
    <n v="521"/>
    <n v="49"/>
    <n v="110"/>
    <n v="80"/>
    <n v="22"/>
    <n v="14"/>
    <n v="39"/>
    <n v="2.0499999999999998"/>
  </r>
  <r>
    <x v="8"/>
    <x v="0"/>
    <x v="1"/>
    <n v="12"/>
    <x v="15"/>
    <s v="Vasilis"/>
    <n v="1"/>
    <n v="10"/>
    <n v="3"/>
    <n v="0"/>
    <x v="8"/>
    <s v="vs Ziogas/Christof"/>
    <n v="212"/>
    <n v="0.47"/>
    <n v="75"/>
    <n v="0.35899999999999999"/>
    <n v="0.89500000000000002"/>
    <n v="601"/>
    <n v="36"/>
    <n v="151"/>
    <n v="133"/>
    <n v="40"/>
    <n v="13"/>
    <n v="60"/>
    <n v="2.2200000000000002"/>
  </r>
  <r>
    <x v="8"/>
    <x v="0"/>
    <x v="1"/>
    <n v="13"/>
    <x v="1"/>
    <s v="Fanis"/>
    <n v="1"/>
    <n v="8"/>
    <n v="5"/>
    <n v="0"/>
    <x v="21"/>
    <s v="vs Tzokos"/>
    <n v="170"/>
    <n v="0.44900000000000001"/>
    <n v="54"/>
    <n v="0.33800000000000002"/>
    <n v="0.72399999999999998"/>
    <n v="486"/>
    <n v="50"/>
    <n v="140"/>
    <n v="83"/>
    <n v="28"/>
    <n v="18"/>
    <n v="45"/>
    <n v="1.84"/>
  </r>
  <r>
    <x v="8"/>
    <x v="0"/>
    <x v="1"/>
    <n v="13"/>
    <x v="21"/>
    <s v="Tzokos"/>
    <n v="0"/>
    <n v="5"/>
    <n v="8"/>
    <n v="0"/>
    <x v="0"/>
    <s v="vs Fanis"/>
    <n v="144"/>
    <n v="0.45100000000000001"/>
    <n v="22"/>
    <n v="0.22"/>
    <n v="0.77600000000000002"/>
    <n v="369"/>
    <n v="36"/>
    <n v="125"/>
    <n v="102"/>
    <n v="26"/>
    <n v="23"/>
    <n v="47"/>
    <n v="2.17"/>
  </r>
  <r>
    <x v="8"/>
    <x v="0"/>
    <x v="1"/>
    <n v="14"/>
    <x v="27"/>
    <s v="Dimitris"/>
    <n v="0"/>
    <n v="5"/>
    <n v="8"/>
    <n v="0"/>
    <x v="29"/>
    <s v="vs Pals"/>
    <n v="71"/>
    <n v="0.52200000000000002"/>
    <n v="21"/>
    <n v="0.38200000000000001"/>
    <n v="0.88600000000000001"/>
    <n v="194"/>
    <n v="18"/>
    <n v="40"/>
    <n v="37"/>
    <n v="12"/>
    <n v="6"/>
    <n v="16"/>
    <n v="2.31"/>
  </r>
  <r>
    <x v="8"/>
    <x v="0"/>
    <x v="1"/>
    <n v="14"/>
    <x v="29"/>
    <s v="Pals"/>
    <n v="1"/>
    <n v="8"/>
    <n v="5"/>
    <n v="0"/>
    <x v="27"/>
    <s v="vs Dimitris"/>
    <n v="102"/>
    <n v="0.40600000000000003"/>
    <n v="38"/>
    <n v="0.32500000000000001"/>
    <n v="0.75"/>
    <n v="290"/>
    <n v="41"/>
    <n v="86"/>
    <n v="74"/>
    <n v="26"/>
    <n v="15"/>
    <n v="40"/>
    <n v="1.85"/>
  </r>
  <r>
    <x v="8"/>
    <x v="0"/>
    <x v="1"/>
    <n v="15"/>
    <x v="20"/>
    <s v="Guru"/>
    <n v="0"/>
    <n v="6"/>
    <n v="7"/>
    <n v="0"/>
    <x v="13"/>
    <s v="vs Stavros"/>
    <n v="135"/>
    <n v="0.44700000000000001"/>
    <n v="55"/>
    <n v="0.39"/>
    <n v="0.85699999999999998"/>
    <n v="415"/>
    <n v="27"/>
    <n v="89"/>
    <n v="101"/>
    <n v="29"/>
    <n v="13"/>
    <n v="50"/>
    <n v="2.02"/>
  </r>
  <r>
    <x v="8"/>
    <x v="0"/>
    <x v="1"/>
    <n v="15"/>
    <x v="12"/>
    <s v="Stavros"/>
    <n v="1"/>
    <n v="7"/>
    <n v="6"/>
    <n v="0"/>
    <x v="20"/>
    <s v="vs Guru"/>
    <n v="160"/>
    <n v="0.42799999999999999"/>
    <n v="70"/>
    <n v="0.36499999999999999"/>
    <n v="0.84599999999999997"/>
    <n v="467"/>
    <n v="31"/>
    <n v="124"/>
    <n v="113"/>
    <n v="25"/>
    <n v="14"/>
    <n v="56"/>
    <n v="2.02"/>
  </r>
  <r>
    <x v="8"/>
    <x v="0"/>
    <x v="1"/>
    <n v="16"/>
    <x v="24"/>
    <s v="Tolios"/>
    <n v="0"/>
    <n v="3"/>
    <n v="10"/>
    <n v="0"/>
    <x v="7"/>
    <s v="vs Tassos"/>
    <n v="173"/>
    <n v="0.45100000000000001"/>
    <n v="56"/>
    <n v="0.38400000000000001"/>
    <n v="0.83"/>
    <n v="490"/>
    <n v="44"/>
    <n v="107"/>
    <n v="122"/>
    <n v="28"/>
    <n v="14"/>
    <n v="73"/>
    <n v="1.67"/>
  </r>
  <r>
    <x v="8"/>
    <x v="0"/>
    <x v="1"/>
    <n v="16"/>
    <x v="6"/>
    <s v="Tassos"/>
    <n v="1"/>
    <n v="10"/>
    <n v="3"/>
    <n v="0"/>
    <x v="24"/>
    <s v="vs Tolios"/>
    <n v="200"/>
    <n v="0.47599999999999998"/>
    <n v="60"/>
    <n v="0.35299999999999998"/>
    <n v="0.82099999999999995"/>
    <n v="570"/>
    <n v="27"/>
    <n v="121"/>
    <n v="151"/>
    <n v="35"/>
    <n v="24"/>
    <n v="66"/>
    <n v="2.29"/>
  </r>
  <r>
    <x v="8"/>
    <x v="0"/>
    <x v="1"/>
    <n v="17"/>
    <x v="11"/>
    <s v="pi/Sotiris"/>
    <n v="1"/>
    <n v="7"/>
    <n v="6"/>
    <n v="0"/>
    <x v="16"/>
    <s v="vs Spiridaus/Oladipas"/>
    <n v="226"/>
    <n v="0.50600000000000001"/>
    <n v="50"/>
    <n v="0.318"/>
    <n v="0.82599999999999996"/>
    <n v="635"/>
    <n v="42"/>
    <n v="199"/>
    <n v="179"/>
    <n v="31"/>
    <n v="11"/>
    <n v="102"/>
    <n v="1.75"/>
  </r>
  <r>
    <x v="8"/>
    <x v="0"/>
    <x v="1"/>
    <n v="17"/>
    <x v="17"/>
    <s v="Spiridaus/Oladipas"/>
    <n v="0"/>
    <n v="6"/>
    <n v="7"/>
    <n v="0"/>
    <x v="10"/>
    <s v="vs pi/Sotiris"/>
    <n v="161"/>
    <n v="0.51400000000000001"/>
    <n v="51"/>
    <n v="0.432"/>
    <n v="0.82499999999999996"/>
    <n v="439"/>
    <n v="31"/>
    <n v="126"/>
    <n v="106"/>
    <n v="29"/>
    <n v="28"/>
    <n v="60"/>
    <n v="1.77"/>
  </r>
  <r>
    <x v="8"/>
    <x v="0"/>
    <x v="1"/>
    <n v="18"/>
    <x v="25"/>
    <s v="Arvanitis"/>
    <n v="1"/>
    <n v="11"/>
    <n v="2"/>
    <n v="0"/>
    <x v="17"/>
    <s v="vs Aris"/>
    <n v="204"/>
    <n v="0.48299999999999998"/>
    <n v="59"/>
    <n v="0.38800000000000001"/>
    <n v="0.73599999999999999"/>
    <n v="562"/>
    <n v="57"/>
    <n v="149"/>
    <n v="113"/>
    <n v="36"/>
    <n v="16"/>
    <n v="61"/>
    <n v="1.85"/>
  </r>
  <r>
    <x v="8"/>
    <x v="0"/>
    <x v="1"/>
    <n v="18"/>
    <x v="16"/>
    <s v="Aris"/>
    <n v="0"/>
    <n v="2"/>
    <n v="11"/>
    <n v="0"/>
    <x v="25"/>
    <s v="vs Arvanitis"/>
    <n v="176"/>
    <n v="0.47199999999999998"/>
    <n v="38"/>
    <n v="0.35199999999999998"/>
    <n v="0.79600000000000004"/>
    <n v="472"/>
    <n v="37"/>
    <n v="117"/>
    <n v="77"/>
    <n v="30"/>
    <n v="15"/>
    <n v="57"/>
    <n v="1.35"/>
  </r>
  <r>
    <x v="8"/>
    <x v="0"/>
    <x v="1"/>
    <n v="19"/>
    <x v="3"/>
    <s v="Sakellariou"/>
    <n v="1"/>
    <n v="10"/>
    <n v="3"/>
    <n v="0"/>
    <x v="28"/>
    <s v="vs Panos"/>
    <n v="192"/>
    <n v="0.497"/>
    <n v="70"/>
    <n v="0.39800000000000002"/>
    <n v="0.85599999999999998"/>
    <n v="543"/>
    <n v="16"/>
    <n v="100"/>
    <n v="130"/>
    <n v="43"/>
    <n v="14"/>
    <n v="52"/>
    <n v="2.5"/>
  </r>
  <r>
    <x v="8"/>
    <x v="0"/>
    <x v="1"/>
    <n v="19"/>
    <x v="28"/>
    <s v="Panos"/>
    <n v="0"/>
    <n v="3"/>
    <n v="10"/>
    <n v="0"/>
    <x v="2"/>
    <s v="vs Sakellariou"/>
    <n v="176"/>
    <n v="0.46200000000000002"/>
    <n v="60"/>
    <n v="0.35299999999999998"/>
    <n v="0.78600000000000003"/>
    <n v="478"/>
    <n v="37"/>
    <n v="132"/>
    <n v="111"/>
    <n v="26"/>
    <n v="20"/>
    <n v="64"/>
    <n v="1.73"/>
  </r>
  <r>
    <x v="8"/>
    <x v="0"/>
    <x v="1"/>
    <n v="20"/>
    <x v="2"/>
    <s v="Fountos"/>
    <n v="1"/>
    <n v="7"/>
    <n v="6"/>
    <n v="0"/>
    <x v="6"/>
    <s v="vs Johnny"/>
    <n v="169"/>
    <n v="0.53800000000000003"/>
    <n v="36"/>
    <n v="0.39600000000000002"/>
    <n v="0.79300000000000004"/>
    <n v="485"/>
    <n v="60"/>
    <n v="127"/>
    <n v="95"/>
    <n v="26"/>
    <n v="27"/>
    <n v="59"/>
    <n v="1.61"/>
  </r>
  <r>
    <x v="8"/>
    <x v="0"/>
    <x v="1"/>
    <n v="20"/>
    <x v="7"/>
    <s v="Johnny"/>
    <n v="0"/>
    <n v="6"/>
    <n v="7"/>
    <n v="0"/>
    <x v="3"/>
    <s v="vs Fountos"/>
    <n v="135"/>
    <n v="0.46700000000000003"/>
    <n v="69"/>
    <n v="0.41799999999999998"/>
    <n v="0.83099999999999996"/>
    <n v="388"/>
    <n v="33"/>
    <n v="96"/>
    <n v="93"/>
    <n v="29"/>
    <n v="15"/>
    <n v="35"/>
    <n v="2.66"/>
  </r>
  <r>
    <x v="8"/>
    <x v="0"/>
    <x v="2"/>
    <n v="21"/>
    <x v="15"/>
    <s v="Vasilis"/>
    <n v="0"/>
    <n v="6"/>
    <n v="7"/>
    <n v="0"/>
    <x v="26"/>
    <s v="vs Lafa"/>
    <n v="133"/>
    <n v="0.48199999999999998"/>
    <n v="56"/>
    <n v="0.44400000000000001"/>
    <n v="0.85399999999999998"/>
    <n v="410"/>
    <n v="29"/>
    <n v="91"/>
    <n v="87"/>
    <n v="21"/>
    <n v="15"/>
    <n v="44"/>
    <n v="1.98"/>
  </r>
  <r>
    <x v="8"/>
    <x v="0"/>
    <x v="2"/>
    <n v="21"/>
    <x v="26"/>
    <s v="Lafa"/>
    <n v="1"/>
    <n v="7"/>
    <n v="6"/>
    <n v="0"/>
    <x v="14"/>
    <s v="vs Vasilis"/>
    <n v="184"/>
    <n v="0.47099999999999997"/>
    <n v="43"/>
    <n v="0.35"/>
    <n v="0.77700000000000002"/>
    <n v="540"/>
    <n v="52"/>
    <n v="187"/>
    <n v="120"/>
    <n v="35"/>
    <n v="33"/>
    <n v="71"/>
    <n v="1.69"/>
  </r>
  <r>
    <x v="8"/>
    <x v="0"/>
    <x v="2"/>
    <n v="22"/>
    <x v="21"/>
    <s v="Tzokos"/>
    <n v="0"/>
    <n v="4"/>
    <n v="9"/>
    <n v="0"/>
    <x v="19"/>
    <s v="vs Kotakis"/>
    <n v="137"/>
    <n v="0.43099999999999999"/>
    <n v="32"/>
    <n v="0.28799999999999998"/>
    <n v="0.76500000000000001"/>
    <n v="381"/>
    <n v="51"/>
    <n v="147"/>
    <n v="109"/>
    <n v="33"/>
    <n v="29"/>
    <n v="77"/>
    <n v="1.42"/>
  </r>
  <r>
    <x v="8"/>
    <x v="0"/>
    <x v="2"/>
    <n v="22"/>
    <x v="18"/>
    <s v="Kotakis"/>
    <n v="1"/>
    <n v="9"/>
    <n v="4"/>
    <n v="0"/>
    <x v="21"/>
    <s v="vs Tzokos"/>
    <n v="159"/>
    <n v="0.51"/>
    <n v="49"/>
    <n v="0.40799999999999997"/>
    <n v="0.80800000000000005"/>
    <n v="430"/>
    <n v="42"/>
    <n v="121"/>
    <n v="91"/>
    <n v="41"/>
    <n v="16"/>
    <n v="46"/>
    <n v="1.98"/>
  </r>
  <r>
    <x v="8"/>
    <x v="0"/>
    <x v="2"/>
    <n v="23"/>
    <x v="29"/>
    <s v="Pals"/>
    <n v="0"/>
    <n v="4"/>
    <n v="9"/>
    <n v="0"/>
    <x v="8"/>
    <s v="vs Ziogas/Christof"/>
    <n v="108"/>
    <n v="0.42699999999999999"/>
    <n v="49"/>
    <n v="0.374"/>
    <n v="0.78900000000000003"/>
    <n v="310"/>
    <n v="40"/>
    <n v="101"/>
    <n v="72"/>
    <n v="24"/>
    <n v="18"/>
    <n v="57"/>
    <n v="1.26"/>
  </r>
  <r>
    <x v="8"/>
    <x v="0"/>
    <x v="2"/>
    <n v="23"/>
    <x v="9"/>
    <s v="Ziogas/Christof"/>
    <n v="1"/>
    <n v="9"/>
    <n v="4"/>
    <n v="0"/>
    <x v="29"/>
    <s v="vs Pals"/>
    <n v="174"/>
    <n v="0.47399999999999998"/>
    <n v="50"/>
    <n v="0.34"/>
    <n v="0.77"/>
    <n v="475"/>
    <n v="47"/>
    <n v="134"/>
    <n v="110"/>
    <n v="37"/>
    <n v="15"/>
    <n v="60"/>
    <n v="1.83"/>
  </r>
  <r>
    <x v="8"/>
    <x v="0"/>
    <x v="2"/>
    <n v="24"/>
    <x v="12"/>
    <s v="Stavros"/>
    <n v="0"/>
    <n v="5"/>
    <n v="8"/>
    <n v="0"/>
    <x v="0"/>
    <s v="vs Fanis"/>
    <n v="148"/>
    <n v="0.42499999999999999"/>
    <n v="55"/>
    <n v="0.34599999999999997"/>
    <n v="0.79700000000000004"/>
    <n v="410"/>
    <n v="25"/>
    <n v="91"/>
    <n v="99"/>
    <n v="38"/>
    <n v="22"/>
    <n v="50"/>
    <n v="1.98"/>
  </r>
  <r>
    <x v="8"/>
    <x v="0"/>
    <x v="2"/>
    <n v="24"/>
    <x v="1"/>
    <s v="Fanis"/>
    <n v="1"/>
    <n v="8"/>
    <n v="5"/>
    <n v="0"/>
    <x v="13"/>
    <s v="vs Stavros"/>
    <n v="167"/>
    <n v="0.46100000000000002"/>
    <n v="43"/>
    <n v="0.33300000000000002"/>
    <n v="0.84"/>
    <n v="466"/>
    <n v="73"/>
    <n v="125"/>
    <n v="102"/>
    <n v="32"/>
    <n v="24"/>
    <n v="58"/>
    <n v="1.76"/>
  </r>
  <r>
    <x v="8"/>
    <x v="0"/>
    <x v="2"/>
    <n v="25"/>
    <x v="6"/>
    <s v="Tassos"/>
    <n v="1"/>
    <n v="11"/>
    <n v="2"/>
    <n v="0"/>
    <x v="27"/>
    <s v="vs Dimitris"/>
    <n v="242"/>
    <n v="0.48699999999999999"/>
    <n v="50"/>
    <n v="0.29799999999999999"/>
    <n v="0.79700000000000004"/>
    <n v="648"/>
    <n v="40"/>
    <n v="146"/>
    <n v="130"/>
    <n v="38"/>
    <n v="41"/>
    <n v="73"/>
    <n v="1.78"/>
  </r>
  <r>
    <x v="8"/>
    <x v="0"/>
    <x v="2"/>
    <n v="25"/>
    <x v="27"/>
    <s v="Dimitris"/>
    <n v="0"/>
    <n v="2"/>
    <n v="11"/>
    <n v="0"/>
    <x v="7"/>
    <s v="vs Tassos"/>
    <n v="76"/>
    <n v="0.434"/>
    <n v="19"/>
    <n v="0.32800000000000001"/>
    <n v="0.69399999999999995"/>
    <n v="196"/>
    <n v="29"/>
    <n v="60"/>
    <n v="44"/>
    <n v="18"/>
    <n v="4"/>
    <n v="27"/>
    <n v="1.63"/>
  </r>
  <r>
    <x v="8"/>
    <x v="0"/>
    <x v="2"/>
    <n v="26"/>
    <x v="17"/>
    <s v="Spiridaus/Oladipas"/>
    <n v="0"/>
    <n v="6"/>
    <n v="7"/>
    <n v="0"/>
    <x v="20"/>
    <s v="vs Guru"/>
    <n v="147"/>
    <n v="0.46800000000000003"/>
    <n v="43"/>
    <n v="0.36799999999999999"/>
    <n v="0.83499999999999996"/>
    <n v="403"/>
    <n v="38"/>
    <n v="99"/>
    <n v="94"/>
    <n v="37"/>
    <n v="23"/>
    <n v="57"/>
    <n v="1.65"/>
  </r>
  <r>
    <x v="8"/>
    <x v="0"/>
    <x v="2"/>
    <n v="26"/>
    <x v="20"/>
    <s v="Guru"/>
    <n v="1"/>
    <n v="7"/>
    <n v="6"/>
    <n v="0"/>
    <x v="16"/>
    <s v="vs Spiridaus/Oladipas"/>
    <n v="183"/>
    <n v="0.48499999999999999"/>
    <n v="55"/>
    <n v="0.36699999999999999"/>
    <n v="0.78400000000000003"/>
    <n v="512"/>
    <n v="33"/>
    <n v="133"/>
    <n v="137"/>
    <n v="34"/>
    <n v="16"/>
    <n v="73"/>
    <n v="1.88"/>
  </r>
  <r>
    <x v="8"/>
    <x v="0"/>
    <x v="2"/>
    <n v="27"/>
    <x v="16"/>
    <s v="Aris"/>
    <n v="0"/>
    <n v="5"/>
    <n v="8"/>
    <n v="0"/>
    <x v="24"/>
    <s v="vs Tolios"/>
    <n v="146"/>
    <n v="0.46500000000000002"/>
    <n v="39"/>
    <n v="0.33900000000000002"/>
    <n v="0.82799999999999996"/>
    <n v="384"/>
    <n v="37"/>
    <n v="119"/>
    <n v="94"/>
    <n v="21"/>
    <n v="15"/>
    <n v="59"/>
    <n v="1.59"/>
  </r>
  <r>
    <x v="8"/>
    <x v="0"/>
    <x v="2"/>
    <n v="27"/>
    <x v="24"/>
    <s v="Tolios"/>
    <n v="1"/>
    <n v="8"/>
    <n v="5"/>
    <n v="0"/>
    <x v="17"/>
    <s v="vs Aris"/>
    <n v="178"/>
    <n v="0.48199999999999998"/>
    <n v="51"/>
    <n v="0.38100000000000001"/>
    <n v="0.85399999999999998"/>
    <n v="483"/>
    <n v="38"/>
    <n v="118"/>
    <n v="87"/>
    <n v="33"/>
    <n v="9"/>
    <n v="67"/>
    <n v="1.3"/>
  </r>
  <r>
    <x v="8"/>
    <x v="0"/>
    <x v="2"/>
    <n v="28"/>
    <x v="28"/>
    <s v="Panos"/>
    <n v="0"/>
    <n v="3"/>
    <n v="9"/>
    <n v="1"/>
    <x v="10"/>
    <s v="vs pi/Sotiris"/>
    <n v="159"/>
    <n v="0.47899999999999998"/>
    <n v="42"/>
    <n v="0.32600000000000001"/>
    <n v="0.79300000000000004"/>
    <n v="448"/>
    <n v="46"/>
    <n v="102"/>
    <n v="98"/>
    <n v="33"/>
    <n v="24"/>
    <n v="61"/>
    <n v="1.61"/>
  </r>
  <r>
    <x v="8"/>
    <x v="0"/>
    <x v="2"/>
    <n v="28"/>
    <x v="11"/>
    <s v="pi/Sotiris"/>
    <n v="1"/>
    <n v="9"/>
    <n v="3"/>
    <n v="1"/>
    <x v="28"/>
    <s v="vs Panos"/>
    <n v="238"/>
    <n v="0.52500000000000002"/>
    <n v="65"/>
    <n v="0.42799999999999999"/>
    <n v="0.76600000000000001"/>
    <n v="649"/>
    <n v="52"/>
    <n v="152"/>
    <n v="146"/>
    <n v="30"/>
    <n v="12"/>
    <n v="61"/>
    <n v="2.39"/>
  </r>
  <r>
    <x v="8"/>
    <x v="0"/>
    <x v="2"/>
    <n v="29"/>
    <x v="7"/>
    <s v="Johnny"/>
    <n v="0"/>
    <n v="4"/>
    <n v="9"/>
    <n v="0"/>
    <x v="25"/>
    <s v="vs Arvanitis"/>
    <n v="103"/>
    <n v="0.438"/>
    <n v="47"/>
    <n v="0.373"/>
    <n v="0.83299999999999996"/>
    <n v="303"/>
    <n v="29"/>
    <n v="111"/>
    <n v="79"/>
    <n v="24"/>
    <n v="11"/>
    <n v="42"/>
    <n v="1.88"/>
  </r>
  <r>
    <x v="8"/>
    <x v="0"/>
    <x v="2"/>
    <n v="29"/>
    <x v="25"/>
    <s v="Arvanitis"/>
    <n v="1"/>
    <n v="9"/>
    <n v="4"/>
    <n v="0"/>
    <x v="6"/>
    <s v="vs Johnny"/>
    <n v="207"/>
    <n v="0.46600000000000003"/>
    <n v="57"/>
    <n v="0.34100000000000003"/>
    <n v="0.73099999999999998"/>
    <n v="547"/>
    <n v="46"/>
    <n v="120"/>
    <n v="134"/>
    <n v="43"/>
    <n v="20"/>
    <n v="76"/>
    <n v="1.76"/>
  </r>
  <r>
    <x v="8"/>
    <x v="0"/>
    <x v="2"/>
    <n v="30"/>
    <x v="2"/>
    <s v="Fountos"/>
    <n v="0"/>
    <n v="6"/>
    <n v="7"/>
    <n v="0"/>
    <x v="2"/>
    <s v="vs Sakellariou"/>
    <n v="176"/>
    <n v="0.48899999999999999"/>
    <n v="33"/>
    <n v="0.30599999999999999"/>
    <n v="0.82799999999999996"/>
    <n v="491"/>
    <n v="58"/>
    <n v="158"/>
    <n v="97"/>
    <n v="36"/>
    <n v="17"/>
    <n v="44"/>
    <n v="2.2000000000000002"/>
  </r>
  <r>
    <x v="8"/>
    <x v="0"/>
    <x v="2"/>
    <n v="30"/>
    <x v="3"/>
    <s v="Sakellariou"/>
    <n v="1"/>
    <n v="7"/>
    <n v="6"/>
    <n v="0"/>
    <x v="3"/>
    <s v="vs Fountos"/>
    <n v="175"/>
    <n v="0.46800000000000003"/>
    <n v="74"/>
    <n v="0.435"/>
    <n v="0.92900000000000005"/>
    <n v="503"/>
    <n v="31"/>
    <n v="94"/>
    <n v="134"/>
    <n v="42"/>
    <n v="5"/>
    <n v="50"/>
    <n v="2.68"/>
  </r>
  <r>
    <x v="8"/>
    <x v="0"/>
    <x v="3"/>
    <n v="31"/>
    <x v="26"/>
    <s v="Lafa"/>
    <n v="1"/>
    <n v="7"/>
    <n v="6"/>
    <n v="0"/>
    <x v="21"/>
    <s v="vs Tzokos"/>
    <n v="219"/>
    <n v="0.46500000000000002"/>
    <n v="67"/>
    <n v="0.39600000000000002"/>
    <n v="0.81100000000000005"/>
    <n v="642"/>
    <n v="58"/>
    <n v="156"/>
    <n v="143"/>
    <n v="29"/>
    <n v="23"/>
    <n v="80"/>
    <n v="1.79"/>
  </r>
  <r>
    <x v="8"/>
    <x v="0"/>
    <x v="3"/>
    <n v="31"/>
    <x v="21"/>
    <s v="Tzokos"/>
    <n v="0"/>
    <n v="6"/>
    <n v="7"/>
    <n v="0"/>
    <x v="26"/>
    <s v="vs Lafa"/>
    <n v="182"/>
    <n v="0.51900000000000002"/>
    <n v="52"/>
    <n v="0.41899999999999998"/>
    <n v="0.83199999999999996"/>
    <n v="505"/>
    <n v="60"/>
    <n v="165"/>
    <n v="106"/>
    <n v="27"/>
    <n v="18"/>
    <n v="66"/>
    <n v="1.61"/>
  </r>
  <r>
    <x v="8"/>
    <x v="0"/>
    <x v="3"/>
    <n v="32"/>
    <x v="15"/>
    <s v="Vasilis"/>
    <n v="1"/>
    <n v="10"/>
    <n v="3"/>
    <n v="0"/>
    <x v="29"/>
    <s v="vs Pals"/>
    <n v="157"/>
    <n v="0.44"/>
    <n v="58"/>
    <n v="0.34499999999999997"/>
    <n v="0.878"/>
    <n v="458"/>
    <n v="26"/>
    <n v="114"/>
    <n v="114"/>
    <n v="35"/>
    <n v="19"/>
    <n v="71"/>
    <n v="1.61"/>
  </r>
  <r>
    <x v="8"/>
    <x v="0"/>
    <x v="3"/>
    <n v="32"/>
    <x v="29"/>
    <s v="Pals"/>
    <n v="0"/>
    <n v="3"/>
    <n v="10"/>
    <n v="0"/>
    <x v="14"/>
    <s v="vs Vasilis"/>
    <n v="89"/>
    <n v="0.42599999999999999"/>
    <n v="38"/>
    <n v="0.32500000000000001"/>
    <n v="0.89600000000000002"/>
    <n v="259"/>
    <n v="42"/>
    <n v="90"/>
    <n v="49"/>
    <n v="17"/>
    <n v="15"/>
    <n v="44"/>
    <n v="1.1100000000000001"/>
  </r>
  <r>
    <x v="8"/>
    <x v="0"/>
    <x v="3"/>
    <n v="33"/>
    <x v="18"/>
    <s v="Kotakis"/>
    <n v="0"/>
    <n v="5"/>
    <n v="8"/>
    <n v="0"/>
    <x v="13"/>
    <s v="vs Stavros"/>
    <n v="144"/>
    <n v="0.49099999999999999"/>
    <n v="37"/>
    <n v="0.33600000000000002"/>
    <n v="0.74199999999999999"/>
    <n v="371"/>
    <n v="44"/>
    <n v="128"/>
    <n v="88"/>
    <n v="36"/>
    <n v="19"/>
    <n v="53"/>
    <n v="1.66"/>
  </r>
  <r>
    <x v="8"/>
    <x v="0"/>
    <x v="3"/>
    <n v="33"/>
    <x v="12"/>
    <s v="Stavros"/>
    <n v="1"/>
    <n v="8"/>
    <n v="5"/>
    <n v="0"/>
    <x v="19"/>
    <s v="vs Kotakis"/>
    <n v="155"/>
    <n v="0.45600000000000002"/>
    <n v="72"/>
    <n v="0.39600000000000002"/>
    <n v="0.81399999999999995"/>
    <n v="452"/>
    <n v="18"/>
    <n v="103"/>
    <n v="94"/>
    <n v="24"/>
    <n v="14"/>
    <n v="33"/>
    <n v="2.85"/>
  </r>
  <r>
    <x v="8"/>
    <x v="0"/>
    <x v="3"/>
    <n v="34"/>
    <x v="9"/>
    <s v="Ziogas/Christof"/>
    <n v="1"/>
    <n v="10"/>
    <n v="2"/>
    <n v="1"/>
    <x v="7"/>
    <s v="vs Tassos"/>
    <n v="200"/>
    <n v="0.48899999999999999"/>
    <n v="76"/>
    <n v="0.40899999999999997"/>
    <n v="0.876"/>
    <n v="582"/>
    <n v="53"/>
    <n v="132"/>
    <n v="124"/>
    <n v="32"/>
    <n v="17"/>
    <n v="43"/>
    <n v="2.88"/>
  </r>
  <r>
    <x v="8"/>
    <x v="0"/>
    <x v="3"/>
    <n v="34"/>
    <x v="6"/>
    <s v="Tassos"/>
    <n v="0"/>
    <n v="2"/>
    <n v="10"/>
    <n v="1"/>
    <x v="8"/>
    <s v="vs Ziogas/Christof"/>
    <n v="189"/>
    <n v="0.45100000000000001"/>
    <n v="36"/>
    <n v="0.29299999999999998"/>
    <n v="0.79400000000000004"/>
    <n v="522"/>
    <n v="37"/>
    <n v="135"/>
    <n v="116"/>
    <n v="32"/>
    <n v="18"/>
    <n v="50"/>
    <n v="2.3199999999999998"/>
  </r>
  <r>
    <x v="8"/>
    <x v="0"/>
    <x v="3"/>
    <n v="35"/>
    <x v="1"/>
    <s v="Fanis"/>
    <n v="1"/>
    <n v="8"/>
    <n v="5"/>
    <n v="0"/>
    <x v="16"/>
    <s v="vs Spiridaus/Oladipas"/>
    <n v="180"/>
    <n v="0.497"/>
    <n v="45"/>
    <n v="0.38100000000000001"/>
    <n v="0.79400000000000004"/>
    <n v="536"/>
    <n v="63"/>
    <n v="154"/>
    <n v="87"/>
    <n v="31"/>
    <n v="33"/>
    <n v="63"/>
    <n v="1.38"/>
  </r>
  <r>
    <x v="8"/>
    <x v="0"/>
    <x v="3"/>
    <n v="35"/>
    <x v="17"/>
    <s v="Spiridaus/Oladipas"/>
    <n v="0"/>
    <n v="5"/>
    <n v="8"/>
    <n v="0"/>
    <x v="0"/>
    <s v="vs Fanis"/>
    <n v="172"/>
    <n v="0.499"/>
    <n v="42"/>
    <n v="0.372"/>
    <n v="0.79"/>
    <n v="469"/>
    <n v="49"/>
    <n v="138"/>
    <n v="122"/>
    <n v="37"/>
    <n v="24"/>
    <n v="55"/>
    <n v="2.2200000000000002"/>
  </r>
  <r>
    <x v="8"/>
    <x v="0"/>
    <x v="3"/>
    <n v="36"/>
    <x v="27"/>
    <s v="Dimitris"/>
    <n v="0"/>
    <n v="4"/>
    <n v="9"/>
    <n v="0"/>
    <x v="17"/>
    <s v="vs Aris"/>
    <n v="54"/>
    <n v="0.432"/>
    <n v="22"/>
    <n v="0.41499999999999998"/>
    <n v="0.84599999999999997"/>
    <n v="163"/>
    <n v="17"/>
    <n v="48"/>
    <n v="30"/>
    <n v="12"/>
    <n v="8"/>
    <n v="17"/>
    <n v="1.76"/>
  </r>
  <r>
    <x v="8"/>
    <x v="0"/>
    <x v="3"/>
    <n v="36"/>
    <x v="16"/>
    <s v="Aris"/>
    <n v="1"/>
    <n v="9"/>
    <n v="4"/>
    <n v="0"/>
    <x v="27"/>
    <s v="vs Dimitris"/>
    <n v="137"/>
    <n v="0.46899999999999997"/>
    <n v="38"/>
    <n v="0.32500000000000001"/>
    <n v="0.79200000000000004"/>
    <n v="350"/>
    <n v="31"/>
    <n v="101"/>
    <n v="91"/>
    <n v="28"/>
    <n v="14"/>
    <n v="59"/>
    <n v="1.54"/>
  </r>
  <r>
    <x v="8"/>
    <x v="0"/>
    <x v="3"/>
    <n v="37"/>
    <x v="20"/>
    <s v="Guru"/>
    <n v="1"/>
    <n v="8"/>
    <n v="5"/>
    <n v="0"/>
    <x v="28"/>
    <s v="vs Panos"/>
    <n v="193"/>
    <n v="0.46500000000000002"/>
    <n v="65"/>
    <n v="0.35899999999999999"/>
    <n v="0.79400000000000004"/>
    <n v="578"/>
    <n v="35"/>
    <n v="114"/>
    <n v="152"/>
    <n v="39"/>
    <n v="9"/>
    <n v="73"/>
    <n v="2.08"/>
  </r>
  <r>
    <x v="8"/>
    <x v="0"/>
    <x v="3"/>
    <n v="37"/>
    <x v="28"/>
    <s v="Panos"/>
    <n v="0"/>
    <n v="5"/>
    <n v="8"/>
    <n v="0"/>
    <x v="20"/>
    <s v="vs Guru"/>
    <n v="179"/>
    <n v="0.48399999999999999"/>
    <n v="48"/>
    <n v="0.34"/>
    <n v="0.72399999999999998"/>
    <n v="490"/>
    <n v="25"/>
    <n v="150"/>
    <n v="135"/>
    <n v="26"/>
    <n v="23"/>
    <n v="53"/>
    <n v="2.5499999999999998"/>
  </r>
  <r>
    <x v="8"/>
    <x v="0"/>
    <x v="3"/>
    <n v="38"/>
    <x v="24"/>
    <s v="Tolios"/>
    <n v="1"/>
    <n v="8"/>
    <n v="5"/>
    <n v="0"/>
    <x v="6"/>
    <s v="vs Johnny"/>
    <n v="185"/>
    <n v="0.437"/>
    <n v="47"/>
    <n v="0.29199999999999998"/>
    <n v="0.84"/>
    <n v="517"/>
    <n v="34"/>
    <n v="115"/>
    <n v="107"/>
    <n v="39"/>
    <n v="19"/>
    <n v="78"/>
    <n v="1.37"/>
  </r>
  <r>
    <x v="8"/>
    <x v="0"/>
    <x v="3"/>
    <n v="38"/>
    <x v="7"/>
    <s v="Johnny"/>
    <n v="0"/>
    <n v="5"/>
    <n v="8"/>
    <n v="0"/>
    <x v="24"/>
    <s v="vs Tolios"/>
    <n v="127"/>
    <n v="0.496"/>
    <n v="43"/>
    <n v="0.377"/>
    <n v="0.86199999999999999"/>
    <n v="353"/>
    <n v="24"/>
    <n v="96"/>
    <n v="68"/>
    <n v="16"/>
    <n v="16"/>
    <n v="40"/>
    <n v="1.7"/>
  </r>
  <r>
    <x v="8"/>
    <x v="0"/>
    <x v="3"/>
    <n v="39"/>
    <x v="11"/>
    <s v="pi/Sotiris"/>
    <n v="1"/>
    <n v="10"/>
    <n v="3"/>
    <n v="0"/>
    <x v="3"/>
    <s v="vs Fountos"/>
    <n v="227"/>
    <n v="0.50600000000000001"/>
    <n v="60"/>
    <n v="0.36399999999999999"/>
    <n v="0.79400000000000004"/>
    <n v="676"/>
    <n v="53"/>
    <n v="189"/>
    <n v="162"/>
    <n v="35"/>
    <n v="19"/>
    <n v="82"/>
    <n v="1.98"/>
  </r>
  <r>
    <x v="8"/>
    <x v="0"/>
    <x v="3"/>
    <n v="39"/>
    <x v="2"/>
    <s v="Fountos"/>
    <n v="0"/>
    <n v="3"/>
    <n v="10"/>
    <n v="0"/>
    <x v="10"/>
    <s v="vs pi/Sotiris"/>
    <n v="131"/>
    <n v="0.47599999999999998"/>
    <n v="40"/>
    <n v="0.37"/>
    <n v="0.73299999999999998"/>
    <n v="346"/>
    <n v="41"/>
    <n v="99"/>
    <n v="74"/>
    <n v="29"/>
    <n v="12"/>
    <n v="37"/>
    <n v="2"/>
  </r>
  <r>
    <x v="8"/>
    <x v="0"/>
    <x v="3"/>
    <n v="40"/>
    <x v="25"/>
    <s v="Arvanitis"/>
    <n v="1"/>
    <n v="8"/>
    <n v="4"/>
    <n v="1"/>
    <x v="2"/>
    <s v="vs Sakellariou"/>
    <n v="174"/>
    <n v="0.47199999999999998"/>
    <n v="51"/>
    <n v="0.35399999999999998"/>
    <n v="0.75800000000000001"/>
    <n v="474"/>
    <n v="41"/>
    <n v="103"/>
    <n v="116"/>
    <n v="36"/>
    <n v="13"/>
    <n v="49"/>
    <n v="2.37"/>
  </r>
  <r>
    <x v="8"/>
    <x v="0"/>
    <x v="3"/>
    <n v="40"/>
    <x v="3"/>
    <s v="Sakellariou"/>
    <n v="0"/>
    <n v="4"/>
    <n v="8"/>
    <n v="1"/>
    <x v="25"/>
    <s v="vs Arvanitis"/>
    <n v="147"/>
    <n v="0.432"/>
    <n v="52"/>
    <n v="0.33300000000000002"/>
    <n v="0.86099999999999999"/>
    <n v="433"/>
    <n v="40"/>
    <n v="106"/>
    <n v="129"/>
    <n v="35"/>
    <n v="13"/>
    <n v="65"/>
    <n v="1.98"/>
  </r>
  <r>
    <x v="8"/>
    <x v="0"/>
    <x v="4"/>
    <n v="41"/>
    <x v="29"/>
    <s v="Pals"/>
    <n v="0"/>
    <n v="6"/>
    <n v="7"/>
    <n v="0"/>
    <x v="26"/>
    <s v="vs Lafa"/>
    <n v="101"/>
    <n v="0.46300000000000002"/>
    <n v="43"/>
    <n v="0.39100000000000001"/>
    <n v="0.78600000000000003"/>
    <n v="278"/>
    <n v="49"/>
    <n v="80"/>
    <n v="53"/>
    <n v="15"/>
    <n v="16"/>
    <n v="33"/>
    <n v="1.61"/>
  </r>
  <r>
    <x v="8"/>
    <x v="0"/>
    <x v="4"/>
    <n v="41"/>
    <x v="26"/>
    <s v="Lafa"/>
    <n v="1"/>
    <n v="7"/>
    <n v="6"/>
    <n v="0"/>
    <x v="29"/>
    <s v="vs Pals"/>
    <n v="157"/>
    <n v="0.48599999999999999"/>
    <n v="40"/>
    <n v="0.33600000000000002"/>
    <n v="0.77400000000000002"/>
    <n v="460"/>
    <n v="27"/>
    <n v="126"/>
    <n v="103"/>
    <n v="23"/>
    <n v="13"/>
    <n v="58"/>
    <n v="1.78"/>
  </r>
  <r>
    <x v="8"/>
    <x v="0"/>
    <x v="4"/>
    <n v="42"/>
    <x v="12"/>
    <s v="Stavros"/>
    <n v="0"/>
    <n v="3"/>
    <n v="10"/>
    <n v="0"/>
    <x v="21"/>
    <s v="vs Tzokos"/>
    <n v="109"/>
    <n v="0.42399999999999999"/>
    <n v="47"/>
    <n v="0.36399999999999999"/>
    <n v="0.82099999999999995"/>
    <n v="297"/>
    <n v="23"/>
    <n v="85"/>
    <n v="67"/>
    <n v="17"/>
    <n v="10"/>
    <n v="30"/>
    <n v="2.23"/>
  </r>
  <r>
    <x v="8"/>
    <x v="0"/>
    <x v="4"/>
    <n v="42"/>
    <x v="21"/>
    <s v="Tzokos"/>
    <n v="1"/>
    <n v="10"/>
    <n v="3"/>
    <n v="0"/>
    <x v="13"/>
    <s v="vs Stavros"/>
    <n v="170"/>
    <n v="0.48299999999999998"/>
    <n v="50"/>
    <n v="0.43099999999999999"/>
    <n v="0.81499999999999995"/>
    <n v="465"/>
    <n v="62"/>
    <n v="177"/>
    <n v="99"/>
    <n v="34"/>
    <n v="20"/>
    <n v="50"/>
    <n v="1.98"/>
  </r>
  <r>
    <x v="8"/>
    <x v="0"/>
    <x v="4"/>
    <n v="43"/>
    <x v="6"/>
    <s v="Tassos"/>
    <n v="1"/>
    <n v="7"/>
    <n v="6"/>
    <n v="0"/>
    <x v="14"/>
    <s v="vs Vasilis"/>
    <n v="246"/>
    <n v="0.49"/>
    <n v="65"/>
    <n v="0.35099999999999998"/>
    <n v="0.81899999999999995"/>
    <n v="675"/>
    <n v="47"/>
    <n v="160"/>
    <n v="157"/>
    <n v="43"/>
    <n v="28"/>
    <n v="86"/>
    <n v="1.83"/>
  </r>
  <r>
    <x v="8"/>
    <x v="0"/>
    <x v="4"/>
    <n v="43"/>
    <x v="15"/>
    <s v="Vasilis"/>
    <n v="0"/>
    <n v="6"/>
    <n v="7"/>
    <n v="0"/>
    <x v="7"/>
    <s v="vs Tassos"/>
    <n v="197"/>
    <n v="0.52100000000000002"/>
    <n v="71"/>
    <n v="0.41799999999999998"/>
    <n v="0.85399999999999998"/>
    <n v="576"/>
    <n v="20"/>
    <n v="103"/>
    <n v="105"/>
    <n v="42"/>
    <n v="24"/>
    <n v="57"/>
    <n v="1.84"/>
  </r>
  <r>
    <x v="8"/>
    <x v="0"/>
    <x v="4"/>
    <n v="44"/>
    <x v="17"/>
    <s v="Spiridaus/Oladipas"/>
    <n v="0"/>
    <n v="5"/>
    <n v="8"/>
    <n v="0"/>
    <x v="19"/>
    <s v="vs Kotakis"/>
    <n v="161"/>
    <n v="0.503"/>
    <n v="42"/>
    <n v="0.38500000000000001"/>
    <n v="0.77600000000000002"/>
    <n v="402"/>
    <n v="38"/>
    <n v="92"/>
    <n v="99"/>
    <n v="28"/>
    <n v="18"/>
    <n v="43"/>
    <n v="2.2999999999999998"/>
  </r>
  <r>
    <x v="8"/>
    <x v="0"/>
    <x v="4"/>
    <n v="44"/>
    <x v="18"/>
    <s v="Kotakis"/>
    <n v="1"/>
    <n v="8"/>
    <n v="5"/>
    <n v="0"/>
    <x v="16"/>
    <s v="vs Spiridaus/Oladipas"/>
    <n v="120"/>
    <n v="0.51500000000000001"/>
    <n v="46"/>
    <n v="0.40699999999999997"/>
    <n v="0.79"/>
    <n v="350"/>
    <n v="33"/>
    <n v="103"/>
    <n v="106"/>
    <n v="35"/>
    <n v="22"/>
    <n v="55"/>
    <n v="1.93"/>
  </r>
  <r>
    <x v="8"/>
    <x v="0"/>
    <x v="4"/>
    <n v="45"/>
    <x v="16"/>
    <s v="Aris"/>
    <n v="0"/>
    <n v="4"/>
    <n v="9"/>
    <n v="0"/>
    <x v="8"/>
    <s v="vs Ziogas/Christof"/>
    <n v="144"/>
    <n v="0.503"/>
    <n v="44"/>
    <n v="0.379"/>
    <n v="0.76400000000000001"/>
    <n v="387"/>
    <n v="38"/>
    <n v="90"/>
    <n v="70"/>
    <n v="30"/>
    <n v="12"/>
    <n v="51"/>
    <n v="1.37"/>
  </r>
  <r>
    <x v="8"/>
    <x v="0"/>
    <x v="4"/>
    <n v="45"/>
    <x v="9"/>
    <s v="Ziogas/Christof"/>
    <n v="1"/>
    <n v="9"/>
    <n v="4"/>
    <n v="0"/>
    <x v="17"/>
    <s v="vs Aris"/>
    <n v="187"/>
    <n v="0.45600000000000002"/>
    <n v="52"/>
    <n v="0.317"/>
    <n v="0.82899999999999996"/>
    <n v="523"/>
    <n v="52"/>
    <n v="121"/>
    <n v="102"/>
    <n v="27"/>
    <n v="18"/>
    <n v="54"/>
    <n v="1.89"/>
  </r>
  <r>
    <x v="8"/>
    <x v="0"/>
    <x v="4"/>
    <n v="46"/>
    <x v="28"/>
    <s v="Panos"/>
    <n v="0"/>
    <n v="1"/>
    <n v="11"/>
    <n v="1"/>
    <x v="0"/>
    <s v="vs Fanis"/>
    <n v="120"/>
    <n v="0.39900000000000002"/>
    <n v="34"/>
    <n v="0.318"/>
    <n v="0.8"/>
    <n v="342"/>
    <n v="33"/>
    <n v="98"/>
    <n v="104"/>
    <n v="20"/>
    <n v="14"/>
    <n v="58"/>
    <n v="1.79"/>
  </r>
  <r>
    <x v="8"/>
    <x v="0"/>
    <x v="4"/>
    <n v="46"/>
    <x v="1"/>
    <s v="Fanis"/>
    <n v="1"/>
    <n v="11"/>
    <n v="1"/>
    <n v="1"/>
    <x v="28"/>
    <s v="vs Panos"/>
    <n v="177"/>
    <n v="0.51800000000000002"/>
    <n v="35"/>
    <n v="0.39800000000000002"/>
    <n v="0.72499999999999998"/>
    <n v="468"/>
    <n v="55"/>
    <n v="157"/>
    <n v="115"/>
    <n v="25"/>
    <n v="20"/>
    <n v="58"/>
    <n v="1.98"/>
  </r>
  <r>
    <x v="8"/>
    <x v="0"/>
    <x v="4"/>
    <n v="47"/>
    <x v="7"/>
    <s v="Johnny"/>
    <n v="1"/>
    <n v="9"/>
    <n v="3"/>
    <n v="1"/>
    <x v="27"/>
    <s v="vs Dimitris"/>
    <n v="125"/>
    <n v="0.47899999999999998"/>
    <n v="56"/>
    <n v="0.41199999999999998"/>
    <n v="0.86299999999999999"/>
    <n v="350"/>
    <n v="32"/>
    <n v="90"/>
    <n v="67"/>
    <n v="22"/>
    <n v="17"/>
    <n v="38"/>
    <n v="1.76"/>
  </r>
  <r>
    <x v="8"/>
    <x v="0"/>
    <x v="4"/>
    <n v="47"/>
    <x v="27"/>
    <s v="Dimitris"/>
    <n v="0"/>
    <n v="3"/>
    <n v="9"/>
    <n v="1"/>
    <x v="6"/>
    <s v="vs Johnny"/>
    <n v="103"/>
    <n v="0.51200000000000001"/>
    <n v="30"/>
    <n v="0.4"/>
    <n v="0.72799999999999998"/>
    <n v="295"/>
    <n v="43"/>
    <n v="70"/>
    <n v="56"/>
    <n v="17"/>
    <n v="18"/>
    <n v="38"/>
    <n v="1.47"/>
  </r>
  <r>
    <x v="8"/>
    <x v="0"/>
    <x v="4"/>
    <n v="48"/>
    <x v="2"/>
    <s v="Fountos"/>
    <n v="0"/>
    <n v="5"/>
    <n v="8"/>
    <n v="0"/>
    <x v="20"/>
    <s v="vs Guru"/>
    <n v="134"/>
    <n v="0.53600000000000003"/>
    <n v="42"/>
    <n v="0.40799999999999997"/>
    <n v="0.75"/>
    <n v="370"/>
    <n v="29"/>
    <n v="91"/>
    <n v="87"/>
    <n v="19"/>
    <n v="6"/>
    <n v="40"/>
    <n v="2.17"/>
  </r>
  <r>
    <x v="8"/>
    <x v="0"/>
    <x v="4"/>
    <n v="48"/>
    <x v="20"/>
    <s v="Guru"/>
    <n v="1"/>
    <n v="8"/>
    <n v="5"/>
    <n v="0"/>
    <x v="3"/>
    <s v="vs Fountos"/>
    <n v="202"/>
    <n v="0.501"/>
    <n v="63"/>
    <n v="0.38900000000000001"/>
    <n v="0.746"/>
    <n v="567"/>
    <n v="48"/>
    <n v="113"/>
    <n v="113"/>
    <n v="35"/>
    <n v="14"/>
    <n v="61"/>
    <n v="1.85"/>
  </r>
  <r>
    <x v="8"/>
    <x v="0"/>
    <x v="4"/>
    <n v="49"/>
    <x v="3"/>
    <s v="Sakellariou"/>
    <n v="1"/>
    <n v="11"/>
    <n v="2"/>
    <n v="0"/>
    <x v="24"/>
    <s v="vs Tolios"/>
    <n v="160"/>
    <n v="0.48299999999999998"/>
    <n v="54"/>
    <n v="0.37"/>
    <n v="0.78100000000000003"/>
    <n v="481"/>
    <n v="35"/>
    <n v="108"/>
    <n v="92"/>
    <n v="32"/>
    <n v="18"/>
    <n v="50"/>
    <n v="1.84"/>
  </r>
  <r>
    <x v="8"/>
    <x v="0"/>
    <x v="4"/>
    <n v="49"/>
    <x v="24"/>
    <s v="Tolios"/>
    <n v="0"/>
    <n v="2"/>
    <n v="11"/>
    <n v="0"/>
    <x v="2"/>
    <s v="vs Sakellariou"/>
    <n v="142"/>
    <n v="0.39200000000000002"/>
    <n v="32"/>
    <n v="0.26700000000000002"/>
    <n v="0.78600000000000003"/>
    <n v="404"/>
    <n v="29"/>
    <n v="111"/>
    <n v="81"/>
    <n v="23"/>
    <n v="13"/>
    <n v="54"/>
    <n v="1.5"/>
  </r>
  <r>
    <x v="8"/>
    <x v="0"/>
    <x v="4"/>
    <n v="50"/>
    <x v="25"/>
    <s v="Arvanitis"/>
    <n v="0"/>
    <n v="6"/>
    <n v="7"/>
    <n v="0"/>
    <x v="10"/>
    <s v="vs pi/Sotiris"/>
    <n v="181"/>
    <n v="0.55000000000000004"/>
    <n v="43"/>
    <n v="0.41699999999999998"/>
    <n v="0.79400000000000004"/>
    <n v="490"/>
    <n v="42"/>
    <n v="122"/>
    <n v="86"/>
    <n v="30"/>
    <n v="22"/>
    <n v="50"/>
    <n v="1.72"/>
  </r>
  <r>
    <x v="8"/>
    <x v="0"/>
    <x v="4"/>
    <n v="50"/>
    <x v="11"/>
    <s v="pi/Sotiris"/>
    <n v="1"/>
    <n v="7"/>
    <n v="6"/>
    <n v="0"/>
    <x v="25"/>
    <s v="vs Arvanitis"/>
    <n v="207"/>
    <n v="0.52900000000000003"/>
    <n v="59"/>
    <n v="0.41499999999999998"/>
    <n v="0.78800000000000003"/>
    <n v="581"/>
    <n v="57"/>
    <n v="146"/>
    <n v="155"/>
    <n v="28"/>
    <n v="9"/>
    <n v="79"/>
    <n v="1.96"/>
  </r>
  <r>
    <x v="8"/>
    <x v="0"/>
    <x v="5"/>
    <n v="51"/>
    <x v="26"/>
    <s v="Lafa"/>
    <n v="1"/>
    <n v="7"/>
    <n v="6"/>
    <n v="0"/>
    <x v="13"/>
    <s v="vs Stavros"/>
    <n v="184"/>
    <n v="0.48199999999999998"/>
    <n v="57"/>
    <n v="0.36299999999999999"/>
    <n v="0.80100000000000005"/>
    <n v="546"/>
    <n v="36"/>
    <n v="115"/>
    <n v="122"/>
    <n v="22"/>
    <n v="19"/>
    <n v="53"/>
    <n v="2.2999999999999998"/>
  </r>
  <r>
    <x v="8"/>
    <x v="0"/>
    <x v="5"/>
    <n v="51"/>
    <x v="12"/>
    <s v="Stavros"/>
    <n v="0"/>
    <n v="6"/>
    <n v="7"/>
    <n v="0"/>
    <x v="26"/>
    <s v="vs Lafa"/>
    <n v="121"/>
    <n v="0.5"/>
    <n v="60"/>
    <n v="0.49199999999999999"/>
    <n v="0.84899999999999998"/>
    <n v="347"/>
    <n v="24"/>
    <n v="83"/>
    <n v="80"/>
    <n v="25"/>
    <n v="6"/>
    <n v="43"/>
    <n v="1.86"/>
  </r>
  <r>
    <x v="8"/>
    <x v="0"/>
    <x v="5"/>
    <n v="52"/>
    <x v="29"/>
    <s v="Pals"/>
    <n v="0"/>
    <n v="3"/>
    <n v="10"/>
    <n v="0"/>
    <x v="7"/>
    <s v="vs Tassos"/>
    <n v="131"/>
    <n v="0.44700000000000001"/>
    <n v="48"/>
    <n v="0.34300000000000003"/>
    <n v="0.78300000000000003"/>
    <n v="375"/>
    <n v="51"/>
    <n v="111"/>
    <n v="67"/>
    <n v="34"/>
    <n v="20"/>
    <n v="41"/>
    <n v="1.63"/>
  </r>
  <r>
    <x v="8"/>
    <x v="0"/>
    <x v="5"/>
    <n v="52"/>
    <x v="6"/>
    <s v="Tassos"/>
    <n v="1"/>
    <n v="10"/>
    <n v="3"/>
    <n v="0"/>
    <x v="29"/>
    <s v="vs Pals"/>
    <n v="211"/>
    <n v="0.46700000000000003"/>
    <n v="59"/>
    <n v="0.38800000000000001"/>
    <n v="0.79700000000000004"/>
    <n v="607"/>
    <n v="43"/>
    <n v="151"/>
    <n v="139"/>
    <n v="25"/>
    <n v="34"/>
    <n v="73"/>
    <n v="1.9"/>
  </r>
  <r>
    <x v="8"/>
    <x v="0"/>
    <x v="5"/>
    <n v="53"/>
    <x v="21"/>
    <s v="Tzokos"/>
    <n v="0"/>
    <n v="3"/>
    <n v="9"/>
    <n v="1"/>
    <x v="16"/>
    <s v="vs Spiridaus/Oladipas"/>
    <n v="150"/>
    <n v="0.46600000000000003"/>
    <n v="43"/>
    <n v="0.34100000000000003"/>
    <n v="0.79800000000000004"/>
    <n v="410"/>
    <n v="49"/>
    <n v="141"/>
    <n v="74"/>
    <n v="22"/>
    <n v="22"/>
    <n v="48"/>
    <n v="1.54"/>
  </r>
  <r>
    <x v="8"/>
    <x v="0"/>
    <x v="5"/>
    <n v="53"/>
    <x v="17"/>
    <s v="Spiridaus/Oladipas"/>
    <n v="1"/>
    <n v="9"/>
    <n v="3"/>
    <n v="1"/>
    <x v="21"/>
    <s v="vs Tzokos"/>
    <n v="172"/>
    <n v="0.46400000000000002"/>
    <n v="51"/>
    <n v="0.34899999999999998"/>
    <n v="0.86699999999999999"/>
    <n v="473"/>
    <n v="49"/>
    <n v="120"/>
    <n v="159"/>
    <n v="43"/>
    <n v="26"/>
    <n v="79"/>
    <n v="2.0099999999999998"/>
  </r>
  <r>
    <x v="8"/>
    <x v="0"/>
    <x v="5"/>
    <n v="54"/>
    <x v="15"/>
    <s v="Vasilis"/>
    <n v="1"/>
    <n v="9"/>
    <n v="4"/>
    <n v="0"/>
    <x v="17"/>
    <s v="vs Aris"/>
    <n v="178"/>
    <n v="0.46100000000000002"/>
    <n v="69"/>
    <n v="0.36899999999999999"/>
    <n v="0.85"/>
    <n v="521"/>
    <n v="15"/>
    <n v="97"/>
    <n v="92"/>
    <n v="36"/>
    <n v="7"/>
    <n v="42"/>
    <n v="2.19"/>
  </r>
  <r>
    <x v="8"/>
    <x v="0"/>
    <x v="5"/>
    <n v="54"/>
    <x v="16"/>
    <s v="Aris"/>
    <n v="0"/>
    <n v="4"/>
    <n v="9"/>
    <n v="0"/>
    <x v="14"/>
    <s v="vs Vasilis"/>
    <n v="152"/>
    <n v="0.48099999999999998"/>
    <n v="35"/>
    <n v="0.35399999999999998"/>
    <n v="0.73699999999999999"/>
    <n v="409"/>
    <n v="31"/>
    <n v="104"/>
    <n v="80"/>
    <n v="22"/>
    <n v="20"/>
    <n v="48"/>
    <n v="1.67"/>
  </r>
  <r>
    <x v="8"/>
    <x v="0"/>
    <x v="5"/>
    <n v="55"/>
    <x v="18"/>
    <s v="Kotakis"/>
    <n v="1"/>
    <n v="9"/>
    <n v="1"/>
    <n v="3"/>
    <x v="28"/>
    <s v="vs Panos"/>
    <n v="133"/>
    <n v="0.46200000000000002"/>
    <n v="61"/>
    <n v="0.39900000000000002"/>
    <n v="0.91300000000000003"/>
    <n v="369"/>
    <n v="37"/>
    <n v="96"/>
    <n v="68"/>
    <n v="36"/>
    <n v="19"/>
    <n v="40"/>
    <n v="1.7"/>
  </r>
  <r>
    <x v="8"/>
    <x v="0"/>
    <x v="5"/>
    <n v="55"/>
    <x v="28"/>
    <s v="Panos"/>
    <n v="0"/>
    <n v="1"/>
    <n v="9"/>
    <n v="3"/>
    <x v="19"/>
    <s v="vs Kotakis"/>
    <n v="114"/>
    <n v="0.46300000000000002"/>
    <n v="31"/>
    <n v="0.33700000000000002"/>
    <n v="0.66700000000000004"/>
    <n v="309"/>
    <n v="28"/>
    <n v="86"/>
    <n v="68"/>
    <n v="26"/>
    <n v="11"/>
    <n v="40"/>
    <n v="1.7"/>
  </r>
  <r>
    <x v="8"/>
    <x v="0"/>
    <x v="5"/>
    <n v="56"/>
    <x v="9"/>
    <s v="Ziogas/Christof"/>
    <n v="1"/>
    <n v="10"/>
    <n v="3"/>
    <n v="0"/>
    <x v="6"/>
    <s v="vs Johnny"/>
    <n v="177"/>
    <n v="0.45700000000000002"/>
    <n v="55"/>
    <n v="0.33700000000000002"/>
    <n v="0.8"/>
    <n v="497"/>
    <n v="57"/>
    <n v="158"/>
    <n v="119"/>
    <n v="33"/>
    <n v="14"/>
    <n v="63"/>
    <n v="1.89"/>
  </r>
  <r>
    <x v="8"/>
    <x v="0"/>
    <x v="5"/>
    <n v="56"/>
    <x v="7"/>
    <s v="Johnny"/>
    <n v="0"/>
    <n v="3"/>
    <n v="10"/>
    <n v="0"/>
    <x v="8"/>
    <s v="vs Ziogas/Christof"/>
    <n v="123"/>
    <n v="0.44400000000000001"/>
    <n v="46"/>
    <n v="0.34100000000000003"/>
    <n v="0.72499999999999998"/>
    <n v="350"/>
    <n v="20"/>
    <n v="80"/>
    <n v="86"/>
    <n v="18"/>
    <n v="11"/>
    <n v="40"/>
    <n v="2.15"/>
  </r>
  <r>
    <x v="8"/>
    <x v="0"/>
    <x v="5"/>
    <n v="57"/>
    <x v="1"/>
    <s v="Fanis"/>
    <n v="1"/>
    <n v="10"/>
    <n v="1"/>
    <n v="2"/>
    <x v="3"/>
    <s v="vs Fountos"/>
    <n v="184"/>
    <n v="0.497"/>
    <n v="48"/>
    <n v="0.372"/>
    <n v="0.79500000000000004"/>
    <n v="474"/>
    <n v="51"/>
    <n v="130"/>
    <n v="93"/>
    <n v="35"/>
    <n v="17"/>
    <n v="46"/>
    <n v="2.02"/>
  </r>
  <r>
    <x v="8"/>
    <x v="0"/>
    <x v="5"/>
    <n v="57"/>
    <x v="2"/>
    <s v="Fountos"/>
    <n v="0"/>
    <n v="1"/>
    <n v="10"/>
    <n v="2"/>
    <x v="0"/>
    <s v="vs Fanis"/>
    <n v="129"/>
    <n v="0.45600000000000002"/>
    <n v="39"/>
    <n v="0.33100000000000002"/>
    <n v="0.73799999999999999"/>
    <n v="345"/>
    <n v="54"/>
    <n v="109"/>
    <n v="65"/>
    <n v="18"/>
    <n v="17"/>
    <n v="46"/>
    <n v="1.41"/>
  </r>
  <r>
    <x v="8"/>
    <x v="0"/>
    <x v="5"/>
    <n v="58"/>
    <x v="27"/>
    <s v="Dimitris"/>
    <n v="0"/>
    <n v="5"/>
    <n v="8"/>
    <n v="0"/>
    <x v="2"/>
    <s v="vs Sakellariou"/>
    <n v="119"/>
    <n v="0.52200000000000002"/>
    <n v="29"/>
    <n v="0.38200000000000001"/>
    <n v="0.75"/>
    <n v="312"/>
    <n v="30"/>
    <n v="93"/>
    <n v="45"/>
    <n v="11"/>
    <n v="17"/>
    <n v="40"/>
    <n v="1.1299999999999999"/>
  </r>
  <r>
    <x v="8"/>
    <x v="0"/>
    <x v="5"/>
    <n v="58"/>
    <x v="3"/>
    <s v="Sakellariou"/>
    <n v="1"/>
    <n v="8"/>
    <n v="5"/>
    <n v="0"/>
    <x v="27"/>
    <s v="vs Dimitris"/>
    <n v="185"/>
    <n v="0.44400000000000001"/>
    <n v="52"/>
    <n v="0.315"/>
    <n v="0.88700000000000001"/>
    <n v="532"/>
    <n v="27"/>
    <n v="105"/>
    <n v="116"/>
    <n v="36"/>
    <n v="8"/>
    <n v="70"/>
    <n v="1.66"/>
  </r>
  <r>
    <x v="8"/>
    <x v="0"/>
    <x v="5"/>
    <n v="59"/>
    <x v="20"/>
    <s v="Guru"/>
    <n v="0"/>
    <n v="6"/>
    <n v="7"/>
    <n v="0"/>
    <x v="25"/>
    <s v="vs Arvanitis"/>
    <n v="178"/>
    <n v="0.46500000000000002"/>
    <n v="56"/>
    <n v="0.36799999999999999"/>
    <n v="0.75800000000000001"/>
    <n v="506"/>
    <n v="45"/>
    <n v="139"/>
    <n v="123"/>
    <n v="34"/>
    <n v="13"/>
    <n v="57"/>
    <n v="2.16"/>
  </r>
  <r>
    <x v="8"/>
    <x v="0"/>
    <x v="5"/>
    <n v="59"/>
    <x v="25"/>
    <s v="Arvanitis"/>
    <n v="1"/>
    <n v="7"/>
    <n v="6"/>
    <n v="0"/>
    <x v="20"/>
    <s v="vs Guru"/>
    <n v="176"/>
    <n v="0.501"/>
    <n v="37"/>
    <n v="0.34899999999999998"/>
    <n v="0.77700000000000002"/>
    <n v="469"/>
    <n v="61"/>
    <n v="153"/>
    <n v="97"/>
    <n v="38"/>
    <n v="18"/>
    <n v="55"/>
    <n v="1.76"/>
  </r>
  <r>
    <x v="8"/>
    <x v="0"/>
    <x v="5"/>
    <n v="60"/>
    <x v="24"/>
    <s v="Tolios"/>
    <n v="0"/>
    <n v="4"/>
    <n v="7"/>
    <n v="2"/>
    <x v="10"/>
    <s v="vs pi/Sotiris"/>
    <n v="153"/>
    <n v="0.47699999999999998"/>
    <n v="38"/>
    <n v="0.31900000000000001"/>
    <n v="0.85199999999999998"/>
    <n v="453"/>
    <n v="32"/>
    <n v="107"/>
    <n v="76"/>
    <n v="18"/>
    <n v="19"/>
    <n v="47"/>
    <n v="1.62"/>
  </r>
  <r>
    <x v="8"/>
    <x v="0"/>
    <x v="5"/>
    <n v="60"/>
    <x v="11"/>
    <s v="pi/Sotiris"/>
    <n v="1"/>
    <n v="7"/>
    <n v="4"/>
    <n v="2"/>
    <x v="24"/>
    <s v="vs Tolios"/>
    <n v="153"/>
    <n v="0.53700000000000003"/>
    <n v="54"/>
    <n v="0.40600000000000003"/>
    <n v="0.82199999999999995"/>
    <n v="443"/>
    <n v="32"/>
    <n v="125"/>
    <n v="122"/>
    <n v="22"/>
    <n v="11"/>
    <n v="55"/>
    <n v="2.2200000000000002"/>
  </r>
  <r>
    <x v="8"/>
    <x v="0"/>
    <x v="6"/>
    <n v="61"/>
    <x v="6"/>
    <s v="Tassos"/>
    <n v="1"/>
    <n v="11"/>
    <n v="2"/>
    <n v="0"/>
    <x v="26"/>
    <s v="vs Lafa"/>
    <n v="254"/>
    <n v="0.502"/>
    <n v="64"/>
    <n v="0.38100000000000001"/>
    <n v="0.86199999999999999"/>
    <n v="697"/>
    <n v="35"/>
    <n v="151"/>
    <n v="182"/>
    <n v="44"/>
    <n v="31"/>
    <n v="65"/>
    <n v="2.8"/>
  </r>
  <r>
    <x v="8"/>
    <x v="0"/>
    <x v="6"/>
    <n v="61"/>
    <x v="26"/>
    <s v="Lafa"/>
    <n v="0"/>
    <n v="2"/>
    <n v="11"/>
    <n v="0"/>
    <x v="7"/>
    <s v="vs Tassos"/>
    <n v="184"/>
    <n v="0.504"/>
    <n v="39"/>
    <n v="0.315"/>
    <n v="0.77900000000000003"/>
    <n v="523"/>
    <n v="36"/>
    <n v="127"/>
    <n v="124"/>
    <n v="34"/>
    <n v="25"/>
    <n v="68"/>
    <n v="1.82"/>
  </r>
  <r>
    <x v="8"/>
    <x v="0"/>
    <x v="6"/>
    <n v="62"/>
    <x v="17"/>
    <s v="Spiridaus/Oladipas"/>
    <n v="0"/>
    <n v="4"/>
    <n v="9"/>
    <n v="0"/>
    <x v="13"/>
    <s v="vs Stavros"/>
    <n v="124"/>
    <n v="0.45900000000000002"/>
    <n v="36"/>
    <n v="0.35599999999999998"/>
    <n v="0.76800000000000002"/>
    <n v="327"/>
    <n v="26"/>
    <n v="87"/>
    <n v="99"/>
    <n v="19"/>
    <n v="17"/>
    <n v="53"/>
    <n v="1.87"/>
  </r>
  <r>
    <x v="8"/>
    <x v="0"/>
    <x v="6"/>
    <n v="62"/>
    <x v="12"/>
    <s v="Stavros"/>
    <n v="1"/>
    <n v="9"/>
    <n v="4"/>
    <n v="0"/>
    <x v="16"/>
    <s v="vs Spiridaus/Oladipas"/>
    <n v="183"/>
    <n v="0.45900000000000002"/>
    <n v="61"/>
    <n v="0.37"/>
    <n v="0.83699999999999997"/>
    <n v="499"/>
    <n v="39"/>
    <n v="120"/>
    <n v="115"/>
    <n v="23"/>
    <n v="15"/>
    <n v="67"/>
    <n v="1.72"/>
  </r>
  <r>
    <x v="8"/>
    <x v="0"/>
    <x v="6"/>
    <n v="63"/>
    <x v="16"/>
    <s v="Aris"/>
    <n v="0"/>
    <n v="6"/>
    <n v="7"/>
    <n v="0"/>
    <x v="29"/>
    <s v="vs Pals"/>
    <n v="140"/>
    <n v="0.42"/>
    <n v="35"/>
    <n v="0.32700000000000001"/>
    <n v="0.76400000000000001"/>
    <n v="357"/>
    <n v="37"/>
    <n v="125"/>
    <n v="73"/>
    <n v="20"/>
    <n v="12"/>
    <n v="43"/>
    <n v="1.7"/>
  </r>
  <r>
    <x v="8"/>
    <x v="0"/>
    <x v="6"/>
    <n v="63"/>
    <x v="29"/>
    <s v="Pals"/>
    <n v="1"/>
    <n v="7"/>
    <n v="6"/>
    <n v="0"/>
    <x v="17"/>
    <s v="vs Aris"/>
    <n v="128"/>
    <n v="0.49"/>
    <n v="47"/>
    <n v="0.38500000000000001"/>
    <n v="0.69199999999999995"/>
    <n v="348"/>
    <n v="56"/>
    <n v="112"/>
    <n v="83"/>
    <n v="22"/>
    <n v="15"/>
    <n v="54"/>
    <n v="1.54"/>
  </r>
  <r>
    <x v="8"/>
    <x v="0"/>
    <x v="6"/>
    <n v="64"/>
    <x v="28"/>
    <s v="Panos"/>
    <n v="0"/>
    <n v="4"/>
    <n v="9"/>
    <n v="0"/>
    <x v="21"/>
    <s v="vs Tzokos"/>
    <n v="149"/>
    <n v="0.42899999999999999"/>
    <n v="54"/>
    <n v="0.38800000000000001"/>
    <n v="0.80200000000000005"/>
    <n v="425"/>
    <n v="36"/>
    <n v="119"/>
    <n v="139"/>
    <n v="30"/>
    <n v="17"/>
    <n v="68"/>
    <n v="2.04"/>
  </r>
  <r>
    <x v="8"/>
    <x v="0"/>
    <x v="6"/>
    <n v="64"/>
    <x v="21"/>
    <s v="Tzokos"/>
    <n v="1"/>
    <n v="9"/>
    <n v="4"/>
    <n v="0"/>
    <x v="28"/>
    <s v="vs Panos"/>
    <n v="156"/>
    <n v="0.47399999999999998"/>
    <n v="51"/>
    <n v="0.38300000000000001"/>
    <n v="0.81499999999999995"/>
    <n v="416"/>
    <n v="46"/>
    <n v="153"/>
    <n v="107"/>
    <n v="32"/>
    <n v="26"/>
    <n v="48"/>
    <n v="2.23"/>
  </r>
  <r>
    <x v="8"/>
    <x v="0"/>
    <x v="6"/>
    <n v="65"/>
    <x v="7"/>
    <s v="Johnny"/>
    <n v="0"/>
    <n v="2"/>
    <n v="11"/>
    <n v="0"/>
    <x v="14"/>
    <s v="vs Vasilis"/>
    <n v="155"/>
    <n v="0.48299999999999998"/>
    <n v="51"/>
    <n v="0.35899999999999999"/>
    <n v="0.86699999999999999"/>
    <n v="439"/>
    <n v="27"/>
    <n v="110"/>
    <n v="97"/>
    <n v="19"/>
    <n v="19"/>
    <n v="64"/>
    <n v="1.52"/>
  </r>
  <r>
    <x v="8"/>
    <x v="0"/>
    <x v="6"/>
    <n v="65"/>
    <x v="15"/>
    <s v="Vasilis"/>
    <n v="1"/>
    <n v="11"/>
    <n v="2"/>
    <n v="0"/>
    <x v="6"/>
    <s v="vs Johnny"/>
    <n v="181"/>
    <n v="0.50600000000000001"/>
    <n v="61"/>
    <n v="0.44900000000000001"/>
    <n v="0.83199999999999996"/>
    <n v="502"/>
    <n v="34"/>
    <n v="124"/>
    <n v="85"/>
    <n v="25"/>
    <n v="21"/>
    <n v="36"/>
    <n v="2.36"/>
  </r>
  <r>
    <x v="8"/>
    <x v="0"/>
    <x v="6"/>
    <n v="66"/>
    <x v="2"/>
    <s v="Fountos"/>
    <n v="0"/>
    <n v="2"/>
    <n v="11"/>
    <n v="0"/>
    <x v="19"/>
    <s v="vs Kotakis"/>
    <n v="104"/>
    <n v="0.45400000000000001"/>
    <n v="25"/>
    <n v="0.30099999999999999"/>
    <n v="0.8"/>
    <n v="297"/>
    <n v="35"/>
    <n v="95"/>
    <n v="64"/>
    <n v="18"/>
    <n v="5"/>
    <n v="42"/>
    <n v="1.52"/>
  </r>
  <r>
    <x v="8"/>
    <x v="0"/>
    <x v="6"/>
    <n v="66"/>
    <x v="18"/>
    <s v="Kotakis"/>
    <n v="1"/>
    <n v="11"/>
    <n v="2"/>
    <n v="0"/>
    <x v="3"/>
    <s v="vs Fountos"/>
    <n v="159"/>
    <n v="0.47199999999999998"/>
    <n v="75"/>
    <n v="0.40799999999999997"/>
    <n v="0.77600000000000002"/>
    <n v="445"/>
    <n v="32"/>
    <n v="96"/>
    <n v="85"/>
    <n v="37"/>
    <n v="17"/>
    <n v="36"/>
    <n v="2.36"/>
  </r>
  <r>
    <x v="8"/>
    <x v="0"/>
    <x v="6"/>
    <n v="67"/>
    <x v="3"/>
    <s v="Sakellariou"/>
    <n v="0"/>
    <n v="6"/>
    <n v="7"/>
    <n v="0"/>
    <x v="8"/>
    <s v="vs Ziogas/Christof"/>
    <n v="210"/>
    <n v="0.46899999999999997"/>
    <n v="56"/>
    <n v="0.33100000000000002"/>
    <n v="0.79600000000000004"/>
    <n v="566"/>
    <n v="51"/>
    <n v="139"/>
    <n v="117"/>
    <n v="45"/>
    <n v="16"/>
    <n v="59"/>
    <n v="1.98"/>
  </r>
  <r>
    <x v="8"/>
    <x v="0"/>
    <x v="6"/>
    <n v="67"/>
    <x v="9"/>
    <s v="Ziogas/Christof"/>
    <n v="1"/>
    <n v="7"/>
    <n v="6"/>
    <n v="0"/>
    <x v="2"/>
    <s v="vs Sakellariou"/>
    <n v="190"/>
    <n v="0.47599999999999998"/>
    <n v="53"/>
    <n v="0.34399999999999997"/>
    <n v="0.83099999999999996"/>
    <n v="531"/>
    <n v="45"/>
    <n v="154"/>
    <n v="133"/>
    <n v="29"/>
    <n v="10"/>
    <n v="50"/>
    <n v="2.66"/>
  </r>
  <r>
    <x v="8"/>
    <x v="0"/>
    <x v="6"/>
    <n v="68"/>
    <x v="25"/>
    <s v="Arvanitis"/>
    <n v="0"/>
    <n v="3"/>
    <n v="9"/>
    <n v="1"/>
    <x v="0"/>
    <s v="vs Fanis"/>
    <n v="174"/>
    <n v="0.50900000000000001"/>
    <n v="38"/>
    <n v="0.39200000000000002"/>
    <n v="0.77500000000000002"/>
    <n v="465"/>
    <n v="34"/>
    <n v="119"/>
    <n v="65"/>
    <n v="29"/>
    <n v="32"/>
    <n v="49"/>
    <n v="1.33"/>
  </r>
  <r>
    <x v="8"/>
    <x v="0"/>
    <x v="6"/>
    <n v="68"/>
    <x v="1"/>
    <s v="Fanis"/>
    <n v="1"/>
    <n v="9"/>
    <n v="3"/>
    <n v="1"/>
    <x v="25"/>
    <s v="vs Arvanitis"/>
    <n v="225"/>
    <n v="0.48699999999999999"/>
    <n v="56"/>
    <n v="0.33700000000000002"/>
    <n v="0.78900000000000003"/>
    <n v="603"/>
    <n v="48"/>
    <n v="162"/>
    <n v="133"/>
    <n v="39"/>
    <n v="32"/>
    <n v="60"/>
    <n v="2.2200000000000002"/>
  </r>
  <r>
    <x v="8"/>
    <x v="0"/>
    <x v="6"/>
    <n v="69"/>
    <x v="11"/>
    <s v="pi/Sotiris"/>
    <n v="1"/>
    <n v="10"/>
    <n v="3"/>
    <n v="0"/>
    <x v="27"/>
    <s v="vs Dimitris"/>
    <n v="198"/>
    <n v="0.501"/>
    <n v="66"/>
    <n v="0.40500000000000003"/>
    <n v="0.74099999999999999"/>
    <n v="562"/>
    <n v="34"/>
    <n v="153"/>
    <n v="145"/>
    <n v="24"/>
    <n v="16"/>
    <n v="80"/>
    <n v="1.81"/>
  </r>
  <r>
    <x v="8"/>
    <x v="0"/>
    <x v="6"/>
    <n v="69"/>
    <x v="27"/>
    <s v="Dimitris"/>
    <n v="0"/>
    <n v="3"/>
    <n v="10"/>
    <n v="0"/>
    <x v="10"/>
    <s v="vs pi/Sotiris"/>
    <n v="111"/>
    <n v="0.46800000000000003"/>
    <n v="36"/>
    <n v="0.40899999999999997"/>
    <n v="0.82399999999999995"/>
    <n v="314"/>
    <n v="32"/>
    <n v="101"/>
    <n v="60"/>
    <n v="18"/>
    <n v="11"/>
    <n v="56"/>
    <n v="1.07"/>
  </r>
  <r>
    <x v="8"/>
    <x v="0"/>
    <x v="6"/>
    <n v="70"/>
    <x v="24"/>
    <s v="Tolios"/>
    <n v="0"/>
    <n v="4"/>
    <n v="9"/>
    <n v="0"/>
    <x v="20"/>
    <s v="vs Guru"/>
    <n v="142"/>
    <n v="0.46100000000000002"/>
    <n v="27"/>
    <n v="0.3"/>
    <n v="0.81499999999999995"/>
    <n v="364"/>
    <n v="36"/>
    <n v="110"/>
    <n v="71"/>
    <n v="25"/>
    <n v="14"/>
    <n v="43"/>
    <n v="1.65"/>
  </r>
  <r>
    <x v="8"/>
    <x v="0"/>
    <x v="6"/>
    <n v="70"/>
    <x v="20"/>
    <s v="Guru"/>
    <n v="1"/>
    <n v="9"/>
    <n v="4"/>
    <n v="0"/>
    <x v="24"/>
    <s v="vs Tolios"/>
    <n v="206"/>
    <n v="0.49"/>
    <n v="62"/>
    <n v="0.36"/>
    <n v="0.79900000000000004"/>
    <n v="581"/>
    <n v="39"/>
    <n v="97"/>
    <n v="121"/>
    <n v="22"/>
    <n v="16"/>
    <n v="55"/>
    <n v="2.2000000000000002"/>
  </r>
  <r>
    <x v="8"/>
    <x v="0"/>
    <x v="7"/>
    <n v="71"/>
    <x v="26"/>
    <s v="Lafa"/>
    <n v="1"/>
    <n v="8"/>
    <n v="5"/>
    <n v="0"/>
    <x v="16"/>
    <s v="vs Spiridaus/Oladipas"/>
    <n v="273"/>
    <n v="0.46899999999999997"/>
    <n v="53"/>
    <n v="0.29599999999999999"/>
    <n v="0.76600000000000001"/>
    <n v="779"/>
    <n v="52"/>
    <n v="197"/>
    <n v="181"/>
    <n v="46"/>
    <n v="26"/>
    <n v="93"/>
    <n v="1.95"/>
  </r>
  <r>
    <x v="8"/>
    <x v="0"/>
    <x v="7"/>
    <n v="71"/>
    <x v="17"/>
    <s v="Spiridaus/Oladipas"/>
    <n v="0"/>
    <n v="5"/>
    <n v="8"/>
    <n v="0"/>
    <x v="26"/>
    <s v="vs Lafa"/>
    <n v="145"/>
    <n v="0.39600000000000002"/>
    <n v="49"/>
    <n v="0.34300000000000003"/>
    <n v="0.79700000000000004"/>
    <n v="394"/>
    <n v="63"/>
    <n v="151"/>
    <n v="127"/>
    <n v="37"/>
    <n v="30"/>
    <n v="79"/>
    <n v="1.61"/>
  </r>
  <r>
    <x v="8"/>
    <x v="0"/>
    <x v="7"/>
    <n v="72"/>
    <x v="6"/>
    <s v="Tassos"/>
    <n v="1"/>
    <n v="8"/>
    <n v="5"/>
    <n v="0"/>
    <x v="17"/>
    <s v="vs Aris"/>
    <n v="250"/>
    <n v="0.46500000000000002"/>
    <n v="79"/>
    <n v="0.39300000000000002"/>
    <n v="0.80400000000000005"/>
    <n v="710"/>
    <n v="34"/>
    <n v="161"/>
    <n v="172"/>
    <n v="35"/>
    <n v="34"/>
    <n v="75"/>
    <n v="2.29"/>
  </r>
  <r>
    <x v="8"/>
    <x v="0"/>
    <x v="7"/>
    <n v="72"/>
    <x v="16"/>
    <s v="Aris"/>
    <n v="0"/>
    <n v="5"/>
    <n v="8"/>
    <n v="0"/>
    <x v="7"/>
    <s v="vs Tassos"/>
    <n v="196"/>
    <n v="0.46800000000000003"/>
    <n v="58"/>
    <n v="0.32800000000000001"/>
    <n v="0.73699999999999999"/>
    <n v="520"/>
    <n v="41"/>
    <n v="166"/>
    <n v="125"/>
    <n v="36"/>
    <n v="20"/>
    <n v="65"/>
    <n v="1.92"/>
  </r>
  <r>
    <x v="8"/>
    <x v="0"/>
    <x v="7"/>
    <n v="73"/>
    <x v="12"/>
    <s v="Stavros"/>
    <n v="1"/>
    <n v="10"/>
    <n v="3"/>
    <n v="0"/>
    <x v="28"/>
    <s v="vs Panos"/>
    <n v="246"/>
    <n v="0.50900000000000001"/>
    <n v="74"/>
    <n v="0.41299999999999998"/>
    <n v="0.79400000000000004"/>
    <n v="670"/>
    <n v="57"/>
    <n v="163"/>
    <n v="157"/>
    <n v="28"/>
    <n v="26"/>
    <n v="78"/>
    <n v="2.0099999999999998"/>
  </r>
  <r>
    <x v="8"/>
    <x v="0"/>
    <x v="7"/>
    <n v="73"/>
    <x v="28"/>
    <s v="Panos"/>
    <n v="0"/>
    <n v="3"/>
    <n v="10"/>
    <n v="0"/>
    <x v="13"/>
    <s v="vs Stavros"/>
    <n v="215"/>
    <n v="0.498"/>
    <n v="72"/>
    <n v="0.42899999999999999"/>
    <n v="0.753"/>
    <n v="560"/>
    <n v="46"/>
    <n v="142"/>
    <n v="146"/>
    <n v="36"/>
    <n v="23"/>
    <n v="75"/>
    <n v="1.95"/>
  </r>
  <r>
    <x v="8"/>
    <x v="0"/>
    <x v="7"/>
    <n v="74"/>
    <x v="29"/>
    <s v="Pals"/>
    <n v="1"/>
    <n v="7"/>
    <n v="6"/>
    <n v="0"/>
    <x v="6"/>
    <s v="vs Johnny"/>
    <n v="183"/>
    <n v="0.46100000000000002"/>
    <n v="62"/>
    <n v="0.33700000000000002"/>
    <n v="0.73799999999999999"/>
    <n v="504"/>
    <n v="54"/>
    <n v="181"/>
    <n v="119"/>
    <n v="35"/>
    <n v="30"/>
    <n v="64"/>
    <n v="1.86"/>
  </r>
  <r>
    <x v="8"/>
    <x v="0"/>
    <x v="7"/>
    <n v="74"/>
    <x v="7"/>
    <s v="Johnny"/>
    <n v="0"/>
    <n v="6"/>
    <n v="7"/>
    <n v="0"/>
    <x v="29"/>
    <s v="vs Pals"/>
    <n v="170"/>
    <n v="0.48"/>
    <n v="66"/>
    <n v="0.36299999999999999"/>
    <n v="0.77800000000000002"/>
    <n v="476"/>
    <n v="37"/>
    <n v="133"/>
    <n v="97"/>
    <n v="25"/>
    <n v="18"/>
    <n v="50"/>
    <n v="1.94"/>
  </r>
  <r>
    <x v="8"/>
    <x v="0"/>
    <x v="7"/>
    <n v="75"/>
    <x v="21"/>
    <s v="Tzokos"/>
    <n v="1"/>
    <n v="9"/>
    <n v="4"/>
    <n v="0"/>
    <x v="3"/>
    <s v="vs Fountos"/>
    <n v="242"/>
    <n v="0.51100000000000001"/>
    <n v="65"/>
    <n v="0.41399999999999998"/>
    <n v="0.75700000000000001"/>
    <n v="627"/>
    <n v="82"/>
    <n v="228"/>
    <n v="109"/>
    <n v="29"/>
    <n v="33"/>
    <n v="69"/>
    <n v="1.58"/>
  </r>
  <r>
    <x v="8"/>
    <x v="0"/>
    <x v="7"/>
    <n v="75"/>
    <x v="2"/>
    <s v="Fountos"/>
    <n v="0"/>
    <n v="4"/>
    <n v="9"/>
    <n v="0"/>
    <x v="21"/>
    <s v="vs Tzokos"/>
    <n v="158"/>
    <n v="0.49199999999999999"/>
    <n v="60"/>
    <n v="0.432"/>
    <n v="0.79100000000000004"/>
    <n v="444"/>
    <n v="61"/>
    <n v="108"/>
    <n v="80"/>
    <n v="24"/>
    <n v="18"/>
    <n v="40"/>
    <n v="2"/>
  </r>
  <r>
    <x v="8"/>
    <x v="0"/>
    <x v="7"/>
    <n v="76"/>
    <x v="15"/>
    <s v="Vasilis"/>
    <n v="0"/>
    <n v="4"/>
    <n v="9"/>
    <n v="0"/>
    <x v="2"/>
    <s v="vs Sakellariou"/>
    <n v="214"/>
    <n v="0.48899999999999999"/>
    <n v="60"/>
    <n v="0.36099999999999999"/>
    <n v="0.89100000000000001"/>
    <n v="578"/>
    <n v="32"/>
    <n v="145"/>
    <n v="105"/>
    <n v="35"/>
    <n v="22"/>
    <n v="79"/>
    <n v="1.33"/>
  </r>
  <r>
    <x v="8"/>
    <x v="0"/>
    <x v="7"/>
    <n v="76"/>
    <x v="3"/>
    <s v="Sakellariou"/>
    <n v="1"/>
    <n v="9"/>
    <n v="4"/>
    <n v="0"/>
    <x v="14"/>
    <s v="vs Vasilis"/>
    <n v="265"/>
    <n v="0.45100000000000001"/>
    <n v="69"/>
    <n v="0.308"/>
    <n v="0.79600000000000004"/>
    <n v="767"/>
    <n v="60"/>
    <n v="187"/>
    <n v="161"/>
    <n v="63"/>
    <n v="36"/>
    <n v="87"/>
    <n v="1.85"/>
  </r>
  <r>
    <x v="8"/>
    <x v="0"/>
    <x v="7"/>
    <n v="77"/>
    <x v="18"/>
    <s v="Kotakis"/>
    <n v="0"/>
    <n v="5"/>
    <n v="8"/>
    <n v="0"/>
    <x v="25"/>
    <s v="vs Arvanitis"/>
    <n v="179"/>
    <n v="0.48399999999999999"/>
    <n v="70"/>
    <n v="0.38500000000000001"/>
    <n v="0.80300000000000005"/>
    <n v="489"/>
    <n v="48"/>
    <n v="133"/>
    <n v="96"/>
    <n v="30"/>
    <n v="16"/>
    <n v="35"/>
    <n v="2.74"/>
  </r>
  <r>
    <x v="8"/>
    <x v="0"/>
    <x v="7"/>
    <n v="77"/>
    <x v="25"/>
    <s v="Arvanitis"/>
    <n v="1"/>
    <n v="8"/>
    <n v="5"/>
    <n v="0"/>
    <x v="19"/>
    <s v="vs Kotakis"/>
    <n v="266"/>
    <n v="0.48699999999999999"/>
    <n v="56"/>
    <n v="0.33100000000000002"/>
    <n v="0.79200000000000004"/>
    <n v="740"/>
    <n v="69"/>
    <n v="162"/>
    <n v="158"/>
    <n v="51"/>
    <n v="31"/>
    <n v="76"/>
    <n v="2.08"/>
  </r>
  <r>
    <x v="8"/>
    <x v="0"/>
    <x v="7"/>
    <n v="78"/>
    <x v="9"/>
    <s v="Ziogas/Christof"/>
    <n v="0"/>
    <n v="4"/>
    <n v="9"/>
    <n v="0"/>
    <x v="10"/>
    <s v="vs pi/Sotiris"/>
    <n v="228"/>
    <n v="0.44500000000000001"/>
    <n v="69"/>
    <n v="0.33700000000000002"/>
    <n v="0.74299999999999999"/>
    <n v="635"/>
    <n v="50"/>
    <n v="189"/>
    <n v="158"/>
    <n v="51"/>
    <n v="19"/>
    <n v="70"/>
    <n v="2.2599999999999998"/>
  </r>
  <r>
    <x v="8"/>
    <x v="0"/>
    <x v="7"/>
    <n v="78"/>
    <x v="11"/>
    <s v="pi/Sotiris"/>
    <n v="1"/>
    <n v="9"/>
    <n v="4"/>
    <n v="0"/>
    <x v="8"/>
    <s v="vs Ziogas/Christof"/>
    <n v="244"/>
    <n v="0.48399999999999999"/>
    <n v="80"/>
    <n v="0.39"/>
    <n v="0.748"/>
    <n v="654"/>
    <n v="61"/>
    <n v="204"/>
    <n v="182"/>
    <n v="35"/>
    <n v="9"/>
    <n v="90"/>
    <n v="2.02"/>
  </r>
  <r>
    <x v="8"/>
    <x v="0"/>
    <x v="7"/>
    <n v="79"/>
    <x v="1"/>
    <s v="Fanis"/>
    <n v="1"/>
    <n v="10"/>
    <n v="3"/>
    <n v="0"/>
    <x v="24"/>
    <s v="vs Tolios"/>
    <n v="270"/>
    <n v="0.47099999999999997"/>
    <n v="72"/>
    <n v="0.34300000000000003"/>
    <n v="0.77800000000000002"/>
    <n v="745"/>
    <n v="77"/>
    <n v="199"/>
    <n v="183"/>
    <n v="48"/>
    <n v="27"/>
    <n v="91"/>
    <n v="2.0099999999999998"/>
  </r>
  <r>
    <x v="8"/>
    <x v="0"/>
    <x v="7"/>
    <n v="79"/>
    <x v="24"/>
    <s v="Tolios"/>
    <n v="0"/>
    <n v="3"/>
    <n v="10"/>
    <n v="0"/>
    <x v="0"/>
    <s v="vs Fanis"/>
    <n v="171"/>
    <n v="0.46700000000000003"/>
    <n v="44"/>
    <n v="0.34399999999999997"/>
    <n v="0.79"/>
    <n v="469"/>
    <n v="40"/>
    <n v="124"/>
    <n v="83"/>
    <n v="34"/>
    <n v="18"/>
    <n v="62"/>
    <n v="1.34"/>
  </r>
  <r>
    <x v="8"/>
    <x v="0"/>
    <x v="7"/>
    <n v="80"/>
    <x v="27"/>
    <s v="Dimitris"/>
    <n v="0"/>
    <n v="2"/>
    <n v="11"/>
    <n v="0"/>
    <x v="20"/>
    <s v="vs Guru"/>
    <n v="148"/>
    <n v="0.433"/>
    <n v="44"/>
    <n v="0.29499999999999998"/>
    <n v="0.78700000000000003"/>
    <n v="410"/>
    <n v="44"/>
    <n v="121"/>
    <n v="69"/>
    <n v="26"/>
    <n v="12"/>
    <n v="48"/>
    <n v="1.44"/>
  </r>
  <r>
    <x v="8"/>
    <x v="0"/>
    <x v="7"/>
    <n v="80"/>
    <x v="20"/>
    <s v="Guru"/>
    <n v="1"/>
    <n v="11"/>
    <n v="2"/>
    <n v="0"/>
    <x v="27"/>
    <s v="vs Dimitris"/>
    <n v="302"/>
    <n v="0.46300000000000002"/>
    <n v="85"/>
    <n v="0.35299999999999998"/>
    <n v="0.755"/>
    <n v="828"/>
    <n v="76"/>
    <n v="215"/>
    <n v="179"/>
    <n v="50"/>
    <n v="18"/>
    <n v="87"/>
    <n v="2.06"/>
  </r>
  <r>
    <x v="8"/>
    <x v="0"/>
    <x v="7"/>
    <n v="81"/>
    <x v="12"/>
    <s v="Stavros"/>
    <n v="0"/>
    <n v="5"/>
    <n v="8"/>
    <n v="0"/>
    <x v="2"/>
    <s v="vs Sakellariou"/>
    <n v="246"/>
    <n v="0.50900000000000001"/>
    <n v="74"/>
    <n v="0.41299999999999998"/>
    <n v="0.79400000000000004"/>
    <n v="670"/>
    <n v="57"/>
    <n v="163"/>
    <n v="157"/>
    <n v="28"/>
    <n v="26"/>
    <n v="78"/>
    <n v="2.0099999999999998"/>
  </r>
  <r>
    <x v="8"/>
    <x v="0"/>
    <x v="7"/>
    <n v="81"/>
    <x v="3"/>
    <s v="Sakellariou"/>
    <n v="1"/>
    <n v="8"/>
    <n v="5"/>
    <n v="0"/>
    <x v="13"/>
    <s v="vs Stavros"/>
    <n v="265"/>
    <n v="0.45100000000000001"/>
    <n v="69"/>
    <n v="0.308"/>
    <n v="0.79600000000000004"/>
    <n v="767"/>
    <n v="60"/>
    <n v="187"/>
    <n v="161"/>
    <n v="63"/>
    <n v="36"/>
    <n v="87"/>
    <n v="1.85"/>
  </r>
  <r>
    <x v="8"/>
    <x v="0"/>
    <x v="7"/>
    <n v="82"/>
    <x v="20"/>
    <s v="Guru"/>
    <n v="1"/>
    <n v="8"/>
    <n v="5"/>
    <n v="0"/>
    <x v="19"/>
    <s v="vs Kotakis"/>
    <n v="302"/>
    <n v="0.46300000000000002"/>
    <n v="85"/>
    <n v="0.35299999999999998"/>
    <n v="0.755"/>
    <n v="828"/>
    <n v="76"/>
    <n v="215"/>
    <n v="179"/>
    <n v="50"/>
    <n v="18"/>
    <n v="87"/>
    <n v="2.06"/>
  </r>
  <r>
    <x v="8"/>
    <x v="0"/>
    <x v="7"/>
    <n v="82"/>
    <x v="18"/>
    <s v="Kotakis"/>
    <n v="0"/>
    <n v="5"/>
    <n v="8"/>
    <n v="0"/>
    <x v="20"/>
    <s v="vs Guru"/>
    <n v="179"/>
    <n v="0.48399999999999999"/>
    <n v="70"/>
    <n v="0.38500000000000001"/>
    <n v="0.80300000000000005"/>
    <n v="489"/>
    <n v="48"/>
    <n v="133"/>
    <n v="96"/>
    <n v="30"/>
    <n v="16"/>
    <n v="35"/>
    <n v="2.74"/>
  </r>
  <r>
    <x v="8"/>
    <x v="0"/>
    <x v="7"/>
    <n v="83"/>
    <x v="27"/>
    <s v="Dimitris"/>
    <n v="0"/>
    <n v="2"/>
    <n v="11"/>
    <n v="0"/>
    <x v="8"/>
    <s v="vs Ziogas/Christof"/>
    <n v="148"/>
    <n v="0.433"/>
    <n v="44"/>
    <n v="0.29499999999999998"/>
    <n v="0.78700000000000003"/>
    <n v="410"/>
    <n v="44"/>
    <n v="121"/>
    <n v="69"/>
    <n v="26"/>
    <n v="12"/>
    <n v="48"/>
    <n v="1.44"/>
  </r>
  <r>
    <x v="8"/>
    <x v="0"/>
    <x v="7"/>
    <n v="83"/>
    <x v="9"/>
    <s v="Ziogas/Christof"/>
    <n v="1"/>
    <n v="11"/>
    <n v="2"/>
    <n v="0"/>
    <x v="27"/>
    <s v="vs Dimitris"/>
    <n v="228"/>
    <n v="0.44500000000000001"/>
    <n v="69"/>
    <n v="0.33700000000000002"/>
    <n v="0.74299999999999999"/>
    <n v="635"/>
    <n v="50"/>
    <n v="189"/>
    <n v="158"/>
    <n v="51"/>
    <n v="19"/>
    <n v="70"/>
    <n v="2.2599999999999998"/>
  </r>
  <r>
    <x v="8"/>
    <x v="0"/>
    <x v="7"/>
    <n v="84"/>
    <x v="29"/>
    <s v="Pals"/>
    <n v="0"/>
    <n v="4"/>
    <n v="9"/>
    <n v="0"/>
    <x v="25"/>
    <s v="vs Arvanitis"/>
    <n v="183"/>
    <n v="0.46100000000000002"/>
    <n v="62"/>
    <n v="0.33700000000000002"/>
    <n v="0.73799999999999999"/>
    <n v="504"/>
    <n v="54"/>
    <n v="181"/>
    <n v="119"/>
    <n v="35"/>
    <n v="30"/>
    <n v="64"/>
    <n v="1.86"/>
  </r>
  <r>
    <x v="8"/>
    <x v="0"/>
    <x v="7"/>
    <n v="84"/>
    <x v="25"/>
    <s v="Arvanitis"/>
    <n v="1"/>
    <n v="9"/>
    <n v="4"/>
    <n v="0"/>
    <x v="29"/>
    <s v="vs Pals"/>
    <n v="266"/>
    <n v="0.48699999999999999"/>
    <n v="56"/>
    <n v="0.33100000000000002"/>
    <n v="0.79200000000000004"/>
    <n v="740"/>
    <n v="69"/>
    <n v="162"/>
    <n v="158"/>
    <n v="51"/>
    <n v="31"/>
    <n v="76"/>
    <n v="2.08"/>
  </r>
  <r>
    <x v="8"/>
    <x v="0"/>
    <x v="7"/>
    <n v="85"/>
    <x v="6"/>
    <s v="Tassos"/>
    <n v="1"/>
    <n v="9"/>
    <n v="4"/>
    <n v="0"/>
    <x v="3"/>
    <s v="vs Fountos"/>
    <n v="250"/>
    <n v="0.46500000000000002"/>
    <n v="79"/>
    <n v="0.39300000000000002"/>
    <n v="0.80400000000000005"/>
    <n v="710"/>
    <n v="34"/>
    <n v="161"/>
    <n v="172"/>
    <n v="35"/>
    <n v="34"/>
    <n v="75"/>
    <n v="2.29"/>
  </r>
  <r>
    <x v="8"/>
    <x v="0"/>
    <x v="7"/>
    <n v="85"/>
    <x v="2"/>
    <s v="Fountos"/>
    <n v="0"/>
    <n v="4"/>
    <n v="9"/>
    <n v="0"/>
    <x v="7"/>
    <s v="vs Tassos"/>
    <n v="158"/>
    <n v="0.49199999999999999"/>
    <n v="60"/>
    <n v="0.432"/>
    <n v="0.79100000000000004"/>
    <n v="444"/>
    <n v="61"/>
    <n v="108"/>
    <n v="80"/>
    <n v="24"/>
    <n v="18"/>
    <n v="40"/>
    <n v="2"/>
  </r>
  <r>
    <x v="8"/>
    <x v="0"/>
    <x v="7"/>
    <n v="86"/>
    <x v="24"/>
    <s v="Tolios"/>
    <n v="0"/>
    <n v="3"/>
    <n v="10"/>
    <n v="0"/>
    <x v="14"/>
    <s v="vs Vasilis"/>
    <n v="171"/>
    <n v="0.46700000000000003"/>
    <n v="44"/>
    <n v="0.34399999999999997"/>
    <n v="0.79"/>
    <n v="469"/>
    <n v="40"/>
    <n v="124"/>
    <n v="83"/>
    <n v="34"/>
    <n v="18"/>
    <n v="62"/>
    <n v="1.34"/>
  </r>
  <r>
    <x v="8"/>
    <x v="0"/>
    <x v="7"/>
    <n v="86"/>
    <x v="15"/>
    <s v="Vasilis"/>
    <n v="1"/>
    <n v="10"/>
    <n v="3"/>
    <n v="0"/>
    <x v="24"/>
    <s v="vs Tolios"/>
    <n v="214"/>
    <n v="0.48899999999999999"/>
    <n v="60"/>
    <n v="0.36099999999999999"/>
    <n v="0.89100000000000001"/>
    <n v="578"/>
    <n v="32"/>
    <n v="145"/>
    <n v="105"/>
    <n v="35"/>
    <n v="22"/>
    <n v="79"/>
    <n v="1.33"/>
  </r>
  <r>
    <x v="8"/>
    <x v="0"/>
    <x v="7"/>
    <n v="87"/>
    <x v="17"/>
    <s v="Spiridaus/Oladipas"/>
    <n v="0"/>
    <n v="6"/>
    <n v="7"/>
    <n v="0"/>
    <x v="6"/>
    <s v="vs Johnny"/>
    <n v="145"/>
    <n v="0.39600000000000002"/>
    <n v="49"/>
    <n v="0.34300000000000003"/>
    <n v="0.79700000000000004"/>
    <n v="394"/>
    <n v="63"/>
    <n v="151"/>
    <n v="127"/>
    <n v="37"/>
    <n v="30"/>
    <n v="79"/>
    <n v="1.61"/>
  </r>
  <r>
    <x v="8"/>
    <x v="0"/>
    <x v="7"/>
    <n v="87"/>
    <x v="7"/>
    <s v="Johnny"/>
    <n v="1"/>
    <n v="7"/>
    <n v="6"/>
    <n v="0"/>
    <x v="16"/>
    <s v="vs Spiridaus/Oladipas"/>
    <n v="170"/>
    <n v="0.48"/>
    <n v="66"/>
    <n v="0.36299999999999999"/>
    <n v="0.77800000000000002"/>
    <n v="476"/>
    <n v="37"/>
    <n v="133"/>
    <n v="97"/>
    <n v="25"/>
    <n v="18"/>
    <n v="50"/>
    <n v="1.94"/>
  </r>
  <r>
    <x v="8"/>
    <x v="0"/>
    <x v="7"/>
    <n v="88"/>
    <x v="11"/>
    <s v="pi/Sotiris"/>
    <n v="0"/>
    <n v="6"/>
    <n v="7"/>
    <n v="0"/>
    <x v="21"/>
    <s v="vs Tzokos"/>
    <n v="244"/>
    <n v="0.48399999999999999"/>
    <n v="80"/>
    <n v="0.39"/>
    <n v="0.748"/>
    <n v="654"/>
    <n v="61"/>
    <n v="204"/>
    <n v="182"/>
    <n v="35"/>
    <n v="9"/>
    <n v="90"/>
    <n v="2.02"/>
  </r>
  <r>
    <x v="8"/>
    <x v="0"/>
    <x v="7"/>
    <n v="88"/>
    <x v="21"/>
    <s v="Tzokos"/>
    <n v="1"/>
    <n v="7"/>
    <n v="6"/>
    <n v="0"/>
    <x v="10"/>
    <s v="vs pi/Sotiris"/>
    <n v="242"/>
    <n v="0.51100000000000001"/>
    <n v="65"/>
    <n v="0.41399999999999998"/>
    <n v="0.75700000000000001"/>
    <n v="627"/>
    <n v="82"/>
    <n v="228"/>
    <n v="109"/>
    <n v="29"/>
    <n v="33"/>
    <n v="69"/>
    <n v="1.58"/>
  </r>
  <r>
    <x v="8"/>
    <x v="0"/>
    <x v="7"/>
    <n v="89"/>
    <x v="26"/>
    <s v="Lafa"/>
    <n v="0"/>
    <n v="2"/>
    <n v="11"/>
    <n v="0"/>
    <x v="0"/>
    <s v="vs Fanis"/>
    <n v="273"/>
    <n v="0.46899999999999997"/>
    <n v="53"/>
    <n v="0.29599999999999999"/>
    <n v="0.76600000000000001"/>
    <n v="779"/>
    <n v="52"/>
    <n v="197"/>
    <n v="181"/>
    <n v="46"/>
    <n v="26"/>
    <n v="93"/>
    <n v="1.95"/>
  </r>
  <r>
    <x v="8"/>
    <x v="0"/>
    <x v="7"/>
    <n v="89"/>
    <x v="1"/>
    <s v="Fanis"/>
    <n v="1"/>
    <n v="11"/>
    <n v="2"/>
    <n v="0"/>
    <x v="26"/>
    <s v="vs Lafa"/>
    <n v="270"/>
    <n v="0.47099999999999997"/>
    <n v="72"/>
    <n v="0.34300000000000003"/>
    <n v="0.77800000000000002"/>
    <n v="745"/>
    <n v="77"/>
    <n v="199"/>
    <n v="183"/>
    <n v="48"/>
    <n v="27"/>
    <n v="91"/>
    <n v="2.0099999999999998"/>
  </r>
  <r>
    <x v="8"/>
    <x v="0"/>
    <x v="7"/>
    <n v="90"/>
    <x v="28"/>
    <s v="Panos"/>
    <n v="1"/>
    <n v="10"/>
    <n v="2"/>
    <n v="1"/>
    <x v="17"/>
    <s v="vs Aris"/>
    <n v="215"/>
    <n v="0.498"/>
    <n v="72"/>
    <n v="0.42899999999999999"/>
    <n v="0.753"/>
    <n v="560"/>
    <n v="46"/>
    <n v="142"/>
    <n v="146"/>
    <n v="36"/>
    <n v="23"/>
    <n v="75"/>
    <n v="1.95"/>
  </r>
  <r>
    <x v="8"/>
    <x v="0"/>
    <x v="7"/>
    <n v="90"/>
    <x v="16"/>
    <s v="Aris"/>
    <n v="0"/>
    <n v="2"/>
    <n v="10"/>
    <n v="1"/>
    <x v="28"/>
    <s v="vs Panos"/>
    <n v="196"/>
    <n v="0.46800000000000003"/>
    <n v="58"/>
    <n v="0.32800000000000001"/>
    <n v="0.73699999999999999"/>
    <n v="520"/>
    <n v="41"/>
    <n v="166"/>
    <n v="125"/>
    <n v="36"/>
    <n v="20"/>
    <n v="65"/>
    <n v="1.92"/>
  </r>
  <r>
    <x v="8"/>
    <x v="0"/>
    <x v="8"/>
    <n v="81"/>
    <x v="16"/>
    <s v="Aris"/>
    <n v="0"/>
    <n v="4"/>
    <n v="9"/>
    <n v="0"/>
    <x v="26"/>
    <s v="vs Lafa"/>
    <n v="145"/>
    <n v="0.48799999999999999"/>
    <n v="22"/>
    <n v="0.23899999999999999"/>
    <n v="0.78700000000000003"/>
    <n v="382"/>
    <n v="41"/>
    <n v="105"/>
    <n v="64"/>
    <n v="25"/>
    <n v="15"/>
    <n v="45"/>
    <n v="1.42"/>
  </r>
  <r>
    <x v="8"/>
    <x v="0"/>
    <x v="8"/>
    <n v="81"/>
    <x v="26"/>
    <s v="Lafa"/>
    <n v="1"/>
    <n v="9"/>
    <n v="4"/>
    <n v="0"/>
    <x v="17"/>
    <s v="vs Aris"/>
    <n v="181"/>
    <n v="0.45500000000000002"/>
    <n v="37"/>
    <n v="0.30599999999999999"/>
    <n v="0.69899999999999995"/>
    <n v="501"/>
    <n v="36"/>
    <n v="145"/>
    <n v="118"/>
    <n v="27"/>
    <n v="30"/>
    <n v="70"/>
    <n v="1.69"/>
  </r>
  <r>
    <x v="8"/>
    <x v="0"/>
    <x v="8"/>
    <n v="82"/>
    <x v="28"/>
    <s v="Panos"/>
    <n v="1"/>
    <n v="7"/>
    <n v="6"/>
    <n v="0"/>
    <x v="16"/>
    <s v="vs Spiridaus/Oladipas"/>
    <n v="155"/>
    <n v="0.46300000000000002"/>
    <n v="47"/>
    <n v="0.33100000000000002"/>
    <n v="0.74299999999999999"/>
    <n v="412"/>
    <n v="30"/>
    <n v="100"/>
    <n v="130"/>
    <n v="34"/>
    <n v="20"/>
    <n v="65"/>
    <n v="2"/>
  </r>
  <r>
    <x v="8"/>
    <x v="0"/>
    <x v="8"/>
    <n v="82"/>
    <x v="17"/>
    <s v="Spiridaus/Oladipas"/>
    <n v="0"/>
    <n v="6"/>
    <n v="7"/>
    <n v="0"/>
    <x v="28"/>
    <s v="vs Panos"/>
    <n v="154"/>
    <n v="0.51"/>
    <n v="40"/>
    <n v="0.377"/>
    <n v="0.71099999999999997"/>
    <n v="402"/>
    <n v="57"/>
    <n v="121"/>
    <n v="95"/>
    <n v="19"/>
    <n v="18"/>
    <n v="46"/>
    <n v="2.0699999999999998"/>
  </r>
  <r>
    <x v="8"/>
    <x v="0"/>
    <x v="8"/>
    <n v="83"/>
    <x v="7"/>
    <s v="Johnny"/>
    <n v="0"/>
    <n v="4"/>
    <n v="9"/>
    <n v="0"/>
    <x v="7"/>
    <s v="vs Tassos"/>
    <n v="125"/>
    <n v="0.48799999999999999"/>
    <n v="58"/>
    <n v="0.42599999999999999"/>
    <n v="0.85899999999999999"/>
    <n v="381"/>
    <n v="15"/>
    <n v="72"/>
    <n v="54"/>
    <n v="21"/>
    <n v="13"/>
    <n v="34"/>
    <n v="1.59"/>
  </r>
  <r>
    <x v="8"/>
    <x v="0"/>
    <x v="8"/>
    <n v="83"/>
    <x v="6"/>
    <s v="Tassos"/>
    <n v="1"/>
    <n v="9"/>
    <n v="4"/>
    <n v="0"/>
    <x v="6"/>
    <s v="vs Johnny"/>
    <n v="270"/>
    <n v="0.47399999999999998"/>
    <n v="81"/>
    <n v="0.38600000000000001"/>
    <n v="0.76900000000000002"/>
    <n v="724"/>
    <n v="31"/>
    <n v="161"/>
    <n v="191"/>
    <n v="44"/>
    <n v="23"/>
    <n v="100"/>
    <n v="1.91"/>
  </r>
  <r>
    <x v="8"/>
    <x v="0"/>
    <x v="8"/>
    <n v="84"/>
    <x v="2"/>
    <s v="Fountos"/>
    <n v="0"/>
    <n v="5"/>
    <n v="8"/>
    <n v="0"/>
    <x v="13"/>
    <s v="vs Stavros"/>
    <n v="139"/>
    <n v="0.50900000000000001"/>
    <n v="47"/>
    <n v="0.39800000000000002"/>
    <n v="0.72499999999999998"/>
    <n v="375"/>
    <n v="45"/>
    <n v="99"/>
    <n v="70"/>
    <n v="26"/>
    <n v="22"/>
    <n v="30"/>
    <n v="2.33"/>
  </r>
  <r>
    <x v="8"/>
    <x v="0"/>
    <x v="8"/>
    <n v="84"/>
    <x v="12"/>
    <s v="Stavros"/>
    <n v="1"/>
    <n v="8"/>
    <n v="5"/>
    <n v="0"/>
    <x v="3"/>
    <s v="vs Fountos"/>
    <n v="175"/>
    <n v="0.51500000000000001"/>
    <n v="44"/>
    <n v="0.38600000000000001"/>
    <n v="0.89500000000000002"/>
    <n v="488"/>
    <n v="29"/>
    <n v="104"/>
    <n v="120"/>
    <n v="22"/>
    <n v="23"/>
    <n v="50"/>
    <n v="2.4"/>
  </r>
  <r>
    <x v="8"/>
    <x v="0"/>
    <x v="8"/>
    <n v="85"/>
    <x v="3"/>
    <s v="Sakellariou"/>
    <n v="1"/>
    <n v="11"/>
    <n v="2"/>
    <n v="0"/>
    <x v="29"/>
    <s v="vs Pals"/>
    <n v="192"/>
    <n v="0.50900000000000001"/>
    <n v="54"/>
    <n v="0.39700000000000002"/>
    <n v="0.87"/>
    <n v="565"/>
    <n v="41"/>
    <n v="105"/>
    <n v="118"/>
    <n v="38"/>
    <n v="16"/>
    <n v="47"/>
    <n v="2.5099999999999998"/>
  </r>
  <r>
    <x v="8"/>
    <x v="0"/>
    <x v="8"/>
    <n v="85"/>
    <x v="29"/>
    <s v="Pals"/>
    <n v="0"/>
    <n v="2"/>
    <n v="11"/>
    <n v="0"/>
    <x v="2"/>
    <s v="vs Sakellariou"/>
    <n v="118"/>
    <n v="0.47"/>
    <n v="48"/>
    <n v="0.38400000000000001"/>
    <n v="0.68"/>
    <n v="318"/>
    <n v="61"/>
    <n v="101"/>
    <n v="62"/>
    <n v="22"/>
    <n v="10"/>
    <n v="45"/>
    <n v="1.38"/>
  </r>
  <r>
    <x v="8"/>
    <x v="0"/>
    <x v="8"/>
    <n v="86"/>
    <x v="25"/>
    <s v="Arvanitis"/>
    <n v="1"/>
    <n v="9"/>
    <n v="4"/>
    <n v="0"/>
    <x v="21"/>
    <s v="vs Tzokos"/>
    <n v="205"/>
    <n v="0.51"/>
    <n v="51"/>
    <n v="0.38900000000000001"/>
    <n v="0.746"/>
    <n v="549"/>
    <n v="59"/>
    <n v="116"/>
    <n v="119"/>
    <n v="38"/>
    <n v="26"/>
    <n v="62"/>
    <n v="1.92"/>
  </r>
  <r>
    <x v="8"/>
    <x v="0"/>
    <x v="8"/>
    <n v="86"/>
    <x v="21"/>
    <s v="Tzokos"/>
    <n v="0"/>
    <n v="4"/>
    <n v="9"/>
    <n v="0"/>
    <x v="25"/>
    <s v="vs Arvanitis"/>
    <n v="173"/>
    <n v="0.48199999999999998"/>
    <n v="39"/>
    <n v="0.34499999999999997"/>
    <n v="0.80700000000000005"/>
    <n v="452"/>
    <n v="60"/>
    <n v="148"/>
    <n v="114"/>
    <n v="35"/>
    <n v="25"/>
    <n v="60"/>
    <n v="1.9"/>
  </r>
  <r>
    <x v="8"/>
    <x v="0"/>
    <x v="8"/>
    <n v="87"/>
    <x v="11"/>
    <s v="pi/Sotiris"/>
    <n v="1"/>
    <n v="8"/>
    <n v="5"/>
    <n v="0"/>
    <x v="14"/>
    <s v="vs Vasilis"/>
    <n v="186"/>
    <n v="0.505"/>
    <n v="49"/>
    <n v="0.38300000000000001"/>
    <n v="0.872"/>
    <n v="530"/>
    <n v="49"/>
    <n v="155"/>
    <n v="155"/>
    <n v="24"/>
    <n v="14"/>
    <n v="76"/>
    <n v="2.04"/>
  </r>
  <r>
    <x v="8"/>
    <x v="0"/>
    <x v="8"/>
    <n v="87"/>
    <x v="15"/>
    <s v="Vasilis"/>
    <n v="0"/>
    <n v="5"/>
    <n v="8"/>
    <n v="0"/>
    <x v="10"/>
    <s v="vs pi/Sotiris"/>
    <n v="176"/>
    <n v="0.499"/>
    <n v="58"/>
    <n v="0.41099999999999998"/>
    <n v="0.79300000000000004"/>
    <n v="475"/>
    <n v="25"/>
    <n v="109"/>
    <n v="91"/>
    <n v="44"/>
    <n v="13"/>
    <n v="42"/>
    <n v="2.17"/>
  </r>
  <r>
    <x v="8"/>
    <x v="0"/>
    <x v="8"/>
    <n v="88"/>
    <x v="24"/>
    <s v="Tolios"/>
    <n v="1"/>
    <n v="8"/>
    <n v="5"/>
    <n v="0"/>
    <x v="19"/>
    <s v="vs Kotakis"/>
    <n v="146"/>
    <n v="0.47399999999999998"/>
    <n v="36"/>
    <n v="0.36699999999999999"/>
    <n v="0.81599999999999995"/>
    <n v="421"/>
    <n v="56"/>
    <n v="105"/>
    <n v="76"/>
    <n v="24"/>
    <n v="14"/>
    <n v="46"/>
    <n v="1.65"/>
  </r>
  <r>
    <x v="8"/>
    <x v="0"/>
    <x v="8"/>
    <n v="88"/>
    <x v="18"/>
    <s v="Kotakis"/>
    <n v="0"/>
    <n v="5"/>
    <n v="8"/>
    <n v="0"/>
    <x v="24"/>
    <s v="vs Tolios"/>
    <n v="111"/>
    <n v="0.49099999999999999"/>
    <n v="39"/>
    <n v="0.41499999999999998"/>
    <n v="0.81299999999999994"/>
    <n v="287"/>
    <n v="27"/>
    <n v="80"/>
    <n v="60"/>
    <n v="14"/>
    <n v="12"/>
    <n v="30"/>
    <n v="2"/>
  </r>
  <r>
    <x v="8"/>
    <x v="0"/>
    <x v="8"/>
    <n v="89"/>
    <x v="20"/>
    <s v="Guru"/>
    <n v="0"/>
    <n v="3"/>
    <n v="10"/>
    <n v="0"/>
    <x v="8"/>
    <s v="vs Ziogas/Christof"/>
    <n v="155"/>
    <n v="0.42599999999999999"/>
    <n v="35"/>
    <n v="0.26500000000000001"/>
    <n v="0.86"/>
    <n v="431"/>
    <n v="38"/>
    <n v="104"/>
    <n v="91"/>
    <n v="29"/>
    <n v="15"/>
    <n v="45"/>
    <n v="2.02"/>
  </r>
  <r>
    <x v="8"/>
    <x v="0"/>
    <x v="8"/>
    <n v="89"/>
    <x v="9"/>
    <s v="Ziogas/Christof"/>
    <n v="1"/>
    <n v="10"/>
    <n v="3"/>
    <n v="0"/>
    <x v="20"/>
    <s v="vs Guru"/>
    <n v="173"/>
    <n v="0.45500000000000002"/>
    <n v="46"/>
    <n v="0.32900000000000001"/>
    <n v="0.78"/>
    <n v="477"/>
    <n v="70"/>
    <n v="155"/>
    <n v="131"/>
    <n v="34"/>
    <n v="13"/>
    <n v="59"/>
    <n v="2.2200000000000002"/>
  </r>
  <r>
    <x v="8"/>
    <x v="0"/>
    <x v="8"/>
    <n v="90"/>
    <x v="27"/>
    <s v="Dimitris"/>
    <n v="0"/>
    <n v="2"/>
    <n v="11"/>
    <n v="0"/>
    <x v="0"/>
    <s v="vs Fanis"/>
    <n v="88"/>
    <n v="0.40200000000000002"/>
    <n v="32"/>
    <n v="0.314"/>
    <n v="0.81299999999999994"/>
    <n v="247"/>
    <n v="25"/>
    <n v="68"/>
    <n v="40"/>
    <n v="19"/>
    <n v="3"/>
    <n v="40"/>
    <n v="1"/>
  </r>
  <r>
    <x v="8"/>
    <x v="0"/>
    <x v="8"/>
    <n v="90"/>
    <x v="1"/>
    <s v="Fanis"/>
    <n v="1"/>
    <n v="11"/>
    <n v="2"/>
    <n v="0"/>
    <x v="27"/>
    <s v="vs Dimitris"/>
    <n v="134"/>
    <n v="0.48199999999999998"/>
    <n v="41"/>
    <n v="0.39400000000000002"/>
    <n v="0.76900000000000002"/>
    <n v="359"/>
    <n v="33"/>
    <n v="104"/>
    <n v="100"/>
    <n v="29"/>
    <n v="11"/>
    <n v="46"/>
    <n v="2.17"/>
  </r>
  <r>
    <x v="8"/>
    <x v="0"/>
    <x v="9"/>
    <n v="91"/>
    <x v="26"/>
    <s v="Lafa"/>
    <n v="1"/>
    <n v="8"/>
    <n v="4"/>
    <n v="1"/>
    <x v="28"/>
    <s v="vs Panos"/>
    <n v="230"/>
    <n v="0.501"/>
    <n v="49"/>
    <n v="0.33800000000000002"/>
    <n v="0.73799999999999999"/>
    <n v="647"/>
    <n v="27"/>
    <n v="162"/>
    <n v="141"/>
    <n v="28"/>
    <n v="31"/>
    <n v="71"/>
    <n v="1.99"/>
  </r>
  <r>
    <x v="8"/>
    <x v="0"/>
    <x v="9"/>
    <n v="91"/>
    <x v="28"/>
    <s v="Panos"/>
    <n v="0"/>
    <n v="4"/>
    <n v="8"/>
    <n v="1"/>
    <x v="26"/>
    <s v="vs Lafa"/>
    <n v="151"/>
    <n v="0.40799999999999997"/>
    <n v="54"/>
    <n v="0.375"/>
    <n v="0.84099999999999997"/>
    <n v="414"/>
    <n v="27"/>
    <n v="94"/>
    <n v="101"/>
    <n v="27"/>
    <n v="20"/>
    <n v="52"/>
    <n v="1.94"/>
  </r>
  <r>
    <x v="8"/>
    <x v="0"/>
    <x v="9"/>
    <n v="92"/>
    <x v="16"/>
    <s v="Aris"/>
    <n v="1"/>
    <n v="11"/>
    <n v="2"/>
    <n v="0"/>
    <x v="6"/>
    <s v="vs Johnny"/>
    <n v="195"/>
    <n v="0.51900000000000002"/>
    <n v="55"/>
    <n v="0.44700000000000001"/>
    <n v="0.76900000000000002"/>
    <n v="515"/>
    <n v="38"/>
    <n v="135"/>
    <n v="93"/>
    <n v="29"/>
    <n v="28"/>
    <n v="47"/>
    <n v="1.98"/>
  </r>
  <r>
    <x v="8"/>
    <x v="0"/>
    <x v="9"/>
    <n v="92"/>
    <x v="7"/>
    <s v="Johnny"/>
    <n v="0"/>
    <n v="2"/>
    <n v="11"/>
    <n v="0"/>
    <x v="17"/>
    <s v="vs Aris"/>
    <n v="104"/>
    <n v="0.43"/>
    <n v="38"/>
    <n v="0.30599999999999999"/>
    <n v="0.76"/>
    <n v="303"/>
    <n v="21"/>
    <n v="74"/>
    <n v="56"/>
    <n v="14"/>
    <n v="16"/>
    <n v="23"/>
    <n v="2.4300000000000002"/>
  </r>
  <r>
    <x v="8"/>
    <x v="0"/>
    <x v="9"/>
    <n v="93"/>
    <x v="17"/>
    <s v="Spiridaus/Oladipas"/>
    <n v="1"/>
    <n v="12"/>
    <n v="1"/>
    <n v="0"/>
    <x v="3"/>
    <s v="vs Fountos"/>
    <n v="170"/>
    <n v="0.49299999999999999"/>
    <n v="60"/>
    <n v="0.41399999999999998"/>
    <n v="0.83699999999999997"/>
    <n v="472"/>
    <n v="36"/>
    <n v="142"/>
    <n v="120"/>
    <n v="29"/>
    <n v="17"/>
    <n v="50"/>
    <n v="2.4"/>
  </r>
  <r>
    <x v="8"/>
    <x v="0"/>
    <x v="9"/>
    <n v="93"/>
    <x v="2"/>
    <s v="Fountos"/>
    <n v="0"/>
    <n v="1"/>
    <n v="12"/>
    <n v="0"/>
    <x v="16"/>
    <s v="vs Spiridaus/Oladipas"/>
    <n v="105"/>
    <n v="0.46500000000000002"/>
    <n v="33"/>
    <n v="0.39300000000000002"/>
    <n v="0.76900000000000002"/>
    <n v="283"/>
    <n v="33"/>
    <n v="87"/>
    <n v="75"/>
    <n v="28"/>
    <n v="10"/>
    <n v="40"/>
    <n v="1.88"/>
  </r>
  <r>
    <x v="8"/>
    <x v="0"/>
    <x v="9"/>
    <n v="94"/>
    <x v="6"/>
    <s v="Tassos"/>
    <n v="1"/>
    <n v="11"/>
    <n v="2"/>
    <n v="0"/>
    <x v="2"/>
    <s v="vs Sakellariou"/>
    <n v="272"/>
    <n v="0.50700000000000001"/>
    <n v="61"/>
    <n v="0.36499999999999999"/>
    <n v="0.86299999999999999"/>
    <n v="731"/>
    <n v="35"/>
    <n v="195"/>
    <n v="193"/>
    <n v="37"/>
    <n v="39"/>
    <n v="84"/>
    <n v="2.2999999999999998"/>
  </r>
  <r>
    <x v="8"/>
    <x v="0"/>
    <x v="9"/>
    <n v="94"/>
    <x v="3"/>
    <s v="Sakellariou"/>
    <n v="0"/>
    <n v="2"/>
    <n v="11"/>
    <n v="0"/>
    <x v="7"/>
    <s v="vs Tassos"/>
    <n v="195"/>
    <n v="0.44900000000000001"/>
    <n v="57"/>
    <n v="0.308"/>
    <n v="0.81299999999999994"/>
    <n v="577"/>
    <n v="34"/>
    <n v="157"/>
    <n v="134"/>
    <n v="45"/>
    <n v="14"/>
    <n v="65"/>
    <n v="2.06"/>
  </r>
  <r>
    <x v="8"/>
    <x v="0"/>
    <x v="9"/>
    <n v="95"/>
    <x v="12"/>
    <s v="Stavros"/>
    <n v="1"/>
    <n v="8"/>
    <n v="5"/>
    <n v="0"/>
    <x v="25"/>
    <s v="vs Arvanitis"/>
    <n v="168"/>
    <n v="0.51900000000000002"/>
    <n v="43"/>
    <n v="0.33900000000000002"/>
    <n v="0.84399999999999997"/>
    <n v="433"/>
    <n v="24"/>
    <n v="106"/>
    <n v="133"/>
    <n v="18"/>
    <n v="22"/>
    <n v="55"/>
    <n v="2.42"/>
  </r>
  <r>
    <x v="8"/>
    <x v="0"/>
    <x v="9"/>
    <n v="95"/>
    <x v="25"/>
    <s v="Arvanitis"/>
    <n v="0"/>
    <n v="5"/>
    <n v="8"/>
    <n v="0"/>
    <x v="13"/>
    <s v="vs Stavros"/>
    <n v="185"/>
    <n v="0.432"/>
    <n v="38"/>
    <n v="0.26200000000000001"/>
    <n v="0.81499999999999995"/>
    <n v="514"/>
    <n v="34"/>
    <n v="124"/>
    <n v="126"/>
    <n v="34"/>
    <n v="15"/>
    <n v="59"/>
    <n v="2.14"/>
  </r>
  <r>
    <x v="8"/>
    <x v="0"/>
    <x v="9"/>
    <n v="96"/>
    <x v="29"/>
    <s v="Pals"/>
    <n v="0"/>
    <n v="6"/>
    <n v="7"/>
    <n v="0"/>
    <x v="10"/>
    <s v="vs pi/Sotiris"/>
    <n v="153"/>
    <n v="0.45400000000000001"/>
    <n v="59"/>
    <n v="0.36899999999999999"/>
    <n v="0.55700000000000005"/>
    <n v="399"/>
    <n v="69"/>
    <n v="139"/>
    <n v="92"/>
    <n v="30"/>
    <n v="24"/>
    <n v="50"/>
    <n v="1.84"/>
  </r>
  <r>
    <x v="8"/>
    <x v="0"/>
    <x v="9"/>
    <n v="96"/>
    <x v="11"/>
    <s v="pi/Sotiris"/>
    <n v="1"/>
    <n v="7"/>
    <n v="6"/>
    <n v="0"/>
    <x v="29"/>
    <s v="vs Pals"/>
    <n v="159"/>
    <n v="0.57199999999999995"/>
    <n v="38"/>
    <n v="0.41299999999999998"/>
    <n v="0.79"/>
    <n v="439"/>
    <n v="36"/>
    <n v="99"/>
    <n v="87"/>
    <n v="17"/>
    <n v="5"/>
    <n v="47"/>
    <n v="1.85"/>
  </r>
  <r>
    <x v="8"/>
    <x v="0"/>
    <x v="9"/>
    <n v="97"/>
    <x v="21"/>
    <s v="Tzokos"/>
    <n v="0"/>
    <n v="6"/>
    <n v="7"/>
    <n v="0"/>
    <x v="24"/>
    <s v="vs Tolios"/>
    <n v="162"/>
    <n v="0.497"/>
    <n v="48"/>
    <n v="0.375"/>
    <n v="0.79700000000000004"/>
    <n v="435"/>
    <n v="46"/>
    <n v="126"/>
    <n v="88"/>
    <n v="23"/>
    <n v="20"/>
    <n v="37"/>
    <n v="2.38"/>
  </r>
  <r>
    <x v="8"/>
    <x v="0"/>
    <x v="9"/>
    <n v="97"/>
    <x v="24"/>
    <s v="Tolios"/>
    <n v="1"/>
    <n v="7"/>
    <n v="6"/>
    <n v="0"/>
    <x v="21"/>
    <s v="vs Tzokos"/>
    <n v="174"/>
    <n v="0.45300000000000001"/>
    <n v="44"/>
    <n v="0.32100000000000001"/>
    <n v="0.83499999999999996"/>
    <n v="503"/>
    <n v="49"/>
    <n v="125"/>
    <n v="114"/>
    <n v="35"/>
    <n v="21"/>
    <n v="62"/>
    <n v="1.84"/>
  </r>
  <r>
    <x v="8"/>
    <x v="0"/>
    <x v="9"/>
    <n v="98"/>
    <x v="15"/>
    <s v="Vasilis"/>
    <n v="0"/>
    <n v="6"/>
    <n v="7"/>
    <n v="0"/>
    <x v="20"/>
    <s v="vs Guru"/>
    <n v="187"/>
    <n v="0.48199999999999998"/>
    <n v="73"/>
    <n v="0.38600000000000001"/>
    <n v="0.89700000000000002"/>
    <n v="525"/>
    <n v="13"/>
    <n v="129"/>
    <n v="116"/>
    <n v="30"/>
    <n v="22"/>
    <n v="66"/>
    <n v="1.76"/>
  </r>
  <r>
    <x v="8"/>
    <x v="0"/>
    <x v="9"/>
    <n v="98"/>
    <x v="20"/>
    <s v="Guru"/>
    <n v="1"/>
    <n v="7"/>
    <n v="6"/>
    <n v="0"/>
    <x v="14"/>
    <s v="vs Vasilis"/>
    <n v="216"/>
    <n v="0.47699999999999998"/>
    <n v="80"/>
    <n v="0.40400000000000003"/>
    <n v="0.83199999999999996"/>
    <n v="636"/>
    <n v="48"/>
    <n v="114"/>
    <n v="123"/>
    <n v="36"/>
    <n v="18"/>
    <n v="75"/>
    <n v="1.64"/>
  </r>
  <r>
    <x v="8"/>
    <x v="0"/>
    <x v="9"/>
    <n v="99"/>
    <x v="18"/>
    <s v="Kotakis"/>
    <n v="1"/>
    <n v="11"/>
    <n v="2"/>
    <n v="0"/>
    <x v="27"/>
    <s v="vs Dimitris"/>
    <n v="118"/>
    <n v="0.47399999999999998"/>
    <n v="49"/>
    <n v="0.38900000000000001"/>
    <n v="0.75"/>
    <n v="318"/>
    <n v="23"/>
    <n v="100"/>
    <n v="83"/>
    <n v="33"/>
    <n v="10"/>
    <n v="28"/>
    <n v="2.96"/>
  </r>
  <r>
    <x v="8"/>
    <x v="0"/>
    <x v="9"/>
    <n v="99"/>
    <x v="27"/>
    <s v="Dimitris"/>
    <n v="0"/>
    <n v="2"/>
    <n v="11"/>
    <n v="0"/>
    <x v="19"/>
    <s v="vs Kotakis"/>
    <n v="92"/>
    <n v="0.47199999999999998"/>
    <n v="33"/>
    <n v="0.38400000000000001"/>
    <n v="0.82099999999999995"/>
    <n v="249"/>
    <n v="20"/>
    <n v="61"/>
    <n v="64"/>
    <n v="23"/>
    <n v="6"/>
    <n v="27"/>
    <n v="2.37"/>
  </r>
  <r>
    <x v="8"/>
    <x v="0"/>
    <x v="9"/>
    <n v="100"/>
    <x v="9"/>
    <s v="Ziogas/Christof"/>
    <n v="0"/>
    <n v="4"/>
    <n v="9"/>
    <n v="0"/>
    <x v="0"/>
    <s v="vs Fanis"/>
    <n v="201"/>
    <n v="0.52500000000000002"/>
    <n v="55"/>
    <n v="0.36899999999999999"/>
    <n v="0.78700000000000003"/>
    <n v="527"/>
    <n v="47"/>
    <n v="146"/>
    <n v="110"/>
    <n v="33"/>
    <n v="22"/>
    <n v="41"/>
    <n v="2.68"/>
  </r>
  <r>
    <x v="8"/>
    <x v="0"/>
    <x v="9"/>
    <n v="100"/>
    <x v="1"/>
    <s v="Fanis"/>
    <n v="1"/>
    <n v="9"/>
    <n v="4"/>
    <n v="0"/>
    <x v="8"/>
    <s v="vs Ziogas/Christof"/>
    <n v="221"/>
    <n v="0.49"/>
    <n v="53"/>
    <n v="0.32300000000000001"/>
    <n v="0.80200000000000005"/>
    <n v="584"/>
    <n v="53"/>
    <n v="182"/>
    <n v="176"/>
    <n v="34"/>
    <n v="39"/>
    <n v="59"/>
    <n v="2.98"/>
  </r>
  <r>
    <x v="8"/>
    <x v="0"/>
    <x v="10"/>
    <n v="101"/>
    <x v="7"/>
    <s v="Johnny"/>
    <n v="0"/>
    <n v="5"/>
    <n v="8"/>
    <n v="0"/>
    <x v="26"/>
    <s v="vs Lafa"/>
    <n v="163"/>
    <n v="0.42099999999999999"/>
    <n v="70"/>
    <n v="0.38"/>
    <n v="0.65300000000000002"/>
    <n v="445"/>
    <n v="32"/>
    <n v="105"/>
    <n v="93"/>
    <n v="30"/>
    <n v="26"/>
    <n v="41"/>
    <n v="2.27"/>
  </r>
  <r>
    <x v="8"/>
    <x v="0"/>
    <x v="10"/>
    <n v="101"/>
    <x v="26"/>
    <s v="Lafa"/>
    <n v="1"/>
    <n v="8"/>
    <n v="5"/>
    <n v="0"/>
    <x v="6"/>
    <s v="vs Johnny"/>
    <n v="229"/>
    <n v="0.46"/>
    <n v="53"/>
    <n v="0.312"/>
    <n v="0.77800000000000002"/>
    <n v="634"/>
    <n v="52"/>
    <n v="174"/>
    <n v="131"/>
    <n v="33"/>
    <n v="20"/>
    <n v="98"/>
    <n v="1.34"/>
  </r>
  <r>
    <x v="8"/>
    <x v="0"/>
    <x v="10"/>
    <n v="102"/>
    <x v="2"/>
    <s v="Fountos"/>
    <n v="0"/>
    <n v="6"/>
    <n v="6"/>
    <n v="1"/>
    <x v="28"/>
    <s v="vs Panos"/>
    <n v="138"/>
    <n v="0.46"/>
    <n v="53"/>
    <n v="0.376"/>
    <n v="0.83299999999999996"/>
    <n v="379"/>
    <n v="31"/>
    <n v="105"/>
    <n v="101"/>
    <n v="24"/>
    <n v="12"/>
    <n v="51"/>
    <n v="1.98"/>
  </r>
  <r>
    <x v="8"/>
    <x v="0"/>
    <x v="10"/>
    <n v="102"/>
    <x v="28"/>
    <s v="Panos"/>
    <n v="0"/>
    <n v="6"/>
    <n v="6"/>
    <n v="1"/>
    <x v="3"/>
    <s v="vs Fountos"/>
    <n v="150"/>
    <n v="0.44400000000000001"/>
    <n v="60"/>
    <n v="0.41399999999999998"/>
    <n v="0.78800000000000003"/>
    <n v="412"/>
    <n v="31"/>
    <n v="89"/>
    <n v="89"/>
    <n v="30"/>
    <n v="18"/>
    <n v="65"/>
    <n v="1.37"/>
  </r>
  <r>
    <x v="8"/>
    <x v="0"/>
    <x v="10"/>
    <n v="103"/>
    <x v="3"/>
    <s v="Sakellariou"/>
    <n v="1"/>
    <n v="9"/>
    <n v="4"/>
    <n v="0"/>
    <x v="17"/>
    <s v="vs Aris"/>
    <n v="186"/>
    <n v="0.45100000000000001"/>
    <n v="54"/>
    <n v="0.36499999999999999"/>
    <n v="0.83199999999999996"/>
    <n v="525"/>
    <n v="53"/>
    <n v="146"/>
    <n v="132"/>
    <n v="44"/>
    <n v="16"/>
    <n v="55"/>
    <n v="2.4"/>
  </r>
  <r>
    <x v="8"/>
    <x v="0"/>
    <x v="10"/>
    <n v="103"/>
    <x v="16"/>
    <s v="Aris"/>
    <n v="0"/>
    <n v="4"/>
    <n v="9"/>
    <n v="0"/>
    <x v="2"/>
    <s v="vs Sakellariou"/>
    <n v="171"/>
    <n v="0.51"/>
    <n v="37"/>
    <n v="0.36599999999999999"/>
    <n v="0.66700000000000004"/>
    <n v="427"/>
    <n v="43"/>
    <n v="150"/>
    <n v="120"/>
    <n v="34"/>
    <n v="21"/>
    <n v="56"/>
    <n v="2.14"/>
  </r>
  <r>
    <x v="8"/>
    <x v="0"/>
    <x v="10"/>
    <n v="104"/>
    <x v="25"/>
    <s v="Arvanitis"/>
    <n v="1"/>
    <n v="9"/>
    <n v="3"/>
    <n v="1"/>
    <x v="16"/>
    <s v="vs Spiridaus/Oladipas"/>
    <n v="216"/>
    <n v="0.45"/>
    <n v="46"/>
    <n v="0.34100000000000003"/>
    <n v="0.70199999999999996"/>
    <n v="577"/>
    <n v="59"/>
    <n v="164"/>
    <n v="115"/>
    <n v="34"/>
    <n v="25"/>
    <n v="91"/>
    <n v="1.26"/>
  </r>
  <r>
    <x v="8"/>
    <x v="0"/>
    <x v="10"/>
    <n v="104"/>
    <x v="17"/>
    <s v="Spiridaus/Oladipas"/>
    <n v="0"/>
    <n v="3"/>
    <n v="9"/>
    <n v="1"/>
    <x v="25"/>
    <s v="vs Arvanitis"/>
    <n v="162"/>
    <n v="0.45"/>
    <n v="42"/>
    <n v="0.28999999999999998"/>
    <n v="0.84499999999999997"/>
    <n v="437"/>
    <n v="52"/>
    <n v="150"/>
    <n v="113"/>
    <n v="32"/>
    <n v="22"/>
    <n v="50"/>
    <n v="2.2599999999999998"/>
  </r>
  <r>
    <x v="8"/>
    <x v="0"/>
    <x v="10"/>
    <n v="105"/>
    <x v="11"/>
    <s v="pi/Sotiris"/>
    <n v="0"/>
    <n v="4"/>
    <n v="9"/>
    <n v="0"/>
    <x v="7"/>
    <s v="vs Tassos"/>
    <n v="177"/>
    <n v="0.50900000000000001"/>
    <n v="48"/>
    <n v="0.34300000000000003"/>
    <n v="0.73899999999999999"/>
    <n v="467"/>
    <n v="35"/>
    <n v="102"/>
    <n v="108"/>
    <n v="30"/>
    <n v="14"/>
    <n v="44"/>
    <n v="2.4500000000000002"/>
  </r>
  <r>
    <x v="8"/>
    <x v="0"/>
    <x v="10"/>
    <n v="105"/>
    <x v="6"/>
    <s v="Tassos"/>
    <n v="1"/>
    <n v="9"/>
    <n v="4"/>
    <n v="0"/>
    <x v="10"/>
    <s v="vs pi/Sotiris"/>
    <n v="223"/>
    <n v="0.49399999999999999"/>
    <n v="51"/>
    <n v="0.35199999999999998"/>
    <n v="0.73799999999999999"/>
    <n v="587"/>
    <n v="46"/>
    <n v="138"/>
    <n v="149"/>
    <n v="35"/>
    <n v="26"/>
    <n v="73"/>
    <n v="2.04"/>
  </r>
  <r>
    <x v="8"/>
    <x v="0"/>
    <x v="10"/>
    <n v="106"/>
    <x v="24"/>
    <s v="Tolios"/>
    <n v="0"/>
    <n v="3"/>
    <n v="9"/>
    <n v="1"/>
    <x v="13"/>
    <s v="vs Stavros"/>
    <n v="158"/>
    <n v="0.46100000000000002"/>
    <n v="58"/>
    <n v="0.44600000000000001"/>
    <n v="0.82"/>
    <n v="456"/>
    <n v="30"/>
    <n v="115"/>
    <n v="107"/>
    <n v="30"/>
    <n v="14"/>
    <n v="76"/>
    <n v="1.41"/>
  </r>
  <r>
    <x v="8"/>
    <x v="0"/>
    <x v="10"/>
    <n v="106"/>
    <x v="12"/>
    <s v="Stavros"/>
    <n v="1"/>
    <n v="9"/>
    <n v="3"/>
    <n v="1"/>
    <x v="24"/>
    <s v="vs Tolios"/>
    <n v="202"/>
    <n v="0.45700000000000002"/>
    <n v="57"/>
    <n v="0.308"/>
    <n v="0.90300000000000002"/>
    <n v="545"/>
    <n v="53"/>
    <n v="137"/>
    <n v="132"/>
    <n v="30"/>
    <n v="27"/>
    <n v="64"/>
    <n v="2.06"/>
  </r>
  <r>
    <x v="8"/>
    <x v="0"/>
    <x v="10"/>
    <n v="107"/>
    <x v="20"/>
    <s v="Guru"/>
    <n v="1"/>
    <n v="7"/>
    <n v="6"/>
    <n v="0"/>
    <x v="29"/>
    <s v="vs Pals"/>
    <n v="161"/>
    <n v="0.44700000000000001"/>
    <n v="52"/>
    <n v="0.33100000000000002"/>
    <n v="0.77800000000000002"/>
    <n v="444"/>
    <n v="42"/>
    <n v="126"/>
    <n v="108"/>
    <n v="28"/>
    <n v="11"/>
    <n v="54"/>
    <n v="2"/>
  </r>
  <r>
    <x v="8"/>
    <x v="0"/>
    <x v="10"/>
    <n v="107"/>
    <x v="29"/>
    <s v="Pals"/>
    <n v="0"/>
    <n v="6"/>
    <n v="7"/>
    <n v="0"/>
    <x v="20"/>
    <s v="vs Guru"/>
    <n v="137"/>
    <n v="0.502"/>
    <n v="41"/>
    <n v="0.318"/>
    <n v="0.879"/>
    <n v="366"/>
    <n v="64"/>
    <n v="132"/>
    <n v="90"/>
    <n v="32"/>
    <n v="22"/>
    <n v="59"/>
    <n v="1.53"/>
  </r>
  <r>
    <x v="8"/>
    <x v="0"/>
    <x v="10"/>
    <n v="108"/>
    <x v="27"/>
    <s v="Dimitris"/>
    <n v="0"/>
    <n v="6"/>
    <n v="6"/>
    <n v="1"/>
    <x v="21"/>
    <s v="vs Tzokos"/>
    <n v="84"/>
    <n v="0.44700000000000001"/>
    <n v="35"/>
    <n v="0.36799999999999999"/>
    <n v="0.86399999999999999"/>
    <n v="222"/>
    <n v="20"/>
    <n v="77"/>
    <n v="59"/>
    <n v="22"/>
    <n v="10"/>
    <n v="31"/>
    <n v="1.9"/>
  </r>
  <r>
    <x v="8"/>
    <x v="0"/>
    <x v="10"/>
    <n v="108"/>
    <x v="21"/>
    <s v="Tzokos"/>
    <n v="0"/>
    <n v="6"/>
    <n v="6"/>
    <n v="1"/>
    <x v="27"/>
    <s v="vs Dimitris"/>
    <n v="122"/>
    <n v="0.46899999999999997"/>
    <n v="32"/>
    <n v="0.34399999999999997"/>
    <n v="0.745"/>
    <n v="314"/>
    <n v="30"/>
    <n v="113"/>
    <n v="68"/>
    <n v="17"/>
    <n v="10"/>
    <n v="41"/>
    <n v="1.66"/>
  </r>
  <r>
    <x v="8"/>
    <x v="0"/>
    <x v="10"/>
    <n v="109"/>
    <x v="1"/>
    <s v="Fanis"/>
    <n v="0"/>
    <n v="6"/>
    <n v="6"/>
    <n v="1"/>
    <x v="14"/>
    <s v="vs Vasilis"/>
    <n v="216"/>
    <n v="0.52900000000000003"/>
    <n v="56"/>
    <n v="0.40899999999999997"/>
    <n v="0.76800000000000002"/>
    <n v="551"/>
    <n v="65"/>
    <n v="145"/>
    <n v="135"/>
    <n v="36"/>
    <n v="19"/>
    <n v="68"/>
    <n v="1.99"/>
  </r>
  <r>
    <x v="8"/>
    <x v="0"/>
    <x v="10"/>
    <n v="109"/>
    <x v="15"/>
    <s v="Vasilis"/>
    <n v="0"/>
    <n v="6"/>
    <n v="6"/>
    <n v="1"/>
    <x v="0"/>
    <s v="vs Fanis"/>
    <n v="217"/>
    <n v="0.441"/>
    <n v="62"/>
    <n v="0.29799999999999999"/>
    <n v="0.85199999999999998"/>
    <n v="594"/>
    <n v="20"/>
    <n v="142"/>
    <n v="130"/>
    <n v="36"/>
    <n v="18"/>
    <n v="47"/>
    <n v="2.77"/>
  </r>
  <r>
    <x v="8"/>
    <x v="0"/>
    <x v="10"/>
    <n v="110"/>
    <x v="9"/>
    <s v="Ziogas/Christof"/>
    <n v="1"/>
    <n v="10"/>
    <n v="3"/>
    <n v="0"/>
    <x v="19"/>
    <s v="vs Kotakis"/>
    <n v="196"/>
    <n v="0.51300000000000001"/>
    <n v="53"/>
    <n v="0.42099999999999999"/>
    <n v="0.72299999999999998"/>
    <n v="518"/>
    <n v="68"/>
    <n v="171"/>
    <n v="121"/>
    <n v="32"/>
    <n v="25"/>
    <n v="56"/>
    <n v="2.16"/>
  </r>
  <r>
    <x v="8"/>
    <x v="0"/>
    <x v="10"/>
    <n v="110"/>
    <x v="18"/>
    <s v="Kotakis"/>
    <n v="0"/>
    <n v="3"/>
    <n v="10"/>
    <n v="0"/>
    <x v="8"/>
    <s v="vs Ziogas/Christof"/>
    <n v="117"/>
    <n v="0.44800000000000001"/>
    <n v="43"/>
    <n v="0.314"/>
    <n v="0.78"/>
    <n v="309"/>
    <n v="19"/>
    <n v="74"/>
    <n v="60"/>
    <n v="28"/>
    <n v="19"/>
    <n v="24"/>
    <n v="2.5"/>
  </r>
  <r>
    <x v="8"/>
    <x v="0"/>
    <x v="11"/>
    <n v="111"/>
    <x v="26"/>
    <s v="Lafa"/>
    <n v="1"/>
    <n v="9"/>
    <n v="4"/>
    <n v="0"/>
    <x v="3"/>
    <s v="vs Fountos"/>
    <n v="211"/>
    <n v="0.52200000000000002"/>
    <n v="45"/>
    <n v="0.40200000000000002"/>
    <n v="0.73099999999999998"/>
    <n v="546"/>
    <n v="35"/>
    <n v="125"/>
    <n v="144"/>
    <n v="30"/>
    <n v="16"/>
    <n v="73"/>
    <n v="1.97"/>
  </r>
  <r>
    <x v="8"/>
    <x v="0"/>
    <x v="11"/>
    <n v="111"/>
    <x v="2"/>
    <s v="Fountos"/>
    <n v="0"/>
    <n v="4"/>
    <n v="9"/>
    <n v="0"/>
    <x v="26"/>
    <s v="vs Lafa"/>
    <n v="117"/>
    <n v="0.44"/>
    <n v="42"/>
    <n v="0.35"/>
    <n v="0.86699999999999999"/>
    <n v="341"/>
    <n v="32"/>
    <n v="53"/>
    <n v="94"/>
    <n v="33"/>
    <n v="12"/>
    <n v="45"/>
    <n v="2.09"/>
  </r>
  <r>
    <x v="8"/>
    <x v="0"/>
    <x v="11"/>
    <n v="112"/>
    <x v="7"/>
    <s v="Johnny"/>
    <n v="0"/>
    <n v="3"/>
    <n v="10"/>
    <n v="0"/>
    <x v="2"/>
    <s v="vs Sakellariou"/>
    <n v="105"/>
    <n v="0.51200000000000001"/>
    <n v="33"/>
    <n v="0.35899999999999999"/>
    <n v="0.85099999999999998"/>
    <n v="283"/>
    <n v="28"/>
    <n v="66"/>
    <n v="63"/>
    <n v="9"/>
    <n v="11"/>
    <n v="26"/>
    <n v="2.42"/>
  </r>
  <r>
    <x v="8"/>
    <x v="0"/>
    <x v="11"/>
    <n v="112"/>
    <x v="3"/>
    <s v="Sakellariou"/>
    <n v="1"/>
    <n v="10"/>
    <n v="3"/>
    <n v="0"/>
    <x v="6"/>
    <s v="vs Johnny"/>
    <n v="225"/>
    <n v="0.45800000000000002"/>
    <n v="71"/>
    <n v="0.378"/>
    <n v="0.83499999999999996"/>
    <n v="663"/>
    <n v="45"/>
    <n v="130"/>
    <n v="158"/>
    <n v="37"/>
    <n v="15"/>
    <n v="60"/>
    <n v="2.63"/>
  </r>
  <r>
    <x v="8"/>
    <x v="0"/>
    <x v="11"/>
    <n v="113"/>
    <x v="28"/>
    <s v="Panos"/>
    <n v="0"/>
    <n v="6"/>
    <n v="6"/>
    <n v="1"/>
    <x v="25"/>
    <s v="vs Arvanitis"/>
    <n v="189"/>
    <n v="0.49099999999999999"/>
    <n v="56"/>
    <n v="0.36399999999999999"/>
    <n v="0.67"/>
    <n v="495"/>
    <n v="35"/>
    <n v="120"/>
    <n v="126"/>
    <n v="28"/>
    <n v="16"/>
    <n v="60"/>
    <n v="2.1"/>
  </r>
  <r>
    <x v="8"/>
    <x v="0"/>
    <x v="11"/>
    <n v="113"/>
    <x v="25"/>
    <s v="Arvanitis"/>
    <n v="0"/>
    <n v="6"/>
    <n v="6"/>
    <n v="1"/>
    <x v="28"/>
    <s v="vs Panos"/>
    <n v="159"/>
    <n v="0.49399999999999999"/>
    <n v="41"/>
    <n v="0.41399999999999998"/>
    <n v="0.72399999999999998"/>
    <n v="430"/>
    <n v="35"/>
    <n v="116"/>
    <n v="101"/>
    <n v="29"/>
    <n v="15"/>
    <n v="43"/>
    <n v="2.35"/>
  </r>
  <r>
    <x v="8"/>
    <x v="0"/>
    <x v="11"/>
    <n v="114"/>
    <x v="16"/>
    <s v="Aris"/>
    <n v="1"/>
    <n v="10"/>
    <n v="3"/>
    <n v="0"/>
    <x v="10"/>
    <s v="vs pi/Sotiris"/>
    <n v="167"/>
    <n v="0.50800000000000001"/>
    <n v="36"/>
    <n v="0.39100000000000001"/>
    <n v="0.78"/>
    <n v="434"/>
    <n v="41"/>
    <n v="148"/>
    <n v="85"/>
    <n v="20"/>
    <n v="14"/>
    <n v="47"/>
    <n v="1.81"/>
  </r>
  <r>
    <x v="8"/>
    <x v="0"/>
    <x v="11"/>
    <n v="114"/>
    <x v="11"/>
    <s v="pi/Sotiris"/>
    <n v="0"/>
    <n v="3"/>
    <n v="10"/>
    <n v="0"/>
    <x v="17"/>
    <s v="vs Aris"/>
    <n v="112"/>
    <n v="0.47899999999999998"/>
    <n v="34"/>
    <n v="0.36199999999999999"/>
    <n v="0.70299999999999996"/>
    <n v="303"/>
    <n v="27"/>
    <n v="93"/>
    <n v="76"/>
    <n v="22"/>
    <n v="8"/>
    <n v="38"/>
    <n v="2"/>
  </r>
  <r>
    <x v="8"/>
    <x v="0"/>
    <x v="11"/>
    <n v="115"/>
    <x v="17"/>
    <s v="Spiridaus/Oladipas"/>
    <n v="1"/>
    <n v="11"/>
    <n v="2"/>
    <n v="0"/>
    <x v="24"/>
    <s v="vs Tolios"/>
    <n v="198"/>
    <n v="0.51300000000000001"/>
    <n v="59"/>
    <n v="0.41299999999999998"/>
    <n v="0.80200000000000005"/>
    <n v="532"/>
    <n v="40"/>
    <n v="131"/>
    <n v="130"/>
    <n v="30"/>
    <n v="20"/>
    <n v="59"/>
    <n v="2.2000000000000002"/>
  </r>
  <r>
    <x v="8"/>
    <x v="0"/>
    <x v="11"/>
    <n v="115"/>
    <x v="24"/>
    <s v="Tolios"/>
    <n v="0"/>
    <n v="2"/>
    <n v="11"/>
    <n v="0"/>
    <x v="16"/>
    <s v="vs Spiridaus/Oladipas"/>
    <n v="89"/>
    <n v="0.39200000000000002"/>
    <n v="23"/>
    <n v="0.26700000000000002"/>
    <n v="0.91700000000000004"/>
    <n v="267"/>
    <n v="29"/>
    <n v="89"/>
    <n v="71"/>
    <n v="17"/>
    <n v="6"/>
    <n v="35"/>
    <n v="2.0299999999999998"/>
  </r>
  <r>
    <x v="8"/>
    <x v="0"/>
    <x v="11"/>
    <n v="116"/>
    <x v="6"/>
    <s v="Tassos"/>
    <n v="1"/>
    <n v="9"/>
    <n v="3"/>
    <n v="1"/>
    <x v="20"/>
    <s v="vs Guru"/>
    <n v="192"/>
    <n v="0.496"/>
    <n v="50"/>
    <n v="0.39700000000000002"/>
    <n v="0.86699999999999999"/>
    <n v="519"/>
    <n v="22"/>
    <n v="105"/>
    <n v="123"/>
    <n v="24"/>
    <n v="28"/>
    <n v="53"/>
    <n v="2.3199999999999998"/>
  </r>
  <r>
    <x v="8"/>
    <x v="0"/>
    <x v="11"/>
    <n v="116"/>
    <x v="20"/>
    <s v="Guru"/>
    <n v="0"/>
    <n v="3"/>
    <n v="9"/>
    <n v="1"/>
    <x v="7"/>
    <s v="vs Tassos"/>
    <n v="173"/>
    <n v="0.46500000000000002"/>
    <n v="59"/>
    <n v="0.34300000000000003"/>
    <n v="0.73099999999999998"/>
    <n v="481"/>
    <n v="25"/>
    <n v="100"/>
    <n v="100"/>
    <n v="24"/>
    <n v="12"/>
    <n v="48"/>
    <n v="2.08"/>
  </r>
  <r>
    <x v="8"/>
    <x v="0"/>
    <x v="11"/>
    <n v="117"/>
    <x v="12"/>
    <s v="Stavros"/>
    <n v="1"/>
    <n v="10"/>
    <n v="3"/>
    <n v="0"/>
    <x v="27"/>
    <s v="vs Dimitris"/>
    <n v="198"/>
    <n v="0.45100000000000001"/>
    <n v="54"/>
    <n v="0.316"/>
    <n v="0.80300000000000005"/>
    <n v="552"/>
    <n v="46"/>
    <n v="122"/>
    <n v="115"/>
    <n v="23"/>
    <n v="23"/>
    <n v="53"/>
    <n v="2.17"/>
  </r>
  <r>
    <x v="8"/>
    <x v="0"/>
    <x v="11"/>
    <n v="117"/>
    <x v="27"/>
    <s v="Dimitris"/>
    <n v="0"/>
    <n v="3"/>
    <n v="10"/>
    <n v="0"/>
    <x v="13"/>
    <s v="vs Stavros"/>
    <n v="87"/>
    <n v="0.46800000000000003"/>
    <n v="40"/>
    <n v="0.42099999999999999"/>
    <n v="0.51600000000000001"/>
    <n v="230"/>
    <n v="19"/>
    <n v="76"/>
    <n v="62"/>
    <n v="21"/>
    <n v="13"/>
    <n v="36"/>
    <n v="1.72"/>
  </r>
  <r>
    <x v="8"/>
    <x v="0"/>
    <x v="11"/>
    <n v="118"/>
    <x v="29"/>
    <s v="Pals"/>
    <n v="1"/>
    <n v="9"/>
    <n v="4"/>
    <n v="0"/>
    <x v="0"/>
    <s v="vs Fanis"/>
    <n v="162"/>
    <n v="0.53500000000000003"/>
    <n v="47"/>
    <n v="0.379"/>
    <n v="0.81599999999999995"/>
    <n v="442"/>
    <n v="62"/>
    <n v="131"/>
    <n v="82"/>
    <n v="14"/>
    <n v="14"/>
    <n v="44"/>
    <n v="1.86"/>
  </r>
  <r>
    <x v="8"/>
    <x v="0"/>
    <x v="11"/>
    <n v="118"/>
    <x v="1"/>
    <s v="Fanis"/>
    <n v="0"/>
    <n v="4"/>
    <n v="9"/>
    <n v="0"/>
    <x v="29"/>
    <s v="vs Pals"/>
    <n v="110"/>
    <n v="0.45500000000000002"/>
    <n v="32"/>
    <n v="0.30199999999999999"/>
    <n v="0.68300000000000005"/>
    <n v="280"/>
    <n v="42"/>
    <n v="124"/>
    <n v="78"/>
    <n v="19"/>
    <n v="19"/>
    <n v="41"/>
    <n v="1.9"/>
  </r>
  <r>
    <x v="8"/>
    <x v="0"/>
    <x v="11"/>
    <n v="119"/>
    <x v="21"/>
    <s v="Tzokos"/>
    <n v="0"/>
    <n v="2"/>
    <n v="11"/>
    <n v="0"/>
    <x v="8"/>
    <s v="vs Ziogas/Christof"/>
    <n v="111"/>
    <n v="0.46800000000000003"/>
    <n v="28"/>
    <n v="0.318"/>
    <n v="0.66700000000000004"/>
    <n v="276"/>
    <n v="49"/>
    <n v="90"/>
    <n v="60"/>
    <n v="17"/>
    <n v="13"/>
    <n v="29"/>
    <n v="2.0699999999999998"/>
  </r>
  <r>
    <x v="8"/>
    <x v="0"/>
    <x v="11"/>
    <n v="119"/>
    <x v="9"/>
    <s v="Ziogas/Christof"/>
    <n v="1"/>
    <n v="11"/>
    <n v="2"/>
    <n v="0"/>
    <x v="21"/>
    <s v="vs Tzokos"/>
    <n v="134"/>
    <n v="0.48199999999999998"/>
    <n v="39"/>
    <n v="0.38200000000000001"/>
    <n v="0.80500000000000005"/>
    <n v="373"/>
    <n v="39"/>
    <n v="119"/>
    <n v="107"/>
    <n v="23"/>
    <n v="14"/>
    <n v="38"/>
    <n v="2.82"/>
  </r>
  <r>
    <x v="8"/>
    <x v="0"/>
    <x v="11"/>
    <n v="120"/>
    <x v="15"/>
    <s v="Vasilis"/>
    <n v="1"/>
    <n v="10"/>
    <n v="3"/>
    <n v="0"/>
    <x v="19"/>
    <s v="vs Kotakis"/>
    <n v="203"/>
    <n v="0.48899999999999999"/>
    <n v="84"/>
    <n v="0.41399999999999998"/>
    <n v="0.85099999999999998"/>
    <n v="593"/>
    <n v="22"/>
    <n v="113"/>
    <n v="114"/>
    <n v="30"/>
    <n v="18"/>
    <n v="62"/>
    <n v="1.84"/>
  </r>
  <r>
    <x v="8"/>
    <x v="0"/>
    <x v="11"/>
    <n v="120"/>
    <x v="18"/>
    <s v="Kotakis"/>
    <n v="0"/>
    <n v="3"/>
    <n v="10"/>
    <n v="0"/>
    <x v="14"/>
    <s v="vs Vasilis"/>
    <n v="113"/>
    <n v="0.47899999999999998"/>
    <n v="59"/>
    <n v="0.43099999999999999"/>
    <n v="0.82899999999999996"/>
    <n v="319"/>
    <n v="17"/>
    <n v="57"/>
    <n v="67"/>
    <n v="20"/>
    <n v="14"/>
    <n v="17"/>
    <n v="3.94"/>
  </r>
  <r>
    <x v="8"/>
    <x v="0"/>
    <x v="12"/>
    <n v="121"/>
    <x v="3"/>
    <s v="Sakellariou"/>
    <n v="1"/>
    <n v="8"/>
    <n v="5"/>
    <n v="0"/>
    <x v="26"/>
    <s v="vs Lafa"/>
    <n v="220"/>
    <n v="0.45700000000000002"/>
    <n v="48"/>
    <n v="0.316"/>
    <n v="0.82399999999999995"/>
    <n v="643"/>
    <n v="61"/>
    <n v="149"/>
    <n v="132"/>
    <n v="44"/>
    <n v="17"/>
    <n v="86"/>
    <n v="1.53"/>
  </r>
  <r>
    <x v="8"/>
    <x v="0"/>
    <x v="12"/>
    <n v="121"/>
    <x v="26"/>
    <s v="Lafa"/>
    <n v="0"/>
    <n v="5"/>
    <n v="8"/>
    <n v="0"/>
    <x v="2"/>
    <s v="vs Sakellariou"/>
    <n v="157"/>
    <n v="0.495"/>
    <n v="43"/>
    <n v="0.371"/>
    <n v="0.81699999999999995"/>
    <n v="491"/>
    <n v="29"/>
    <n v="146"/>
    <n v="119"/>
    <n v="29"/>
    <n v="24"/>
    <n v="65"/>
    <n v="1.83"/>
  </r>
  <r>
    <x v="8"/>
    <x v="0"/>
    <x v="12"/>
    <n v="122"/>
    <x v="25"/>
    <s v="Arvanitis"/>
    <n v="1"/>
    <n v="8"/>
    <n v="5"/>
    <n v="0"/>
    <x v="3"/>
    <s v="vs Fountos"/>
    <n v="196"/>
    <n v="0.46700000000000003"/>
    <n v="54"/>
    <n v="0.38800000000000001"/>
    <n v="0.72199999999999998"/>
    <n v="550"/>
    <n v="43"/>
    <n v="141"/>
    <n v="129"/>
    <n v="35"/>
    <n v="22"/>
    <n v="66"/>
    <n v="1.95"/>
  </r>
  <r>
    <x v="8"/>
    <x v="0"/>
    <x v="12"/>
    <n v="122"/>
    <x v="2"/>
    <s v="Fountos"/>
    <n v="0"/>
    <n v="5"/>
    <n v="8"/>
    <n v="0"/>
    <x v="25"/>
    <s v="vs Arvanitis"/>
    <n v="153"/>
    <n v="0.46800000000000003"/>
    <n v="47"/>
    <n v="0.379"/>
    <n v="0.79"/>
    <n v="417"/>
    <n v="44"/>
    <n v="102"/>
    <n v="89"/>
    <n v="30"/>
    <n v="17"/>
    <n v="41"/>
    <n v="2.17"/>
  </r>
  <r>
    <x v="8"/>
    <x v="0"/>
    <x v="12"/>
    <n v="123"/>
    <x v="11"/>
    <s v="pi/Sotiris"/>
    <n v="1"/>
    <n v="8"/>
    <n v="5"/>
    <n v="0"/>
    <x v="6"/>
    <s v="vs Johnny"/>
    <n v="183"/>
    <n v="0.46100000000000002"/>
    <n v="44"/>
    <n v="0.31900000000000001"/>
    <n v="0.77400000000000002"/>
    <n v="506"/>
    <n v="49"/>
    <n v="181"/>
    <n v="173"/>
    <n v="28"/>
    <n v="12"/>
    <n v="66"/>
    <n v="2.62"/>
  </r>
  <r>
    <x v="8"/>
    <x v="0"/>
    <x v="12"/>
    <n v="123"/>
    <x v="7"/>
    <s v="Johnny"/>
    <n v="0"/>
    <n v="5"/>
    <n v="8"/>
    <n v="0"/>
    <x v="10"/>
    <s v="vs pi/Sotiris"/>
    <n v="118"/>
    <n v="0.46500000000000002"/>
    <n v="45"/>
    <n v="0.39100000000000001"/>
    <n v="0.84399999999999997"/>
    <n v="335"/>
    <n v="28"/>
    <n v="100"/>
    <n v="70"/>
    <n v="21"/>
    <n v="11"/>
    <n v="38"/>
    <n v="1.84"/>
  </r>
  <r>
    <x v="8"/>
    <x v="0"/>
    <x v="12"/>
    <n v="124"/>
    <x v="24"/>
    <s v="Tolios"/>
    <n v="0"/>
    <n v="4"/>
    <n v="8"/>
    <n v="1"/>
    <x v="28"/>
    <s v="vs Panos"/>
    <n v="124"/>
    <n v="0.52300000000000002"/>
    <n v="40"/>
    <n v="0.40400000000000003"/>
    <n v="0.9"/>
    <n v="333"/>
    <n v="26"/>
    <n v="92"/>
    <n v="47"/>
    <n v="24"/>
    <n v="10"/>
    <n v="36"/>
    <n v="1.31"/>
  </r>
  <r>
    <x v="8"/>
    <x v="0"/>
    <x v="12"/>
    <n v="124"/>
    <x v="28"/>
    <s v="Panos"/>
    <n v="1"/>
    <n v="8"/>
    <n v="4"/>
    <n v="1"/>
    <x v="24"/>
    <s v="vs Tolios"/>
    <n v="174"/>
    <n v="0.435"/>
    <n v="40"/>
    <n v="0.28399999999999997"/>
    <n v="0.70599999999999996"/>
    <n v="448"/>
    <n v="30"/>
    <n v="140"/>
    <n v="147"/>
    <n v="37"/>
    <n v="20"/>
    <n v="60"/>
    <n v="2.4500000000000002"/>
  </r>
  <r>
    <x v="8"/>
    <x v="0"/>
    <x v="12"/>
    <n v="125"/>
    <x v="20"/>
    <s v="Guru"/>
    <n v="0"/>
    <n v="6"/>
    <n v="7"/>
    <n v="0"/>
    <x v="17"/>
    <s v="vs Aris"/>
    <n v="164"/>
    <n v="0.41799999999999998"/>
    <n v="54"/>
    <n v="0.32500000000000001"/>
    <n v="0.85799999999999998"/>
    <n v="485"/>
    <n v="32"/>
    <n v="106"/>
    <n v="77"/>
    <n v="29"/>
    <n v="18"/>
    <n v="46"/>
    <n v="1.67"/>
  </r>
  <r>
    <x v="8"/>
    <x v="0"/>
    <x v="12"/>
    <n v="125"/>
    <x v="16"/>
    <s v="Aris"/>
    <n v="1"/>
    <n v="7"/>
    <n v="6"/>
    <n v="0"/>
    <x v="20"/>
    <s v="vs Guru"/>
    <n v="152"/>
    <n v="0.438"/>
    <n v="49"/>
    <n v="0.38300000000000001"/>
    <n v="0.747"/>
    <n v="415"/>
    <n v="44"/>
    <n v="108"/>
    <n v="93"/>
    <n v="24"/>
    <n v="12"/>
    <n v="40"/>
    <n v="2.33"/>
  </r>
  <r>
    <x v="8"/>
    <x v="0"/>
    <x v="12"/>
    <n v="126"/>
    <x v="27"/>
    <s v="Dimitris"/>
    <n v="0"/>
    <n v="1"/>
    <n v="12"/>
    <n v="0"/>
    <x v="16"/>
    <s v="vs Spiridaus/Oladipas"/>
    <n v="90"/>
    <n v="0.41899999999999998"/>
    <n v="38"/>
    <n v="0.36499999999999999"/>
    <n v="0.73699999999999999"/>
    <n v="260"/>
    <n v="28"/>
    <n v="76"/>
    <n v="60"/>
    <n v="12"/>
    <n v="11"/>
    <n v="38"/>
    <n v="1.58"/>
  </r>
  <r>
    <x v="8"/>
    <x v="0"/>
    <x v="12"/>
    <n v="126"/>
    <x v="17"/>
    <s v="Spiridaus/Oladipas"/>
    <n v="1"/>
    <n v="12"/>
    <n v="1"/>
    <n v="0"/>
    <x v="27"/>
    <s v="vs Dimitris"/>
    <n v="194"/>
    <n v="0.504"/>
    <n v="71"/>
    <n v="0.41799999999999998"/>
    <n v="0.86699999999999999"/>
    <n v="524"/>
    <n v="48"/>
    <n v="151"/>
    <n v="127"/>
    <n v="37"/>
    <n v="32"/>
    <n v="62"/>
    <n v="2.0499999999999998"/>
  </r>
  <r>
    <x v="8"/>
    <x v="0"/>
    <x v="12"/>
    <n v="127"/>
    <x v="1"/>
    <s v="Fanis"/>
    <n v="0"/>
    <n v="4"/>
    <n v="9"/>
    <n v="0"/>
    <x v="7"/>
    <s v="vs Tassos"/>
    <n v="130"/>
    <n v="0.439"/>
    <n v="32"/>
    <n v="0.29599999999999999"/>
    <n v="0.82499999999999996"/>
    <n v="344"/>
    <n v="43"/>
    <n v="139"/>
    <n v="70"/>
    <n v="17"/>
    <n v="19"/>
    <n v="50"/>
    <n v="1.4"/>
  </r>
  <r>
    <x v="8"/>
    <x v="0"/>
    <x v="12"/>
    <n v="127"/>
    <x v="6"/>
    <s v="Tassos"/>
    <n v="1"/>
    <n v="9"/>
    <n v="4"/>
    <n v="0"/>
    <x v="0"/>
    <s v="vs Fanis"/>
    <n v="195"/>
    <n v="0.46500000000000002"/>
    <n v="36"/>
    <n v="0.31900000000000001"/>
    <n v="0.77900000000000003"/>
    <n v="532"/>
    <n v="32"/>
    <n v="128"/>
    <n v="134"/>
    <n v="39"/>
    <n v="28"/>
    <n v="62"/>
    <n v="2.16"/>
  </r>
  <r>
    <x v="8"/>
    <x v="0"/>
    <x v="12"/>
    <n v="128"/>
    <x v="9"/>
    <s v="Ziogas/Christof"/>
    <n v="0"/>
    <n v="3"/>
    <n v="9"/>
    <n v="1"/>
    <x v="13"/>
    <s v="vs Stavros"/>
    <n v="140"/>
    <n v="0.49299999999999999"/>
    <n v="42"/>
    <n v="0.375"/>
    <n v="0.69399999999999995"/>
    <n v="381"/>
    <n v="51"/>
    <n v="120"/>
    <n v="111"/>
    <n v="28"/>
    <n v="18"/>
    <n v="58"/>
    <n v="1.91"/>
  </r>
  <r>
    <x v="8"/>
    <x v="0"/>
    <x v="12"/>
    <n v="128"/>
    <x v="12"/>
    <s v="Stavros"/>
    <n v="1"/>
    <n v="9"/>
    <n v="3"/>
    <n v="1"/>
    <x v="8"/>
    <s v="vs Ziogas/Christof"/>
    <n v="197"/>
    <n v="0.49099999999999999"/>
    <n v="67"/>
    <n v="0.38300000000000001"/>
    <n v="0.81499999999999995"/>
    <n v="549"/>
    <n v="47"/>
    <n v="134"/>
    <n v="142"/>
    <n v="18"/>
    <n v="21"/>
    <n v="58"/>
    <n v="2.4500000000000002"/>
  </r>
  <r>
    <x v="8"/>
    <x v="0"/>
    <x v="12"/>
    <n v="129"/>
    <x v="18"/>
    <s v="Kotakis"/>
    <n v="0"/>
    <n v="6"/>
    <n v="7"/>
    <n v="0"/>
    <x v="29"/>
    <s v="vs Pals"/>
    <n v="106"/>
    <n v="0.43099999999999999"/>
    <n v="45"/>
    <n v="0.36899999999999999"/>
    <n v="0.79100000000000004"/>
    <n v="291"/>
    <n v="25"/>
    <n v="86"/>
    <n v="80"/>
    <n v="24"/>
    <n v="9"/>
    <n v="30"/>
    <n v="2.67"/>
  </r>
  <r>
    <x v="8"/>
    <x v="0"/>
    <x v="12"/>
    <n v="129"/>
    <x v="29"/>
    <s v="Pals"/>
    <n v="1"/>
    <n v="7"/>
    <n v="6"/>
    <n v="0"/>
    <x v="19"/>
    <s v="vs Kotakis"/>
    <n v="101"/>
    <n v="0.45500000000000002"/>
    <n v="50"/>
    <n v="0.38500000000000001"/>
    <n v="0.80400000000000005"/>
    <n v="289"/>
    <n v="43"/>
    <n v="88"/>
    <n v="73"/>
    <n v="25"/>
    <n v="7"/>
    <n v="44"/>
    <n v="1.66"/>
  </r>
  <r>
    <x v="8"/>
    <x v="0"/>
    <x v="12"/>
    <n v="130"/>
    <x v="15"/>
    <s v="Vasilis"/>
    <n v="1"/>
    <n v="8"/>
    <n v="5"/>
    <n v="0"/>
    <x v="21"/>
    <s v="vs Tzokos"/>
    <n v="172"/>
    <n v="0.47399999999999998"/>
    <n v="58"/>
    <n v="0.34300000000000003"/>
    <n v="0.85899999999999999"/>
    <n v="487"/>
    <n v="19"/>
    <n v="93"/>
    <n v="125"/>
    <n v="38"/>
    <n v="16"/>
    <n v="53"/>
    <n v="2.36"/>
  </r>
  <r>
    <x v="8"/>
    <x v="0"/>
    <x v="12"/>
    <n v="130"/>
    <x v="21"/>
    <s v="Tzokos"/>
    <n v="0"/>
    <n v="5"/>
    <n v="8"/>
    <n v="0"/>
    <x v="14"/>
    <s v="vs Vasilis"/>
    <n v="161"/>
    <n v="0.51100000000000001"/>
    <n v="49"/>
    <n v="0.40500000000000003"/>
    <n v="0.747"/>
    <n v="427"/>
    <n v="46"/>
    <n v="131"/>
    <n v="98"/>
    <n v="17"/>
    <n v="11"/>
    <n v="46"/>
    <n v="2.13"/>
  </r>
  <r>
    <x v="8"/>
    <x v="0"/>
    <x v="13"/>
    <n v="131"/>
    <x v="26"/>
    <s v="Lafa"/>
    <n v="1"/>
    <n v="9"/>
    <n v="4"/>
    <n v="0"/>
    <x v="25"/>
    <s v="vs Arvanitis"/>
    <n v="221"/>
    <n v="0.47799999999999998"/>
    <n v="52"/>
    <n v="0.377"/>
    <n v="0.70299999999999996"/>
    <n v="596"/>
    <n v="57"/>
    <n v="185"/>
    <n v="144"/>
    <n v="34"/>
    <n v="24"/>
    <n v="77"/>
    <n v="1.87"/>
  </r>
  <r>
    <x v="8"/>
    <x v="0"/>
    <x v="13"/>
    <n v="131"/>
    <x v="25"/>
    <s v="Arvanitis"/>
    <n v="0"/>
    <n v="4"/>
    <n v="9"/>
    <n v="0"/>
    <x v="26"/>
    <s v="vs Lafa"/>
    <n v="194"/>
    <n v="0.46400000000000002"/>
    <n v="32"/>
    <n v="0.28299999999999997"/>
    <n v="0.75"/>
    <n v="504"/>
    <n v="49"/>
    <n v="117"/>
    <n v="111"/>
    <n v="30"/>
    <n v="29"/>
    <n v="52"/>
    <n v="2.13"/>
  </r>
  <r>
    <x v="8"/>
    <x v="0"/>
    <x v="13"/>
    <n v="132"/>
    <x v="3"/>
    <s v="Sakellariou"/>
    <n v="1"/>
    <n v="9"/>
    <n v="4"/>
    <n v="0"/>
    <x v="10"/>
    <s v="vs pi/Sotiris"/>
    <n v="230"/>
    <n v="0.48699999999999999"/>
    <n v="64"/>
    <n v="0.379"/>
    <n v="0.76700000000000002"/>
    <n v="626"/>
    <n v="49"/>
    <n v="136"/>
    <n v="139"/>
    <n v="42"/>
    <n v="9"/>
    <n v="78"/>
    <n v="1.78"/>
  </r>
  <r>
    <x v="8"/>
    <x v="0"/>
    <x v="13"/>
    <n v="132"/>
    <x v="11"/>
    <s v="pi/Sotiris"/>
    <n v="0"/>
    <n v="4"/>
    <n v="9"/>
    <n v="0"/>
    <x v="2"/>
    <s v="vs Sakellariou"/>
    <n v="115"/>
    <n v="0.47899999999999998"/>
    <n v="44"/>
    <n v="0.41499999999999998"/>
    <n v="0.82799999999999996"/>
    <n v="322"/>
    <n v="36"/>
    <n v="90"/>
    <n v="64"/>
    <n v="27"/>
    <n v="11"/>
    <n v="50"/>
    <n v="1.28"/>
  </r>
  <r>
    <x v="8"/>
    <x v="0"/>
    <x v="13"/>
    <n v="133"/>
    <x v="2"/>
    <s v="Fountos"/>
    <n v="1"/>
    <n v="7"/>
    <n v="6"/>
    <n v="0"/>
    <x v="24"/>
    <s v="vs Tolios"/>
    <n v="132"/>
    <n v="0.46200000000000002"/>
    <n v="34"/>
    <n v="0.32400000000000001"/>
    <n v="0.67600000000000005"/>
    <n v="344"/>
    <n v="42"/>
    <n v="101"/>
    <n v="79"/>
    <n v="28"/>
    <n v="12"/>
    <n v="34"/>
    <n v="2.3199999999999998"/>
  </r>
  <r>
    <x v="8"/>
    <x v="0"/>
    <x v="13"/>
    <n v="133"/>
    <x v="24"/>
    <s v="Tolios"/>
    <n v="0"/>
    <n v="6"/>
    <n v="7"/>
    <n v="0"/>
    <x v="3"/>
    <s v="vs Fountos"/>
    <n v="114"/>
    <n v="0.41"/>
    <n v="38"/>
    <n v="0.33600000000000002"/>
    <n v="0.79600000000000004"/>
    <n v="309"/>
    <n v="44"/>
    <n v="117"/>
    <n v="77"/>
    <n v="27"/>
    <n v="18"/>
    <n v="49"/>
    <n v="1.57"/>
  </r>
  <r>
    <x v="8"/>
    <x v="0"/>
    <x v="13"/>
    <n v="134"/>
    <x v="7"/>
    <s v="Johnny"/>
    <n v="0"/>
    <n v="3"/>
    <n v="10"/>
    <n v="0"/>
    <x v="20"/>
    <s v="vs Guru"/>
    <n v="106"/>
    <n v="0.42899999999999999"/>
    <n v="47"/>
    <n v="0.41199999999999998"/>
    <n v="0.81399999999999995"/>
    <n v="307"/>
    <n v="22"/>
    <n v="83"/>
    <n v="84"/>
    <n v="26"/>
    <n v="11"/>
    <n v="54"/>
    <n v="1.56"/>
  </r>
  <r>
    <x v="8"/>
    <x v="0"/>
    <x v="13"/>
    <n v="134"/>
    <x v="20"/>
    <s v="Guru"/>
    <n v="1"/>
    <n v="10"/>
    <n v="3"/>
    <n v="0"/>
    <x v="6"/>
    <s v="vs Johnny"/>
    <n v="194"/>
    <n v="0.48099999999999998"/>
    <n v="64"/>
    <n v="0.432"/>
    <n v="0.752"/>
    <n v="549"/>
    <n v="47"/>
    <n v="139"/>
    <n v="74"/>
    <n v="30"/>
    <n v="18"/>
    <n v="53"/>
    <n v="1.4"/>
  </r>
  <r>
    <x v="8"/>
    <x v="0"/>
    <x v="13"/>
    <n v="135"/>
    <x v="28"/>
    <s v="Panos"/>
    <n v="1"/>
    <n v="11"/>
    <n v="2"/>
    <n v="0"/>
    <x v="27"/>
    <s v="vs Dimitris"/>
    <n v="181"/>
    <n v="0.45300000000000001"/>
    <n v="49"/>
    <n v="0.33300000000000002"/>
    <n v="0.76100000000000001"/>
    <n v="481"/>
    <n v="40"/>
    <n v="120"/>
    <n v="150"/>
    <n v="36"/>
    <n v="27"/>
    <n v="73"/>
    <n v="2.0499999999999998"/>
  </r>
  <r>
    <x v="8"/>
    <x v="0"/>
    <x v="13"/>
    <n v="135"/>
    <x v="27"/>
    <s v="Dimitris"/>
    <n v="0"/>
    <n v="2"/>
    <n v="11"/>
    <n v="0"/>
    <x v="28"/>
    <s v="vs Panos"/>
    <n v="114"/>
    <n v="0.42899999999999999"/>
    <n v="37"/>
    <n v="0.31900000000000001"/>
    <n v="0.877"/>
    <n v="336"/>
    <n v="32"/>
    <n v="113"/>
    <n v="86"/>
    <n v="23"/>
    <n v="9"/>
    <n v="54"/>
    <n v="1.59"/>
  </r>
  <r>
    <x v="8"/>
    <x v="0"/>
    <x v="13"/>
    <n v="136"/>
    <x v="16"/>
    <s v="Aris"/>
    <n v="1"/>
    <n v="9"/>
    <n v="4"/>
    <n v="0"/>
    <x v="0"/>
    <s v="vs Fanis"/>
    <n v="170"/>
    <n v="0.52600000000000002"/>
    <n v="36"/>
    <n v="0.379"/>
    <n v="0.9"/>
    <n v="439"/>
    <n v="56"/>
    <n v="107"/>
    <n v="79"/>
    <n v="28"/>
    <n v="25"/>
    <n v="36"/>
    <n v="2.19"/>
  </r>
  <r>
    <x v="8"/>
    <x v="0"/>
    <x v="13"/>
    <n v="136"/>
    <x v="1"/>
    <s v="Fanis"/>
    <n v="0"/>
    <n v="4"/>
    <n v="9"/>
    <n v="0"/>
    <x v="17"/>
    <s v="vs Aris"/>
    <n v="133"/>
    <n v="0.49099999999999999"/>
    <n v="49"/>
    <n v="0.40799999999999997"/>
    <n v="0.75"/>
    <n v="363"/>
    <n v="35"/>
    <n v="113"/>
    <n v="78"/>
    <n v="29"/>
    <n v="17"/>
    <n v="52"/>
    <n v="1.5"/>
  </r>
  <r>
    <x v="8"/>
    <x v="0"/>
    <x v="13"/>
    <n v="137"/>
    <x v="17"/>
    <s v="Spiridaus/Oladipas"/>
    <n v="0"/>
    <n v="2"/>
    <n v="11"/>
    <n v="0"/>
    <x v="8"/>
    <s v="vs Ziogas/Christof"/>
    <n v="166"/>
    <n v="0.46100000000000002"/>
    <n v="56"/>
    <n v="0.378"/>
    <n v="0.77600000000000002"/>
    <n v="478"/>
    <n v="44"/>
    <n v="136"/>
    <n v="89"/>
    <n v="30"/>
    <n v="30"/>
    <n v="51"/>
    <n v="1.75"/>
  </r>
  <r>
    <x v="8"/>
    <x v="0"/>
    <x v="13"/>
    <n v="137"/>
    <x v="9"/>
    <s v="Ziogas/Christof"/>
    <n v="1"/>
    <n v="11"/>
    <n v="2"/>
    <n v="0"/>
    <x v="16"/>
    <s v="vs Spiridaus/Oladipas"/>
    <n v="226"/>
    <n v="0.50900000000000001"/>
    <n v="67"/>
    <n v="0.38300000000000001"/>
    <n v="0.80700000000000005"/>
    <n v="590"/>
    <n v="47"/>
    <n v="180"/>
    <n v="152"/>
    <n v="58"/>
    <n v="25"/>
    <n v="61"/>
    <n v="2.4900000000000002"/>
  </r>
  <r>
    <x v="8"/>
    <x v="0"/>
    <x v="13"/>
    <n v="138"/>
    <x v="6"/>
    <s v="Tassos"/>
    <n v="1"/>
    <n v="9"/>
    <n v="4"/>
    <n v="0"/>
    <x v="19"/>
    <s v="vs Kotakis"/>
    <n v="209"/>
    <n v="0.51100000000000001"/>
    <n v="40"/>
    <n v="0.32"/>
    <n v="0.754"/>
    <n v="559"/>
    <n v="31"/>
    <n v="133"/>
    <n v="158"/>
    <n v="29"/>
    <n v="28"/>
    <n v="47"/>
    <n v="3.36"/>
  </r>
  <r>
    <x v="8"/>
    <x v="0"/>
    <x v="13"/>
    <n v="138"/>
    <x v="18"/>
    <s v="Kotakis"/>
    <n v="0"/>
    <n v="4"/>
    <n v="9"/>
    <n v="0"/>
    <x v="7"/>
    <s v="vs Tassos"/>
    <n v="132"/>
    <n v="0.44700000000000001"/>
    <n v="46"/>
    <n v="0.35099999999999998"/>
    <n v="0.76200000000000001"/>
    <n v="342"/>
    <n v="27"/>
    <n v="83"/>
    <n v="79"/>
    <n v="22"/>
    <n v="14"/>
    <n v="40"/>
    <n v="1.98"/>
  </r>
  <r>
    <x v="8"/>
    <x v="0"/>
    <x v="13"/>
    <n v="139"/>
    <x v="12"/>
    <s v="Stavros"/>
    <n v="1"/>
    <n v="12"/>
    <n v="1"/>
    <n v="0"/>
    <x v="14"/>
    <s v="vs Vasilis"/>
    <n v="223"/>
    <n v="0.46800000000000003"/>
    <n v="68"/>
    <n v="0.38200000000000001"/>
    <n v="0.89200000000000002"/>
    <n v="638"/>
    <n v="49"/>
    <n v="157"/>
    <n v="162"/>
    <n v="44"/>
    <n v="22"/>
    <n v="68"/>
    <n v="2.38"/>
  </r>
  <r>
    <x v="8"/>
    <x v="0"/>
    <x v="13"/>
    <n v="139"/>
    <x v="15"/>
    <s v="Vasilis"/>
    <n v="0"/>
    <n v="1"/>
    <n v="12"/>
    <n v="0"/>
    <x v="13"/>
    <s v="vs Stavros"/>
    <n v="143"/>
    <n v="0.40100000000000002"/>
    <n v="62"/>
    <n v="0.34399999999999997"/>
    <n v="0.871"/>
    <n v="429"/>
    <n v="15"/>
    <n v="90"/>
    <n v="100"/>
    <n v="32"/>
    <n v="9"/>
    <n v="48"/>
    <n v="2.08"/>
  </r>
  <r>
    <x v="8"/>
    <x v="0"/>
    <x v="13"/>
    <n v="140"/>
    <x v="29"/>
    <s v="Pals"/>
    <n v="0"/>
    <n v="5"/>
    <n v="8"/>
    <n v="0"/>
    <x v="21"/>
    <s v="vs Tzokos"/>
    <n v="141"/>
    <n v="0.443"/>
    <n v="54"/>
    <n v="0.36499999999999999"/>
    <n v="0.76800000000000002"/>
    <n v="389"/>
    <n v="65"/>
    <n v="140"/>
    <n v="93"/>
    <n v="33"/>
    <n v="21"/>
    <n v="58"/>
    <n v="1.6"/>
  </r>
  <r>
    <x v="8"/>
    <x v="0"/>
    <x v="13"/>
    <n v="140"/>
    <x v="21"/>
    <s v="Tzokos"/>
    <n v="1"/>
    <n v="8"/>
    <n v="5"/>
    <n v="0"/>
    <x v="29"/>
    <s v="vs Pals"/>
    <n v="191"/>
    <n v="0.48799999999999999"/>
    <n v="55"/>
    <n v="0.39"/>
    <n v="0.72199999999999998"/>
    <n v="494"/>
    <n v="56"/>
    <n v="153"/>
    <n v="88"/>
    <n v="29"/>
    <n v="22"/>
    <n v="57"/>
    <n v="1.54"/>
  </r>
  <r>
    <x v="8"/>
    <x v="0"/>
    <x v="14"/>
    <n v="141"/>
    <x v="11"/>
    <s v="pi/Sotiris"/>
    <n v="0"/>
    <n v="3"/>
    <n v="9"/>
    <n v="1"/>
    <x v="26"/>
    <s v="vs Lafa"/>
    <n v="133"/>
    <n v="0.44"/>
    <n v="31"/>
    <n v="0.26500000000000001"/>
    <n v="0.79400000000000004"/>
    <n v="374"/>
    <n v="42"/>
    <n v="133"/>
    <n v="104"/>
    <n v="27"/>
    <n v="7"/>
    <n v="48"/>
    <n v="2.17"/>
  </r>
  <r>
    <x v="8"/>
    <x v="0"/>
    <x v="14"/>
    <n v="141"/>
    <x v="26"/>
    <s v="Lafa"/>
    <n v="1"/>
    <n v="9"/>
    <n v="3"/>
    <n v="1"/>
    <x v="10"/>
    <s v="vs pi/Sotiris"/>
    <n v="150"/>
    <n v="0.44600000000000001"/>
    <n v="30"/>
    <n v="0.28799999999999998"/>
    <n v="0.84"/>
    <n v="414"/>
    <n v="45"/>
    <n v="136"/>
    <n v="104"/>
    <n v="32"/>
    <n v="19"/>
    <n v="64"/>
    <n v="1.63"/>
  </r>
  <r>
    <x v="8"/>
    <x v="0"/>
    <x v="14"/>
    <n v="142"/>
    <x v="24"/>
    <s v="Tolios"/>
    <n v="0"/>
    <n v="4"/>
    <n v="9"/>
    <n v="0"/>
    <x v="25"/>
    <s v="vs Arvanitis"/>
    <n v="90"/>
    <n v="0.48399999999999999"/>
    <n v="36"/>
    <n v="0.44400000000000001"/>
    <n v="0.75800000000000001"/>
    <n v="241"/>
    <n v="23"/>
    <n v="80"/>
    <n v="41"/>
    <n v="22"/>
    <n v="11"/>
    <n v="32"/>
    <n v="1.28"/>
  </r>
  <r>
    <x v="8"/>
    <x v="0"/>
    <x v="14"/>
    <n v="142"/>
    <x v="25"/>
    <s v="Arvanitis"/>
    <n v="1"/>
    <n v="9"/>
    <n v="4"/>
    <n v="0"/>
    <x v="24"/>
    <s v="vs Tolios"/>
    <n v="188"/>
    <n v="0.47199999999999998"/>
    <n v="48"/>
    <n v="0.375"/>
    <n v="0.72199999999999998"/>
    <n v="507"/>
    <n v="44"/>
    <n v="120"/>
    <n v="106"/>
    <n v="40"/>
    <n v="23"/>
    <n v="67"/>
    <n v="1.58"/>
  </r>
  <r>
    <x v="8"/>
    <x v="0"/>
    <x v="14"/>
    <n v="143"/>
    <x v="20"/>
    <s v="Guru"/>
    <n v="0"/>
    <n v="6"/>
    <n v="7"/>
    <n v="0"/>
    <x v="2"/>
    <s v="vs Sakellariou"/>
    <n v="159"/>
    <n v="0.46500000000000002"/>
    <n v="56"/>
    <n v="0.36599999999999999"/>
    <n v="0.69499999999999995"/>
    <n v="440"/>
    <n v="33"/>
    <n v="106"/>
    <n v="88"/>
    <n v="17"/>
    <n v="16"/>
    <n v="50"/>
    <n v="1.76"/>
  </r>
  <r>
    <x v="8"/>
    <x v="0"/>
    <x v="14"/>
    <n v="143"/>
    <x v="3"/>
    <s v="Sakellariou"/>
    <n v="1"/>
    <n v="7"/>
    <n v="6"/>
    <n v="0"/>
    <x v="20"/>
    <s v="vs Guru"/>
    <n v="191"/>
    <n v="0.46800000000000003"/>
    <n v="48"/>
    <n v="0.33100000000000002"/>
    <n v="0.86399999999999999"/>
    <n v="538"/>
    <n v="21"/>
    <n v="122"/>
    <n v="115"/>
    <n v="47"/>
    <n v="13"/>
    <n v="67"/>
    <n v="1.72"/>
  </r>
  <r>
    <x v="8"/>
    <x v="0"/>
    <x v="14"/>
    <n v="144"/>
    <x v="27"/>
    <s v="Dimitris"/>
    <n v="1"/>
    <n v="7"/>
    <n v="6"/>
    <n v="0"/>
    <x v="3"/>
    <s v="vs Fountos"/>
    <n v="102"/>
    <n v="0.48099999999999998"/>
    <n v="30"/>
    <n v="0.34100000000000003"/>
    <n v="0.71399999999999997"/>
    <n v="269"/>
    <n v="18"/>
    <n v="91"/>
    <n v="76"/>
    <n v="22"/>
    <n v="7"/>
    <n v="27"/>
    <n v="2.81"/>
  </r>
  <r>
    <x v="8"/>
    <x v="0"/>
    <x v="14"/>
    <n v="144"/>
    <x v="2"/>
    <s v="Fountos"/>
    <n v="0"/>
    <n v="6"/>
    <n v="7"/>
    <n v="0"/>
    <x v="27"/>
    <s v="vs Dimitris"/>
    <n v="99"/>
    <n v="0.48099999999999998"/>
    <n v="39"/>
    <n v="0.41899999999999998"/>
    <n v="0.83699999999999997"/>
    <n v="273"/>
    <n v="26"/>
    <n v="77"/>
    <n v="53"/>
    <n v="14"/>
    <n v="11"/>
    <n v="31"/>
    <n v="1.71"/>
  </r>
  <r>
    <x v="8"/>
    <x v="0"/>
    <x v="14"/>
    <n v="145"/>
    <x v="1"/>
    <s v="Fanis"/>
    <n v="1"/>
    <n v="11"/>
    <n v="2"/>
    <n v="0"/>
    <x v="6"/>
    <s v="vs Johnny"/>
    <n v="128"/>
    <n v="0.53100000000000003"/>
    <n v="51"/>
    <n v="0.44"/>
    <n v="0.74199999999999999"/>
    <n v="379"/>
    <n v="26"/>
    <n v="105"/>
    <n v="78"/>
    <n v="31"/>
    <n v="17"/>
    <n v="42"/>
    <n v="1.86"/>
  </r>
  <r>
    <x v="8"/>
    <x v="0"/>
    <x v="14"/>
    <n v="145"/>
    <x v="7"/>
    <s v="Johnny"/>
    <n v="0"/>
    <n v="2"/>
    <n v="11"/>
    <n v="0"/>
    <x v="0"/>
    <s v="vs Fanis"/>
    <n v="123"/>
    <n v="0.48799999999999999"/>
    <n v="48"/>
    <n v="0.372"/>
    <n v="0.8"/>
    <n v="354"/>
    <n v="14"/>
    <n v="74"/>
    <n v="64"/>
    <n v="17"/>
    <n v="11"/>
    <n v="40"/>
    <n v="1.6"/>
  </r>
  <r>
    <x v="8"/>
    <x v="0"/>
    <x v="14"/>
    <n v="146"/>
    <x v="9"/>
    <s v="Ziogas/Christof"/>
    <n v="1"/>
    <n v="11"/>
    <n v="2"/>
    <n v="0"/>
    <x v="28"/>
    <s v="vs Panos"/>
    <n v="178"/>
    <n v="0.46100000000000002"/>
    <n v="42"/>
    <n v="0.311"/>
    <n v="0.83699999999999997"/>
    <n v="470"/>
    <n v="66"/>
    <n v="144"/>
    <n v="118"/>
    <n v="25"/>
    <n v="20"/>
    <n v="46"/>
    <n v="2.57"/>
  </r>
  <r>
    <x v="8"/>
    <x v="0"/>
    <x v="14"/>
    <n v="146"/>
    <x v="28"/>
    <s v="Panos"/>
    <n v="0"/>
    <n v="2"/>
    <n v="11"/>
    <n v="0"/>
    <x v="8"/>
    <s v="vs Ziogas/Christof"/>
    <n v="148"/>
    <n v="0.45100000000000001"/>
    <n v="29"/>
    <n v="0.26600000000000001"/>
    <n v="0.68"/>
    <n v="376"/>
    <n v="43"/>
    <n v="102"/>
    <n v="117"/>
    <n v="24"/>
    <n v="10"/>
    <n v="38"/>
    <n v="3.08"/>
  </r>
  <r>
    <x v="8"/>
    <x v="0"/>
    <x v="14"/>
    <n v="147"/>
    <x v="18"/>
    <s v="Kotakis"/>
    <n v="0"/>
    <n v="6"/>
    <n v="7"/>
    <n v="0"/>
    <x v="17"/>
    <s v="vs Aris"/>
    <n v="124"/>
    <n v="0.49199999999999999"/>
    <n v="50"/>
    <n v="0.37"/>
    <n v="0.88"/>
    <n v="342"/>
    <n v="24"/>
    <n v="81"/>
    <n v="74"/>
    <n v="29"/>
    <n v="19"/>
    <n v="27"/>
    <n v="2.74"/>
  </r>
  <r>
    <x v="8"/>
    <x v="0"/>
    <x v="14"/>
    <n v="147"/>
    <x v="16"/>
    <s v="Aris"/>
    <n v="1"/>
    <n v="7"/>
    <n v="6"/>
    <n v="0"/>
    <x v="19"/>
    <s v="vs Kotakis"/>
    <n v="109"/>
    <n v="0.49299999999999999"/>
    <n v="32"/>
    <n v="0.42099999999999999"/>
    <n v="0.69599999999999995"/>
    <n v="298"/>
    <n v="25"/>
    <n v="90"/>
    <n v="75"/>
    <n v="18"/>
    <n v="11"/>
    <n v="23"/>
    <n v="3.26"/>
  </r>
  <r>
    <x v="8"/>
    <x v="0"/>
    <x v="14"/>
    <n v="148"/>
    <x v="15"/>
    <s v="Vasilis"/>
    <n v="0"/>
    <n v="3"/>
    <n v="10"/>
    <n v="0"/>
    <x v="16"/>
    <s v="vs Spiridaus/Oladipas"/>
    <n v="115"/>
    <n v="0.45800000000000002"/>
    <n v="48"/>
    <n v="0.38700000000000001"/>
    <n v="0.81799999999999995"/>
    <n v="323"/>
    <n v="22"/>
    <n v="77"/>
    <n v="84"/>
    <n v="24"/>
    <n v="5"/>
    <n v="29"/>
    <n v="2.9"/>
  </r>
  <r>
    <x v="8"/>
    <x v="0"/>
    <x v="14"/>
    <n v="148"/>
    <x v="17"/>
    <s v="Spiridaus/Oladipas"/>
    <n v="1"/>
    <n v="10"/>
    <n v="3"/>
    <n v="0"/>
    <x v="14"/>
    <s v="vs Vasilis"/>
    <n v="157"/>
    <n v="0.46"/>
    <n v="60"/>
    <n v="0.39200000000000002"/>
    <n v="0.81399999999999995"/>
    <n v="431"/>
    <n v="45"/>
    <n v="121"/>
    <n v="94"/>
    <n v="26"/>
    <n v="22"/>
    <n v="50"/>
    <n v="1.88"/>
  </r>
  <r>
    <x v="8"/>
    <x v="0"/>
    <x v="14"/>
    <n v="149"/>
    <x v="21"/>
    <s v="Tzokos"/>
    <n v="0"/>
    <n v="6"/>
    <n v="6"/>
    <n v="1"/>
    <x v="7"/>
    <s v="vs Tassos"/>
    <n v="142"/>
    <n v="0.48599999999999999"/>
    <n v="43"/>
    <n v="0.377"/>
    <n v="0.74399999999999999"/>
    <n v="391"/>
    <n v="45"/>
    <n v="125"/>
    <n v="70"/>
    <n v="30"/>
    <n v="18"/>
    <n v="45"/>
    <n v="1.56"/>
  </r>
  <r>
    <x v="8"/>
    <x v="0"/>
    <x v="14"/>
    <n v="149"/>
    <x v="6"/>
    <s v="Tassos"/>
    <n v="0"/>
    <n v="6"/>
    <n v="6"/>
    <n v="1"/>
    <x v="21"/>
    <s v="vs Tzokos"/>
    <n v="192"/>
    <n v="0.46800000000000003"/>
    <n v="44"/>
    <n v="0.29099999999999998"/>
    <n v="0.80900000000000005"/>
    <n v="534"/>
    <n v="24"/>
    <n v="122"/>
    <n v="121"/>
    <n v="27"/>
    <n v="18"/>
    <n v="50"/>
    <n v="2.42"/>
  </r>
  <r>
    <x v="8"/>
    <x v="0"/>
    <x v="14"/>
    <n v="150"/>
    <x v="29"/>
    <s v="Pals"/>
    <n v="0"/>
    <n v="5"/>
    <n v="8"/>
    <n v="0"/>
    <x v="13"/>
    <s v="vs Stavros"/>
    <n v="147"/>
    <n v="0.52500000000000002"/>
    <n v="46"/>
    <n v="0.377"/>
    <n v="0.71699999999999997"/>
    <n v="378"/>
    <n v="58"/>
    <n v="121"/>
    <n v="75"/>
    <n v="25"/>
    <n v="17"/>
    <n v="39"/>
    <n v="1.92"/>
  </r>
  <r>
    <x v="8"/>
    <x v="0"/>
    <x v="14"/>
    <n v="150"/>
    <x v="12"/>
    <s v="Stavros"/>
    <n v="1"/>
    <n v="8"/>
    <n v="5"/>
    <n v="0"/>
    <x v="29"/>
    <s v="vs Pals"/>
    <n v="174"/>
    <n v="0.47699999999999998"/>
    <n v="62"/>
    <n v="0.41599999999999998"/>
    <n v="0.85599999999999998"/>
    <n v="505"/>
    <n v="33"/>
    <n v="95"/>
    <n v="99"/>
    <n v="23"/>
    <n v="21"/>
    <n v="50"/>
    <n v="1.98"/>
  </r>
  <r>
    <x v="8"/>
    <x v="0"/>
    <x v="15"/>
    <n v="151"/>
    <x v="26"/>
    <s v="Lafa"/>
    <n v="1"/>
    <n v="11"/>
    <n v="2"/>
    <n v="0"/>
    <x v="24"/>
    <s v="vs Tolios"/>
    <n v="229"/>
    <n v="0.46500000000000002"/>
    <n v="57"/>
    <n v="0.34100000000000003"/>
    <n v="0.74199999999999999"/>
    <n v="633"/>
    <n v="30"/>
    <n v="143"/>
    <n v="159"/>
    <n v="36"/>
    <n v="33"/>
    <n v="77"/>
    <n v="2.06"/>
  </r>
  <r>
    <x v="8"/>
    <x v="0"/>
    <x v="15"/>
    <n v="151"/>
    <x v="24"/>
    <s v="Tolios"/>
    <n v="0"/>
    <n v="2"/>
    <n v="11"/>
    <n v="0"/>
    <x v="26"/>
    <s v="vs Lafa"/>
    <n v="131"/>
    <n v="0.46100000000000002"/>
    <n v="41"/>
    <n v="0.33100000000000002"/>
    <n v="0.63500000000000001"/>
    <n v="343"/>
    <n v="34"/>
    <n v="121"/>
    <n v="76"/>
    <n v="26"/>
    <n v="14"/>
    <n v="50"/>
    <n v="1.52"/>
  </r>
  <r>
    <x v="8"/>
    <x v="0"/>
    <x v="15"/>
    <n v="152"/>
    <x v="11"/>
    <s v="pi/Sotiris"/>
    <n v="1"/>
    <n v="9"/>
    <n v="3"/>
    <n v="1"/>
    <x v="20"/>
    <s v="vs Guru"/>
    <n v="225"/>
    <n v="0.48699999999999999"/>
    <n v="49"/>
    <n v="0.32"/>
    <n v="0.79400000000000004"/>
    <n v="622"/>
    <n v="74"/>
    <n v="200"/>
    <n v="170"/>
    <n v="39"/>
    <n v="17"/>
    <n v="88"/>
    <n v="1.93"/>
  </r>
  <r>
    <x v="8"/>
    <x v="0"/>
    <x v="15"/>
    <n v="152"/>
    <x v="20"/>
    <s v="Guru"/>
    <n v="0"/>
    <n v="3"/>
    <n v="9"/>
    <n v="1"/>
    <x v="10"/>
    <s v="vs pi/Sotiris"/>
    <n v="202"/>
    <n v="0.44800000000000001"/>
    <n v="83"/>
    <n v="0.34599999999999997"/>
    <n v="0.76"/>
    <n v="563"/>
    <n v="24"/>
    <n v="102"/>
    <n v="97"/>
    <n v="39"/>
    <n v="13"/>
    <n v="65"/>
    <n v="1.49"/>
  </r>
  <r>
    <x v="8"/>
    <x v="0"/>
    <x v="15"/>
    <n v="153"/>
    <x v="25"/>
    <s v="Arvanitis"/>
    <n v="1"/>
    <n v="11"/>
    <n v="2"/>
    <n v="0"/>
    <x v="27"/>
    <s v="vs Dimitris"/>
    <n v="175"/>
    <n v="0.46500000000000002"/>
    <n v="43"/>
    <n v="0.35799999999999998"/>
    <n v="0.79600000000000004"/>
    <n v="510"/>
    <n v="45"/>
    <n v="126"/>
    <n v="103"/>
    <n v="48"/>
    <n v="19"/>
    <n v="60"/>
    <n v="1.72"/>
  </r>
  <r>
    <x v="8"/>
    <x v="0"/>
    <x v="15"/>
    <n v="153"/>
    <x v="27"/>
    <s v="Dimitris"/>
    <n v="0"/>
    <n v="2"/>
    <n v="11"/>
    <n v="0"/>
    <x v="25"/>
    <s v="vs Arvanitis"/>
    <n v="117"/>
    <n v="0.39700000000000002"/>
    <n v="30"/>
    <n v="0.28299999999999997"/>
    <n v="0.83"/>
    <n v="337"/>
    <n v="26"/>
    <n v="100"/>
    <n v="74"/>
    <n v="25"/>
    <n v="14"/>
    <n v="45"/>
    <n v="1.64"/>
  </r>
  <r>
    <x v="8"/>
    <x v="0"/>
    <x v="15"/>
    <n v="154"/>
    <x v="3"/>
    <s v="Sakellariou"/>
    <n v="1"/>
    <n v="8"/>
    <n v="5"/>
    <n v="0"/>
    <x v="0"/>
    <s v="vs Fanis"/>
    <n v="292"/>
    <n v="0.44700000000000001"/>
    <n v="72"/>
    <n v="0.29499999999999998"/>
    <n v="0.80900000000000005"/>
    <n v="834"/>
    <n v="55"/>
    <n v="193"/>
    <n v="243"/>
    <n v="52"/>
    <n v="25"/>
    <n v="110"/>
    <n v="2.21"/>
  </r>
  <r>
    <x v="8"/>
    <x v="0"/>
    <x v="15"/>
    <n v="154"/>
    <x v="1"/>
    <s v="Fanis"/>
    <n v="0"/>
    <n v="5"/>
    <n v="8"/>
    <n v="0"/>
    <x v="2"/>
    <s v="vs Sakellariou"/>
    <n v="158"/>
    <n v="0.49399999999999999"/>
    <n v="48"/>
    <n v="0.4"/>
    <n v="0.81599999999999995"/>
    <n v="448"/>
    <n v="36"/>
    <n v="117"/>
    <n v="133"/>
    <n v="40"/>
    <n v="19"/>
    <n v="56"/>
    <n v="2.38"/>
  </r>
  <r>
    <x v="8"/>
    <x v="0"/>
    <x v="15"/>
    <n v="155"/>
    <x v="2"/>
    <s v="Fountos"/>
    <n v="0"/>
    <n v="2"/>
    <n v="11"/>
    <n v="0"/>
    <x v="8"/>
    <s v="vs Ziogas/Christof"/>
    <n v="128"/>
    <n v="0.48099999999999998"/>
    <n v="41"/>
    <n v="0.35"/>
    <n v="0.79200000000000004"/>
    <n v="335"/>
    <n v="35"/>
    <n v="88"/>
    <n v="67"/>
    <n v="22"/>
    <n v="2"/>
    <n v="33"/>
    <n v="2.0299999999999998"/>
  </r>
  <r>
    <x v="8"/>
    <x v="0"/>
    <x v="15"/>
    <n v="155"/>
    <x v="9"/>
    <s v="Ziogas/Christof"/>
    <n v="1"/>
    <n v="11"/>
    <n v="2"/>
    <n v="0"/>
    <x v="3"/>
    <s v="vs Fountos"/>
    <n v="143"/>
    <n v="0.48799999999999999"/>
    <n v="44"/>
    <n v="0.4"/>
    <n v="0.80800000000000005"/>
    <n v="389"/>
    <n v="41"/>
    <n v="130"/>
    <n v="135"/>
    <n v="29"/>
    <n v="11"/>
    <n v="67"/>
    <n v="2.0099999999999998"/>
  </r>
  <r>
    <x v="8"/>
    <x v="0"/>
    <x v="15"/>
    <n v="156"/>
    <x v="7"/>
    <s v="Johnny"/>
    <n v="0"/>
    <n v="2"/>
    <n v="11"/>
    <n v="0"/>
    <x v="19"/>
    <s v="vs Kotakis"/>
    <n v="145"/>
    <n v="0.47099999999999997"/>
    <n v="67"/>
    <n v="0.38700000000000001"/>
    <n v="0.77800000000000002"/>
    <n v="413"/>
    <n v="24"/>
    <n v="85"/>
    <n v="63"/>
    <n v="22"/>
    <n v="22"/>
    <n v="58"/>
    <n v="1.0900000000000001"/>
  </r>
  <r>
    <x v="8"/>
    <x v="0"/>
    <x v="15"/>
    <n v="156"/>
    <x v="18"/>
    <s v="Kotakis"/>
    <n v="1"/>
    <n v="11"/>
    <n v="2"/>
    <n v="0"/>
    <x v="6"/>
    <s v="vs Johnny"/>
    <n v="156"/>
    <n v="0.47399999999999998"/>
    <n v="48"/>
    <n v="0.33600000000000002"/>
    <n v="0.81499999999999995"/>
    <n v="435"/>
    <n v="40"/>
    <n v="142"/>
    <n v="130"/>
    <n v="44"/>
    <n v="23"/>
    <n v="52"/>
    <n v="2.5"/>
  </r>
  <r>
    <x v="8"/>
    <x v="0"/>
    <x v="15"/>
    <n v="157"/>
    <x v="28"/>
    <s v="Panos"/>
    <n v="1"/>
    <n v="8"/>
    <n v="5"/>
    <n v="0"/>
    <x v="14"/>
    <s v="vs Vasilis"/>
    <n v="172"/>
    <n v="0.46400000000000002"/>
    <n v="50"/>
    <n v="0.35199999999999998"/>
    <n v="0.80600000000000005"/>
    <n v="473"/>
    <n v="30"/>
    <n v="113"/>
    <n v="143"/>
    <n v="32"/>
    <n v="13"/>
    <n v="50"/>
    <n v="2.86"/>
  </r>
  <r>
    <x v="8"/>
    <x v="0"/>
    <x v="15"/>
    <n v="157"/>
    <x v="15"/>
    <s v="Vasilis"/>
    <n v="0"/>
    <n v="5"/>
    <n v="8"/>
    <n v="0"/>
    <x v="28"/>
    <s v="vs Panos"/>
    <n v="146"/>
    <n v="0.42"/>
    <n v="59"/>
    <n v="0.31900000000000001"/>
    <n v="0.80400000000000005"/>
    <n v="392"/>
    <n v="39"/>
    <n v="128"/>
    <n v="93"/>
    <n v="34"/>
    <n v="19"/>
    <n v="51"/>
    <n v="1.82"/>
  </r>
  <r>
    <x v="8"/>
    <x v="0"/>
    <x v="15"/>
    <n v="158"/>
    <x v="16"/>
    <s v="Aris"/>
    <n v="0"/>
    <n v="3"/>
    <n v="10"/>
    <n v="0"/>
    <x v="21"/>
    <s v="vs Tzokos"/>
    <n v="191"/>
    <n v="0.50900000000000001"/>
    <n v="26"/>
    <n v="0.26300000000000001"/>
    <n v="0.747"/>
    <n v="473"/>
    <n v="42"/>
    <n v="137"/>
    <n v="95"/>
    <n v="40"/>
    <n v="23"/>
    <n v="56"/>
    <n v="1.7"/>
  </r>
  <r>
    <x v="8"/>
    <x v="0"/>
    <x v="15"/>
    <n v="158"/>
    <x v="21"/>
    <s v="Tzokos"/>
    <n v="1"/>
    <n v="10"/>
    <n v="3"/>
    <n v="0"/>
    <x v="17"/>
    <s v="vs Aris"/>
    <n v="241"/>
    <n v="0.52700000000000002"/>
    <n v="61"/>
    <n v="0.379"/>
    <n v="0.81499999999999995"/>
    <n v="640"/>
    <n v="86"/>
    <n v="208"/>
    <n v="99"/>
    <n v="43"/>
    <n v="21"/>
    <n v="59"/>
    <n v="1.68"/>
  </r>
  <r>
    <x v="8"/>
    <x v="0"/>
    <x v="15"/>
    <n v="159"/>
    <x v="17"/>
    <s v="Spiridaus/Oladipas"/>
    <n v="0"/>
    <n v="5"/>
    <n v="8"/>
    <n v="0"/>
    <x v="29"/>
    <s v="vs Pals"/>
    <n v="186"/>
    <n v="0.442"/>
    <n v="66"/>
    <n v="0.36499999999999999"/>
    <n v="0.81799999999999995"/>
    <n v="519"/>
    <n v="42"/>
    <n v="135"/>
    <n v="137"/>
    <n v="41"/>
    <n v="30"/>
    <n v="82"/>
    <n v="1.67"/>
  </r>
  <r>
    <x v="8"/>
    <x v="0"/>
    <x v="15"/>
    <n v="159"/>
    <x v="29"/>
    <s v="Pals"/>
    <n v="1"/>
    <n v="8"/>
    <n v="5"/>
    <n v="0"/>
    <x v="16"/>
    <s v="vs Spiridaus/Oladipas"/>
    <n v="194"/>
    <n v="0.505"/>
    <n v="77"/>
    <n v="0.42099999999999999"/>
    <n v="0.65400000000000003"/>
    <n v="533"/>
    <n v="71"/>
    <n v="148"/>
    <n v="91"/>
    <n v="27"/>
    <n v="27"/>
    <n v="64"/>
    <n v="1.42"/>
  </r>
  <r>
    <x v="8"/>
    <x v="0"/>
    <x v="15"/>
    <n v="160"/>
    <x v="6"/>
    <s v="Tassos"/>
    <n v="1"/>
    <n v="10"/>
    <n v="3"/>
    <n v="0"/>
    <x v="13"/>
    <s v="vs Stavros"/>
    <n v="305"/>
    <n v="0.49"/>
    <n v="72"/>
    <n v="0.33200000000000002"/>
    <n v="0.82399999999999995"/>
    <n v="879"/>
    <n v="44"/>
    <n v="215"/>
    <n v="192"/>
    <n v="46"/>
    <n v="34"/>
    <n v="88"/>
    <n v="2.1800000000000002"/>
  </r>
  <r>
    <x v="8"/>
    <x v="0"/>
    <x v="15"/>
    <n v="160"/>
    <x v="12"/>
    <s v="Stavros"/>
    <n v="0"/>
    <n v="3"/>
    <n v="10"/>
    <n v="0"/>
    <x v="7"/>
    <s v="vs Tassos"/>
    <n v="165"/>
    <n v="0.47299999999999998"/>
    <n v="62"/>
    <n v="0.40799999999999997"/>
    <n v="0.78700000000000003"/>
    <n v="451"/>
    <n v="42"/>
    <n v="161"/>
    <n v="101"/>
    <n v="28"/>
    <n v="25"/>
    <n v="41"/>
    <n v="2.46"/>
  </r>
  <r>
    <x v="8"/>
    <x v="0"/>
    <x v="15"/>
    <n v="161"/>
    <x v="12"/>
    <s v="Stavros"/>
    <n v="1"/>
    <n v="12"/>
    <n v="1"/>
    <n v="0"/>
    <x v="6"/>
    <s v="vs Johnny"/>
    <n v="165"/>
    <n v="0.47299999999999998"/>
    <n v="62"/>
    <n v="0.40799999999999997"/>
    <n v="0.78700000000000003"/>
    <n v="451"/>
    <n v="42"/>
    <n v="161"/>
    <n v="101"/>
    <n v="28"/>
    <n v="25"/>
    <n v="41"/>
    <n v="2.46"/>
  </r>
  <r>
    <x v="8"/>
    <x v="0"/>
    <x v="15"/>
    <n v="161"/>
    <x v="7"/>
    <s v="Johnny"/>
    <n v="0"/>
    <n v="1"/>
    <n v="12"/>
    <n v="0"/>
    <x v="13"/>
    <s v="vs Stavros"/>
    <n v="145"/>
    <n v="0.47099999999999997"/>
    <n v="67"/>
    <n v="0.38700000000000001"/>
    <n v="0.77800000000000002"/>
    <n v="413"/>
    <n v="24"/>
    <n v="85"/>
    <n v="63"/>
    <n v="22"/>
    <n v="22"/>
    <n v="58"/>
    <n v="1.0900000000000001"/>
  </r>
  <r>
    <x v="8"/>
    <x v="0"/>
    <x v="15"/>
    <n v="162"/>
    <x v="20"/>
    <s v="Guru"/>
    <n v="0"/>
    <n v="3"/>
    <n v="10"/>
    <n v="0"/>
    <x v="0"/>
    <s v="vs Fanis"/>
    <n v="202"/>
    <n v="0.44800000000000001"/>
    <n v="83"/>
    <n v="0.34599999999999997"/>
    <n v="0.76"/>
    <n v="563"/>
    <n v="24"/>
    <n v="102"/>
    <n v="97"/>
    <n v="39"/>
    <n v="13"/>
    <n v="65"/>
    <n v="1.49"/>
  </r>
  <r>
    <x v="8"/>
    <x v="0"/>
    <x v="15"/>
    <n v="162"/>
    <x v="1"/>
    <s v="Fanis"/>
    <n v="1"/>
    <n v="10"/>
    <n v="3"/>
    <n v="0"/>
    <x v="20"/>
    <s v="vs Guru"/>
    <n v="158"/>
    <n v="0.49399999999999999"/>
    <n v="48"/>
    <n v="0.4"/>
    <n v="0.81599999999999995"/>
    <n v="448"/>
    <n v="36"/>
    <n v="117"/>
    <n v="133"/>
    <n v="40"/>
    <n v="19"/>
    <n v="56"/>
    <n v="2.38"/>
  </r>
  <r>
    <x v="8"/>
    <x v="0"/>
    <x v="15"/>
    <n v="163"/>
    <x v="27"/>
    <s v="Dimitris"/>
    <n v="0"/>
    <n v="2"/>
    <n v="11"/>
    <n v="0"/>
    <x v="26"/>
    <s v="vs Lafa"/>
    <n v="117"/>
    <n v="0.39700000000000002"/>
    <n v="30"/>
    <n v="0.28299999999999997"/>
    <n v="0.83"/>
    <n v="337"/>
    <n v="26"/>
    <n v="100"/>
    <n v="74"/>
    <n v="25"/>
    <n v="14"/>
    <n v="45"/>
    <n v="1.64"/>
  </r>
  <r>
    <x v="8"/>
    <x v="0"/>
    <x v="15"/>
    <n v="163"/>
    <x v="26"/>
    <s v="Lafa"/>
    <n v="1"/>
    <n v="11"/>
    <n v="2"/>
    <n v="0"/>
    <x v="27"/>
    <s v="vs Dimitris"/>
    <n v="229"/>
    <n v="0.46500000000000002"/>
    <n v="57"/>
    <n v="0.34100000000000003"/>
    <n v="0.74199999999999999"/>
    <n v="633"/>
    <n v="30"/>
    <n v="143"/>
    <n v="159"/>
    <n v="36"/>
    <n v="33"/>
    <n v="77"/>
    <n v="2.06"/>
  </r>
  <r>
    <x v="8"/>
    <x v="0"/>
    <x v="15"/>
    <n v="164"/>
    <x v="29"/>
    <s v="Pals"/>
    <n v="1"/>
    <n v="10"/>
    <n v="3"/>
    <n v="0"/>
    <x v="3"/>
    <s v="vs Fountos"/>
    <n v="194"/>
    <n v="0.505"/>
    <n v="77"/>
    <n v="0.42099999999999999"/>
    <n v="0.65400000000000003"/>
    <n v="533"/>
    <n v="71"/>
    <n v="148"/>
    <n v="91"/>
    <n v="27"/>
    <n v="27"/>
    <n v="64"/>
    <n v="1.42"/>
  </r>
  <r>
    <x v="8"/>
    <x v="0"/>
    <x v="15"/>
    <n v="164"/>
    <x v="2"/>
    <s v="Fountos"/>
    <n v="0"/>
    <n v="3"/>
    <n v="10"/>
    <n v="0"/>
    <x v="29"/>
    <s v="vs Pals"/>
    <n v="128"/>
    <n v="0.48099999999999998"/>
    <n v="41"/>
    <n v="0.35"/>
    <n v="0.79200000000000004"/>
    <n v="335"/>
    <n v="35"/>
    <n v="88"/>
    <n v="67"/>
    <n v="22"/>
    <n v="2"/>
    <n v="33"/>
    <n v="2.0299999999999998"/>
  </r>
  <r>
    <x v="8"/>
    <x v="0"/>
    <x v="15"/>
    <n v="165"/>
    <x v="6"/>
    <s v="Tassos"/>
    <n v="1"/>
    <n v="10"/>
    <n v="3"/>
    <n v="0"/>
    <x v="28"/>
    <s v="vs Panos"/>
    <n v="305"/>
    <n v="0.49"/>
    <n v="72"/>
    <n v="0.33200000000000002"/>
    <n v="0.82399999999999995"/>
    <n v="879"/>
    <n v="44"/>
    <n v="215"/>
    <n v="192"/>
    <n v="46"/>
    <n v="34"/>
    <n v="88"/>
    <n v="2.1800000000000002"/>
  </r>
  <r>
    <x v="8"/>
    <x v="0"/>
    <x v="15"/>
    <n v="165"/>
    <x v="28"/>
    <s v="Panos"/>
    <n v="0"/>
    <n v="3"/>
    <n v="10"/>
    <n v="0"/>
    <x v="7"/>
    <s v="vs Tassos"/>
    <n v="172"/>
    <n v="0.46400000000000002"/>
    <n v="50"/>
    <n v="0.35199999999999998"/>
    <n v="0.80600000000000005"/>
    <n v="473"/>
    <n v="30"/>
    <n v="113"/>
    <n v="143"/>
    <n v="32"/>
    <n v="13"/>
    <n v="50"/>
    <n v="2.86"/>
  </r>
  <r>
    <x v="8"/>
    <x v="0"/>
    <x v="15"/>
    <n v="166"/>
    <x v="24"/>
    <s v="Tolios"/>
    <n v="0"/>
    <n v="2"/>
    <n v="11"/>
    <n v="0"/>
    <x v="8"/>
    <s v="vs Ziogas/Christof"/>
    <n v="131"/>
    <n v="0.46100000000000002"/>
    <n v="41"/>
    <n v="0.33100000000000002"/>
    <n v="0.63500000000000001"/>
    <n v="343"/>
    <n v="34"/>
    <n v="121"/>
    <n v="76"/>
    <n v="26"/>
    <n v="14"/>
    <n v="50"/>
    <n v="1.52"/>
  </r>
  <r>
    <x v="8"/>
    <x v="0"/>
    <x v="15"/>
    <n v="166"/>
    <x v="9"/>
    <s v="Ziogas/Christof"/>
    <n v="1"/>
    <n v="11"/>
    <n v="2"/>
    <n v="0"/>
    <x v="24"/>
    <s v="vs Tolios"/>
    <n v="143"/>
    <n v="0.48799999999999999"/>
    <n v="44"/>
    <n v="0.4"/>
    <n v="0.80800000000000005"/>
    <n v="389"/>
    <n v="41"/>
    <n v="130"/>
    <n v="135"/>
    <n v="29"/>
    <n v="11"/>
    <n v="67"/>
    <n v="2.0099999999999998"/>
  </r>
  <r>
    <x v="8"/>
    <x v="0"/>
    <x v="15"/>
    <n v="167"/>
    <x v="17"/>
    <s v="Spiridaus/Oladipas"/>
    <n v="1"/>
    <n v="7"/>
    <n v="5"/>
    <n v="1"/>
    <x v="17"/>
    <s v="vs Aris"/>
    <n v="186"/>
    <n v="0.442"/>
    <n v="66"/>
    <n v="0.36499999999999999"/>
    <n v="0.81799999999999995"/>
    <n v="519"/>
    <n v="42"/>
    <n v="135"/>
    <n v="137"/>
    <n v="41"/>
    <n v="30"/>
    <n v="82"/>
    <n v="1.67"/>
  </r>
  <r>
    <x v="8"/>
    <x v="0"/>
    <x v="15"/>
    <n v="167"/>
    <x v="16"/>
    <s v="Aris"/>
    <n v="0"/>
    <n v="5"/>
    <n v="7"/>
    <n v="1"/>
    <x v="16"/>
    <s v="vs Spiridaus/Oladipas"/>
    <n v="191"/>
    <n v="0.50900000000000001"/>
    <n v="26"/>
    <n v="0.26300000000000001"/>
    <n v="0.747"/>
    <n v="473"/>
    <n v="42"/>
    <n v="137"/>
    <n v="95"/>
    <n v="40"/>
    <n v="23"/>
    <n v="56"/>
    <n v="1.7"/>
  </r>
  <r>
    <x v="8"/>
    <x v="0"/>
    <x v="15"/>
    <n v="168"/>
    <x v="11"/>
    <s v="pi/Sotiris"/>
    <n v="1"/>
    <n v="7"/>
    <n v="6"/>
    <n v="0"/>
    <x v="19"/>
    <s v="vs Kotakis"/>
    <n v="225"/>
    <n v="0.48699999999999999"/>
    <n v="49"/>
    <n v="0.32"/>
    <n v="0.79400000000000004"/>
    <n v="622"/>
    <n v="74"/>
    <n v="200"/>
    <n v="170"/>
    <n v="39"/>
    <n v="17"/>
    <n v="88"/>
    <n v="1.93"/>
  </r>
  <r>
    <x v="8"/>
    <x v="0"/>
    <x v="15"/>
    <n v="168"/>
    <x v="18"/>
    <s v="Kotakis"/>
    <n v="0"/>
    <n v="6"/>
    <n v="7"/>
    <n v="0"/>
    <x v="10"/>
    <s v="vs pi/Sotiris"/>
    <n v="156"/>
    <n v="0.47399999999999998"/>
    <n v="48"/>
    <n v="0.33600000000000002"/>
    <n v="0.81499999999999995"/>
    <n v="435"/>
    <n v="40"/>
    <n v="142"/>
    <n v="130"/>
    <n v="44"/>
    <n v="23"/>
    <n v="52"/>
    <n v="2.5"/>
  </r>
  <r>
    <x v="8"/>
    <x v="0"/>
    <x v="15"/>
    <n v="169"/>
    <x v="3"/>
    <s v="Sakellariou"/>
    <n v="1"/>
    <n v="7"/>
    <n v="6"/>
    <n v="0"/>
    <x v="21"/>
    <s v="vs Tzokos"/>
    <n v="292"/>
    <n v="0.44700000000000001"/>
    <n v="72"/>
    <n v="0.29499999999999998"/>
    <n v="0.80900000000000005"/>
    <n v="834"/>
    <n v="55"/>
    <n v="193"/>
    <n v="243"/>
    <n v="52"/>
    <n v="25"/>
    <n v="110"/>
    <n v="2.21"/>
  </r>
  <r>
    <x v="8"/>
    <x v="0"/>
    <x v="15"/>
    <n v="169"/>
    <x v="21"/>
    <s v="Tzokos"/>
    <n v="0"/>
    <n v="6"/>
    <n v="7"/>
    <n v="0"/>
    <x v="2"/>
    <s v="vs Sakellariou"/>
    <n v="241"/>
    <n v="0.52700000000000002"/>
    <n v="61"/>
    <n v="0.379"/>
    <n v="0.81499999999999995"/>
    <n v="640"/>
    <n v="86"/>
    <n v="208"/>
    <n v="99"/>
    <n v="43"/>
    <n v="21"/>
    <n v="59"/>
    <n v="1.68"/>
  </r>
  <r>
    <x v="8"/>
    <x v="0"/>
    <x v="15"/>
    <n v="170"/>
    <x v="25"/>
    <s v="Arvanitis"/>
    <n v="1"/>
    <n v="7"/>
    <n v="5"/>
    <n v="1"/>
    <x v="14"/>
    <s v="vs Vasilis"/>
    <n v="175"/>
    <n v="0.46500000000000002"/>
    <n v="43"/>
    <n v="0.35799999999999998"/>
    <n v="0.79600000000000004"/>
    <n v="510"/>
    <n v="45"/>
    <n v="126"/>
    <n v="103"/>
    <n v="48"/>
    <n v="19"/>
    <n v="60"/>
    <n v="1.72"/>
  </r>
  <r>
    <x v="8"/>
    <x v="0"/>
    <x v="15"/>
    <n v="170"/>
    <x v="15"/>
    <s v="Vasilis"/>
    <n v="0"/>
    <n v="5"/>
    <n v="7"/>
    <n v="1"/>
    <x v="25"/>
    <s v="vs Arvanitis"/>
    <n v="146"/>
    <n v="0.42"/>
    <n v="59"/>
    <n v="0.31900000000000001"/>
    <n v="0.80400000000000005"/>
    <n v="392"/>
    <n v="39"/>
    <n v="128"/>
    <n v="93"/>
    <n v="34"/>
    <n v="19"/>
    <n v="51"/>
    <n v="1.82"/>
  </r>
  <r>
    <x v="8"/>
    <x v="1"/>
    <x v="23"/>
    <n v="171"/>
    <x v="15"/>
    <s v="Vasilis"/>
    <n v="1"/>
    <n v="8"/>
    <n v="5"/>
    <n v="0"/>
    <x v="10"/>
    <s v="vs pi/Sotiris"/>
    <n v="193"/>
    <n v="0.52"/>
    <n v="77"/>
    <n v="0.45"/>
    <n v="0.89700000000000002"/>
    <n v="541"/>
    <n v="31"/>
    <n v="129"/>
    <n v="110"/>
    <n v="32"/>
    <n v="10"/>
    <n v="54"/>
    <n v="2.04"/>
  </r>
  <r>
    <x v="8"/>
    <x v="1"/>
    <x v="23"/>
    <n v="171"/>
    <x v="11"/>
    <s v="pi/Sotiris"/>
    <n v="0"/>
    <n v="5"/>
    <n v="8"/>
    <n v="0"/>
    <x v="14"/>
    <s v="vs Vasilis"/>
    <n v="186"/>
    <n v="0.45300000000000001"/>
    <n v="46"/>
    <n v="0.28699999999999998"/>
    <n v="0.81899999999999995"/>
    <n v="513"/>
    <n v="53"/>
    <n v="179"/>
    <n v="148"/>
    <n v="21"/>
    <n v="16"/>
    <n v="65"/>
    <n v="2.2799999999999998"/>
  </r>
  <r>
    <x v="8"/>
    <x v="1"/>
    <x v="23"/>
    <n v="172"/>
    <x v="18"/>
    <s v="Kotakis"/>
    <n v="0"/>
    <n v="2"/>
    <n v="11"/>
    <n v="0"/>
    <x v="13"/>
    <s v="vs Stavros"/>
    <n v="99"/>
    <n v="0.40899999999999997"/>
    <n v="30"/>
    <n v="0.26300000000000001"/>
    <n v="0.78"/>
    <n v="267"/>
    <n v="21"/>
    <n v="81"/>
    <n v="71"/>
    <n v="27"/>
    <n v="12"/>
    <n v="39"/>
    <n v="1.82"/>
  </r>
  <r>
    <x v="8"/>
    <x v="1"/>
    <x v="23"/>
    <n v="172"/>
    <x v="12"/>
    <s v="Stavros"/>
    <n v="1"/>
    <n v="11"/>
    <n v="2"/>
    <n v="0"/>
    <x v="19"/>
    <s v="vs Kotakis"/>
    <n v="142"/>
    <n v="0.436"/>
    <n v="39"/>
    <n v="0.32800000000000001"/>
    <n v="0.90400000000000003"/>
    <n v="426"/>
    <n v="31"/>
    <n v="100"/>
    <n v="106"/>
    <n v="21"/>
    <n v="18"/>
    <n v="49"/>
    <n v="2.16"/>
  </r>
  <r>
    <x v="8"/>
    <x v="1"/>
    <x v="23"/>
    <n v="173"/>
    <x v="17"/>
    <s v="Spiridaus/Oladipas"/>
    <n v="1"/>
    <n v="8"/>
    <n v="5"/>
    <n v="0"/>
    <x v="25"/>
    <s v="vs Arvanitis"/>
    <n v="180"/>
    <n v="0.50600000000000001"/>
    <n v="64"/>
    <n v="0.38100000000000001"/>
    <n v="0.85699999999999998"/>
    <n v="502"/>
    <n v="46"/>
    <n v="146"/>
    <n v="110"/>
    <n v="39"/>
    <n v="37"/>
    <n v="46"/>
    <n v="2.39"/>
  </r>
  <r>
    <x v="8"/>
    <x v="1"/>
    <x v="23"/>
    <n v="173"/>
    <x v="25"/>
    <s v="Arvanitis"/>
    <n v="0"/>
    <n v="5"/>
    <n v="8"/>
    <n v="0"/>
    <x v="16"/>
    <s v="vs Spiridaus/Oladipas"/>
    <n v="205"/>
    <n v="0.51"/>
    <n v="51"/>
    <n v="0.39200000000000002"/>
    <n v="0.70799999999999996"/>
    <n v="546"/>
    <n v="36"/>
    <n v="117"/>
    <n v="128"/>
    <n v="37"/>
    <n v="17"/>
    <n v="59"/>
    <n v="2.17"/>
  </r>
  <r>
    <x v="8"/>
    <x v="1"/>
    <x v="23"/>
    <n v="174"/>
    <x v="20"/>
    <s v="Guru"/>
    <n v="0"/>
    <n v="5"/>
    <n v="8"/>
    <n v="0"/>
    <x v="26"/>
    <s v="vs Lafa"/>
    <n v="138"/>
    <n v="0.45200000000000001"/>
    <n v="50"/>
    <n v="0.36"/>
    <n v="0.73499999999999999"/>
    <n v="412"/>
    <n v="28"/>
    <n v="106"/>
    <n v="99"/>
    <n v="40"/>
    <n v="13"/>
    <n v="38"/>
    <n v="2.61"/>
  </r>
  <r>
    <x v="8"/>
    <x v="1"/>
    <x v="23"/>
    <n v="174"/>
    <x v="26"/>
    <s v="Lafa"/>
    <n v="1"/>
    <n v="8"/>
    <n v="5"/>
    <n v="0"/>
    <x v="20"/>
    <s v="vs Guru"/>
    <n v="221"/>
    <n v="0.496"/>
    <n v="47"/>
    <n v="0.28699999999999998"/>
    <n v="0.752"/>
    <n v="574"/>
    <n v="41"/>
    <n v="127"/>
    <n v="119"/>
    <n v="30"/>
    <n v="23"/>
    <n v="78"/>
    <n v="1.53"/>
  </r>
  <r>
    <x v="8"/>
    <x v="1"/>
    <x v="19"/>
    <n v="175"/>
    <x v="15"/>
    <s v="Vasilis"/>
    <n v="1"/>
    <n v="8"/>
    <n v="4"/>
    <n v="1"/>
    <x v="7"/>
    <s v="vs Tassos"/>
    <n v="156"/>
    <n v="0.52"/>
    <n v="47"/>
    <n v="0.42"/>
    <n v="0.88400000000000001"/>
    <n v="420"/>
    <n v="24"/>
    <n v="101"/>
    <n v="102"/>
    <n v="25"/>
    <n v="29"/>
    <n v="43"/>
    <n v="2.37"/>
  </r>
  <r>
    <x v="8"/>
    <x v="1"/>
    <x v="19"/>
    <n v="175"/>
    <x v="6"/>
    <s v="Tassos"/>
    <n v="0"/>
    <n v="4"/>
    <n v="8"/>
    <n v="1"/>
    <x v="14"/>
    <s v="vs Vasilis"/>
    <n v="132"/>
    <n v="0.47699999999999998"/>
    <n v="29"/>
    <n v="0.312"/>
    <n v="0.91400000000000003"/>
    <n v="378"/>
    <n v="19"/>
    <n v="94"/>
    <n v="119"/>
    <n v="29"/>
    <n v="13"/>
    <n v="43"/>
    <n v="2.77"/>
  </r>
  <r>
    <x v="8"/>
    <x v="1"/>
    <x v="19"/>
    <n v="176"/>
    <x v="12"/>
    <s v="Stavros"/>
    <n v="0"/>
    <n v="5"/>
    <n v="8"/>
    <n v="0"/>
    <x v="2"/>
    <s v="vs Sakellariou"/>
    <n v="143"/>
    <n v="0.52600000000000002"/>
    <n v="48"/>
    <n v="0.39"/>
    <n v="0.85299999999999998"/>
    <n v="398"/>
    <n v="17"/>
    <n v="81"/>
    <n v="93"/>
    <n v="25"/>
    <n v="11"/>
    <n v="33"/>
    <n v="2.82"/>
  </r>
  <r>
    <x v="8"/>
    <x v="1"/>
    <x v="19"/>
    <n v="176"/>
    <x v="3"/>
    <s v="Sakellariou"/>
    <n v="1"/>
    <n v="8"/>
    <n v="5"/>
    <n v="0"/>
    <x v="13"/>
    <s v="vs Stavros"/>
    <n v="247"/>
    <n v="0.501"/>
    <n v="59"/>
    <n v="0.34100000000000003"/>
    <n v="0.83499999999999996"/>
    <n v="725"/>
    <n v="40"/>
    <n v="127"/>
    <n v="151"/>
    <n v="45"/>
    <n v="21"/>
    <n v="79"/>
    <n v="1.91"/>
  </r>
  <r>
    <x v="8"/>
    <x v="1"/>
    <x v="19"/>
    <n v="177"/>
    <x v="17"/>
    <s v="Spiridaus/Oladipas"/>
    <n v="1"/>
    <n v="10"/>
    <n v="3"/>
    <n v="0"/>
    <x v="8"/>
    <s v="vs Ziogas/Christof"/>
    <n v="157"/>
    <n v="0.51600000000000001"/>
    <n v="44"/>
    <n v="0.39300000000000002"/>
    <n v="0.85899999999999999"/>
    <n v="413"/>
    <n v="42"/>
    <n v="114"/>
    <n v="115"/>
    <n v="30"/>
    <n v="20"/>
    <n v="53"/>
    <n v="2.17"/>
  </r>
  <r>
    <x v="8"/>
    <x v="1"/>
    <x v="19"/>
    <n v="177"/>
    <x v="9"/>
    <s v="Ziogas/Christof"/>
    <n v="0"/>
    <n v="3"/>
    <n v="10"/>
    <n v="0"/>
    <x v="16"/>
    <s v="vs Spiridaus/Oladipas"/>
    <n v="128"/>
    <n v="0.45700000000000002"/>
    <n v="38"/>
    <n v="0.36899999999999999"/>
    <n v="0.873"/>
    <n v="349"/>
    <n v="51"/>
    <n v="102"/>
    <n v="74"/>
    <n v="18"/>
    <n v="9"/>
    <n v="42"/>
    <n v="1.76"/>
  </r>
  <r>
    <x v="8"/>
    <x v="1"/>
    <x v="19"/>
    <n v="178"/>
    <x v="26"/>
    <s v="Lafa"/>
    <n v="1"/>
    <n v="8"/>
    <n v="5"/>
    <n v="0"/>
    <x v="0"/>
    <s v="vs Fanis"/>
    <n v="207"/>
    <n v="0.48399999999999999"/>
    <n v="71"/>
    <n v="0.39700000000000002"/>
    <n v="0.78800000000000003"/>
    <n v="600"/>
    <n v="38"/>
    <n v="149"/>
    <n v="160"/>
    <n v="39"/>
    <n v="24"/>
    <n v="76"/>
    <n v="2.11"/>
  </r>
  <r>
    <x v="8"/>
    <x v="1"/>
    <x v="19"/>
    <n v="178"/>
    <x v="1"/>
    <s v="Fanis"/>
    <n v="0"/>
    <n v="5"/>
    <n v="8"/>
    <n v="0"/>
    <x v="26"/>
    <s v="vs Lafa"/>
    <n v="203"/>
    <n v="0.51800000000000002"/>
    <n v="49"/>
    <n v="0.34"/>
    <n v="0.68600000000000005"/>
    <n v="525"/>
    <n v="58"/>
    <n v="154"/>
    <n v="103"/>
    <n v="28"/>
    <n v="28"/>
    <n v="58"/>
    <n v="1.78"/>
  </r>
  <r>
    <x v="8"/>
    <x v="1"/>
    <x v="20"/>
    <n v="179"/>
    <x v="15"/>
    <s v="Vasilis"/>
    <n v="0"/>
    <n v="6"/>
    <n v="7"/>
    <n v="0"/>
    <x v="2"/>
    <s v="vs Sakellariou"/>
    <n v="209"/>
    <n v="0.499"/>
    <n v="66"/>
    <n v="0.38400000000000001"/>
    <n v="0.81499999999999995"/>
    <n v="590"/>
    <n v="30"/>
    <n v="134"/>
    <n v="112"/>
    <n v="39"/>
    <n v="23"/>
    <n v="61"/>
    <n v="1.84"/>
  </r>
  <r>
    <x v="8"/>
    <x v="1"/>
    <x v="20"/>
    <n v="179"/>
    <x v="3"/>
    <s v="Sakellariou"/>
    <n v="1"/>
    <n v="7"/>
    <n v="6"/>
    <n v="0"/>
    <x v="14"/>
    <s v="vs Vasilis"/>
    <n v="186"/>
    <n v="0.52"/>
    <n v="55"/>
    <n v="0.42599999999999999"/>
    <n v="0.76600000000000001"/>
    <n v="509"/>
    <n v="37"/>
    <n v="147"/>
    <n v="122"/>
    <n v="30"/>
    <n v="13"/>
    <n v="51"/>
    <n v="2.39"/>
  </r>
  <r>
    <x v="8"/>
    <x v="1"/>
    <x v="20"/>
    <n v="180"/>
    <x v="17"/>
    <s v="Spiridaus/Oladipas"/>
    <n v="1"/>
    <n v="7"/>
    <n v="6"/>
    <n v="0"/>
    <x v="26"/>
    <s v="vs Lafa"/>
    <n v="196"/>
    <n v="0.5"/>
    <n v="71"/>
    <n v="0.40799999999999997"/>
    <n v="0.83899999999999997"/>
    <n v="541"/>
    <n v="31"/>
    <n v="129"/>
    <n v="116"/>
    <n v="41"/>
    <n v="22"/>
    <n v="49"/>
    <n v="2.37"/>
  </r>
  <r>
    <x v="8"/>
    <x v="1"/>
    <x v="20"/>
    <n v="180"/>
    <x v="26"/>
    <s v="Lafa"/>
    <n v="0"/>
    <n v="6"/>
    <n v="7"/>
    <n v="0"/>
    <x v="16"/>
    <s v="vs Spiridaus/Oladipas"/>
    <n v="239"/>
    <n v="0.46"/>
    <n v="61"/>
    <n v="0.32600000000000001"/>
    <n v="0.78"/>
    <n v="699"/>
    <n v="38"/>
    <n v="145"/>
    <n v="167"/>
    <n v="42"/>
    <n v="17"/>
    <n v="87"/>
    <n v="1.92"/>
  </r>
  <r>
    <x v="8"/>
    <x v="1"/>
    <x v="21"/>
    <n v="181"/>
    <x v="17"/>
    <s v="Spiridaus/Oladipas"/>
    <n v="1"/>
    <n v="7"/>
    <n v="6"/>
    <n v="0"/>
    <x v="2"/>
    <s v="vs Sakellariou"/>
    <n v="216"/>
    <n v="0.52600000000000002"/>
    <n v="41"/>
    <n v="0.32800000000000001"/>
    <n v="0.77"/>
    <n v="550"/>
    <n v="41"/>
    <n v="149"/>
    <n v="167"/>
    <n v="46"/>
    <n v="24"/>
    <n v="61"/>
    <n v="2.74"/>
  </r>
  <r>
    <x v="8"/>
    <x v="1"/>
    <x v="21"/>
    <n v="181"/>
    <x v="3"/>
    <s v="Sakellariou"/>
    <n v="0"/>
    <n v="6"/>
    <n v="7"/>
    <n v="0"/>
    <x v="16"/>
    <s v="vs Spiridaus/Oladipas"/>
    <n v="193"/>
    <n v="0.45100000000000001"/>
    <n v="58"/>
    <n v="0.34300000000000003"/>
    <n v="0.89800000000000002"/>
    <n v="558"/>
    <n v="32"/>
    <n v="156"/>
    <n v="155"/>
    <n v="35"/>
    <n v="15"/>
    <n v="59"/>
    <n v="2.63"/>
  </r>
  <r>
    <x v="9"/>
    <x v="2"/>
    <x v="24"/>
    <m/>
    <x v="30"/>
    <m/>
    <m/>
    <m/>
    <m/>
    <m/>
    <x v="30"/>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2638B6-DCC2-49B9-A2E0-39813D07D818}"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A4:S30" firstHeaderRow="0" firstDataRow="1" firstDataCol="1" rowPageCount="1" colPageCount="1"/>
  <pivotFields count="27">
    <pivotField showAll="0" defaultSubtotal="0">
      <items count="10">
        <item h="1" x="0"/>
        <item h="1" x="1"/>
        <item h="1" x="2"/>
        <item h="1" x="3"/>
        <item h="1" x="4"/>
        <item h="1" x="5"/>
        <item h="1" x="6"/>
        <item h="1" x="7"/>
        <item x="8"/>
        <item h="1" x="9"/>
      </items>
    </pivotField>
    <pivotField axis="axisPage" subtotalTop="0" multipleItemSelectionAllowed="1" showAll="0" defaultSubtotal="0">
      <items count="3">
        <item x="1"/>
        <item h="1" x="0"/>
        <item h="1" x="2"/>
      </items>
    </pivotField>
    <pivotField axis="axisRow" showAll="0" defaultSubtotal="0">
      <items count="25">
        <item x="0"/>
        <item x="1"/>
        <item x="2"/>
        <item x="3"/>
        <item x="4"/>
        <item x="5"/>
        <item x="6"/>
        <item x="7"/>
        <item x="8"/>
        <item x="9"/>
        <item x="10"/>
        <item x="11"/>
        <item x="12"/>
        <item x="13"/>
        <item x="14"/>
        <item x="15"/>
        <item x="16"/>
        <item x="17"/>
        <item x="18"/>
        <item x="21"/>
        <item x="22"/>
        <item x="20"/>
        <item x="19"/>
        <item x="23"/>
        <item x="24"/>
      </items>
    </pivotField>
    <pivotField dataField="1" showAll="0" defaultSubtotal="0"/>
    <pivotField axis="axisRow" showAll="0" sortType="ascending" defaultSubtotal="0">
      <items count="41">
        <item sd="0" x="22"/>
        <item sd="0" m="1" x="35"/>
        <item sd="0" x="23"/>
        <item sd="0" m="1" x="37"/>
        <item sd="0" m="1" x="34"/>
        <item sd="0" m="1" x="33"/>
        <item sd="0" x="5"/>
        <item sd="0" x="8"/>
        <item sd="0" x="12"/>
        <item sd="0" m="1" x="38"/>
        <item sd="0" m="1" x="36"/>
        <item sd="0" x="20"/>
        <item sd="0" x="24"/>
        <item sd="0" x="7"/>
        <item sd="0" x="1"/>
        <item sd="0" x="17"/>
        <item sd="0" m="1" x="31"/>
        <item sd="0" x="4"/>
        <item sd="0" x="2"/>
        <item sd="0" x="16"/>
        <item sd="0" x="15"/>
        <item sd="0" x="0"/>
        <item sd="0" x="13"/>
        <item sd="0" x="14"/>
        <item sd="0" x="21"/>
        <item sd="0" x="10"/>
        <item sd="0" x="19"/>
        <item sd="0" x="18"/>
        <item n="Samarina Dudenbros" sd="0" m="1" x="40"/>
        <item sd="0" x="9"/>
        <item m="1" x="39"/>
        <item x="25"/>
        <item x="11"/>
        <item x="26"/>
        <item x="30"/>
        <item m="1" x="32"/>
        <item n="Samarina Dudenbros2" x="3"/>
        <item x="6"/>
        <item x="27"/>
        <item x="28"/>
        <item x="29"/>
      </items>
      <autoSortScope>
        <pivotArea dataOnly="0" outline="0" fieldPosition="0">
          <references count="1">
            <reference field="4294967294" count="1" selected="0">
              <x v="17"/>
            </reference>
          </references>
        </pivotArea>
      </autoSortScope>
    </pivotField>
    <pivotField showAll="0" sortType="descending" defaultSubtotal="0">
      <autoSortScope>
        <pivotArea dataOnly="0" outline="0" fieldPosition="0">
          <references count="1">
            <reference field="4294967294" count="1" selected="0">
              <x v="3"/>
            </reference>
          </references>
        </pivotArea>
      </autoSortScope>
    </pivotField>
    <pivotField subtotalTop="0" showAll="0" defaultSubtotal="0"/>
    <pivotField dataField="1" showAll="0" defaultSubtotal="0"/>
    <pivotField dataField="1" showAll="0" defaultSubtotal="0"/>
    <pivotField dataField="1" showAll="0" defaultSubtotal="0"/>
    <pivotField showAll="0" sortType="ascending">
      <autoSortScope>
        <pivotArea dataOnly="0" outline="0" fieldPosition="0">
          <references count="1">
            <reference field="4294967294" count="1" selected="0">
              <x v="17"/>
            </reference>
          </references>
        </pivotArea>
      </autoSortScope>
    </pivotField>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dragToRow="0" dragToCol="0" dragToPage="0" showAll="0" defaultSubtotal="0"/>
    <pivotField subtotalTop="0" dragToRow="0" dragToCol="0" dragToPage="0" showAll="0" defaultSubtotal="0"/>
  </pivotFields>
  <rowFields count="2">
    <field x="2"/>
    <field x="4"/>
  </rowFields>
  <rowItems count="26">
    <i>
      <x v="19"/>
    </i>
    <i r="1">
      <x v="15"/>
    </i>
    <i r="1">
      <x v="36"/>
    </i>
    <i>
      <x v="21"/>
    </i>
    <i r="1">
      <x v="20"/>
    </i>
    <i r="1">
      <x v="36"/>
    </i>
    <i r="1">
      <x v="33"/>
    </i>
    <i r="1">
      <x v="15"/>
    </i>
    <i>
      <x v="22"/>
    </i>
    <i r="1">
      <x v="20"/>
    </i>
    <i r="1">
      <x v="37"/>
    </i>
    <i r="1">
      <x v="8"/>
    </i>
    <i r="1">
      <x v="36"/>
    </i>
    <i r="1">
      <x v="29"/>
    </i>
    <i r="1">
      <x v="15"/>
    </i>
    <i r="1">
      <x v="33"/>
    </i>
    <i r="1">
      <x v="14"/>
    </i>
    <i>
      <x v="23"/>
    </i>
    <i r="1">
      <x v="20"/>
    </i>
    <i r="1">
      <x v="32"/>
    </i>
    <i r="1">
      <x v="27"/>
    </i>
    <i r="1">
      <x v="8"/>
    </i>
    <i r="1">
      <x v="31"/>
    </i>
    <i r="1">
      <x v="15"/>
    </i>
    <i r="1">
      <x v="11"/>
    </i>
    <i r="1">
      <x v="33"/>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pageFields count="1">
    <pageField fld="1" hier="-1"/>
  </pageFields>
  <dataFields count="18">
    <dataField name="Wins" fld="7" baseField="4" baseItem="20"/>
    <dataField name="Ties" fld="9" baseField="4" baseItem="20"/>
    <dataField name="Losses" fld="8" baseField="4" baseItem="20"/>
    <dataField name="Win%" fld="25" baseField="4" baseItem="20" numFmtId="164"/>
    <dataField name=" FGM" fld="12" baseField="4" baseItem="21"/>
    <dataField name=" FG%" fld="13" subtotal="average" baseField="5" baseItem="20" numFmtId="165"/>
    <dataField name=" 3PM" fld="14" baseField="4" baseItem="21"/>
    <dataField name=" 3P%" fld="15" subtotal="average" baseField="5" baseItem="2" numFmtId="165"/>
    <dataField name=" FT%" fld="16" subtotal="average" baseField="5" baseItem="2" numFmtId="165"/>
    <dataField name=" PTS" fld="17" baseField="2" baseItem="19"/>
    <dataField name=" OREB" fld="18" baseField="2" baseItem="19"/>
    <dataField name=" DREB" fld="19" baseField="2" baseItem="19"/>
    <dataField name=" AST" fld="20" baseField="2" baseItem="19"/>
    <dataField name=" STL" fld="21" baseField="2" baseItem="19"/>
    <dataField name=" BLK" fld="22" baseField="2" baseItem="19"/>
    <dataField name=" TO" fld="23" baseField="2" baseItem="19"/>
    <dataField name=" A/TO" fld="24" subtotal="average" baseField="5" baseItem="2" numFmtId="2"/>
    <dataField name="Sum of Match No" fld="3" baseField="0" baseItem="0"/>
  </dataFields>
  <formats count="6">
    <format dxfId="1652">
      <pivotArea outline="0" collapsedLevelsAreSubtotals="1" fieldPosition="0">
        <references count="1">
          <reference field="4294967294" count="3" selected="0">
            <x v="0"/>
            <x v="1"/>
            <x v="2"/>
          </reference>
        </references>
      </pivotArea>
    </format>
    <format dxfId="1651">
      <pivotArea dataOnly="0" labelOnly="1" outline="0" fieldPosition="0">
        <references count="1">
          <reference field="4294967294" count="3">
            <x v="0"/>
            <x v="1"/>
            <x v="2"/>
          </reference>
        </references>
      </pivotArea>
    </format>
    <format dxfId="1650">
      <pivotArea outline="0" collapsedLevelsAreSubtotals="1" fieldPosition="0">
        <references count="1">
          <reference field="4294967294" count="1" selected="0">
            <x v="3"/>
          </reference>
        </references>
      </pivotArea>
    </format>
    <format dxfId="1649">
      <pivotArea dataOnly="0" labelOnly="1" outline="0" fieldPosition="0">
        <references count="1">
          <reference field="4294967294" count="1">
            <x v="3"/>
          </reference>
        </references>
      </pivotArea>
    </format>
    <format dxfId="1648">
      <pivotArea outline="0" collapsedLevelsAreSubtotals="1" fieldPosition="0">
        <references count="1">
          <reference field="4294967294" count="13" selected="0">
            <x v="4"/>
            <x v="5"/>
            <x v="6"/>
            <x v="7"/>
            <x v="8"/>
            <x v="9"/>
            <x v="10"/>
            <x v="11"/>
            <x v="12"/>
            <x v="13"/>
            <x v="14"/>
            <x v="15"/>
            <x v="16"/>
          </reference>
        </references>
      </pivotArea>
    </format>
    <format dxfId="1647">
      <pivotArea dataOnly="0" labelOnly="1" outline="0" fieldPosition="0">
        <references count="1">
          <reference field="4294967294" count="13">
            <x v="4"/>
            <x v="5"/>
            <x v="6"/>
            <x v="7"/>
            <x v="8"/>
            <x v="9"/>
            <x v="10"/>
            <x v="11"/>
            <x v="12"/>
            <x v="13"/>
            <x v="14"/>
            <x v="15"/>
            <x v="16"/>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8C038-88C5-4F30-8D6F-28EEB1577B55}"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A4:S24" firstHeaderRow="0" firstDataRow="1" firstDataCol="1"/>
  <pivotFields count="27">
    <pivotField showAll="0">
      <items count="11">
        <item h="1" x="0"/>
        <item h="1" x="1"/>
        <item h="1" x="2"/>
        <item h="1" x="3"/>
        <item h="1" x="4"/>
        <item h="1" x="5"/>
        <item h="1" x="6"/>
        <item h="1" x="7"/>
        <item x="8"/>
        <item h="1" x="9"/>
        <item t="default"/>
      </items>
    </pivotField>
    <pivotField showAll="0"/>
    <pivotField showAll="0">
      <items count="26">
        <item x="0"/>
        <item x="1"/>
        <item x="2"/>
        <item x="3"/>
        <item x="4"/>
        <item x="5"/>
        <item x="6"/>
        <item x="7"/>
        <item x="8"/>
        <item x="9"/>
        <item x="10"/>
        <item x="11"/>
        <item x="12"/>
        <item x="13"/>
        <item x="14"/>
        <item x="15"/>
        <item x="16"/>
        <item x="17"/>
        <item x="18"/>
        <item h="1" x="23"/>
        <item h="1" x="22"/>
        <item h="1" x="21"/>
        <item h="1" x="19"/>
        <item h="1" x="20"/>
        <item h="1" x="24"/>
        <item t="default"/>
      </items>
    </pivotField>
    <pivotField dataField="1" showAll="0"/>
    <pivotField axis="axisRow" showAll="0" sortType="descending">
      <items count="42">
        <item sd="0" x="22"/>
        <item sd="0" m="1" x="35"/>
        <item sd="0" x="23"/>
        <item sd="0" m="1" x="37"/>
        <item sd="0" m="1" x="34"/>
        <item sd="0" m="1" x="33"/>
        <item sd="0" x="5"/>
        <item sd="0" x="8"/>
        <item sd="0" x="12"/>
        <item sd="0" m="1" x="38"/>
        <item sd="0" m="1" x="36"/>
        <item sd="0" x="20"/>
        <item sd="0" x="24"/>
        <item sd="0" x="7"/>
        <item sd="0" x="1"/>
        <item sd="0" x="17"/>
        <item sd="0" m="1" x="31"/>
        <item sd="0" x="4"/>
        <item sd="0" x="2"/>
        <item sd="0" x="16"/>
        <item sd="0" x="15"/>
        <item sd="0" x="0"/>
        <item sd="0" x="13"/>
        <item sd="0" x="14"/>
        <item sd="0" x="21"/>
        <item sd="0" x="10"/>
        <item sd="0" x="19"/>
        <item sd="0" x="18"/>
        <item n="Samarina Dudenbros" sd="0" m="1" x="40"/>
        <item sd="0" x="9"/>
        <item sd="0" m="1" x="39"/>
        <item sd="0" x="25"/>
        <item sd="0" x="11"/>
        <item sd="0" x="26"/>
        <item x="30"/>
        <item sd="0" m="1" x="32"/>
        <item n="Samarina Dudenbros2" sd="0" x="3"/>
        <item sd="0" x="6"/>
        <item sd="0" x="27"/>
        <item sd="0" x="28"/>
        <item sd="0" x="29"/>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3"/>
            </reference>
          </references>
        </pivotArea>
      </autoSortScope>
    </pivotField>
    <pivotField showAll="0"/>
    <pivotField dataField="1" showAll="0"/>
    <pivotField dataField="1" showAll="0"/>
    <pivotField dataField="1" showAll="0"/>
    <pivotField axis="axisRow" showAll="0" sortType="ascending">
      <items count="42">
        <item x="22"/>
        <item m="1" x="35"/>
        <item x="23"/>
        <item m="1" x="37"/>
        <item m="1" x="34"/>
        <item m="1" x="33"/>
        <item x="4"/>
        <item x="9"/>
        <item x="13"/>
        <item m="1" x="38"/>
        <item m="1" x="36"/>
        <item x="20"/>
        <item x="24"/>
        <item x="8"/>
        <item x="16"/>
        <item m="1" x="31"/>
        <item x="5"/>
        <item x="3"/>
        <item x="17"/>
        <item x="6"/>
        <item x="0"/>
        <item x="14"/>
        <item x="1"/>
        <item x="12"/>
        <item x="15"/>
        <item x="21"/>
        <item x="11"/>
        <item x="18"/>
        <item x="19"/>
        <item m="1" x="40"/>
        <item m="1" x="39"/>
        <item x="25"/>
        <item x="10"/>
        <item x="26"/>
        <item x="30"/>
        <item m="1" x="32"/>
        <item x="2"/>
        <item x="7"/>
        <item x="27"/>
        <item x="28"/>
        <item x="29"/>
        <item t="default"/>
      </items>
      <autoSortScope>
        <pivotArea dataOnly="0" outline="0" fieldPosition="0">
          <references count="1">
            <reference field="4294967294" count="1" selected="0">
              <x v="17"/>
            </reference>
          </references>
        </pivotArea>
      </autoSortScope>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dragToRow="0" dragToCol="0" dragToPage="0" showAll="0" defaultSubtotal="0"/>
    <pivotField dragToRow="0" dragToCol="0" dragToPage="0" showAll="0" defaultSubtotal="0"/>
  </pivotFields>
  <rowFields count="2">
    <field x="4"/>
    <field x="10"/>
  </rowFields>
  <rowItems count="20">
    <i>
      <x v="37"/>
    </i>
    <i>
      <x v="29"/>
    </i>
    <i>
      <x v="14"/>
    </i>
    <i>
      <x v="36"/>
    </i>
    <i>
      <x v="8"/>
    </i>
    <i>
      <x v="33"/>
    </i>
    <i>
      <x v="31"/>
    </i>
    <i>
      <x v="32"/>
    </i>
    <i>
      <x v="20"/>
    </i>
    <i>
      <x v="15"/>
    </i>
    <i>
      <x v="11"/>
    </i>
    <i>
      <x v="27"/>
    </i>
    <i>
      <x v="24"/>
    </i>
    <i>
      <x v="40"/>
    </i>
    <i>
      <x v="19"/>
    </i>
    <i>
      <x v="39"/>
    </i>
    <i>
      <x v="12"/>
    </i>
    <i>
      <x v="18"/>
    </i>
    <i>
      <x v="13"/>
    </i>
    <i>
      <x v="38"/>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Wins" fld="7" baseField="4" baseItem="20"/>
    <dataField name="Ties" fld="9" baseField="4" baseItem="20"/>
    <dataField name="Losses" fld="8" baseField="4" baseItem="20"/>
    <dataField name="Win%" fld="25" baseField="4" baseItem="20" numFmtId="164"/>
    <dataField name=" FGM" fld="12" baseField="4" baseItem="21"/>
    <dataField name=" FG%" fld="13" subtotal="average" baseField="5" baseItem="20" numFmtId="165"/>
    <dataField name=" 3PM" fld="14" baseField="4" baseItem="21"/>
    <dataField name=" 3P%" fld="15" subtotal="average" baseField="5" baseItem="2" numFmtId="165"/>
    <dataField name=" FT%" fld="16" subtotal="average" baseField="5" baseItem="2" numFmtId="165"/>
    <dataField name=" PTS" fld="17" baseField="2" baseItem="19"/>
    <dataField name=" OREB" fld="18" baseField="2" baseItem="19"/>
    <dataField name=" DREB" fld="19" baseField="2" baseItem="19"/>
    <dataField name=" AST" fld="20" baseField="2" baseItem="19"/>
    <dataField name=" STL" fld="21" baseField="2" baseItem="19"/>
    <dataField name=" BLK" fld="22" baseField="2" baseItem="19"/>
    <dataField name=" TO" fld="23" baseField="2" baseItem="19"/>
    <dataField name=" A/TO" fld="24" subtotal="average" baseField="5" baseItem="2" numFmtId="2"/>
    <dataField name="Sum of Match No" fld="3" baseField="0" baseItem="0"/>
  </dataFields>
  <formats count="6">
    <format dxfId="1646">
      <pivotArea outline="0" collapsedLevelsAreSubtotals="1" fieldPosition="0">
        <references count="1">
          <reference field="4294967294" count="3" selected="0">
            <x v="0"/>
            <x v="1"/>
            <x v="2"/>
          </reference>
        </references>
      </pivotArea>
    </format>
    <format dxfId="1645">
      <pivotArea dataOnly="0" labelOnly="1" outline="0" fieldPosition="0">
        <references count="1">
          <reference field="4294967294" count="3">
            <x v="0"/>
            <x v="1"/>
            <x v="2"/>
          </reference>
        </references>
      </pivotArea>
    </format>
    <format dxfId="1644">
      <pivotArea outline="0" collapsedLevelsAreSubtotals="1" fieldPosition="0">
        <references count="1">
          <reference field="4294967294" count="1" selected="0">
            <x v="3"/>
          </reference>
        </references>
      </pivotArea>
    </format>
    <format dxfId="1643">
      <pivotArea dataOnly="0" labelOnly="1" outline="0" fieldPosition="0">
        <references count="1">
          <reference field="4294967294" count="1">
            <x v="3"/>
          </reference>
        </references>
      </pivotArea>
    </format>
    <format dxfId="1642">
      <pivotArea outline="0" collapsedLevelsAreSubtotals="1" fieldPosition="0">
        <references count="1">
          <reference field="4294967294" count="13" selected="0">
            <x v="4"/>
            <x v="5"/>
            <x v="6"/>
            <x v="7"/>
            <x v="8"/>
            <x v="9"/>
            <x v="10"/>
            <x v="11"/>
            <x v="12"/>
            <x v="13"/>
            <x v="14"/>
            <x v="15"/>
            <x v="16"/>
          </reference>
        </references>
      </pivotArea>
    </format>
    <format dxfId="1641">
      <pivotArea dataOnly="0" labelOnly="1" outline="0" fieldPosition="0">
        <references count="1">
          <reference field="4294967294" count="13">
            <x v="4"/>
            <x v="5"/>
            <x v="6"/>
            <x v="7"/>
            <x v="8"/>
            <x v="9"/>
            <x v="10"/>
            <x v="11"/>
            <x v="12"/>
            <x v="13"/>
            <x v="14"/>
            <x v="15"/>
            <x v="16"/>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F064FB-69F4-47B9-AA8F-BCDBADCDBFAD}"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A4:V35" firstHeaderRow="0" firstDataRow="1" firstDataCol="1"/>
  <pivotFields count="27">
    <pivotField dataField="1" showAll="0">
      <items count="11">
        <item x="0"/>
        <item x="1"/>
        <item x="2"/>
        <item x="3"/>
        <item x="4"/>
        <item x="5"/>
        <item x="6"/>
        <item x="7"/>
        <item x="8"/>
        <item x="9"/>
        <item t="default"/>
      </items>
    </pivotField>
    <pivotField showAll="0">
      <items count="4">
        <item x="1"/>
        <item x="0"/>
        <item x="2"/>
        <item t="default"/>
      </items>
    </pivotField>
    <pivotField showAll="0">
      <items count="26">
        <item x="0"/>
        <item x="1"/>
        <item x="2"/>
        <item x="3"/>
        <item x="4"/>
        <item x="5"/>
        <item x="6"/>
        <item x="7"/>
        <item x="8"/>
        <item x="9"/>
        <item x="10"/>
        <item x="11"/>
        <item x="12"/>
        <item x="13"/>
        <item x="14"/>
        <item x="15"/>
        <item x="16"/>
        <item x="17"/>
        <item x="18"/>
        <item x="23"/>
        <item x="22"/>
        <item x="21"/>
        <item x="19"/>
        <item x="20"/>
        <item x="24"/>
        <item t="default"/>
      </items>
    </pivotField>
    <pivotField showAll="0"/>
    <pivotField axis="axisRow" showAll="0" sortType="descending">
      <items count="42">
        <item sd="0" x="22"/>
        <item sd="0" m="1" x="35"/>
        <item sd="0" x="23"/>
        <item sd="0" m="1" x="37"/>
        <item sd="0" m="1" x="34"/>
        <item sd="0" m="1" x="33"/>
        <item sd="0" x="5"/>
        <item sd="0" x="8"/>
        <item sd="0" x="12"/>
        <item sd="0" m="1" x="38"/>
        <item sd="0" m="1" x="36"/>
        <item sd="0" x="20"/>
        <item sd="0" x="27"/>
        <item sd="0" x="6"/>
        <item sd="0" m="1" x="39"/>
        <item sd="0" x="24"/>
        <item sd="0" x="9"/>
        <item sd="0" x="26"/>
        <item sd="0" x="17"/>
        <item sd="0" x="28"/>
        <item sd="0" m="1" x="32"/>
        <item sd="0" x="11"/>
        <item sd="0" m="1" x="31"/>
        <item sd="0" x="4"/>
        <item sd="0" x="2"/>
        <item sd="0" x="3"/>
        <item sd="0" x="16"/>
        <item sd="0" x="7"/>
        <item sd="0" x="25"/>
        <item sd="0" x="1"/>
        <item sd="0" x="15"/>
        <item sd="0" x="0"/>
        <item sd="0" x="13"/>
        <item sd="0" x="14"/>
        <item sd="0" x="21"/>
        <item sd="0" x="10"/>
        <item sd="0" x="19"/>
        <item sd="0" x="18"/>
        <item sd="0" m="1" x="40"/>
        <item sd="0" x="30"/>
        <item sd="0" x="29"/>
        <item t="default" sd="0"/>
      </items>
      <autoSortScope>
        <pivotArea dataOnly="0" outline="0" fieldPosition="0">
          <references count="1">
            <reference field="4294967294" count="1" selected="0">
              <x v="4"/>
            </reference>
          </references>
        </pivotArea>
      </autoSortScope>
    </pivotField>
    <pivotField showAll="0" sortType="descending">
      <autoSortScope>
        <pivotArea dataOnly="0" outline="0" fieldPosition="0">
          <references count="1">
            <reference field="4294967294" count="1" selected="0">
              <x v="3"/>
            </reference>
          </references>
        </pivotArea>
      </autoSortScope>
    </pivotField>
    <pivotField dataField="1" showAll="0"/>
    <pivotField dataField="1" showAll="0"/>
    <pivotField dataField="1" showAll="0"/>
    <pivotField dataField="1" showAll="0"/>
    <pivotField axis="axisRow" showAll="0">
      <items count="42">
        <item x="22"/>
        <item m="1" x="35"/>
        <item x="23"/>
        <item m="1" x="37"/>
        <item m="1" x="34"/>
        <item m="1" x="33"/>
        <item x="4"/>
        <item x="9"/>
        <item x="13"/>
        <item m="1" x="38"/>
        <item m="1" x="36"/>
        <item x="20"/>
        <item x="27"/>
        <item x="7"/>
        <item m="1" x="39"/>
        <item x="24"/>
        <item x="8"/>
        <item x="26"/>
        <item x="16"/>
        <item x="28"/>
        <item m="1" x="32"/>
        <item x="10"/>
        <item m="1" x="31"/>
        <item x="5"/>
        <item x="3"/>
        <item x="2"/>
        <item x="17"/>
        <item x="6"/>
        <item x="25"/>
        <item x="0"/>
        <item x="14"/>
        <item x="1"/>
        <item x="12"/>
        <item x="15"/>
        <item x="21"/>
        <item x="11"/>
        <item x="18"/>
        <item x="19"/>
        <item m="1" x="40"/>
        <item x="30"/>
        <item x="29"/>
        <item t="default"/>
      </items>
    </pivotField>
    <pivotField showAll="0" sortType="descending">
      <autoSortScope>
        <pivotArea dataOnly="0" outline="0" fieldPosition="0">
          <references count="1">
            <reference field="4294967294" count="1" selected="0">
              <x v="7"/>
            </reference>
          </references>
        </pivotArea>
      </autoSortScope>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dragToRow="0" dragToCol="0" dragToPage="0" showAll="0" defaultSubtotal="0"/>
    <pivotField dataField="1" dragToRow="0" dragToCol="0" dragToPage="0" showAll="0" defaultSubtotal="0"/>
  </pivotFields>
  <rowFields count="2">
    <field x="4"/>
    <field x="10"/>
  </rowFields>
  <rowItems count="31">
    <i>
      <x v="13"/>
    </i>
    <i>
      <x v="29"/>
    </i>
    <i>
      <x v="25"/>
    </i>
    <i>
      <x v="18"/>
    </i>
    <i>
      <x v="21"/>
    </i>
    <i>
      <x v="37"/>
    </i>
    <i>
      <x v="27"/>
    </i>
    <i>
      <x v="30"/>
    </i>
    <i>
      <x v="16"/>
    </i>
    <i>
      <x v="8"/>
    </i>
    <i>
      <x v="26"/>
    </i>
    <i>
      <x v="24"/>
    </i>
    <i>
      <x v="11"/>
    </i>
    <i>
      <x v="34"/>
    </i>
    <i>
      <x v="6"/>
    </i>
    <i>
      <x v="15"/>
    </i>
    <i>
      <x v="17"/>
    </i>
    <i>
      <x v="32"/>
    </i>
    <i>
      <x v="36"/>
    </i>
    <i>
      <x v="2"/>
    </i>
    <i>
      <x v="28"/>
    </i>
    <i>
      <x v="7"/>
    </i>
    <i>
      <x v="23"/>
    </i>
    <i>
      <x v="31"/>
    </i>
    <i>
      <x v="19"/>
    </i>
    <i>
      <x v="12"/>
    </i>
    <i>
      <x v="33"/>
    </i>
    <i>
      <x v="35"/>
    </i>
    <i>
      <x v="40"/>
    </i>
    <i>
      <x/>
    </i>
    <i>
      <x v="39"/>
    </i>
  </rowItems>
  <colFields count="1">
    <field x="-2"/>
  </colFields>
  <colItems count="21">
    <i>
      <x/>
    </i>
    <i i="1">
      <x v="1"/>
    </i>
    <i i="2">
      <x v="2"/>
    </i>
    <i i="3">
      <x v="3"/>
    </i>
    <i i="4">
      <x v="4"/>
    </i>
    <i i="5">
      <x v="5"/>
    </i>
    <i i="6">
      <x v="6"/>
    </i>
    <i i="7">
      <x v="7"/>
    </i>
    <i i="8">
      <x v="8"/>
    </i>
    <i i="9">
      <x v="9"/>
    </i>
    <i i="10">
      <x v="10"/>
    </i>
    <i i="11">
      <x v="11"/>
    </i>
    <i i="12">
      <x v="12"/>
    </i>
    <i i="13">
      <x v="13"/>
    </i>
    <i i="14">
      <x v="14"/>
    </i>
    <i i="15">
      <x v="15"/>
    </i>
    <i i="16">
      <x v="16"/>
    </i>
    <i i="17">
      <x v="17"/>
    </i>
    <i i="18">
      <x v="18"/>
    </i>
    <i i="19">
      <x v="19"/>
    </i>
    <i i="20">
      <x v="20"/>
    </i>
  </colItems>
  <dataFields count="21">
    <dataField name="Last Year" fld="0" subtotal="max" baseField="5" baseItem="4"/>
    <dataField name="Games" fld="6" subtotal="count" baseField="5" baseItem="6"/>
    <dataField name=" Games Won" fld="6" baseField="5" baseItem="2"/>
    <dataField name=" % of Games Won" fld="26" baseField="5" baseItem="2" numFmtId="9"/>
    <dataField name="Wins" fld="7" baseField="4" baseItem="20"/>
    <dataField name="Ties" fld="9" baseField="4" baseItem="20"/>
    <dataField name="Losses" fld="8" baseField="4" baseItem="20"/>
    <dataField name="Win%" fld="25" baseField="4" baseItem="20" numFmtId="164"/>
    <dataField name=" FGM" fld="12" baseField="4" baseItem="21"/>
    <dataField name=" FG%" fld="13" subtotal="average" baseField="5" baseItem="20" numFmtId="165"/>
    <dataField name=" 3PM" fld="14" baseField="4" baseItem="21"/>
    <dataField name=" 3P%" fld="15" subtotal="average" baseField="5" baseItem="2" numFmtId="165"/>
    <dataField name=" FT%" fld="16" subtotal="average" baseField="5" baseItem="2" numFmtId="165"/>
    <dataField name=" PTS" fld="17" baseField="2" baseItem="19"/>
    <dataField name=" OREB" fld="18" baseField="2" baseItem="19"/>
    <dataField name=" DREB" fld="19" baseField="2" baseItem="19"/>
    <dataField name=" AST" fld="20" baseField="2" baseItem="19"/>
    <dataField name=" STL" fld="21" baseField="2" baseItem="19"/>
    <dataField name=" BLK" fld="22" baseField="2" baseItem="19"/>
    <dataField name=" TO" fld="23" baseField="2" baseItem="19"/>
    <dataField name=" A/TO" fld="24" subtotal="average" baseField="5" baseItem="2" numFmtId="2"/>
  </dataFields>
  <formats count="13">
    <format dxfId="1640">
      <pivotArea outline="0" collapsedLevelsAreSubtotals="1" fieldPosition="0">
        <references count="1">
          <reference field="4294967294" count="3" selected="0">
            <x v="4"/>
            <x v="5"/>
            <x v="6"/>
          </reference>
        </references>
      </pivotArea>
    </format>
    <format dxfId="1639">
      <pivotArea dataOnly="0" labelOnly="1" outline="0" fieldPosition="0">
        <references count="1">
          <reference field="4294967294" count="3">
            <x v="4"/>
            <x v="5"/>
            <x v="6"/>
          </reference>
        </references>
      </pivotArea>
    </format>
    <format dxfId="1638">
      <pivotArea outline="0" collapsedLevelsAreSubtotals="1" fieldPosition="0">
        <references count="1">
          <reference field="4294967294" count="1" selected="0">
            <x v="7"/>
          </reference>
        </references>
      </pivotArea>
    </format>
    <format dxfId="1637">
      <pivotArea dataOnly="0" labelOnly="1" outline="0" fieldPosition="0">
        <references count="1">
          <reference field="4294967294" count="1">
            <x v="7"/>
          </reference>
        </references>
      </pivotArea>
    </format>
    <format dxfId="1636">
      <pivotArea outline="0" collapsedLevelsAreSubtotals="1" fieldPosition="0">
        <references count="1">
          <reference field="4294967294" count="13" selected="0">
            <x v="8"/>
            <x v="9"/>
            <x v="10"/>
            <x v="11"/>
            <x v="12"/>
            <x v="13"/>
            <x v="14"/>
            <x v="15"/>
            <x v="16"/>
            <x v="17"/>
            <x v="18"/>
            <x v="19"/>
            <x v="20"/>
          </reference>
        </references>
      </pivotArea>
    </format>
    <format dxfId="1635">
      <pivotArea dataOnly="0" labelOnly="1" outline="0" fieldPosition="0">
        <references count="1">
          <reference field="4294967294" count="13">
            <x v="8"/>
            <x v="9"/>
            <x v="10"/>
            <x v="11"/>
            <x v="12"/>
            <x v="13"/>
            <x v="14"/>
            <x v="15"/>
            <x v="16"/>
            <x v="17"/>
            <x v="18"/>
            <x v="19"/>
            <x v="20"/>
          </reference>
        </references>
      </pivotArea>
    </format>
    <format dxfId="1634">
      <pivotArea outline="0" fieldPosition="0">
        <references count="1">
          <reference field="4294967294" count="1">
            <x v="3"/>
          </reference>
        </references>
      </pivotArea>
    </format>
    <format dxfId="1633">
      <pivotArea dataOnly="0" labelOnly="1" outline="0" fieldPosition="0">
        <references count="1">
          <reference field="4294967294" count="4">
            <x v="2"/>
            <x v="3"/>
            <x v="4"/>
            <x v="5"/>
          </reference>
        </references>
      </pivotArea>
    </format>
    <format dxfId="1632">
      <pivotArea outline="0" collapsedLevelsAreSubtotals="1" fieldPosition="0">
        <references count="1">
          <reference field="4294967294" count="1" selected="0">
            <x v="4"/>
          </reference>
        </references>
      </pivotArea>
    </format>
    <format dxfId="1631">
      <pivotArea dataOnly="0" labelOnly="1" outline="0" fieldPosition="0">
        <references count="1">
          <reference field="4294967294" count="1">
            <x v="4"/>
          </reference>
        </references>
      </pivotArea>
    </format>
    <format dxfId="1630">
      <pivotArea dataOnly="0" outline="0" fieldPosition="0">
        <references count="1">
          <reference field="4294967294" count="1">
            <x v="2"/>
          </reference>
        </references>
      </pivotArea>
    </format>
    <format dxfId="1629">
      <pivotArea dataOnly="0" outline="0" fieldPosition="0">
        <references count="1">
          <reference field="4294967294" count="1">
            <x v="7"/>
          </reference>
        </references>
      </pivotArea>
    </format>
    <format dxfId="1628">
      <pivotArea dataOnly="0" outline="0" fieldPosition="0">
        <references count="1">
          <reference field="4294967294" count="1">
            <x v="8"/>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74C0F9-CEB8-446E-8D1F-512986CA59B0}"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A4:H34" firstHeaderRow="0" firstDataRow="1" firstDataCol="1"/>
  <pivotFields count="27">
    <pivotField axis="axisRow" showAll="0">
      <items count="11">
        <item sd="0" x="0"/>
        <item sd="0" x="1"/>
        <item sd="0" x="2"/>
        <item sd="0" x="3"/>
        <item sd="0" x="4"/>
        <item sd="0" x="5"/>
        <item x="9"/>
        <item x="6"/>
        <item x="7"/>
        <item x="8"/>
        <item t="default"/>
      </items>
    </pivotField>
    <pivotField axis="axisRow" showAll="0">
      <items count="4">
        <item sd="0" x="1"/>
        <item x="0"/>
        <item sd="0" x="2"/>
        <item t="default" sd="0"/>
      </items>
    </pivotField>
    <pivotField axis="axisRow" showAll="0">
      <items count="26">
        <item x="0"/>
        <item x="1"/>
        <item x="2"/>
        <item x="3"/>
        <item x="4"/>
        <item x="5"/>
        <item x="6"/>
        <item x="7"/>
        <item x="8"/>
        <item x="9"/>
        <item x="10"/>
        <item x="11"/>
        <item x="12"/>
        <item x="13"/>
        <item x="14"/>
        <item x="15"/>
        <item x="16"/>
        <item x="17"/>
        <item x="18"/>
        <item x="23"/>
        <item x="22"/>
        <item x="21"/>
        <item x="19"/>
        <item x="20"/>
        <item x="24"/>
        <item t="default"/>
      </items>
    </pivotField>
    <pivotField dataField="1" showAll="0"/>
    <pivotField axis="axisRow" showAll="0" sortType="descending">
      <items count="42">
        <item h="1" x="22"/>
        <item h="1" m="1" x="35"/>
        <item h="1" x="23"/>
        <item h="1" m="1" x="37"/>
        <item h="1" m="1" x="34"/>
        <item h="1" m="1" x="33"/>
        <item h="1" x="5"/>
        <item h="1" x="8"/>
        <item h="1" x="12"/>
        <item h="1" m="1" x="38"/>
        <item h="1" m="1" x="36"/>
        <item h="1" x="20"/>
        <item h="1" m="1" x="39"/>
        <item h="1" x="24"/>
        <item h="1" x="9"/>
        <item h="1" x="26"/>
        <item h="1" x="17"/>
        <item x="11"/>
        <item h="1" m="1" x="31"/>
        <item h="1" x="4"/>
        <item h="1" x="2"/>
        <item h="1" x="16"/>
        <item h="1" x="7"/>
        <item h="1" x="25"/>
        <item h="1" x="1"/>
        <item h="1" x="15"/>
        <item h="1" x="0"/>
        <item h="1" x="13"/>
        <item h="1" x="14"/>
        <item h="1" x="21"/>
        <item h="1" x="10"/>
        <item h="1" x="19"/>
        <item h="1" x="18"/>
        <item h="1" m="1" x="40"/>
        <item h="1" x="30"/>
        <item h="1" m="1" x="32"/>
        <item h="1" x="3"/>
        <item h="1" x="6"/>
        <item h="1" x="27"/>
        <item h="1" x="28"/>
        <item h="1" x="29"/>
        <item t="default"/>
      </items>
      <autoSortScope>
        <pivotArea dataOnly="0" outline="0" fieldPosition="0">
          <references count="1">
            <reference field="4294967294" count="1" selected="0">
              <x v="3"/>
            </reference>
          </references>
        </pivotArea>
      </autoSortScope>
    </pivotField>
    <pivotField showAll="0" sortType="descending">
      <autoSortScope>
        <pivotArea dataOnly="0" outline="0" fieldPosition="0">
          <references count="1">
            <reference field="4294967294" count="1" selected="0">
              <x v="6"/>
            </reference>
          </references>
        </pivotArea>
      </autoSortScope>
    </pivotField>
    <pivotField dataField="1" showAll="0"/>
    <pivotField dataField="1" showAll="0"/>
    <pivotField dataField="1" showAll="0"/>
    <pivotField dataField="1" showAll="0"/>
    <pivotField axis="axisRow" showAll="0" sortType="descending">
      <items count="42">
        <item sd="0" x="22"/>
        <item sd="0" m="1" x="35"/>
        <item sd="0" x="23"/>
        <item sd="0" m="1" x="37"/>
        <item sd="0" m="1" x="34"/>
        <item sd="0" m="1" x="33"/>
        <item sd="0" x="4"/>
        <item sd="0" x="9"/>
        <item sd="0" x="13"/>
        <item sd="0" m="1" x="38"/>
        <item sd="0" m="1" x="36"/>
        <item sd="0" x="20"/>
        <item sd="0" m="1" x="39"/>
        <item sd="0" x="24"/>
        <item sd="0" x="8"/>
        <item sd="0" x="26"/>
        <item sd="0" x="16"/>
        <item sd="0" x="10"/>
        <item sd="0" m="1" x="31"/>
        <item sd="0" x="5"/>
        <item sd="0" x="3"/>
        <item sd="0" x="17"/>
        <item sd="0" x="6"/>
        <item sd="0" x="25"/>
        <item sd="0" x="0"/>
        <item sd="0" x="14"/>
        <item sd="0" x="1"/>
        <item sd="0" x="12"/>
        <item sd="0" x="15"/>
        <item sd="0" x="21"/>
        <item sd="0" x="11"/>
        <item sd="0" x="18"/>
        <item sd="0" x="19"/>
        <item sd="0" m="1" x="40"/>
        <item sd="0" x="30"/>
        <item sd="0" m="1" x="32"/>
        <item sd="0" x="2"/>
        <item sd="0" x="7"/>
        <item sd="0" x="27"/>
        <item sd="0" x="28"/>
        <item sd="0" x="29"/>
        <item t="default" sd="0"/>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6"/>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s>
  <rowFields count="5">
    <field x="4"/>
    <field x="10"/>
    <field x="1"/>
    <field x="0"/>
    <field x="2"/>
  </rowFields>
  <rowItems count="30">
    <i>
      <x v="17"/>
    </i>
    <i r="1">
      <x v="25"/>
    </i>
    <i r="1">
      <x v="20"/>
    </i>
    <i r="1">
      <x v="8"/>
    </i>
    <i r="1">
      <x v="22"/>
    </i>
    <i r="1">
      <x v="21"/>
    </i>
    <i r="1">
      <x v="11"/>
    </i>
    <i r="1">
      <x v="37"/>
    </i>
    <i r="1">
      <x v="16"/>
    </i>
    <i r="1">
      <x v="24"/>
    </i>
    <i r="1">
      <x v="29"/>
    </i>
    <i r="1">
      <x v="32"/>
    </i>
    <i r="1">
      <x v="36"/>
    </i>
    <i r="1">
      <x v="14"/>
    </i>
    <i r="1">
      <x v="6"/>
    </i>
    <i r="1">
      <x v="27"/>
    </i>
    <i r="1">
      <x v="13"/>
    </i>
    <i r="1">
      <x v="31"/>
    </i>
    <i r="1">
      <x v="15"/>
    </i>
    <i r="1">
      <x v="23"/>
    </i>
    <i r="1">
      <x v="19"/>
    </i>
    <i r="1">
      <x v="39"/>
    </i>
    <i r="1">
      <x v="38"/>
    </i>
    <i r="1">
      <x v="2"/>
    </i>
    <i r="1">
      <x v="26"/>
    </i>
    <i r="1">
      <x v="7"/>
    </i>
    <i r="1">
      <x v="30"/>
    </i>
    <i r="1">
      <x v="28"/>
    </i>
    <i r="1">
      <x v="40"/>
    </i>
    <i r="1">
      <x/>
    </i>
  </rowItems>
  <colFields count="1">
    <field x="-2"/>
  </colFields>
  <colItems count="7">
    <i>
      <x/>
    </i>
    <i i="1">
      <x v="1"/>
    </i>
    <i i="2">
      <x v="2"/>
    </i>
    <i i="3">
      <x v="3"/>
    </i>
    <i i="4">
      <x v="4"/>
    </i>
    <i i="5">
      <x v="5"/>
    </i>
    <i i="6">
      <x v="6"/>
    </i>
  </colItems>
  <dataFields count="7">
    <dataField name="Match Count" fld="3" subtotal="count" baseField="2" baseItem="3"/>
    <dataField name=" Games Won" fld="6" baseField="5" baseItem="2"/>
    <dataField name=" % of Games Won" fld="26" baseField="5" baseItem="2" numFmtId="9"/>
    <dataField name="Wins" fld="7" baseField="4" baseItem="20"/>
    <dataField name="Ties" fld="9" baseField="4" baseItem="20"/>
    <dataField name="Losses" fld="8" baseField="4" baseItem="20"/>
    <dataField name="Win%" fld="25" baseField="4" baseItem="20" numFmtId="164"/>
  </dataFields>
  <formats count="10">
    <format dxfId="1627">
      <pivotArea outline="0" collapsedLevelsAreSubtotals="1" fieldPosition="0">
        <references count="1">
          <reference field="4294967294" count="3" selected="0">
            <x v="3"/>
            <x v="4"/>
            <x v="5"/>
          </reference>
        </references>
      </pivotArea>
    </format>
    <format dxfId="1626">
      <pivotArea dataOnly="0" labelOnly="1" outline="0" fieldPosition="0">
        <references count="1">
          <reference field="4294967294" count="3">
            <x v="3"/>
            <x v="4"/>
            <x v="5"/>
          </reference>
        </references>
      </pivotArea>
    </format>
    <format dxfId="1625">
      <pivotArea outline="0" collapsedLevelsAreSubtotals="1" fieldPosition="0">
        <references count="1">
          <reference field="4294967294" count="1" selected="0">
            <x v="6"/>
          </reference>
        </references>
      </pivotArea>
    </format>
    <format dxfId="1624">
      <pivotArea dataOnly="0" labelOnly="1" outline="0" fieldPosition="0">
        <references count="1">
          <reference field="4294967294" count="1">
            <x v="6"/>
          </reference>
        </references>
      </pivotArea>
    </format>
    <format dxfId="1623">
      <pivotArea outline="0" fieldPosition="0">
        <references count="1">
          <reference field="4294967294" count="1">
            <x v="2"/>
          </reference>
        </references>
      </pivotArea>
    </format>
    <format dxfId="1622">
      <pivotArea dataOnly="0" labelOnly="1" outline="0" fieldPosition="0">
        <references count="1">
          <reference field="4294967294" count="4">
            <x v="1"/>
            <x v="2"/>
            <x v="3"/>
            <x v="4"/>
          </reference>
        </references>
      </pivotArea>
    </format>
    <format dxfId="1621">
      <pivotArea outline="0" collapsedLevelsAreSubtotals="1" fieldPosition="0">
        <references count="1">
          <reference field="4294967294" count="1" selected="0">
            <x v="3"/>
          </reference>
        </references>
      </pivotArea>
    </format>
    <format dxfId="1620">
      <pivotArea dataOnly="0" labelOnly="1" outline="0" fieldPosition="0">
        <references count="1">
          <reference field="4294967294" count="1">
            <x v="3"/>
          </reference>
        </references>
      </pivotArea>
    </format>
    <format dxfId="1619">
      <pivotArea dataOnly="0" outline="0" fieldPosition="0">
        <references count="1">
          <reference field="4294967294" count="1">
            <x v="1"/>
          </reference>
        </references>
      </pivotArea>
    </format>
    <format dxfId="1618">
      <pivotArea dataOnly="0" outline="0" fieldPosition="0">
        <references count="1">
          <reference field="4294967294" count="1">
            <x v="6"/>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A14745-ACC6-46F7-A388-0E3FF4F84449}" name="PivotTable1" cacheId="8" applyNumberFormats="0" applyBorderFormats="0" applyFontFormats="0" applyPatternFormats="0" applyAlignmentFormats="0" applyWidthHeightFormats="1" dataCaption="Values" showError="1" updatedVersion="8" minRefreshableVersion="3" useAutoFormatting="1" rowGrandTotals="0" colGrandTotals="0" itemPrintTitles="1" createdVersion="6" indent="0" outline="1" outlineData="1" multipleFieldFilters="0">
  <location ref="A4:AO36" firstHeaderRow="1" firstDataRow="3" firstDataCol="1"/>
  <pivotFields count="27">
    <pivotField showAll="0">
      <items count="11">
        <item x="0"/>
        <item x="1"/>
        <item x="2"/>
        <item x="3"/>
        <item x="4"/>
        <item x="5"/>
        <item x="6"/>
        <item x="7"/>
        <item x="8"/>
        <item x="9"/>
        <item t="default"/>
      </items>
    </pivotField>
    <pivotField showAll="0">
      <items count="4">
        <item x="1"/>
        <item x="0"/>
        <item x="2"/>
        <item t="default"/>
      </items>
    </pivotField>
    <pivotField showAll="0"/>
    <pivotField dataField="1" showAll="0"/>
    <pivotField axis="axisCol" showAll="0" sortType="ascending">
      <items count="42">
        <item h="1" x="22"/>
        <item h="1" m="1" x="35"/>
        <item h="1" x="23"/>
        <item h="1" m="1" x="37"/>
        <item h="1" m="1" x="34"/>
        <item h="1" m="1" x="33"/>
        <item h="1" x="5"/>
        <item h="1" x="8"/>
        <item x="12"/>
        <item h="1" m="1" x="38"/>
        <item h="1" m="1" x="36"/>
        <item x="20"/>
        <item x="27"/>
        <item x="29"/>
        <item x="6"/>
        <item h="1" m="1" x="39"/>
        <item x="24"/>
        <item x="9"/>
        <item x="26"/>
        <item x="17"/>
        <item x="28"/>
        <item h="1" m="1" x="32"/>
        <item x="11"/>
        <item h="1" m="1" x="31"/>
        <item h="1" x="4"/>
        <item x="2"/>
        <item x="3"/>
        <item x="16"/>
        <item x="7"/>
        <item x="25"/>
        <item x="1"/>
        <item x="15"/>
        <item h="1" x="0"/>
        <item h="1" x="13"/>
        <item h="1" x="14"/>
        <item x="21"/>
        <item h="1" x="10"/>
        <item h="1" x="19"/>
        <item x="18"/>
        <item h="1" m="1" x="40"/>
        <item h="1" x="30"/>
        <item t="default"/>
      </items>
    </pivotField>
    <pivotField showAll="0"/>
    <pivotField showAll="0"/>
    <pivotField showAll="0"/>
    <pivotField showAll="0"/>
    <pivotField showAll="0"/>
    <pivotField axis="axisRow" showAll="0" sortType="ascending">
      <items count="42">
        <item sd="0" x="22"/>
        <item sd="0" m="1" x="35"/>
        <item sd="0" x="23"/>
        <item sd="0" m="1" x="37"/>
        <item sd="0" m="1" x="34"/>
        <item sd="0" m="1" x="33"/>
        <item sd="0" x="4"/>
        <item sd="0" x="9"/>
        <item sd="0" x="13"/>
        <item sd="0" m="1" x="38"/>
        <item sd="0" m="1" x="36"/>
        <item sd="0" x="20"/>
        <item sd="0" x="27"/>
        <item x="29"/>
        <item sd="0" x="7"/>
        <item sd="0" m="1" x="39"/>
        <item sd="0" x="24"/>
        <item sd="0" x="8"/>
        <item sd="0" x="26"/>
        <item sd="0" x="16"/>
        <item sd="0" x="28"/>
        <item sd="0" m="1" x="32"/>
        <item sd="0" x="10"/>
        <item sd="0" m="1" x="31"/>
        <item sd="0" x="5"/>
        <item sd="0" x="3"/>
        <item sd="0" x="2"/>
        <item sd="0" x="17"/>
        <item sd="0" x="6"/>
        <item sd="0" x="25"/>
        <item sd="0" x="0"/>
        <item sd="0" x="14"/>
        <item sd="0" x="1"/>
        <item sd="0" x="12"/>
        <item sd="0" x="15"/>
        <item sd="0" x="21"/>
        <item sd="0" x="11"/>
        <item sd="0" x="18"/>
        <item sd="0" x="19"/>
        <item sd="0" m="1" x="40"/>
        <item h="1" sd="0" x="30"/>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10"/>
  </rowFields>
  <rowItems count="30">
    <i>
      <x/>
    </i>
    <i>
      <x v="2"/>
    </i>
    <i>
      <x v="6"/>
    </i>
    <i>
      <x v="7"/>
    </i>
    <i>
      <x v="8"/>
    </i>
    <i>
      <x v="11"/>
    </i>
    <i>
      <x v="12"/>
    </i>
    <i>
      <x v="13"/>
    </i>
    <i>
      <x v="14"/>
    </i>
    <i>
      <x v="16"/>
    </i>
    <i>
      <x v="17"/>
    </i>
    <i>
      <x v="18"/>
    </i>
    <i>
      <x v="19"/>
    </i>
    <i>
      <x v="20"/>
    </i>
    <i>
      <x v="22"/>
    </i>
    <i>
      <x v="24"/>
    </i>
    <i>
      <x v="25"/>
    </i>
    <i>
      <x v="26"/>
    </i>
    <i>
      <x v="27"/>
    </i>
    <i>
      <x v="28"/>
    </i>
    <i>
      <x v="29"/>
    </i>
    <i>
      <x v="30"/>
    </i>
    <i>
      <x v="31"/>
    </i>
    <i>
      <x v="32"/>
    </i>
    <i>
      <x v="33"/>
    </i>
    <i>
      <x v="34"/>
    </i>
    <i>
      <x v="35"/>
    </i>
    <i>
      <x v="36"/>
    </i>
    <i>
      <x v="37"/>
    </i>
    <i>
      <x v="38"/>
    </i>
  </rowItems>
  <colFields count="2">
    <field x="4"/>
    <field x="-2"/>
  </colFields>
  <colItems count="40">
    <i>
      <x v="8"/>
      <x/>
    </i>
    <i r="1" i="1">
      <x v="1"/>
    </i>
    <i>
      <x v="11"/>
      <x/>
    </i>
    <i r="1" i="1">
      <x v="1"/>
    </i>
    <i>
      <x v="12"/>
      <x/>
    </i>
    <i r="1" i="1">
      <x v="1"/>
    </i>
    <i>
      <x v="13"/>
      <x/>
    </i>
    <i r="1" i="1">
      <x v="1"/>
    </i>
    <i>
      <x v="14"/>
      <x/>
    </i>
    <i r="1" i="1">
      <x v="1"/>
    </i>
    <i>
      <x v="16"/>
      <x/>
    </i>
    <i r="1" i="1">
      <x v="1"/>
    </i>
    <i>
      <x v="17"/>
      <x/>
    </i>
    <i r="1" i="1">
      <x v="1"/>
    </i>
    <i>
      <x v="18"/>
      <x/>
    </i>
    <i r="1" i="1">
      <x v="1"/>
    </i>
    <i>
      <x v="19"/>
      <x/>
    </i>
    <i r="1" i="1">
      <x v="1"/>
    </i>
    <i>
      <x v="20"/>
      <x/>
    </i>
    <i r="1" i="1">
      <x v="1"/>
    </i>
    <i>
      <x v="22"/>
      <x/>
    </i>
    <i r="1" i="1">
      <x v="1"/>
    </i>
    <i>
      <x v="25"/>
      <x/>
    </i>
    <i r="1" i="1">
      <x v="1"/>
    </i>
    <i>
      <x v="26"/>
      <x/>
    </i>
    <i r="1" i="1">
      <x v="1"/>
    </i>
    <i>
      <x v="27"/>
      <x/>
    </i>
    <i r="1" i="1">
      <x v="1"/>
    </i>
    <i>
      <x v="28"/>
      <x/>
    </i>
    <i r="1" i="1">
      <x v="1"/>
    </i>
    <i>
      <x v="29"/>
      <x/>
    </i>
    <i r="1" i="1">
      <x v="1"/>
    </i>
    <i>
      <x v="30"/>
      <x/>
    </i>
    <i r="1" i="1">
      <x v="1"/>
    </i>
    <i>
      <x v="31"/>
      <x/>
    </i>
    <i r="1" i="1">
      <x v="1"/>
    </i>
    <i>
      <x v="35"/>
      <x/>
    </i>
    <i r="1" i="1">
      <x v="1"/>
    </i>
    <i>
      <x v="38"/>
      <x/>
    </i>
    <i r="1" i="1">
      <x v="1"/>
    </i>
  </colItems>
  <dataFields count="2">
    <dataField name="Match Count" fld="3" subtotal="count" baseField="10" baseItem="27"/>
    <dataField name="W %" fld="26" baseField="10" baseItem="6" numFmtId="9"/>
  </dataFields>
  <formats count="30">
    <format dxfId="1617">
      <pivotArea outline="0" fieldPosition="0">
        <references count="1">
          <reference field="4294967294" count="1">
            <x v="1"/>
          </reference>
        </references>
      </pivotArea>
    </format>
    <format dxfId="1616">
      <pivotArea dataOnly="0" labelOnly="1" outline="0" fieldPosition="0">
        <references count="1">
          <reference field="4294967294" count="1">
            <x v="1"/>
          </reference>
        </references>
      </pivotArea>
    </format>
    <format dxfId="1615">
      <pivotArea field="4" type="button" dataOnly="0" labelOnly="1" outline="0" axis="axisCol" fieldPosition="0"/>
    </format>
    <format dxfId="1614">
      <pivotArea dataOnly="0" labelOnly="1" fieldPosition="0">
        <references count="1">
          <reference field="10" count="29">
            <x v="0"/>
            <x v="2"/>
            <x v="6"/>
            <x v="7"/>
            <x v="8"/>
            <x v="11"/>
            <x v="12"/>
            <x v="14"/>
            <x v="16"/>
            <x v="17"/>
            <x v="18"/>
            <x v="19"/>
            <x v="20"/>
            <x v="22"/>
            <x v="24"/>
            <x v="25"/>
            <x v="26"/>
            <x v="27"/>
            <x v="28"/>
            <x v="29"/>
            <x v="30"/>
            <x v="31"/>
            <x v="32"/>
            <x v="33"/>
            <x v="34"/>
            <x v="35"/>
            <x v="36"/>
            <x v="37"/>
            <x v="38"/>
          </reference>
        </references>
      </pivotArea>
    </format>
    <format dxfId="1613">
      <pivotArea dataOnly="0" labelOnly="1" fieldPosition="0">
        <references count="1">
          <reference field="4" count="0"/>
        </references>
      </pivotArea>
    </format>
    <format dxfId="1612">
      <pivotArea field="10" type="button" dataOnly="0" labelOnly="1" outline="0" axis="axisRow" fieldPosition="0"/>
    </format>
    <format dxfId="1611">
      <pivotArea dataOnly="0" labelOnly="1" outline="0" fieldPosition="0">
        <references count="2">
          <reference field="4294967294" count="2">
            <x v="0"/>
            <x v="1"/>
          </reference>
          <reference field="4" count="1" selected="0">
            <x v="2"/>
          </reference>
        </references>
      </pivotArea>
    </format>
    <format dxfId="1610">
      <pivotArea dataOnly="0" labelOnly="1" outline="0" fieldPosition="0">
        <references count="2">
          <reference field="4294967294" count="2">
            <x v="0"/>
            <x v="1"/>
          </reference>
          <reference field="4" count="1" selected="0">
            <x v="8"/>
          </reference>
        </references>
      </pivotArea>
    </format>
    <format dxfId="1609">
      <pivotArea dataOnly="0" labelOnly="1" outline="0" fieldPosition="0">
        <references count="2">
          <reference field="4294967294" count="2">
            <x v="0"/>
            <x v="1"/>
          </reference>
          <reference field="4" count="1" selected="0">
            <x v="11"/>
          </reference>
        </references>
      </pivotArea>
    </format>
    <format dxfId="1608">
      <pivotArea dataOnly="0" labelOnly="1" outline="0" fieldPosition="0">
        <references count="2">
          <reference field="4294967294" count="2">
            <x v="0"/>
            <x v="1"/>
          </reference>
          <reference field="4" count="1" selected="0">
            <x v="12"/>
          </reference>
        </references>
      </pivotArea>
    </format>
    <format dxfId="1607">
      <pivotArea dataOnly="0" labelOnly="1" outline="0" fieldPosition="0">
        <references count="2">
          <reference field="4294967294" count="2">
            <x v="0"/>
            <x v="1"/>
          </reference>
          <reference field="4" count="1" selected="0">
            <x v="14"/>
          </reference>
        </references>
      </pivotArea>
    </format>
    <format dxfId="1606">
      <pivotArea dataOnly="0" labelOnly="1" outline="0" fieldPosition="0">
        <references count="2">
          <reference field="4294967294" count="2">
            <x v="0"/>
            <x v="1"/>
          </reference>
          <reference field="4" count="1" selected="0">
            <x v="16"/>
          </reference>
        </references>
      </pivotArea>
    </format>
    <format dxfId="1605">
      <pivotArea dataOnly="0" labelOnly="1" outline="0" fieldPosition="0">
        <references count="2">
          <reference field="4294967294" count="2">
            <x v="0"/>
            <x v="1"/>
          </reference>
          <reference field="4" count="1" selected="0">
            <x v="17"/>
          </reference>
        </references>
      </pivotArea>
    </format>
    <format dxfId="1604">
      <pivotArea dataOnly="0" labelOnly="1" outline="0" fieldPosition="0">
        <references count="2">
          <reference field="4294967294" count="2">
            <x v="0"/>
            <x v="1"/>
          </reference>
          <reference field="4" count="1" selected="0">
            <x v="18"/>
          </reference>
        </references>
      </pivotArea>
    </format>
    <format dxfId="1603">
      <pivotArea dataOnly="0" labelOnly="1" outline="0" fieldPosition="0">
        <references count="2">
          <reference field="4294967294" count="2">
            <x v="0"/>
            <x v="1"/>
          </reference>
          <reference field="4" count="1" selected="0">
            <x v="19"/>
          </reference>
        </references>
      </pivotArea>
    </format>
    <format dxfId="1602">
      <pivotArea dataOnly="0" labelOnly="1" outline="0" fieldPosition="0">
        <references count="2">
          <reference field="4294967294" count="2">
            <x v="0"/>
            <x v="1"/>
          </reference>
          <reference field="4" count="1" selected="0">
            <x v="20"/>
          </reference>
        </references>
      </pivotArea>
    </format>
    <format dxfId="1601">
      <pivotArea dataOnly="0" labelOnly="1" outline="0" fieldPosition="0">
        <references count="2">
          <reference field="4294967294" count="2">
            <x v="0"/>
            <x v="1"/>
          </reference>
          <reference field="4" count="1" selected="0">
            <x v="22"/>
          </reference>
        </references>
      </pivotArea>
    </format>
    <format dxfId="1600">
      <pivotArea dataOnly="0" labelOnly="1" outline="0" fieldPosition="0">
        <references count="2">
          <reference field="4294967294" count="2">
            <x v="0"/>
            <x v="1"/>
          </reference>
          <reference field="4" count="1" selected="0">
            <x v="25"/>
          </reference>
        </references>
      </pivotArea>
    </format>
    <format dxfId="1599">
      <pivotArea dataOnly="0" labelOnly="1" outline="0" fieldPosition="0">
        <references count="2">
          <reference field="4294967294" count="2">
            <x v="0"/>
            <x v="1"/>
          </reference>
          <reference field="4" count="1" selected="0">
            <x v="26"/>
          </reference>
        </references>
      </pivotArea>
    </format>
    <format dxfId="1598">
      <pivotArea dataOnly="0" labelOnly="1" outline="0" fieldPosition="0">
        <references count="2">
          <reference field="4294967294" count="2">
            <x v="0"/>
            <x v="1"/>
          </reference>
          <reference field="4" count="1" selected="0">
            <x v="27"/>
          </reference>
        </references>
      </pivotArea>
    </format>
    <format dxfId="1597">
      <pivotArea dataOnly="0" labelOnly="1" outline="0" fieldPosition="0">
        <references count="2">
          <reference field="4294967294" count="2">
            <x v="0"/>
            <x v="1"/>
          </reference>
          <reference field="4" count="1" selected="0">
            <x v="28"/>
          </reference>
        </references>
      </pivotArea>
    </format>
    <format dxfId="1596">
      <pivotArea dataOnly="0" labelOnly="1" outline="0" fieldPosition="0">
        <references count="2">
          <reference field="4294967294" count="2">
            <x v="0"/>
            <x v="1"/>
          </reference>
          <reference field="4" count="1" selected="0">
            <x v="29"/>
          </reference>
        </references>
      </pivotArea>
    </format>
    <format dxfId="1595">
      <pivotArea dataOnly="0" labelOnly="1" outline="0" fieldPosition="0">
        <references count="2">
          <reference field="4294967294" count="2">
            <x v="0"/>
            <x v="1"/>
          </reference>
          <reference field="4" count="1" selected="0">
            <x v="30"/>
          </reference>
        </references>
      </pivotArea>
    </format>
    <format dxfId="1594">
      <pivotArea dataOnly="0" labelOnly="1" outline="0" fieldPosition="0">
        <references count="2">
          <reference field="4294967294" count="2">
            <x v="0"/>
            <x v="1"/>
          </reference>
          <reference field="4" count="1" selected="0">
            <x v="31"/>
          </reference>
        </references>
      </pivotArea>
    </format>
    <format dxfId="1593">
      <pivotArea dataOnly="0" labelOnly="1" outline="0" fieldPosition="0">
        <references count="2">
          <reference field="4294967294" count="2">
            <x v="0"/>
            <x v="1"/>
          </reference>
          <reference field="4" count="1" selected="0">
            <x v="35"/>
          </reference>
        </references>
      </pivotArea>
    </format>
    <format dxfId="1592">
      <pivotArea dataOnly="0" labelOnly="1" outline="0" fieldPosition="0">
        <references count="2">
          <reference field="4294967294" count="2">
            <x v="0"/>
            <x v="1"/>
          </reference>
          <reference field="4" count="1" selected="0">
            <x v="38"/>
          </reference>
        </references>
      </pivotArea>
    </format>
    <format dxfId="657">
      <pivotArea outline="0" collapsedLevelsAreSubtotals="1" fieldPosition="0">
        <references count="2">
          <reference field="4294967294" count="1" selected="0">
            <x v="0"/>
          </reference>
          <reference field="4" count="1" selected="0">
            <x v="11"/>
          </reference>
        </references>
      </pivotArea>
    </format>
    <format dxfId="656">
      <pivotArea type="topRight" dataOnly="0" labelOnly="1" outline="0" offset="A1" fieldPosition="0"/>
    </format>
    <format dxfId="655">
      <pivotArea dataOnly="0" labelOnly="1" offset="A256" fieldPosition="0">
        <references count="1">
          <reference field="4" count="1">
            <x v="11"/>
          </reference>
        </references>
      </pivotArea>
    </format>
    <format dxfId="654">
      <pivotArea dataOnly="0" labelOnly="1" outline="0" fieldPosition="0">
        <references count="2">
          <reference field="4294967294" count="1">
            <x v="0"/>
          </reference>
          <reference field="4" count="1" selected="0">
            <x v="11"/>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AB3953D-847B-41E9-84FC-5D1F87577F68}" sourceName="Year">
  <pivotTables>
    <pivotTable tabId="10" name="PivotTable1"/>
  </pivotTables>
  <data>
    <tabular pivotCacheId="988427490">
      <items count="10">
        <i x="0"/>
        <i x="1"/>
        <i x="3"/>
        <i x="4"/>
        <i x="5"/>
        <i x="6"/>
        <i x="7"/>
        <i x="8" s="1"/>
        <i x="2" nd="1"/>
        <i x="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38D6A6E-7DEF-4534-9A53-3D6CCA57BAB3}" sourceName="Year">
  <pivotTables>
    <pivotTable tabId="11" name="PivotTable1"/>
  </pivotTables>
  <data>
    <tabular pivotCacheId="988427490">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59C0354E-6E58-476A-9C61-3997D9BEBC6B}" sourceName="Team">
  <pivotTables>
    <pivotTable tabId="11" name="PivotTable1"/>
  </pivotTables>
  <data>
    <tabular pivotCacheId="988427490">
      <items count="41">
        <i x="22" s="1"/>
        <i x="23" s="1"/>
        <i x="5" s="1"/>
        <i x="8" s="1"/>
        <i x="12" s="1"/>
        <i x="20" s="1"/>
        <i x="27" s="1"/>
        <i x="29" s="1"/>
        <i x="6" s="1"/>
        <i x="24" s="1"/>
        <i x="9" s="1"/>
        <i x="26" s="1"/>
        <i x="17" s="1"/>
        <i x="28" s="1"/>
        <i x="11" s="1"/>
        <i x="4" s="1"/>
        <i x="2" s="1"/>
        <i x="3" s="1"/>
        <i x="16" s="1"/>
        <i x="7" s="1"/>
        <i x="25" s="1"/>
        <i x="1" s="1"/>
        <i x="15" s="1"/>
        <i x="0" s="1"/>
        <i x="13" s="1"/>
        <i x="14" s="1"/>
        <i x="21" s="1"/>
        <i x="10" s="1"/>
        <i x="19" s="1"/>
        <i x="18" s="1"/>
        <i x="30" s="1"/>
        <i x="35" s="1" nd="1"/>
        <i x="37" s="1" nd="1"/>
        <i x="34" s="1" nd="1"/>
        <i x="33" s="1" nd="1"/>
        <i x="38" s="1" nd="1"/>
        <i x="36" s="1" nd="1"/>
        <i x="39" s="1" nd="1"/>
        <i x="32" s="1" nd="1"/>
        <i x="31" s="1" nd="1"/>
        <i x="4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s_Opponent1" xr10:uid="{A231833F-EF25-47EA-8FE7-C682EC50F918}" sourceName="vs Opponent">
  <pivotTables>
    <pivotTable tabId="11" name="PivotTable1"/>
  </pivotTables>
  <data>
    <tabular pivotCacheId="988427490">
      <items count="41">
        <i x="22" s="1"/>
        <i x="23" s="1"/>
        <i x="4" s="1"/>
        <i x="9" s="1"/>
        <i x="13" s="1"/>
        <i x="20" s="1"/>
        <i x="27" s="1"/>
        <i x="29" s="1"/>
        <i x="7" s="1"/>
        <i x="24" s="1"/>
        <i x="8" s="1"/>
        <i x="26" s="1"/>
        <i x="16" s="1"/>
        <i x="28" s="1"/>
        <i x="10" s="1"/>
        <i x="5" s="1"/>
        <i x="3" s="1"/>
        <i x="2" s="1"/>
        <i x="17" s="1"/>
        <i x="6" s="1"/>
        <i x="25" s="1"/>
        <i x="0" s="1"/>
        <i x="14" s="1"/>
        <i x="1" s="1"/>
        <i x="12" s="1"/>
        <i x="15" s="1"/>
        <i x="21" s="1"/>
        <i x="11" s="1"/>
        <i x="18" s="1"/>
        <i x="19" s="1"/>
        <i x="30" s="1"/>
        <i x="35" s="1" nd="1"/>
        <i x="37" s="1" nd="1"/>
        <i x="34" s="1" nd="1"/>
        <i x="33" s="1" nd="1"/>
        <i x="38" s="1" nd="1"/>
        <i x="36" s="1" nd="1"/>
        <i x="39" s="1" nd="1"/>
        <i x="32" s="1" nd="1"/>
        <i x="31" s="1" nd="1"/>
        <i x="4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1" xr10:uid="{FD2DE8AE-8578-4A1B-A57F-FA7AEC5E9C38}" sourceName="Year">
  <pivotTables>
    <pivotTable tabId="12" name="PivotTable1"/>
  </pivotTables>
  <data>
    <tabular pivotCacheId="988427490">
      <items count="10">
        <i x="0"/>
        <i x="1"/>
        <i x="2"/>
        <i x="3"/>
        <i x="4"/>
        <i x="5"/>
        <i x="6"/>
        <i x="7"/>
        <i x="8" s="1"/>
        <i x="9"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1" xr10:uid="{2534BCAE-2A96-4963-B755-D990877512CD}" sourceName="Team">
  <pivotTables>
    <pivotTable tabId="12" name="PivotTable1"/>
  </pivotTables>
  <data>
    <tabular pivotCacheId="988427490">
      <items count="41">
        <i x="12" s="1"/>
        <i x="20" s="1"/>
        <i x="27" s="1"/>
        <i x="29" s="1"/>
        <i x="6" s="1"/>
        <i x="24" s="1"/>
        <i x="9" s="1"/>
        <i x="26" s="1"/>
        <i x="17" s="1"/>
        <i x="28" s="1"/>
        <i x="11" s="1"/>
        <i x="2" s="1"/>
        <i x="3" s="1"/>
        <i x="16" s="1"/>
        <i x="7" s="1"/>
        <i x="25" s="1"/>
        <i x="1" s="1"/>
        <i x="15" s="1"/>
        <i x="21" s="1"/>
        <i x="18" s="1"/>
        <i x="22" s="1" nd="1"/>
        <i x="35" s="1" nd="1"/>
        <i x="23" s="1" nd="1"/>
        <i x="37" s="1" nd="1"/>
        <i x="34" s="1" nd="1"/>
        <i x="33" s="1" nd="1"/>
        <i x="5" s="1" nd="1"/>
        <i x="8" s="1" nd="1"/>
        <i x="38" s="1" nd="1"/>
        <i x="36" s="1" nd="1"/>
        <i x="39" s="1" nd="1"/>
        <i x="32" s="1" nd="1"/>
        <i x="31" s="1" nd="1"/>
        <i x="4" s="1" nd="1"/>
        <i x="40" s="1" nd="1"/>
        <i x="0" s="1" nd="1"/>
        <i x="13" s="1" nd="1"/>
        <i x="14" s="1" nd="1"/>
        <i x="10" s="1" nd="1"/>
        <i x="19" s="1" nd="1"/>
        <i x="3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s_Opponent11" xr10:uid="{76285DB9-6B9B-41FC-B0E3-3FC39D52D11B}" sourceName="vs Opponent">
  <pivotTables>
    <pivotTable tabId="12" name="PivotTable1"/>
  </pivotTables>
  <data>
    <tabular pivotCacheId="988427490">
      <items count="41">
        <i x="13" s="1"/>
        <i x="20" s="1"/>
        <i x="27" s="1"/>
        <i x="29" s="1"/>
        <i x="7" s="1"/>
        <i x="24" s="1"/>
        <i x="8" s="1"/>
        <i x="26" s="1"/>
        <i x="16" s="1"/>
        <i x="28" s="1"/>
        <i x="10" s="1"/>
        <i x="3" s="1"/>
        <i x="2" s="1"/>
        <i x="17" s="1"/>
        <i x="6" s="1"/>
        <i x="25" s="1"/>
        <i x="0" s="1"/>
        <i x="14" s="1"/>
        <i x="21" s="1"/>
        <i x="19" s="1"/>
        <i x="22" s="1" nd="1"/>
        <i x="35" s="1" nd="1"/>
        <i x="23" s="1" nd="1"/>
        <i x="37" s="1" nd="1"/>
        <i x="34" s="1" nd="1"/>
        <i x="33" s="1" nd="1"/>
        <i x="4" s="1" nd="1"/>
        <i x="9" s="1" nd="1"/>
        <i x="38" s="1" nd="1"/>
        <i x="36" s="1" nd="1"/>
        <i x="39" s="1" nd="1"/>
        <i x="32" s="1" nd="1"/>
        <i x="31" s="1" nd="1"/>
        <i x="5" s="1" nd="1"/>
        <i x="1" s="1" nd="1"/>
        <i x="12" s="1" nd="1"/>
        <i x="15" s="1" nd="1"/>
        <i x="11" s="1" nd="1"/>
        <i x="18" s="1" nd="1"/>
        <i x="40" s="1" nd="1"/>
        <i x="3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11" xr10:uid="{729CEA6A-8D8D-48C5-9BE3-E06CE6C3A554}" sourceName="Period">
  <pivotTables>
    <pivotTable tabId="12" name="PivotTable1"/>
  </pivotTables>
  <data>
    <tabular pivotCacheId="988427490">
      <items count="25">
        <i x="0" s="1"/>
        <i x="1" s="1"/>
        <i x="2" s="1"/>
        <i x="3" s="1"/>
        <i x="4" s="1"/>
        <i x="5" s="1"/>
        <i x="6" s="1"/>
        <i x="7" s="1"/>
        <i x="8" s="1"/>
        <i x="9" s="1"/>
        <i x="10" s="1"/>
        <i x="11" s="1"/>
        <i x="12" s="1"/>
        <i x="13" s="1"/>
        <i x="14" s="1"/>
        <i x="15" s="1"/>
        <i x="23"/>
        <i x="21"/>
        <i x="19"/>
        <i x="20"/>
        <i x="16" s="1" nd="1"/>
        <i x="17" s="1" nd="1"/>
        <i x="18" s="1" nd="1"/>
        <i x="22" nd="1"/>
        <i x="24"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ular__Playoffs" xr10:uid="{D9EE6F07-04F3-4C11-AFB3-75217995074A}" sourceName="Regular/_x000a_Playoffs">
  <pivotTables>
    <pivotTable tabId="11" name="PivotTable1"/>
  </pivotTables>
  <data>
    <tabular pivotCacheId="988427490">
      <items count="3">
        <i x="1"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2" xr10:uid="{BC15C078-E8CD-4820-9874-77A0407C82A1}" sourceName="Team">
  <pivotTables>
    <pivotTable tabId="13" name="PivotTable1"/>
  </pivotTables>
  <data>
    <tabular pivotCacheId="988427490">
      <items count="41">
        <i x="22"/>
        <i x="23"/>
        <i x="5"/>
        <i x="8"/>
        <i x="12"/>
        <i x="20"/>
        <i x="27"/>
        <i x="29"/>
        <i x="6"/>
        <i x="24"/>
        <i x="9"/>
        <i x="26"/>
        <i x="17"/>
        <i x="28"/>
        <i x="11" s="1"/>
        <i x="4"/>
        <i x="2"/>
        <i x="3"/>
        <i x="16"/>
        <i x="7"/>
        <i x="25"/>
        <i x="1"/>
        <i x="15"/>
        <i x="0"/>
        <i x="13"/>
        <i x="14"/>
        <i x="21"/>
        <i x="10"/>
        <i x="19"/>
        <i x="18"/>
        <i x="30"/>
        <i x="35" nd="1"/>
        <i x="37" nd="1"/>
        <i x="34" nd="1"/>
        <i x="33" nd="1"/>
        <i x="38" nd="1"/>
        <i x="36" nd="1"/>
        <i x="39" nd="1"/>
        <i x="32" nd="1"/>
        <i x="31" nd="1"/>
        <i x="40"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s_Opponent12" xr10:uid="{22E23CD2-F657-46B3-BD3C-959662A19BCA}" sourceName="vs Opponent">
  <pivotTables>
    <pivotTable tabId="13" name="PivotTable1"/>
  </pivotTables>
  <data>
    <tabular pivotCacheId="988427490">
      <items count="41">
        <i x="22" s="1"/>
        <i x="23" s="1"/>
        <i x="4" s="1"/>
        <i x="9" s="1"/>
        <i x="13" s="1"/>
        <i x="20" s="1"/>
        <i x="27" s="1"/>
        <i x="29" s="1"/>
        <i x="7" s="1"/>
        <i x="24" s="1"/>
        <i x="8" s="1"/>
        <i x="26" s="1"/>
        <i x="16" s="1"/>
        <i x="28" s="1"/>
        <i x="5" s="1"/>
        <i x="3" s="1"/>
        <i x="2" s="1"/>
        <i x="17" s="1"/>
        <i x="6" s="1"/>
        <i x="25" s="1"/>
        <i x="0" s="1"/>
        <i x="14" s="1"/>
        <i x="1" s="1"/>
        <i x="12" s="1"/>
        <i x="15" s="1"/>
        <i x="21" s="1"/>
        <i x="11" s="1"/>
        <i x="18" s="1"/>
        <i x="19" s="1"/>
        <i x="35" s="1" nd="1"/>
        <i x="37" s="1" nd="1"/>
        <i x="34" s="1" nd="1"/>
        <i x="33" s="1" nd="1"/>
        <i x="38" s="1" nd="1"/>
        <i x="36" s="1" nd="1"/>
        <i x="39" s="1" nd="1"/>
        <i x="32" s="1" nd="1"/>
        <i x="10" s="1" nd="1"/>
        <i x="31" s="1" nd="1"/>
        <i x="40" s="1" nd="1"/>
        <i x="30"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69D2880B-1B7B-40A4-BAB5-9CC9787B7C68}" sourceName="Period">
  <pivotTables>
    <pivotTable tabId="11" name="PivotTable1"/>
  </pivotTables>
  <data>
    <tabular pivotCacheId="988427490">
      <items count="25">
        <i x="0" s="1"/>
        <i x="1" s="1"/>
        <i x="2" s="1"/>
        <i x="3" s="1"/>
        <i x="4" s="1"/>
        <i x="5" s="1"/>
        <i x="6" s="1"/>
        <i x="7" s="1"/>
        <i x="8" s="1"/>
        <i x="9" s="1"/>
        <i x="10" s="1"/>
        <i x="11" s="1"/>
        <i x="12" s="1"/>
        <i x="13" s="1"/>
        <i x="14" s="1"/>
        <i x="15" s="1"/>
        <i x="16" s="1"/>
        <i x="17" s="1"/>
        <i x="18" s="1"/>
        <i x="23" s="1"/>
        <i x="22" s="1"/>
        <i x="21" s="1"/>
        <i x="19" s="1"/>
        <i x="20" s="1"/>
        <i x="2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ular__Playoffs1" xr10:uid="{F9D44CEC-4732-4C03-8E08-F9DDE9984A35}" sourceName="Regular/_x000a_Playoffs">
  <pivotTables>
    <pivotTable tabId="18" name="PivotTable1"/>
  </pivotTables>
  <data>
    <tabular pivotCacheId="988427490">
      <items count="3">
        <i x="1" s="1"/>
        <i x="0" s="1"/>
        <i x="2"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3E7C83B-E571-4E06-893A-D5883C998F1B}" sourceName="Year">
  <pivotTables>
    <pivotTable tabId="18" name="PivotTable1"/>
  </pivotTables>
  <data>
    <tabular pivotCacheId="988427490">
      <items count="10">
        <i x="0" s="1"/>
        <i x="1" s="1"/>
        <i x="2" s="1"/>
        <i x="3" s="1"/>
        <i x="4" s="1"/>
        <i x="5" s="1"/>
        <i x="6" s="1"/>
        <i x="7" s="1"/>
        <i x="8" s="1"/>
        <i x="9"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F2D545C1-6F3C-4618-8385-A6CFEB796A5E}" sourceName="Team">
  <pivotTables>
    <pivotTable tabId="18" name="PivotTable1"/>
  </pivotTables>
  <data>
    <tabular pivotCacheId="988427490">
      <items count="41">
        <i x="22"/>
        <i x="23"/>
        <i x="5"/>
        <i x="8"/>
        <i x="12" s="1"/>
        <i x="20" s="1"/>
        <i x="27" s="1"/>
        <i x="29" s="1"/>
        <i x="6" s="1"/>
        <i x="24" s="1"/>
        <i x="9" s="1"/>
        <i x="26" s="1"/>
        <i x="17" s="1"/>
        <i x="28" s="1"/>
        <i x="11" s="1"/>
        <i x="4"/>
        <i x="2" s="1"/>
        <i x="3" s="1"/>
        <i x="16" s="1"/>
        <i x="7" s="1"/>
        <i x="25" s="1"/>
        <i x="1" s="1"/>
        <i x="15" s="1"/>
        <i x="0"/>
        <i x="13"/>
        <i x="14"/>
        <i x="21" s="1"/>
        <i x="10"/>
        <i x="19"/>
        <i x="18" s="1"/>
        <i x="35" nd="1"/>
        <i x="37" nd="1"/>
        <i x="34" nd="1"/>
        <i x="33" nd="1"/>
        <i x="38" nd="1"/>
        <i x="36" nd="1"/>
        <i x="39" nd="1"/>
        <i x="32" nd="1"/>
        <i x="31" nd="1"/>
        <i x="40" nd="1"/>
        <i x="3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8B55758-27DF-41A4-8826-8E20CB972337}" cache="Slicer_Year" caption="Year" columnCount="4"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AA7A5953-5F7F-402A-BB20-0601FBE88117}" cache="Slicer_Year11" caption="Year" columnCount="5" style="SlicerStyleLight2" rowHeight="234950"/>
  <slicer name="Team 2" xr10:uid="{1A4AE1AA-C779-45AF-92D2-2CA176E3A880}" cache="Slicer_Team11" caption="Team" columnCount="2" style="SlicerStyleLight2" rowHeight="234950"/>
  <slicer name="vs Opponent 2" xr10:uid="{E3A6C2BE-2A16-40C3-BA2E-990C59FCCEF9}" cache="Slicer_vs_Opponent11" caption="vs Opponent" columnCount="2" style="SlicerStyleLight2" rowHeight="234950"/>
  <slicer name="Period 2" xr10:uid="{357C844E-438E-42CC-B6CA-87A7C6E1768A}" cache="Slicer_Period11" caption="Period" columnCount="12"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8FFD772-6E45-420D-842B-719F6A27B916}" cache="Slicer_Year1" caption="Year" columnCount="5" style="SlicerStyleLight2" rowHeight="234950"/>
  <slicer name="Team 1" xr10:uid="{577B06D5-6B70-41DD-B012-0D2443B99CE2}" cache="Slicer_Team1" caption="Team" columnCount="2" style="SlicerStyleLight2" rowHeight="234950"/>
  <slicer name="vs Opponent 1" xr10:uid="{D21C4D19-5035-4D0A-A483-1A20B64231C5}" cache="Slicer_vs_Opponent1" caption="vs Opponent" startItem="2" columnCount="2" style="SlicerStyleLight2" rowHeight="234950"/>
  <slicer name="Regular/_x000a_Playoffs" xr10:uid="{1FF01351-3853-4EFA-88FE-4409D0B361E2}" cache="Slicer_Regular__Playoffs" caption="Regular/_x000a_Playoffs" style="SlicerStyleLight2" rowHeight="234950"/>
  <slicer name="Period" xr10:uid="{8DC2C0D6-570E-46CE-9BCF-36CF075A4D30}" cache="Slicer_Period" caption="Period" columnCount="6"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3" xr10:uid="{1603BF53-1055-4E21-9173-F9716CA9D91F}" cache="Slicer_Team12" caption="Team" columnCount="2" style="SlicerStyleLight2" rowHeight="234950"/>
  <slicer name="vs Opponent 3" xr10:uid="{E29A1CE4-5006-4F46-B8E7-CD9F5288DB28}" cache="Slicer_vs_Opponent12" caption="vs Opponent" columnCount="2" style="SlicerStyleLigh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ular/_x000a_Playoffs 1" xr10:uid="{8B56E4A4-6E40-4342-A0FE-5BDB5D3BB43D}" cache="Slicer_Regular__Playoffs1" caption="Regular/_x000a_Playoffs" style="SlicerStyleLight2" rowHeight="241300"/>
  <slicer name="Year 3" xr10:uid="{7E1FB74D-0D81-417A-9B31-B27279074B0D}" cache="Slicer_Year2" caption="Year" columnCount="5" style="SlicerStyleLight2" rowHeight="241300"/>
  <slicer name="Team" xr10:uid="{2A831786-55AB-47E7-995C-A1A7D4AD94D1}" cache="Slicer_Team" caption="Team" columnCount="11" style="SlicerStyleLigh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customProperty" Target="../customProperty2.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customProperty" Target="../customProperty4.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customProperty" Target="../customProperty6.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6" Type="http://schemas.microsoft.com/office/2007/relationships/slicer" Target="../slicers/slicer4.xml"/><Relationship Id="rId5" Type="http://schemas.openxmlformats.org/officeDocument/2006/relationships/drawing" Target="../drawings/drawing4.xml"/><Relationship Id="rId4" Type="http://schemas.openxmlformats.org/officeDocument/2006/relationships/customProperty" Target="../customProperty8.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0.bin"/><Relationship Id="rId2" Type="http://schemas.openxmlformats.org/officeDocument/2006/relationships/customProperty" Target="../customProperty9.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9A769-1037-40D5-9E89-0DF0B87F725D}">
  <sheetPr>
    <tabColor rgb="FFFFC000"/>
  </sheetPr>
  <dimension ref="A2:S30"/>
  <sheetViews>
    <sheetView workbookViewId="0">
      <selection activeCell="E14" sqref="E14"/>
    </sheetView>
  </sheetViews>
  <sheetFormatPr defaultRowHeight="15" x14ac:dyDescent="0.25"/>
  <cols>
    <col min="1" max="1" width="29.42578125" bestFit="1" customWidth="1"/>
    <col min="2" max="2" width="10.42578125" bestFit="1" customWidth="1"/>
    <col min="3" max="3" width="4.5703125" bestFit="1" customWidth="1"/>
    <col min="4" max="4" width="6.7109375" bestFit="1" customWidth="1"/>
    <col min="5" max="5" width="6.28515625" bestFit="1" customWidth="1"/>
    <col min="6" max="6" width="5.7109375" bestFit="1" customWidth="1"/>
    <col min="7" max="7" width="6.140625" bestFit="1" customWidth="1"/>
    <col min="8" max="8" width="5.42578125" bestFit="1" customWidth="1"/>
    <col min="9" max="10" width="6.140625" bestFit="1" customWidth="1"/>
    <col min="11" max="11" width="4.5703125" bestFit="1" customWidth="1"/>
    <col min="12" max="12" width="6.140625" bestFit="1" customWidth="1"/>
    <col min="13" max="13" width="6" bestFit="1" customWidth="1"/>
    <col min="14" max="14" width="4.7109375" bestFit="1" customWidth="1"/>
    <col min="15" max="15" width="4.28515625" bestFit="1" customWidth="1"/>
    <col min="16" max="16" width="4.5703125" bestFit="1" customWidth="1"/>
    <col min="17" max="17" width="3.85546875" bestFit="1" customWidth="1"/>
    <col min="18" max="18" width="6" bestFit="1" customWidth="1"/>
    <col min="19" max="19" width="15.85546875" hidden="1" customWidth="1"/>
    <col min="20" max="20" width="18.7109375" bestFit="1" customWidth="1"/>
  </cols>
  <sheetData>
    <row r="2" spans="1:19" x14ac:dyDescent="0.25">
      <c r="A2" s="7" t="s">
        <v>122</v>
      </c>
      <c r="B2" t="s">
        <v>142</v>
      </c>
    </row>
    <row r="3" spans="1:19" ht="51" customHeight="1" x14ac:dyDescent="0.25"/>
    <row r="4" spans="1:19" x14ac:dyDescent="0.25">
      <c r="A4" s="7" t="s">
        <v>115</v>
      </c>
      <c r="B4" s="11" t="s">
        <v>123</v>
      </c>
      <c r="C4" s="11" t="s">
        <v>125</v>
      </c>
      <c r="D4" s="11" t="s">
        <v>124</v>
      </c>
      <c r="E4" s="11" t="s">
        <v>126</v>
      </c>
      <c r="F4" s="31" t="s">
        <v>127</v>
      </c>
      <c r="G4" s="31" t="s">
        <v>128</v>
      </c>
      <c r="H4" s="31" t="s">
        <v>129</v>
      </c>
      <c r="I4" s="31" t="s">
        <v>130</v>
      </c>
      <c r="J4" s="31" t="s">
        <v>131</v>
      </c>
      <c r="K4" s="31" t="s">
        <v>132</v>
      </c>
      <c r="L4" s="31" t="s">
        <v>133</v>
      </c>
      <c r="M4" s="31" t="s">
        <v>134</v>
      </c>
      <c r="N4" s="31" t="s">
        <v>135</v>
      </c>
      <c r="O4" s="31" t="s">
        <v>136</v>
      </c>
      <c r="P4" s="31" t="s">
        <v>137</v>
      </c>
      <c r="Q4" s="31" t="s">
        <v>138</v>
      </c>
      <c r="R4" s="31" t="s">
        <v>139</v>
      </c>
      <c r="S4" t="s">
        <v>140</v>
      </c>
    </row>
    <row r="5" spans="1:19" x14ac:dyDescent="0.25">
      <c r="A5" s="8" t="s">
        <v>30</v>
      </c>
      <c r="B5" s="33"/>
      <c r="C5" s="33"/>
      <c r="D5" s="33"/>
      <c r="E5" s="12"/>
      <c r="F5" s="34"/>
      <c r="G5" s="35"/>
      <c r="H5" s="34"/>
      <c r="I5" s="35"/>
      <c r="J5" s="35"/>
      <c r="K5" s="34"/>
      <c r="L5" s="34"/>
      <c r="M5" s="34"/>
      <c r="N5" s="34"/>
      <c r="O5" s="34"/>
      <c r="P5" s="34"/>
      <c r="Q5" s="34"/>
      <c r="R5" s="36"/>
      <c r="S5" s="32"/>
    </row>
    <row r="6" spans="1:19" x14ac:dyDescent="0.25">
      <c r="A6" s="9" t="s">
        <v>23</v>
      </c>
      <c r="B6" s="33">
        <v>7</v>
      </c>
      <c r="C6" s="33">
        <v>0</v>
      </c>
      <c r="D6" s="33">
        <v>6</v>
      </c>
      <c r="E6" s="12">
        <v>0.53846153846153844</v>
      </c>
      <c r="F6" s="34">
        <v>216</v>
      </c>
      <c r="G6" s="35">
        <v>0.52600000000000002</v>
      </c>
      <c r="H6" s="34">
        <v>41</v>
      </c>
      <c r="I6" s="35">
        <v>0.32800000000000001</v>
      </c>
      <c r="J6" s="35">
        <v>0.77</v>
      </c>
      <c r="K6" s="34">
        <v>550</v>
      </c>
      <c r="L6" s="34">
        <v>41</v>
      </c>
      <c r="M6" s="34">
        <v>149</v>
      </c>
      <c r="N6" s="34">
        <v>167</v>
      </c>
      <c r="O6" s="34">
        <v>46</v>
      </c>
      <c r="P6" s="34">
        <v>24</v>
      </c>
      <c r="Q6" s="34">
        <v>61</v>
      </c>
      <c r="R6" s="36">
        <v>2.74</v>
      </c>
      <c r="S6" s="32">
        <v>181</v>
      </c>
    </row>
    <row r="7" spans="1:19" x14ac:dyDescent="0.25">
      <c r="A7" s="9" t="s">
        <v>183</v>
      </c>
      <c r="B7" s="33">
        <v>6</v>
      </c>
      <c r="C7" s="33">
        <v>0</v>
      </c>
      <c r="D7" s="33">
        <v>7</v>
      </c>
      <c r="E7" s="12">
        <v>0.46153846153846156</v>
      </c>
      <c r="F7" s="34">
        <v>193</v>
      </c>
      <c r="G7" s="35">
        <v>0.45100000000000001</v>
      </c>
      <c r="H7" s="34">
        <v>58</v>
      </c>
      <c r="I7" s="35">
        <v>0.34300000000000003</v>
      </c>
      <c r="J7" s="35">
        <v>0.89800000000000002</v>
      </c>
      <c r="K7" s="34">
        <v>558</v>
      </c>
      <c r="L7" s="34">
        <v>32</v>
      </c>
      <c r="M7" s="34">
        <v>156</v>
      </c>
      <c r="N7" s="34">
        <v>155</v>
      </c>
      <c r="O7" s="34">
        <v>35</v>
      </c>
      <c r="P7" s="34">
        <v>15</v>
      </c>
      <c r="Q7" s="34">
        <v>59</v>
      </c>
      <c r="R7" s="36">
        <v>2.63</v>
      </c>
      <c r="S7" s="32">
        <v>181</v>
      </c>
    </row>
    <row r="8" spans="1:19" x14ac:dyDescent="0.25">
      <c r="A8" s="8" t="s">
        <v>147</v>
      </c>
      <c r="B8" s="33"/>
      <c r="C8" s="33"/>
      <c r="D8" s="33"/>
      <c r="E8" s="12"/>
      <c r="F8" s="34"/>
      <c r="G8" s="35"/>
      <c r="H8" s="34"/>
      <c r="I8" s="35"/>
      <c r="J8" s="35"/>
      <c r="K8" s="34"/>
      <c r="L8" s="34"/>
      <c r="M8" s="34"/>
      <c r="N8" s="34"/>
      <c r="O8" s="34"/>
      <c r="P8" s="34"/>
      <c r="Q8" s="34"/>
      <c r="R8" s="36"/>
      <c r="S8" s="32"/>
    </row>
    <row r="9" spans="1:19" x14ac:dyDescent="0.25">
      <c r="A9" s="9" t="s">
        <v>33</v>
      </c>
      <c r="B9" s="33">
        <v>6</v>
      </c>
      <c r="C9" s="33">
        <v>0</v>
      </c>
      <c r="D9" s="33">
        <v>7</v>
      </c>
      <c r="E9" s="12">
        <v>0.46153846153846156</v>
      </c>
      <c r="F9" s="34">
        <v>209</v>
      </c>
      <c r="G9" s="35">
        <v>0.499</v>
      </c>
      <c r="H9" s="34">
        <v>66</v>
      </c>
      <c r="I9" s="35">
        <v>0.38400000000000001</v>
      </c>
      <c r="J9" s="35">
        <v>0.81499999999999995</v>
      </c>
      <c r="K9" s="34">
        <v>590</v>
      </c>
      <c r="L9" s="34">
        <v>30</v>
      </c>
      <c r="M9" s="34">
        <v>134</v>
      </c>
      <c r="N9" s="34">
        <v>112</v>
      </c>
      <c r="O9" s="34">
        <v>39</v>
      </c>
      <c r="P9" s="34">
        <v>23</v>
      </c>
      <c r="Q9" s="34">
        <v>61</v>
      </c>
      <c r="R9" s="36">
        <v>1.84</v>
      </c>
      <c r="S9" s="32">
        <v>179</v>
      </c>
    </row>
    <row r="10" spans="1:19" x14ac:dyDescent="0.25">
      <c r="A10" s="9" t="s">
        <v>183</v>
      </c>
      <c r="B10" s="33">
        <v>7</v>
      </c>
      <c r="C10" s="33">
        <v>0</v>
      </c>
      <c r="D10" s="33">
        <v>6</v>
      </c>
      <c r="E10" s="12">
        <v>0.53846153846153844</v>
      </c>
      <c r="F10" s="34">
        <v>186</v>
      </c>
      <c r="G10" s="35">
        <v>0.52</v>
      </c>
      <c r="H10" s="34">
        <v>55</v>
      </c>
      <c r="I10" s="35">
        <v>0.42599999999999999</v>
      </c>
      <c r="J10" s="35">
        <v>0.76600000000000001</v>
      </c>
      <c r="K10" s="34">
        <v>509</v>
      </c>
      <c r="L10" s="34">
        <v>37</v>
      </c>
      <c r="M10" s="34">
        <v>147</v>
      </c>
      <c r="N10" s="34">
        <v>122</v>
      </c>
      <c r="O10" s="34">
        <v>30</v>
      </c>
      <c r="P10" s="34">
        <v>13</v>
      </c>
      <c r="Q10" s="34">
        <v>51</v>
      </c>
      <c r="R10" s="36">
        <v>2.39</v>
      </c>
      <c r="S10" s="32">
        <v>179</v>
      </c>
    </row>
    <row r="11" spans="1:19" x14ac:dyDescent="0.25">
      <c r="A11" s="9" t="s">
        <v>158</v>
      </c>
      <c r="B11" s="33">
        <v>6</v>
      </c>
      <c r="C11" s="33">
        <v>0</v>
      </c>
      <c r="D11" s="33">
        <v>7</v>
      </c>
      <c r="E11" s="12">
        <v>0.46153846153846156</v>
      </c>
      <c r="F11" s="34">
        <v>239</v>
      </c>
      <c r="G11" s="35">
        <v>0.46</v>
      </c>
      <c r="H11" s="34">
        <v>61</v>
      </c>
      <c r="I11" s="35">
        <v>0.32600000000000001</v>
      </c>
      <c r="J11" s="35">
        <v>0.78</v>
      </c>
      <c r="K11" s="34">
        <v>699</v>
      </c>
      <c r="L11" s="34">
        <v>38</v>
      </c>
      <c r="M11" s="34">
        <v>145</v>
      </c>
      <c r="N11" s="34">
        <v>167</v>
      </c>
      <c r="O11" s="34">
        <v>42</v>
      </c>
      <c r="P11" s="34">
        <v>17</v>
      </c>
      <c r="Q11" s="34">
        <v>87</v>
      </c>
      <c r="R11" s="36">
        <v>1.92</v>
      </c>
      <c r="S11" s="32">
        <v>180</v>
      </c>
    </row>
    <row r="12" spans="1:19" x14ac:dyDescent="0.25">
      <c r="A12" s="9" t="s">
        <v>23</v>
      </c>
      <c r="B12" s="33">
        <v>7</v>
      </c>
      <c r="C12" s="33">
        <v>0</v>
      </c>
      <c r="D12" s="33">
        <v>6</v>
      </c>
      <c r="E12" s="12">
        <v>0.53846153846153844</v>
      </c>
      <c r="F12" s="34">
        <v>196</v>
      </c>
      <c r="G12" s="35">
        <v>0.5</v>
      </c>
      <c r="H12" s="34">
        <v>71</v>
      </c>
      <c r="I12" s="35">
        <v>0.40799999999999997</v>
      </c>
      <c r="J12" s="35">
        <v>0.83899999999999997</v>
      </c>
      <c r="K12" s="34">
        <v>541</v>
      </c>
      <c r="L12" s="34">
        <v>31</v>
      </c>
      <c r="M12" s="34">
        <v>129</v>
      </c>
      <c r="N12" s="34">
        <v>116</v>
      </c>
      <c r="O12" s="34">
        <v>41</v>
      </c>
      <c r="P12" s="34">
        <v>22</v>
      </c>
      <c r="Q12" s="34">
        <v>49</v>
      </c>
      <c r="R12" s="36">
        <v>2.37</v>
      </c>
      <c r="S12" s="32">
        <v>180</v>
      </c>
    </row>
    <row r="13" spans="1:19" x14ac:dyDescent="0.25">
      <c r="A13" s="8" t="s">
        <v>146</v>
      </c>
      <c r="B13" s="33"/>
      <c r="C13" s="33"/>
      <c r="D13" s="33"/>
      <c r="E13" s="12"/>
      <c r="F13" s="34"/>
      <c r="G13" s="35"/>
      <c r="H13" s="34"/>
      <c r="I13" s="35"/>
      <c r="J13" s="35"/>
      <c r="K13" s="34"/>
      <c r="L13" s="34"/>
      <c r="M13" s="34"/>
      <c r="N13" s="34"/>
      <c r="O13" s="34"/>
      <c r="P13" s="34"/>
      <c r="Q13" s="34"/>
      <c r="R13" s="36"/>
      <c r="S13" s="32"/>
    </row>
    <row r="14" spans="1:19" x14ac:dyDescent="0.25">
      <c r="A14" s="9" t="s">
        <v>33</v>
      </c>
      <c r="B14" s="33">
        <v>8</v>
      </c>
      <c r="C14" s="33">
        <v>1</v>
      </c>
      <c r="D14" s="33">
        <v>4</v>
      </c>
      <c r="E14" s="12">
        <v>0.65384615384615385</v>
      </c>
      <c r="F14" s="34">
        <v>156</v>
      </c>
      <c r="G14" s="35">
        <v>0.52</v>
      </c>
      <c r="H14" s="34">
        <v>47</v>
      </c>
      <c r="I14" s="35">
        <v>0.42</v>
      </c>
      <c r="J14" s="35">
        <v>0.88400000000000001</v>
      </c>
      <c r="K14" s="34">
        <v>420</v>
      </c>
      <c r="L14" s="34">
        <v>24</v>
      </c>
      <c r="M14" s="34">
        <v>101</v>
      </c>
      <c r="N14" s="34">
        <v>102</v>
      </c>
      <c r="O14" s="34">
        <v>25</v>
      </c>
      <c r="P14" s="34">
        <v>29</v>
      </c>
      <c r="Q14" s="34">
        <v>43</v>
      </c>
      <c r="R14" s="36">
        <v>2.37</v>
      </c>
      <c r="S14" s="32">
        <v>175</v>
      </c>
    </row>
    <row r="15" spans="1:19" x14ac:dyDescent="0.25">
      <c r="A15" s="9" t="s">
        <v>190</v>
      </c>
      <c r="B15" s="33">
        <v>4</v>
      </c>
      <c r="C15" s="33">
        <v>1</v>
      </c>
      <c r="D15" s="33">
        <v>8</v>
      </c>
      <c r="E15" s="12">
        <v>0.34615384615384615</v>
      </c>
      <c r="F15" s="34">
        <v>132</v>
      </c>
      <c r="G15" s="35">
        <v>0.47699999999999998</v>
      </c>
      <c r="H15" s="34">
        <v>29</v>
      </c>
      <c r="I15" s="35">
        <v>0.312</v>
      </c>
      <c r="J15" s="35">
        <v>0.91400000000000003</v>
      </c>
      <c r="K15" s="34">
        <v>378</v>
      </c>
      <c r="L15" s="34">
        <v>19</v>
      </c>
      <c r="M15" s="34">
        <v>94</v>
      </c>
      <c r="N15" s="34">
        <v>119</v>
      </c>
      <c r="O15" s="34">
        <v>29</v>
      </c>
      <c r="P15" s="34">
        <v>13</v>
      </c>
      <c r="Q15" s="34">
        <v>43</v>
      </c>
      <c r="R15" s="36">
        <v>2.77</v>
      </c>
      <c r="S15" s="32">
        <v>175</v>
      </c>
    </row>
    <row r="16" spans="1:19" x14ac:dyDescent="0.25">
      <c r="A16" s="9" t="s">
        <v>94</v>
      </c>
      <c r="B16" s="33">
        <v>5</v>
      </c>
      <c r="C16" s="33">
        <v>0</v>
      </c>
      <c r="D16" s="33">
        <v>8</v>
      </c>
      <c r="E16" s="12">
        <v>0.38461538461538464</v>
      </c>
      <c r="F16" s="34">
        <v>143</v>
      </c>
      <c r="G16" s="35">
        <v>0.52600000000000002</v>
      </c>
      <c r="H16" s="34">
        <v>48</v>
      </c>
      <c r="I16" s="35">
        <v>0.39</v>
      </c>
      <c r="J16" s="35">
        <v>0.85299999999999998</v>
      </c>
      <c r="K16" s="34">
        <v>398</v>
      </c>
      <c r="L16" s="34">
        <v>17</v>
      </c>
      <c r="M16" s="34">
        <v>81</v>
      </c>
      <c r="N16" s="34">
        <v>93</v>
      </c>
      <c r="O16" s="34">
        <v>25</v>
      </c>
      <c r="P16" s="34">
        <v>11</v>
      </c>
      <c r="Q16" s="34">
        <v>33</v>
      </c>
      <c r="R16" s="36">
        <v>2.82</v>
      </c>
      <c r="S16" s="32">
        <v>176</v>
      </c>
    </row>
    <row r="17" spans="1:19" x14ac:dyDescent="0.25">
      <c r="A17" s="9" t="s">
        <v>183</v>
      </c>
      <c r="B17" s="33">
        <v>8</v>
      </c>
      <c r="C17" s="33">
        <v>0</v>
      </c>
      <c r="D17" s="33">
        <v>5</v>
      </c>
      <c r="E17" s="12">
        <v>0.61538461538461542</v>
      </c>
      <c r="F17" s="34">
        <v>247</v>
      </c>
      <c r="G17" s="35">
        <v>0.501</v>
      </c>
      <c r="H17" s="34">
        <v>59</v>
      </c>
      <c r="I17" s="35">
        <v>0.34100000000000003</v>
      </c>
      <c r="J17" s="35">
        <v>0.83499999999999996</v>
      </c>
      <c r="K17" s="34">
        <v>725</v>
      </c>
      <c r="L17" s="34">
        <v>40</v>
      </c>
      <c r="M17" s="34">
        <v>127</v>
      </c>
      <c r="N17" s="34">
        <v>151</v>
      </c>
      <c r="O17" s="34">
        <v>45</v>
      </c>
      <c r="P17" s="34">
        <v>21</v>
      </c>
      <c r="Q17" s="34">
        <v>79</v>
      </c>
      <c r="R17" s="36">
        <v>1.91</v>
      </c>
      <c r="S17" s="32">
        <v>176</v>
      </c>
    </row>
    <row r="18" spans="1:19" x14ac:dyDescent="0.25">
      <c r="A18" s="9" t="s">
        <v>26</v>
      </c>
      <c r="B18" s="33">
        <v>3</v>
      </c>
      <c r="C18" s="33">
        <v>0</v>
      </c>
      <c r="D18" s="33">
        <v>10</v>
      </c>
      <c r="E18" s="12">
        <v>0.23076923076923078</v>
      </c>
      <c r="F18" s="34">
        <v>128</v>
      </c>
      <c r="G18" s="35">
        <v>0.45700000000000002</v>
      </c>
      <c r="H18" s="34">
        <v>38</v>
      </c>
      <c r="I18" s="35">
        <v>0.36899999999999999</v>
      </c>
      <c r="J18" s="35">
        <v>0.873</v>
      </c>
      <c r="K18" s="34">
        <v>349</v>
      </c>
      <c r="L18" s="34">
        <v>51</v>
      </c>
      <c r="M18" s="34">
        <v>102</v>
      </c>
      <c r="N18" s="34">
        <v>74</v>
      </c>
      <c r="O18" s="34">
        <v>18</v>
      </c>
      <c r="P18" s="34">
        <v>9</v>
      </c>
      <c r="Q18" s="34">
        <v>42</v>
      </c>
      <c r="R18" s="36">
        <v>1.76</v>
      </c>
      <c r="S18" s="32">
        <v>177</v>
      </c>
    </row>
    <row r="19" spans="1:19" x14ac:dyDescent="0.25">
      <c r="A19" s="9" t="s">
        <v>23</v>
      </c>
      <c r="B19" s="33">
        <v>10</v>
      </c>
      <c r="C19" s="33">
        <v>0</v>
      </c>
      <c r="D19" s="33">
        <v>3</v>
      </c>
      <c r="E19" s="12">
        <v>0.76923076923076927</v>
      </c>
      <c r="F19" s="34">
        <v>157</v>
      </c>
      <c r="G19" s="35">
        <v>0.51600000000000001</v>
      </c>
      <c r="H19" s="34">
        <v>44</v>
      </c>
      <c r="I19" s="35">
        <v>0.39300000000000002</v>
      </c>
      <c r="J19" s="35">
        <v>0.85899999999999999</v>
      </c>
      <c r="K19" s="34">
        <v>413</v>
      </c>
      <c r="L19" s="34">
        <v>42</v>
      </c>
      <c r="M19" s="34">
        <v>114</v>
      </c>
      <c r="N19" s="34">
        <v>115</v>
      </c>
      <c r="O19" s="34">
        <v>30</v>
      </c>
      <c r="P19" s="34">
        <v>20</v>
      </c>
      <c r="Q19" s="34">
        <v>53</v>
      </c>
      <c r="R19" s="36">
        <v>2.17</v>
      </c>
      <c r="S19" s="32">
        <v>177</v>
      </c>
    </row>
    <row r="20" spans="1:19" x14ac:dyDescent="0.25">
      <c r="A20" s="9" t="s">
        <v>158</v>
      </c>
      <c r="B20" s="33">
        <v>8</v>
      </c>
      <c r="C20" s="33">
        <v>0</v>
      </c>
      <c r="D20" s="33">
        <v>5</v>
      </c>
      <c r="E20" s="12">
        <v>0.61538461538461542</v>
      </c>
      <c r="F20" s="34">
        <v>207</v>
      </c>
      <c r="G20" s="35">
        <v>0.48399999999999999</v>
      </c>
      <c r="H20" s="34">
        <v>71</v>
      </c>
      <c r="I20" s="35">
        <v>0.39700000000000002</v>
      </c>
      <c r="J20" s="35">
        <v>0.78800000000000003</v>
      </c>
      <c r="K20" s="34">
        <v>600</v>
      </c>
      <c r="L20" s="34">
        <v>38</v>
      </c>
      <c r="M20" s="34">
        <v>149</v>
      </c>
      <c r="N20" s="34">
        <v>160</v>
      </c>
      <c r="O20" s="34">
        <v>39</v>
      </c>
      <c r="P20" s="34">
        <v>24</v>
      </c>
      <c r="Q20" s="34">
        <v>76</v>
      </c>
      <c r="R20" s="36">
        <v>2.11</v>
      </c>
      <c r="S20" s="32">
        <v>178</v>
      </c>
    </row>
    <row r="21" spans="1:19" x14ac:dyDescent="0.25">
      <c r="A21" s="9" t="s">
        <v>16</v>
      </c>
      <c r="B21" s="33">
        <v>5</v>
      </c>
      <c r="C21" s="33">
        <v>0</v>
      </c>
      <c r="D21" s="33">
        <v>8</v>
      </c>
      <c r="E21" s="12">
        <v>0.38461538461538464</v>
      </c>
      <c r="F21" s="34">
        <v>203</v>
      </c>
      <c r="G21" s="35">
        <v>0.51800000000000002</v>
      </c>
      <c r="H21" s="34">
        <v>49</v>
      </c>
      <c r="I21" s="35">
        <v>0.34</v>
      </c>
      <c r="J21" s="35">
        <v>0.68600000000000005</v>
      </c>
      <c r="K21" s="34">
        <v>525</v>
      </c>
      <c r="L21" s="34">
        <v>58</v>
      </c>
      <c r="M21" s="34">
        <v>154</v>
      </c>
      <c r="N21" s="34">
        <v>103</v>
      </c>
      <c r="O21" s="34">
        <v>28</v>
      </c>
      <c r="P21" s="34">
        <v>28</v>
      </c>
      <c r="Q21" s="34">
        <v>58</v>
      </c>
      <c r="R21" s="36">
        <v>1.78</v>
      </c>
      <c r="S21" s="32">
        <v>178</v>
      </c>
    </row>
    <row r="22" spans="1:19" x14ac:dyDescent="0.25">
      <c r="A22" s="8" t="s">
        <v>148</v>
      </c>
      <c r="B22" s="33"/>
      <c r="C22" s="33"/>
      <c r="D22" s="33"/>
      <c r="E22" s="12"/>
      <c r="F22" s="34"/>
      <c r="G22" s="35"/>
      <c r="H22" s="34"/>
      <c r="I22" s="35"/>
      <c r="J22" s="35"/>
      <c r="K22" s="34"/>
      <c r="L22" s="34"/>
      <c r="M22" s="34"/>
      <c r="N22" s="34"/>
      <c r="O22" s="34"/>
      <c r="P22" s="34"/>
      <c r="Q22" s="34"/>
      <c r="R22" s="36"/>
      <c r="S22" s="32"/>
    </row>
    <row r="23" spans="1:19" x14ac:dyDescent="0.25">
      <c r="A23" s="9" t="s">
        <v>33</v>
      </c>
      <c r="B23" s="33">
        <v>8</v>
      </c>
      <c r="C23" s="33">
        <v>0</v>
      </c>
      <c r="D23" s="33">
        <v>5</v>
      </c>
      <c r="E23" s="12">
        <v>0.61538461538461542</v>
      </c>
      <c r="F23" s="34">
        <v>193</v>
      </c>
      <c r="G23" s="35">
        <v>0.52</v>
      </c>
      <c r="H23" s="34">
        <v>77</v>
      </c>
      <c r="I23" s="35">
        <v>0.45</v>
      </c>
      <c r="J23" s="35">
        <v>0.89700000000000002</v>
      </c>
      <c r="K23" s="34">
        <v>541</v>
      </c>
      <c r="L23" s="34">
        <v>31</v>
      </c>
      <c r="M23" s="34">
        <v>129</v>
      </c>
      <c r="N23" s="34">
        <v>110</v>
      </c>
      <c r="O23" s="34">
        <v>32</v>
      </c>
      <c r="P23" s="34">
        <v>10</v>
      </c>
      <c r="Q23" s="34">
        <v>54</v>
      </c>
      <c r="R23" s="36">
        <v>2.04</v>
      </c>
      <c r="S23" s="32">
        <v>171</v>
      </c>
    </row>
    <row r="24" spans="1:19" x14ac:dyDescent="0.25">
      <c r="A24" s="9" t="s">
        <v>159</v>
      </c>
      <c r="B24" s="33">
        <v>5</v>
      </c>
      <c r="C24" s="33">
        <v>0</v>
      </c>
      <c r="D24" s="33">
        <v>8</v>
      </c>
      <c r="E24" s="12">
        <v>0.38461538461538464</v>
      </c>
      <c r="F24" s="34">
        <v>186</v>
      </c>
      <c r="G24" s="35">
        <v>0.45300000000000001</v>
      </c>
      <c r="H24" s="34">
        <v>46</v>
      </c>
      <c r="I24" s="35">
        <v>0.28699999999999998</v>
      </c>
      <c r="J24" s="35">
        <v>0.81899999999999995</v>
      </c>
      <c r="K24" s="34">
        <v>513</v>
      </c>
      <c r="L24" s="34">
        <v>53</v>
      </c>
      <c r="M24" s="34">
        <v>179</v>
      </c>
      <c r="N24" s="34">
        <v>148</v>
      </c>
      <c r="O24" s="34">
        <v>21</v>
      </c>
      <c r="P24" s="34">
        <v>16</v>
      </c>
      <c r="Q24" s="34">
        <v>65</v>
      </c>
      <c r="R24" s="36">
        <v>2.2799999999999998</v>
      </c>
      <c r="S24" s="32">
        <v>171</v>
      </c>
    </row>
    <row r="25" spans="1:19" x14ac:dyDescent="0.25">
      <c r="A25" s="9" t="s">
        <v>98</v>
      </c>
      <c r="B25" s="33">
        <v>2</v>
      </c>
      <c r="C25" s="33">
        <v>0</v>
      </c>
      <c r="D25" s="33">
        <v>11</v>
      </c>
      <c r="E25" s="12">
        <v>0.15384615384615385</v>
      </c>
      <c r="F25" s="34">
        <v>99</v>
      </c>
      <c r="G25" s="35">
        <v>0.40899999999999997</v>
      </c>
      <c r="H25" s="34">
        <v>30</v>
      </c>
      <c r="I25" s="35">
        <v>0.26300000000000001</v>
      </c>
      <c r="J25" s="35">
        <v>0.78</v>
      </c>
      <c r="K25" s="34">
        <v>267</v>
      </c>
      <c r="L25" s="34">
        <v>21</v>
      </c>
      <c r="M25" s="34">
        <v>81</v>
      </c>
      <c r="N25" s="34">
        <v>71</v>
      </c>
      <c r="O25" s="34">
        <v>27</v>
      </c>
      <c r="P25" s="34">
        <v>12</v>
      </c>
      <c r="Q25" s="34">
        <v>39</v>
      </c>
      <c r="R25" s="36">
        <v>1.82</v>
      </c>
      <c r="S25" s="32">
        <v>172</v>
      </c>
    </row>
    <row r="26" spans="1:19" x14ac:dyDescent="0.25">
      <c r="A26" s="9" t="s">
        <v>94</v>
      </c>
      <c r="B26" s="33">
        <v>11</v>
      </c>
      <c r="C26" s="33">
        <v>0</v>
      </c>
      <c r="D26" s="33">
        <v>2</v>
      </c>
      <c r="E26" s="12">
        <v>0.84615384615384615</v>
      </c>
      <c r="F26" s="34">
        <v>142</v>
      </c>
      <c r="G26" s="35">
        <v>0.436</v>
      </c>
      <c r="H26" s="34">
        <v>39</v>
      </c>
      <c r="I26" s="35">
        <v>0.32800000000000001</v>
      </c>
      <c r="J26" s="35">
        <v>0.90400000000000003</v>
      </c>
      <c r="K26" s="34">
        <v>426</v>
      </c>
      <c r="L26" s="34">
        <v>31</v>
      </c>
      <c r="M26" s="34">
        <v>100</v>
      </c>
      <c r="N26" s="34">
        <v>106</v>
      </c>
      <c r="O26" s="34">
        <v>21</v>
      </c>
      <c r="P26" s="34">
        <v>18</v>
      </c>
      <c r="Q26" s="34">
        <v>49</v>
      </c>
      <c r="R26" s="36">
        <v>2.16</v>
      </c>
      <c r="S26" s="32">
        <v>172</v>
      </c>
    </row>
    <row r="27" spans="1:19" x14ac:dyDescent="0.25">
      <c r="A27" s="9" t="s">
        <v>154</v>
      </c>
      <c r="B27" s="33">
        <v>5</v>
      </c>
      <c r="C27" s="33">
        <v>0</v>
      </c>
      <c r="D27" s="33">
        <v>8</v>
      </c>
      <c r="E27" s="12">
        <v>0.38461538461538464</v>
      </c>
      <c r="F27" s="34">
        <v>205</v>
      </c>
      <c r="G27" s="35">
        <v>0.51</v>
      </c>
      <c r="H27" s="34">
        <v>51</v>
      </c>
      <c r="I27" s="35">
        <v>0.39200000000000002</v>
      </c>
      <c r="J27" s="35">
        <v>0.70799999999999996</v>
      </c>
      <c r="K27" s="34">
        <v>546</v>
      </c>
      <c r="L27" s="34">
        <v>36</v>
      </c>
      <c r="M27" s="34">
        <v>117</v>
      </c>
      <c r="N27" s="34">
        <v>128</v>
      </c>
      <c r="O27" s="34">
        <v>37</v>
      </c>
      <c r="P27" s="34">
        <v>17</v>
      </c>
      <c r="Q27" s="34">
        <v>59</v>
      </c>
      <c r="R27" s="36">
        <v>2.17</v>
      </c>
      <c r="S27" s="32">
        <v>173</v>
      </c>
    </row>
    <row r="28" spans="1:19" x14ac:dyDescent="0.25">
      <c r="A28" s="9" t="s">
        <v>23</v>
      </c>
      <c r="B28" s="33">
        <v>8</v>
      </c>
      <c r="C28" s="33">
        <v>0</v>
      </c>
      <c r="D28" s="33">
        <v>5</v>
      </c>
      <c r="E28" s="12">
        <v>0.61538461538461542</v>
      </c>
      <c r="F28" s="34">
        <v>180</v>
      </c>
      <c r="G28" s="35">
        <v>0.50600000000000001</v>
      </c>
      <c r="H28" s="34">
        <v>64</v>
      </c>
      <c r="I28" s="35">
        <v>0.38100000000000001</v>
      </c>
      <c r="J28" s="35">
        <v>0.85699999999999998</v>
      </c>
      <c r="K28" s="34">
        <v>502</v>
      </c>
      <c r="L28" s="34">
        <v>46</v>
      </c>
      <c r="M28" s="34">
        <v>146</v>
      </c>
      <c r="N28" s="34">
        <v>110</v>
      </c>
      <c r="O28" s="34">
        <v>39</v>
      </c>
      <c r="P28" s="34">
        <v>37</v>
      </c>
      <c r="Q28" s="34">
        <v>46</v>
      </c>
      <c r="R28" s="36">
        <v>2.39</v>
      </c>
      <c r="S28" s="32">
        <v>173</v>
      </c>
    </row>
    <row r="29" spans="1:19" x14ac:dyDescent="0.25">
      <c r="A29" s="9" t="s">
        <v>93</v>
      </c>
      <c r="B29" s="33">
        <v>5</v>
      </c>
      <c r="C29" s="33">
        <v>0</v>
      </c>
      <c r="D29" s="33">
        <v>8</v>
      </c>
      <c r="E29" s="12">
        <v>0.38461538461538464</v>
      </c>
      <c r="F29" s="34">
        <v>138</v>
      </c>
      <c r="G29" s="35">
        <v>0.45200000000000001</v>
      </c>
      <c r="H29" s="34">
        <v>50</v>
      </c>
      <c r="I29" s="35">
        <v>0.36</v>
      </c>
      <c r="J29" s="35">
        <v>0.73499999999999999</v>
      </c>
      <c r="K29" s="34">
        <v>412</v>
      </c>
      <c r="L29" s="34">
        <v>28</v>
      </c>
      <c r="M29" s="34">
        <v>106</v>
      </c>
      <c r="N29" s="34">
        <v>99</v>
      </c>
      <c r="O29" s="34">
        <v>40</v>
      </c>
      <c r="P29" s="34">
        <v>13</v>
      </c>
      <c r="Q29" s="34">
        <v>38</v>
      </c>
      <c r="R29" s="36">
        <v>2.61</v>
      </c>
      <c r="S29" s="32">
        <v>174</v>
      </c>
    </row>
    <row r="30" spans="1:19" x14ac:dyDescent="0.25">
      <c r="A30" s="9" t="s">
        <v>158</v>
      </c>
      <c r="B30" s="33">
        <v>8</v>
      </c>
      <c r="C30" s="33">
        <v>0</v>
      </c>
      <c r="D30" s="33">
        <v>5</v>
      </c>
      <c r="E30" s="12">
        <v>0.61538461538461542</v>
      </c>
      <c r="F30" s="34">
        <v>221</v>
      </c>
      <c r="G30" s="35">
        <v>0.496</v>
      </c>
      <c r="H30" s="34">
        <v>47</v>
      </c>
      <c r="I30" s="35">
        <v>0.28699999999999998</v>
      </c>
      <c r="J30" s="35">
        <v>0.752</v>
      </c>
      <c r="K30" s="34">
        <v>574</v>
      </c>
      <c r="L30" s="34">
        <v>41</v>
      </c>
      <c r="M30" s="34">
        <v>127</v>
      </c>
      <c r="N30" s="34">
        <v>119</v>
      </c>
      <c r="O30" s="34">
        <v>30</v>
      </c>
      <c r="P30" s="34">
        <v>23</v>
      </c>
      <c r="Q30" s="34">
        <v>78</v>
      </c>
      <c r="R30" s="36">
        <v>1.53</v>
      </c>
      <c r="S30" s="32">
        <v>174</v>
      </c>
    </row>
  </sheetData>
  <pageMargins left="0.7" right="0.7" top="0.75" bottom="0.75" header="0.3" footer="0.3"/>
  <pageSetup orientation="portrait" r:id="rId2"/>
  <customProperties>
    <customPr name="_pios_id" r:id="rId3"/>
    <customPr name="EpmWorksheetKeyString_GUID" r:id="rId4"/>
  </customProperties>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6F7E-113A-4601-88C8-A96BA0AE12C6}">
  <sheetPr>
    <tabColor rgb="FFFFC000"/>
  </sheetPr>
  <dimension ref="A3:S24"/>
  <sheetViews>
    <sheetView workbookViewId="0">
      <selection activeCell="E27" sqref="E27"/>
    </sheetView>
  </sheetViews>
  <sheetFormatPr defaultRowHeight="15" x14ac:dyDescent="0.25"/>
  <cols>
    <col min="1" max="1" width="27.5703125" bestFit="1" customWidth="1"/>
    <col min="2" max="2" width="5.5703125" bestFit="1" customWidth="1"/>
    <col min="3" max="3" width="4.5703125" bestFit="1" customWidth="1"/>
    <col min="4" max="4" width="6.7109375" bestFit="1" customWidth="1"/>
    <col min="5" max="5" width="6.28515625" bestFit="1" customWidth="1"/>
    <col min="6" max="6" width="5.7109375" bestFit="1" customWidth="1"/>
    <col min="7" max="7" width="6.140625" bestFit="1" customWidth="1"/>
    <col min="8" max="8" width="5.42578125" bestFit="1" customWidth="1"/>
    <col min="9" max="10" width="6.140625" bestFit="1" customWidth="1"/>
    <col min="11" max="11" width="6" bestFit="1" customWidth="1"/>
    <col min="12" max="12" width="6.140625" bestFit="1" customWidth="1"/>
    <col min="13" max="13" width="6" bestFit="1" customWidth="1"/>
    <col min="14" max="14" width="5" bestFit="1" customWidth="1"/>
    <col min="15" max="15" width="4.28515625" bestFit="1" customWidth="1"/>
    <col min="16" max="16" width="4.5703125" bestFit="1" customWidth="1"/>
    <col min="17" max="17" width="5" bestFit="1" customWidth="1"/>
    <col min="18" max="18" width="6" bestFit="1" customWidth="1"/>
    <col min="19" max="19" width="15.85546875" hidden="1" customWidth="1"/>
  </cols>
  <sheetData>
    <row r="3" spans="1:19" ht="51" customHeight="1" x14ac:dyDescent="0.25"/>
    <row r="4" spans="1:19" x14ac:dyDescent="0.25">
      <c r="A4" s="7" t="s">
        <v>115</v>
      </c>
      <c r="B4" s="11" t="s">
        <v>123</v>
      </c>
      <c r="C4" s="11" t="s">
        <v>125</v>
      </c>
      <c r="D4" s="11" t="s">
        <v>124</v>
      </c>
      <c r="E4" s="11" t="s">
        <v>126</v>
      </c>
      <c r="F4" s="31" t="s">
        <v>127</v>
      </c>
      <c r="G4" s="31" t="s">
        <v>128</v>
      </c>
      <c r="H4" s="31" t="s">
        <v>129</v>
      </c>
      <c r="I4" s="31" t="s">
        <v>130</v>
      </c>
      <c r="J4" s="31" t="s">
        <v>131</v>
      </c>
      <c r="K4" s="31" t="s">
        <v>132</v>
      </c>
      <c r="L4" s="31" t="s">
        <v>133</v>
      </c>
      <c r="M4" s="31" t="s">
        <v>134</v>
      </c>
      <c r="N4" s="31" t="s">
        <v>135</v>
      </c>
      <c r="O4" s="31" t="s">
        <v>136</v>
      </c>
      <c r="P4" s="31" t="s">
        <v>137</v>
      </c>
      <c r="Q4" s="31" t="s">
        <v>138</v>
      </c>
      <c r="R4" s="31" t="s">
        <v>139</v>
      </c>
      <c r="S4" t="s">
        <v>140</v>
      </c>
    </row>
    <row r="5" spans="1:19" x14ac:dyDescent="0.25">
      <c r="A5" s="8" t="s">
        <v>190</v>
      </c>
      <c r="B5" s="33">
        <v>160</v>
      </c>
      <c r="C5" s="33">
        <v>4</v>
      </c>
      <c r="D5" s="33">
        <v>70</v>
      </c>
      <c r="E5" s="12">
        <v>0.69230769230769229</v>
      </c>
      <c r="F5" s="34">
        <v>4166</v>
      </c>
      <c r="G5" s="35">
        <v>0.48199999999999993</v>
      </c>
      <c r="H5" s="34">
        <v>1048</v>
      </c>
      <c r="I5" s="35">
        <v>0.35288888888888892</v>
      </c>
      <c r="J5" s="35">
        <v>0.80599999999999994</v>
      </c>
      <c r="K5" s="34">
        <v>11555</v>
      </c>
      <c r="L5" s="34">
        <v>636</v>
      </c>
      <c r="M5" s="34">
        <v>2716</v>
      </c>
      <c r="N5" s="34">
        <v>2768</v>
      </c>
      <c r="O5" s="34">
        <v>636</v>
      </c>
      <c r="P5" s="34">
        <v>517</v>
      </c>
      <c r="Q5" s="34">
        <v>1275</v>
      </c>
      <c r="R5" s="36">
        <v>2.2111111111111108</v>
      </c>
      <c r="S5" s="32">
        <v>1532</v>
      </c>
    </row>
    <row r="6" spans="1:19" x14ac:dyDescent="0.25">
      <c r="A6" s="8" t="s">
        <v>26</v>
      </c>
      <c r="B6" s="33">
        <v>151</v>
      </c>
      <c r="C6" s="33">
        <v>2</v>
      </c>
      <c r="D6" s="33">
        <v>81</v>
      </c>
      <c r="E6" s="12">
        <v>0.6495726495726496</v>
      </c>
      <c r="F6" s="34">
        <v>3226</v>
      </c>
      <c r="G6" s="35">
        <v>0.47716666666666668</v>
      </c>
      <c r="H6" s="34">
        <v>939</v>
      </c>
      <c r="I6" s="35">
        <v>0.3571111111111111</v>
      </c>
      <c r="J6" s="35">
        <v>0.78955555555555557</v>
      </c>
      <c r="K6" s="34">
        <v>8872</v>
      </c>
      <c r="L6" s="34">
        <v>919</v>
      </c>
      <c r="M6" s="34">
        <v>2595</v>
      </c>
      <c r="N6" s="34">
        <v>2186</v>
      </c>
      <c r="O6" s="34">
        <v>592</v>
      </c>
      <c r="P6" s="34">
        <v>297</v>
      </c>
      <c r="Q6" s="34">
        <v>973</v>
      </c>
      <c r="R6" s="36">
        <v>2.2911111111111109</v>
      </c>
      <c r="S6" s="32">
        <v>1549</v>
      </c>
    </row>
    <row r="7" spans="1:19" x14ac:dyDescent="0.25">
      <c r="A7" s="8" t="s">
        <v>16</v>
      </c>
      <c r="B7" s="33">
        <v>149</v>
      </c>
      <c r="C7" s="33">
        <v>5</v>
      </c>
      <c r="D7" s="33">
        <v>80</v>
      </c>
      <c r="E7" s="12">
        <v>0.64743589743589747</v>
      </c>
      <c r="F7" s="34">
        <v>3196</v>
      </c>
      <c r="G7" s="35">
        <v>0.48605555555555557</v>
      </c>
      <c r="H7" s="34">
        <v>889</v>
      </c>
      <c r="I7" s="35">
        <v>0.36727777777777776</v>
      </c>
      <c r="J7" s="35">
        <v>0.77838888888888891</v>
      </c>
      <c r="K7" s="34">
        <v>8752</v>
      </c>
      <c r="L7" s="34">
        <v>887</v>
      </c>
      <c r="M7" s="34">
        <v>2521</v>
      </c>
      <c r="N7" s="34">
        <v>2042</v>
      </c>
      <c r="O7" s="34">
        <v>590</v>
      </c>
      <c r="P7" s="34">
        <v>394</v>
      </c>
      <c r="Q7" s="34">
        <v>1032</v>
      </c>
      <c r="R7" s="36">
        <v>1.9677777777777778</v>
      </c>
      <c r="S7" s="32">
        <v>1554</v>
      </c>
    </row>
    <row r="8" spans="1:19" x14ac:dyDescent="0.25">
      <c r="A8" s="8" t="s">
        <v>183</v>
      </c>
      <c r="B8" s="33">
        <v>141</v>
      </c>
      <c r="C8" s="33">
        <v>1</v>
      </c>
      <c r="D8" s="33">
        <v>92</v>
      </c>
      <c r="E8" s="12">
        <v>0.60470085470085466</v>
      </c>
      <c r="F8" s="34">
        <v>3788</v>
      </c>
      <c r="G8" s="35">
        <v>0.46194444444444444</v>
      </c>
      <c r="H8" s="34">
        <v>1094</v>
      </c>
      <c r="I8" s="35">
        <v>0.34505555555555556</v>
      </c>
      <c r="J8" s="35">
        <v>0.83033333333333337</v>
      </c>
      <c r="K8" s="34">
        <v>10879</v>
      </c>
      <c r="L8" s="34">
        <v>759</v>
      </c>
      <c r="M8" s="34">
        <v>2480</v>
      </c>
      <c r="N8" s="34">
        <v>2585</v>
      </c>
      <c r="O8" s="34">
        <v>804</v>
      </c>
      <c r="P8" s="34">
        <v>304</v>
      </c>
      <c r="Q8" s="34">
        <v>1268</v>
      </c>
      <c r="R8" s="36">
        <v>2.0699999999999998</v>
      </c>
      <c r="S8" s="32">
        <v>1541</v>
      </c>
    </row>
    <row r="9" spans="1:19" x14ac:dyDescent="0.25">
      <c r="A9" s="8" t="s">
        <v>94</v>
      </c>
      <c r="B9" s="33">
        <v>135</v>
      </c>
      <c r="C9" s="33">
        <v>2</v>
      </c>
      <c r="D9" s="33">
        <v>97</v>
      </c>
      <c r="E9" s="12">
        <v>0.58119658119658124</v>
      </c>
      <c r="F9" s="34">
        <v>3158</v>
      </c>
      <c r="G9" s="35">
        <v>0.46988888888888891</v>
      </c>
      <c r="H9" s="34">
        <v>1086</v>
      </c>
      <c r="I9" s="35">
        <v>0.38100000000000001</v>
      </c>
      <c r="J9" s="35">
        <v>0.8342777777777779</v>
      </c>
      <c r="K9" s="34">
        <v>8792</v>
      </c>
      <c r="L9" s="34">
        <v>660</v>
      </c>
      <c r="M9" s="34">
        <v>2215</v>
      </c>
      <c r="N9" s="34">
        <v>2078</v>
      </c>
      <c r="O9" s="34">
        <v>469</v>
      </c>
      <c r="P9" s="34">
        <v>355</v>
      </c>
      <c r="Q9" s="34">
        <v>958</v>
      </c>
      <c r="R9" s="36">
        <v>2.1988888888888884</v>
      </c>
      <c r="S9" s="32">
        <v>1527</v>
      </c>
    </row>
    <row r="10" spans="1:19" x14ac:dyDescent="0.25">
      <c r="A10" s="8" t="s">
        <v>158</v>
      </c>
      <c r="B10" s="33">
        <v>133</v>
      </c>
      <c r="C10" s="33">
        <v>2</v>
      </c>
      <c r="D10" s="33">
        <v>99</v>
      </c>
      <c r="E10" s="12">
        <v>0.57264957264957261</v>
      </c>
      <c r="F10" s="34">
        <v>3643</v>
      </c>
      <c r="G10" s="35">
        <v>0.47755555555555568</v>
      </c>
      <c r="H10" s="34">
        <v>857</v>
      </c>
      <c r="I10" s="35">
        <v>0.34155555555555561</v>
      </c>
      <c r="J10" s="35">
        <v>0.76716666666666655</v>
      </c>
      <c r="K10" s="34">
        <v>10336</v>
      </c>
      <c r="L10" s="34">
        <v>726</v>
      </c>
      <c r="M10" s="34">
        <v>2732</v>
      </c>
      <c r="N10" s="34">
        <v>2363</v>
      </c>
      <c r="O10" s="34">
        <v>566</v>
      </c>
      <c r="P10" s="34">
        <v>447</v>
      </c>
      <c r="Q10" s="34">
        <v>1308</v>
      </c>
      <c r="R10" s="36">
        <v>1.8116666666666665</v>
      </c>
      <c r="S10" s="32">
        <v>1468</v>
      </c>
    </row>
    <row r="11" spans="1:19" x14ac:dyDescent="0.25">
      <c r="A11" s="8" t="s">
        <v>154</v>
      </c>
      <c r="B11" s="33">
        <v>131</v>
      </c>
      <c r="C11" s="33">
        <v>6</v>
      </c>
      <c r="D11" s="33">
        <v>97</v>
      </c>
      <c r="E11" s="12">
        <v>0.57264957264957261</v>
      </c>
      <c r="F11" s="34">
        <v>3476</v>
      </c>
      <c r="G11" s="35">
        <v>0.48033333333333339</v>
      </c>
      <c r="H11" s="34">
        <v>836</v>
      </c>
      <c r="I11" s="35">
        <v>0.35716666666666669</v>
      </c>
      <c r="J11" s="35">
        <v>0.75322222222222224</v>
      </c>
      <c r="K11" s="34">
        <v>9514</v>
      </c>
      <c r="L11" s="34">
        <v>857</v>
      </c>
      <c r="M11" s="34">
        <v>2357</v>
      </c>
      <c r="N11" s="34">
        <v>2018</v>
      </c>
      <c r="O11" s="34">
        <v>676</v>
      </c>
      <c r="P11" s="34">
        <v>393</v>
      </c>
      <c r="Q11" s="34">
        <v>1119</v>
      </c>
      <c r="R11" s="36">
        <v>1.8266666666666669</v>
      </c>
      <c r="S11" s="32">
        <v>1548</v>
      </c>
    </row>
    <row r="12" spans="1:19" x14ac:dyDescent="0.25">
      <c r="A12" s="8" t="s">
        <v>159</v>
      </c>
      <c r="B12" s="33">
        <v>128</v>
      </c>
      <c r="C12" s="33">
        <v>5</v>
      </c>
      <c r="D12" s="33">
        <v>101</v>
      </c>
      <c r="E12" s="12">
        <v>0.55769230769230771</v>
      </c>
      <c r="F12" s="34">
        <v>3459</v>
      </c>
      <c r="G12" s="35">
        <v>0.50238888888888888</v>
      </c>
      <c r="H12" s="34">
        <v>956</v>
      </c>
      <c r="I12" s="35">
        <v>0.37077777777777776</v>
      </c>
      <c r="J12" s="35">
        <v>0.78349999999999997</v>
      </c>
      <c r="K12" s="34">
        <v>9624</v>
      </c>
      <c r="L12" s="34">
        <v>843</v>
      </c>
      <c r="M12" s="34">
        <v>2781</v>
      </c>
      <c r="N12" s="34">
        <v>2515</v>
      </c>
      <c r="O12" s="34">
        <v>522</v>
      </c>
      <c r="P12" s="34">
        <v>212</v>
      </c>
      <c r="Q12" s="34">
        <v>1239</v>
      </c>
      <c r="R12" s="36">
        <v>2.0483333333333333</v>
      </c>
      <c r="S12" s="32">
        <v>1553</v>
      </c>
    </row>
    <row r="13" spans="1:19" x14ac:dyDescent="0.25">
      <c r="A13" s="8" t="s">
        <v>33</v>
      </c>
      <c r="B13" s="33">
        <v>125</v>
      </c>
      <c r="C13" s="33">
        <v>2</v>
      </c>
      <c r="D13" s="33">
        <v>107</v>
      </c>
      <c r="E13" s="12">
        <v>0.53846153846153844</v>
      </c>
      <c r="F13" s="34">
        <v>3156</v>
      </c>
      <c r="G13" s="35">
        <v>0.46750000000000003</v>
      </c>
      <c r="H13" s="34">
        <v>1111</v>
      </c>
      <c r="I13" s="35">
        <v>0.36749999999999994</v>
      </c>
      <c r="J13" s="35">
        <v>0.85111111111111115</v>
      </c>
      <c r="K13" s="34">
        <v>8911</v>
      </c>
      <c r="L13" s="34">
        <v>479</v>
      </c>
      <c r="M13" s="34">
        <v>2101</v>
      </c>
      <c r="N13" s="34">
        <v>1861</v>
      </c>
      <c r="O13" s="34">
        <v>600</v>
      </c>
      <c r="P13" s="34">
        <v>302</v>
      </c>
      <c r="Q13" s="34">
        <v>963</v>
      </c>
      <c r="R13" s="36">
        <v>2.0172222222222218</v>
      </c>
      <c r="S13" s="32">
        <v>1550</v>
      </c>
    </row>
    <row r="14" spans="1:19" x14ac:dyDescent="0.25">
      <c r="A14" s="8" t="s">
        <v>23</v>
      </c>
      <c r="B14" s="33">
        <v>120</v>
      </c>
      <c r="C14" s="33">
        <v>3</v>
      </c>
      <c r="D14" s="33">
        <v>111</v>
      </c>
      <c r="E14" s="12">
        <v>0.51923076923076927</v>
      </c>
      <c r="F14" s="34">
        <v>2957</v>
      </c>
      <c r="G14" s="35">
        <v>0.47205555555555556</v>
      </c>
      <c r="H14" s="34">
        <v>920</v>
      </c>
      <c r="I14" s="35">
        <v>0.37616666666666665</v>
      </c>
      <c r="J14" s="35">
        <v>0.80255555555555547</v>
      </c>
      <c r="K14" s="34">
        <v>8030</v>
      </c>
      <c r="L14" s="34">
        <v>800</v>
      </c>
      <c r="M14" s="34">
        <v>2294</v>
      </c>
      <c r="N14" s="34">
        <v>2059</v>
      </c>
      <c r="O14" s="34">
        <v>584</v>
      </c>
      <c r="P14" s="34">
        <v>451</v>
      </c>
      <c r="Q14" s="34">
        <v>1072</v>
      </c>
      <c r="R14" s="36">
        <v>1.9661111111111107</v>
      </c>
      <c r="S14" s="32">
        <v>1534</v>
      </c>
    </row>
    <row r="15" spans="1:19" x14ac:dyDescent="0.25">
      <c r="A15" s="8" t="s">
        <v>93</v>
      </c>
      <c r="B15" s="33">
        <v>119</v>
      </c>
      <c r="C15" s="33">
        <v>2</v>
      </c>
      <c r="D15" s="33">
        <v>113</v>
      </c>
      <c r="E15" s="12">
        <v>0.51282051282051277</v>
      </c>
      <c r="F15" s="34">
        <v>3452</v>
      </c>
      <c r="G15" s="35">
        <v>0.46122222222222231</v>
      </c>
      <c r="H15" s="34">
        <v>1136</v>
      </c>
      <c r="I15" s="35">
        <v>0.35877777777777781</v>
      </c>
      <c r="J15" s="35">
        <v>0.77994444444444455</v>
      </c>
      <c r="K15" s="34">
        <v>9805</v>
      </c>
      <c r="L15" s="34">
        <v>728</v>
      </c>
      <c r="M15" s="34">
        <v>2197</v>
      </c>
      <c r="N15" s="34">
        <v>2062</v>
      </c>
      <c r="O15" s="34">
        <v>592</v>
      </c>
      <c r="P15" s="34">
        <v>258</v>
      </c>
      <c r="Q15" s="34">
        <v>1076</v>
      </c>
      <c r="R15" s="36">
        <v>1.947222222222222</v>
      </c>
      <c r="S15" s="32">
        <v>1547</v>
      </c>
    </row>
    <row r="16" spans="1:19" x14ac:dyDescent="0.25">
      <c r="A16" s="8" t="s">
        <v>98</v>
      </c>
      <c r="B16" s="33">
        <v>116</v>
      </c>
      <c r="C16" s="33">
        <v>3</v>
      </c>
      <c r="D16" s="33">
        <v>115</v>
      </c>
      <c r="E16" s="12">
        <v>0.50213675213675213</v>
      </c>
      <c r="F16" s="34">
        <v>2440</v>
      </c>
      <c r="G16" s="35">
        <v>0.47727777777777775</v>
      </c>
      <c r="H16" s="34">
        <v>909</v>
      </c>
      <c r="I16" s="35">
        <v>0.37833333333333335</v>
      </c>
      <c r="J16" s="35">
        <v>0.80266666666666664</v>
      </c>
      <c r="K16" s="34">
        <v>6668</v>
      </c>
      <c r="L16" s="34">
        <v>619</v>
      </c>
      <c r="M16" s="34">
        <v>1886</v>
      </c>
      <c r="N16" s="34">
        <v>1558</v>
      </c>
      <c r="O16" s="34">
        <v>545</v>
      </c>
      <c r="P16" s="34">
        <v>298</v>
      </c>
      <c r="Q16" s="34">
        <v>685</v>
      </c>
      <c r="R16" s="36">
        <v>2.3705555555555553</v>
      </c>
      <c r="S16" s="32">
        <v>1547</v>
      </c>
    </row>
    <row r="17" spans="1:19" x14ac:dyDescent="0.25">
      <c r="A17" s="8" t="s">
        <v>99</v>
      </c>
      <c r="B17" s="33">
        <v>111</v>
      </c>
      <c r="C17" s="33">
        <v>3</v>
      </c>
      <c r="D17" s="33">
        <v>120</v>
      </c>
      <c r="E17" s="12">
        <v>0.48076923076923078</v>
      </c>
      <c r="F17" s="34">
        <v>3097</v>
      </c>
      <c r="G17" s="35">
        <v>0.48644444444444446</v>
      </c>
      <c r="H17" s="34">
        <v>820</v>
      </c>
      <c r="I17" s="35">
        <v>0.3619444444444444</v>
      </c>
      <c r="J17" s="35">
        <v>0.77849999999999997</v>
      </c>
      <c r="K17" s="34">
        <v>8226</v>
      </c>
      <c r="L17" s="34">
        <v>1005</v>
      </c>
      <c r="M17" s="34">
        <v>2773</v>
      </c>
      <c r="N17" s="34">
        <v>1688</v>
      </c>
      <c r="O17" s="34">
        <v>503</v>
      </c>
      <c r="P17" s="34">
        <v>377</v>
      </c>
      <c r="Q17" s="34">
        <v>965</v>
      </c>
      <c r="R17" s="36">
        <v>1.7911111111111113</v>
      </c>
      <c r="S17" s="32">
        <v>1548</v>
      </c>
    </row>
    <row r="18" spans="1:19" x14ac:dyDescent="0.25">
      <c r="A18" s="8" t="s">
        <v>201</v>
      </c>
      <c r="B18" s="33">
        <v>103</v>
      </c>
      <c r="C18" s="33">
        <v>0</v>
      </c>
      <c r="D18" s="33">
        <v>131</v>
      </c>
      <c r="E18" s="12">
        <v>0.44017094017094016</v>
      </c>
      <c r="F18" s="34">
        <v>2438</v>
      </c>
      <c r="G18" s="35">
        <v>0.46411111111111114</v>
      </c>
      <c r="H18" s="34">
        <v>918</v>
      </c>
      <c r="I18" s="35">
        <v>0.36811111111111106</v>
      </c>
      <c r="J18" s="35">
        <v>0.75127777777777771</v>
      </c>
      <c r="K18" s="34">
        <v>6716</v>
      </c>
      <c r="L18" s="34">
        <v>981</v>
      </c>
      <c r="M18" s="34">
        <v>2168</v>
      </c>
      <c r="N18" s="34">
        <v>1439</v>
      </c>
      <c r="O18" s="34">
        <v>462</v>
      </c>
      <c r="P18" s="34">
        <v>333</v>
      </c>
      <c r="Q18" s="34">
        <v>891</v>
      </c>
      <c r="R18" s="36">
        <v>1.6305555555555555</v>
      </c>
      <c r="S18" s="32">
        <v>1536</v>
      </c>
    </row>
    <row r="19" spans="1:19" x14ac:dyDescent="0.25">
      <c r="A19" s="8" t="s">
        <v>21</v>
      </c>
      <c r="B19" s="33">
        <v>103</v>
      </c>
      <c r="C19" s="33">
        <v>2</v>
      </c>
      <c r="D19" s="33">
        <v>129</v>
      </c>
      <c r="E19" s="12">
        <v>0.44444444444444442</v>
      </c>
      <c r="F19" s="34">
        <v>2924</v>
      </c>
      <c r="G19" s="35">
        <v>0.4854444444444444</v>
      </c>
      <c r="H19" s="34">
        <v>697</v>
      </c>
      <c r="I19" s="35">
        <v>0.34750000000000003</v>
      </c>
      <c r="J19" s="35">
        <v>0.75922222222222202</v>
      </c>
      <c r="K19" s="34">
        <v>7637</v>
      </c>
      <c r="L19" s="34">
        <v>705</v>
      </c>
      <c r="M19" s="34">
        <v>2217</v>
      </c>
      <c r="N19" s="34">
        <v>1594</v>
      </c>
      <c r="O19" s="34">
        <v>515</v>
      </c>
      <c r="P19" s="34">
        <v>314</v>
      </c>
      <c r="Q19" s="34">
        <v>910</v>
      </c>
      <c r="R19" s="36">
        <v>1.8133333333333335</v>
      </c>
      <c r="S19" s="32">
        <v>1537</v>
      </c>
    </row>
    <row r="20" spans="1:19" x14ac:dyDescent="0.25">
      <c r="A20" s="8" t="s">
        <v>185</v>
      </c>
      <c r="B20" s="33">
        <v>94</v>
      </c>
      <c r="C20" s="33">
        <v>10</v>
      </c>
      <c r="D20" s="33">
        <v>130</v>
      </c>
      <c r="E20" s="12">
        <v>0.42307692307692307</v>
      </c>
      <c r="F20" s="34">
        <v>2968</v>
      </c>
      <c r="G20" s="35">
        <v>0.45705555555555555</v>
      </c>
      <c r="H20" s="34">
        <v>901</v>
      </c>
      <c r="I20" s="35">
        <v>0.35355555555555551</v>
      </c>
      <c r="J20" s="35">
        <v>0.7596666666666666</v>
      </c>
      <c r="K20" s="34">
        <v>8009</v>
      </c>
      <c r="L20" s="34">
        <v>629</v>
      </c>
      <c r="M20" s="34">
        <v>2062</v>
      </c>
      <c r="N20" s="34">
        <v>2179</v>
      </c>
      <c r="O20" s="34">
        <v>542</v>
      </c>
      <c r="P20" s="34">
        <v>320</v>
      </c>
      <c r="Q20" s="34">
        <v>1065</v>
      </c>
      <c r="R20" s="36">
        <v>2.0838888888888882</v>
      </c>
      <c r="S20" s="32">
        <v>1537</v>
      </c>
    </row>
    <row r="21" spans="1:19" x14ac:dyDescent="0.25">
      <c r="A21" s="8" t="s">
        <v>96</v>
      </c>
      <c r="B21" s="33">
        <v>83</v>
      </c>
      <c r="C21" s="33">
        <v>4</v>
      </c>
      <c r="D21" s="33">
        <v>147</v>
      </c>
      <c r="E21" s="12">
        <v>0.36324786324786323</v>
      </c>
      <c r="F21" s="34">
        <v>2601</v>
      </c>
      <c r="G21" s="35">
        <v>0.45961111111111108</v>
      </c>
      <c r="H21" s="34">
        <v>732</v>
      </c>
      <c r="I21" s="35">
        <v>0.34983333333333338</v>
      </c>
      <c r="J21" s="35">
        <v>0.80394444444444435</v>
      </c>
      <c r="K21" s="34">
        <v>7252</v>
      </c>
      <c r="L21" s="34">
        <v>653</v>
      </c>
      <c r="M21" s="34">
        <v>1986</v>
      </c>
      <c r="N21" s="34">
        <v>1458</v>
      </c>
      <c r="O21" s="34">
        <v>490</v>
      </c>
      <c r="P21" s="34">
        <v>259</v>
      </c>
      <c r="Q21" s="34">
        <v>975</v>
      </c>
      <c r="R21" s="36">
        <v>1.5061111111111112</v>
      </c>
      <c r="S21" s="32">
        <v>1552</v>
      </c>
    </row>
    <row r="22" spans="1:19" x14ac:dyDescent="0.25">
      <c r="A22" s="8" t="s">
        <v>15</v>
      </c>
      <c r="B22" s="33">
        <v>78</v>
      </c>
      <c r="C22" s="33">
        <v>3</v>
      </c>
      <c r="D22" s="33">
        <v>153</v>
      </c>
      <c r="E22" s="12">
        <v>0.33974358974358976</v>
      </c>
      <c r="F22" s="34">
        <v>2406</v>
      </c>
      <c r="G22" s="35">
        <v>0.48288888888888892</v>
      </c>
      <c r="H22" s="34">
        <v>734</v>
      </c>
      <c r="I22" s="35">
        <v>0.36827777777777787</v>
      </c>
      <c r="J22" s="35">
        <v>0.78744444444444439</v>
      </c>
      <c r="K22" s="34">
        <v>6595</v>
      </c>
      <c r="L22" s="34">
        <v>766</v>
      </c>
      <c r="M22" s="34">
        <v>1765</v>
      </c>
      <c r="N22" s="34">
        <v>1400</v>
      </c>
      <c r="O22" s="34">
        <v>439</v>
      </c>
      <c r="P22" s="34">
        <v>235</v>
      </c>
      <c r="Q22" s="34">
        <v>724</v>
      </c>
      <c r="R22" s="36">
        <v>1.9505555555555556</v>
      </c>
      <c r="S22" s="32">
        <v>1537</v>
      </c>
    </row>
    <row r="23" spans="1:19" x14ac:dyDescent="0.25">
      <c r="A23" s="8" t="s">
        <v>28</v>
      </c>
      <c r="B23" s="33">
        <v>73</v>
      </c>
      <c r="C23" s="33">
        <v>1</v>
      </c>
      <c r="D23" s="33">
        <v>160</v>
      </c>
      <c r="E23" s="12">
        <v>0.3141025641025641</v>
      </c>
      <c r="F23" s="34">
        <v>2336</v>
      </c>
      <c r="G23" s="35">
        <v>0.46694444444444433</v>
      </c>
      <c r="H23" s="34">
        <v>946</v>
      </c>
      <c r="I23" s="35">
        <v>0.3755</v>
      </c>
      <c r="J23" s="35">
        <v>0.80133333333333345</v>
      </c>
      <c r="K23" s="34">
        <v>6628</v>
      </c>
      <c r="L23" s="34">
        <v>477</v>
      </c>
      <c r="M23" s="34">
        <v>1660</v>
      </c>
      <c r="N23" s="34">
        <v>1346</v>
      </c>
      <c r="O23" s="34">
        <v>372</v>
      </c>
      <c r="P23" s="34">
        <v>278</v>
      </c>
      <c r="Q23" s="34">
        <v>765</v>
      </c>
      <c r="R23" s="36">
        <v>1.8316666666666666</v>
      </c>
      <c r="S23" s="32">
        <v>1533</v>
      </c>
    </row>
    <row r="24" spans="1:19" x14ac:dyDescent="0.25">
      <c r="A24" s="8" t="s">
        <v>184</v>
      </c>
      <c r="B24" s="33">
        <v>56</v>
      </c>
      <c r="C24" s="33">
        <v>2</v>
      </c>
      <c r="D24" s="33">
        <v>176</v>
      </c>
      <c r="E24" s="12">
        <v>0.24358974358974358</v>
      </c>
      <c r="F24" s="34">
        <v>1789</v>
      </c>
      <c r="G24" s="35">
        <v>0.45133333333333336</v>
      </c>
      <c r="H24" s="34">
        <v>569</v>
      </c>
      <c r="I24" s="35">
        <v>0.3516111111111111</v>
      </c>
      <c r="J24" s="35">
        <v>0.78744444444444428</v>
      </c>
      <c r="K24" s="34">
        <v>4976</v>
      </c>
      <c r="L24" s="34">
        <v>490</v>
      </c>
      <c r="M24" s="34">
        <v>1470</v>
      </c>
      <c r="N24" s="34">
        <v>1034</v>
      </c>
      <c r="O24" s="34">
        <v>341</v>
      </c>
      <c r="P24" s="34">
        <v>179</v>
      </c>
      <c r="Q24" s="34">
        <v>657</v>
      </c>
      <c r="R24" s="36">
        <v>1.6505555555555556</v>
      </c>
      <c r="S24" s="32">
        <v>1550</v>
      </c>
    </row>
  </sheetData>
  <pageMargins left="0.7" right="0.7" top="0.75" bottom="0.75" header="0.3" footer="0.3"/>
  <pageSetup orientation="portrait" r:id="rId2"/>
  <customProperties>
    <customPr name="_pios_id" r:id="rId3"/>
    <customPr name="EpmWorksheetKeyString_GUID" r:id="rId4"/>
  </customProperties>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42C86-D907-4322-971C-A7E95BA65332}">
  <sheetPr>
    <tabColor rgb="FFFFC000"/>
  </sheetPr>
  <dimension ref="A3:V35"/>
  <sheetViews>
    <sheetView tabSelected="1" workbookViewId="0">
      <selection activeCell="F8" sqref="F8"/>
    </sheetView>
  </sheetViews>
  <sheetFormatPr defaultRowHeight="15" x14ac:dyDescent="0.25"/>
  <cols>
    <col min="1" max="1" width="27.5703125" bestFit="1" customWidth="1"/>
    <col min="2" max="2" width="8.85546875" bestFit="1" customWidth="1"/>
    <col min="3" max="3" width="7.140625" bestFit="1" customWidth="1"/>
    <col min="4" max="4" width="5.28515625" bestFit="1" customWidth="1"/>
    <col min="5" max="5" width="7.7109375" bestFit="1" customWidth="1"/>
    <col min="6" max="6" width="5" bestFit="1" customWidth="1"/>
    <col min="7" max="7" width="4.5703125" bestFit="1" customWidth="1"/>
    <col min="8" max="8" width="6.7109375" bestFit="1" customWidth="1"/>
    <col min="9" max="9" width="7.7109375" bestFit="1" customWidth="1"/>
    <col min="10" max="10" width="6" bestFit="1" customWidth="1"/>
    <col min="11" max="11" width="6.140625" bestFit="1" customWidth="1"/>
    <col min="12" max="12" width="5.42578125" bestFit="1" customWidth="1"/>
    <col min="13" max="14" width="6.140625" bestFit="1" customWidth="1"/>
    <col min="15" max="15" width="6" bestFit="1" customWidth="1"/>
    <col min="16" max="16" width="6.140625" bestFit="1" customWidth="1"/>
    <col min="17" max="18" width="6" bestFit="1" customWidth="1"/>
    <col min="19" max="20" width="5" bestFit="1" customWidth="1"/>
    <col min="21" max="21" width="15.85546875" hidden="1" customWidth="1"/>
    <col min="22" max="22" width="6" bestFit="1" customWidth="1"/>
    <col min="23" max="23" width="16.28515625" bestFit="1" customWidth="1"/>
  </cols>
  <sheetData>
    <row r="3" spans="1:22" ht="51" customHeight="1" x14ac:dyDescent="0.25"/>
    <row r="4" spans="1:22" ht="60" x14ac:dyDescent="0.25">
      <c r="A4" s="7" t="s">
        <v>115</v>
      </c>
      <c r="B4" t="s">
        <v>157</v>
      </c>
      <c r="C4" t="s">
        <v>156</v>
      </c>
      <c r="D4" s="18" t="s">
        <v>144</v>
      </c>
      <c r="E4" s="14" t="s">
        <v>145</v>
      </c>
      <c r="F4" s="16" t="s">
        <v>123</v>
      </c>
      <c r="G4" s="15" t="s">
        <v>125</v>
      </c>
      <c r="H4" s="11" t="s">
        <v>124</v>
      </c>
      <c r="I4" s="17" t="s">
        <v>126</v>
      </c>
      <c r="J4" s="39" t="s">
        <v>127</v>
      </c>
      <c r="K4" s="31" t="s">
        <v>128</v>
      </c>
      <c r="L4" s="31" t="s">
        <v>129</v>
      </c>
      <c r="M4" s="31" t="s">
        <v>130</v>
      </c>
      <c r="N4" s="31" t="s">
        <v>131</v>
      </c>
      <c r="O4" s="31" t="s">
        <v>132</v>
      </c>
      <c r="P4" s="31" t="s">
        <v>133</v>
      </c>
      <c r="Q4" s="31" t="s">
        <v>134</v>
      </c>
      <c r="R4" s="31" t="s">
        <v>135</v>
      </c>
      <c r="S4" s="31" t="s">
        <v>136</v>
      </c>
      <c r="T4" s="31" t="s">
        <v>137</v>
      </c>
      <c r="U4" s="31" t="s">
        <v>138</v>
      </c>
      <c r="V4" s="31" t="s">
        <v>139</v>
      </c>
    </row>
    <row r="5" spans="1:22" x14ac:dyDescent="0.25">
      <c r="A5" s="8" t="s">
        <v>190</v>
      </c>
      <c r="B5" s="32">
        <v>2026</v>
      </c>
      <c r="C5" s="32">
        <v>179</v>
      </c>
      <c r="D5" s="38">
        <v>133</v>
      </c>
      <c r="E5" s="13">
        <v>0.74301675977653636</v>
      </c>
      <c r="F5" s="37">
        <v>1433</v>
      </c>
      <c r="G5" s="33">
        <v>47</v>
      </c>
      <c r="H5" s="33">
        <v>847</v>
      </c>
      <c r="I5" s="19">
        <v>0.62591319295229908</v>
      </c>
      <c r="J5" s="40">
        <v>34460</v>
      </c>
      <c r="K5" s="35">
        <v>0.475663198984979</v>
      </c>
      <c r="L5" s="34">
        <v>9077</v>
      </c>
      <c r="M5" s="35">
        <v>0.36103442659339785</v>
      </c>
      <c r="N5" s="35">
        <v>0.79712280105031197</v>
      </c>
      <c r="O5" s="34">
        <v>93486</v>
      </c>
      <c r="P5" s="34">
        <v>7181</v>
      </c>
      <c r="Q5" s="34">
        <v>24585</v>
      </c>
      <c r="R5" s="34">
        <v>20677</v>
      </c>
      <c r="S5" s="34">
        <v>5622</v>
      </c>
      <c r="T5" s="34">
        <v>4138</v>
      </c>
      <c r="U5" s="34">
        <v>10722</v>
      </c>
      <c r="V5" s="36">
        <v>1.9546506943644644</v>
      </c>
    </row>
    <row r="6" spans="1:22" x14ac:dyDescent="0.25">
      <c r="A6" s="8" t="s">
        <v>16</v>
      </c>
      <c r="B6" s="32">
        <v>2026</v>
      </c>
      <c r="C6" s="32">
        <v>184</v>
      </c>
      <c r="D6" s="38">
        <v>122</v>
      </c>
      <c r="E6" s="13">
        <v>0.66304347826086951</v>
      </c>
      <c r="F6" s="37">
        <v>1400</v>
      </c>
      <c r="G6" s="33">
        <v>42</v>
      </c>
      <c r="H6" s="33">
        <v>950</v>
      </c>
      <c r="I6" s="19">
        <v>0.59406354515050164</v>
      </c>
      <c r="J6" s="40">
        <v>30399</v>
      </c>
      <c r="K6" s="35">
        <v>0.47413493945148344</v>
      </c>
      <c r="L6" s="34">
        <v>9082</v>
      </c>
      <c r="M6" s="35">
        <v>0.36852394503274372</v>
      </c>
      <c r="N6" s="35">
        <v>0.78747991692501329</v>
      </c>
      <c r="O6" s="34">
        <v>83937</v>
      </c>
      <c r="P6" s="34">
        <v>7515</v>
      </c>
      <c r="Q6" s="34">
        <v>25208</v>
      </c>
      <c r="R6" s="34">
        <v>20863</v>
      </c>
      <c r="S6" s="34">
        <v>5869</v>
      </c>
      <c r="T6" s="34">
        <v>3955</v>
      </c>
      <c r="U6" s="34">
        <v>10628</v>
      </c>
      <c r="V6" s="36">
        <v>1.9965124215383603</v>
      </c>
    </row>
    <row r="7" spans="1:22" x14ac:dyDescent="0.25">
      <c r="A7" s="8" t="s">
        <v>181</v>
      </c>
      <c r="B7" s="32">
        <v>2026</v>
      </c>
      <c r="C7" s="32">
        <v>179</v>
      </c>
      <c r="D7" s="38">
        <v>110</v>
      </c>
      <c r="E7" s="13">
        <v>0.61452513966480449</v>
      </c>
      <c r="F7" s="37">
        <v>1268</v>
      </c>
      <c r="G7" s="33">
        <v>33</v>
      </c>
      <c r="H7" s="33">
        <v>1026</v>
      </c>
      <c r="I7" s="19">
        <v>0.55199828104856041</v>
      </c>
      <c r="J7" s="40">
        <v>31570</v>
      </c>
      <c r="K7" s="35">
        <v>0.47060472182072327</v>
      </c>
      <c r="L7" s="34">
        <v>9075</v>
      </c>
      <c r="M7" s="35">
        <v>0.36657649434517048</v>
      </c>
      <c r="N7" s="35">
        <v>0.81061910293985784</v>
      </c>
      <c r="O7" s="34">
        <v>87544</v>
      </c>
      <c r="P7" s="34">
        <v>6515</v>
      </c>
      <c r="Q7" s="34">
        <v>22479</v>
      </c>
      <c r="R7" s="34">
        <v>18701</v>
      </c>
      <c r="S7" s="34">
        <v>5334</v>
      </c>
      <c r="T7" s="34">
        <v>3020</v>
      </c>
      <c r="U7" s="34">
        <v>9810</v>
      </c>
      <c r="V7" s="36">
        <v>1.9047016984870799</v>
      </c>
    </row>
    <row r="8" spans="1:22" x14ac:dyDescent="0.25">
      <c r="A8" s="8" t="s">
        <v>23</v>
      </c>
      <c r="B8" s="32">
        <v>2026</v>
      </c>
      <c r="C8" s="32">
        <v>179</v>
      </c>
      <c r="D8" s="38">
        <v>93</v>
      </c>
      <c r="E8" s="13">
        <v>0.51955307262569828</v>
      </c>
      <c r="F8" s="37">
        <v>1231</v>
      </c>
      <c r="G8" s="33">
        <v>41</v>
      </c>
      <c r="H8" s="33">
        <v>1055</v>
      </c>
      <c r="I8" s="19">
        <v>0.53781693167168032</v>
      </c>
      <c r="J8" s="40">
        <v>29050</v>
      </c>
      <c r="K8" s="35">
        <v>0.46863748061375371</v>
      </c>
      <c r="L8" s="34">
        <v>8182</v>
      </c>
      <c r="M8" s="35">
        <v>0.35766653654020691</v>
      </c>
      <c r="N8" s="35">
        <v>0.79945333123815643</v>
      </c>
      <c r="O8" s="34">
        <v>78904</v>
      </c>
      <c r="P8" s="34">
        <v>7001</v>
      </c>
      <c r="Q8" s="34">
        <v>23173</v>
      </c>
      <c r="R8" s="34">
        <v>17617</v>
      </c>
      <c r="S8" s="34">
        <v>5295</v>
      </c>
      <c r="T8" s="34">
        <v>3845</v>
      </c>
      <c r="U8" s="34">
        <v>9453</v>
      </c>
      <c r="V8" s="36">
        <v>1.9043176793595509</v>
      </c>
    </row>
    <row r="9" spans="1:22" x14ac:dyDescent="0.25">
      <c r="A9" s="8" t="s">
        <v>159</v>
      </c>
      <c r="B9" s="32">
        <v>2026</v>
      </c>
      <c r="C9" s="32">
        <v>173</v>
      </c>
      <c r="D9" s="38">
        <v>100</v>
      </c>
      <c r="E9" s="13">
        <v>0.5780346820809249</v>
      </c>
      <c r="F9" s="37">
        <v>1198</v>
      </c>
      <c r="G9" s="33">
        <v>38</v>
      </c>
      <c r="H9" s="33">
        <v>1013</v>
      </c>
      <c r="I9" s="19">
        <v>0.54112939084037348</v>
      </c>
      <c r="J9" s="40">
        <v>32314</v>
      </c>
      <c r="K9" s="35">
        <v>0.47944868952913072</v>
      </c>
      <c r="L9" s="34">
        <v>8571</v>
      </c>
      <c r="M9" s="35">
        <v>0.36337791729009949</v>
      </c>
      <c r="N9" s="35">
        <v>0.77342010075562873</v>
      </c>
      <c r="O9" s="34">
        <v>87350</v>
      </c>
      <c r="P9" s="34">
        <v>7255</v>
      </c>
      <c r="Q9" s="34">
        <v>26053</v>
      </c>
      <c r="R9" s="34">
        <v>19694</v>
      </c>
      <c r="S9" s="34">
        <v>4956</v>
      </c>
      <c r="T9" s="34">
        <v>3101</v>
      </c>
      <c r="U9" s="34">
        <v>10783</v>
      </c>
      <c r="V9" s="36">
        <v>1.8278469014210843</v>
      </c>
    </row>
    <row r="10" spans="1:22" x14ac:dyDescent="0.25">
      <c r="A10" s="8" t="s">
        <v>98</v>
      </c>
      <c r="B10" s="32">
        <v>2026</v>
      </c>
      <c r="C10" s="32">
        <v>174</v>
      </c>
      <c r="D10" s="38">
        <v>94</v>
      </c>
      <c r="E10" s="13">
        <v>0.54022988505747127</v>
      </c>
      <c r="F10" s="37">
        <v>1185</v>
      </c>
      <c r="G10" s="33">
        <v>40</v>
      </c>
      <c r="H10" s="33">
        <v>1037</v>
      </c>
      <c r="I10" s="19">
        <v>0.53271441202475689</v>
      </c>
      <c r="J10" s="40">
        <v>27303</v>
      </c>
      <c r="K10" s="35">
        <v>0.47105713782909198</v>
      </c>
      <c r="L10" s="34">
        <v>8245</v>
      </c>
      <c r="M10" s="35">
        <v>0.36692506261618074</v>
      </c>
      <c r="N10" s="35">
        <v>0.79339638686741887</v>
      </c>
      <c r="O10" s="34">
        <v>73912</v>
      </c>
      <c r="P10" s="34">
        <v>6467</v>
      </c>
      <c r="Q10" s="34">
        <v>22120</v>
      </c>
      <c r="R10" s="34">
        <v>16829</v>
      </c>
      <c r="S10" s="34">
        <v>5154</v>
      </c>
      <c r="T10" s="34">
        <v>3345</v>
      </c>
      <c r="U10" s="34">
        <v>8110</v>
      </c>
      <c r="V10" s="36">
        <v>2.1175179422977948</v>
      </c>
    </row>
    <row r="11" spans="1:22" x14ac:dyDescent="0.25">
      <c r="A11" s="8" t="s">
        <v>28</v>
      </c>
      <c r="B11" s="32">
        <v>2026</v>
      </c>
      <c r="C11" s="32">
        <v>175</v>
      </c>
      <c r="D11" s="38">
        <v>91</v>
      </c>
      <c r="E11" s="13">
        <v>0.52</v>
      </c>
      <c r="F11" s="37">
        <v>1170</v>
      </c>
      <c r="G11" s="33">
        <v>21</v>
      </c>
      <c r="H11" s="33">
        <v>1084</v>
      </c>
      <c r="I11" s="19">
        <v>0.51890109890109892</v>
      </c>
      <c r="J11" s="40">
        <v>30148</v>
      </c>
      <c r="K11" s="35">
        <v>0.46728545815753242</v>
      </c>
      <c r="L11" s="34">
        <v>8535</v>
      </c>
      <c r="M11" s="35">
        <v>0.36592617048927339</v>
      </c>
      <c r="N11" s="35">
        <v>0.77118502918911025</v>
      </c>
      <c r="O11" s="34">
        <v>81556</v>
      </c>
      <c r="P11" s="34">
        <v>7140</v>
      </c>
      <c r="Q11" s="34">
        <v>24148</v>
      </c>
      <c r="R11" s="34">
        <v>18840</v>
      </c>
      <c r="S11" s="34">
        <v>5058</v>
      </c>
      <c r="T11" s="34">
        <v>3299</v>
      </c>
      <c r="U11" s="34">
        <v>9967</v>
      </c>
      <c r="V11" s="36">
        <v>1.9201761426551363</v>
      </c>
    </row>
    <row r="12" spans="1:22" x14ac:dyDescent="0.25">
      <c r="A12" s="8" t="s">
        <v>33</v>
      </c>
      <c r="B12" s="32">
        <v>2026</v>
      </c>
      <c r="C12" s="32">
        <v>174</v>
      </c>
      <c r="D12" s="38">
        <v>95</v>
      </c>
      <c r="E12" s="13">
        <v>0.54597701149425293</v>
      </c>
      <c r="F12" s="37">
        <v>1154</v>
      </c>
      <c r="G12" s="33">
        <v>31</v>
      </c>
      <c r="H12" s="33">
        <v>1077</v>
      </c>
      <c r="I12" s="19">
        <v>0.51702033598585317</v>
      </c>
      <c r="J12" s="40">
        <v>29552</v>
      </c>
      <c r="K12" s="35">
        <v>0.47676606305454489</v>
      </c>
      <c r="L12" s="34">
        <v>8063</v>
      </c>
      <c r="M12" s="35">
        <v>0.35686696237626492</v>
      </c>
      <c r="N12" s="35">
        <v>0.79187620594528285</v>
      </c>
      <c r="O12" s="34">
        <v>80897</v>
      </c>
      <c r="P12" s="34">
        <v>6250</v>
      </c>
      <c r="Q12" s="34">
        <v>22216</v>
      </c>
      <c r="R12" s="34">
        <v>17901</v>
      </c>
      <c r="S12" s="34">
        <v>5319</v>
      </c>
      <c r="T12" s="34">
        <v>3476</v>
      </c>
      <c r="U12" s="34">
        <v>9678</v>
      </c>
      <c r="V12" s="36">
        <v>1.8805968365976893</v>
      </c>
    </row>
    <row r="13" spans="1:22" x14ac:dyDescent="0.25">
      <c r="A13" s="8" t="s">
        <v>26</v>
      </c>
      <c r="B13" s="32">
        <v>2026</v>
      </c>
      <c r="C13" s="32">
        <v>172</v>
      </c>
      <c r="D13" s="38">
        <v>85</v>
      </c>
      <c r="E13" s="13">
        <v>0.4941860465116279</v>
      </c>
      <c r="F13" s="37">
        <v>1115</v>
      </c>
      <c r="G13" s="33">
        <v>31</v>
      </c>
      <c r="H13" s="33">
        <v>1090</v>
      </c>
      <c r="I13" s="19">
        <v>0.50559033989266544</v>
      </c>
      <c r="J13" s="40">
        <v>26241</v>
      </c>
      <c r="K13" s="35">
        <v>0.46793007975005396</v>
      </c>
      <c r="L13" s="34">
        <v>7853</v>
      </c>
      <c r="M13" s="35">
        <v>0.35708893992793084</v>
      </c>
      <c r="N13" s="35">
        <v>0.77269233219018929</v>
      </c>
      <c r="O13" s="34">
        <v>71662</v>
      </c>
      <c r="P13" s="34">
        <v>6331</v>
      </c>
      <c r="Q13" s="34">
        <v>23520</v>
      </c>
      <c r="R13" s="34">
        <v>18053</v>
      </c>
      <c r="S13" s="34">
        <v>4680</v>
      </c>
      <c r="T13" s="34">
        <v>2941</v>
      </c>
      <c r="U13" s="34">
        <v>9140</v>
      </c>
      <c r="V13" s="36">
        <v>2.0015044674034121</v>
      </c>
    </row>
    <row r="14" spans="1:22" x14ac:dyDescent="0.25">
      <c r="A14" s="8" t="s">
        <v>94</v>
      </c>
      <c r="B14" s="32">
        <v>2026</v>
      </c>
      <c r="C14" s="32">
        <v>171</v>
      </c>
      <c r="D14" s="38">
        <v>79</v>
      </c>
      <c r="E14" s="13">
        <v>0.46198830409356723</v>
      </c>
      <c r="F14" s="37">
        <v>1088</v>
      </c>
      <c r="G14" s="33">
        <v>31</v>
      </c>
      <c r="H14" s="33">
        <v>1104</v>
      </c>
      <c r="I14" s="19">
        <v>0.49640125955915432</v>
      </c>
      <c r="J14" s="40">
        <v>26088</v>
      </c>
      <c r="K14" s="35">
        <v>0.46759050026528221</v>
      </c>
      <c r="L14" s="34">
        <v>8034</v>
      </c>
      <c r="M14" s="35">
        <v>0.36491322221124778</v>
      </c>
      <c r="N14" s="35">
        <v>0.80086978571415601</v>
      </c>
      <c r="O14" s="34">
        <v>72134</v>
      </c>
      <c r="P14" s="34">
        <v>6452</v>
      </c>
      <c r="Q14" s="34">
        <v>20559</v>
      </c>
      <c r="R14" s="34">
        <v>15893</v>
      </c>
      <c r="S14" s="34">
        <v>4597</v>
      </c>
      <c r="T14" s="34">
        <v>2880</v>
      </c>
      <c r="U14" s="34">
        <v>8397</v>
      </c>
      <c r="V14" s="36">
        <v>1.9491368445180781</v>
      </c>
    </row>
    <row r="15" spans="1:22" x14ac:dyDescent="0.25">
      <c r="A15" s="8" t="s">
        <v>21</v>
      </c>
      <c r="B15" s="32">
        <v>2026</v>
      </c>
      <c r="C15" s="32">
        <v>169</v>
      </c>
      <c r="D15" s="38">
        <v>79</v>
      </c>
      <c r="E15" s="13">
        <v>0.46745562130177515</v>
      </c>
      <c r="F15" s="37">
        <v>1034</v>
      </c>
      <c r="G15" s="33">
        <v>34</v>
      </c>
      <c r="H15" s="33">
        <v>1129</v>
      </c>
      <c r="I15" s="19">
        <v>0.47837960855712336</v>
      </c>
      <c r="J15" s="40">
        <v>27165</v>
      </c>
      <c r="K15" s="35">
        <v>0.47855345381095088</v>
      </c>
      <c r="L15" s="34">
        <v>6924</v>
      </c>
      <c r="M15" s="35">
        <v>0.36170557114541957</v>
      </c>
      <c r="N15" s="35">
        <v>0.77465662478003505</v>
      </c>
      <c r="O15" s="34">
        <v>73221</v>
      </c>
      <c r="P15" s="34">
        <v>6322</v>
      </c>
      <c r="Q15" s="34">
        <v>19380</v>
      </c>
      <c r="R15" s="34">
        <v>16367</v>
      </c>
      <c r="S15" s="34">
        <v>4634</v>
      </c>
      <c r="T15" s="34">
        <v>2764</v>
      </c>
      <c r="U15" s="34">
        <v>9182</v>
      </c>
      <c r="V15" s="36">
        <v>1.8176236603951101</v>
      </c>
    </row>
    <row r="16" spans="1:22" x14ac:dyDescent="0.25">
      <c r="A16" s="8" t="s">
        <v>15</v>
      </c>
      <c r="B16" s="32">
        <v>2026</v>
      </c>
      <c r="C16" s="32">
        <v>171</v>
      </c>
      <c r="D16" s="38">
        <v>80</v>
      </c>
      <c r="E16" s="13">
        <v>0.46783625730994149</v>
      </c>
      <c r="F16" s="37">
        <v>1029</v>
      </c>
      <c r="G16" s="33">
        <v>41</v>
      </c>
      <c r="H16" s="33">
        <v>1153</v>
      </c>
      <c r="I16" s="19">
        <v>0.47210976158344581</v>
      </c>
      <c r="J16" s="40">
        <v>28267</v>
      </c>
      <c r="K16" s="35">
        <v>0.46849670986903252</v>
      </c>
      <c r="L16" s="34">
        <v>7792</v>
      </c>
      <c r="M16" s="35">
        <v>0.35969372593566357</v>
      </c>
      <c r="N16" s="35">
        <v>0.7850800342501757</v>
      </c>
      <c r="O16" s="34">
        <v>76542</v>
      </c>
      <c r="P16" s="34">
        <v>5789</v>
      </c>
      <c r="Q16" s="34">
        <v>20043</v>
      </c>
      <c r="R16" s="34">
        <v>16281</v>
      </c>
      <c r="S16" s="34">
        <v>4421</v>
      </c>
      <c r="T16" s="34">
        <v>2520</v>
      </c>
      <c r="U16" s="34">
        <v>8723</v>
      </c>
      <c r="V16" s="36">
        <v>1.8970343790176827</v>
      </c>
    </row>
    <row r="17" spans="1:22" x14ac:dyDescent="0.25">
      <c r="A17" s="8" t="s">
        <v>93</v>
      </c>
      <c r="B17" s="32">
        <v>2026</v>
      </c>
      <c r="C17" s="32">
        <v>134</v>
      </c>
      <c r="D17" s="38">
        <v>59</v>
      </c>
      <c r="E17" s="13">
        <v>0.44029850746268656</v>
      </c>
      <c r="F17" s="37">
        <v>847</v>
      </c>
      <c r="G17" s="33">
        <v>27</v>
      </c>
      <c r="H17" s="33">
        <v>868</v>
      </c>
      <c r="I17" s="19">
        <v>0.49397244546498276</v>
      </c>
      <c r="J17" s="40">
        <v>21432</v>
      </c>
      <c r="K17" s="35">
        <v>0.46311193862531597</v>
      </c>
      <c r="L17" s="34">
        <v>7485</v>
      </c>
      <c r="M17" s="35">
        <v>0.370605964393876</v>
      </c>
      <c r="N17" s="35">
        <v>0.81013649482286842</v>
      </c>
      <c r="O17" s="34">
        <v>60016</v>
      </c>
      <c r="P17" s="34">
        <v>4216</v>
      </c>
      <c r="Q17" s="34">
        <v>15439</v>
      </c>
      <c r="R17" s="34">
        <v>13618</v>
      </c>
      <c r="S17" s="34">
        <v>3538</v>
      </c>
      <c r="T17" s="34">
        <v>2110</v>
      </c>
      <c r="U17" s="34">
        <v>6538</v>
      </c>
      <c r="V17" s="36">
        <v>2.1240361847594063</v>
      </c>
    </row>
    <row r="18" spans="1:22" x14ac:dyDescent="0.25">
      <c r="A18" s="8" t="s">
        <v>99</v>
      </c>
      <c r="B18" s="32">
        <v>2026</v>
      </c>
      <c r="C18" s="32">
        <v>131</v>
      </c>
      <c r="D18" s="38">
        <v>65</v>
      </c>
      <c r="E18" s="13">
        <v>0.49618320610687022</v>
      </c>
      <c r="F18" s="37">
        <v>846</v>
      </c>
      <c r="G18" s="33">
        <v>25</v>
      </c>
      <c r="H18" s="33">
        <v>832</v>
      </c>
      <c r="I18" s="19">
        <v>0.5041103934233705</v>
      </c>
      <c r="J18" s="40">
        <v>20573</v>
      </c>
      <c r="K18" s="35">
        <v>0.48365296296415156</v>
      </c>
      <c r="L18" s="34">
        <v>5899</v>
      </c>
      <c r="M18" s="35">
        <v>0.36471347886014566</v>
      </c>
      <c r="N18" s="35">
        <v>0.78149066046486249</v>
      </c>
      <c r="O18" s="34">
        <v>55620</v>
      </c>
      <c r="P18" s="34">
        <v>5562</v>
      </c>
      <c r="Q18" s="34">
        <v>16566</v>
      </c>
      <c r="R18" s="34">
        <v>10890</v>
      </c>
      <c r="S18" s="34">
        <v>3523</v>
      </c>
      <c r="T18" s="34">
        <v>2551</v>
      </c>
      <c r="U18" s="34">
        <v>6163</v>
      </c>
      <c r="V18" s="36">
        <v>1.8146255210171727</v>
      </c>
    </row>
    <row r="19" spans="1:22" x14ac:dyDescent="0.25">
      <c r="A19" s="8" t="s">
        <v>17</v>
      </c>
      <c r="B19" s="32">
        <v>2023</v>
      </c>
      <c r="C19" s="32">
        <v>110</v>
      </c>
      <c r="D19" s="38">
        <v>40</v>
      </c>
      <c r="E19" s="13">
        <v>0.36363636363636365</v>
      </c>
      <c r="F19" s="37">
        <v>649</v>
      </c>
      <c r="G19" s="33">
        <v>20</v>
      </c>
      <c r="H19" s="33">
        <v>761</v>
      </c>
      <c r="I19" s="19">
        <v>0.46083916083916082</v>
      </c>
      <c r="J19" s="40">
        <v>16319</v>
      </c>
      <c r="K19" s="35">
        <v>0.46424016694269571</v>
      </c>
      <c r="L19" s="34">
        <v>4595</v>
      </c>
      <c r="M19" s="35">
        <v>0.35656659002894137</v>
      </c>
      <c r="N19" s="35">
        <v>0.76877663649236783</v>
      </c>
      <c r="O19" s="34">
        <v>44232</v>
      </c>
      <c r="P19" s="34">
        <v>3951</v>
      </c>
      <c r="Q19" s="34">
        <v>13612</v>
      </c>
      <c r="R19" s="34">
        <v>9912</v>
      </c>
      <c r="S19" s="34">
        <v>2838</v>
      </c>
      <c r="T19" s="34">
        <v>1960</v>
      </c>
      <c r="U19" s="34">
        <v>5489</v>
      </c>
      <c r="V19" s="36">
        <v>1.8843071459016432</v>
      </c>
    </row>
    <row r="20" spans="1:22" x14ac:dyDescent="0.25">
      <c r="A20" s="8" t="s">
        <v>96</v>
      </c>
      <c r="B20" s="32">
        <v>2026</v>
      </c>
      <c r="C20" s="32">
        <v>108</v>
      </c>
      <c r="D20" s="38">
        <v>31</v>
      </c>
      <c r="E20" s="13">
        <v>0.28703703703703703</v>
      </c>
      <c r="F20" s="37">
        <v>581</v>
      </c>
      <c r="G20" s="33">
        <v>20</v>
      </c>
      <c r="H20" s="33">
        <v>803</v>
      </c>
      <c r="I20" s="19">
        <v>0.42094017094017094</v>
      </c>
      <c r="J20" s="40">
        <v>14701</v>
      </c>
      <c r="K20" s="35">
        <v>0.47965740740740737</v>
      </c>
      <c r="L20" s="34">
        <v>3780</v>
      </c>
      <c r="M20" s="35">
        <v>0.35708333333333342</v>
      </c>
      <c r="N20" s="35">
        <v>0.77028703703703727</v>
      </c>
      <c r="O20" s="34">
        <v>39407</v>
      </c>
      <c r="P20" s="34">
        <v>4419</v>
      </c>
      <c r="Q20" s="34">
        <v>11871</v>
      </c>
      <c r="R20" s="34">
        <v>8224</v>
      </c>
      <c r="S20" s="34">
        <v>2603</v>
      </c>
      <c r="T20" s="34">
        <v>1818</v>
      </c>
      <c r="U20" s="34">
        <v>4697</v>
      </c>
      <c r="V20" s="36">
        <v>1.7969444444444445</v>
      </c>
    </row>
    <row r="21" spans="1:22" x14ac:dyDescent="0.25">
      <c r="A21" s="8" t="s">
        <v>158</v>
      </c>
      <c r="B21" s="32">
        <v>2026</v>
      </c>
      <c r="C21" s="32">
        <v>83</v>
      </c>
      <c r="D21" s="38">
        <v>59</v>
      </c>
      <c r="E21" s="13">
        <v>0.71084337349397586</v>
      </c>
      <c r="F21" s="37">
        <v>581</v>
      </c>
      <c r="G21" s="33">
        <v>8</v>
      </c>
      <c r="H21" s="33">
        <v>490</v>
      </c>
      <c r="I21" s="19">
        <v>0.54216867469879515</v>
      </c>
      <c r="J21" s="40">
        <v>15516</v>
      </c>
      <c r="K21" s="35">
        <v>0.48279518072289163</v>
      </c>
      <c r="L21" s="34">
        <v>3938</v>
      </c>
      <c r="M21" s="35">
        <v>0.35933734939759032</v>
      </c>
      <c r="N21" s="35">
        <v>0.76461445783132542</v>
      </c>
      <c r="O21" s="34">
        <v>43772</v>
      </c>
      <c r="P21" s="34">
        <v>3298</v>
      </c>
      <c r="Q21" s="34">
        <v>11871</v>
      </c>
      <c r="R21" s="34">
        <v>9700</v>
      </c>
      <c r="S21" s="34">
        <v>2416</v>
      </c>
      <c r="T21" s="34">
        <v>1634</v>
      </c>
      <c r="U21" s="34">
        <v>5204</v>
      </c>
      <c r="V21" s="36">
        <v>1.9021686746987951</v>
      </c>
    </row>
    <row r="22" spans="1:22" x14ac:dyDescent="0.25">
      <c r="A22" s="8" t="s">
        <v>25</v>
      </c>
      <c r="B22" s="32">
        <v>2023</v>
      </c>
      <c r="C22" s="32">
        <v>109</v>
      </c>
      <c r="D22" s="38">
        <v>33</v>
      </c>
      <c r="E22" s="13">
        <v>0.30275229357798167</v>
      </c>
      <c r="F22" s="37">
        <v>579</v>
      </c>
      <c r="G22" s="33">
        <v>24</v>
      </c>
      <c r="H22" s="33">
        <v>814</v>
      </c>
      <c r="I22" s="19">
        <v>0.41707833450952719</v>
      </c>
      <c r="J22" s="40">
        <v>15932</v>
      </c>
      <c r="K22" s="35">
        <v>0.46238810484377463</v>
      </c>
      <c r="L22" s="34">
        <v>3781</v>
      </c>
      <c r="M22" s="35">
        <v>0.35561937247554593</v>
      </c>
      <c r="N22" s="35">
        <v>0.75850968125194707</v>
      </c>
      <c r="O22" s="34">
        <v>42837</v>
      </c>
      <c r="P22" s="34">
        <v>4071</v>
      </c>
      <c r="Q22" s="34">
        <v>13053</v>
      </c>
      <c r="R22" s="34">
        <v>9755</v>
      </c>
      <c r="S22" s="34">
        <v>2583</v>
      </c>
      <c r="T22" s="34">
        <v>1531</v>
      </c>
      <c r="U22" s="34">
        <v>5517</v>
      </c>
      <c r="V22" s="36">
        <v>1.8049800251423949</v>
      </c>
    </row>
    <row r="23" spans="1:22" x14ac:dyDescent="0.25">
      <c r="A23" s="8" t="s">
        <v>97</v>
      </c>
      <c r="B23" s="32">
        <v>2022</v>
      </c>
      <c r="C23" s="32">
        <v>94</v>
      </c>
      <c r="D23" s="38">
        <v>41</v>
      </c>
      <c r="E23" s="13">
        <v>0.43617021276595747</v>
      </c>
      <c r="F23" s="37">
        <v>533</v>
      </c>
      <c r="G23" s="33">
        <v>17</v>
      </c>
      <c r="H23" s="33">
        <v>672</v>
      </c>
      <c r="I23" s="19">
        <v>0.44312602291325698</v>
      </c>
      <c r="J23" s="40">
        <v>14797</v>
      </c>
      <c r="K23" s="35">
        <v>0.46731164259127339</v>
      </c>
      <c r="L23" s="34">
        <v>3718</v>
      </c>
      <c r="M23" s="35">
        <v>0.35283645216141934</v>
      </c>
      <c r="N23" s="35">
        <v>0.77203872826243147</v>
      </c>
      <c r="O23" s="34">
        <v>41967</v>
      </c>
      <c r="P23" s="34">
        <v>3057</v>
      </c>
      <c r="Q23" s="34">
        <v>11720</v>
      </c>
      <c r="R23" s="34">
        <v>9243</v>
      </c>
      <c r="S23" s="34">
        <v>2207</v>
      </c>
      <c r="T23" s="34">
        <v>1453</v>
      </c>
      <c r="U23" s="34">
        <v>5580</v>
      </c>
      <c r="V23" s="36">
        <v>1.6311051712790259</v>
      </c>
    </row>
    <row r="24" spans="1:22" x14ac:dyDescent="0.25">
      <c r="A24" s="8" t="s">
        <v>95</v>
      </c>
      <c r="B24" s="32">
        <v>2025</v>
      </c>
      <c r="C24" s="32">
        <v>93</v>
      </c>
      <c r="D24" s="38">
        <v>31</v>
      </c>
      <c r="E24" s="13">
        <v>0.33333333333333331</v>
      </c>
      <c r="F24" s="37">
        <v>511</v>
      </c>
      <c r="G24" s="33">
        <v>25</v>
      </c>
      <c r="H24" s="33">
        <v>673</v>
      </c>
      <c r="I24" s="19">
        <v>0.43300248138957814</v>
      </c>
      <c r="J24" s="40">
        <v>12157</v>
      </c>
      <c r="K24" s="35">
        <v>0.46297849462365587</v>
      </c>
      <c r="L24" s="34">
        <v>3962</v>
      </c>
      <c r="M24" s="35">
        <v>0.35748387096774203</v>
      </c>
      <c r="N24" s="35">
        <v>0.75462365591397862</v>
      </c>
      <c r="O24" s="34">
        <v>33047</v>
      </c>
      <c r="P24" s="34">
        <v>2946</v>
      </c>
      <c r="Q24" s="34">
        <v>9343</v>
      </c>
      <c r="R24" s="34">
        <v>7186</v>
      </c>
      <c r="S24" s="34">
        <v>2610</v>
      </c>
      <c r="T24" s="34">
        <v>1620</v>
      </c>
      <c r="U24" s="34">
        <v>3769</v>
      </c>
      <c r="V24" s="36">
        <v>1.9412903225806457</v>
      </c>
    </row>
    <row r="25" spans="1:22" x14ac:dyDescent="0.25">
      <c r="A25" s="8" t="s">
        <v>154</v>
      </c>
      <c r="B25" s="32">
        <v>2026</v>
      </c>
      <c r="C25" s="32">
        <v>94</v>
      </c>
      <c r="D25" s="38">
        <v>20</v>
      </c>
      <c r="E25" s="13">
        <v>0.21276595744680851</v>
      </c>
      <c r="F25" s="37">
        <v>450</v>
      </c>
      <c r="G25" s="33">
        <v>20</v>
      </c>
      <c r="H25" s="33">
        <v>752</v>
      </c>
      <c r="I25" s="19">
        <v>0.37643207855973815</v>
      </c>
      <c r="J25" s="40">
        <v>12055</v>
      </c>
      <c r="K25" s="35">
        <v>0.47092553191489372</v>
      </c>
      <c r="L25" s="34">
        <v>3171</v>
      </c>
      <c r="M25" s="35">
        <v>0.34650000000000003</v>
      </c>
      <c r="N25" s="35">
        <v>0.73990425531914883</v>
      </c>
      <c r="O25" s="34">
        <v>32170</v>
      </c>
      <c r="P25" s="34">
        <v>3878</v>
      </c>
      <c r="Q25" s="34">
        <v>10421</v>
      </c>
      <c r="R25" s="34">
        <v>6464</v>
      </c>
      <c r="S25" s="34">
        <v>2500</v>
      </c>
      <c r="T25" s="34">
        <v>1911</v>
      </c>
      <c r="U25" s="34">
        <v>4050</v>
      </c>
      <c r="V25" s="36">
        <v>1.6252127659574469</v>
      </c>
    </row>
    <row r="26" spans="1:22" x14ac:dyDescent="0.25">
      <c r="A26" s="8" t="s">
        <v>22</v>
      </c>
      <c r="B26" s="32">
        <v>2020</v>
      </c>
      <c r="C26" s="32">
        <v>60</v>
      </c>
      <c r="D26" s="38">
        <v>38</v>
      </c>
      <c r="E26" s="13">
        <v>0.6333333333333333</v>
      </c>
      <c r="F26" s="37">
        <v>417</v>
      </c>
      <c r="G26" s="33">
        <v>14</v>
      </c>
      <c r="H26" s="33">
        <v>349</v>
      </c>
      <c r="I26" s="19">
        <v>0.54358974358974355</v>
      </c>
      <c r="J26" s="40">
        <v>9327</v>
      </c>
      <c r="K26" s="35">
        <v>0.46474539544606397</v>
      </c>
      <c r="L26" s="34">
        <v>2640</v>
      </c>
      <c r="M26" s="35">
        <v>0.3682574725713057</v>
      </c>
      <c r="N26" s="35">
        <v>0.79142935664404723</v>
      </c>
      <c r="O26" s="34">
        <v>25419</v>
      </c>
      <c r="P26" s="34">
        <v>2056</v>
      </c>
      <c r="Q26" s="34">
        <v>8048</v>
      </c>
      <c r="R26" s="34">
        <v>5286</v>
      </c>
      <c r="S26" s="34">
        <v>1481</v>
      </c>
      <c r="T26" s="34">
        <v>1038</v>
      </c>
      <c r="U26" s="34">
        <v>3161</v>
      </c>
      <c r="V26" s="36">
        <v>1.7050200986507749</v>
      </c>
    </row>
    <row r="27" spans="1:22" x14ac:dyDescent="0.25">
      <c r="A27" s="8" t="s">
        <v>20</v>
      </c>
      <c r="B27" s="32">
        <v>2020</v>
      </c>
      <c r="C27" s="32">
        <v>57</v>
      </c>
      <c r="D27" s="38">
        <v>18</v>
      </c>
      <c r="E27" s="13">
        <v>0.31578947368421051</v>
      </c>
      <c r="F27" s="37">
        <v>305</v>
      </c>
      <c r="G27" s="33">
        <v>16</v>
      </c>
      <c r="H27" s="33">
        <v>420</v>
      </c>
      <c r="I27" s="19">
        <v>0.4224021592442645</v>
      </c>
      <c r="J27" s="40">
        <v>8530</v>
      </c>
      <c r="K27" s="35">
        <v>0.45821364125281472</v>
      </c>
      <c r="L27" s="34">
        <v>1942</v>
      </c>
      <c r="M27" s="35">
        <v>0.34107879655749224</v>
      </c>
      <c r="N27" s="35">
        <v>0.75610337222394797</v>
      </c>
      <c r="O27" s="34">
        <v>22350</v>
      </c>
      <c r="P27" s="34">
        <v>2079</v>
      </c>
      <c r="Q27" s="34">
        <v>6490</v>
      </c>
      <c r="R27" s="34">
        <v>5043</v>
      </c>
      <c r="S27" s="34">
        <v>1498</v>
      </c>
      <c r="T27" s="34">
        <v>901</v>
      </c>
      <c r="U27" s="34">
        <v>2880</v>
      </c>
      <c r="V27" s="36">
        <v>1.7925047225967847</v>
      </c>
    </row>
    <row r="28" spans="1:22" x14ac:dyDescent="0.25">
      <c r="A28" s="8" t="s">
        <v>18</v>
      </c>
      <c r="B28" s="32">
        <v>2021</v>
      </c>
      <c r="C28" s="32">
        <v>52</v>
      </c>
      <c r="D28" s="38">
        <v>19</v>
      </c>
      <c r="E28" s="13">
        <v>0.36538461538461536</v>
      </c>
      <c r="F28" s="37">
        <v>298</v>
      </c>
      <c r="G28" s="33">
        <v>11</v>
      </c>
      <c r="H28" s="33">
        <v>367</v>
      </c>
      <c r="I28" s="19">
        <v>0.44896449704142011</v>
      </c>
      <c r="J28" s="40">
        <v>6870</v>
      </c>
      <c r="K28" s="35">
        <v>0.45436538461538462</v>
      </c>
      <c r="L28" s="34">
        <v>1804</v>
      </c>
      <c r="M28" s="35">
        <v>0.34232692307692314</v>
      </c>
      <c r="N28" s="35">
        <v>0.78598076923076898</v>
      </c>
      <c r="O28" s="34">
        <v>18466</v>
      </c>
      <c r="P28" s="34">
        <v>1583</v>
      </c>
      <c r="Q28" s="34">
        <v>5998</v>
      </c>
      <c r="R28" s="34">
        <v>4357</v>
      </c>
      <c r="S28" s="34">
        <v>1339</v>
      </c>
      <c r="T28" s="34">
        <v>837</v>
      </c>
      <c r="U28" s="34">
        <v>2349</v>
      </c>
      <c r="V28" s="36">
        <v>1.8977693736206236</v>
      </c>
    </row>
    <row r="29" spans="1:22" x14ac:dyDescent="0.25">
      <c r="A29" s="8" t="s">
        <v>185</v>
      </c>
      <c r="B29" s="32">
        <v>2026</v>
      </c>
      <c r="C29" s="32">
        <v>56</v>
      </c>
      <c r="D29" s="38">
        <v>18</v>
      </c>
      <c r="E29" s="13">
        <v>0.32142857142857145</v>
      </c>
      <c r="F29" s="37">
        <v>285</v>
      </c>
      <c r="G29" s="33">
        <v>17</v>
      </c>
      <c r="H29" s="33">
        <v>426</v>
      </c>
      <c r="I29" s="19">
        <v>0.40315934065934067</v>
      </c>
      <c r="J29" s="40">
        <v>8899</v>
      </c>
      <c r="K29" s="35">
        <v>0.45360714285714288</v>
      </c>
      <c r="L29" s="34">
        <v>2860</v>
      </c>
      <c r="M29" s="35">
        <v>0.35189285714285706</v>
      </c>
      <c r="N29" s="35">
        <v>0.77778571428571441</v>
      </c>
      <c r="O29" s="34">
        <v>24022</v>
      </c>
      <c r="P29" s="34">
        <v>1927</v>
      </c>
      <c r="Q29" s="34">
        <v>6075</v>
      </c>
      <c r="R29" s="34">
        <v>5595</v>
      </c>
      <c r="S29" s="34">
        <v>1433</v>
      </c>
      <c r="T29" s="34">
        <v>871</v>
      </c>
      <c r="U29" s="34">
        <v>2783</v>
      </c>
      <c r="V29" s="36">
        <v>2.0621428571428573</v>
      </c>
    </row>
    <row r="30" spans="1:22" x14ac:dyDescent="0.25">
      <c r="A30" s="8" t="s">
        <v>184</v>
      </c>
      <c r="B30" s="32">
        <v>2026</v>
      </c>
      <c r="C30" s="32">
        <v>56</v>
      </c>
      <c r="D30" s="38">
        <v>10</v>
      </c>
      <c r="E30" s="13">
        <v>0.17857142857142858</v>
      </c>
      <c r="F30" s="37">
        <v>242</v>
      </c>
      <c r="G30" s="33">
        <v>7</v>
      </c>
      <c r="H30" s="33">
        <v>479</v>
      </c>
      <c r="I30" s="19">
        <v>0.33722527472527475</v>
      </c>
      <c r="J30" s="40">
        <v>6775</v>
      </c>
      <c r="K30" s="35">
        <v>0.46846428571428567</v>
      </c>
      <c r="L30" s="34">
        <v>2066</v>
      </c>
      <c r="M30" s="35">
        <v>0.35730357142857155</v>
      </c>
      <c r="N30" s="35">
        <v>0.78219642857142835</v>
      </c>
      <c r="O30" s="34">
        <v>18680</v>
      </c>
      <c r="P30" s="34">
        <v>1889</v>
      </c>
      <c r="Q30" s="34">
        <v>5558</v>
      </c>
      <c r="R30" s="34">
        <v>3621</v>
      </c>
      <c r="S30" s="34">
        <v>1076</v>
      </c>
      <c r="T30" s="34">
        <v>784</v>
      </c>
      <c r="U30" s="34">
        <v>2188</v>
      </c>
      <c r="V30" s="36">
        <v>1.6842857142857142</v>
      </c>
    </row>
    <row r="31" spans="1:22" x14ac:dyDescent="0.25">
      <c r="A31" s="8" t="s">
        <v>24</v>
      </c>
      <c r="B31" s="32">
        <v>2019</v>
      </c>
      <c r="C31" s="32">
        <v>38</v>
      </c>
      <c r="D31" s="38">
        <v>18</v>
      </c>
      <c r="E31" s="13">
        <v>0.47368421052631576</v>
      </c>
      <c r="F31" s="37">
        <v>233</v>
      </c>
      <c r="G31" s="33">
        <v>6</v>
      </c>
      <c r="H31" s="33">
        <v>255</v>
      </c>
      <c r="I31" s="19">
        <v>0.47773279352226722</v>
      </c>
      <c r="J31" s="40">
        <v>5407</v>
      </c>
      <c r="K31" s="35">
        <v>0.4623684210526316</v>
      </c>
      <c r="L31" s="34">
        <v>1716</v>
      </c>
      <c r="M31" s="35">
        <v>0.37552631578947365</v>
      </c>
      <c r="N31" s="35">
        <v>0.77447368421052631</v>
      </c>
      <c r="O31" s="34">
        <v>15042</v>
      </c>
      <c r="P31" s="34">
        <v>1091</v>
      </c>
      <c r="Q31" s="34">
        <v>4547</v>
      </c>
      <c r="R31" s="34">
        <v>3384</v>
      </c>
      <c r="S31" s="34">
        <v>1090</v>
      </c>
      <c r="T31" s="34">
        <v>592</v>
      </c>
      <c r="U31" s="34">
        <v>2011</v>
      </c>
      <c r="V31" s="36">
        <v>1.7201396429200095</v>
      </c>
    </row>
    <row r="32" spans="1:22" x14ac:dyDescent="0.25">
      <c r="A32" s="8" t="s">
        <v>19</v>
      </c>
      <c r="B32" s="32">
        <v>2019</v>
      </c>
      <c r="C32" s="32">
        <v>38</v>
      </c>
      <c r="D32" s="38">
        <v>12</v>
      </c>
      <c r="E32" s="13">
        <v>0.31578947368421051</v>
      </c>
      <c r="F32" s="37">
        <v>227</v>
      </c>
      <c r="G32" s="33">
        <v>5</v>
      </c>
      <c r="H32" s="33">
        <v>262</v>
      </c>
      <c r="I32" s="19">
        <v>0.46457489878542513</v>
      </c>
      <c r="J32" s="40">
        <v>5641</v>
      </c>
      <c r="K32" s="35">
        <v>0.46013421052631587</v>
      </c>
      <c r="L32" s="34">
        <v>1469</v>
      </c>
      <c r="M32" s="35">
        <v>0.34934210526315795</v>
      </c>
      <c r="N32" s="35">
        <v>0.76744736842105266</v>
      </c>
      <c r="O32" s="34">
        <v>15418</v>
      </c>
      <c r="P32" s="34">
        <v>1257</v>
      </c>
      <c r="Q32" s="34">
        <v>4988</v>
      </c>
      <c r="R32" s="34">
        <v>3694</v>
      </c>
      <c r="S32" s="34">
        <v>933</v>
      </c>
      <c r="T32" s="34">
        <v>717</v>
      </c>
      <c r="U32" s="34">
        <v>1928</v>
      </c>
      <c r="V32" s="36">
        <v>1.949391996604884</v>
      </c>
    </row>
    <row r="33" spans="1:22" x14ac:dyDescent="0.25">
      <c r="A33" s="8" t="s">
        <v>201</v>
      </c>
      <c r="B33" s="32">
        <v>2026</v>
      </c>
      <c r="C33" s="32">
        <v>18</v>
      </c>
      <c r="D33" s="38">
        <v>7</v>
      </c>
      <c r="E33" s="13">
        <v>0.3888888888888889</v>
      </c>
      <c r="F33" s="37">
        <v>103</v>
      </c>
      <c r="G33" s="33">
        <v>0</v>
      </c>
      <c r="H33" s="33">
        <v>131</v>
      </c>
      <c r="I33" s="19">
        <v>0.44017094017094016</v>
      </c>
      <c r="J33" s="40">
        <v>2438</v>
      </c>
      <c r="K33" s="35">
        <v>0.46411111111111109</v>
      </c>
      <c r="L33" s="34">
        <v>918</v>
      </c>
      <c r="M33" s="35">
        <v>0.36811111111111111</v>
      </c>
      <c r="N33" s="35">
        <v>0.75127777777777782</v>
      </c>
      <c r="O33" s="34">
        <v>6716</v>
      </c>
      <c r="P33" s="34">
        <v>981</v>
      </c>
      <c r="Q33" s="34">
        <v>2168</v>
      </c>
      <c r="R33" s="34">
        <v>1439</v>
      </c>
      <c r="S33" s="34">
        <v>462</v>
      </c>
      <c r="T33" s="34">
        <v>333</v>
      </c>
      <c r="U33" s="34">
        <v>891</v>
      </c>
      <c r="V33" s="36">
        <v>1.6305555555555555</v>
      </c>
    </row>
    <row r="34" spans="1:22" x14ac:dyDescent="0.25">
      <c r="A34" s="8" t="s">
        <v>35</v>
      </c>
      <c r="B34" s="32">
        <v>2020</v>
      </c>
      <c r="C34" s="32">
        <v>19</v>
      </c>
      <c r="D34" s="38">
        <v>4</v>
      </c>
      <c r="E34" s="13">
        <v>0.21052631578947367</v>
      </c>
      <c r="F34" s="37">
        <v>86</v>
      </c>
      <c r="G34" s="33">
        <v>2</v>
      </c>
      <c r="H34" s="33">
        <v>159</v>
      </c>
      <c r="I34" s="19">
        <v>0.35222672064777327</v>
      </c>
      <c r="J34" s="40">
        <v>2446</v>
      </c>
      <c r="K34" s="35">
        <v>0.4378727787684481</v>
      </c>
      <c r="L34" s="34">
        <v>844</v>
      </c>
      <c r="M34" s="35">
        <v>0.35862362058391711</v>
      </c>
      <c r="N34" s="35">
        <v>0.73284188988963861</v>
      </c>
      <c r="O34" s="34">
        <v>6543</v>
      </c>
      <c r="P34" s="34">
        <v>554</v>
      </c>
      <c r="Q34" s="34">
        <v>1847</v>
      </c>
      <c r="R34" s="34">
        <v>1360</v>
      </c>
      <c r="S34" s="34">
        <v>426</v>
      </c>
      <c r="T34" s="34">
        <v>326</v>
      </c>
      <c r="U34" s="34">
        <v>788</v>
      </c>
      <c r="V34" s="36">
        <v>1.7868024501208377</v>
      </c>
    </row>
    <row r="35" spans="1:22" x14ac:dyDescent="0.25">
      <c r="A35" s="8" t="s">
        <v>199</v>
      </c>
      <c r="B35" s="32"/>
      <c r="C35" s="32"/>
      <c r="D35" s="38"/>
      <c r="E35" s="13" t="e">
        <v>#DIV/0!</v>
      </c>
      <c r="F35" s="37"/>
      <c r="G35" s="33"/>
      <c r="H35" s="33"/>
      <c r="I35" s="19" t="e">
        <v>#DIV/0!</v>
      </c>
      <c r="J35" s="40"/>
      <c r="K35" s="35"/>
      <c r="L35" s="34"/>
      <c r="M35" s="35"/>
      <c r="N35" s="35"/>
      <c r="O35" s="34"/>
      <c r="P35" s="34"/>
      <c r="Q35" s="34"/>
      <c r="R35" s="34"/>
      <c r="S35" s="34"/>
      <c r="T35" s="34"/>
      <c r="U35" s="34"/>
      <c r="V35" s="36"/>
    </row>
  </sheetData>
  <pageMargins left="0.7" right="0.7" top="0.75" bottom="0.75" header="0.3" footer="0.3"/>
  <pageSetup orientation="portrait" r:id="rId2"/>
  <customProperties>
    <customPr name="_pios_id" r:id="rId3"/>
    <customPr name="EpmWorksheetKeyString_GUID" r:id="rId4"/>
  </customProperties>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ADD45-11D5-42D0-BE01-BB9E72E5EC66}">
  <sheetPr>
    <tabColor rgb="FFFFC000"/>
  </sheetPr>
  <dimension ref="A3:U34"/>
  <sheetViews>
    <sheetView workbookViewId="0">
      <selection activeCell="B6" sqref="B6"/>
    </sheetView>
  </sheetViews>
  <sheetFormatPr defaultRowHeight="15" x14ac:dyDescent="0.25"/>
  <cols>
    <col min="1" max="1" width="31" bestFit="1" customWidth="1"/>
    <col min="2" max="2" width="12.28515625" bestFit="1" customWidth="1"/>
    <col min="3" max="3" width="6.5703125" bestFit="1" customWidth="1"/>
    <col min="4" max="4" width="7.140625" bestFit="1" customWidth="1"/>
    <col min="5" max="5" width="5" bestFit="1" customWidth="1"/>
    <col min="6" max="6" width="4.5703125" bestFit="1" customWidth="1"/>
    <col min="7" max="7" width="6.7109375" bestFit="1" customWidth="1"/>
    <col min="8" max="8" width="6.28515625" bestFit="1" customWidth="1"/>
    <col min="9" max="20" width="15.85546875" bestFit="1" customWidth="1"/>
    <col min="21" max="21" width="15.85546875" hidden="1" customWidth="1"/>
  </cols>
  <sheetData>
    <row r="3" spans="1:8" ht="51" customHeight="1" x14ac:dyDescent="0.25"/>
    <row r="4" spans="1:8" ht="45" x14ac:dyDescent="0.25">
      <c r="A4" s="7" t="s">
        <v>115</v>
      </c>
      <c r="B4" t="s">
        <v>180</v>
      </c>
      <c r="C4" s="18" t="s">
        <v>144</v>
      </c>
      <c r="D4" s="14" t="s">
        <v>145</v>
      </c>
      <c r="E4" s="16" t="s">
        <v>123</v>
      </c>
      <c r="F4" s="15" t="s">
        <v>125</v>
      </c>
      <c r="G4" s="11" t="s">
        <v>124</v>
      </c>
      <c r="H4" s="17" t="s">
        <v>126</v>
      </c>
    </row>
    <row r="5" spans="1:8" x14ac:dyDescent="0.25">
      <c r="A5" s="8" t="s">
        <v>159</v>
      </c>
      <c r="B5" s="32">
        <v>173</v>
      </c>
      <c r="C5" s="38">
        <v>100</v>
      </c>
      <c r="D5" s="13">
        <v>0.5780346820809249</v>
      </c>
      <c r="E5" s="37">
        <v>1198</v>
      </c>
      <c r="F5" s="33">
        <v>38</v>
      </c>
      <c r="G5" s="33">
        <v>1013</v>
      </c>
      <c r="H5" s="19">
        <v>0.54112939084037348</v>
      </c>
    </row>
    <row r="6" spans="1:8" x14ac:dyDescent="0.25">
      <c r="A6" s="9" t="s">
        <v>72</v>
      </c>
      <c r="B6" s="32">
        <v>11</v>
      </c>
      <c r="C6" s="38">
        <v>7</v>
      </c>
      <c r="D6" s="13">
        <v>0.63636363636363635</v>
      </c>
      <c r="E6" s="37">
        <v>81</v>
      </c>
      <c r="F6" s="33">
        <v>2</v>
      </c>
      <c r="G6" s="33">
        <v>60</v>
      </c>
      <c r="H6" s="19">
        <v>0.57342657342657344</v>
      </c>
    </row>
    <row r="7" spans="1:8" x14ac:dyDescent="0.25">
      <c r="A7" s="9" t="s">
        <v>61</v>
      </c>
      <c r="B7" s="32">
        <v>11</v>
      </c>
      <c r="C7" s="38">
        <v>7</v>
      </c>
      <c r="D7" s="13">
        <v>0.63636363636363635</v>
      </c>
      <c r="E7" s="37">
        <v>80</v>
      </c>
      <c r="F7" s="33">
        <v>3</v>
      </c>
      <c r="G7" s="33">
        <v>60</v>
      </c>
      <c r="H7" s="19">
        <v>0.56993006993006989</v>
      </c>
    </row>
    <row r="8" spans="1:8" x14ac:dyDescent="0.25">
      <c r="A8" s="9" t="s">
        <v>106</v>
      </c>
      <c r="B8" s="32">
        <v>10</v>
      </c>
      <c r="C8" s="38">
        <v>7</v>
      </c>
      <c r="D8" s="13">
        <v>0.7</v>
      </c>
      <c r="E8" s="37">
        <v>82</v>
      </c>
      <c r="F8" s="33">
        <v>0</v>
      </c>
      <c r="G8" s="33">
        <v>48</v>
      </c>
      <c r="H8" s="19">
        <v>0.63076923076923075</v>
      </c>
    </row>
    <row r="9" spans="1:8" x14ac:dyDescent="0.25">
      <c r="A9" s="9" t="s">
        <v>64</v>
      </c>
      <c r="B9" s="32">
        <v>10</v>
      </c>
      <c r="C9" s="38">
        <v>6</v>
      </c>
      <c r="D9" s="13">
        <v>0.6</v>
      </c>
      <c r="E9" s="37">
        <v>70</v>
      </c>
      <c r="F9" s="33">
        <v>1</v>
      </c>
      <c r="G9" s="33">
        <v>59</v>
      </c>
      <c r="H9" s="19">
        <v>0.54230769230769227</v>
      </c>
    </row>
    <row r="10" spans="1:8" x14ac:dyDescent="0.25">
      <c r="A10" s="9" t="s">
        <v>70</v>
      </c>
      <c r="B10" s="32">
        <v>10</v>
      </c>
      <c r="C10" s="38">
        <v>2</v>
      </c>
      <c r="D10" s="13">
        <v>0.2</v>
      </c>
      <c r="E10" s="37">
        <v>51</v>
      </c>
      <c r="F10" s="33">
        <v>4</v>
      </c>
      <c r="G10" s="33">
        <v>75</v>
      </c>
      <c r="H10" s="19">
        <v>0.40769230769230769</v>
      </c>
    </row>
    <row r="11" spans="1:8" x14ac:dyDescent="0.25">
      <c r="A11" s="9" t="s">
        <v>104</v>
      </c>
      <c r="B11" s="32">
        <v>9</v>
      </c>
      <c r="C11" s="38">
        <v>4</v>
      </c>
      <c r="D11" s="13">
        <v>0.44444444444444442</v>
      </c>
      <c r="E11" s="37">
        <v>61</v>
      </c>
      <c r="F11" s="33">
        <v>2</v>
      </c>
      <c r="G11" s="33">
        <v>54</v>
      </c>
      <c r="H11" s="19">
        <v>0.52991452991452992</v>
      </c>
    </row>
    <row r="12" spans="1:8" x14ac:dyDescent="0.25">
      <c r="A12" s="9" t="s">
        <v>191</v>
      </c>
      <c r="B12" s="32">
        <v>9</v>
      </c>
      <c r="C12" s="38">
        <v>4</v>
      </c>
      <c r="D12" s="13">
        <v>0.44444444444444442</v>
      </c>
      <c r="E12" s="37">
        <v>51</v>
      </c>
      <c r="F12" s="33">
        <v>2</v>
      </c>
      <c r="G12" s="33">
        <v>64</v>
      </c>
      <c r="H12" s="19">
        <v>0.44444444444444442</v>
      </c>
    </row>
    <row r="13" spans="1:8" x14ac:dyDescent="0.25">
      <c r="A13" s="9" t="s">
        <v>71</v>
      </c>
      <c r="B13" s="32">
        <v>9</v>
      </c>
      <c r="C13" s="38">
        <v>5</v>
      </c>
      <c r="D13" s="13">
        <v>0.55555555555555558</v>
      </c>
      <c r="E13" s="37">
        <v>57</v>
      </c>
      <c r="F13" s="33">
        <v>1</v>
      </c>
      <c r="G13" s="33">
        <v>59</v>
      </c>
      <c r="H13" s="19">
        <v>0.49145299145299143</v>
      </c>
    </row>
    <row r="14" spans="1:8" x14ac:dyDescent="0.25">
      <c r="A14" s="9" t="s">
        <v>60</v>
      </c>
      <c r="B14" s="32">
        <v>9</v>
      </c>
      <c r="C14" s="38">
        <v>7</v>
      </c>
      <c r="D14" s="13">
        <v>0.77777777777777779</v>
      </c>
      <c r="E14" s="37">
        <v>74</v>
      </c>
      <c r="F14" s="33">
        <v>2</v>
      </c>
      <c r="G14" s="33">
        <v>41</v>
      </c>
      <c r="H14" s="19">
        <v>0.64102564102564108</v>
      </c>
    </row>
    <row r="15" spans="1:8" x14ac:dyDescent="0.25">
      <c r="A15" s="9" t="s">
        <v>114</v>
      </c>
      <c r="B15" s="32">
        <v>8</v>
      </c>
      <c r="C15" s="38">
        <v>3</v>
      </c>
      <c r="D15" s="13">
        <v>0.375</v>
      </c>
      <c r="E15" s="37">
        <v>44</v>
      </c>
      <c r="F15" s="33">
        <v>3</v>
      </c>
      <c r="G15" s="33">
        <v>57</v>
      </c>
      <c r="H15" s="19">
        <v>0.4375</v>
      </c>
    </row>
    <row r="16" spans="1:8" x14ac:dyDescent="0.25">
      <c r="A16" s="9" t="s">
        <v>112</v>
      </c>
      <c r="B16" s="32">
        <v>8</v>
      </c>
      <c r="C16" s="38">
        <v>4</v>
      </c>
      <c r="D16" s="13">
        <v>0.5</v>
      </c>
      <c r="E16" s="37">
        <v>49</v>
      </c>
      <c r="F16" s="33">
        <v>1</v>
      </c>
      <c r="G16" s="33">
        <v>54</v>
      </c>
      <c r="H16" s="19">
        <v>0.47596153846153844</v>
      </c>
    </row>
    <row r="17" spans="1:8" x14ac:dyDescent="0.25">
      <c r="A17" s="9" t="s">
        <v>182</v>
      </c>
      <c r="B17" s="32">
        <v>7</v>
      </c>
      <c r="C17" s="38">
        <v>3</v>
      </c>
      <c r="D17" s="13">
        <v>0.42857142857142855</v>
      </c>
      <c r="E17" s="37">
        <v>43</v>
      </c>
      <c r="F17" s="33">
        <v>1</v>
      </c>
      <c r="G17" s="33">
        <v>47</v>
      </c>
      <c r="H17" s="19">
        <v>0.47802197802197804</v>
      </c>
    </row>
    <row r="18" spans="1:8" x14ac:dyDescent="0.25">
      <c r="A18" s="9" t="s">
        <v>65</v>
      </c>
      <c r="B18" s="32">
        <v>7</v>
      </c>
      <c r="C18" s="38">
        <v>5</v>
      </c>
      <c r="D18" s="13">
        <v>0.7142857142857143</v>
      </c>
      <c r="E18" s="37">
        <v>54</v>
      </c>
      <c r="F18" s="33">
        <v>1</v>
      </c>
      <c r="G18" s="33">
        <v>36</v>
      </c>
      <c r="H18" s="19">
        <v>0.59890109890109888</v>
      </c>
    </row>
    <row r="19" spans="1:8" x14ac:dyDescent="0.25">
      <c r="A19" s="9" t="s">
        <v>63</v>
      </c>
      <c r="B19" s="32">
        <v>7</v>
      </c>
      <c r="C19" s="38">
        <v>4</v>
      </c>
      <c r="D19" s="13">
        <v>0.5714285714285714</v>
      </c>
      <c r="E19" s="37">
        <v>47</v>
      </c>
      <c r="F19" s="33">
        <v>2</v>
      </c>
      <c r="G19" s="33">
        <v>42</v>
      </c>
      <c r="H19" s="19">
        <v>0.52747252747252749</v>
      </c>
    </row>
    <row r="20" spans="1:8" x14ac:dyDescent="0.25">
      <c r="A20" s="9" t="s">
        <v>68</v>
      </c>
      <c r="B20" s="32">
        <v>7</v>
      </c>
      <c r="C20" s="38">
        <v>6</v>
      </c>
      <c r="D20" s="13">
        <v>0.8571428571428571</v>
      </c>
      <c r="E20" s="37">
        <v>59</v>
      </c>
      <c r="F20" s="33">
        <v>1</v>
      </c>
      <c r="G20" s="33">
        <v>31</v>
      </c>
      <c r="H20" s="19">
        <v>0.65384615384615385</v>
      </c>
    </row>
    <row r="21" spans="1:8" x14ac:dyDescent="0.25">
      <c r="A21" s="9" t="s">
        <v>109</v>
      </c>
      <c r="B21" s="32">
        <v>5</v>
      </c>
      <c r="C21" s="38">
        <v>5</v>
      </c>
      <c r="D21" s="13">
        <v>1</v>
      </c>
      <c r="E21" s="37">
        <v>42</v>
      </c>
      <c r="F21" s="33">
        <v>4</v>
      </c>
      <c r="G21" s="33">
        <v>19</v>
      </c>
      <c r="H21" s="19">
        <v>0.67692307692307696</v>
      </c>
    </row>
    <row r="22" spans="1:8" x14ac:dyDescent="0.25">
      <c r="A22" s="9" t="s">
        <v>111</v>
      </c>
      <c r="B22" s="32">
        <v>4</v>
      </c>
      <c r="C22" s="38">
        <v>2</v>
      </c>
      <c r="D22" s="13">
        <v>0.5</v>
      </c>
      <c r="E22" s="37">
        <v>29</v>
      </c>
      <c r="F22" s="33">
        <v>2</v>
      </c>
      <c r="G22" s="33">
        <v>21</v>
      </c>
      <c r="H22" s="19">
        <v>0.57692307692307687</v>
      </c>
    </row>
    <row r="23" spans="1:8" x14ac:dyDescent="0.25">
      <c r="A23" s="9" t="s">
        <v>192</v>
      </c>
      <c r="B23" s="32">
        <v>4</v>
      </c>
      <c r="C23" s="38">
        <v>1</v>
      </c>
      <c r="D23" s="13">
        <v>0.25</v>
      </c>
      <c r="E23" s="37">
        <v>21</v>
      </c>
      <c r="F23" s="33">
        <v>1</v>
      </c>
      <c r="G23" s="33">
        <v>30</v>
      </c>
      <c r="H23" s="19">
        <v>0.41346153846153844</v>
      </c>
    </row>
    <row r="24" spans="1:8" x14ac:dyDescent="0.25">
      <c r="A24" s="9" t="s">
        <v>194</v>
      </c>
      <c r="B24" s="32">
        <v>4</v>
      </c>
      <c r="C24" s="38">
        <v>4</v>
      </c>
      <c r="D24" s="13">
        <v>1</v>
      </c>
      <c r="E24" s="37">
        <v>31</v>
      </c>
      <c r="F24" s="33">
        <v>0</v>
      </c>
      <c r="G24" s="33">
        <v>21</v>
      </c>
      <c r="H24" s="19">
        <v>0.59615384615384615</v>
      </c>
    </row>
    <row r="25" spans="1:8" x14ac:dyDescent="0.25">
      <c r="A25" s="9" t="s">
        <v>62</v>
      </c>
      <c r="B25" s="32">
        <v>3</v>
      </c>
      <c r="C25" s="38">
        <v>2</v>
      </c>
      <c r="D25" s="13">
        <v>0.66666666666666663</v>
      </c>
      <c r="E25" s="37">
        <v>21</v>
      </c>
      <c r="F25" s="33">
        <v>1</v>
      </c>
      <c r="G25" s="33">
        <v>17</v>
      </c>
      <c r="H25" s="19">
        <v>0.55128205128205132</v>
      </c>
    </row>
    <row r="26" spans="1:8" x14ac:dyDescent="0.25">
      <c r="A26" s="9" t="s">
        <v>196</v>
      </c>
      <c r="B26" s="32">
        <v>3</v>
      </c>
      <c r="C26" s="38">
        <v>3</v>
      </c>
      <c r="D26" s="13">
        <v>1</v>
      </c>
      <c r="E26" s="37">
        <v>27</v>
      </c>
      <c r="F26" s="33">
        <v>1</v>
      </c>
      <c r="G26" s="33">
        <v>11</v>
      </c>
      <c r="H26" s="19">
        <v>0.70512820512820518</v>
      </c>
    </row>
    <row r="27" spans="1:8" x14ac:dyDescent="0.25">
      <c r="A27" s="9" t="s">
        <v>195</v>
      </c>
      <c r="B27" s="32">
        <v>3</v>
      </c>
      <c r="C27" s="38">
        <v>3</v>
      </c>
      <c r="D27" s="13">
        <v>1</v>
      </c>
      <c r="E27" s="37">
        <v>29</v>
      </c>
      <c r="F27" s="33">
        <v>1</v>
      </c>
      <c r="G27" s="33">
        <v>9</v>
      </c>
      <c r="H27" s="19">
        <v>0.75641025641025639</v>
      </c>
    </row>
    <row r="28" spans="1:8" x14ac:dyDescent="0.25">
      <c r="A28" s="9" t="s">
        <v>107</v>
      </c>
      <c r="B28" s="32">
        <v>3</v>
      </c>
      <c r="C28" s="38">
        <v>2</v>
      </c>
      <c r="D28" s="13">
        <v>0.66666666666666663</v>
      </c>
      <c r="E28" s="37">
        <v>21</v>
      </c>
      <c r="F28" s="33">
        <v>0</v>
      </c>
      <c r="G28" s="33">
        <v>18</v>
      </c>
      <c r="H28" s="19">
        <v>0.53846153846153844</v>
      </c>
    </row>
    <row r="29" spans="1:8" x14ac:dyDescent="0.25">
      <c r="A29" s="9" t="s">
        <v>59</v>
      </c>
      <c r="B29" s="32">
        <v>3</v>
      </c>
      <c r="C29" s="38">
        <v>1</v>
      </c>
      <c r="D29" s="13">
        <v>0.33333333333333331</v>
      </c>
      <c r="E29" s="37">
        <v>21</v>
      </c>
      <c r="F29" s="33">
        <v>1</v>
      </c>
      <c r="G29" s="33">
        <v>17</v>
      </c>
      <c r="H29" s="19">
        <v>0.55128205128205132</v>
      </c>
    </row>
    <row r="30" spans="1:8" x14ac:dyDescent="0.25">
      <c r="A30" s="9" t="s">
        <v>66</v>
      </c>
      <c r="B30" s="32">
        <v>3</v>
      </c>
      <c r="C30" s="38">
        <v>0</v>
      </c>
      <c r="D30" s="13">
        <v>0</v>
      </c>
      <c r="E30" s="37">
        <v>16</v>
      </c>
      <c r="F30" s="33">
        <v>1</v>
      </c>
      <c r="G30" s="33">
        <v>22</v>
      </c>
      <c r="H30" s="19">
        <v>0.42307692307692307</v>
      </c>
    </row>
    <row r="31" spans="1:8" x14ac:dyDescent="0.25">
      <c r="A31" s="9" t="s">
        <v>67</v>
      </c>
      <c r="B31" s="32">
        <v>2</v>
      </c>
      <c r="C31" s="38">
        <v>1</v>
      </c>
      <c r="D31" s="13">
        <v>0.5</v>
      </c>
      <c r="E31" s="37">
        <v>11</v>
      </c>
      <c r="F31" s="33">
        <v>0</v>
      </c>
      <c r="G31" s="33">
        <v>15</v>
      </c>
      <c r="H31" s="19">
        <v>0.42307692307692307</v>
      </c>
    </row>
    <row r="32" spans="1:8" x14ac:dyDescent="0.25">
      <c r="A32" s="9" t="s">
        <v>69</v>
      </c>
      <c r="B32" s="32">
        <v>2</v>
      </c>
      <c r="C32" s="38">
        <v>0</v>
      </c>
      <c r="D32" s="13">
        <v>0</v>
      </c>
      <c r="E32" s="37">
        <v>10</v>
      </c>
      <c r="F32" s="33">
        <v>0</v>
      </c>
      <c r="G32" s="33">
        <v>16</v>
      </c>
      <c r="H32" s="19">
        <v>0.38461538461538464</v>
      </c>
    </row>
    <row r="33" spans="1:8" x14ac:dyDescent="0.25">
      <c r="A33" s="9" t="s">
        <v>228</v>
      </c>
      <c r="B33" s="32">
        <v>1</v>
      </c>
      <c r="C33" s="38">
        <v>1</v>
      </c>
      <c r="D33" s="13">
        <v>1</v>
      </c>
      <c r="E33" s="37">
        <v>7</v>
      </c>
      <c r="F33" s="33">
        <v>0</v>
      </c>
      <c r="G33" s="33">
        <v>6</v>
      </c>
      <c r="H33" s="19">
        <v>0.53846153846153844</v>
      </c>
    </row>
    <row r="34" spans="1:8" x14ac:dyDescent="0.25">
      <c r="A34" s="9" t="s">
        <v>73</v>
      </c>
      <c r="B34" s="32">
        <v>1</v>
      </c>
      <c r="C34" s="38">
        <v>1</v>
      </c>
      <c r="D34" s="13">
        <v>1</v>
      </c>
      <c r="E34" s="37">
        <v>9</v>
      </c>
      <c r="F34" s="33">
        <v>0</v>
      </c>
      <c r="G34" s="33">
        <v>4</v>
      </c>
      <c r="H34" s="19">
        <v>0.69230769230769229</v>
      </c>
    </row>
  </sheetData>
  <pageMargins left="0.7" right="0.7" top="0.75" bottom="0.75" header="0.3" footer="0.3"/>
  <pageSetup orientation="portrait" r:id="rId2"/>
  <customProperties>
    <customPr name="_pios_id" r:id="rId3"/>
    <customPr name="EpmWorksheetKeyString_GUID" r:id="rId4"/>
  </customProperties>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57EA-9F97-444D-AEA5-44DE259A4C97}">
  <sheetPr>
    <tabColor rgb="FFFFC000"/>
  </sheetPr>
  <dimension ref="A3:CM36"/>
  <sheetViews>
    <sheetView zoomScale="70" zoomScaleNormal="70" workbookViewId="0">
      <selection activeCell="AP45" sqref="AP45"/>
    </sheetView>
  </sheetViews>
  <sheetFormatPr defaultRowHeight="15" x14ac:dyDescent="0.25"/>
  <cols>
    <col min="1" max="1" width="27" bestFit="1" customWidth="1"/>
    <col min="2" max="2" width="12.28515625" bestFit="1" customWidth="1"/>
    <col min="3" max="3" width="5.85546875" bestFit="1" customWidth="1"/>
    <col min="4" max="4" width="12.28515625" bestFit="1" customWidth="1"/>
    <col min="5" max="5" width="5.85546875" bestFit="1" customWidth="1"/>
    <col min="6" max="6" width="12.28515625" bestFit="1" customWidth="1"/>
    <col min="7" max="7" width="5.85546875" bestFit="1" customWidth="1"/>
    <col min="8" max="8" width="12.28515625" bestFit="1" customWidth="1"/>
    <col min="9" max="9" width="5.85546875" bestFit="1" customWidth="1"/>
    <col min="10" max="10" width="7.140625" customWidth="1"/>
    <col min="11" max="11" width="5.85546875" bestFit="1" customWidth="1"/>
    <col min="12" max="12" width="7.140625" customWidth="1"/>
    <col min="13" max="13" width="5.85546875" bestFit="1" customWidth="1"/>
    <col min="14" max="14" width="7.140625" customWidth="1"/>
    <col min="15" max="15" width="5.85546875" bestFit="1" customWidth="1"/>
    <col min="16" max="16" width="12.28515625" bestFit="1" customWidth="1"/>
    <col min="17" max="17" width="5.85546875" bestFit="1" customWidth="1"/>
    <col min="18" max="18" width="7.140625" customWidth="1"/>
    <col min="19" max="19" width="5.85546875" bestFit="1" customWidth="1"/>
    <col min="20" max="20" width="7.140625" customWidth="1"/>
    <col min="21" max="21" width="5.85546875" bestFit="1" customWidth="1"/>
    <col min="22" max="22" width="7.140625" customWidth="1"/>
    <col min="23" max="23" width="5.85546875" bestFit="1" customWidth="1"/>
    <col min="24" max="24" width="7.140625" customWidth="1"/>
    <col min="25" max="25" width="5.85546875" bestFit="1" customWidth="1"/>
    <col min="26" max="26" width="7.140625" customWidth="1"/>
    <col min="27" max="27" width="5.85546875" bestFit="1" customWidth="1"/>
    <col min="28" max="28" width="7.140625" customWidth="1"/>
    <col min="29" max="29" width="5.85546875" bestFit="1" customWidth="1"/>
    <col min="30" max="30" width="7.140625" customWidth="1"/>
    <col min="31" max="31" width="5.85546875" bestFit="1" customWidth="1"/>
    <col min="32" max="32" width="12.28515625" bestFit="1" customWidth="1"/>
    <col min="33" max="33" width="5.85546875" bestFit="1" customWidth="1"/>
    <col min="34" max="34" width="7.140625" customWidth="1"/>
    <col min="35" max="35" width="5.85546875" bestFit="1" customWidth="1"/>
    <col min="36" max="36" width="7.140625" customWidth="1"/>
    <col min="37" max="37" width="5.85546875" bestFit="1" customWidth="1"/>
    <col min="38" max="38" width="7.140625" customWidth="1"/>
    <col min="39" max="39" width="5.85546875" bestFit="1" customWidth="1"/>
    <col min="40" max="40" width="7.140625" customWidth="1"/>
    <col min="41" max="41" width="5.85546875" bestFit="1" customWidth="1"/>
    <col min="42" max="42" width="12.28515625" bestFit="1" customWidth="1"/>
    <col min="43" max="43" width="5.85546875" bestFit="1" customWidth="1"/>
    <col min="44" max="44" width="12.28515625" bestFit="1" customWidth="1"/>
    <col min="45" max="45" width="5.85546875" bestFit="1" customWidth="1"/>
    <col min="46" max="46" width="12.28515625" bestFit="1" customWidth="1"/>
    <col min="47" max="47" width="5.85546875" bestFit="1" customWidth="1"/>
    <col min="48" max="48" width="12.28515625" bestFit="1" customWidth="1"/>
    <col min="49" max="49" width="5.85546875" bestFit="1" customWidth="1"/>
    <col min="50" max="50" width="12.28515625" bestFit="1" customWidth="1"/>
    <col min="51" max="51" width="5.85546875" bestFit="1" customWidth="1"/>
    <col min="52" max="52" width="12.28515625" bestFit="1" customWidth="1"/>
    <col min="53" max="53" width="5.85546875" bestFit="1" customWidth="1"/>
    <col min="54" max="54" width="12.28515625" bestFit="1" customWidth="1"/>
    <col min="55" max="55" width="5.85546875" bestFit="1" customWidth="1"/>
    <col min="56" max="56" width="12.28515625" bestFit="1" customWidth="1"/>
    <col min="57" max="57" width="5.85546875" bestFit="1" customWidth="1"/>
    <col min="58" max="58" width="12.28515625" bestFit="1" customWidth="1"/>
    <col min="59" max="59" width="5.85546875" bestFit="1" customWidth="1"/>
    <col min="60" max="60" width="12.28515625" bestFit="1" customWidth="1"/>
    <col min="61" max="61" width="5.85546875" bestFit="1" customWidth="1"/>
    <col min="62" max="62" width="12.28515625" bestFit="1" customWidth="1"/>
    <col min="63" max="63" width="9.5703125" bestFit="1" customWidth="1"/>
    <col min="64" max="64" width="6.28515625" customWidth="1"/>
    <col min="65" max="65" width="12.28515625" bestFit="1" customWidth="1"/>
    <col min="66" max="66" width="9.5703125" bestFit="1" customWidth="1"/>
    <col min="67" max="67" width="6.28515625" customWidth="1"/>
    <col min="68" max="68" width="12.28515625" bestFit="1" customWidth="1"/>
    <col min="69" max="69" width="9.5703125" bestFit="1" customWidth="1"/>
    <col min="70" max="70" width="6.28515625" customWidth="1"/>
    <col min="71" max="71" width="12.28515625" bestFit="1" customWidth="1"/>
    <col min="72" max="72" width="9.5703125" bestFit="1" customWidth="1"/>
    <col min="73" max="73" width="6.28515625" customWidth="1"/>
    <col min="74" max="74" width="12.28515625" bestFit="1" customWidth="1"/>
    <col min="75" max="75" width="9.5703125" bestFit="1" customWidth="1"/>
    <col min="76" max="76" width="6.28515625" customWidth="1"/>
    <col min="77" max="77" width="12.28515625" bestFit="1" customWidth="1"/>
    <col min="78" max="78" width="9.5703125" bestFit="1" customWidth="1"/>
    <col min="79" max="79" width="6.28515625" customWidth="1"/>
    <col min="80" max="80" width="12.28515625" bestFit="1" customWidth="1"/>
    <col min="81" max="81" width="9.5703125" bestFit="1" customWidth="1"/>
    <col min="82" max="82" width="6.28515625" customWidth="1"/>
    <col min="83" max="83" width="12.28515625" bestFit="1" customWidth="1"/>
    <col min="84" max="84" width="9.5703125" bestFit="1" customWidth="1"/>
    <col min="85" max="85" width="6.28515625" customWidth="1"/>
    <col min="86" max="86" width="12.28515625" bestFit="1" customWidth="1"/>
    <col min="87" max="87" width="9.5703125" bestFit="1" customWidth="1"/>
    <col min="88" max="88" width="6.28515625" customWidth="1"/>
    <col min="89" max="89" width="12.28515625" bestFit="1" customWidth="1"/>
    <col min="90" max="90" width="9.5703125" bestFit="1" customWidth="1"/>
    <col min="91" max="143" width="6.28515625" customWidth="1"/>
    <col min="144" max="144" width="4.5703125" bestFit="1" customWidth="1"/>
    <col min="145" max="145" width="6.28515625" bestFit="1" customWidth="1"/>
    <col min="146" max="146" width="19.7109375" bestFit="1" customWidth="1"/>
    <col min="147" max="147" width="6.5703125" bestFit="1" customWidth="1"/>
    <col min="148" max="148" width="6.28515625" bestFit="1" customWidth="1"/>
    <col min="149" max="149" width="5.5703125" bestFit="1" customWidth="1"/>
    <col min="150" max="150" width="4.5703125" bestFit="1" customWidth="1"/>
    <col min="151" max="151" width="6.28515625" bestFit="1" customWidth="1"/>
    <col min="152" max="152" width="28" bestFit="1" customWidth="1"/>
    <col min="153" max="153" width="4.140625" bestFit="1" customWidth="1"/>
    <col min="154" max="154" width="6.5703125" bestFit="1" customWidth="1"/>
    <col min="155" max="155" width="5.5703125" bestFit="1" customWidth="1"/>
    <col min="156" max="156" width="4.5703125" bestFit="1" customWidth="1"/>
    <col min="157" max="157" width="6.28515625" bestFit="1" customWidth="1"/>
    <col min="158" max="158" width="14.140625" bestFit="1" customWidth="1"/>
    <col min="159" max="159" width="5.28515625" bestFit="1" customWidth="1"/>
    <col min="160" max="160" width="4.5703125" bestFit="1" customWidth="1"/>
    <col min="161" max="161" width="5.5703125" bestFit="1" customWidth="1"/>
    <col min="162" max="162" width="4.5703125" bestFit="1" customWidth="1"/>
    <col min="163" max="163" width="6.28515625" bestFit="1" customWidth="1"/>
    <col min="164" max="164" width="14.140625" bestFit="1" customWidth="1"/>
    <col min="165" max="165" width="7.140625" bestFit="1" customWidth="1"/>
    <col min="166" max="166" width="5.28515625" bestFit="1" customWidth="1"/>
    <col min="167" max="167" width="3.5703125" bestFit="1" customWidth="1"/>
    <col min="168" max="168" width="4.5703125" bestFit="1" customWidth="1"/>
    <col min="169" max="169" width="6.28515625" bestFit="1" customWidth="1"/>
    <col min="170" max="170" width="19.7109375" bestFit="1" customWidth="1"/>
    <col min="171" max="171" width="7.5703125" bestFit="1" customWidth="1"/>
    <col min="172" max="172" width="7.140625" bestFit="1" customWidth="1"/>
    <col min="173" max="173" width="5.5703125" bestFit="1" customWidth="1"/>
    <col min="174" max="174" width="4.5703125" bestFit="1" customWidth="1"/>
    <col min="175" max="175" width="6.7109375" bestFit="1" customWidth="1"/>
    <col min="176" max="176" width="6.28515625" bestFit="1" customWidth="1"/>
    <col min="177" max="177" width="28" bestFit="1" customWidth="1"/>
    <col min="178" max="178" width="7.5703125" bestFit="1" customWidth="1"/>
    <col min="179" max="179" width="7.140625" bestFit="1" customWidth="1"/>
    <col min="180" max="180" width="5.5703125" bestFit="1" customWidth="1"/>
    <col min="181" max="181" width="4.5703125" bestFit="1" customWidth="1"/>
    <col min="182" max="182" width="6.7109375" bestFit="1" customWidth="1"/>
    <col min="183" max="183" width="6.28515625" bestFit="1" customWidth="1"/>
    <col min="184" max="184" width="14.140625" bestFit="1" customWidth="1"/>
    <col min="185" max="185" width="7.5703125" bestFit="1" customWidth="1"/>
    <col min="186" max="186" width="7.140625" bestFit="1" customWidth="1"/>
    <col min="187" max="187" width="5.5703125" bestFit="1" customWidth="1"/>
    <col min="188" max="188" width="4.5703125" bestFit="1" customWidth="1"/>
    <col min="189" max="189" width="6.7109375" bestFit="1" customWidth="1"/>
    <col min="190" max="190" width="6.28515625" bestFit="1" customWidth="1"/>
    <col min="191" max="191" width="14.140625" bestFit="1" customWidth="1"/>
    <col min="192" max="192" width="7.5703125" bestFit="1" customWidth="1"/>
    <col min="193" max="193" width="7.140625" bestFit="1" customWidth="1"/>
    <col min="194" max="194" width="5.5703125" bestFit="1" customWidth="1"/>
    <col min="195" max="195" width="4.5703125" bestFit="1" customWidth="1"/>
    <col min="196" max="196" width="6.7109375" bestFit="1" customWidth="1"/>
    <col min="197" max="197" width="6.28515625" bestFit="1" customWidth="1"/>
  </cols>
  <sheetData>
    <row r="3" spans="1:91" ht="76.5" customHeight="1" x14ac:dyDescent="0.25"/>
    <row r="4" spans="1:91" ht="30" x14ac:dyDescent="0.25">
      <c r="B4" s="27" t="s">
        <v>197</v>
      </c>
      <c r="D4" s="29"/>
      <c r="F4" s="29"/>
      <c r="H4" s="29"/>
      <c r="J4" s="29"/>
      <c r="L4" s="29"/>
      <c r="N4" s="29"/>
      <c r="P4" s="29"/>
      <c r="R4" s="29"/>
      <c r="T4" s="29"/>
      <c r="V4" s="29"/>
      <c r="X4" s="29"/>
      <c r="Z4" s="29"/>
      <c r="AB4" s="29"/>
      <c r="AD4" s="29"/>
      <c r="AF4" s="29"/>
      <c r="AH4" s="29"/>
      <c r="AJ4" s="29"/>
      <c r="AL4" s="29"/>
      <c r="AN4" s="29"/>
    </row>
    <row r="5" spans="1:91" s="14" customFormat="1" ht="90" x14ac:dyDescent="0.25">
      <c r="A5"/>
      <c r="B5" s="14" t="s">
        <v>94</v>
      </c>
      <c r="D5" s="18" t="s">
        <v>93</v>
      </c>
      <c r="F5" s="18" t="s">
        <v>184</v>
      </c>
      <c r="H5" s="18" t="s">
        <v>201</v>
      </c>
      <c r="J5" s="18" t="s">
        <v>190</v>
      </c>
      <c r="L5" s="18" t="s">
        <v>96</v>
      </c>
      <c r="N5" s="18" t="s">
        <v>26</v>
      </c>
      <c r="P5" s="18" t="s">
        <v>158</v>
      </c>
      <c r="R5" s="18" t="s">
        <v>23</v>
      </c>
      <c r="T5" s="18" t="s">
        <v>185</v>
      </c>
      <c r="V5" s="18" t="s">
        <v>159</v>
      </c>
      <c r="X5" s="18" t="s">
        <v>15</v>
      </c>
      <c r="Z5" s="18" t="s">
        <v>181</v>
      </c>
      <c r="AB5" s="18" t="s">
        <v>21</v>
      </c>
      <c r="AD5" s="18" t="s">
        <v>28</v>
      </c>
      <c r="AF5" s="18" t="s">
        <v>154</v>
      </c>
      <c r="AH5" s="18" t="s">
        <v>16</v>
      </c>
      <c r="AJ5" s="18" t="s">
        <v>33</v>
      </c>
      <c r="AL5" s="18" t="s">
        <v>99</v>
      </c>
      <c r="AN5" s="18" t="s">
        <v>98</v>
      </c>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row>
    <row r="6" spans="1:91" s="14" customFormat="1" ht="30" x14ac:dyDescent="0.25">
      <c r="A6" s="27" t="s">
        <v>115</v>
      </c>
      <c r="B6" s="14" t="s">
        <v>180</v>
      </c>
      <c r="C6" s="14" t="s">
        <v>198</v>
      </c>
      <c r="D6" s="18" t="s">
        <v>180</v>
      </c>
      <c r="E6" s="14" t="s">
        <v>198</v>
      </c>
      <c r="F6" s="18" t="s">
        <v>180</v>
      </c>
      <c r="G6" s="14" t="s">
        <v>198</v>
      </c>
      <c r="H6" s="18" t="s">
        <v>180</v>
      </c>
      <c r="I6" s="14" t="s">
        <v>198</v>
      </c>
      <c r="J6" s="18" t="s">
        <v>180</v>
      </c>
      <c r="K6" s="14" t="s">
        <v>198</v>
      </c>
      <c r="L6" s="18" t="s">
        <v>180</v>
      </c>
      <c r="M6" s="14" t="s">
        <v>198</v>
      </c>
      <c r="N6" s="18" t="s">
        <v>180</v>
      </c>
      <c r="O6" s="14" t="s">
        <v>198</v>
      </c>
      <c r="P6" s="18" t="s">
        <v>180</v>
      </c>
      <c r="Q6" s="14" t="s">
        <v>198</v>
      </c>
      <c r="R6" s="18" t="s">
        <v>180</v>
      </c>
      <c r="S6" s="14" t="s">
        <v>198</v>
      </c>
      <c r="T6" s="18" t="s">
        <v>180</v>
      </c>
      <c r="U6" s="14" t="s">
        <v>198</v>
      </c>
      <c r="V6" s="18" t="s">
        <v>180</v>
      </c>
      <c r="W6" s="14" t="s">
        <v>198</v>
      </c>
      <c r="X6" s="18" t="s">
        <v>180</v>
      </c>
      <c r="Y6" s="14" t="s">
        <v>198</v>
      </c>
      <c r="Z6" s="18" t="s">
        <v>180</v>
      </c>
      <c r="AA6" s="14" t="s">
        <v>198</v>
      </c>
      <c r="AB6" s="18" t="s">
        <v>180</v>
      </c>
      <c r="AC6" s="14" t="s">
        <v>198</v>
      </c>
      <c r="AD6" s="18" t="s">
        <v>180</v>
      </c>
      <c r="AE6" s="14" t="s">
        <v>198</v>
      </c>
      <c r="AF6" s="18" t="s">
        <v>180</v>
      </c>
      <c r="AG6" s="14" t="s">
        <v>198</v>
      </c>
      <c r="AH6" s="18" t="s">
        <v>180</v>
      </c>
      <c r="AI6" s="14" t="s">
        <v>198</v>
      </c>
      <c r="AJ6" s="18" t="s">
        <v>180</v>
      </c>
      <c r="AK6" s="14" t="s">
        <v>198</v>
      </c>
      <c r="AL6" s="18" t="s">
        <v>180</v>
      </c>
      <c r="AM6" s="14" t="s">
        <v>198</v>
      </c>
      <c r="AN6" s="18" t="s">
        <v>180</v>
      </c>
      <c r="AO6" s="14" t="s">
        <v>198</v>
      </c>
      <c r="AP6"/>
      <c r="AQ6"/>
      <c r="AR6"/>
      <c r="AS6"/>
      <c r="AT6"/>
      <c r="AU6"/>
      <c r="AV6"/>
      <c r="AW6"/>
      <c r="AX6"/>
      <c r="AY6"/>
      <c r="AZ6"/>
      <c r="BA6"/>
      <c r="BB6"/>
      <c r="BC6"/>
      <c r="BD6"/>
      <c r="BE6"/>
      <c r="BF6"/>
      <c r="BG6"/>
      <c r="BH6"/>
      <c r="BI6"/>
    </row>
    <row r="7" spans="1:91" x14ac:dyDescent="0.25">
      <c r="A7" s="28" t="s">
        <v>73</v>
      </c>
      <c r="B7" s="32">
        <v>1</v>
      </c>
      <c r="C7" s="13">
        <v>1</v>
      </c>
      <c r="D7" s="38">
        <v>1</v>
      </c>
      <c r="E7" s="13">
        <v>0</v>
      </c>
      <c r="F7" s="38"/>
      <c r="G7" s="13"/>
      <c r="H7" s="38"/>
      <c r="I7" s="13"/>
      <c r="J7" s="38">
        <v>1</v>
      </c>
      <c r="K7" s="13">
        <v>1</v>
      </c>
      <c r="L7" s="38"/>
      <c r="M7" s="13"/>
      <c r="N7" s="38">
        <v>1</v>
      </c>
      <c r="O7" s="13">
        <v>1</v>
      </c>
      <c r="P7" s="38"/>
      <c r="Q7" s="13"/>
      <c r="R7" s="38">
        <v>1</v>
      </c>
      <c r="S7" s="13">
        <v>1</v>
      </c>
      <c r="T7" s="38"/>
      <c r="U7" s="13"/>
      <c r="V7" s="38">
        <v>1</v>
      </c>
      <c r="W7" s="13">
        <v>1</v>
      </c>
      <c r="X7" s="38">
        <v>1</v>
      </c>
      <c r="Y7" s="13">
        <v>0</v>
      </c>
      <c r="Z7" s="38">
        <v>1</v>
      </c>
      <c r="AA7" s="13">
        <v>1</v>
      </c>
      <c r="AB7" s="38">
        <v>1</v>
      </c>
      <c r="AC7" s="13">
        <v>1</v>
      </c>
      <c r="AD7" s="38">
        <v>1</v>
      </c>
      <c r="AE7" s="13">
        <v>1</v>
      </c>
      <c r="AF7" s="38"/>
      <c r="AG7" s="13"/>
      <c r="AH7" s="38">
        <v>1</v>
      </c>
      <c r="AI7" s="13">
        <v>1</v>
      </c>
      <c r="AJ7" s="38">
        <v>1</v>
      </c>
      <c r="AK7" s="13">
        <v>0</v>
      </c>
      <c r="AL7" s="38">
        <v>1</v>
      </c>
      <c r="AM7" s="13">
        <v>1</v>
      </c>
      <c r="AN7" s="38">
        <v>1</v>
      </c>
      <c r="AO7" s="13">
        <v>1</v>
      </c>
    </row>
    <row r="8" spans="1:91" x14ac:dyDescent="0.25">
      <c r="A8" s="28" t="s">
        <v>107</v>
      </c>
      <c r="B8" s="32">
        <v>4</v>
      </c>
      <c r="C8" s="13">
        <v>0.75</v>
      </c>
      <c r="D8" s="38">
        <v>5</v>
      </c>
      <c r="E8" s="13">
        <v>0.8</v>
      </c>
      <c r="F8" s="38">
        <v>2</v>
      </c>
      <c r="G8" s="13">
        <v>1</v>
      </c>
      <c r="H8" s="38"/>
      <c r="I8" s="13"/>
      <c r="J8" s="38">
        <v>4</v>
      </c>
      <c r="K8" s="13">
        <v>0.5</v>
      </c>
      <c r="L8" s="38">
        <v>5</v>
      </c>
      <c r="M8" s="13">
        <v>0.4</v>
      </c>
      <c r="N8" s="38">
        <v>6</v>
      </c>
      <c r="O8" s="13">
        <v>0.5</v>
      </c>
      <c r="P8" s="38">
        <v>3</v>
      </c>
      <c r="Q8" s="13">
        <v>1</v>
      </c>
      <c r="R8" s="38">
        <v>6</v>
      </c>
      <c r="S8" s="13">
        <v>0.33333333333333331</v>
      </c>
      <c r="T8" s="38">
        <v>2</v>
      </c>
      <c r="U8" s="13">
        <v>0.5</v>
      </c>
      <c r="V8" s="38">
        <v>3</v>
      </c>
      <c r="W8" s="13">
        <v>0.66666666666666663</v>
      </c>
      <c r="X8" s="38">
        <v>4</v>
      </c>
      <c r="Y8" s="13">
        <v>0.75</v>
      </c>
      <c r="Z8" s="38">
        <v>6</v>
      </c>
      <c r="AA8" s="13">
        <v>0.66666666666666663</v>
      </c>
      <c r="AB8" s="38">
        <v>4</v>
      </c>
      <c r="AC8" s="13">
        <v>0.5</v>
      </c>
      <c r="AD8" s="38">
        <v>6</v>
      </c>
      <c r="AE8" s="13">
        <v>0.66666666666666663</v>
      </c>
      <c r="AF8" s="38">
        <v>5</v>
      </c>
      <c r="AG8" s="13">
        <v>0.6</v>
      </c>
      <c r="AH8" s="38">
        <v>5</v>
      </c>
      <c r="AI8" s="13">
        <v>1</v>
      </c>
      <c r="AJ8" s="38">
        <v>7</v>
      </c>
      <c r="AK8" s="13">
        <v>0.8571428571428571</v>
      </c>
      <c r="AL8" s="38">
        <v>3</v>
      </c>
      <c r="AM8" s="13">
        <v>0.66666666666666663</v>
      </c>
      <c r="AN8" s="38">
        <v>6</v>
      </c>
      <c r="AO8" s="13">
        <v>0.66666666666666663</v>
      </c>
    </row>
    <row r="9" spans="1:91" x14ac:dyDescent="0.25">
      <c r="A9" s="28" t="s">
        <v>63</v>
      </c>
      <c r="B9" s="32">
        <v>6</v>
      </c>
      <c r="C9" s="13">
        <v>0.33333333333333331</v>
      </c>
      <c r="D9" s="38">
        <v>5</v>
      </c>
      <c r="E9" s="13">
        <v>0.8</v>
      </c>
      <c r="F9" s="38"/>
      <c r="G9" s="13"/>
      <c r="H9" s="38"/>
      <c r="I9" s="13"/>
      <c r="J9" s="38">
        <v>6</v>
      </c>
      <c r="K9" s="13">
        <v>1</v>
      </c>
      <c r="L9" s="38">
        <v>2</v>
      </c>
      <c r="M9" s="13">
        <v>0.5</v>
      </c>
      <c r="N9" s="38">
        <v>5</v>
      </c>
      <c r="O9" s="13">
        <v>0.4</v>
      </c>
      <c r="P9" s="38">
        <v>2</v>
      </c>
      <c r="Q9" s="13">
        <v>1</v>
      </c>
      <c r="R9" s="38">
        <v>5</v>
      </c>
      <c r="S9" s="13">
        <v>0.8</v>
      </c>
      <c r="T9" s="38"/>
      <c r="U9" s="13"/>
      <c r="V9" s="38">
        <v>7</v>
      </c>
      <c r="W9" s="13">
        <v>0.5714285714285714</v>
      </c>
      <c r="X9" s="38">
        <v>7</v>
      </c>
      <c r="Y9" s="13">
        <v>0.5714285714285714</v>
      </c>
      <c r="Z9" s="38">
        <v>4</v>
      </c>
      <c r="AA9" s="13">
        <v>1</v>
      </c>
      <c r="AB9" s="38">
        <v>7</v>
      </c>
      <c r="AC9" s="13">
        <v>0.5714285714285714</v>
      </c>
      <c r="AD9" s="38">
        <v>5</v>
      </c>
      <c r="AE9" s="13">
        <v>0.8</v>
      </c>
      <c r="AF9" s="38">
        <v>1</v>
      </c>
      <c r="AG9" s="13">
        <v>0</v>
      </c>
      <c r="AH9" s="38">
        <v>8</v>
      </c>
      <c r="AI9" s="13">
        <v>0.75</v>
      </c>
      <c r="AJ9" s="38">
        <v>5</v>
      </c>
      <c r="AK9" s="13">
        <v>0.6</v>
      </c>
      <c r="AL9" s="38">
        <v>5</v>
      </c>
      <c r="AM9" s="13">
        <v>0.8</v>
      </c>
      <c r="AN9" s="38">
        <v>4</v>
      </c>
      <c r="AO9" s="13">
        <v>0.5</v>
      </c>
    </row>
    <row r="10" spans="1:91" x14ac:dyDescent="0.25">
      <c r="A10" s="28" t="s">
        <v>66</v>
      </c>
      <c r="B10" s="32">
        <v>3</v>
      </c>
      <c r="C10" s="13">
        <v>0.33333333333333331</v>
      </c>
      <c r="D10" s="38">
        <v>1</v>
      </c>
      <c r="E10" s="13">
        <v>0</v>
      </c>
      <c r="F10" s="38"/>
      <c r="G10" s="13"/>
      <c r="H10" s="38"/>
      <c r="I10" s="13"/>
      <c r="J10" s="38">
        <v>4</v>
      </c>
      <c r="K10" s="13">
        <v>0.75</v>
      </c>
      <c r="L10" s="38"/>
      <c r="M10" s="13"/>
      <c r="N10" s="38">
        <v>3</v>
      </c>
      <c r="O10" s="13">
        <v>0.33333333333333331</v>
      </c>
      <c r="P10" s="38"/>
      <c r="Q10" s="13"/>
      <c r="R10" s="38">
        <v>3</v>
      </c>
      <c r="S10" s="13">
        <v>0.66666666666666663</v>
      </c>
      <c r="T10" s="38"/>
      <c r="U10" s="13"/>
      <c r="V10" s="38">
        <v>3</v>
      </c>
      <c r="W10" s="13">
        <v>0</v>
      </c>
      <c r="X10" s="38">
        <v>3</v>
      </c>
      <c r="Y10" s="13">
        <v>0.66666666666666663</v>
      </c>
      <c r="Z10" s="38">
        <v>3</v>
      </c>
      <c r="AA10" s="13">
        <v>0.66666666666666663</v>
      </c>
      <c r="AB10" s="38">
        <v>4</v>
      </c>
      <c r="AC10" s="13">
        <v>0.25</v>
      </c>
      <c r="AD10" s="38">
        <v>3</v>
      </c>
      <c r="AE10" s="13">
        <v>0.33333333333333331</v>
      </c>
      <c r="AF10" s="38"/>
      <c r="AG10" s="13"/>
      <c r="AH10" s="38">
        <v>4</v>
      </c>
      <c r="AI10" s="13">
        <v>0.5</v>
      </c>
      <c r="AJ10" s="38">
        <v>3</v>
      </c>
      <c r="AK10" s="13">
        <v>0.33333333333333331</v>
      </c>
      <c r="AL10" s="38">
        <v>1</v>
      </c>
      <c r="AM10" s="13">
        <v>0</v>
      </c>
      <c r="AN10" s="38">
        <v>3</v>
      </c>
      <c r="AO10" s="13">
        <v>0</v>
      </c>
    </row>
    <row r="11" spans="1:91" x14ac:dyDescent="0.25">
      <c r="A11" s="28" t="s">
        <v>106</v>
      </c>
      <c r="B11" s="32"/>
      <c r="C11" s="13"/>
      <c r="D11" s="38">
        <v>8</v>
      </c>
      <c r="E11" s="13">
        <v>0.375</v>
      </c>
      <c r="F11" s="38">
        <v>3</v>
      </c>
      <c r="G11" s="13">
        <v>0.33333333333333331</v>
      </c>
      <c r="H11" s="38">
        <v>1</v>
      </c>
      <c r="I11" s="13">
        <v>0</v>
      </c>
      <c r="J11" s="38">
        <v>12</v>
      </c>
      <c r="K11" s="13">
        <v>0.75</v>
      </c>
      <c r="L11" s="38">
        <v>4</v>
      </c>
      <c r="M11" s="13">
        <v>0.25</v>
      </c>
      <c r="N11" s="38">
        <v>8</v>
      </c>
      <c r="O11" s="13">
        <v>0.375</v>
      </c>
      <c r="P11" s="38">
        <v>5</v>
      </c>
      <c r="Q11" s="13">
        <v>0.6</v>
      </c>
      <c r="R11" s="38">
        <v>9</v>
      </c>
      <c r="S11" s="13">
        <v>0.44444444444444442</v>
      </c>
      <c r="T11" s="38">
        <v>3</v>
      </c>
      <c r="U11" s="13">
        <v>0.33333333333333331</v>
      </c>
      <c r="V11" s="38">
        <v>10</v>
      </c>
      <c r="W11" s="13">
        <v>0.7</v>
      </c>
      <c r="X11" s="38">
        <v>10</v>
      </c>
      <c r="Y11" s="13">
        <v>0.4</v>
      </c>
      <c r="Z11" s="38">
        <v>9</v>
      </c>
      <c r="AA11" s="13">
        <v>0.66666666666666663</v>
      </c>
      <c r="AB11" s="38">
        <v>10</v>
      </c>
      <c r="AC11" s="13">
        <v>0.7</v>
      </c>
      <c r="AD11" s="38">
        <v>7</v>
      </c>
      <c r="AE11" s="13">
        <v>0.2857142857142857</v>
      </c>
      <c r="AF11" s="38">
        <v>4</v>
      </c>
      <c r="AG11" s="13">
        <v>0</v>
      </c>
      <c r="AH11" s="38">
        <v>10</v>
      </c>
      <c r="AI11" s="13">
        <v>0.5</v>
      </c>
      <c r="AJ11" s="38">
        <v>8</v>
      </c>
      <c r="AK11" s="13">
        <v>0.625</v>
      </c>
      <c r="AL11" s="38">
        <v>7</v>
      </c>
      <c r="AM11" s="13">
        <v>0.7142857142857143</v>
      </c>
      <c r="AN11" s="38">
        <v>9</v>
      </c>
      <c r="AO11" s="13">
        <v>0.44444444444444442</v>
      </c>
    </row>
    <row r="12" spans="1:91" x14ac:dyDescent="0.25">
      <c r="A12" s="28" t="s">
        <v>104</v>
      </c>
      <c r="B12" s="32">
        <v>8</v>
      </c>
      <c r="C12" s="13">
        <v>0.625</v>
      </c>
      <c r="D12" s="38"/>
      <c r="E12" s="13"/>
      <c r="F12" s="38">
        <v>3</v>
      </c>
      <c r="G12" s="13">
        <v>0</v>
      </c>
      <c r="H12" s="38">
        <v>1</v>
      </c>
      <c r="I12" s="13">
        <v>0</v>
      </c>
      <c r="J12" s="38">
        <v>9</v>
      </c>
      <c r="K12" s="13">
        <v>0.66666666666666663</v>
      </c>
      <c r="L12" s="38">
        <v>5</v>
      </c>
      <c r="M12" s="13">
        <v>0.2</v>
      </c>
      <c r="N12" s="38">
        <v>6</v>
      </c>
      <c r="O12" s="13">
        <v>0.5</v>
      </c>
      <c r="P12" s="38">
        <v>4</v>
      </c>
      <c r="Q12" s="13">
        <v>1</v>
      </c>
      <c r="R12" s="38">
        <v>5</v>
      </c>
      <c r="S12" s="13">
        <v>0.6</v>
      </c>
      <c r="T12" s="38">
        <v>3</v>
      </c>
      <c r="U12" s="13">
        <v>0.33333333333333331</v>
      </c>
      <c r="V12" s="38">
        <v>9</v>
      </c>
      <c r="W12" s="13">
        <v>0.44444444444444442</v>
      </c>
      <c r="X12" s="38">
        <v>7</v>
      </c>
      <c r="Y12" s="13">
        <v>0.2857142857142857</v>
      </c>
      <c r="Z12" s="38">
        <v>6</v>
      </c>
      <c r="AA12" s="13">
        <v>0.66666666666666663</v>
      </c>
      <c r="AB12" s="38">
        <v>7</v>
      </c>
      <c r="AC12" s="13">
        <v>0.8571428571428571</v>
      </c>
      <c r="AD12" s="38">
        <v>6</v>
      </c>
      <c r="AE12" s="13">
        <v>0.5</v>
      </c>
      <c r="AF12" s="38">
        <v>4</v>
      </c>
      <c r="AG12" s="13">
        <v>0.25</v>
      </c>
      <c r="AH12" s="38">
        <v>9</v>
      </c>
      <c r="AI12" s="13">
        <v>0.77777777777777779</v>
      </c>
      <c r="AJ12" s="38">
        <v>6</v>
      </c>
      <c r="AK12" s="13">
        <v>0.83333333333333337</v>
      </c>
      <c r="AL12" s="38">
        <v>9</v>
      </c>
      <c r="AM12" s="13">
        <v>0.66666666666666663</v>
      </c>
      <c r="AN12" s="38">
        <v>7</v>
      </c>
      <c r="AO12" s="13">
        <v>0.5714285714285714</v>
      </c>
    </row>
    <row r="13" spans="1:91" x14ac:dyDescent="0.25">
      <c r="A13" s="28" t="s">
        <v>195</v>
      </c>
      <c r="B13" s="32">
        <v>3</v>
      </c>
      <c r="C13" s="13">
        <v>0.66666666666666663</v>
      </c>
      <c r="D13" s="38">
        <v>3</v>
      </c>
      <c r="E13" s="13">
        <v>1</v>
      </c>
      <c r="F13" s="38"/>
      <c r="G13" s="13"/>
      <c r="H13" s="38">
        <v>1</v>
      </c>
      <c r="I13" s="13">
        <v>1</v>
      </c>
      <c r="J13" s="38">
        <v>3</v>
      </c>
      <c r="K13" s="13">
        <v>1</v>
      </c>
      <c r="L13" s="38">
        <v>2</v>
      </c>
      <c r="M13" s="13">
        <v>1</v>
      </c>
      <c r="N13" s="38">
        <v>3</v>
      </c>
      <c r="O13" s="13">
        <v>1</v>
      </c>
      <c r="P13" s="38">
        <v>3</v>
      </c>
      <c r="Q13" s="13">
        <v>1</v>
      </c>
      <c r="R13" s="38">
        <v>3</v>
      </c>
      <c r="S13" s="13">
        <v>0.66666666666666663</v>
      </c>
      <c r="T13" s="38">
        <v>3</v>
      </c>
      <c r="U13" s="13">
        <v>0.33333333333333331</v>
      </c>
      <c r="V13" s="38">
        <v>3</v>
      </c>
      <c r="W13" s="13">
        <v>1</v>
      </c>
      <c r="X13" s="38">
        <v>3</v>
      </c>
      <c r="Y13" s="13">
        <v>0.66666666666666663</v>
      </c>
      <c r="Z13" s="38">
        <v>3</v>
      </c>
      <c r="AA13" s="13">
        <v>1</v>
      </c>
      <c r="AB13" s="38">
        <v>3</v>
      </c>
      <c r="AC13" s="13">
        <v>0.66666666666666663</v>
      </c>
      <c r="AD13" s="38">
        <v>3</v>
      </c>
      <c r="AE13" s="13">
        <v>1</v>
      </c>
      <c r="AF13" s="38">
        <v>3</v>
      </c>
      <c r="AG13" s="13">
        <v>0.33333333333333331</v>
      </c>
      <c r="AH13" s="38">
        <v>3</v>
      </c>
      <c r="AI13" s="13">
        <v>1</v>
      </c>
      <c r="AJ13" s="38">
        <v>3</v>
      </c>
      <c r="AK13" s="13">
        <v>1</v>
      </c>
      <c r="AL13" s="38">
        <v>3</v>
      </c>
      <c r="AM13" s="13">
        <v>0.33333333333333331</v>
      </c>
      <c r="AN13" s="38">
        <v>3</v>
      </c>
      <c r="AO13" s="13">
        <v>1</v>
      </c>
    </row>
    <row r="14" spans="1:91" x14ac:dyDescent="0.25">
      <c r="A14" s="8" t="s">
        <v>228</v>
      </c>
      <c r="B14" s="32">
        <v>1</v>
      </c>
      <c r="C14" s="13">
        <v>1</v>
      </c>
      <c r="D14" s="38">
        <v>1</v>
      </c>
      <c r="E14" s="13">
        <v>1</v>
      </c>
      <c r="F14" s="38">
        <v>1</v>
      </c>
      <c r="G14" s="13">
        <v>0</v>
      </c>
      <c r="H14" s="38"/>
      <c r="I14" s="13"/>
      <c r="J14" s="38">
        <v>1</v>
      </c>
      <c r="K14" s="13">
        <v>1</v>
      </c>
      <c r="L14" s="38">
        <v>1</v>
      </c>
      <c r="M14" s="13">
        <v>1</v>
      </c>
      <c r="N14" s="38">
        <v>1</v>
      </c>
      <c r="O14" s="13">
        <v>1</v>
      </c>
      <c r="P14" s="38">
        <v>1</v>
      </c>
      <c r="Q14" s="13">
        <v>1</v>
      </c>
      <c r="R14" s="38">
        <v>1</v>
      </c>
      <c r="S14" s="13">
        <v>0</v>
      </c>
      <c r="T14" s="38"/>
      <c r="U14" s="13"/>
      <c r="V14" s="38">
        <v>1</v>
      </c>
      <c r="W14" s="13">
        <v>1</v>
      </c>
      <c r="X14" s="38">
        <v>1</v>
      </c>
      <c r="Y14" s="13">
        <v>0</v>
      </c>
      <c r="Z14" s="38">
        <v>1</v>
      </c>
      <c r="AA14" s="13">
        <v>1</v>
      </c>
      <c r="AB14" s="38">
        <v>1</v>
      </c>
      <c r="AC14" s="13">
        <v>0</v>
      </c>
      <c r="AD14" s="38">
        <v>1</v>
      </c>
      <c r="AE14" s="13">
        <v>0</v>
      </c>
      <c r="AF14" s="38">
        <v>1</v>
      </c>
      <c r="AG14" s="13">
        <v>1</v>
      </c>
      <c r="AH14" s="38">
        <v>1</v>
      </c>
      <c r="AI14" s="13">
        <v>0</v>
      </c>
      <c r="AJ14" s="38">
        <v>1</v>
      </c>
      <c r="AK14" s="13">
        <v>1</v>
      </c>
      <c r="AL14" s="38">
        <v>1</v>
      </c>
      <c r="AM14" s="13">
        <v>1</v>
      </c>
      <c r="AN14" s="38">
        <v>1</v>
      </c>
      <c r="AO14" s="13">
        <v>0</v>
      </c>
    </row>
    <row r="15" spans="1:91" x14ac:dyDescent="0.25">
      <c r="A15" s="28" t="s">
        <v>191</v>
      </c>
      <c r="B15" s="32">
        <v>12</v>
      </c>
      <c r="C15" s="13">
        <v>0.16666666666666666</v>
      </c>
      <c r="D15" s="38">
        <v>9</v>
      </c>
      <c r="E15" s="13">
        <v>0.33333333333333331</v>
      </c>
      <c r="F15" s="38">
        <v>3</v>
      </c>
      <c r="G15" s="13">
        <v>0</v>
      </c>
      <c r="H15" s="38">
        <v>1</v>
      </c>
      <c r="I15" s="13">
        <v>0</v>
      </c>
      <c r="J15" s="38"/>
      <c r="K15" s="13"/>
      <c r="L15" s="38">
        <v>4</v>
      </c>
      <c r="M15" s="13">
        <v>0</v>
      </c>
      <c r="N15" s="38">
        <v>10</v>
      </c>
      <c r="O15" s="13">
        <v>0.6</v>
      </c>
      <c r="P15" s="38">
        <v>4</v>
      </c>
      <c r="Q15" s="13">
        <v>0</v>
      </c>
      <c r="R15" s="38">
        <v>8</v>
      </c>
      <c r="S15" s="13">
        <v>0.125</v>
      </c>
      <c r="T15" s="38">
        <v>3</v>
      </c>
      <c r="U15" s="13">
        <v>0</v>
      </c>
      <c r="V15" s="38">
        <v>9</v>
      </c>
      <c r="W15" s="13">
        <v>0.44444444444444442</v>
      </c>
      <c r="X15" s="38">
        <v>10</v>
      </c>
      <c r="Y15" s="13">
        <v>0.2</v>
      </c>
      <c r="Z15" s="38">
        <v>11</v>
      </c>
      <c r="AA15" s="13">
        <v>0.45454545454545453</v>
      </c>
      <c r="AB15" s="38">
        <v>11</v>
      </c>
      <c r="AC15" s="13">
        <v>9.0909090909090912E-2</v>
      </c>
      <c r="AD15" s="38">
        <v>8</v>
      </c>
      <c r="AE15" s="13">
        <v>0.375</v>
      </c>
      <c r="AF15" s="38">
        <v>4</v>
      </c>
      <c r="AG15" s="13">
        <v>0</v>
      </c>
      <c r="AH15" s="38">
        <v>11</v>
      </c>
      <c r="AI15" s="13">
        <v>0.18181818181818182</v>
      </c>
      <c r="AJ15" s="38">
        <v>9</v>
      </c>
      <c r="AK15" s="13">
        <v>0.22222222222222221</v>
      </c>
      <c r="AL15" s="38">
        <v>7</v>
      </c>
      <c r="AM15" s="13">
        <v>0</v>
      </c>
      <c r="AN15" s="38">
        <v>9</v>
      </c>
      <c r="AO15" s="13">
        <v>0.22222222222222221</v>
      </c>
    </row>
    <row r="16" spans="1:91" x14ac:dyDescent="0.25">
      <c r="A16" s="28" t="s">
        <v>109</v>
      </c>
      <c r="B16" s="32">
        <v>4</v>
      </c>
      <c r="C16" s="13">
        <v>0.75</v>
      </c>
      <c r="D16" s="38">
        <v>5</v>
      </c>
      <c r="E16" s="13">
        <v>0.8</v>
      </c>
      <c r="F16" s="38">
        <v>2</v>
      </c>
      <c r="G16" s="13">
        <v>0</v>
      </c>
      <c r="H16" s="38">
        <v>1</v>
      </c>
      <c r="I16" s="13">
        <v>0</v>
      </c>
      <c r="J16" s="38">
        <v>4</v>
      </c>
      <c r="K16" s="13">
        <v>1</v>
      </c>
      <c r="L16" s="38"/>
      <c r="M16" s="13"/>
      <c r="N16" s="38">
        <v>7</v>
      </c>
      <c r="O16" s="13">
        <v>0.8571428571428571</v>
      </c>
      <c r="P16" s="38">
        <v>4</v>
      </c>
      <c r="Q16" s="13">
        <v>1</v>
      </c>
      <c r="R16" s="38">
        <v>7</v>
      </c>
      <c r="S16" s="13">
        <v>0.7142857142857143</v>
      </c>
      <c r="T16" s="38">
        <v>3</v>
      </c>
      <c r="U16" s="13">
        <v>1</v>
      </c>
      <c r="V16" s="38">
        <v>5</v>
      </c>
      <c r="W16" s="13">
        <v>1</v>
      </c>
      <c r="X16" s="38">
        <v>6</v>
      </c>
      <c r="Y16" s="13">
        <v>0.83333333333333337</v>
      </c>
      <c r="Z16" s="38">
        <v>6</v>
      </c>
      <c r="AA16" s="13">
        <v>1</v>
      </c>
      <c r="AB16" s="38">
        <v>5</v>
      </c>
      <c r="AC16" s="13">
        <v>0.4</v>
      </c>
      <c r="AD16" s="38">
        <v>7</v>
      </c>
      <c r="AE16" s="13">
        <v>0.7142857142857143</v>
      </c>
      <c r="AF16" s="38">
        <v>6</v>
      </c>
      <c r="AG16" s="13">
        <v>0.16666666666666666</v>
      </c>
      <c r="AH16" s="38">
        <v>5</v>
      </c>
      <c r="AI16" s="13">
        <v>0.6</v>
      </c>
      <c r="AJ16" s="38">
        <v>7</v>
      </c>
      <c r="AK16" s="13">
        <v>0.7142857142857143</v>
      </c>
      <c r="AL16" s="38">
        <v>5</v>
      </c>
      <c r="AM16" s="13">
        <v>0.6</v>
      </c>
      <c r="AN16" s="38">
        <v>6</v>
      </c>
      <c r="AO16" s="13">
        <v>0.33333333333333331</v>
      </c>
    </row>
    <row r="17" spans="1:41" x14ac:dyDescent="0.25">
      <c r="A17" s="28" t="s">
        <v>65</v>
      </c>
      <c r="B17" s="32">
        <v>8</v>
      </c>
      <c r="C17" s="13">
        <v>0.625</v>
      </c>
      <c r="D17" s="38">
        <v>6</v>
      </c>
      <c r="E17" s="13">
        <v>0.5</v>
      </c>
      <c r="F17" s="38">
        <v>3</v>
      </c>
      <c r="G17" s="13">
        <v>0</v>
      </c>
      <c r="H17" s="38">
        <v>1</v>
      </c>
      <c r="I17" s="13">
        <v>0</v>
      </c>
      <c r="J17" s="38">
        <v>10</v>
      </c>
      <c r="K17" s="13">
        <v>0.4</v>
      </c>
      <c r="L17" s="38">
        <v>7</v>
      </c>
      <c r="M17" s="13">
        <v>0.14285714285714285</v>
      </c>
      <c r="N17" s="38"/>
      <c r="O17" s="13"/>
      <c r="P17" s="38">
        <v>5</v>
      </c>
      <c r="Q17" s="13">
        <v>1</v>
      </c>
      <c r="R17" s="38">
        <v>11</v>
      </c>
      <c r="S17" s="13">
        <v>0.72727272727272729</v>
      </c>
      <c r="T17" s="38">
        <v>3</v>
      </c>
      <c r="U17" s="13">
        <v>0.33333333333333331</v>
      </c>
      <c r="V17" s="38">
        <v>7</v>
      </c>
      <c r="W17" s="13">
        <v>0.7142857142857143</v>
      </c>
      <c r="X17" s="38">
        <v>7</v>
      </c>
      <c r="Y17" s="13">
        <v>0.7142857142857143</v>
      </c>
      <c r="Z17" s="38">
        <v>10</v>
      </c>
      <c r="AA17" s="13">
        <v>0.6</v>
      </c>
      <c r="AB17" s="38">
        <v>7</v>
      </c>
      <c r="AC17" s="13">
        <v>0.14285714285714285</v>
      </c>
      <c r="AD17" s="38">
        <v>12</v>
      </c>
      <c r="AE17" s="13">
        <v>0.66666666666666663</v>
      </c>
      <c r="AF17" s="38">
        <v>5</v>
      </c>
      <c r="AG17" s="13">
        <v>0</v>
      </c>
      <c r="AH17" s="38">
        <v>8</v>
      </c>
      <c r="AI17" s="13">
        <v>0.875</v>
      </c>
      <c r="AJ17" s="38">
        <v>10</v>
      </c>
      <c r="AK17" s="13">
        <v>0.6</v>
      </c>
      <c r="AL17" s="38">
        <v>7</v>
      </c>
      <c r="AM17" s="13">
        <v>0.2857142857142857</v>
      </c>
      <c r="AN17" s="38">
        <v>10</v>
      </c>
      <c r="AO17" s="13">
        <v>0.4</v>
      </c>
    </row>
    <row r="18" spans="1:41" x14ac:dyDescent="0.25">
      <c r="A18" s="28" t="s">
        <v>192</v>
      </c>
      <c r="B18" s="32">
        <v>5</v>
      </c>
      <c r="C18" s="13">
        <v>0.4</v>
      </c>
      <c r="D18" s="38">
        <v>4</v>
      </c>
      <c r="E18" s="13">
        <v>0</v>
      </c>
      <c r="F18" s="38">
        <v>3</v>
      </c>
      <c r="G18" s="13">
        <v>0</v>
      </c>
      <c r="H18" s="38">
        <v>1</v>
      </c>
      <c r="I18" s="13">
        <v>0</v>
      </c>
      <c r="J18" s="38">
        <v>4</v>
      </c>
      <c r="K18" s="13">
        <v>1</v>
      </c>
      <c r="L18" s="38">
        <v>4</v>
      </c>
      <c r="M18" s="13">
        <v>0</v>
      </c>
      <c r="N18" s="38">
        <v>5</v>
      </c>
      <c r="O18" s="13">
        <v>0</v>
      </c>
      <c r="P18" s="38"/>
      <c r="Q18" s="13"/>
      <c r="R18" s="38">
        <v>5</v>
      </c>
      <c r="S18" s="13">
        <v>0.6</v>
      </c>
      <c r="T18" s="38">
        <v>3</v>
      </c>
      <c r="U18" s="13">
        <v>0</v>
      </c>
      <c r="V18" s="38">
        <v>4</v>
      </c>
      <c r="W18" s="13">
        <v>0.25</v>
      </c>
      <c r="X18" s="38">
        <v>4</v>
      </c>
      <c r="Y18" s="13">
        <v>0</v>
      </c>
      <c r="Z18" s="38">
        <v>5</v>
      </c>
      <c r="AA18" s="13">
        <v>0.8</v>
      </c>
      <c r="AB18" s="38">
        <v>4</v>
      </c>
      <c r="AC18" s="13">
        <v>0</v>
      </c>
      <c r="AD18" s="38">
        <v>4</v>
      </c>
      <c r="AE18" s="13">
        <v>0.25</v>
      </c>
      <c r="AF18" s="38">
        <v>4</v>
      </c>
      <c r="AG18" s="13">
        <v>0</v>
      </c>
      <c r="AH18" s="38">
        <v>5</v>
      </c>
      <c r="AI18" s="13">
        <v>0.6</v>
      </c>
      <c r="AJ18" s="38">
        <v>5</v>
      </c>
      <c r="AK18" s="13">
        <v>0.4</v>
      </c>
      <c r="AL18" s="38">
        <v>4</v>
      </c>
      <c r="AM18" s="13">
        <v>0.25</v>
      </c>
      <c r="AN18" s="38">
        <v>4</v>
      </c>
      <c r="AO18" s="13">
        <v>0.75</v>
      </c>
    </row>
    <row r="19" spans="1:41" x14ac:dyDescent="0.25">
      <c r="A19" s="28" t="s">
        <v>71</v>
      </c>
      <c r="B19" s="32">
        <v>9</v>
      </c>
      <c r="C19" s="13">
        <v>0.44444444444444442</v>
      </c>
      <c r="D19" s="38">
        <v>5</v>
      </c>
      <c r="E19" s="13">
        <v>0.4</v>
      </c>
      <c r="F19" s="38">
        <v>3</v>
      </c>
      <c r="G19" s="13">
        <v>0.33333333333333331</v>
      </c>
      <c r="H19" s="38">
        <v>1</v>
      </c>
      <c r="I19" s="13">
        <v>1</v>
      </c>
      <c r="J19" s="38">
        <v>8</v>
      </c>
      <c r="K19" s="13">
        <v>0.875</v>
      </c>
      <c r="L19" s="38">
        <v>7</v>
      </c>
      <c r="M19" s="13">
        <v>0.14285714285714285</v>
      </c>
      <c r="N19" s="38">
        <v>11</v>
      </c>
      <c r="O19" s="13">
        <v>0.27272727272727271</v>
      </c>
      <c r="P19" s="38">
        <v>5</v>
      </c>
      <c r="Q19" s="13">
        <v>0.4</v>
      </c>
      <c r="R19" s="38"/>
      <c r="S19" s="13"/>
      <c r="T19" s="38">
        <v>3</v>
      </c>
      <c r="U19" s="13">
        <v>0.33333333333333331</v>
      </c>
      <c r="V19" s="38">
        <v>9</v>
      </c>
      <c r="W19" s="13">
        <v>0.55555555555555558</v>
      </c>
      <c r="X19" s="38">
        <v>9</v>
      </c>
      <c r="Y19" s="13">
        <v>0.22222222222222221</v>
      </c>
      <c r="Z19" s="38">
        <v>11</v>
      </c>
      <c r="AA19" s="13">
        <v>0.63636363636363635</v>
      </c>
      <c r="AB19" s="38">
        <v>9</v>
      </c>
      <c r="AC19" s="13">
        <v>0.33333333333333331</v>
      </c>
      <c r="AD19" s="38">
        <v>10</v>
      </c>
      <c r="AE19" s="13">
        <v>0.6</v>
      </c>
      <c r="AF19" s="38">
        <v>7</v>
      </c>
      <c r="AG19" s="13">
        <v>0.2857142857142857</v>
      </c>
      <c r="AH19" s="38">
        <v>10</v>
      </c>
      <c r="AI19" s="13">
        <v>0.6</v>
      </c>
      <c r="AJ19" s="38">
        <v>10</v>
      </c>
      <c r="AK19" s="13">
        <v>0.4</v>
      </c>
      <c r="AL19" s="38">
        <v>6</v>
      </c>
      <c r="AM19" s="13">
        <v>0.66666666666666663</v>
      </c>
      <c r="AN19" s="38">
        <v>10</v>
      </c>
      <c r="AO19" s="13">
        <v>0.6</v>
      </c>
    </row>
    <row r="20" spans="1:41" x14ac:dyDescent="0.25">
      <c r="A20" s="28" t="s">
        <v>196</v>
      </c>
      <c r="B20" s="32">
        <v>3</v>
      </c>
      <c r="C20" s="13">
        <v>0.66666666666666663</v>
      </c>
      <c r="D20" s="38">
        <v>3</v>
      </c>
      <c r="E20" s="13">
        <v>0.66666666666666663</v>
      </c>
      <c r="F20" s="38">
        <v>3</v>
      </c>
      <c r="G20" s="13">
        <v>0.33333333333333331</v>
      </c>
      <c r="H20" s="38"/>
      <c r="I20" s="13"/>
      <c r="J20" s="38">
        <v>3</v>
      </c>
      <c r="K20" s="13">
        <v>1</v>
      </c>
      <c r="L20" s="38">
        <v>3</v>
      </c>
      <c r="M20" s="13">
        <v>0</v>
      </c>
      <c r="N20" s="38">
        <v>3</v>
      </c>
      <c r="O20" s="13">
        <v>0.66666666666666663</v>
      </c>
      <c r="P20" s="38">
        <v>3</v>
      </c>
      <c r="Q20" s="13">
        <v>1</v>
      </c>
      <c r="R20" s="38">
        <v>3</v>
      </c>
      <c r="S20" s="13">
        <v>0.66666666666666663</v>
      </c>
      <c r="T20" s="38"/>
      <c r="U20" s="13"/>
      <c r="V20" s="38">
        <v>3</v>
      </c>
      <c r="W20" s="13">
        <v>1</v>
      </c>
      <c r="X20" s="38">
        <v>3</v>
      </c>
      <c r="Y20" s="13">
        <v>0.33333333333333331</v>
      </c>
      <c r="Z20" s="38">
        <v>3</v>
      </c>
      <c r="AA20" s="13">
        <v>1</v>
      </c>
      <c r="AB20" s="38">
        <v>3</v>
      </c>
      <c r="AC20" s="13">
        <v>0.66666666666666663</v>
      </c>
      <c r="AD20" s="38">
        <v>3</v>
      </c>
      <c r="AE20" s="13">
        <v>0.66666666666666663</v>
      </c>
      <c r="AF20" s="38">
        <v>3</v>
      </c>
      <c r="AG20" s="13">
        <v>0</v>
      </c>
      <c r="AH20" s="38">
        <v>3</v>
      </c>
      <c r="AI20" s="13">
        <v>0.33333333333333331</v>
      </c>
      <c r="AJ20" s="38">
        <v>3</v>
      </c>
      <c r="AK20" s="13">
        <v>0.66666666666666663</v>
      </c>
      <c r="AL20" s="38">
        <v>3</v>
      </c>
      <c r="AM20" s="13">
        <v>0.66666666666666663</v>
      </c>
      <c r="AN20" s="38">
        <v>3</v>
      </c>
      <c r="AO20" s="13">
        <v>1</v>
      </c>
    </row>
    <row r="21" spans="1:41" ht="30" x14ac:dyDescent="0.25">
      <c r="A21" s="28" t="s">
        <v>193</v>
      </c>
      <c r="B21" s="32">
        <v>10</v>
      </c>
      <c r="C21" s="13">
        <v>0.3</v>
      </c>
      <c r="D21" s="38">
        <v>9</v>
      </c>
      <c r="E21" s="13">
        <v>0.44444444444444442</v>
      </c>
      <c r="F21" s="38">
        <v>3</v>
      </c>
      <c r="G21" s="13">
        <v>0</v>
      </c>
      <c r="H21" s="38">
        <v>1</v>
      </c>
      <c r="I21" s="13">
        <v>0</v>
      </c>
      <c r="J21" s="38">
        <v>9</v>
      </c>
      <c r="K21" s="13">
        <v>0.44444444444444442</v>
      </c>
      <c r="L21" s="38">
        <v>5</v>
      </c>
      <c r="M21" s="13">
        <v>0</v>
      </c>
      <c r="N21" s="38">
        <v>7</v>
      </c>
      <c r="O21" s="13">
        <v>0.2857142857142857</v>
      </c>
      <c r="P21" s="38">
        <v>4</v>
      </c>
      <c r="Q21" s="13">
        <v>0.75</v>
      </c>
      <c r="R21" s="38">
        <v>9</v>
      </c>
      <c r="S21" s="13">
        <v>0.44444444444444442</v>
      </c>
      <c r="T21" s="38">
        <v>3</v>
      </c>
      <c r="U21" s="13">
        <v>0</v>
      </c>
      <c r="V21" s="38"/>
      <c r="W21" s="13"/>
      <c r="X21" s="38">
        <v>11</v>
      </c>
      <c r="Y21" s="13">
        <v>0.36363636363636365</v>
      </c>
      <c r="Z21" s="38">
        <v>7</v>
      </c>
      <c r="AA21" s="13">
        <v>0.5714285714285714</v>
      </c>
      <c r="AB21" s="38">
        <v>10</v>
      </c>
      <c r="AC21" s="13">
        <v>0.8</v>
      </c>
      <c r="AD21" s="38">
        <v>10</v>
      </c>
      <c r="AE21" s="13">
        <v>0.4</v>
      </c>
      <c r="AF21" s="38">
        <v>4</v>
      </c>
      <c r="AG21" s="13">
        <v>0</v>
      </c>
      <c r="AH21" s="38">
        <v>9</v>
      </c>
      <c r="AI21" s="13">
        <v>0.22222222222222221</v>
      </c>
      <c r="AJ21" s="38">
        <v>11</v>
      </c>
      <c r="AK21" s="13">
        <v>0.36363636363636365</v>
      </c>
      <c r="AL21" s="38">
        <v>8</v>
      </c>
      <c r="AM21" s="13">
        <v>0.625</v>
      </c>
      <c r="AN21" s="38">
        <v>8</v>
      </c>
      <c r="AO21" s="13">
        <v>0.5</v>
      </c>
    </row>
    <row r="22" spans="1:41" x14ac:dyDescent="0.25">
      <c r="A22" s="28" t="s">
        <v>62</v>
      </c>
      <c r="B22" s="32">
        <v>3</v>
      </c>
      <c r="C22" s="13">
        <v>1</v>
      </c>
      <c r="D22" s="38">
        <v>1</v>
      </c>
      <c r="E22" s="13">
        <v>1</v>
      </c>
      <c r="F22" s="38"/>
      <c r="G22" s="13"/>
      <c r="H22" s="38"/>
      <c r="I22" s="13"/>
      <c r="J22" s="38">
        <v>3</v>
      </c>
      <c r="K22" s="13">
        <v>0.66666666666666663</v>
      </c>
      <c r="L22" s="38"/>
      <c r="M22" s="13"/>
      <c r="N22" s="38">
        <v>3</v>
      </c>
      <c r="O22" s="13">
        <v>0.33333333333333331</v>
      </c>
      <c r="P22" s="38"/>
      <c r="Q22" s="13"/>
      <c r="R22" s="38">
        <v>3</v>
      </c>
      <c r="S22" s="13">
        <v>1</v>
      </c>
      <c r="T22" s="38"/>
      <c r="U22" s="13"/>
      <c r="V22" s="38">
        <v>3</v>
      </c>
      <c r="W22" s="13">
        <v>0.66666666666666663</v>
      </c>
      <c r="X22" s="38">
        <v>3</v>
      </c>
      <c r="Y22" s="13">
        <v>0.33333333333333331</v>
      </c>
      <c r="Z22" s="38">
        <v>3</v>
      </c>
      <c r="AA22" s="13">
        <v>0.33333333333333331</v>
      </c>
      <c r="AB22" s="38">
        <v>3</v>
      </c>
      <c r="AC22" s="13">
        <v>0.66666666666666663</v>
      </c>
      <c r="AD22" s="38">
        <v>3</v>
      </c>
      <c r="AE22" s="13">
        <v>0.33333333333333331</v>
      </c>
      <c r="AF22" s="38"/>
      <c r="AG22" s="13"/>
      <c r="AH22" s="38">
        <v>3</v>
      </c>
      <c r="AI22" s="13">
        <v>1</v>
      </c>
      <c r="AJ22" s="38">
        <v>3</v>
      </c>
      <c r="AK22" s="13">
        <v>0.66666666666666663</v>
      </c>
      <c r="AL22" s="38">
        <v>1</v>
      </c>
      <c r="AM22" s="13">
        <v>1</v>
      </c>
      <c r="AN22" s="38">
        <v>3</v>
      </c>
      <c r="AO22" s="13">
        <v>0.33333333333333331</v>
      </c>
    </row>
    <row r="23" spans="1:41" x14ac:dyDescent="0.25">
      <c r="A23" s="28" t="s">
        <v>61</v>
      </c>
      <c r="B23" s="32">
        <v>10</v>
      </c>
      <c r="C23" s="13">
        <v>0.5</v>
      </c>
      <c r="D23" s="38">
        <v>7</v>
      </c>
      <c r="E23" s="13">
        <v>0.7142857142857143</v>
      </c>
      <c r="F23" s="38">
        <v>3</v>
      </c>
      <c r="G23" s="13">
        <v>0.33333333333333331</v>
      </c>
      <c r="H23" s="38">
        <v>1</v>
      </c>
      <c r="I23" s="13">
        <v>1</v>
      </c>
      <c r="J23" s="38">
        <v>10</v>
      </c>
      <c r="K23" s="13">
        <v>0.7</v>
      </c>
      <c r="L23" s="38">
        <v>6</v>
      </c>
      <c r="M23" s="13">
        <v>0.16666666666666666</v>
      </c>
      <c r="N23" s="38">
        <v>7</v>
      </c>
      <c r="O23" s="13">
        <v>0.2857142857142857</v>
      </c>
      <c r="P23" s="38">
        <v>4</v>
      </c>
      <c r="Q23" s="13">
        <v>1</v>
      </c>
      <c r="R23" s="38">
        <v>9</v>
      </c>
      <c r="S23" s="13">
        <v>0.77777777777777779</v>
      </c>
      <c r="T23" s="38">
        <v>3</v>
      </c>
      <c r="U23" s="13">
        <v>0.33333333333333331</v>
      </c>
      <c r="V23" s="38">
        <v>11</v>
      </c>
      <c r="W23" s="13">
        <v>0.63636363636363635</v>
      </c>
      <c r="X23" s="38"/>
      <c r="Y23" s="13"/>
      <c r="Z23" s="38">
        <v>9</v>
      </c>
      <c r="AA23" s="13">
        <v>0.33333333333333331</v>
      </c>
      <c r="AB23" s="38">
        <v>10</v>
      </c>
      <c r="AC23" s="13">
        <v>0.4</v>
      </c>
      <c r="AD23" s="38">
        <v>8</v>
      </c>
      <c r="AE23" s="13">
        <v>0.625</v>
      </c>
      <c r="AF23" s="38">
        <v>4</v>
      </c>
      <c r="AG23" s="13">
        <v>0.25</v>
      </c>
      <c r="AH23" s="38">
        <v>12</v>
      </c>
      <c r="AI23" s="13">
        <v>0.83333333333333337</v>
      </c>
      <c r="AJ23" s="38">
        <v>6</v>
      </c>
      <c r="AK23" s="13">
        <v>0.5</v>
      </c>
      <c r="AL23" s="38">
        <v>8</v>
      </c>
      <c r="AM23" s="13">
        <v>0.625</v>
      </c>
      <c r="AN23" s="38">
        <v>8</v>
      </c>
      <c r="AO23" s="13">
        <v>0.5</v>
      </c>
    </row>
    <row r="24" spans="1:41" x14ac:dyDescent="0.25">
      <c r="A24" s="28" t="s">
        <v>182</v>
      </c>
      <c r="B24" s="32">
        <v>9</v>
      </c>
      <c r="C24" s="13">
        <v>0.33333333333333331</v>
      </c>
      <c r="D24" s="38">
        <v>6</v>
      </c>
      <c r="E24" s="13">
        <v>0.16666666666666666</v>
      </c>
      <c r="F24" s="38">
        <v>3</v>
      </c>
      <c r="G24" s="13">
        <v>0</v>
      </c>
      <c r="H24" s="38">
        <v>1</v>
      </c>
      <c r="I24" s="13">
        <v>0</v>
      </c>
      <c r="J24" s="38">
        <v>11</v>
      </c>
      <c r="K24" s="13">
        <v>0.45454545454545453</v>
      </c>
      <c r="L24" s="38">
        <v>6</v>
      </c>
      <c r="M24" s="13">
        <v>0</v>
      </c>
      <c r="N24" s="38">
        <v>10</v>
      </c>
      <c r="O24" s="13">
        <v>0.4</v>
      </c>
      <c r="P24" s="38">
        <v>5</v>
      </c>
      <c r="Q24" s="13">
        <v>0.2</v>
      </c>
      <c r="R24" s="38">
        <v>11</v>
      </c>
      <c r="S24" s="13">
        <v>0.27272727272727271</v>
      </c>
      <c r="T24" s="38">
        <v>3</v>
      </c>
      <c r="U24" s="13">
        <v>0</v>
      </c>
      <c r="V24" s="38">
        <v>7</v>
      </c>
      <c r="W24" s="13">
        <v>0.42857142857142855</v>
      </c>
      <c r="X24" s="38">
        <v>9</v>
      </c>
      <c r="Y24" s="13">
        <v>0.66666666666666663</v>
      </c>
      <c r="Z24" s="38"/>
      <c r="AA24" s="13"/>
      <c r="AB24" s="38">
        <v>9</v>
      </c>
      <c r="AC24" s="13">
        <v>0.33333333333333331</v>
      </c>
      <c r="AD24" s="38">
        <v>11</v>
      </c>
      <c r="AE24" s="13">
        <v>0.45454545454545453</v>
      </c>
      <c r="AF24" s="38">
        <v>6</v>
      </c>
      <c r="AG24" s="13">
        <v>0.16666666666666666</v>
      </c>
      <c r="AH24" s="38">
        <v>10</v>
      </c>
      <c r="AI24" s="13">
        <v>0.6</v>
      </c>
      <c r="AJ24" s="38">
        <v>12</v>
      </c>
      <c r="AK24" s="13">
        <v>0.33333333333333331</v>
      </c>
      <c r="AL24" s="38">
        <v>5</v>
      </c>
      <c r="AM24" s="13">
        <v>0</v>
      </c>
      <c r="AN24" s="38">
        <v>11</v>
      </c>
      <c r="AO24" s="13">
        <v>0.72727272727272729</v>
      </c>
    </row>
    <row r="25" spans="1:41" x14ac:dyDescent="0.25">
      <c r="A25" s="28" t="s">
        <v>70</v>
      </c>
      <c r="B25" s="32">
        <v>10</v>
      </c>
      <c r="C25" s="13">
        <v>0.3</v>
      </c>
      <c r="D25" s="38">
        <v>7</v>
      </c>
      <c r="E25" s="13">
        <v>0.14285714285714285</v>
      </c>
      <c r="F25" s="38">
        <v>3</v>
      </c>
      <c r="G25" s="13">
        <v>0.33333333333333331</v>
      </c>
      <c r="H25" s="38">
        <v>1</v>
      </c>
      <c r="I25" s="13">
        <v>1</v>
      </c>
      <c r="J25" s="38">
        <v>11</v>
      </c>
      <c r="K25" s="13">
        <v>0.90909090909090906</v>
      </c>
      <c r="L25" s="38">
        <v>5</v>
      </c>
      <c r="M25" s="13">
        <v>0.6</v>
      </c>
      <c r="N25" s="38">
        <v>7</v>
      </c>
      <c r="O25" s="13">
        <v>0.8571428571428571</v>
      </c>
      <c r="P25" s="38">
        <v>4</v>
      </c>
      <c r="Q25" s="13">
        <v>1</v>
      </c>
      <c r="R25" s="38">
        <v>9</v>
      </c>
      <c r="S25" s="13">
        <v>0.55555555555555558</v>
      </c>
      <c r="T25" s="38">
        <v>3</v>
      </c>
      <c r="U25" s="13">
        <v>0.33333333333333331</v>
      </c>
      <c r="V25" s="38">
        <v>10</v>
      </c>
      <c r="W25" s="13">
        <v>0.2</v>
      </c>
      <c r="X25" s="38">
        <v>10</v>
      </c>
      <c r="Y25" s="13">
        <v>0.6</v>
      </c>
      <c r="Z25" s="38">
        <v>9</v>
      </c>
      <c r="AA25" s="13">
        <v>0.66666666666666663</v>
      </c>
      <c r="AB25" s="38"/>
      <c r="AC25" s="13"/>
      <c r="AD25" s="38">
        <v>8</v>
      </c>
      <c r="AE25" s="13">
        <v>0.375</v>
      </c>
      <c r="AF25" s="38">
        <v>4</v>
      </c>
      <c r="AG25" s="13">
        <v>0.25</v>
      </c>
      <c r="AH25" s="38">
        <v>9</v>
      </c>
      <c r="AI25" s="13">
        <v>0.44444444444444442</v>
      </c>
      <c r="AJ25" s="38">
        <v>7</v>
      </c>
      <c r="AK25" s="13">
        <v>0.8571428571428571</v>
      </c>
      <c r="AL25" s="38">
        <v>8</v>
      </c>
      <c r="AM25" s="13">
        <v>0.875</v>
      </c>
      <c r="AN25" s="38">
        <v>8</v>
      </c>
      <c r="AO25" s="13">
        <v>0.5</v>
      </c>
    </row>
    <row r="26" spans="1:41" x14ac:dyDescent="0.25">
      <c r="A26" s="28" t="s">
        <v>64</v>
      </c>
      <c r="B26" s="32">
        <v>7</v>
      </c>
      <c r="C26" s="13">
        <v>0.7142857142857143</v>
      </c>
      <c r="D26" s="38">
        <v>6</v>
      </c>
      <c r="E26" s="13">
        <v>0.5</v>
      </c>
      <c r="F26" s="38">
        <v>3</v>
      </c>
      <c r="G26" s="13">
        <v>0</v>
      </c>
      <c r="H26" s="38">
        <v>1</v>
      </c>
      <c r="I26" s="13">
        <v>1</v>
      </c>
      <c r="J26" s="38">
        <v>8</v>
      </c>
      <c r="K26" s="13">
        <v>0.625</v>
      </c>
      <c r="L26" s="38">
        <v>7</v>
      </c>
      <c r="M26" s="13">
        <v>0.2857142857142857</v>
      </c>
      <c r="N26" s="38">
        <v>12</v>
      </c>
      <c r="O26" s="13">
        <v>0.33333333333333331</v>
      </c>
      <c r="P26" s="38">
        <v>4</v>
      </c>
      <c r="Q26" s="13">
        <v>0.75</v>
      </c>
      <c r="R26" s="38">
        <v>10</v>
      </c>
      <c r="S26" s="13">
        <v>0.4</v>
      </c>
      <c r="T26" s="38">
        <v>3</v>
      </c>
      <c r="U26" s="13">
        <v>0.33333333333333331</v>
      </c>
      <c r="V26" s="38">
        <v>10</v>
      </c>
      <c r="W26" s="13">
        <v>0.6</v>
      </c>
      <c r="X26" s="38">
        <v>8</v>
      </c>
      <c r="Y26" s="13">
        <v>0.375</v>
      </c>
      <c r="Z26" s="38">
        <v>11</v>
      </c>
      <c r="AA26" s="13">
        <v>0.54545454545454541</v>
      </c>
      <c r="AB26" s="38">
        <v>8</v>
      </c>
      <c r="AC26" s="13">
        <v>0.625</v>
      </c>
      <c r="AD26" s="38"/>
      <c r="AE26" s="13"/>
      <c r="AF26" s="38">
        <v>6</v>
      </c>
      <c r="AG26" s="13">
        <v>0.5</v>
      </c>
      <c r="AH26" s="38">
        <v>9</v>
      </c>
      <c r="AI26" s="13">
        <v>0.55555555555555558</v>
      </c>
      <c r="AJ26" s="38">
        <v>9</v>
      </c>
      <c r="AK26" s="13">
        <v>0.55555555555555558</v>
      </c>
      <c r="AL26" s="38">
        <v>6</v>
      </c>
      <c r="AM26" s="13">
        <v>0.5</v>
      </c>
      <c r="AN26" s="38">
        <v>11</v>
      </c>
      <c r="AO26" s="13">
        <v>0.54545454545454541</v>
      </c>
    </row>
    <row r="27" spans="1:41" x14ac:dyDescent="0.25">
      <c r="A27" s="28" t="s">
        <v>194</v>
      </c>
      <c r="B27" s="32">
        <v>4</v>
      </c>
      <c r="C27" s="13">
        <v>1</v>
      </c>
      <c r="D27" s="38">
        <v>4</v>
      </c>
      <c r="E27" s="13">
        <v>0.75</v>
      </c>
      <c r="F27" s="38">
        <v>3</v>
      </c>
      <c r="G27" s="13">
        <v>0.66666666666666663</v>
      </c>
      <c r="H27" s="38">
        <v>1</v>
      </c>
      <c r="I27" s="13">
        <v>0</v>
      </c>
      <c r="J27" s="38">
        <v>4</v>
      </c>
      <c r="K27" s="13">
        <v>1</v>
      </c>
      <c r="L27" s="38">
        <v>6</v>
      </c>
      <c r="M27" s="13">
        <v>0.83333333333333337</v>
      </c>
      <c r="N27" s="38">
        <v>5</v>
      </c>
      <c r="O27" s="13">
        <v>1</v>
      </c>
      <c r="P27" s="38">
        <v>4</v>
      </c>
      <c r="Q27" s="13">
        <v>1</v>
      </c>
      <c r="R27" s="38">
        <v>7</v>
      </c>
      <c r="S27" s="13">
        <v>0.7142857142857143</v>
      </c>
      <c r="T27" s="38">
        <v>3</v>
      </c>
      <c r="U27" s="13">
        <v>0.66666666666666663</v>
      </c>
      <c r="V27" s="38">
        <v>4</v>
      </c>
      <c r="W27" s="13">
        <v>1</v>
      </c>
      <c r="X27" s="38">
        <v>4</v>
      </c>
      <c r="Y27" s="13">
        <v>0.75</v>
      </c>
      <c r="Z27" s="38">
        <v>6</v>
      </c>
      <c r="AA27" s="13">
        <v>0.83333333333333337</v>
      </c>
      <c r="AB27" s="38">
        <v>4</v>
      </c>
      <c r="AC27" s="13">
        <v>0.75</v>
      </c>
      <c r="AD27" s="38">
        <v>6</v>
      </c>
      <c r="AE27" s="13">
        <v>0.5</v>
      </c>
      <c r="AF27" s="38"/>
      <c r="AG27" s="13"/>
      <c r="AH27" s="38">
        <v>4</v>
      </c>
      <c r="AI27" s="13">
        <v>1</v>
      </c>
      <c r="AJ27" s="38">
        <v>6</v>
      </c>
      <c r="AK27" s="13">
        <v>0.83333333333333337</v>
      </c>
      <c r="AL27" s="38">
        <v>4</v>
      </c>
      <c r="AM27" s="13">
        <v>0.5</v>
      </c>
      <c r="AN27" s="38">
        <v>6</v>
      </c>
      <c r="AO27" s="13">
        <v>0.66666666666666663</v>
      </c>
    </row>
    <row r="28" spans="1:41" x14ac:dyDescent="0.25">
      <c r="A28" s="28" t="s">
        <v>60</v>
      </c>
      <c r="B28" s="32">
        <v>10</v>
      </c>
      <c r="C28" s="13">
        <v>0.5</v>
      </c>
      <c r="D28" s="38">
        <v>9</v>
      </c>
      <c r="E28" s="13">
        <v>0.22222222222222221</v>
      </c>
      <c r="F28" s="38">
        <v>3</v>
      </c>
      <c r="G28" s="13">
        <v>0</v>
      </c>
      <c r="H28" s="38">
        <v>1</v>
      </c>
      <c r="I28" s="13">
        <v>1</v>
      </c>
      <c r="J28" s="38">
        <v>11</v>
      </c>
      <c r="K28" s="13">
        <v>0.72727272727272729</v>
      </c>
      <c r="L28" s="38">
        <v>5</v>
      </c>
      <c r="M28" s="13">
        <v>0.2</v>
      </c>
      <c r="N28" s="38">
        <v>8</v>
      </c>
      <c r="O28" s="13">
        <v>0.125</v>
      </c>
      <c r="P28" s="38">
        <v>5</v>
      </c>
      <c r="Q28" s="13">
        <v>0.4</v>
      </c>
      <c r="R28" s="38">
        <v>10</v>
      </c>
      <c r="S28" s="13">
        <v>0.2</v>
      </c>
      <c r="T28" s="38">
        <v>3</v>
      </c>
      <c r="U28" s="13">
        <v>0.66666666666666663</v>
      </c>
      <c r="V28" s="38">
        <v>9</v>
      </c>
      <c r="W28" s="13">
        <v>0.77777777777777779</v>
      </c>
      <c r="X28" s="38">
        <v>12</v>
      </c>
      <c r="Y28" s="13">
        <v>0.16666666666666666</v>
      </c>
      <c r="Z28" s="38">
        <v>10</v>
      </c>
      <c r="AA28" s="13">
        <v>0.4</v>
      </c>
      <c r="AB28" s="38">
        <v>9</v>
      </c>
      <c r="AC28" s="13">
        <v>0.44444444444444442</v>
      </c>
      <c r="AD28" s="38">
        <v>9</v>
      </c>
      <c r="AE28" s="13">
        <v>0.33333333333333331</v>
      </c>
      <c r="AF28" s="38">
        <v>4</v>
      </c>
      <c r="AG28" s="13">
        <v>0</v>
      </c>
      <c r="AH28" s="38"/>
      <c r="AI28" s="13"/>
      <c r="AJ28" s="38">
        <v>8</v>
      </c>
      <c r="AK28" s="13">
        <v>0</v>
      </c>
      <c r="AL28" s="38">
        <v>10</v>
      </c>
      <c r="AM28" s="13">
        <v>0.3</v>
      </c>
      <c r="AN28" s="38">
        <v>10</v>
      </c>
      <c r="AO28" s="13">
        <v>0.3</v>
      </c>
    </row>
    <row r="29" spans="1:41" x14ac:dyDescent="0.25">
      <c r="A29" s="28" t="s">
        <v>72</v>
      </c>
      <c r="B29" s="32">
        <v>8</v>
      </c>
      <c r="C29" s="13">
        <v>0.25</v>
      </c>
      <c r="D29" s="38">
        <v>6</v>
      </c>
      <c r="E29" s="13">
        <v>0.16666666666666666</v>
      </c>
      <c r="F29" s="38">
        <v>3</v>
      </c>
      <c r="G29" s="13">
        <v>0</v>
      </c>
      <c r="H29" s="38">
        <v>1</v>
      </c>
      <c r="I29" s="13">
        <v>0</v>
      </c>
      <c r="J29" s="38">
        <v>9</v>
      </c>
      <c r="K29" s="13">
        <v>0.77777777777777779</v>
      </c>
      <c r="L29" s="38">
        <v>7</v>
      </c>
      <c r="M29" s="13">
        <v>0.2857142857142857</v>
      </c>
      <c r="N29" s="38">
        <v>10</v>
      </c>
      <c r="O29" s="13">
        <v>0.4</v>
      </c>
      <c r="P29" s="38">
        <v>5</v>
      </c>
      <c r="Q29" s="13">
        <v>0.6</v>
      </c>
      <c r="R29" s="38">
        <v>10</v>
      </c>
      <c r="S29" s="13">
        <v>0.6</v>
      </c>
      <c r="T29" s="38">
        <v>3</v>
      </c>
      <c r="U29" s="13">
        <v>0.33333333333333331</v>
      </c>
      <c r="V29" s="38">
        <v>11</v>
      </c>
      <c r="W29" s="13">
        <v>0.63636363636363635</v>
      </c>
      <c r="X29" s="38">
        <v>6</v>
      </c>
      <c r="Y29" s="13">
        <v>0.5</v>
      </c>
      <c r="Z29" s="38">
        <v>12</v>
      </c>
      <c r="AA29" s="13">
        <v>0.66666666666666663</v>
      </c>
      <c r="AB29" s="38">
        <v>7</v>
      </c>
      <c r="AC29" s="13">
        <v>0.14285714285714285</v>
      </c>
      <c r="AD29" s="38">
        <v>9</v>
      </c>
      <c r="AE29" s="13">
        <v>0.44444444444444442</v>
      </c>
      <c r="AF29" s="38">
        <v>6</v>
      </c>
      <c r="AG29" s="13">
        <v>0.16666666666666666</v>
      </c>
      <c r="AH29" s="38">
        <v>8</v>
      </c>
      <c r="AI29" s="13">
        <v>0.875</v>
      </c>
      <c r="AJ29" s="38"/>
      <c r="AK29" s="13"/>
      <c r="AL29" s="38">
        <v>6</v>
      </c>
      <c r="AM29" s="13">
        <v>0.33333333333333331</v>
      </c>
      <c r="AN29" s="38">
        <v>11</v>
      </c>
      <c r="AO29" s="13">
        <v>0.54545454545454541</v>
      </c>
    </row>
    <row r="30" spans="1:41" x14ac:dyDescent="0.25">
      <c r="A30" s="28" t="s">
        <v>59</v>
      </c>
      <c r="B30" s="32">
        <v>3</v>
      </c>
      <c r="C30" s="13">
        <v>0.33333333333333331</v>
      </c>
      <c r="D30" s="38"/>
      <c r="E30" s="13"/>
      <c r="F30" s="38"/>
      <c r="G30" s="13"/>
      <c r="H30" s="38"/>
      <c r="I30" s="13"/>
      <c r="J30" s="38">
        <v>3</v>
      </c>
      <c r="K30" s="13">
        <v>1</v>
      </c>
      <c r="L30" s="38">
        <v>1</v>
      </c>
      <c r="M30" s="13">
        <v>1</v>
      </c>
      <c r="N30" s="38">
        <v>2</v>
      </c>
      <c r="O30" s="13">
        <v>0.5</v>
      </c>
      <c r="P30" s="38"/>
      <c r="Q30" s="13"/>
      <c r="R30" s="38">
        <v>3</v>
      </c>
      <c r="S30" s="13">
        <v>0.66666666666666663</v>
      </c>
      <c r="T30" s="38"/>
      <c r="U30" s="13"/>
      <c r="V30" s="38">
        <v>3</v>
      </c>
      <c r="W30" s="13">
        <v>0.33333333333333331</v>
      </c>
      <c r="X30" s="38">
        <v>3</v>
      </c>
      <c r="Y30" s="13">
        <v>0.66666666666666663</v>
      </c>
      <c r="Z30" s="38">
        <v>3</v>
      </c>
      <c r="AA30" s="13">
        <v>1</v>
      </c>
      <c r="AB30" s="38">
        <v>3</v>
      </c>
      <c r="AC30" s="13">
        <v>0.66666666666666663</v>
      </c>
      <c r="AD30" s="38">
        <v>3</v>
      </c>
      <c r="AE30" s="13">
        <v>0.33333333333333331</v>
      </c>
      <c r="AF30" s="38"/>
      <c r="AG30" s="13"/>
      <c r="AH30" s="38">
        <v>2</v>
      </c>
      <c r="AI30" s="13">
        <v>1</v>
      </c>
      <c r="AJ30" s="38">
        <v>2</v>
      </c>
      <c r="AK30" s="13">
        <v>0.5</v>
      </c>
      <c r="AL30" s="38">
        <v>1</v>
      </c>
      <c r="AM30" s="13">
        <v>1</v>
      </c>
      <c r="AN30" s="38">
        <v>3</v>
      </c>
      <c r="AO30" s="13">
        <v>0.66666666666666663</v>
      </c>
    </row>
    <row r="31" spans="1:41" x14ac:dyDescent="0.25">
      <c r="A31" s="28" t="s">
        <v>68</v>
      </c>
      <c r="B31" s="32">
        <v>7</v>
      </c>
      <c r="C31" s="13">
        <v>0.2857142857142857</v>
      </c>
      <c r="D31" s="38">
        <v>5</v>
      </c>
      <c r="E31" s="13">
        <v>0.4</v>
      </c>
      <c r="F31" s="38"/>
      <c r="G31" s="13"/>
      <c r="H31" s="38"/>
      <c r="I31" s="13"/>
      <c r="J31" s="38">
        <v>7</v>
      </c>
      <c r="K31" s="13">
        <v>1</v>
      </c>
      <c r="L31" s="38">
        <v>2</v>
      </c>
      <c r="M31" s="13">
        <v>0.5</v>
      </c>
      <c r="N31" s="38">
        <v>5</v>
      </c>
      <c r="O31" s="13">
        <v>0.8</v>
      </c>
      <c r="P31" s="38">
        <v>1</v>
      </c>
      <c r="Q31" s="13">
        <v>1</v>
      </c>
      <c r="R31" s="38">
        <v>4</v>
      </c>
      <c r="S31" s="13">
        <v>1</v>
      </c>
      <c r="T31" s="38"/>
      <c r="U31" s="13"/>
      <c r="V31" s="38">
        <v>7</v>
      </c>
      <c r="W31" s="13">
        <v>0.8571428571428571</v>
      </c>
      <c r="X31" s="38">
        <v>6</v>
      </c>
      <c r="Y31" s="13">
        <v>1</v>
      </c>
      <c r="Z31" s="38">
        <v>5</v>
      </c>
      <c r="AA31" s="13">
        <v>0.6</v>
      </c>
      <c r="AB31" s="38">
        <v>6</v>
      </c>
      <c r="AC31" s="13">
        <v>0.83333333333333337</v>
      </c>
      <c r="AD31" s="38">
        <v>4</v>
      </c>
      <c r="AE31" s="13">
        <v>0.75</v>
      </c>
      <c r="AF31" s="38">
        <v>1</v>
      </c>
      <c r="AG31" s="13">
        <v>0</v>
      </c>
      <c r="AH31" s="38">
        <v>7</v>
      </c>
      <c r="AI31" s="13">
        <v>0.8571428571428571</v>
      </c>
      <c r="AJ31" s="38">
        <v>5</v>
      </c>
      <c r="AK31" s="13">
        <v>0.6</v>
      </c>
      <c r="AL31" s="38">
        <v>5</v>
      </c>
      <c r="AM31" s="13">
        <v>0.8</v>
      </c>
      <c r="AN31" s="38">
        <v>5</v>
      </c>
      <c r="AO31" s="13">
        <v>0.8</v>
      </c>
    </row>
    <row r="32" spans="1:41" x14ac:dyDescent="0.25">
      <c r="A32" s="28" t="s">
        <v>69</v>
      </c>
      <c r="B32" s="32">
        <v>2</v>
      </c>
      <c r="C32" s="13">
        <v>0.5</v>
      </c>
      <c r="D32" s="38"/>
      <c r="E32" s="13"/>
      <c r="F32" s="38"/>
      <c r="G32" s="13"/>
      <c r="H32" s="38"/>
      <c r="I32" s="13"/>
      <c r="J32" s="38">
        <v>2</v>
      </c>
      <c r="K32" s="13">
        <v>1</v>
      </c>
      <c r="L32" s="38"/>
      <c r="M32" s="13"/>
      <c r="N32" s="38">
        <v>2</v>
      </c>
      <c r="O32" s="13">
        <v>0.5</v>
      </c>
      <c r="P32" s="38"/>
      <c r="Q32" s="13"/>
      <c r="R32" s="38">
        <v>2</v>
      </c>
      <c r="S32" s="13">
        <v>0.5</v>
      </c>
      <c r="T32" s="38"/>
      <c r="U32" s="13"/>
      <c r="V32" s="38">
        <v>2</v>
      </c>
      <c r="W32" s="13">
        <v>0</v>
      </c>
      <c r="X32" s="38">
        <v>2</v>
      </c>
      <c r="Y32" s="13">
        <v>1</v>
      </c>
      <c r="Z32" s="38">
        <v>2</v>
      </c>
      <c r="AA32" s="13">
        <v>0</v>
      </c>
      <c r="AB32" s="38">
        <v>2</v>
      </c>
      <c r="AC32" s="13">
        <v>1</v>
      </c>
      <c r="AD32" s="38">
        <v>2</v>
      </c>
      <c r="AE32" s="13">
        <v>0.5</v>
      </c>
      <c r="AF32" s="38"/>
      <c r="AG32" s="13"/>
      <c r="AH32" s="38">
        <v>2</v>
      </c>
      <c r="AI32" s="13">
        <v>1</v>
      </c>
      <c r="AJ32" s="38">
        <v>2</v>
      </c>
      <c r="AK32" s="13">
        <v>0.5</v>
      </c>
      <c r="AL32" s="38"/>
      <c r="AM32" s="13"/>
      <c r="AN32" s="38">
        <v>2</v>
      </c>
      <c r="AO32" s="13">
        <v>0.5</v>
      </c>
    </row>
    <row r="33" spans="1:41" x14ac:dyDescent="0.25">
      <c r="A33" s="28" t="s">
        <v>114</v>
      </c>
      <c r="B33" s="32">
        <v>7</v>
      </c>
      <c r="C33" s="13">
        <v>0.2857142857142857</v>
      </c>
      <c r="D33" s="38">
        <v>9</v>
      </c>
      <c r="E33" s="13">
        <v>0.33333333333333331</v>
      </c>
      <c r="F33" s="38">
        <v>3</v>
      </c>
      <c r="G33" s="13">
        <v>0.33333333333333331</v>
      </c>
      <c r="H33" s="38">
        <v>1</v>
      </c>
      <c r="I33" s="13">
        <v>0</v>
      </c>
      <c r="J33" s="38">
        <v>7</v>
      </c>
      <c r="K33" s="13">
        <v>0.8571428571428571</v>
      </c>
      <c r="L33" s="38">
        <v>5</v>
      </c>
      <c r="M33" s="13">
        <v>0.4</v>
      </c>
      <c r="N33" s="38">
        <v>7</v>
      </c>
      <c r="O33" s="13">
        <v>0.7142857142857143</v>
      </c>
      <c r="P33" s="38">
        <v>4</v>
      </c>
      <c r="Q33" s="13">
        <v>0.75</v>
      </c>
      <c r="R33" s="38">
        <v>6</v>
      </c>
      <c r="S33" s="13">
        <v>0.33333333333333331</v>
      </c>
      <c r="T33" s="38">
        <v>3</v>
      </c>
      <c r="U33" s="13">
        <v>0.33333333333333331</v>
      </c>
      <c r="V33" s="38">
        <v>8</v>
      </c>
      <c r="W33" s="13">
        <v>0.375</v>
      </c>
      <c r="X33" s="38">
        <v>8</v>
      </c>
      <c r="Y33" s="13">
        <v>0.375</v>
      </c>
      <c r="Z33" s="38">
        <v>5</v>
      </c>
      <c r="AA33" s="13">
        <v>1</v>
      </c>
      <c r="AB33" s="38">
        <v>8</v>
      </c>
      <c r="AC33" s="13">
        <v>0.125</v>
      </c>
      <c r="AD33" s="38">
        <v>6</v>
      </c>
      <c r="AE33" s="13">
        <v>0.5</v>
      </c>
      <c r="AF33" s="38">
        <v>4</v>
      </c>
      <c r="AG33" s="13">
        <v>0.5</v>
      </c>
      <c r="AH33" s="38">
        <v>10</v>
      </c>
      <c r="AI33" s="13">
        <v>0.7</v>
      </c>
      <c r="AJ33" s="38">
        <v>6</v>
      </c>
      <c r="AK33" s="13">
        <v>0.66666666666666663</v>
      </c>
      <c r="AL33" s="38"/>
      <c r="AM33" s="13"/>
      <c r="AN33" s="38">
        <v>5</v>
      </c>
      <c r="AO33" s="13">
        <v>1</v>
      </c>
    </row>
    <row r="34" spans="1:41" x14ac:dyDescent="0.25">
      <c r="A34" s="28" t="s">
        <v>67</v>
      </c>
      <c r="B34" s="32">
        <v>2</v>
      </c>
      <c r="C34" s="13">
        <v>0</v>
      </c>
      <c r="D34" s="38"/>
      <c r="E34" s="13"/>
      <c r="F34" s="38"/>
      <c r="G34" s="13"/>
      <c r="H34" s="38"/>
      <c r="I34" s="13"/>
      <c r="J34" s="38">
        <v>2</v>
      </c>
      <c r="K34" s="13">
        <v>1</v>
      </c>
      <c r="L34" s="38"/>
      <c r="M34" s="13"/>
      <c r="N34" s="38">
        <v>2</v>
      </c>
      <c r="O34" s="13">
        <v>0.5</v>
      </c>
      <c r="P34" s="38"/>
      <c r="Q34" s="13"/>
      <c r="R34" s="38">
        <v>2</v>
      </c>
      <c r="S34" s="13">
        <v>0.5</v>
      </c>
      <c r="T34" s="38"/>
      <c r="U34" s="13"/>
      <c r="V34" s="38">
        <v>2</v>
      </c>
      <c r="W34" s="13">
        <v>0.5</v>
      </c>
      <c r="X34" s="38">
        <v>2</v>
      </c>
      <c r="Y34" s="13">
        <v>1</v>
      </c>
      <c r="Z34" s="38">
        <v>2</v>
      </c>
      <c r="AA34" s="13">
        <v>0.5</v>
      </c>
      <c r="AB34" s="38">
        <v>2</v>
      </c>
      <c r="AC34" s="13">
        <v>0.5</v>
      </c>
      <c r="AD34" s="38">
        <v>2</v>
      </c>
      <c r="AE34" s="13">
        <v>1</v>
      </c>
      <c r="AF34" s="38"/>
      <c r="AG34" s="13"/>
      <c r="AH34" s="38">
        <v>2</v>
      </c>
      <c r="AI34" s="13">
        <v>1</v>
      </c>
      <c r="AJ34" s="38">
        <v>2</v>
      </c>
      <c r="AK34" s="13">
        <v>1</v>
      </c>
      <c r="AL34" s="38"/>
      <c r="AM34" s="13"/>
      <c r="AN34" s="38">
        <v>2</v>
      </c>
      <c r="AO34" s="13">
        <v>0.5</v>
      </c>
    </row>
    <row r="35" spans="1:41" x14ac:dyDescent="0.25">
      <c r="A35" s="28" t="s">
        <v>111</v>
      </c>
      <c r="B35" s="32">
        <v>3</v>
      </c>
      <c r="C35" s="13">
        <v>0.66666666666666663</v>
      </c>
      <c r="D35" s="38">
        <v>2</v>
      </c>
      <c r="E35" s="13">
        <v>0.5</v>
      </c>
      <c r="F35" s="38"/>
      <c r="G35" s="13"/>
      <c r="H35" s="38"/>
      <c r="I35" s="13"/>
      <c r="J35" s="38">
        <v>4</v>
      </c>
      <c r="K35" s="13">
        <v>0.5</v>
      </c>
      <c r="L35" s="38">
        <v>3</v>
      </c>
      <c r="M35" s="13">
        <v>0</v>
      </c>
      <c r="N35" s="38">
        <v>6</v>
      </c>
      <c r="O35" s="13">
        <v>0.66666666666666663</v>
      </c>
      <c r="P35" s="38"/>
      <c r="Q35" s="13"/>
      <c r="R35" s="38">
        <v>7</v>
      </c>
      <c r="S35" s="13">
        <v>0.42857142857142855</v>
      </c>
      <c r="T35" s="38"/>
      <c r="U35" s="13"/>
      <c r="V35" s="38">
        <v>4</v>
      </c>
      <c r="W35" s="13">
        <v>0.5</v>
      </c>
      <c r="X35" s="38">
        <v>4</v>
      </c>
      <c r="Y35" s="13">
        <v>0.25</v>
      </c>
      <c r="Z35" s="38">
        <v>5</v>
      </c>
      <c r="AA35" s="13">
        <v>0.4</v>
      </c>
      <c r="AB35" s="38">
        <v>4</v>
      </c>
      <c r="AC35" s="13">
        <v>0.5</v>
      </c>
      <c r="AD35" s="38">
        <v>7</v>
      </c>
      <c r="AE35" s="13">
        <v>0.7142857142857143</v>
      </c>
      <c r="AF35" s="38">
        <v>2</v>
      </c>
      <c r="AG35" s="13">
        <v>0</v>
      </c>
      <c r="AH35" s="38">
        <v>4</v>
      </c>
      <c r="AI35" s="13">
        <v>1</v>
      </c>
      <c r="AJ35" s="38">
        <v>6</v>
      </c>
      <c r="AK35" s="13">
        <v>0.83333333333333337</v>
      </c>
      <c r="AL35" s="38">
        <v>2</v>
      </c>
      <c r="AM35" s="13">
        <v>0</v>
      </c>
      <c r="AN35" s="38">
        <v>5</v>
      </c>
      <c r="AO35" s="13">
        <v>0.6</v>
      </c>
    </row>
    <row r="36" spans="1:41" x14ac:dyDescent="0.25">
      <c r="A36" s="28" t="s">
        <v>112</v>
      </c>
      <c r="B36" s="32">
        <v>9</v>
      </c>
      <c r="C36" s="13">
        <v>0.55555555555555558</v>
      </c>
      <c r="D36" s="38">
        <v>7</v>
      </c>
      <c r="E36" s="13">
        <v>0.42857142857142855</v>
      </c>
      <c r="F36" s="38">
        <v>3</v>
      </c>
      <c r="G36" s="13">
        <v>0</v>
      </c>
      <c r="H36" s="38">
        <v>1</v>
      </c>
      <c r="I36" s="13">
        <v>1</v>
      </c>
      <c r="J36" s="38">
        <v>9</v>
      </c>
      <c r="K36" s="13">
        <v>0.66666666666666663</v>
      </c>
      <c r="L36" s="38">
        <v>6</v>
      </c>
      <c r="M36" s="13">
        <v>0.5</v>
      </c>
      <c r="N36" s="38">
        <v>10</v>
      </c>
      <c r="O36" s="13">
        <v>0.6</v>
      </c>
      <c r="P36" s="38">
        <v>4</v>
      </c>
      <c r="Q36" s="13">
        <v>0.25</v>
      </c>
      <c r="R36" s="38">
        <v>10</v>
      </c>
      <c r="S36" s="13">
        <v>0.4</v>
      </c>
      <c r="T36" s="38">
        <v>3</v>
      </c>
      <c r="U36" s="13">
        <v>0</v>
      </c>
      <c r="V36" s="38">
        <v>8</v>
      </c>
      <c r="W36" s="13">
        <v>0.5</v>
      </c>
      <c r="X36" s="38">
        <v>8</v>
      </c>
      <c r="Y36" s="13">
        <v>0.5</v>
      </c>
      <c r="Z36" s="38">
        <v>11</v>
      </c>
      <c r="AA36" s="13">
        <v>0.27272727272727271</v>
      </c>
      <c r="AB36" s="38">
        <v>8</v>
      </c>
      <c r="AC36" s="13">
        <v>0.5</v>
      </c>
      <c r="AD36" s="38">
        <v>11</v>
      </c>
      <c r="AE36" s="13">
        <v>0.45454545454545453</v>
      </c>
      <c r="AF36" s="38">
        <v>6</v>
      </c>
      <c r="AG36" s="13">
        <v>0.33333333333333331</v>
      </c>
      <c r="AH36" s="38">
        <v>10</v>
      </c>
      <c r="AI36" s="13">
        <v>0.7</v>
      </c>
      <c r="AJ36" s="38">
        <v>11</v>
      </c>
      <c r="AK36" s="13">
        <v>0.45454545454545453</v>
      </c>
      <c r="AL36" s="38">
        <v>5</v>
      </c>
      <c r="AM36" s="13">
        <v>0</v>
      </c>
      <c r="AN36" s="38"/>
      <c r="AO36" s="13"/>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6B0A-2C16-406F-A080-37BAF35B249D}">
  <sheetPr>
    <tabColor rgb="FFFFC000"/>
  </sheetPr>
  <dimension ref="A1:S209"/>
  <sheetViews>
    <sheetView topLeftCell="A172" workbookViewId="0">
      <selection activeCell="N16" sqref="N16"/>
    </sheetView>
  </sheetViews>
  <sheetFormatPr defaultColWidth="8.85546875" defaultRowHeight="15" x14ac:dyDescent="0.25"/>
  <cols>
    <col min="1" max="1" width="8.85546875" style="20"/>
    <col min="2" max="2" width="6" style="20" customWidth="1"/>
    <col min="3" max="3" width="3" style="20" customWidth="1"/>
    <col min="4" max="4" width="21.42578125" style="20" customWidth="1"/>
    <col min="5" max="5" width="22.28515625" style="20" customWidth="1"/>
    <col min="6" max="6" width="2" style="20" customWidth="1"/>
    <col min="7" max="7" width="6.5703125" style="20" customWidth="1"/>
    <col min="8" max="8" width="5.85546875" style="20" customWidth="1"/>
    <col min="9" max="9" width="8.5703125" style="20" customWidth="1"/>
    <col min="10" max="10" width="2.5703125" style="20" customWidth="1"/>
    <col min="11" max="11" width="25.42578125" style="20" customWidth="1"/>
    <col min="12" max="12" width="7.85546875" style="20" customWidth="1"/>
    <col min="13" max="16384" width="8.85546875" style="20"/>
  </cols>
  <sheetData>
    <row r="1" spans="1:12" ht="18.75" x14ac:dyDescent="0.3">
      <c r="A1" s="30" t="s">
        <v>152</v>
      </c>
      <c r="B1" s="30"/>
      <c r="C1" s="30"/>
      <c r="D1" s="30"/>
      <c r="E1" s="30"/>
      <c r="F1" s="30"/>
      <c r="G1" s="30"/>
      <c r="H1" s="30"/>
    </row>
    <row r="3" spans="1:12" ht="45" x14ac:dyDescent="0.25">
      <c r="A3" s="24" t="s">
        <v>151</v>
      </c>
      <c r="B3" s="24" t="s">
        <v>149</v>
      </c>
      <c r="C3" s="25"/>
      <c r="D3" s="24" t="s">
        <v>29</v>
      </c>
      <c r="E3" s="24" t="s">
        <v>150</v>
      </c>
      <c r="F3" s="25"/>
      <c r="G3" s="24" t="s">
        <v>38</v>
      </c>
      <c r="H3" s="24"/>
      <c r="I3" s="26" t="s">
        <v>179</v>
      </c>
      <c r="J3" s="25"/>
      <c r="K3" s="24" t="s">
        <v>29</v>
      </c>
      <c r="L3" s="24" t="s">
        <v>153</v>
      </c>
    </row>
    <row r="4" spans="1:12" x14ac:dyDescent="0.25">
      <c r="A4" s="22" t="s">
        <v>123</v>
      </c>
      <c r="B4" s="20">
        <f>MAX(Data!$H:$H)</f>
        <v>13</v>
      </c>
      <c r="C4" s="21">
        <f>COUNTIF(Data!$H:$H,Records!$B4)</f>
        <v>6</v>
      </c>
      <c r="D4" s="20" t="str">
        <f>INDEX(Data!$E:$E,MATCH(Records!$B4,Data!$H:$H,0))</f>
        <v>Pachiana NinjaBees</v>
      </c>
      <c r="E4" s="20" t="str">
        <f>INDEX(Data!$K:$K,MATCH(Records!$B4,Data!$H:$H,0))</f>
        <v>vs Underdogs</v>
      </c>
      <c r="G4" s="20">
        <f>INDEX(Data!$C:$C,MATCH(Records!$B4,Data!$H:$H,0))</f>
        <v>9</v>
      </c>
      <c r="H4" s="20">
        <f>INDEX(Data!$A:$A,MATCH(Records!$B4,Data!$H:$H,0))</f>
        <v>2019</v>
      </c>
      <c r="K4" s="20" t="s">
        <v>190</v>
      </c>
      <c r="L4" s="20">
        <f>COUNTIF($D$4:$D$22,K4)</f>
        <v>3</v>
      </c>
    </row>
    <row r="5" spans="1:12" x14ac:dyDescent="0.25">
      <c r="A5" s="22"/>
      <c r="C5" s="21"/>
      <c r="D5" s="20" t="s">
        <v>181</v>
      </c>
      <c r="E5" s="20" t="s">
        <v>111</v>
      </c>
      <c r="G5" s="20">
        <v>14</v>
      </c>
      <c r="H5" s="20">
        <v>2019</v>
      </c>
      <c r="K5" s="20" t="s">
        <v>181</v>
      </c>
      <c r="L5" s="20">
        <f t="shared" ref="L4:L15" si="0">COUNTIF($D$4:$D$22,K5)</f>
        <v>3</v>
      </c>
    </row>
    <row r="6" spans="1:12" x14ac:dyDescent="0.25">
      <c r="A6" s="22"/>
      <c r="C6" s="21"/>
      <c r="D6" s="20" t="s">
        <v>16</v>
      </c>
      <c r="E6" s="20" t="s">
        <v>182</v>
      </c>
      <c r="G6" s="20">
        <v>7</v>
      </c>
      <c r="H6" s="20">
        <v>2020</v>
      </c>
      <c r="K6" s="20" t="s">
        <v>159</v>
      </c>
      <c r="L6" s="20">
        <f t="shared" si="0"/>
        <v>2</v>
      </c>
    </row>
    <row r="7" spans="1:12" x14ac:dyDescent="0.25">
      <c r="A7" s="22"/>
      <c r="C7" s="21"/>
      <c r="D7" s="20" t="s">
        <v>190</v>
      </c>
      <c r="E7" s="20" t="s">
        <v>63</v>
      </c>
      <c r="G7" s="20">
        <v>14</v>
      </c>
      <c r="H7" s="20">
        <v>2023</v>
      </c>
      <c r="K7" s="20" t="s">
        <v>28</v>
      </c>
      <c r="L7" s="20">
        <f t="shared" si="0"/>
        <v>2</v>
      </c>
    </row>
    <row r="8" spans="1:12" x14ac:dyDescent="0.25">
      <c r="A8" s="22"/>
      <c r="C8" s="21"/>
      <c r="D8" s="20" t="s">
        <v>98</v>
      </c>
      <c r="E8" s="20" t="s">
        <v>70</v>
      </c>
      <c r="G8" s="20">
        <v>7</v>
      </c>
      <c r="H8" s="20">
        <v>2024</v>
      </c>
      <c r="K8" s="20" t="s">
        <v>23</v>
      </c>
      <c r="L8" s="20">
        <f t="shared" si="0"/>
        <v>2</v>
      </c>
    </row>
    <row r="9" spans="1:12" x14ac:dyDescent="0.25">
      <c r="A9" s="22"/>
      <c r="C9" s="21"/>
      <c r="D9" s="20" t="s">
        <v>190</v>
      </c>
      <c r="E9" s="20" t="s">
        <v>72</v>
      </c>
      <c r="G9" s="20">
        <v>3</v>
      </c>
      <c r="H9" s="20">
        <v>2025</v>
      </c>
      <c r="K9" s="20" t="s">
        <v>98</v>
      </c>
      <c r="L9" s="20">
        <f t="shared" si="0"/>
        <v>1</v>
      </c>
    </row>
    <row r="10" spans="1:12" x14ac:dyDescent="0.25">
      <c r="A10" s="22" t="s">
        <v>0</v>
      </c>
      <c r="B10" s="20">
        <f>MAX(Data!$M:$M)</f>
        <v>333</v>
      </c>
      <c r="C10" s="21">
        <f>COUNTIF(Data!$M:$M,Records!$B10)</f>
        <v>1</v>
      </c>
      <c r="D10" s="20" t="str">
        <f>INDEX(Data!$E:$E,MATCH(Records!$B10,Data!$M:$M,0))</f>
        <v>purple fuzzy apache pirates</v>
      </c>
      <c r="E10" s="20" t="str">
        <f>INDEX(Data!$K:$K,MATCH(Records!$B10,Data!$M:$M,0))</f>
        <v>vs Guruuu 🐐🐐🐐</v>
      </c>
      <c r="G10" s="20">
        <f>INDEX(Data!$C:$C,MATCH(Records!$B10,Data!$M:$M,0))</f>
        <v>17</v>
      </c>
      <c r="H10" s="20">
        <f>INDEX(Data!$A:$A,MATCH(Records!$B10,Data!$M:$M,0))</f>
        <v>2024</v>
      </c>
      <c r="K10" s="20" t="s">
        <v>99</v>
      </c>
      <c r="L10" s="20">
        <f t="shared" si="0"/>
        <v>1</v>
      </c>
    </row>
    <row r="11" spans="1:12" x14ac:dyDescent="0.25">
      <c r="A11" s="22" t="s">
        <v>1</v>
      </c>
      <c r="B11" s="20">
        <f>MAX(Data!$N:$N)</f>
        <v>0.60799999999999998</v>
      </c>
      <c r="C11" s="21">
        <f>COUNTIF(Data!$N:$N,Records!$B11)</f>
        <v>1</v>
      </c>
      <c r="D11" s="20" t="str">
        <f>INDEX(Data!$E:$E,MATCH(Records!$B11,Data!$N:$N,0))</f>
        <v>Tsarlatans</v>
      </c>
      <c r="E11" s="20" t="str">
        <f>INDEX(Data!$K:$K,MATCH(Records!$B11,Data!$N:$N,0))</f>
        <v>vs Fighting Thaddeus</v>
      </c>
      <c r="G11" s="20">
        <f>INDEX(Data!$C:$C,MATCH(Records!$B11,Data!$N:$N,0))</f>
        <v>9</v>
      </c>
      <c r="H11" s="20">
        <f>INDEX(Data!$A:$A,MATCH(Records!$B11,Data!$N:$N,0))</f>
        <v>2025</v>
      </c>
      <c r="K11" s="20" t="s">
        <v>97</v>
      </c>
      <c r="L11" s="20">
        <f t="shared" si="0"/>
        <v>1</v>
      </c>
    </row>
    <row r="12" spans="1:12" x14ac:dyDescent="0.25">
      <c r="A12" s="22" t="s">
        <v>3</v>
      </c>
      <c r="B12" s="20">
        <f>MAX(Data!$O:$O)</f>
        <v>122</v>
      </c>
      <c r="C12" s="21">
        <f>COUNTIF(Data!$O:$O,Records!$B12)</f>
        <v>1</v>
      </c>
      <c r="D12" s="20" t="str">
        <f>INDEX(Data!$E:$E,MATCH(Records!$B12,Data!$O:$O,0))</f>
        <v>Samarina Dudenbros</v>
      </c>
      <c r="E12" s="20" t="str">
        <f>INDEX(Data!$K:$K,MATCH(Records!$B12,Data!$O:$O,0))</f>
        <v>vs The Bad Boys</v>
      </c>
      <c r="G12" s="20">
        <f>INDEX(Data!$C:$C,MATCH(Records!$B12,Data!$O:$O,0))</f>
        <v>17</v>
      </c>
      <c r="H12" s="20">
        <f>INDEX(Data!$A:$A,MATCH(Records!$B12,Data!$O:$O,0))</f>
        <v>2025</v>
      </c>
      <c r="K12" s="20" t="s">
        <v>94</v>
      </c>
      <c r="L12" s="20">
        <f t="shared" si="0"/>
        <v>1</v>
      </c>
    </row>
    <row r="13" spans="1:12" x14ac:dyDescent="0.25">
      <c r="A13" s="22" t="s">
        <v>4</v>
      </c>
      <c r="B13" s="20">
        <f>MAX(Data!$P:$P)</f>
        <v>0.53700000000000003</v>
      </c>
      <c r="C13" s="21">
        <f>COUNTIF(Data!$P:$P,Records!$B13)</f>
        <v>1</v>
      </c>
      <c r="D13" s="20" t="str">
        <f>INDEX(Data!$E:$E,MATCH(Records!$B13,Data!$P:$P,0))</f>
        <v>Underdogs</v>
      </c>
      <c r="E13" s="20" t="str">
        <f>INDEX(Data!$K:$K,MATCH(Records!$B13,Data!$P:$P,0))</f>
        <v>vs Steven Adams' Moustache</v>
      </c>
      <c r="G13" s="20">
        <f>INDEX(Data!$C:$C,MATCH(Records!$B13,Data!$P:$P,0))</f>
        <v>19</v>
      </c>
      <c r="H13" s="20">
        <f>INDEX(Data!$A:$A,MATCH(Records!$B13,Data!$P:$P,0))</f>
        <v>2018</v>
      </c>
      <c r="K13" s="20" t="s">
        <v>16</v>
      </c>
      <c r="L13" s="20">
        <f t="shared" si="0"/>
        <v>1</v>
      </c>
    </row>
    <row r="14" spans="1:12" x14ac:dyDescent="0.25">
      <c r="A14" s="22" t="s">
        <v>2</v>
      </c>
      <c r="B14" s="20">
        <f>MAX(Data!$Q:$Q)</f>
        <v>0.95599999999999996</v>
      </c>
      <c r="C14" s="21">
        <f>COUNTIF(Data!$Q:$Q,Records!$B14)-1</f>
        <v>1</v>
      </c>
      <c r="D14" s="20" t="str">
        <f>INDEX(Data!$E:$E,MATCH(Records!$B14,Data!$Q:$Q,0))</f>
        <v>Karafli SaiTa</v>
      </c>
      <c r="E14" s="20" t="str">
        <f>INDEX(Data!$K:$K,MATCH(Records!$B14,Data!$Q:$Q,0))</f>
        <v>vs Baltimore Hercules</v>
      </c>
      <c r="G14" s="20">
        <f>INDEX(Data!$C:$C,MATCH(Records!$B14,Data!$Q:$Q,0))</f>
        <v>1</v>
      </c>
      <c r="H14" s="20">
        <f>INDEX(Data!$A:$A,MATCH(Records!$B14,Data!$Q:$Q,0))</f>
        <v>2023</v>
      </c>
      <c r="K14" s="20" t="s">
        <v>154</v>
      </c>
      <c r="L14" s="20">
        <f t="shared" si="0"/>
        <v>1</v>
      </c>
    </row>
    <row r="15" spans="1:12" x14ac:dyDescent="0.25">
      <c r="A15" s="22" t="s">
        <v>12</v>
      </c>
      <c r="B15" s="20">
        <f>MAX(Data!$R:$R)</f>
        <v>892</v>
      </c>
      <c r="C15" s="21">
        <f>COUNTIF(Data!$R:$R,Records!$B15)</f>
        <v>1</v>
      </c>
      <c r="D15" s="20" t="str">
        <f>INDEX(Data!$E:$E,MATCH(Records!$B15,Data!$R:$R,0))</f>
        <v>purple fuzzy apache pirates</v>
      </c>
      <c r="E15" s="20" t="str">
        <f>INDEX(Data!$K:$K,MATCH(Records!$B15,Data!$R:$R,0))</f>
        <v>vs Guruuu 🐐🐐🐐</v>
      </c>
      <c r="G15" s="20">
        <f>INDEX(Data!$C:$C,MATCH(Records!$B15,Data!$R:$R,0))</f>
        <v>17</v>
      </c>
      <c r="H15" s="20">
        <f>INDEX(Data!$A:$A,MATCH(Records!$B15,Data!$R:$R,0))</f>
        <v>2024</v>
      </c>
      <c r="K15" s="20" t="s">
        <v>26</v>
      </c>
      <c r="L15" s="20">
        <f t="shared" si="0"/>
        <v>1</v>
      </c>
    </row>
    <row r="16" spans="1:12" x14ac:dyDescent="0.25">
      <c r="A16" s="22" t="s">
        <v>5</v>
      </c>
      <c r="B16" s="20">
        <f>MAX(Data!$S:$S)</f>
        <v>87</v>
      </c>
      <c r="C16" s="21">
        <f>COUNTIF(Data!$S:$S,Records!$B16)</f>
        <v>1</v>
      </c>
      <c r="D16" s="20" t="str">
        <f>INDEX(Data!$E:$E,MATCH(Records!$B16,Data!$S:$S,0))</f>
        <v>Fighting Thaddeus</v>
      </c>
      <c r="E16" s="20" t="str">
        <f>INDEX(Data!$K:$K,MATCH(Records!$B16,Data!$S:$S,0))</f>
        <v>vs Kourayo Vallecano</v>
      </c>
      <c r="G16" s="20">
        <f>INDEX(Data!$C:$C,MATCH(Records!$B16,Data!$S:$S,0))</f>
        <v>15</v>
      </c>
      <c r="H16" s="20">
        <f>INDEX(Data!$A:$A,MATCH(Records!$B16,Data!$S:$S,0))</f>
        <v>2024</v>
      </c>
    </row>
    <row r="17" spans="1:19" x14ac:dyDescent="0.25">
      <c r="A17" s="22" t="s">
        <v>6</v>
      </c>
      <c r="B17" s="20">
        <f>MAX(Data!$T:$T)</f>
        <v>245</v>
      </c>
      <c r="C17" s="21">
        <f>COUNTIF(Data!$T:$T,Records!$B17)</f>
        <v>1</v>
      </c>
      <c r="D17" s="20" t="str">
        <f>INDEX(Data!$E:$E,MATCH(Records!$B17,Data!$T:$T,0))</f>
        <v>Steven Adams' Moustache</v>
      </c>
      <c r="E17" s="20" t="str">
        <f>INDEX(Data!$K:$K,MATCH(Records!$B17,Data!$T:$T,0))</f>
        <v>vs Tsarlatans</v>
      </c>
      <c r="G17" s="20">
        <f>INDEX(Data!$C:$C,MATCH(Records!$B17,Data!$T:$T,0))</f>
        <v>11</v>
      </c>
      <c r="H17" s="20">
        <f>INDEX(Data!$A:$A,MATCH(Records!$B17,Data!$T:$T,0))</f>
        <v>2021</v>
      </c>
      <c r="R17"/>
    </row>
    <row r="18" spans="1:19" x14ac:dyDescent="0.25">
      <c r="A18" s="22" t="s">
        <v>7</v>
      </c>
      <c r="B18" s="20">
        <f>MAX(Data!$U:$U)</f>
        <v>243</v>
      </c>
      <c r="C18" s="21">
        <f>COUNTIF(Data!$U:$U,Records!$B18)</f>
        <v>2</v>
      </c>
      <c r="D18" s="20" t="str">
        <f>INDEX(Data!$E:$E,MATCH(Records!$B18,Data!$U:$U,0))</f>
        <v>Samarina Dudenbros</v>
      </c>
      <c r="E18" s="20" t="str">
        <f>INDEX(Data!$K:$K,MATCH(Records!$B18,Data!$U:$U,0))</f>
        <v>vs The Bridgeburners</v>
      </c>
      <c r="G18" s="20">
        <f>INDEX(Data!$C:$C,MATCH(Records!$B18,Data!$U:$U,0))</f>
        <v>16</v>
      </c>
      <c r="H18" s="20">
        <f>INDEX(Data!$A:$A,MATCH(Records!$B18,Data!$U:$U,0))</f>
        <v>2026</v>
      </c>
      <c r="R18"/>
      <c r="S18"/>
    </row>
    <row r="19" spans="1:19" x14ac:dyDescent="0.25">
      <c r="A19" s="22" t="s">
        <v>9</v>
      </c>
      <c r="B19" s="20">
        <f>MAX(Data!$V:$V)</f>
        <v>66</v>
      </c>
      <c r="C19" s="21">
        <f>COUNTIF(Data!$V:$V,Records!$B19)</f>
        <v>1</v>
      </c>
      <c r="D19" s="20" t="str">
        <f>INDEX(Data!$E:$E,MATCH(Records!$B19,Data!$V:$V,0))</f>
        <v>Steven Adams' Moustache</v>
      </c>
      <c r="E19" s="20" t="str">
        <f>INDEX(Data!$K:$K,MATCH(Records!$B19,Data!$V:$V,0))</f>
        <v>vs Kourayo Vallecano</v>
      </c>
      <c r="G19" s="20">
        <f>INDEX(Data!$C:$C,MATCH(Records!$B19,Data!$V:$V,0))</f>
        <v>4</v>
      </c>
      <c r="H19" s="20">
        <f>INDEX(Data!$A:$A,MATCH(Records!$B19,Data!$V:$V,0))</f>
        <v>2022</v>
      </c>
      <c r="K19"/>
      <c r="R19"/>
      <c r="S19"/>
    </row>
    <row r="20" spans="1:19" x14ac:dyDescent="0.25">
      <c r="A20" s="22" t="s">
        <v>10</v>
      </c>
      <c r="B20" s="20">
        <f>MAX(Data!$W:$W)</f>
        <v>47</v>
      </c>
      <c r="C20" s="21">
        <f>COUNTIF(Data!$W:$W,Records!$B20)</f>
        <v>1</v>
      </c>
      <c r="D20" s="20" t="str">
        <f>INDEX(Data!$E:$E,MATCH(Records!$B20,Data!$W:$W,0))</f>
        <v>Pachiana NinjaBees</v>
      </c>
      <c r="E20" s="20" t="str">
        <f>INDEX(Data!$K:$K,MATCH(Records!$B20,Data!$W:$W,0))</f>
        <v>vs Kourayo Vallecano</v>
      </c>
      <c r="G20" s="20">
        <f>INDEX(Data!$C:$C,MATCH(Records!$B20,Data!$W:$W,0))</f>
        <v>17</v>
      </c>
      <c r="H20" s="20">
        <f>INDEX(Data!$A:$A,MATCH(Records!$B20,Data!$W:$W,0))</f>
        <v>2024</v>
      </c>
      <c r="R20"/>
      <c r="S20"/>
    </row>
    <row r="21" spans="1:19" x14ac:dyDescent="0.25">
      <c r="A21" s="22" t="s">
        <v>11</v>
      </c>
      <c r="B21" s="20">
        <f>MIN(Data!$X:$X)</f>
        <v>8</v>
      </c>
      <c r="C21" s="21">
        <f>COUNTIF(Data!$X:$X,Records!$B21)</f>
        <v>1</v>
      </c>
      <c r="D21" s="20" t="str">
        <f>INDEX(Data!$E:$E,MATCH(Records!$B21,Data!$X:$X,0))</f>
        <v>The Bad Boys</v>
      </c>
      <c r="E21" s="20" t="str">
        <f>INDEX(Data!$K:$K,MATCH(Records!$B21,Data!$X:$X,0))</f>
        <v>vs The Guns</v>
      </c>
      <c r="G21" s="20">
        <f>INDEX(Data!$C:$C,MATCH(Records!$B21,Data!$X:$X,0))</f>
        <v>7</v>
      </c>
      <c r="H21" s="20">
        <f>INDEX(Data!$A:$A,MATCH(Records!$B21,Data!$X:$X,0))</f>
        <v>2022</v>
      </c>
      <c r="R21"/>
      <c r="S21"/>
    </row>
    <row r="22" spans="1:19" x14ac:dyDescent="0.25">
      <c r="A22" s="22" t="s">
        <v>8</v>
      </c>
      <c r="B22" s="20">
        <f>MAX(Data!$Y:$Y)</f>
        <v>4.32</v>
      </c>
      <c r="C22" s="21">
        <f>COUNTIF(Data!$Y:$Y,Records!$B22)</f>
        <v>1</v>
      </c>
      <c r="D22" s="20" t="str">
        <f>INDEX(Data!$E:$E,MATCH(Records!$B22,Data!$Y:$Y,0))</f>
        <v>Kourayo Vallecano</v>
      </c>
      <c r="E22" s="20" t="str">
        <f>INDEX(Data!$K:$K,MATCH(Records!$B22,Data!$Y:$Y,0))</f>
        <v>vs The Rookies</v>
      </c>
      <c r="G22" s="20">
        <f>INDEX(Data!$C:$C,MATCH(Records!$B22,Data!$Y:$Y,0))</f>
        <v>14</v>
      </c>
      <c r="H22" s="20">
        <f>INDEX(Data!$A:$A,MATCH(Records!$B22,Data!$Y:$Y,0))</f>
        <v>2019</v>
      </c>
      <c r="R22"/>
      <c r="S22"/>
    </row>
    <row r="23" spans="1:19" x14ac:dyDescent="0.25">
      <c r="R23"/>
      <c r="S23"/>
    </row>
    <row r="24" spans="1:19" ht="18.75" x14ac:dyDescent="0.3">
      <c r="A24" s="30">
        <v>2018</v>
      </c>
      <c r="B24" s="30"/>
      <c r="C24" s="30"/>
      <c r="D24" s="30"/>
      <c r="E24" s="30"/>
      <c r="F24" s="30"/>
      <c r="G24" s="30"/>
      <c r="H24" s="30"/>
    </row>
    <row r="26" spans="1:19" ht="45" x14ac:dyDescent="0.25">
      <c r="A26" s="24" t="s">
        <v>151</v>
      </c>
      <c r="B26" s="24" t="s">
        <v>149</v>
      </c>
      <c r="C26" s="25"/>
      <c r="D26" s="24" t="s">
        <v>29</v>
      </c>
      <c r="E26" s="24" t="s">
        <v>150</v>
      </c>
      <c r="F26" s="25"/>
      <c r="G26" s="24" t="s">
        <v>38</v>
      </c>
      <c r="H26" s="24"/>
      <c r="I26" s="26" t="s">
        <v>179</v>
      </c>
      <c r="J26" s="25"/>
      <c r="K26" s="24" t="s">
        <v>29</v>
      </c>
      <c r="L26" s="24" t="s">
        <v>153</v>
      </c>
    </row>
    <row r="27" spans="1:19" x14ac:dyDescent="0.25">
      <c r="A27" s="22" t="s">
        <v>123</v>
      </c>
      <c r="B27" s="20">
        <f>_xlfn.MAXIFS(Data!$H:$H,Data!$A:$A,Records!$A$24)</f>
        <v>12</v>
      </c>
      <c r="C27" s="21">
        <f>COUNTIFS(Data!$H:$H,Records!$B27,Data!$A:$A,Records!$A$24)</f>
        <v>8</v>
      </c>
      <c r="D27" s="20" t="str" cm="1">
        <f t="array" ref="D27">INDEX(Data!$E:$E,MATCH(1,INDEX((Records!$B27=Data!$H:$H)*($A$24=Data!$A:$A),0,1),0))</f>
        <v>Pachiana NinjaBees</v>
      </c>
      <c r="E27" s="20" t="str" cm="1">
        <f t="array" ref="E27">INDEX(Data!$K:$K,MATCH(1,INDEX((Records!$B27=Data!$H:$H)*($A$24=Data!$A:$A),0,1),0))</f>
        <v>vs purple fuzzy apache pirates</v>
      </c>
      <c r="G27" s="20" cm="1">
        <f t="array" ref="G27">INDEX(Data!$C:$C,MATCH(1,INDEX((Records!$B27=Data!$H:$H)*($A$24=Data!$A:$A),0,1),0))</f>
        <v>4</v>
      </c>
      <c r="I27" s="20">
        <f>RANK(B27,Data!$H:$H)</f>
        <v>7</v>
      </c>
      <c r="K27" s="20" t="str" cm="1">
        <f t="array" ref="K27">INDEX(Data!$E:$E,MATCH(1,INDEX((Records!$B27=Data!$H:$H)*($A$24=Data!$A:$A),0,1),0))</f>
        <v>Pachiana NinjaBees</v>
      </c>
      <c r="L27" s="20">
        <f>COUNTIF($D$27:$D$50,K27)</f>
        <v>3</v>
      </c>
    </row>
    <row r="28" spans="1:19" x14ac:dyDescent="0.25">
      <c r="A28" s="22"/>
      <c r="C28" s="21"/>
      <c r="D28" s="20" t="s">
        <v>181</v>
      </c>
      <c r="E28" s="20" t="s">
        <v>66</v>
      </c>
      <c r="G28" s="20">
        <v>7</v>
      </c>
      <c r="I28" s="20">
        <f>+I27</f>
        <v>7</v>
      </c>
      <c r="K28" s="20" t="s">
        <v>15</v>
      </c>
      <c r="L28" s="20">
        <f>COUNTIF($D$27:$D$50,K28)</f>
        <v>3</v>
      </c>
    </row>
    <row r="29" spans="1:19" x14ac:dyDescent="0.25">
      <c r="A29" s="22"/>
      <c r="C29" s="21"/>
      <c r="D29" s="20" t="s">
        <v>98</v>
      </c>
      <c r="E29" s="20" t="s">
        <v>72</v>
      </c>
      <c r="G29" s="20">
        <v>7</v>
      </c>
      <c r="I29" s="20">
        <f t="shared" ref="I29:I34" si="1">+I28</f>
        <v>7</v>
      </c>
      <c r="K29" s="20" t="s">
        <v>17</v>
      </c>
      <c r="L29" s="20">
        <f>COUNTIF($D$27:$D$50,K29)</f>
        <v>3</v>
      </c>
    </row>
    <row r="30" spans="1:19" x14ac:dyDescent="0.25">
      <c r="A30" s="22"/>
      <c r="C30" s="21"/>
      <c r="D30" s="20" t="s">
        <v>181</v>
      </c>
      <c r="E30" s="20" t="s">
        <v>111</v>
      </c>
      <c r="G30" s="20">
        <v>14</v>
      </c>
      <c r="I30" s="20">
        <f t="shared" si="1"/>
        <v>7</v>
      </c>
      <c r="K30" s="20" t="s">
        <v>181</v>
      </c>
      <c r="L30" s="20">
        <f>COUNTIF($D$27:$D$50,K30)-1</f>
        <v>2</v>
      </c>
    </row>
    <row r="31" spans="1:19" x14ac:dyDescent="0.25">
      <c r="A31" s="22"/>
      <c r="C31" s="21"/>
      <c r="D31" s="20" t="s">
        <v>18</v>
      </c>
      <c r="E31" s="20" t="s">
        <v>111</v>
      </c>
      <c r="G31" s="20">
        <v>16</v>
      </c>
      <c r="I31" s="20">
        <f t="shared" si="1"/>
        <v>7</v>
      </c>
      <c r="K31" s="20" t="s">
        <v>18</v>
      </c>
      <c r="L31" s="20">
        <f>COUNTIF($D$27:$D$50,K31)</f>
        <v>2</v>
      </c>
    </row>
    <row r="32" spans="1:19" x14ac:dyDescent="0.25">
      <c r="A32" s="22"/>
      <c r="C32" s="21"/>
      <c r="D32" s="20" t="s">
        <v>15</v>
      </c>
      <c r="E32" s="20" t="s">
        <v>111</v>
      </c>
      <c r="G32" s="20">
        <v>17</v>
      </c>
      <c r="I32" s="20">
        <f t="shared" si="1"/>
        <v>7</v>
      </c>
      <c r="K32" s="20" t="str" cm="1">
        <f t="array" ref="K32">INDEX(Data!$E:$E,MATCH(1,INDEX((Records!$B37=Data!$O:$O)*($A$24=Data!$A:$A),0,1),0))</f>
        <v>The walkinng dead</v>
      </c>
      <c r="L32" s="20">
        <f>COUNTIF($D$27:$D$50,K32)-1</f>
        <v>2</v>
      </c>
    </row>
    <row r="33" spans="1:12" x14ac:dyDescent="0.25">
      <c r="A33" s="22"/>
      <c r="C33" s="21"/>
      <c r="D33" s="20" t="s">
        <v>22</v>
      </c>
      <c r="E33" s="20" t="s">
        <v>72</v>
      </c>
      <c r="G33" s="20">
        <v>17</v>
      </c>
      <c r="I33" s="20">
        <f t="shared" si="1"/>
        <v>7</v>
      </c>
      <c r="K33" s="20" t="str" cm="1">
        <f t="array" ref="K33">INDEX(Data!$E:$E,MATCH(1,INDEX((Records!$B41=Data!$P:$P)*($A$24=Data!$A:$A),0,1),0))</f>
        <v>Underdogs</v>
      </c>
      <c r="L33" s="20">
        <f>COUNTIF($D$27:$D$50,K33)</f>
        <v>2</v>
      </c>
    </row>
    <row r="34" spans="1:12" x14ac:dyDescent="0.25">
      <c r="A34" s="22"/>
      <c r="C34" s="21"/>
      <c r="D34" s="20" t="s">
        <v>17</v>
      </c>
      <c r="E34" s="20" t="s">
        <v>111</v>
      </c>
      <c r="G34" s="20">
        <v>18</v>
      </c>
      <c r="I34" s="20">
        <f t="shared" si="1"/>
        <v>7</v>
      </c>
      <c r="K34" s="20" t="str" cm="1">
        <f t="array" ref="K34">INDEX(Data!$E:$E,MATCH(1,INDEX((Records!$B44=Data!$S:$S)*($A$24=Data!$A:$A),0,1),0))</f>
        <v>Fighting Thaddeus</v>
      </c>
      <c r="L34" s="20">
        <f>COUNTIF($D$27:$D$50,K34)</f>
        <v>2</v>
      </c>
    </row>
    <row r="35" spans="1:12" x14ac:dyDescent="0.25">
      <c r="A35" s="22" t="s">
        <v>0</v>
      </c>
      <c r="B35" s="20">
        <f>_xlfn.MAXIFS(Data!$M:$M,Data!$A:$A,Records!$A$24)</f>
        <v>261</v>
      </c>
      <c r="C35" s="21">
        <f>COUNTIFS(Data!$M:$M,Records!$B35,Data!$A:$A,Records!$A$24)</f>
        <v>1</v>
      </c>
      <c r="D35" s="20" t="str" cm="1">
        <f t="array" ref="D35">INDEX(Data!$E:$E,MATCH(1,INDEX((Records!$B35=Data!$M:$M)*($A$24=Data!$A:$A),0,1),0))</f>
        <v>Karafli SaiTa</v>
      </c>
      <c r="E35" s="20" t="str" cm="1">
        <f t="array" ref="E35">INDEX(Data!$K:$K,MATCH(1,INDEX((Records!$B35=Data!$M:$M)*($A$24=Data!$A:$A),0,1),0))</f>
        <v>vs Fighting Thaddeus</v>
      </c>
      <c r="G35" s="20" cm="1">
        <f t="array" ref="G35">INDEX(Data!$C:$C,MATCH(1,INDEX((Records!$B35=Data!$M:$M)*($A$24=Data!$A:$A),0,1),0))</f>
        <v>18</v>
      </c>
      <c r="I35" s="20">
        <f>RANK(B35,Data!$M:$M)</f>
        <v>39</v>
      </c>
      <c r="K35" s="20" t="s">
        <v>98</v>
      </c>
      <c r="L35" s="20">
        <f>COUNTIF($D$27:$D$50,K35)</f>
        <v>1</v>
      </c>
    </row>
    <row r="36" spans="1:12" x14ac:dyDescent="0.25">
      <c r="A36" s="22" t="s">
        <v>1</v>
      </c>
      <c r="B36" s="20">
        <f>_xlfn.MAXIFS(Data!$N:$N,Data!$A:$A,Records!$A$24)</f>
        <v>0.54400000000000004</v>
      </c>
      <c r="C36" s="21">
        <f>COUNTIFS(Data!$N:$N,Records!$B36,Data!$A:$A,Records!$A$24)</f>
        <v>1</v>
      </c>
      <c r="D36" s="20" t="str" cm="1">
        <f t="array" ref="D36">INDEX(Data!$E:$E,MATCH(1,INDEX((Records!$B36=Data!$N:$N)*($A$24=Data!$A:$A),0,1),0))</f>
        <v>Donkey Rolls</v>
      </c>
      <c r="E36" s="20" t="str" cm="1">
        <f t="array" ref="E36">INDEX(Data!$K:$K,MATCH(1,INDEX((Records!$B36=Data!$N:$N)*($A$24=Data!$A:$A),0,1),0))</f>
        <v>vs The Bridgeburners</v>
      </c>
      <c r="G36" s="20" cm="1">
        <f t="array" ref="G36">INDEX(Data!$C:$C,MATCH(1,INDEX((Records!$B36=Data!$N:$N)*($A$24=Data!$A:$A),0,1),0))</f>
        <v>3</v>
      </c>
      <c r="I36" s="20">
        <f>RANK(B36,Data!$N:$N)</f>
        <v>45</v>
      </c>
      <c r="K36" s="20" t="s">
        <v>22</v>
      </c>
      <c r="L36" s="20">
        <f>COUNTIF($D$27:$D$50,K36)</f>
        <v>1</v>
      </c>
    </row>
    <row r="37" spans="1:12" x14ac:dyDescent="0.25">
      <c r="A37" s="22" t="s">
        <v>3</v>
      </c>
      <c r="B37" s="20">
        <f>_xlfn.MAXIFS(Data!$O:$O,Data!$A:$A,Records!$A$24)</f>
        <v>71</v>
      </c>
      <c r="C37" s="21">
        <f>COUNTIFS(Data!$O:$O,Records!$B37,Data!$A:$A,Records!$A$24)</f>
        <v>4</v>
      </c>
      <c r="D37" s="20" t="str" cm="1">
        <f t="array" ref="D37">INDEX(Data!$E:$E,MATCH(1,INDEX((Records!$B37=Data!$O:$O)*($A$24=Data!$A:$A),0,1),0))</f>
        <v>The walkinng dead</v>
      </c>
      <c r="E37" s="20" t="str" cm="1">
        <f t="array" ref="E37">INDEX(Data!$K:$K,MATCH(1,INDEX((Records!$B37=Data!$O:$O)*($A$24=Data!$A:$A),0,1),0))</f>
        <v>vs Xanthi Ducks 🦆</v>
      </c>
      <c r="G37" s="20" cm="1">
        <f t="array" ref="G37">INDEX(Data!$C:$C,MATCH(1,INDEX((Records!$B37=Data!$O:$O)*($A$24=Data!$A:$A),0,1),0))</f>
        <v>9</v>
      </c>
      <c r="I37" s="20">
        <f>RANK(B37,Data!$O:$O)</f>
        <v>144</v>
      </c>
      <c r="K37" s="20" t="str" cm="1">
        <f t="array" ref="K37">INDEX(Data!$E:$E,MATCH(1,INDEX((Records!$B35=Data!$M:$M)*($A$24=Data!$A:$A),0,1),0))</f>
        <v>Karafli SaiTa</v>
      </c>
      <c r="L37" s="20">
        <f>COUNTIF($D$27:$D$50,K37)</f>
        <v>1</v>
      </c>
    </row>
    <row r="38" spans="1:12" x14ac:dyDescent="0.25">
      <c r="A38" s="22"/>
      <c r="C38" s="21"/>
      <c r="D38" s="20" t="s">
        <v>181</v>
      </c>
      <c r="E38" s="20" t="s">
        <v>106</v>
      </c>
      <c r="G38" s="20">
        <v>10</v>
      </c>
      <c r="I38" s="20">
        <f>+I37</f>
        <v>144</v>
      </c>
    </row>
    <row r="39" spans="1:12" x14ac:dyDescent="0.25">
      <c r="A39" s="22"/>
      <c r="C39" s="21"/>
      <c r="D39" s="20" t="s">
        <v>24</v>
      </c>
      <c r="E39" s="20" t="s">
        <v>64</v>
      </c>
      <c r="G39" s="20">
        <v>11</v>
      </c>
      <c r="I39" s="20">
        <f>+I38</f>
        <v>144</v>
      </c>
    </row>
    <row r="40" spans="1:12" x14ac:dyDescent="0.25">
      <c r="A40" s="22"/>
      <c r="C40" s="21"/>
      <c r="D40" s="20" t="s">
        <v>23</v>
      </c>
      <c r="E40" s="20" t="s">
        <v>70</v>
      </c>
      <c r="G40" s="20" t="s">
        <v>141</v>
      </c>
      <c r="I40" s="20">
        <f>+I39</f>
        <v>144</v>
      </c>
    </row>
    <row r="41" spans="1:12" x14ac:dyDescent="0.25">
      <c r="A41" s="22" t="s">
        <v>4</v>
      </c>
      <c r="B41" s="20">
        <f>_xlfn.MAXIFS(Data!$P:$P,Data!$A:$A,Records!$A$24)</f>
        <v>0.53700000000000003</v>
      </c>
      <c r="C41" s="21">
        <f>COUNTIFS(Data!$P:$P,Records!$B41,Data!$A:$A,Records!$A$24)</f>
        <v>1</v>
      </c>
      <c r="D41" s="20" t="str" cm="1">
        <f t="array" ref="D41">INDEX(Data!$E:$E,MATCH(1,INDEX((Records!$B41=Data!$P:$P)*($A$24=Data!$A:$A),0,1),0))</f>
        <v>Underdogs</v>
      </c>
      <c r="E41" s="20" t="str" cm="1">
        <f t="array" ref="E41">INDEX(Data!$K:$K,MATCH(1,INDEX((Records!$B41=Data!$P:$P)*($A$24=Data!$A:$A),0,1),0))</f>
        <v>vs Steven Adams' Moustache</v>
      </c>
      <c r="G41" s="20" cm="1">
        <f t="array" ref="G41">INDEX(Data!$C:$C,MATCH(1,INDEX((Records!$B41=Data!$P:$P)*($A$24=Data!$A:$A),0,1),0))</f>
        <v>19</v>
      </c>
      <c r="I41" s="20">
        <f>RANK(B41,Data!$P:$P)</f>
        <v>1</v>
      </c>
    </row>
    <row r="42" spans="1:12" x14ac:dyDescent="0.25">
      <c r="A42" s="22" t="s">
        <v>2</v>
      </c>
      <c r="B42" s="20">
        <f>_xlfn.MAXIFS(Data!$Q:$Q,Data!$A:$A,Records!$A$24)</f>
        <v>0.90700000000000003</v>
      </c>
      <c r="C42" s="21">
        <f>COUNTIFS(Data!$Q:$Q,Records!$B42,Data!$A:$A,Records!$A$24)</f>
        <v>1</v>
      </c>
      <c r="D42" s="20" t="str" cm="1">
        <f t="array" ref="D42">INDEX(Data!$E:$E,MATCH(1,INDEX((Records!$B42=Data!$Q:$Q)*($A$24=Data!$A:$A),0,1),0))</f>
        <v>Donkey Rolls</v>
      </c>
      <c r="E42" s="20" t="str" cm="1">
        <f t="array" ref="E42">INDEX(Data!$K:$K,MATCH(1,INDEX((Records!$B42=Data!$Q:$Q)*($A$24=Data!$A:$A),0,1),0))</f>
        <v>vs Retsiniakos 21</v>
      </c>
      <c r="G42" s="20" cm="1">
        <f t="array" ref="G42">INDEX(Data!$C:$C,MATCH(1,INDEX((Records!$B42=Data!$Q:$Q)*($A$24=Data!$A:$A),0,1),0))</f>
        <v>1</v>
      </c>
      <c r="I42" s="20">
        <f>RANK(B42,Data!$Q:$Q)</f>
        <v>26</v>
      </c>
    </row>
    <row r="43" spans="1:12" x14ac:dyDescent="0.25">
      <c r="A43" s="22" t="s">
        <v>12</v>
      </c>
      <c r="B43" s="20">
        <f>_xlfn.MAXIFS(Data!$R:$R,Data!$A:$A,Records!$A$24)</f>
        <v>692</v>
      </c>
      <c r="C43" s="21">
        <f>COUNTIFS(Data!$R:$R,Records!$B43,Data!$A:$A,Records!$A$24)</f>
        <v>1</v>
      </c>
      <c r="D43" s="20" t="str" cm="1">
        <f t="array" ref="D43">INDEX(Data!$E:$E,MATCH(1,INDEX((Records!$B43=Data!$R:$R)*($A$24=Data!$A:$A),0,1),0))</f>
        <v>Salonika Devils</v>
      </c>
      <c r="E43" s="20" t="str" cm="1">
        <f t="array" ref="E43">INDEX(Data!$K:$K,MATCH(1,INDEX((Records!$B43=Data!$R:$R)*($A$24=Data!$A:$A),0,1),0))</f>
        <v>vs Drogalo Mountain Goats</v>
      </c>
      <c r="G43" s="20" cm="1">
        <f t="array" ref="G43">INDEX(Data!$C:$C,MATCH(1,INDEX((Records!$B43=Data!$R:$R)*($A$24=Data!$A:$A),0,1),0))</f>
        <v>8</v>
      </c>
      <c r="I43" s="20">
        <f>RANK(B43,Data!$R:$R)</f>
        <v>54</v>
      </c>
    </row>
    <row r="44" spans="1:12" x14ac:dyDescent="0.25">
      <c r="A44" s="22" t="s">
        <v>5</v>
      </c>
      <c r="B44" s="20">
        <f>_xlfn.MAXIFS(Data!$S:$S,Data!$A:$A,Records!$A$24)</f>
        <v>69</v>
      </c>
      <c r="C44" s="21">
        <f>COUNTIFS(Data!$S:$S,Records!$B44,Data!$A:$A,Records!$A$24)</f>
        <v>1</v>
      </c>
      <c r="D44" s="20" t="str" cm="1">
        <f t="array" ref="D44">INDEX(Data!$E:$E,MATCH(1,INDEX((Records!$B44=Data!$S:$S)*($A$24=Data!$A:$A),0,1),0))</f>
        <v>Fighting Thaddeus</v>
      </c>
      <c r="E44" s="20" t="str" cm="1">
        <f t="array" ref="E44">INDEX(Data!$K:$K,MATCH(1,INDEX((Records!$B44=Data!$S:$S)*($A$24=Data!$A:$A),0,1),0))</f>
        <v>vs Retsiniakos 21</v>
      </c>
      <c r="G44" s="20" cm="1">
        <f t="array" ref="G44">INDEX(Data!$C:$C,MATCH(1,INDEX((Records!$B44=Data!$S:$S)*($A$24=Data!$A:$A),0,1),0))</f>
        <v>19</v>
      </c>
      <c r="I44" s="20">
        <f>RANK(B44,Data!$S:$S)</f>
        <v>41</v>
      </c>
    </row>
    <row r="45" spans="1:12" x14ac:dyDescent="0.25">
      <c r="A45" s="22" t="s">
        <v>6</v>
      </c>
      <c r="B45" s="20">
        <f>_xlfn.MAXIFS(Data!$T:$T,Data!$A:$A,Records!$A$24)</f>
        <v>205</v>
      </c>
      <c r="C45" s="21">
        <f>COUNTIFS(Data!$T:$T,Records!$B45,Data!$A:$A,Records!$A$24)</f>
        <v>1</v>
      </c>
      <c r="D45" s="20" t="str" cm="1">
        <f t="array" ref="D45">INDEX(Data!$E:$E,MATCH(1,INDEX((Records!$B45=Data!$T:$T)*($A$24=Data!$A:$A),0,1),0))</f>
        <v>Fighting Thaddeus</v>
      </c>
      <c r="E45" s="20" t="str" cm="1">
        <f t="array" ref="E45">INDEX(Data!$K:$K,MATCH(1,INDEX((Records!$B45=Data!$T:$T)*($A$24=Data!$A:$A),0,1),0))</f>
        <v>vs Retsiniakos 21</v>
      </c>
      <c r="G45" s="20" cm="1">
        <f t="array" ref="G45">INDEX(Data!$C:$C,MATCH(1,INDEX((Records!$B45=Data!$T:$T)*($A$24=Data!$A:$A),0,1),0))</f>
        <v>19</v>
      </c>
      <c r="I45" s="20">
        <f>RANK(B45,Data!$T:$T)</f>
        <v>39</v>
      </c>
    </row>
    <row r="46" spans="1:12" x14ac:dyDescent="0.25">
      <c r="A46" s="22" t="s">
        <v>7</v>
      </c>
      <c r="B46" s="20">
        <f>_xlfn.MAXIFS(Data!$U:$U,Data!$A:$A,Records!$A$24)</f>
        <v>161</v>
      </c>
      <c r="C46" s="21">
        <f>COUNTIFS(Data!$U:$U,Records!$B46,Data!$A:$A,Records!$A$24)</f>
        <v>1</v>
      </c>
      <c r="D46" s="20" t="str" cm="1">
        <f t="array" ref="D46">INDEX(Data!$E:$E,MATCH(1,INDEX((Records!$B46=Data!$U:$U)*($A$24=Data!$A:$A),0,1),0))</f>
        <v>The Others</v>
      </c>
      <c r="E46" s="20" t="str" cm="1">
        <f t="array" ref="E46">INDEX(Data!$K:$K,MATCH(1,INDEX((Records!$B46=Data!$U:$U)*($A$24=Data!$A:$A),0,1),0))</f>
        <v>vs Salonika Devils</v>
      </c>
      <c r="G46" s="20" cm="1">
        <f t="array" ref="G46">INDEX(Data!$C:$C,MATCH(1,INDEX((Records!$B46=Data!$U:$U)*($A$24=Data!$A:$A),0,1),0))</f>
        <v>6</v>
      </c>
      <c r="I46" s="20">
        <f>RANK(B46,Data!$U:$U)</f>
        <v>96</v>
      </c>
    </row>
    <row r="47" spans="1:12" x14ac:dyDescent="0.25">
      <c r="A47" s="22" t="s">
        <v>9</v>
      </c>
      <c r="B47" s="20">
        <f>_xlfn.MAXIFS(Data!$V:$V,Data!$A:$A,Records!$A$24)</f>
        <v>56</v>
      </c>
      <c r="C47" s="21">
        <f>COUNTIFS(Data!$V:$V,Records!$B47,Data!$A:$A,Records!$A$24)</f>
        <v>1</v>
      </c>
      <c r="D47" s="20" t="str" cm="1">
        <f t="array" ref="D47">INDEX(Data!$E:$E,MATCH(1,INDEX((Records!$B47=Data!$V:$V)*($A$24=Data!$A:$A),0,1),0))</f>
        <v>The walkinng dead</v>
      </c>
      <c r="E47" s="20" t="str" cm="1">
        <f t="array" ref="E47">INDEX(Data!$K:$K,MATCH(1,INDEX((Records!$B47=Data!$V:$V)*($A$24=Data!$A:$A),0,1),0))</f>
        <v>vs purple fuzzy apache pirates</v>
      </c>
      <c r="G47" s="20" cm="1">
        <f t="array" ref="G47">INDEX(Data!$C:$C,MATCH(1,INDEX((Records!$B47=Data!$V:$V)*($A$24=Data!$A:$A),0,1),0))</f>
        <v>3</v>
      </c>
      <c r="I47" s="20">
        <f>RANK(B47,Data!$V:$V)</f>
        <v>9</v>
      </c>
    </row>
    <row r="48" spans="1:12" x14ac:dyDescent="0.25">
      <c r="A48" s="22" t="s">
        <v>10</v>
      </c>
      <c r="B48" s="20">
        <f>_xlfn.MAXIFS(Data!$W:$W,Data!$A:$A,Records!$A$24)</f>
        <v>39</v>
      </c>
      <c r="C48" s="21">
        <f>COUNTIFS(Data!$W:$W,Records!$B48,Data!$A:$A,Records!$A$24)</f>
        <v>1</v>
      </c>
      <c r="D48" s="20" t="str" cm="1">
        <f t="array" ref="D48">INDEX(Data!$E:$E,MATCH(1,INDEX((Records!$B48=Data!$W:$W)*($A$24=Data!$A:$A),0,1),0))</f>
        <v>Salonika Devils</v>
      </c>
      <c r="E48" s="20" t="str" cm="1">
        <f t="array" ref="E48">INDEX(Data!$K:$K,MATCH(1,INDEX((Records!$B48=Data!$W:$W)*($A$24=Data!$A:$A),0,1),0))</f>
        <v>vs st.Helens Eruptions</v>
      </c>
      <c r="G48" s="20" cm="1">
        <f t="array" ref="G48">INDEX(Data!$C:$C,MATCH(1,INDEX((Records!$B48=Data!$W:$W)*($A$24=Data!$A:$A),0,1),0))</f>
        <v>15</v>
      </c>
      <c r="I48" s="20">
        <f>RANK(B48,Data!$W:$W)</f>
        <v>15</v>
      </c>
    </row>
    <row r="49" spans="1:12" x14ac:dyDescent="0.25">
      <c r="A49" s="22" t="s">
        <v>11</v>
      </c>
      <c r="B49" s="20">
        <f>_xlfn.MINIFS(Data!$X:$X,Data!$A:$A,Records!$A$24)</f>
        <v>20</v>
      </c>
      <c r="C49" s="21">
        <f>COUNTIFS(Data!$X:$X,Records!$B49,Data!$A:$A,Records!$A$24)</f>
        <v>1</v>
      </c>
      <c r="D49" s="20" t="str" cm="1">
        <f t="array" ref="D49">INDEX(Data!$E:$E,MATCH(1,INDEX((Records!$B49=Data!$X:$X)*($A$24=Data!$A:$A),0,1),0))</f>
        <v>Underdogs</v>
      </c>
      <c r="E49" s="20" t="str" cm="1">
        <f t="array" ref="E49">INDEX(Data!$K:$K,MATCH(1,INDEX((Records!$B49=Data!$X:$X)*($A$24=Data!$A:$A),0,1),0))</f>
        <v>vs purple fuzzy apache pirates</v>
      </c>
      <c r="G49" s="20" cm="1">
        <f t="array" ref="G49">INDEX(Data!$C:$C,MATCH(1,INDEX((Records!$B49=Data!$X:$X)*($A$24=Data!$A:$A),0,1),0))</f>
        <v>5</v>
      </c>
      <c r="I49" s="20">
        <f>RANK(B49,Data!$X:$X,1)</f>
        <v>21</v>
      </c>
    </row>
    <row r="50" spans="1:12" x14ac:dyDescent="0.25">
      <c r="A50" s="22" t="s">
        <v>8</v>
      </c>
      <c r="B50" s="23">
        <f>_xlfn.MAXIFS(Data!$Y:$Y,Data!$A:$A,Records!$A$24)</f>
        <v>3.2608695652173911</v>
      </c>
      <c r="C50" s="21">
        <f>COUNTIFS(Data!$Y:$Y,Records!$B50,Data!$A:$A,Records!$A$24)</f>
        <v>1</v>
      </c>
      <c r="D50" s="20" t="str" cm="1">
        <f t="array" ref="D50">INDEX(Data!$E:$E,MATCH(1,INDEX((Records!$B50=Data!$Y:$Y)*($A$24=Data!$A:$A),0,1),0))</f>
        <v>Pachiana NinjaBees</v>
      </c>
      <c r="E50" s="20" t="str" cm="1">
        <f t="array" ref="E50">INDEX(Data!$K:$K,MATCH(1,INDEX((Records!$B50=Data!$Y:$Y)*($A$24=Data!$A:$A),0,1),0))</f>
        <v>vs Salonika Devils</v>
      </c>
      <c r="G50" s="20" cm="1">
        <f t="array" ref="G50">INDEX(Data!$C:$C,MATCH(1,INDEX((Records!$B50=Data!$Y:$Y)*($A$24=Data!$A:$A),0,1),0))</f>
        <v>18</v>
      </c>
      <c r="I50" s="20">
        <f>RANK(B50,Data!$Y:$Y)</f>
        <v>16</v>
      </c>
    </row>
    <row r="52" spans="1:12" ht="18.75" x14ac:dyDescent="0.3">
      <c r="A52" s="30">
        <v>2019</v>
      </c>
      <c r="B52" s="30"/>
      <c r="C52" s="30"/>
      <c r="D52" s="30"/>
      <c r="E52" s="30"/>
      <c r="F52" s="30"/>
      <c r="G52" s="30"/>
      <c r="H52" s="30"/>
    </row>
    <row r="54" spans="1:12" ht="45" x14ac:dyDescent="0.25">
      <c r="A54" s="24" t="s">
        <v>151</v>
      </c>
      <c r="B54" s="24" t="s">
        <v>149</v>
      </c>
      <c r="C54" s="25"/>
      <c r="D54" s="24" t="s">
        <v>29</v>
      </c>
      <c r="E54" s="24" t="s">
        <v>150</v>
      </c>
      <c r="F54" s="25"/>
      <c r="G54" s="24" t="s">
        <v>38</v>
      </c>
      <c r="H54" s="24"/>
      <c r="I54" s="26" t="s">
        <v>179</v>
      </c>
      <c r="J54" s="25"/>
      <c r="K54" s="24" t="s">
        <v>29</v>
      </c>
      <c r="L54" s="24" t="s">
        <v>153</v>
      </c>
    </row>
    <row r="55" spans="1:12" ht="13.9" customHeight="1" x14ac:dyDescent="0.25">
      <c r="A55" s="22" t="s">
        <v>123</v>
      </c>
      <c r="B55" s="20">
        <f>_xlfn.MAXIFS(Data!$H:$H,Data!$A:$A,Records!$A$52)</f>
        <v>13</v>
      </c>
      <c r="C55" s="21">
        <f>COUNTIFS(Data!$H:$H,Records!$B55,Data!$A:$A,Records!$A$52)</f>
        <v>2</v>
      </c>
      <c r="D55" s="20" t="str" cm="1">
        <f t="array" ref="D55">INDEX(Data!$E:$E,MATCH(1,INDEX((Records!$B55=Data!$H:$H)*($A$52=Data!$A:$A),0,1),0))</f>
        <v>Pachiana NinjaBees</v>
      </c>
      <c r="E55" s="20" t="str" cm="1">
        <f t="array" ref="E55">INDEX(Data!$K:$K,MATCH(1,INDEX((Records!$B55=Data!$H:$H)*($A$52=Data!$A:$A),0,1),0))</f>
        <v>vs Underdogs</v>
      </c>
      <c r="G55" s="20" cm="1">
        <f t="array" ref="G55">INDEX(Data!$C:$C,MATCH(1,INDEX((Records!$B55=Data!$H:$H)*($A$52=Data!$A:$A),0,1),0))</f>
        <v>9</v>
      </c>
      <c r="I55" s="20">
        <f>RANK(B55,Data!$H:$H)</f>
        <v>1</v>
      </c>
      <c r="K55" s="20" t="str" cm="1">
        <f t="array" ref="K55">INDEX(Data!$E:$E,MATCH(1,INDEX((Records!$B57=Data!$M:$M)*($A$52=Data!$A:$A),0,1),0))</f>
        <v>Karafli SaiTa</v>
      </c>
      <c r="L55" s="20">
        <f t="shared" ref="L55:L64" si="2">COUNTIF($D$55:$D$70,K55)</f>
        <v>3</v>
      </c>
    </row>
    <row r="56" spans="1:12" ht="13.9" customHeight="1" x14ac:dyDescent="0.25">
      <c r="A56" s="22"/>
      <c r="C56" s="21"/>
      <c r="D56" s="20" t="s">
        <v>181</v>
      </c>
      <c r="E56" s="20" t="s">
        <v>111</v>
      </c>
      <c r="G56" s="20">
        <v>14</v>
      </c>
      <c r="I56" s="20">
        <f>+I55</f>
        <v>1</v>
      </c>
      <c r="K56" s="20" t="str" cm="1">
        <f t="array" ref="K56">INDEX(Data!$E:$E,MATCH(1,INDEX((Records!$B60=Data!$P:$P)*($A$52=Data!$A:$A),0,1),0))</f>
        <v>The Guns</v>
      </c>
      <c r="L56" s="20">
        <f t="shared" si="2"/>
        <v>3</v>
      </c>
    </row>
    <row r="57" spans="1:12" x14ac:dyDescent="0.25">
      <c r="A57" s="22" t="s">
        <v>0</v>
      </c>
      <c r="B57" s="20">
        <f>_xlfn.MAXIFS(Data!$M:$M,Data!$A:$A,Records!$A$52)</f>
        <v>243</v>
      </c>
      <c r="C57" s="21">
        <f>COUNTIFS(Data!$M:$M,Records!$B57,Data!$A:$A,Records!$A$52)</f>
        <v>1</v>
      </c>
      <c r="D57" s="20" t="str" cm="1">
        <f t="array" ref="D57">INDEX(Data!$E:$E,MATCH(1,INDEX((Records!$B57=Data!$M:$M)*($A$52=Data!$A:$A),0,1),0))</f>
        <v>Karafli SaiTa</v>
      </c>
      <c r="E57" s="20" t="str" cm="1">
        <f t="array" ref="E57">INDEX(Data!$K:$K,MATCH(1,INDEX((Records!$B57=Data!$M:$M)*($A$52=Data!$A:$A),0,1),0))</f>
        <v>vs st.Helens Eruptions</v>
      </c>
      <c r="G57" s="20" cm="1">
        <f t="array" ref="G57">INDEX(Data!$C:$C,MATCH(1,INDEX((Records!$B57=Data!$M:$M)*($A$52=Data!$A:$A),0,1),0))</f>
        <v>10</v>
      </c>
      <c r="I57" s="20">
        <f>RANK(B57,Data!$M:$M)</f>
        <v>82</v>
      </c>
      <c r="K57" s="20" t="str" cm="1">
        <f t="array" ref="K57">INDEX(Data!$E:$E,MATCH(1,INDEX((Records!$B59=Data!$O:$O)*($A$52=Data!$A:$A),0,1),0))</f>
        <v>The Bridgeburners</v>
      </c>
      <c r="L57" s="20">
        <f t="shared" si="2"/>
        <v>2</v>
      </c>
    </row>
    <row r="58" spans="1:12" x14ac:dyDescent="0.25">
      <c r="A58" s="22" t="s">
        <v>1</v>
      </c>
      <c r="B58" s="20">
        <f>_xlfn.MAXIFS(Data!$N:$N,Data!$A:$A,Records!$A$52)</f>
        <v>0.54300000000000004</v>
      </c>
      <c r="C58" s="21">
        <f>COUNTIFS(Data!$N:$N,Records!$B58,Data!$A:$A,Records!$A$52)</f>
        <v>1</v>
      </c>
      <c r="D58" s="20" t="str" cm="1">
        <f t="array" ref="D58">INDEX(Data!$E:$E,MATCH(1,INDEX((Records!$B58=Data!$N:$N)*($A$52=Data!$A:$A),0,1),0))</f>
        <v>Donkey Rolls</v>
      </c>
      <c r="E58" s="20" t="str" cm="1">
        <f t="array" ref="E58">INDEX(Data!$K:$K,MATCH(1,INDEX((Records!$B58=Data!$N:$N)*($A$52=Data!$A:$A),0,1),0))</f>
        <v>vs The Guns</v>
      </c>
      <c r="G58" s="20" cm="1">
        <f t="array" ref="G58">INDEX(Data!$C:$C,MATCH(1,INDEX((Records!$B58=Data!$N:$N)*($A$52=Data!$A:$A),0,1),0))</f>
        <v>15</v>
      </c>
      <c r="I58" s="20">
        <f>RANK(B58,Data!$N:$N)</f>
        <v>49</v>
      </c>
      <c r="K58" s="20" t="str" cm="1">
        <f t="array" ref="K58">INDEX(Data!$E:$E,MATCH(1,INDEX((Records!$B65=Data!$U:$U)*($A$52=Data!$A:$A),0,1),0))</f>
        <v>Kourayo Vallecano</v>
      </c>
      <c r="L58" s="20">
        <f t="shared" si="2"/>
        <v>2</v>
      </c>
    </row>
    <row r="59" spans="1:12" x14ac:dyDescent="0.25">
      <c r="A59" s="22" t="s">
        <v>3</v>
      </c>
      <c r="B59" s="20">
        <f>_xlfn.MAXIFS(Data!$O:$O,Data!$A:$A,Records!$A$52)</f>
        <v>77</v>
      </c>
      <c r="C59" s="21">
        <f>COUNTIFS(Data!$O:$O,Records!$B59,Data!$A:$A,Records!$A$52)</f>
        <v>1</v>
      </c>
      <c r="D59" s="20" t="str" cm="1">
        <f t="array" ref="D59">INDEX(Data!$E:$E,MATCH(1,INDEX((Records!$B59=Data!$O:$O)*($A$52=Data!$A:$A),0,1),0))</f>
        <v>The Bridgeburners</v>
      </c>
      <c r="E59" s="20" t="str" cm="1">
        <f t="array" ref="E59">INDEX(Data!$K:$K,MATCH(1,INDEX((Records!$B59=Data!$O:$O)*($A$52=Data!$A:$A),0,1),0))</f>
        <v>vs Salonika Devils</v>
      </c>
      <c r="G59" s="20" cm="1">
        <f t="array" ref="G59">INDEX(Data!$C:$C,MATCH(1,INDEX((Records!$B59=Data!$O:$O)*($A$52=Data!$A:$A),0,1),0))</f>
        <v>2</v>
      </c>
      <c r="I59" s="20">
        <f>RANK(B59,Data!$O:$O)</f>
        <v>64</v>
      </c>
      <c r="K59" s="20" t="str" cm="1">
        <f t="array" ref="K59">INDEX(Data!$E:$E,MATCH(1,INDEX((Records!$B55=Data!$H:$H)*($A$52=Data!$A:$A),0,1),0))</f>
        <v>Pachiana NinjaBees</v>
      </c>
      <c r="L59" s="20">
        <f t="shared" si="2"/>
        <v>1</v>
      </c>
    </row>
    <row r="60" spans="1:12" x14ac:dyDescent="0.25">
      <c r="A60" s="22" t="s">
        <v>4</v>
      </c>
      <c r="B60" s="20">
        <f>_xlfn.MAXIFS(Data!$P:$P,Data!$A:$A,Records!$A$52)</f>
        <v>0.48199999999999998</v>
      </c>
      <c r="C60" s="21">
        <f>COUNTIFS(Data!$P:$P,Records!$B60,Data!$A:$A,Records!$A$52)</f>
        <v>1</v>
      </c>
      <c r="D60" s="20" t="str" cm="1">
        <f t="array" ref="D60">INDEX(Data!$E:$E,MATCH(1,INDEX((Records!$B60=Data!$P:$P)*($A$52=Data!$A:$A),0,1),0))</f>
        <v>The Guns</v>
      </c>
      <c r="E60" s="20" t="str" cm="1">
        <f t="array" ref="E60">INDEX(Data!$K:$K,MATCH(1,INDEX((Records!$B60=Data!$P:$P)*($A$52=Data!$A:$A),0,1),0))</f>
        <v>vs The Others</v>
      </c>
      <c r="G60" s="20" cm="1">
        <f t="array" ref="G60">INDEX(Data!$C:$C,MATCH(1,INDEX((Records!$B60=Data!$P:$P)*($A$52=Data!$A:$A),0,1),0))</f>
        <v>13</v>
      </c>
      <c r="I60" s="20">
        <f>RANK(B60,Data!$P:$P)</f>
        <v>16</v>
      </c>
      <c r="K60" s="20" t="s">
        <v>181</v>
      </c>
      <c r="L60" s="20">
        <f t="shared" si="2"/>
        <v>1</v>
      </c>
    </row>
    <row r="61" spans="1:12" x14ac:dyDescent="0.25">
      <c r="A61" s="22" t="s">
        <v>2</v>
      </c>
      <c r="B61" s="20">
        <f>_xlfn.MAXIFS(Data!$Q:$Q,Data!$A:$A,Records!$A$52)</f>
        <v>0.91300000000000003</v>
      </c>
      <c r="C61" s="21">
        <f>COUNTIFS(Data!$Q:$Q,Records!$B61,Data!$A:$A,Records!$A$52)</f>
        <v>1</v>
      </c>
      <c r="D61" s="20" t="str" cm="1">
        <f t="array" ref="D61">INDEX(Data!$E:$E,MATCH(1,INDEX((Records!$B61=Data!$Q:$Q)*($A$52=Data!$A:$A),0,1),0))</f>
        <v>The Others</v>
      </c>
      <c r="E61" s="20" t="str" cm="1">
        <f t="array" ref="E61">INDEX(Data!$K:$K,MATCH(1,INDEX((Records!$B61=Data!$Q:$Q)*($A$52=Data!$A:$A),0,1),0))</f>
        <v>vs The walkinng dead</v>
      </c>
      <c r="G61" s="20" cm="1">
        <f t="array" ref="G61">INDEX(Data!$C:$C,MATCH(1,INDEX((Records!$B61=Data!$Q:$Q)*($A$52=Data!$A:$A),0,1),0))</f>
        <v>18</v>
      </c>
      <c r="I61" s="20">
        <f>RANK(B61,Data!$Q:$Q)</f>
        <v>22</v>
      </c>
      <c r="K61" s="20" t="str" cm="1">
        <f t="array" ref="K61">INDEX(Data!$E:$E,MATCH(1,INDEX((Records!$B58=Data!$N:$N)*($A$52=Data!$A:$A),0,1),0))</f>
        <v>Donkey Rolls</v>
      </c>
      <c r="L61" s="20">
        <f t="shared" si="2"/>
        <v>1</v>
      </c>
    </row>
    <row r="62" spans="1:12" x14ac:dyDescent="0.25">
      <c r="A62" s="22" t="s">
        <v>12</v>
      </c>
      <c r="B62" s="20">
        <f>_xlfn.MAXIFS(Data!$R:$R,Data!$A:$A,Records!$A$52)</f>
        <v>664</v>
      </c>
      <c r="C62" s="21">
        <f>COUNTIFS(Data!$R:$R,Records!$B62,Data!$A:$A,Records!$A$52)</f>
        <v>1</v>
      </c>
      <c r="D62" s="20" t="str" cm="1">
        <f t="array" ref="D62">INDEX(Data!$E:$E,MATCH(1,INDEX((Records!$B62=Data!$R:$R)*($A$52=Data!$A:$A),0,1),0))</f>
        <v>The Guns</v>
      </c>
      <c r="E62" s="20" t="str" cm="1">
        <f t="array" ref="E62">INDEX(Data!$K:$K,MATCH(1,INDEX((Records!$B62=Data!$R:$R)*($A$52=Data!$A:$A),0,1),0))</f>
        <v>vs Kourayo Vallecano</v>
      </c>
      <c r="G62" s="20" cm="1">
        <f t="array" ref="G62">INDEX(Data!$C:$C,MATCH(1,INDEX((Records!$B62=Data!$R:$R)*($A$52=Data!$A:$A),0,1),0))</f>
        <v>18</v>
      </c>
      <c r="I62" s="20">
        <f>RANK(B62,Data!$R:$R)</f>
        <v>87</v>
      </c>
      <c r="K62" s="20" t="str" cm="1">
        <f t="array" ref="K62">INDEX(Data!$E:$E,MATCH(1,INDEX((Records!$B61=Data!$Q:$Q)*($A$52=Data!$A:$A),0,1),0))</f>
        <v>The Others</v>
      </c>
      <c r="L62" s="20">
        <f t="shared" si="2"/>
        <v>1</v>
      </c>
    </row>
    <row r="63" spans="1:12" x14ac:dyDescent="0.25">
      <c r="A63" s="22" t="s">
        <v>5</v>
      </c>
      <c r="B63" s="20">
        <f>_xlfn.MAXIFS(Data!$S:$S,Data!$A:$A,Records!$A$52)</f>
        <v>83</v>
      </c>
      <c r="C63" s="21">
        <f>COUNTIFS(Data!$S:$S,Records!$B63,Data!$A:$A,Records!$A$52)</f>
        <v>1</v>
      </c>
      <c r="D63" s="20" t="str" cm="1">
        <f t="array" ref="D63">INDEX(Data!$E:$E,MATCH(1,INDEX((Records!$B63=Data!$S:$S)*($A$52=Data!$A:$A),0,1),0))</f>
        <v>Karafli SaiTa</v>
      </c>
      <c r="E63" s="20" t="str" cm="1">
        <f t="array" ref="E63">INDEX(Data!$K:$K,MATCH(1,INDEX((Records!$B63=Data!$S:$S)*($A$52=Data!$A:$A),0,1),0))</f>
        <v>vs Drogalo Mountain Goats</v>
      </c>
      <c r="G63" s="20" cm="1">
        <f t="array" ref="G63">INDEX(Data!$C:$C,MATCH(1,INDEX((Records!$B63=Data!$S:$S)*($A$52=Data!$A:$A),0,1),0))</f>
        <v>6</v>
      </c>
      <c r="I63" s="20">
        <f>RANK(B63,Data!$S:$S)</f>
        <v>5</v>
      </c>
      <c r="K63" s="20" t="s">
        <v>28</v>
      </c>
      <c r="L63" s="20">
        <f t="shared" si="2"/>
        <v>1</v>
      </c>
    </row>
    <row r="64" spans="1:12" x14ac:dyDescent="0.25">
      <c r="A64" s="22" t="s">
        <v>6</v>
      </c>
      <c r="B64" s="20">
        <f>_xlfn.MAXIFS(Data!$T:$T,Data!$A:$A,Records!$A$52)</f>
        <v>242</v>
      </c>
      <c r="C64" s="21">
        <f>COUNTIFS(Data!$T:$T,Records!$B64,Data!$A:$A,Records!$A$52)</f>
        <v>1</v>
      </c>
      <c r="D64" s="20" t="str" cm="1">
        <f t="array" ref="D64">INDEX(Data!$E:$E,MATCH(1,INDEX((Records!$B64=Data!$T:$T)*($A$52=Data!$A:$A),0,1),0))</f>
        <v>Karafli SaiTa</v>
      </c>
      <c r="E64" s="20" t="str" cm="1">
        <f t="array" ref="E64">INDEX(Data!$K:$K,MATCH(1,INDEX((Records!$B64=Data!$T:$T)*($A$52=Data!$A:$A),0,1),0))</f>
        <v>vs st.Helens Eruptions</v>
      </c>
      <c r="G64" s="20" cm="1">
        <f t="array" ref="G64">INDEX(Data!$C:$C,MATCH(1,INDEX((Records!$B64=Data!$T:$T)*($A$52=Data!$A:$A),0,1),0))</f>
        <v>10</v>
      </c>
      <c r="I64" s="20">
        <f>RANK(B64,Data!$T:$T)</f>
        <v>3</v>
      </c>
      <c r="K64" s="20" t="str" cm="1">
        <f t="array" ref="K64">INDEX(Data!$E:$E,MATCH(1,INDEX((Records!$B69=Data!$X:$X)*($A$52=Data!$A:$A),0,1),0))</f>
        <v>The walkinng dead</v>
      </c>
      <c r="L64" s="20">
        <f t="shared" si="2"/>
        <v>1</v>
      </c>
    </row>
    <row r="65" spans="1:12" x14ac:dyDescent="0.25">
      <c r="A65" s="22" t="s">
        <v>7</v>
      </c>
      <c r="B65" s="20">
        <f>_xlfn.MAXIFS(Data!$U:$U,Data!$A:$A,Records!$A$52)</f>
        <v>164</v>
      </c>
      <c r="C65" s="21">
        <f>COUNTIFS(Data!$U:$U,Records!$B65,Data!$A:$A,Records!$A$52)</f>
        <v>1</v>
      </c>
      <c r="D65" s="20" t="str" cm="1">
        <f t="array" ref="D65">INDEX(Data!$E:$E,MATCH(1,INDEX((Records!$B65=Data!$U:$U)*($A$52=Data!$A:$A),0,1),0))</f>
        <v>Kourayo Vallecano</v>
      </c>
      <c r="E65" s="20" t="str" cm="1">
        <f t="array" ref="E65">INDEX(Data!$K:$K,MATCH(1,INDEX((Records!$B65=Data!$U:$U)*($A$52=Data!$A:$A),0,1),0))</f>
        <v>vs The Rookies</v>
      </c>
      <c r="G65" s="20" cm="1">
        <f t="array" ref="G65">INDEX(Data!$C:$C,MATCH(1,INDEX((Records!$B65=Data!$U:$U)*($A$52=Data!$A:$A),0,1),0))</f>
        <v>14</v>
      </c>
      <c r="I65" s="20">
        <f>RANK(B65,Data!$U:$U)</f>
        <v>83</v>
      </c>
    </row>
    <row r="66" spans="1:12" x14ac:dyDescent="0.25">
      <c r="A66" s="22" t="s">
        <v>9</v>
      </c>
      <c r="B66" s="20">
        <f>_xlfn.MAXIFS(Data!$V:$V,Data!$A:$A,Records!$A$52)</f>
        <v>57</v>
      </c>
      <c r="C66" s="21">
        <f>COUNTIFS(Data!$V:$V,Records!$B66,Data!$A:$A,Records!$A$52)</f>
        <v>2</v>
      </c>
      <c r="D66" s="20" t="str" cm="1">
        <f t="array" ref="D66">INDEX(Data!$E:$E,MATCH(1,INDEX((Records!$B66=Data!$V:$V)*($A$52=Data!$A:$A),0,1),0))</f>
        <v>The Bridgeburners</v>
      </c>
      <c r="E66" s="20" t="str" cm="1">
        <f t="array" ref="E66">INDEX(Data!$K:$K,MATCH(1,INDEX((Records!$B66=Data!$V:$V)*($A$52=Data!$A:$A),0,1),0))</f>
        <v>vs Karafli SaiTa</v>
      </c>
      <c r="G66" s="20" cm="1">
        <f t="array" ref="G66">INDEX(Data!$C:$C,MATCH(1,INDEX((Records!$B66=Data!$V:$V)*($A$52=Data!$A:$A),0,1),0))</f>
        <v>7</v>
      </c>
      <c r="I66" s="20">
        <f>RANK(B66,Data!$V:$V)</f>
        <v>6</v>
      </c>
    </row>
    <row r="67" spans="1:12" x14ac:dyDescent="0.25">
      <c r="A67" s="22"/>
      <c r="C67" s="21"/>
      <c r="D67" s="20" t="s">
        <v>28</v>
      </c>
      <c r="E67" s="20" t="s">
        <v>66</v>
      </c>
      <c r="G67" s="20">
        <v>9</v>
      </c>
      <c r="I67" s="20">
        <f>+I66</f>
        <v>6</v>
      </c>
    </row>
    <row r="68" spans="1:12" x14ac:dyDescent="0.25">
      <c r="A68" s="22" t="s">
        <v>10</v>
      </c>
      <c r="B68" s="20">
        <f>_xlfn.MAXIFS(Data!$W:$W,Data!$A:$A,Records!$A$52)</f>
        <v>43</v>
      </c>
      <c r="C68" s="21">
        <f>COUNTIFS(Data!$W:$W,Records!$B68,Data!$A:$A,Records!$A$52)</f>
        <v>1</v>
      </c>
      <c r="D68" s="20" t="str" cm="1">
        <f t="array" ref="D68">INDEX(Data!$E:$E,MATCH(1,INDEX((Records!$B68=Data!$W:$W)*($A$52=Data!$A:$A),0,1),0))</f>
        <v>The Guns</v>
      </c>
      <c r="E68" s="20" t="str" cm="1">
        <f t="array" ref="E68">INDEX(Data!$K:$K,MATCH(1,INDEX((Records!$B68=Data!$W:$W)*($A$52=Data!$A:$A),0,1),0))</f>
        <v>vs Karafli SaiTa</v>
      </c>
      <c r="G68" s="20" cm="1">
        <f t="array" ref="G68">INDEX(Data!$C:$C,MATCH(1,INDEX((Records!$B68=Data!$W:$W)*($A$52=Data!$A:$A),0,1),0))</f>
        <v>19</v>
      </c>
      <c r="I68" s="20">
        <f>RANK(B68,Data!$W:$W)</f>
        <v>2</v>
      </c>
    </row>
    <row r="69" spans="1:12" x14ac:dyDescent="0.25">
      <c r="A69" s="22" t="s">
        <v>11</v>
      </c>
      <c r="B69" s="20">
        <f>_xlfn.MINIFS(Data!$X:$X,Data!$A:$A,Records!$A$52)</f>
        <v>24</v>
      </c>
      <c r="C69" s="21">
        <f>COUNTIFS(Data!$X:$X,Records!$B69,Data!$A:$A,Records!$A$52)</f>
        <v>1</v>
      </c>
      <c r="D69" s="20" t="str" cm="1">
        <f t="array" ref="D69">INDEX(Data!$E:$E,MATCH(1,INDEX((Records!$B69=Data!$X:$X)*($A$52=Data!$A:$A),0,1),0))</f>
        <v>The walkinng dead</v>
      </c>
      <c r="E69" s="20" t="str" cm="1">
        <f t="array" ref="E69">INDEX(Data!$K:$K,MATCH(1,INDEX((Records!$B69=Data!$X:$X)*($A$52=Data!$A:$A),0,1),0))</f>
        <v>vs Drogalo Mountain Goats</v>
      </c>
      <c r="G69" s="20" cm="1">
        <f t="array" ref="G69">INDEX(Data!$C:$C,MATCH(1,INDEX((Records!$B69=Data!$X:$X)*($A$52=Data!$A:$A),0,1),0))</f>
        <v>12</v>
      </c>
      <c r="I69" s="20">
        <f>RANK(B69,Data!$X:$X,1)</f>
        <v>53</v>
      </c>
    </row>
    <row r="70" spans="1:12" x14ac:dyDescent="0.25">
      <c r="A70" s="22" t="s">
        <v>8</v>
      </c>
      <c r="B70" s="20">
        <f>_xlfn.MAXIFS(Data!$Y:$Y,Data!$A:$A,Records!$A$52)</f>
        <v>4.32</v>
      </c>
      <c r="C70" s="21">
        <f>COUNTIFS(Data!$Y:$Y,Records!$B70,Data!$A:$A,Records!$A$52)</f>
        <v>1</v>
      </c>
      <c r="D70" s="20" t="str" cm="1">
        <f t="array" ref="D70">INDEX(Data!$E:$E,MATCH(1,INDEX((Records!$B70=Data!$Y:$Y)*($A$52=Data!$A:$A),0,1),0))</f>
        <v>Kourayo Vallecano</v>
      </c>
      <c r="E70" s="20" t="str" cm="1">
        <f t="array" ref="E70">INDEX(Data!$K:$K,MATCH(1,INDEX((Records!$B70=Data!$Y:$Y)*($A$52=Data!$A:$A),0,1),0))</f>
        <v>vs The Rookies</v>
      </c>
      <c r="G70" s="20" cm="1">
        <f t="array" ref="G70">INDEX(Data!$C:$C,MATCH(1,INDEX((Records!$B70=Data!$Y:$Y)*($A$52=Data!$A:$A),0,1),0))</f>
        <v>14</v>
      </c>
      <c r="I70" s="20">
        <f>RANK(B70,Data!$Y:$Y)</f>
        <v>1</v>
      </c>
    </row>
    <row r="72" spans="1:12" ht="18.75" x14ac:dyDescent="0.3">
      <c r="A72" s="30">
        <v>2020</v>
      </c>
      <c r="B72" s="30"/>
      <c r="C72" s="30"/>
      <c r="D72" s="30"/>
      <c r="E72" s="30"/>
      <c r="F72" s="30"/>
      <c r="G72" s="30"/>
      <c r="H72" s="30"/>
    </row>
    <row r="74" spans="1:12" ht="45" x14ac:dyDescent="0.25">
      <c r="A74" s="24" t="s">
        <v>151</v>
      </c>
      <c r="B74" s="24" t="s">
        <v>149</v>
      </c>
      <c r="C74" s="25"/>
      <c r="D74" s="24" t="s">
        <v>29</v>
      </c>
      <c r="E74" s="24" t="s">
        <v>150</v>
      </c>
      <c r="F74" s="25"/>
      <c r="G74" s="24" t="s">
        <v>38</v>
      </c>
      <c r="H74" s="24"/>
      <c r="I74" s="26" t="s">
        <v>179</v>
      </c>
      <c r="J74" s="25"/>
      <c r="K74" s="24" t="s">
        <v>29</v>
      </c>
      <c r="L74" s="24" t="s">
        <v>153</v>
      </c>
    </row>
    <row r="75" spans="1:12" x14ac:dyDescent="0.25">
      <c r="A75" s="22" t="s">
        <v>123</v>
      </c>
      <c r="B75" s="20">
        <f>_xlfn.MAXIFS(Data!$H:$H,Data!$A:$A,Records!$A$72)</f>
        <v>13</v>
      </c>
      <c r="C75" s="21">
        <f>COUNTIFS(Data!$H:$H,Records!$B75,Data!$A:$A,Records!$A$72)</f>
        <v>1</v>
      </c>
      <c r="D75" s="20" t="str" cm="1">
        <f t="array" ref="D75">INDEX(Data!$E:$E,MATCH(1,INDEX((Records!$B75=Data!$H:$H)*($A$72=Data!$A:$A),0,1),0))</f>
        <v>The Bridgeburners</v>
      </c>
      <c r="E75" s="20" t="str" cm="1">
        <f t="array" ref="E75">INDEX(Data!$K:$K,MATCH(1,INDEX((Records!$B75=Data!$H:$H)*($A$72=Data!$A:$A),0,1),0))</f>
        <v>vs Samarina Dudenbros</v>
      </c>
      <c r="G75" s="20" cm="1">
        <f t="array" ref="G75">INDEX(Data!$C:$C,MATCH(1,INDEX((Records!$B75=Data!$H:$H)*($A$72=Data!$A:$A),0,1),0))</f>
        <v>7</v>
      </c>
      <c r="I75" s="20">
        <f>RANK(B75,Data!$H:$H)</f>
        <v>1</v>
      </c>
      <c r="K75" s="20" t="s">
        <v>32</v>
      </c>
      <c r="L75" s="20">
        <f t="shared" ref="L75:L83" si="3">COUNTIF($D$75:$D$88,K75)</f>
        <v>0</v>
      </c>
    </row>
    <row r="76" spans="1:12" x14ac:dyDescent="0.25">
      <c r="A76" s="22" t="s">
        <v>0</v>
      </c>
      <c r="B76" s="20">
        <f>_xlfn.MAXIFS(Data!$M:$M,Data!$A:$A,Records!$A$72)</f>
        <v>279</v>
      </c>
      <c r="C76" s="21">
        <f>COUNTIFS(Data!$M:$M,Records!$B76,Data!$A:$A,Records!$A$72)</f>
        <v>1</v>
      </c>
      <c r="D76" s="20" t="str" cm="1">
        <f t="array" ref="D76">INDEX(Data!$E:$E,MATCH(1,INDEX((Records!$B76=Data!$M:$M)*($A$72=Data!$A:$A),0,1),0))</f>
        <v>purple fuzzy apache pirates</v>
      </c>
      <c r="E76" s="20" t="str" cm="1">
        <f t="array" ref="E76">INDEX(Data!$K:$K,MATCH(1,INDEX((Records!$B76=Data!$M:$M)*($A$72=Data!$A:$A),0,1),0))</f>
        <v>vs The Bridgeburners</v>
      </c>
      <c r="G76" s="20" cm="1">
        <f t="array" ref="G76">INDEX(Data!$C:$C,MATCH(1,INDEX((Records!$B76=Data!$M:$M)*($A$72=Data!$A:$A),0,1),0))</f>
        <v>18</v>
      </c>
      <c r="I76" s="20">
        <f>RANK(B76,Data!$M:$M)</f>
        <v>15</v>
      </c>
      <c r="K76" s="20" t="s">
        <v>16</v>
      </c>
      <c r="L76" s="20">
        <f t="shared" si="3"/>
        <v>2</v>
      </c>
    </row>
    <row r="77" spans="1:12" x14ac:dyDescent="0.25">
      <c r="A77" s="22" t="s">
        <v>1</v>
      </c>
      <c r="B77" s="20">
        <f>_xlfn.MAXIFS(Data!$N:$N,Data!$A:$A,Records!$A$72)</f>
        <v>0.55621301775147924</v>
      </c>
      <c r="C77" s="21">
        <f>COUNTIFS(Data!$N:$N,Records!$B77,Data!$A:$A,Records!$A$72)</f>
        <v>1</v>
      </c>
      <c r="D77" s="20" t="str" cm="1">
        <f t="array" ref="D77">INDEX(Data!$E:$E,MATCH(1,INDEX((Records!$B77=Data!$N:$N)*($A$72=Data!$A:$A),0,1),0))</f>
        <v>Kourayo Vallecano</v>
      </c>
      <c r="E77" s="20" t="str" cm="1">
        <f t="array" ref="E77">INDEX(Data!$K:$K,MATCH(1,INDEX((Records!$B77=Data!$N:$N)*($A$72=Data!$A:$A),0,1),0))</f>
        <v>vs The Guns</v>
      </c>
      <c r="G77" s="20" cm="1">
        <f t="array" ref="G77">INDEX(Data!$C:$C,MATCH(1,INDEX((Records!$B77=Data!$N:$N)*($A$72=Data!$A:$A),0,1),0))</f>
        <v>4</v>
      </c>
      <c r="I77" s="20">
        <f>RANK(B77,Data!$N:$N)</f>
        <v>21</v>
      </c>
      <c r="K77" s="20" t="s">
        <v>26</v>
      </c>
      <c r="L77" s="20">
        <f t="shared" si="3"/>
        <v>2</v>
      </c>
    </row>
    <row r="78" spans="1:12" x14ac:dyDescent="0.25">
      <c r="A78" s="22" t="s">
        <v>3</v>
      </c>
      <c r="B78" s="20">
        <f>_xlfn.MAXIFS(Data!$O:$O,Data!$A:$A,Records!$A$72)</f>
        <v>86</v>
      </c>
      <c r="C78" s="21">
        <f>COUNTIFS(Data!$O:$O,Records!$B78,Data!$A:$A,Records!$A$72)</f>
        <v>1</v>
      </c>
      <c r="D78" s="20" t="str" cm="1">
        <f t="array" ref="D78">INDEX(Data!$E:$E,MATCH(1,INDEX((Records!$B78=Data!$O:$O)*($A$72=Data!$A:$A),0,1),0))</f>
        <v>purple fuzzy apache pirates</v>
      </c>
      <c r="E78" s="20" t="str" cm="1">
        <f t="array" ref="E78">INDEX(Data!$K:$K,MATCH(1,INDEX((Records!$B78=Data!$O:$O)*($A$72=Data!$A:$A),0,1),0))</f>
        <v>vs The Bridgeburners</v>
      </c>
      <c r="G78" s="20" cm="1">
        <f t="array" ref="G78">INDEX(Data!$C:$C,MATCH(1,INDEX((Records!$B78=Data!$O:$O)*($A$72=Data!$A:$A),0,1),0))</f>
        <v>18</v>
      </c>
      <c r="I78" s="20">
        <f>RANK(B78,Data!$O:$O)</f>
        <v>13</v>
      </c>
      <c r="K78" s="20" t="s">
        <v>36</v>
      </c>
      <c r="L78" s="20">
        <f t="shared" si="3"/>
        <v>0</v>
      </c>
    </row>
    <row r="79" spans="1:12" x14ac:dyDescent="0.25">
      <c r="A79" s="22" t="s">
        <v>4</v>
      </c>
      <c r="B79" s="20">
        <f>_xlfn.MAXIFS(Data!$P:$P,Data!$A:$A,Records!$A$72)</f>
        <v>0.50793650793650791</v>
      </c>
      <c r="C79" s="21">
        <f>COUNTIFS(Data!$P:$P,Records!$B79,Data!$A:$A,Records!$A$72)</f>
        <v>1</v>
      </c>
      <c r="D79" s="20" t="str" cm="1">
        <f t="array" ref="D79">INDEX(Data!$E:$E,MATCH(1,INDEX((Records!$B79=Data!$P:$P)*($A$72=Data!$A:$A),0,1),0))</f>
        <v>Xanthi Ducks 🦆</v>
      </c>
      <c r="E79" s="20" t="str" cm="1">
        <f t="array" ref="E79">INDEX(Data!$K:$K,MATCH(1,INDEX((Records!$B79=Data!$P:$P)*($A$72=Data!$A:$A),0,1),0))</f>
        <v>vs Donkey Rolls</v>
      </c>
      <c r="G79" s="20" cm="1">
        <f t="array" ref="G79">INDEX(Data!$C:$C,MATCH(1,INDEX((Records!$B79=Data!$P:$P)*($A$72=Data!$A:$A),0,1),0))</f>
        <v>5</v>
      </c>
      <c r="I79" s="20">
        <f>RANK(B79,Data!$P:$P)</f>
        <v>4</v>
      </c>
      <c r="K79" s="20" t="s">
        <v>23</v>
      </c>
      <c r="L79" s="20">
        <f t="shared" si="3"/>
        <v>1</v>
      </c>
    </row>
    <row r="80" spans="1:12" x14ac:dyDescent="0.25">
      <c r="A80" s="22" t="s">
        <v>2</v>
      </c>
      <c r="B80" s="20">
        <f>_xlfn.MAXIFS(Data!$Q:$Q,Data!$A:$A,Records!$A$72)</f>
        <v>0.91860465116279066</v>
      </c>
      <c r="C80" s="21">
        <f>COUNTIFS(Data!$Q:$Q,Records!$B80,Data!$A:$A,Records!$A$72)</f>
        <v>1</v>
      </c>
      <c r="D80" s="20" t="str" cm="1">
        <f t="array" ref="D80">INDEX(Data!$E:$E,MATCH(1,INDEX((Records!$B80=Data!$Q:$Q)*($A$72=Data!$A:$A),0,1),0))</f>
        <v>Pachiana NinjaBees</v>
      </c>
      <c r="E80" s="20" t="str" cm="1">
        <f t="array" ref="E80">INDEX(Data!$K:$K,MATCH(1,INDEX((Records!$B80=Data!$Q:$Q)*($A$72=Data!$A:$A),0,1),0))</f>
        <v>vs Steven Adams' Moustache</v>
      </c>
      <c r="G80" s="20" cm="1">
        <f t="array" ref="G80">INDEX(Data!$C:$C,MATCH(1,INDEX((Records!$B80=Data!$Q:$Q)*($A$72=Data!$A:$A),0,1),0))</f>
        <v>3</v>
      </c>
      <c r="I80" s="20">
        <f>RANK(B80,Data!$Q:$Q)</f>
        <v>13</v>
      </c>
      <c r="K80" s="20" t="s">
        <v>33</v>
      </c>
      <c r="L80" s="20">
        <f t="shared" si="3"/>
        <v>1</v>
      </c>
    </row>
    <row r="81" spans="1:12" x14ac:dyDescent="0.25">
      <c r="A81" s="22" t="s">
        <v>12</v>
      </c>
      <c r="B81" s="20">
        <f>_xlfn.MAXIFS(Data!$R:$R,Data!$A:$A,Records!$A$72)</f>
        <v>773</v>
      </c>
      <c r="C81" s="21">
        <f>COUNTIFS(Data!$R:$R,Records!$B81,Data!$A:$A,Records!$A$72)</f>
        <v>1</v>
      </c>
      <c r="D81" s="20" t="str" cm="1">
        <f t="array" ref="D81">INDEX(Data!$E:$E,MATCH(1,INDEX((Records!$B81=Data!$R:$R)*($A$72=Data!$A:$A),0,1),0))</f>
        <v>purple fuzzy apache pirates</v>
      </c>
      <c r="E81" s="20" t="str" cm="1">
        <f t="array" ref="E81">INDEX(Data!$K:$K,MATCH(1,INDEX((Records!$B81=Data!$R:$R)*($A$72=Data!$A:$A),0,1),0))</f>
        <v>vs The Bridgeburners</v>
      </c>
      <c r="G81" s="20" cm="1">
        <f t="array" ref="G81">INDEX(Data!$C:$C,MATCH(1,INDEX((Records!$B81=Data!$R:$R)*($A$72=Data!$A:$A),0,1),0))</f>
        <v>18</v>
      </c>
      <c r="I81" s="20">
        <f>RANK(B81,Data!$R:$R)</f>
        <v>15</v>
      </c>
      <c r="K81" s="20" t="s">
        <v>34</v>
      </c>
      <c r="L81" s="20">
        <f t="shared" si="3"/>
        <v>0</v>
      </c>
    </row>
    <row r="82" spans="1:12" x14ac:dyDescent="0.25">
      <c r="A82" s="22" t="s">
        <v>5</v>
      </c>
      <c r="B82" s="20">
        <f>_xlfn.MAXIFS(Data!$S:$S,Data!$A:$A,Records!$A$72)</f>
        <v>71</v>
      </c>
      <c r="C82" s="21">
        <f>COUNTIFS(Data!$S:$S,Records!$B82,Data!$A:$A,Records!$A$72)</f>
        <v>1</v>
      </c>
      <c r="D82" s="20" t="str" cm="1">
        <f t="array" ref="D82">INDEX(Data!$E:$E,MATCH(1,INDEX((Records!$B82=Data!$S:$S)*($A$72=Data!$A:$A),0,1),0))</f>
        <v>The Guns</v>
      </c>
      <c r="E82" s="20" t="str" cm="1">
        <f t="array" ref="E82">INDEX(Data!$K:$K,MATCH(1,INDEX((Records!$B82=Data!$S:$S)*($A$72=Data!$A:$A),0,1),0))</f>
        <v>vs Xanthi Ducks 🦆</v>
      </c>
      <c r="G82" s="20" cm="1">
        <f t="array" ref="G82">INDEX(Data!$C:$C,MATCH(1,INDEX((Records!$B82=Data!$S:$S)*($A$72=Data!$A:$A),0,1),0))</f>
        <v>14</v>
      </c>
      <c r="I82" s="20">
        <f>RANK(B82,Data!$S:$S)</f>
        <v>31</v>
      </c>
      <c r="K82" s="20" t="s">
        <v>35</v>
      </c>
      <c r="L82" s="20">
        <f t="shared" si="3"/>
        <v>1</v>
      </c>
    </row>
    <row r="83" spans="1:12" x14ac:dyDescent="0.25">
      <c r="A83" s="22" t="s">
        <v>6</v>
      </c>
      <c r="B83" s="20">
        <f>_xlfn.MAXIFS(Data!$T:$T,Data!$A:$A,Records!$A$72)</f>
        <v>220</v>
      </c>
      <c r="C83" s="21">
        <f>COUNTIFS(Data!$T:$T,Records!$B83,Data!$A:$A,Records!$A$72)</f>
        <v>1</v>
      </c>
      <c r="D83" s="20" t="str" cm="1">
        <f t="array" ref="D83">INDEX(Data!$E:$E,MATCH(1,INDEX((Records!$B83=Data!$T:$T)*($A$72=Data!$A:$A),0,1),0))</f>
        <v>purple fuzzy apache pirates</v>
      </c>
      <c r="E83" s="20" t="str" cm="1">
        <f t="array" ref="E83">INDEX(Data!$K:$K,MATCH(1,INDEX((Records!$B83=Data!$T:$T)*($A$72=Data!$A:$A),0,1),0))</f>
        <v>vs The Bridgeburners</v>
      </c>
      <c r="G83" s="20" cm="1">
        <f t="array" ref="G83">INDEX(Data!$C:$C,MATCH(1,INDEX((Records!$B83=Data!$T:$T)*($A$72=Data!$A:$A),0,1),0))</f>
        <v>18</v>
      </c>
      <c r="I83" s="20">
        <f>RANK(B83,Data!$T:$T)</f>
        <v>11</v>
      </c>
      <c r="K83" s="20" t="s">
        <v>17</v>
      </c>
      <c r="L83" s="20">
        <f t="shared" si="3"/>
        <v>1</v>
      </c>
    </row>
    <row r="84" spans="1:12" x14ac:dyDescent="0.25">
      <c r="A84" s="22" t="s">
        <v>7</v>
      </c>
      <c r="B84" s="20">
        <f>_xlfn.MAXIFS(Data!$U:$U,Data!$A:$A,Records!$A$72)</f>
        <v>184</v>
      </c>
      <c r="C84" s="21">
        <f>COUNTIFS(Data!$U:$U,Records!$B84,Data!$A:$A,Records!$A$72)</f>
        <v>1</v>
      </c>
      <c r="D84" s="20" t="str" cm="1">
        <f t="array" ref="D84">INDEX(Data!$E:$E,MATCH(1,INDEX((Records!$B84=Data!$U:$U)*($A$72=Data!$A:$A),0,1),0))</f>
        <v>Kourayo Vallecano</v>
      </c>
      <c r="E84" s="20" t="str" cm="1">
        <f t="array" ref="E84">INDEX(Data!$K:$K,MATCH(1,INDEX((Records!$B84=Data!$U:$U)*($A$72=Data!$A:$A),0,1),0))</f>
        <v>vs Pachiana NinjaBees</v>
      </c>
      <c r="G84" s="20" cm="1">
        <f t="array" ref="G84">INDEX(Data!$C:$C,MATCH(1,INDEX((Records!$B84=Data!$U:$U)*($A$72=Data!$A:$A),0,1),0))</f>
        <v>17</v>
      </c>
      <c r="I84" s="20">
        <f>RANK(B84,Data!$U:$U)</f>
        <v>27</v>
      </c>
    </row>
    <row r="85" spans="1:12" x14ac:dyDescent="0.25">
      <c r="A85" s="22" t="s">
        <v>9</v>
      </c>
      <c r="B85" s="20">
        <f>_xlfn.MAXIFS(Data!$V:$V,Data!$A:$A,Records!$A$72)</f>
        <v>53</v>
      </c>
      <c r="C85" s="21">
        <f>COUNTIFS(Data!$V:$V,Records!$B85,Data!$A:$A,Records!$A$72)</f>
        <v>1</v>
      </c>
      <c r="D85" s="20" t="str" cm="1">
        <f t="array" ref="D85">INDEX(Data!$E:$E,MATCH(1,INDEX((Records!$B85=Data!$V:$V)*($A$72=Data!$A:$A),0,1),0))</f>
        <v>The Bridgeburners</v>
      </c>
      <c r="E85" s="20" t="str" cm="1">
        <f t="array" ref="E85">INDEX(Data!$K:$K,MATCH(1,INDEX((Records!$B85=Data!$V:$V)*($A$72=Data!$A:$A),0,1),0))</f>
        <v>vs Guruuu 🐐🐐🐐</v>
      </c>
      <c r="G85" s="20" cm="1">
        <f t="array" ref="G85">INDEX(Data!$C:$C,MATCH(1,INDEX((Records!$B85=Data!$V:$V)*($A$72=Data!$A:$A),0,1),0))</f>
        <v>5</v>
      </c>
      <c r="I85" s="20">
        <f>RANK(B85,Data!$V:$V)</f>
        <v>13</v>
      </c>
    </row>
    <row r="86" spans="1:12" x14ac:dyDescent="0.25">
      <c r="A86" s="22" t="s">
        <v>10</v>
      </c>
      <c r="B86" s="20">
        <f>_xlfn.MAXIFS(Data!$W:$W,Data!$A:$A,Records!$A$72)</f>
        <v>38</v>
      </c>
      <c r="C86" s="21">
        <f>COUNTIFS(Data!$W:$W,Records!$B86,Data!$A:$A,Records!$A$72)</f>
        <v>1</v>
      </c>
      <c r="D86" s="20" t="str" cm="1">
        <f t="array" ref="D86">INDEX(Data!$E:$E,MATCH(1,INDEX((Records!$B86=Data!$W:$W)*($A$72=Data!$A:$A),0,1),0))</f>
        <v>Tsarlatans</v>
      </c>
      <c r="E86" s="20" t="str" cm="1">
        <f t="array" ref="E86">INDEX(Data!$K:$K,MATCH(1,INDEX((Records!$B86=Data!$W:$W)*($A$72=Data!$A:$A),0,1),0))</f>
        <v>vs Salonika Devils</v>
      </c>
      <c r="G86" s="20" cm="1">
        <f t="array" ref="G86">INDEX(Data!$C:$C,MATCH(1,INDEX((Records!$B86=Data!$W:$W)*($A$72=Data!$A:$A),0,1),0))</f>
        <v>19</v>
      </c>
      <c r="I86" s="20">
        <f>RANK(B86,Data!$W:$W)</f>
        <v>23</v>
      </c>
    </row>
    <row r="87" spans="1:12" x14ac:dyDescent="0.25">
      <c r="A87" s="22" t="s">
        <v>11</v>
      </c>
      <c r="B87" s="20">
        <f>_xlfn.MINIFS(Data!$X:$X,Data!$A:$A,Records!$A$72)</f>
        <v>24</v>
      </c>
      <c r="C87" s="21">
        <f>COUNTIFS(Data!$X:$X,Records!$B87,Data!$A:$A,Records!$A$72)</f>
        <v>1</v>
      </c>
      <c r="D87" s="20" t="str" cm="1">
        <f t="array" ref="D87">INDEX(Data!$E:$E,MATCH(1,INDEX((Records!$B87=Data!$X:$X)*($A$72=Data!$A:$A),0,1),0))</f>
        <v xml:space="preserve"> The Others</v>
      </c>
      <c r="E87" s="20" t="str" cm="1">
        <f t="array" ref="E87">INDEX(Data!$K:$K,MATCH(1,INDEX((Records!$B87=Data!$X:$X)*($A$72=Data!$A:$A),0,1),0))</f>
        <v>vs Pachiana NinjaBees</v>
      </c>
      <c r="G87" s="20" cm="1">
        <f t="array" ref="G87">INDEX(Data!$C:$C,MATCH(1,INDEX((Records!$B87=Data!$X:$X)*($A$72=Data!$A:$A),0,1),0))</f>
        <v>13</v>
      </c>
      <c r="I87" s="20">
        <f>RANK(B87,Data!$X:$X,1)</f>
        <v>53</v>
      </c>
      <c r="L87"/>
    </row>
    <row r="88" spans="1:12" x14ac:dyDescent="0.25">
      <c r="A88" s="22" t="s">
        <v>8</v>
      </c>
      <c r="B88" s="23">
        <f>_xlfn.MAXIFS(Data!$Y:$Y,Data!$A:$A,Records!$A$72)</f>
        <v>3.193548387096774</v>
      </c>
      <c r="C88" s="21">
        <f>COUNTIFS(Data!$Y:$Y,Records!$B88,Data!$A:$A,Records!$A$72)</f>
        <v>1</v>
      </c>
      <c r="D88" s="20" t="str" cm="1">
        <f t="array" ref="D88">INDEX(Data!$E:$E,MATCH(1,INDEX((Records!$B88=Data!$Y:$Y)*($A$72=Data!$A:$A),0,1),0))</f>
        <v>Donkey Rolls</v>
      </c>
      <c r="E88" s="20" t="str" cm="1">
        <f t="array" ref="E88">INDEX(Data!$K:$K,MATCH(1,INDEX((Records!$B88=Data!$Y:$Y)*($A$72=Data!$A:$A),0,1),0))</f>
        <v>vs purple fuzzy apache pirates</v>
      </c>
      <c r="G88" s="20" cm="1">
        <f t="array" ref="G88">INDEX(Data!$C:$C,MATCH(1,INDEX((Records!$B88=Data!$Y:$Y)*($A$72=Data!$A:$A),0,1),0))</f>
        <v>12</v>
      </c>
      <c r="I88" s="20">
        <f>RANK(B88,Data!$Y:$Y)</f>
        <v>23</v>
      </c>
    </row>
    <row r="90" spans="1:12" ht="18.75" x14ac:dyDescent="0.3">
      <c r="A90" s="30">
        <v>2021</v>
      </c>
      <c r="B90" s="30"/>
      <c r="C90" s="30"/>
      <c r="D90" s="30"/>
      <c r="E90" s="30"/>
      <c r="F90" s="30"/>
      <c r="G90" s="30"/>
      <c r="H90" s="30"/>
    </row>
    <row r="92" spans="1:12" ht="45" x14ac:dyDescent="0.25">
      <c r="A92" s="24" t="s">
        <v>151</v>
      </c>
      <c r="B92" s="24" t="s">
        <v>149</v>
      </c>
      <c r="C92" s="25"/>
      <c r="D92" s="24" t="s">
        <v>29</v>
      </c>
      <c r="E92" s="24" t="s">
        <v>150</v>
      </c>
      <c r="F92" s="25"/>
      <c r="G92" s="24" t="s">
        <v>38</v>
      </c>
      <c r="H92" s="24"/>
      <c r="I92" s="26" t="s">
        <v>179</v>
      </c>
      <c r="J92" s="25"/>
      <c r="K92" s="24" t="s">
        <v>29</v>
      </c>
      <c r="L92" s="24" t="s">
        <v>153</v>
      </c>
    </row>
    <row r="93" spans="1:12" x14ac:dyDescent="0.25">
      <c r="A93" s="22" t="s">
        <v>123</v>
      </c>
      <c r="B93" s="20">
        <f>_xlfn.MAXIFS(Data!$H:$H,Data!$A:$A,Records!$A$90)</f>
        <v>12</v>
      </c>
      <c r="C93" s="21">
        <f>COUNTIFS(Data!$H:$H,Records!$B93,Data!$A:$A,Records!$A$90)</f>
        <v>2</v>
      </c>
      <c r="D93" s="20" t="str" cm="1">
        <f t="array" ref="D93">INDEX(Data!$E:$E,MATCH(1,INDEX((Records!$B93=Data!$H:$H)*($A$90=Data!$A:$A),0,1),0))</f>
        <v>Kourayo Vallecano</v>
      </c>
      <c r="E93" s="20" t="str" cm="1">
        <f t="array" ref="E93">INDEX(Data!$K:$K,MATCH(1,INDEX((Records!$B93=Data!$H:$H)*($A$90=Data!$A:$A),0,1),0))</f>
        <v>vs Knights of Ni</v>
      </c>
      <c r="G93" s="20" cm="1">
        <f t="array" ref="G93">INDEX(Data!$C:$C,MATCH(1,INDEX((Records!$B93=Data!$H:$H)*($A$90=Data!$A:$A),0,1),0))</f>
        <v>3</v>
      </c>
      <c r="I93" s="20">
        <f>RANK(B93,Data!$H:$H)</f>
        <v>7</v>
      </c>
      <c r="K93" s="20" t="s">
        <v>26</v>
      </c>
      <c r="L93" s="20">
        <f>COUNTIF($D$93:$D$108,K93)</f>
        <v>2</v>
      </c>
    </row>
    <row r="94" spans="1:12" x14ac:dyDescent="0.25">
      <c r="A94" s="22"/>
      <c r="C94" s="21"/>
      <c r="D94" s="20" t="s">
        <v>26</v>
      </c>
      <c r="E94" s="20" t="s">
        <v>72</v>
      </c>
      <c r="G94" s="20">
        <v>14</v>
      </c>
      <c r="I94" s="20">
        <f>+I93</f>
        <v>7</v>
      </c>
      <c r="K94" s="20" t="s">
        <v>28</v>
      </c>
      <c r="L94" s="20">
        <f>COUNTIF($D$93:$D$108,K94)</f>
        <v>5</v>
      </c>
    </row>
    <row r="95" spans="1:12" x14ac:dyDescent="0.25">
      <c r="A95" s="22" t="s">
        <v>0</v>
      </c>
      <c r="B95" s="20">
        <f>_xlfn.MAXIFS(Data!$M:$M,Data!$A:$A,Records!$A$90)</f>
        <v>323</v>
      </c>
      <c r="C95" s="21">
        <f>COUNTIFS(Data!$M:$M,Records!$B95,Data!$A:$A,Records!$A$90)</f>
        <v>1</v>
      </c>
      <c r="D95" s="20" t="str" cm="1">
        <f t="array" ref="D95">INDEX(Data!$E:$E,MATCH(1,INDEX((Records!$B95=Data!$M:$M)*($A$90=Data!$A:$A),0,1),0))</f>
        <v>Steven Adams' Moustache</v>
      </c>
      <c r="E95" s="20" t="str" cm="1">
        <f t="array" ref="E95">INDEX(Data!$K:$K,MATCH(1,INDEX((Records!$B95=Data!$M:$M)*($A$90=Data!$A:$A),0,1),0))</f>
        <v>vs Tsarlatans</v>
      </c>
      <c r="G95" s="20" cm="1">
        <f t="array" ref="G95">INDEX(Data!$C:$C,MATCH(1,INDEX((Records!$B95=Data!$M:$M)*($A$90=Data!$A:$A),0,1),0))</f>
        <v>11</v>
      </c>
      <c r="I95" s="20">
        <f>RANK(B95,Data!$M:$M)</f>
        <v>2</v>
      </c>
      <c r="K95" s="20" t="s">
        <v>181</v>
      </c>
      <c r="L95" s="20">
        <f>COUNTIF($D$93:$D$108,K95)</f>
        <v>1</v>
      </c>
    </row>
    <row r="96" spans="1:12" x14ac:dyDescent="0.25">
      <c r="A96" s="22" t="s">
        <v>1</v>
      </c>
      <c r="B96" s="20">
        <f>_xlfn.MAXIFS(Data!$N:$N,Data!$A:$A,Records!$A$90)</f>
        <v>0.60599999999999998</v>
      </c>
      <c r="C96" s="21">
        <f>COUNTIFS(Data!$N:$N,Records!$B96,Data!$A:$A,Records!$A$90)</f>
        <v>1</v>
      </c>
      <c r="D96" s="20" t="str" cm="1">
        <f t="array" ref="D96">INDEX(Data!$E:$E,MATCH(1,INDEX((Records!$B96=Data!$N:$N)*($A$90=Data!$A:$A),0,1),0))</f>
        <v>Samarina Dudenbros</v>
      </c>
      <c r="E96" s="20" t="str" cm="1">
        <f t="array" ref="E96">INDEX(Data!$K:$K,MATCH(1,INDEX((Records!$B96=Data!$N:$N)*($A$90=Data!$A:$A),0,1),0))</f>
        <v>vs Kourayo Vallecano</v>
      </c>
      <c r="G96" s="20" cm="1">
        <f t="array" ref="G96">INDEX(Data!$C:$C,MATCH(1,INDEX((Records!$B96=Data!$N:$N)*($A$90=Data!$A:$A),0,1),0))</f>
        <v>6</v>
      </c>
      <c r="I96" s="20">
        <f>RANK(B96,Data!$N:$N)</f>
        <v>2</v>
      </c>
      <c r="K96" s="20" t="s">
        <v>21</v>
      </c>
      <c r="L96" s="20">
        <f>COUNTIF($D$93:$D$108,K96)-1</f>
        <v>0</v>
      </c>
    </row>
    <row r="97" spans="1:17" x14ac:dyDescent="0.25">
      <c r="A97" s="22" t="s">
        <v>3</v>
      </c>
      <c r="B97" s="20">
        <f>_xlfn.MAXIFS(Data!$O:$O,Data!$A:$A,Records!$A$90)</f>
        <v>92</v>
      </c>
      <c r="C97" s="21">
        <f>COUNTIFS(Data!$O:$O,Records!$B97,Data!$A:$A,Records!$A$90)</f>
        <v>1</v>
      </c>
      <c r="D97" s="20" t="str" cm="1">
        <f t="array" ref="D97">INDEX(Data!$E:$E,MATCH(1,INDEX((Records!$B97=Data!$O:$O)*($A$90=Data!$A:$A),0,1),0))</f>
        <v>st.Helens Eruptions</v>
      </c>
      <c r="E97" s="20" t="str" cm="1">
        <f t="array" ref="E97">INDEX(Data!$K:$K,MATCH(1,INDEX((Records!$B97=Data!$O:$O)*($A$90=Data!$A:$A),0,1),0))</f>
        <v>vs Underdogs</v>
      </c>
      <c r="G97" s="20" cm="1">
        <f t="array" ref="G97">INDEX(Data!$C:$C,MATCH(1,INDEX((Records!$B97=Data!$O:$O)*($A$90=Data!$A:$A),0,1),0))</f>
        <v>8</v>
      </c>
      <c r="I97" s="20">
        <f>RANK(B97,Data!$O:$O)</f>
        <v>6</v>
      </c>
      <c r="K97" s="20" t="s">
        <v>25</v>
      </c>
      <c r="L97" s="20">
        <f>COUNTIF($D$93:$D$108,K97)</f>
        <v>1</v>
      </c>
    </row>
    <row r="98" spans="1:17" x14ac:dyDescent="0.25">
      <c r="A98" s="22" t="s">
        <v>4</v>
      </c>
      <c r="B98" s="20">
        <f>_xlfn.MAXIFS(Data!$P:$P,Data!$A:$A,Records!$A$90)</f>
        <v>0.5</v>
      </c>
      <c r="C98" s="21">
        <f>COUNTIFS(Data!$P:$P,Records!$B98,Data!$A:$A,Records!$A$90)</f>
        <v>1</v>
      </c>
      <c r="D98" s="20" t="str" cm="1">
        <f t="array" ref="D98">INDEX(Data!$E:$E,MATCH(1,INDEX((Records!$B98=Data!$P:$P)*($A$90=Data!$A:$A),0,1),0))</f>
        <v>The Rookies</v>
      </c>
      <c r="E98" s="20" t="str" cm="1">
        <f t="array" ref="E98">INDEX(Data!$K:$K,MATCH(1,INDEX((Records!$B98=Data!$P:$P)*($A$90=Data!$A:$A),0,1),0))</f>
        <v>vs Fighting Thaddeus</v>
      </c>
      <c r="G98" s="20" cm="1">
        <f t="array" ref="G98">INDEX(Data!$C:$C,MATCH(1,INDEX((Records!$B98=Data!$P:$P)*($A$90=Data!$A:$A),0,1),0))</f>
        <v>9</v>
      </c>
      <c r="I98" s="20">
        <f>RANK(B98,Data!$P:$P)</f>
        <v>6</v>
      </c>
      <c r="K98" s="20" t="s">
        <v>93</v>
      </c>
      <c r="L98" s="20">
        <f>COUNTIF($D$93:$D$108,K98)</f>
        <v>2</v>
      </c>
    </row>
    <row r="99" spans="1:17" x14ac:dyDescent="0.25">
      <c r="A99" s="22" t="s">
        <v>2</v>
      </c>
      <c r="B99" s="20">
        <f>_xlfn.MAXIFS(Data!$Q:$Q,Data!$A:$A,Records!$A$90)</f>
        <v>0.92600000000000005</v>
      </c>
      <c r="C99" s="21">
        <f>COUNTIFS(Data!$Q:$Q,Records!$B99,Data!$A:$A,Records!$A$90)</f>
        <v>1</v>
      </c>
      <c r="D99" s="20" t="str" cm="1">
        <f t="array" ref="D99">INDEX(Data!$E:$E,MATCH(1,INDEX((Records!$B99=Data!$Q:$Q)*($A$90=Data!$A:$A),0,1),0))</f>
        <v>Guruuu 🐐🐐🐐</v>
      </c>
      <c r="E99" s="20" t="str" cm="1">
        <f t="array" ref="E99">INDEX(Data!$K:$K,MATCH(1,INDEX((Records!$B99=Data!$Q:$Q)*($A$90=Data!$A:$A),0,1),0))</f>
        <v>vs Tsarlatans</v>
      </c>
      <c r="G99" s="20" t="str" cm="1">
        <f t="array" ref="G99">INDEX(Data!$C:$C,MATCH(1,INDEX((Records!$B99=Data!$Q:$Q)*($A$90=Data!$A:$A),0,1),0))</f>
        <v>3rd place</v>
      </c>
      <c r="I99" s="20">
        <f>RANK(B99,Data!$Q:$Q)</f>
        <v>8</v>
      </c>
      <c r="K99" s="20" t="s">
        <v>15</v>
      </c>
      <c r="L99" s="20">
        <f>COUNTIF($D$93:$D$108,K99)</f>
        <v>2</v>
      </c>
    </row>
    <row r="100" spans="1:17" x14ac:dyDescent="0.25">
      <c r="A100" s="22" t="s">
        <v>12</v>
      </c>
      <c r="B100" s="20">
        <f>_xlfn.MAXIFS(Data!$R:$R,Data!$A:$A,Records!$A$90)</f>
        <v>882</v>
      </c>
      <c r="C100" s="21">
        <f>COUNTIFS(Data!$R:$R,Records!$B100,Data!$A:$A,Records!$A$90)</f>
        <v>1</v>
      </c>
      <c r="D100" s="20" t="str" cm="1">
        <f t="array" ref="D100">INDEX(Data!$E:$E,MATCH(1,INDEX((Records!$B100=Data!$R:$R)*($A$90=Data!$A:$A),0,1),0))</f>
        <v>Salonika Devils</v>
      </c>
      <c r="E100" s="20" t="str" cm="1">
        <f t="array" ref="E100">INDEX(Data!$K:$K,MATCH(1,INDEX((Records!$B100=Data!$R:$R)*($A$90=Data!$A:$A),0,1),0))</f>
        <v>vs purple fuzzy apache pirates</v>
      </c>
      <c r="G100" s="20" cm="1">
        <f t="array" ref="G100">INDEX(Data!$C:$C,MATCH(1,INDEX((Records!$B100=Data!$R:$R)*($A$90=Data!$A:$A),0,1),0))</f>
        <v>11</v>
      </c>
      <c r="I100" s="20">
        <f>RANK(B100,Data!$R:$R)</f>
        <v>3</v>
      </c>
      <c r="K100" s="20" t="s">
        <v>18</v>
      </c>
      <c r="L100" s="20">
        <f>COUNTIF($D$93:$D$108,K100)</f>
        <v>1</v>
      </c>
    </row>
    <row r="101" spans="1:17" x14ac:dyDescent="0.25">
      <c r="A101" s="22" t="s">
        <v>5</v>
      </c>
      <c r="B101" s="20">
        <f>_xlfn.MAXIFS(Data!$S:$S,Data!$A:$A,Records!$A$90)</f>
        <v>80</v>
      </c>
      <c r="C101" s="21">
        <f>COUNTIFS(Data!$S:$S,Records!$B101,Data!$A:$A,Records!$A$90)</f>
        <v>1</v>
      </c>
      <c r="D101" s="20" t="str" cm="1">
        <f t="array" ref="D101">INDEX(Data!$E:$E,MATCH(1,INDEX((Records!$B101=Data!$S:$S)*($A$90=Data!$A:$A),0,1),0))</f>
        <v>Steven Adams' Moustache</v>
      </c>
      <c r="E101" s="20" t="str" cm="1">
        <f t="array" ref="E101">INDEX(Data!$K:$K,MATCH(1,INDEX((Records!$B101=Data!$S:$S)*($A$90=Data!$A:$A),0,1),0))</f>
        <v>vs Kourayo Vallecano</v>
      </c>
      <c r="G101" s="20" t="str" cm="1">
        <f t="array" ref="G101">INDEX(Data!$C:$C,MATCH(1,INDEX((Records!$B101=Data!$S:$S)*($A$90=Data!$A:$A),0,1),0))</f>
        <v>Final</v>
      </c>
      <c r="I101" s="20">
        <f>RANK(B101,Data!$S:$S)</f>
        <v>10</v>
      </c>
      <c r="K101" s="20" t="s">
        <v>94</v>
      </c>
      <c r="L101" s="20">
        <f>COUNTIF($D$93:$D$108,K101)</f>
        <v>1</v>
      </c>
      <c r="Q101"/>
    </row>
    <row r="102" spans="1:17" x14ac:dyDescent="0.25">
      <c r="A102" s="22" t="s">
        <v>6</v>
      </c>
      <c r="B102" s="20">
        <f>_xlfn.MAXIFS(Data!$T:$T,Data!$A:$A,Records!$A$90)</f>
        <v>245</v>
      </c>
      <c r="C102" s="21">
        <f>COUNTIFS(Data!$T:$T,Records!$B102,Data!$A:$A,Records!$A$90)</f>
        <v>1</v>
      </c>
      <c r="D102" s="20" t="str" cm="1">
        <f t="array" ref="D102">INDEX(Data!$E:$E,MATCH(1,INDEX((Records!$B102=Data!$T:$T)*($A$90=Data!$A:$A),0,1),0))</f>
        <v>Steven Adams' Moustache</v>
      </c>
      <c r="E102" s="20" t="str" cm="1">
        <f t="array" ref="E102">INDEX(Data!$K:$K,MATCH(1,INDEX((Records!$B102=Data!$T:$T)*($A$90=Data!$A:$A),0,1),0))</f>
        <v>vs Tsarlatans</v>
      </c>
      <c r="G102" s="20" cm="1">
        <f t="array" ref="G102">INDEX(Data!$C:$C,MATCH(1,INDEX((Records!$B102=Data!$T:$T)*($A$90=Data!$A:$A),0,1),0))</f>
        <v>11</v>
      </c>
      <c r="I102" s="20">
        <f>RANK(B102,Data!$T:$T)</f>
        <v>1</v>
      </c>
      <c r="K102"/>
      <c r="Q102"/>
    </row>
    <row r="103" spans="1:17" x14ac:dyDescent="0.25">
      <c r="A103" s="22" t="s">
        <v>7</v>
      </c>
      <c r="B103" s="20">
        <f>_xlfn.MAXIFS(Data!$U:$U,Data!$A:$A,Records!$A$90)</f>
        <v>209</v>
      </c>
      <c r="C103" s="21">
        <f>COUNTIFS(Data!$U:$U,Records!$B103,Data!$A:$A,Records!$A$90)</f>
        <v>1</v>
      </c>
      <c r="D103" s="20" t="str" cm="1">
        <f t="array" ref="D103">INDEX(Data!$E:$E,MATCH(1,INDEX((Records!$B103=Data!$U:$U)*($A$90=Data!$A:$A),0,1),0))</f>
        <v>Steven Adams' Moustache</v>
      </c>
      <c r="E103" s="20" t="str" cm="1">
        <f t="array" ref="E103">INDEX(Data!$K:$K,MATCH(1,INDEX((Records!$B103=Data!$U:$U)*($A$90=Data!$A:$A),0,1),0))</f>
        <v>vs Tsarlatans</v>
      </c>
      <c r="G103" s="20" cm="1">
        <f t="array" ref="G103">INDEX(Data!$C:$C,MATCH(1,INDEX((Records!$B103=Data!$U:$U)*($A$90=Data!$A:$A),0,1),0))</f>
        <v>11</v>
      </c>
      <c r="I103" s="20">
        <f>RANK(B103,Data!$U:$U)</f>
        <v>5</v>
      </c>
      <c r="Q103"/>
    </row>
    <row r="104" spans="1:17" x14ac:dyDescent="0.25">
      <c r="A104" s="22" t="s">
        <v>9</v>
      </c>
      <c r="B104" s="20">
        <f>_xlfn.MAXIFS(Data!$V:$V,Data!$A:$A,Records!$A$90)</f>
        <v>57</v>
      </c>
      <c r="C104" s="21">
        <f>COUNTIFS(Data!$V:$V,Records!$B104,Data!$A:$A,Records!$A$90)</f>
        <v>1</v>
      </c>
      <c r="D104" s="20" t="str" cm="1">
        <f t="array" ref="D104">INDEX(Data!$E:$E,MATCH(1,INDEX((Records!$B104=Data!$V:$V)*($A$90=Data!$A:$A),0,1),0))</f>
        <v>Salonika Devils</v>
      </c>
      <c r="E104" s="20" t="str" cm="1">
        <f t="array" ref="E104">INDEX(Data!$K:$K,MATCH(1,INDEX((Records!$B104=Data!$V:$V)*($A$90=Data!$A:$A),0,1),0))</f>
        <v>vs purple fuzzy apache pirates</v>
      </c>
      <c r="G104" s="20" cm="1">
        <f t="array" ref="G104">INDEX(Data!$C:$C,MATCH(1,INDEX((Records!$B104=Data!$V:$V)*($A$90=Data!$A:$A),0,1),0))</f>
        <v>11</v>
      </c>
      <c r="I104" s="20">
        <f>RANK(B104,Data!$V:$V)</f>
        <v>6</v>
      </c>
      <c r="Q104"/>
    </row>
    <row r="105" spans="1:17" x14ac:dyDescent="0.25">
      <c r="A105" s="22" t="s">
        <v>10</v>
      </c>
      <c r="B105" s="20">
        <f>_xlfn.MAXIFS(Data!$W:$W,Data!$A:$A,Records!$A$90)</f>
        <v>42</v>
      </c>
      <c r="C105" s="21">
        <f>COUNTIFS(Data!$W:$W,Records!$B105,Data!$A:$A,Records!$A$90)</f>
        <v>2</v>
      </c>
      <c r="D105" s="20" t="str" cm="1">
        <f t="array" ref="D105">INDEX(Data!$E:$E,MATCH(1,INDEX((Records!$B105=Data!$W:$W)*($A$90=Data!$A:$A),0,1),0))</f>
        <v>Guruuu 🐐🐐🐐</v>
      </c>
      <c r="E105" s="20" t="str" cm="1">
        <f t="array" ref="E105">INDEX(Data!$K:$K,MATCH(1,INDEX((Records!$B105=Data!$W:$W)*($A$90=Data!$A:$A),0,1),0))</f>
        <v>vs Donkey Rolls</v>
      </c>
      <c r="G105" s="20" cm="1">
        <f t="array" ref="G105">INDEX(Data!$C:$C,MATCH(1,INDEX((Records!$B105=Data!$W:$W)*($A$90=Data!$A:$A),0,1),0))</f>
        <v>3</v>
      </c>
      <c r="I105" s="20">
        <f>RANK(B105,Data!$W:$W)</f>
        <v>5</v>
      </c>
      <c r="Q105"/>
    </row>
    <row r="106" spans="1:17" x14ac:dyDescent="0.25">
      <c r="A106" s="22"/>
      <c r="C106" s="21"/>
      <c r="D106" s="20" t="s">
        <v>28</v>
      </c>
      <c r="E106" s="20" t="s">
        <v>61</v>
      </c>
      <c r="G106" s="20">
        <v>14</v>
      </c>
      <c r="I106" s="20">
        <f>+I105</f>
        <v>5</v>
      </c>
      <c r="Q106"/>
    </row>
    <row r="107" spans="1:17" x14ac:dyDescent="0.25">
      <c r="A107" s="22" t="s">
        <v>11</v>
      </c>
      <c r="B107" s="20">
        <f>_xlfn.MINIFS(Data!$X:$X,Data!$A:$A,Records!$A$90)</f>
        <v>12</v>
      </c>
      <c r="C107" s="21">
        <f>COUNTIFS(Data!$X:$X,Records!$B107,Data!$A:$A,Records!$A$90)</f>
        <v>1</v>
      </c>
      <c r="D107" s="20" t="str" cm="1">
        <f t="array" ref="D107">INDEX(Data!$E:$E,MATCH(1,INDEX((Records!$B107=Data!$X:$X)*($A$90=Data!$A:$A),0,1),0))</f>
        <v>The Others</v>
      </c>
      <c r="E107" s="20" t="str" cm="1">
        <f t="array" ref="E107">INDEX(Data!$K:$K,MATCH(1,INDEX((Records!$B107=Data!$X:$X)*($A$90=Data!$A:$A),0,1),0))</f>
        <v>vs Baltimore Hercules</v>
      </c>
      <c r="G107" s="20" cm="1">
        <f t="array" ref="G107">INDEX(Data!$C:$C,MATCH(1,INDEX((Records!$B107=Data!$X:$X)*($A$90=Data!$A:$A),0,1),0))</f>
        <v>4</v>
      </c>
      <c r="I107" s="20">
        <f>RANK(B107,Data!$X:$X,1)</f>
        <v>3</v>
      </c>
      <c r="Q107"/>
    </row>
    <row r="108" spans="1:17" x14ac:dyDescent="0.25">
      <c r="A108" s="22" t="s">
        <v>8</v>
      </c>
      <c r="B108" s="20">
        <f>_xlfn.MAXIFS(Data!$Y:$Y,Data!$A:$A,Records!$A$90)</f>
        <v>3.55</v>
      </c>
      <c r="C108" s="21">
        <f>COUNTIFS(Data!$Y:$Y,Records!$B108,Data!$A:$A,Records!$A$90)</f>
        <v>1</v>
      </c>
      <c r="D108" s="20" t="str" cm="1">
        <f t="array" ref="D108">INDEX(Data!$E:$E,MATCH(1,INDEX((Records!$B108=Data!$Y:$Y)*($A$90=Data!$A:$A),0,1),0))</f>
        <v>Fighting Thaddeus</v>
      </c>
      <c r="E108" s="20" t="str" cm="1">
        <f t="array" ref="E108">INDEX(Data!$K:$K,MATCH(1,INDEX((Records!$B108=Data!$Y:$Y)*($A$90=Data!$A:$A),0,1),0))</f>
        <v>vs The Guns</v>
      </c>
      <c r="G108" s="20" cm="1">
        <f t="array" ref="G108">INDEX(Data!$C:$C,MATCH(1,INDEX((Records!$B108=Data!$Y:$Y)*($A$90=Data!$A:$A),0,1),0))</f>
        <v>6</v>
      </c>
      <c r="I108" s="20">
        <f>RANK(B108,Data!$Y:$Y)</f>
        <v>5</v>
      </c>
    </row>
    <row r="110" spans="1:17" ht="18.75" x14ac:dyDescent="0.3">
      <c r="A110" s="30">
        <v>2022</v>
      </c>
      <c r="B110" s="30"/>
      <c r="C110" s="30"/>
      <c r="D110" s="30"/>
      <c r="E110" s="30"/>
      <c r="F110" s="30"/>
      <c r="G110" s="30"/>
      <c r="H110" s="30"/>
    </row>
    <row r="112" spans="1:17" ht="45" x14ac:dyDescent="0.25">
      <c r="A112" s="24" t="s">
        <v>151</v>
      </c>
      <c r="B112" s="24" t="s">
        <v>149</v>
      </c>
      <c r="C112" s="25"/>
      <c r="D112" s="24" t="s">
        <v>29</v>
      </c>
      <c r="E112" s="24" t="s">
        <v>150</v>
      </c>
      <c r="F112" s="25"/>
      <c r="G112" s="24" t="s">
        <v>38</v>
      </c>
      <c r="H112" s="24"/>
      <c r="I112" s="26" t="s">
        <v>179</v>
      </c>
      <c r="J112" s="25"/>
      <c r="K112" s="24" t="s">
        <v>29</v>
      </c>
      <c r="L112" s="24" t="s">
        <v>153</v>
      </c>
    </row>
    <row r="113" spans="1:12" x14ac:dyDescent="0.25">
      <c r="A113" s="22" t="s">
        <v>123</v>
      </c>
      <c r="B113" s="20">
        <f>_xlfn.MAXIFS(Data!$H:$H,Data!$A:$A,Records!$A$110)</f>
        <v>12</v>
      </c>
      <c r="C113" s="21">
        <f>COUNTIFS(Data!$H:$H,Records!$B113,Data!$A:$A,Records!$A$110)</f>
        <v>9</v>
      </c>
      <c r="D113" s="20" t="str" cm="1">
        <f t="array" ref="D113">INDEX(Data!$E:$E,MATCH(1,INDEX((Records!$B113=Data!$H:$H)*($A$110=Data!$A:$A),0,1),0))</f>
        <v>Underdogs</v>
      </c>
      <c r="E113" s="20" t="str" cm="1">
        <f t="array" ref="E113">INDEX(Data!$K:$K,MATCH(1,INDEX((Records!$B113=Data!$H:$H)*($A$110=Data!$A:$A),0,1),0))</f>
        <v>vs Samarina Dudenbros</v>
      </c>
      <c r="G113" s="20" cm="1">
        <f t="array" ref="G113">INDEX(Data!$C:$C,MATCH(1,INDEX((Records!$B113=Data!$H:$H)*($A$110=Data!$A:$A),0,1),0))</f>
        <v>1</v>
      </c>
      <c r="I113" s="20">
        <f>RANK(B113,Data!$H:$H)</f>
        <v>7</v>
      </c>
      <c r="K113" s="20" t="s">
        <v>97</v>
      </c>
      <c r="L113" s="20">
        <f>COUNTIF($D$113:$D$134,K113)</f>
        <v>2</v>
      </c>
    </row>
    <row r="114" spans="1:12" x14ac:dyDescent="0.25">
      <c r="A114" s="22"/>
      <c r="C114" s="21"/>
      <c r="D114" s="20" t="s">
        <v>99</v>
      </c>
      <c r="E114" s="20" t="s">
        <v>61</v>
      </c>
      <c r="G114" s="20">
        <v>2</v>
      </c>
      <c r="I114" s="20">
        <f>+I113</f>
        <v>7</v>
      </c>
      <c r="K114" s="20" t="s">
        <v>99</v>
      </c>
      <c r="L114" s="20">
        <f>COUNTIF($D$113:$D$134,K114)</f>
        <v>3</v>
      </c>
    </row>
    <row r="115" spans="1:12" x14ac:dyDescent="0.25">
      <c r="D115" s="20" t="s">
        <v>16</v>
      </c>
      <c r="E115" s="20" t="s">
        <v>106</v>
      </c>
      <c r="G115" s="20">
        <v>3</v>
      </c>
      <c r="I115" s="20">
        <f t="shared" ref="I115:I121" si="4">+I114</f>
        <v>7</v>
      </c>
      <c r="K115" s="20" t="s">
        <v>16</v>
      </c>
      <c r="L115" s="20">
        <f>COUNTIF($D$113:$D$134,K115)</f>
        <v>1</v>
      </c>
    </row>
    <row r="116" spans="1:12" x14ac:dyDescent="0.25">
      <c r="D116" s="20" t="s">
        <v>21</v>
      </c>
      <c r="E116" s="20" t="s">
        <v>106</v>
      </c>
      <c r="G116" s="20">
        <v>6</v>
      </c>
      <c r="I116" s="20">
        <f t="shared" si="4"/>
        <v>7</v>
      </c>
      <c r="K116" s="20" t="s">
        <v>21</v>
      </c>
      <c r="L116" s="20">
        <f>COUNTIF($D$113:$D$134,K116)</f>
        <v>1</v>
      </c>
    </row>
    <row r="117" spans="1:12" x14ac:dyDescent="0.25">
      <c r="D117" s="20" t="s">
        <v>28</v>
      </c>
      <c r="E117" s="20" t="s">
        <v>112</v>
      </c>
      <c r="G117" s="20">
        <v>9</v>
      </c>
      <c r="I117" s="20">
        <f t="shared" si="4"/>
        <v>7</v>
      </c>
      <c r="K117" s="20" t="s">
        <v>28</v>
      </c>
      <c r="L117" s="20">
        <f>COUNTIF($D$113:$D$134,K117)-1</f>
        <v>2</v>
      </c>
    </row>
    <row r="118" spans="1:12" x14ac:dyDescent="0.25">
      <c r="D118" s="20" t="s">
        <v>95</v>
      </c>
      <c r="E118" s="20" t="s">
        <v>72</v>
      </c>
      <c r="G118" s="20">
        <v>9</v>
      </c>
      <c r="I118" s="20">
        <f t="shared" si="4"/>
        <v>7</v>
      </c>
      <c r="K118" t="s">
        <v>95</v>
      </c>
      <c r="L118" s="20">
        <f t="shared" ref="L118:L124" si="5">COUNTIF($D$113:$D$134,K118)</f>
        <v>1</v>
      </c>
    </row>
    <row r="119" spans="1:12" x14ac:dyDescent="0.25">
      <c r="D119" s="20" t="s">
        <v>190</v>
      </c>
      <c r="E119" s="20" t="s">
        <v>106</v>
      </c>
      <c r="G119" s="20">
        <v>9</v>
      </c>
      <c r="I119" s="20">
        <f t="shared" si="4"/>
        <v>7</v>
      </c>
      <c r="K119" s="20" t="s">
        <v>190</v>
      </c>
      <c r="L119" s="20">
        <f t="shared" si="5"/>
        <v>3</v>
      </c>
    </row>
    <row r="120" spans="1:12" x14ac:dyDescent="0.25">
      <c r="D120" s="20" t="s">
        <v>190</v>
      </c>
      <c r="E120" s="20" t="s">
        <v>63</v>
      </c>
      <c r="G120" s="20">
        <v>13</v>
      </c>
      <c r="I120" s="20">
        <f t="shared" si="4"/>
        <v>7</v>
      </c>
      <c r="K120" s="20" t="s">
        <v>27</v>
      </c>
      <c r="L120" s="20">
        <f t="shared" si="5"/>
        <v>0</v>
      </c>
    </row>
    <row r="121" spans="1:12" x14ac:dyDescent="0.25">
      <c r="D121" s="20" t="s">
        <v>159</v>
      </c>
      <c r="E121" s="20" t="s">
        <v>72</v>
      </c>
      <c r="G121" s="20" t="s">
        <v>148</v>
      </c>
      <c r="I121" s="20">
        <f t="shared" si="4"/>
        <v>7</v>
      </c>
      <c r="K121" s="20" t="s">
        <v>25</v>
      </c>
      <c r="L121" s="20">
        <f t="shared" si="5"/>
        <v>2</v>
      </c>
    </row>
    <row r="122" spans="1:12" x14ac:dyDescent="0.25">
      <c r="A122" s="22" t="s">
        <v>0</v>
      </c>
      <c r="B122" s="20">
        <f>_xlfn.MAXIFS(Data!$M:$M,Data!$A:$A,Records!$A$110)</f>
        <v>272</v>
      </c>
      <c r="C122" s="21">
        <f>COUNTIFS(Data!$M:$M,Records!$B122,Data!$A:$A,Records!$A$110)</f>
        <v>1</v>
      </c>
      <c r="D122" s="20" t="str" cm="1">
        <f t="array" ref="D122">INDEX(Data!$E:$E,MATCH(1,INDEX((Records!$B122=Data!$M:$M)*($A$110=Data!$A:$A),0,1),0))</f>
        <v>Steven Adams' Moustache</v>
      </c>
      <c r="E122" s="20" t="str" cm="1">
        <f t="array" ref="E122">INDEX(Data!$K:$K,MATCH(1,INDEX((Records!$B122=Data!$M:$M)*($A$110=Data!$A:$A),0,1),0))</f>
        <v>vs Xanthi Ducks 🦆</v>
      </c>
      <c r="G122" s="20" cm="1">
        <f t="array" ref="G122">INDEX(Data!$C:$C,MATCH(1,INDEX((Records!$B122=Data!$M:$M)*($A$110=Data!$A:$A),0,1),0))</f>
        <v>18</v>
      </c>
      <c r="I122" s="20">
        <f>RANK(B122,Data!$M:$M)</f>
        <v>21</v>
      </c>
      <c r="K122" s="20" t="s">
        <v>33</v>
      </c>
      <c r="L122" s="20">
        <f t="shared" si="5"/>
        <v>1</v>
      </c>
    </row>
    <row r="123" spans="1:12" x14ac:dyDescent="0.25">
      <c r="A123" s="22" t="s">
        <v>1</v>
      </c>
      <c r="B123" s="20">
        <f>_xlfn.MAXIFS(Data!$N:$N,Data!$A:$A,Records!$A$110)</f>
        <v>0.56100000000000005</v>
      </c>
      <c r="C123" s="21">
        <f>COUNTIFS(Data!$N:$N,Records!$B123,Data!$A:$A,Records!$A$110)</f>
        <v>1</v>
      </c>
      <c r="D123" s="20" t="str" cm="1">
        <f t="array" ref="D123">INDEX(Data!$E:$E,MATCH(1,INDEX((Records!$B123=Data!$N:$N)*($A$110=Data!$A:$A),0,1),0))</f>
        <v>The Rookies</v>
      </c>
      <c r="E123" s="20" t="str" cm="1">
        <f t="array" ref="E123">INDEX(Data!$K:$K,MATCH(1,INDEX((Records!$B123=Data!$N:$N)*($A$110=Data!$A:$A),0,1),0))</f>
        <v>vs Salonika Devils</v>
      </c>
      <c r="G123" s="20" cm="1">
        <f t="array" ref="G123">INDEX(Data!$C:$C,MATCH(1,INDEX((Records!$B123=Data!$N:$N)*($A$110=Data!$A:$A),0,1),0))</f>
        <v>18</v>
      </c>
      <c r="I123" s="20">
        <f>RANK(B123,Data!$N:$N)</f>
        <v>14</v>
      </c>
      <c r="K123" s="20" t="s">
        <v>94</v>
      </c>
      <c r="L123" s="20">
        <f t="shared" si="5"/>
        <v>1</v>
      </c>
    </row>
    <row r="124" spans="1:12" x14ac:dyDescent="0.25">
      <c r="A124" s="22" t="s">
        <v>3</v>
      </c>
      <c r="B124" s="20">
        <f>_xlfn.MAXIFS(Data!$O:$O,Data!$A:$A,Records!$A$110)</f>
        <v>81</v>
      </c>
      <c r="C124" s="21">
        <f>COUNTIFS(Data!$O:$O,Records!$B124,Data!$A:$A,Records!$A$110)</f>
        <v>1</v>
      </c>
      <c r="D124" s="20" t="str" cm="1">
        <f t="array" ref="D124">INDEX(Data!$E:$E,MATCH(1,INDEX((Records!$B124=Data!$O:$O)*($A$110=Data!$A:$A),0,1),0))</f>
        <v>The Guns</v>
      </c>
      <c r="E124" s="20" t="str" cm="1">
        <f t="array" ref="E124">INDEX(Data!$K:$K,MATCH(1,INDEX((Records!$B124=Data!$O:$O)*($A$110=Data!$A:$A),0,1),0))</f>
        <v>vs Underdogs</v>
      </c>
      <c r="G124" s="20" cm="1">
        <f t="array" ref="G124">INDEX(Data!$C:$C,MATCH(1,INDEX((Records!$B124=Data!$O:$O)*($A$110=Data!$A:$A),0,1),0))</f>
        <v>4</v>
      </c>
      <c r="I124" s="20">
        <f>RANK(B124,Data!$O:$O)</f>
        <v>32</v>
      </c>
      <c r="K124" s="20" t="s">
        <v>154</v>
      </c>
      <c r="L124" s="20">
        <f t="shared" si="5"/>
        <v>2</v>
      </c>
    </row>
    <row r="125" spans="1:12" x14ac:dyDescent="0.25">
      <c r="A125" s="22" t="s">
        <v>4</v>
      </c>
      <c r="B125" s="20">
        <f>_xlfn.MAXIFS(Data!$P:$P,Data!$A:$A,Records!$A$110)</f>
        <v>0.5</v>
      </c>
      <c r="C125" s="21">
        <f>COUNTIFS(Data!$P:$P,Records!$B125,Data!$A:$A,Records!$A$110)</f>
        <v>1</v>
      </c>
      <c r="D125" s="20" t="str" cm="1">
        <f t="array" ref="D125">INDEX(Data!$E:$E,MATCH(1,INDEX((Records!$B125=Data!$P:$P)*($A$110=Data!$A:$A),0,1),0))</f>
        <v>The Rookies</v>
      </c>
      <c r="E125" s="20" t="str" cm="1">
        <f t="array" ref="E125">INDEX(Data!$K:$K,MATCH(1,INDEX((Records!$B125=Data!$P:$P)*($A$110=Data!$A:$A),0,1),0))</f>
        <v>vs Fighting Thaddeus</v>
      </c>
      <c r="G125" s="20" cm="1">
        <f t="array" ref="G125">INDEX(Data!$C:$C,MATCH(1,INDEX((Records!$B125=Data!$P:$P)*($A$110=Data!$A:$A),0,1),0))</f>
        <v>8</v>
      </c>
      <c r="I125" s="20">
        <f>RANK(B125,Data!$P:$P)</f>
        <v>6</v>
      </c>
    </row>
    <row r="126" spans="1:12" x14ac:dyDescent="0.25">
      <c r="A126" s="22" t="s">
        <v>2</v>
      </c>
      <c r="B126" s="20">
        <f>_xlfn.MAXIFS(Data!$Q:$Q,Data!$A:$A,Records!$A$110)</f>
        <v>0.92900000000000005</v>
      </c>
      <c r="C126" s="21">
        <f>COUNTIFS(Data!$Q:$Q,Records!$B126,Data!$A:$A,Records!$A$110)</f>
        <v>1</v>
      </c>
      <c r="D126" s="20" t="str" cm="1">
        <f t="array" ref="D126">INDEX(Data!$E:$E,MATCH(1,INDEX((Records!$B126=Data!$Q:$Q)*($A$110=Data!$A:$A),0,1),0))</f>
        <v>Fighting Thaddeus</v>
      </c>
      <c r="E126" s="20" t="str" cm="1">
        <f t="array" ref="E126">INDEX(Data!$K:$K,MATCH(1,INDEX((Records!$B126=Data!$Q:$Q)*($A$110=Data!$A:$A),0,1),0))</f>
        <v>vs The Rookies</v>
      </c>
      <c r="G126" s="20" cm="1">
        <f t="array" ref="G126">INDEX(Data!$C:$C,MATCH(1,INDEX((Records!$B126=Data!$Q:$Q)*($A$110=Data!$A:$A),0,1),0))</f>
        <v>17</v>
      </c>
      <c r="I126" s="20">
        <f>RANK(B126,Data!$Q:$Q)</f>
        <v>4</v>
      </c>
    </row>
    <row r="127" spans="1:12" x14ac:dyDescent="0.25">
      <c r="A127" s="22" t="s">
        <v>12</v>
      </c>
      <c r="B127" s="20">
        <f>_xlfn.MAXIFS(Data!$R:$R,Data!$A:$A,Records!$A$110)</f>
        <v>746</v>
      </c>
      <c r="C127" s="21">
        <f>COUNTIFS(Data!$R:$R,Records!$B127,Data!$A:$A,Records!$A$110)</f>
        <v>1</v>
      </c>
      <c r="D127" s="20" t="str" cm="1">
        <f t="array" ref="D127">INDEX(Data!$E:$E,MATCH(1,INDEX((Records!$B127=Data!$R:$R)*($A$110=Data!$A:$A),0,1),0))</f>
        <v>Underdogs</v>
      </c>
      <c r="E127" s="20" t="str" cm="1">
        <f t="array" ref="E127">INDEX(Data!$K:$K,MATCH(1,INDEX((Records!$B127=Data!$R:$R)*($A$110=Data!$A:$A),0,1),0))</f>
        <v>vs Kourayo Vallecano</v>
      </c>
      <c r="G127" s="20" cm="1">
        <f t="array" ref="G127">INDEX(Data!$C:$C,MATCH(1,INDEX((Records!$B127=Data!$R:$R)*($A$110=Data!$A:$A),0,1),0))</f>
        <v>18</v>
      </c>
      <c r="I127" s="20">
        <f>RANK(B127,Data!$R:$R)</f>
        <v>24</v>
      </c>
    </row>
    <row r="128" spans="1:12" x14ac:dyDescent="0.25">
      <c r="A128" s="22" t="s">
        <v>5</v>
      </c>
      <c r="B128" s="20">
        <f>_xlfn.MAXIFS(Data!$S:$S,Data!$A:$A,Records!$A$110)</f>
        <v>81</v>
      </c>
      <c r="C128" s="21">
        <f>COUNTIFS(Data!$S:$S,Records!$B128,Data!$A:$A,Records!$A$110)</f>
        <v>1</v>
      </c>
      <c r="D128" s="20" t="str" cm="1">
        <f t="array" ref="D128">INDEX(Data!$E:$E,MATCH(1,INDEX((Records!$B128=Data!$S:$S)*($A$110=Data!$A:$A),0,1),0))</f>
        <v>Tsarlatans</v>
      </c>
      <c r="E128" s="20" t="str" cm="1">
        <f t="array" ref="E128">INDEX(Data!$K:$K,MATCH(1,INDEX((Records!$B128=Data!$S:$S)*($A$110=Data!$A:$A),0,1),0))</f>
        <v>vs Salonika Devils</v>
      </c>
      <c r="G128" s="20" cm="1">
        <f t="array" ref="G128">INDEX(Data!$C:$C,MATCH(1,INDEX((Records!$B128=Data!$S:$S)*($A$110=Data!$A:$A),0,1),0))</f>
        <v>2</v>
      </c>
      <c r="I128" s="20">
        <f>RANK(B128,Data!$S:$S)</f>
        <v>8</v>
      </c>
    </row>
    <row r="129" spans="1:12" x14ac:dyDescent="0.25">
      <c r="A129" s="22" t="s">
        <v>6</v>
      </c>
      <c r="B129" s="20">
        <f>_xlfn.MAXIFS(Data!$T:$T,Data!$A:$A,Records!$A$110)</f>
        <v>224</v>
      </c>
      <c r="C129" s="21">
        <f>COUNTIFS(Data!$T:$T,Records!$B129,Data!$A:$A,Records!$A$110)</f>
        <v>1</v>
      </c>
      <c r="D129" s="20" t="str" cm="1">
        <f t="array" ref="D129">INDEX(Data!$E:$E,MATCH(1,INDEX((Records!$B129=Data!$T:$T)*($A$110=Data!$A:$A),0,1),0))</f>
        <v>Tsarlatans</v>
      </c>
      <c r="E129" s="20" t="str" cm="1">
        <f t="array" ref="E129">INDEX(Data!$K:$K,MATCH(1,INDEX((Records!$B129=Data!$T:$T)*($A$110=Data!$A:$A),0,1),0))</f>
        <v>vs purple fuzzy apache pirates</v>
      </c>
      <c r="G129" s="20" cm="1">
        <f t="array" ref="G129">INDEX(Data!$C:$C,MATCH(1,INDEX((Records!$B129=Data!$T:$T)*($A$110=Data!$A:$A),0,1),0))</f>
        <v>18</v>
      </c>
      <c r="I129" s="20">
        <f>RANK(B129,Data!$T:$T)</f>
        <v>10</v>
      </c>
    </row>
    <row r="130" spans="1:12" x14ac:dyDescent="0.25">
      <c r="A130" s="22" t="s">
        <v>7</v>
      </c>
      <c r="B130" s="20">
        <f>_xlfn.MAXIFS(Data!$U:$U,Data!$A:$A,Records!$A$110)</f>
        <v>192</v>
      </c>
      <c r="C130" s="21">
        <f>COUNTIFS(Data!$U:$U,Records!$B130,Data!$A:$A,Records!$A$110)</f>
        <v>1</v>
      </c>
      <c r="D130" s="20" t="str" cm="1">
        <f t="array" ref="D130">INDEX(Data!$E:$E,MATCH(1,INDEX((Records!$B130=Data!$U:$U)*($A$110=Data!$A:$A),0,1),0))</f>
        <v>purple fuzzy apache pirates</v>
      </c>
      <c r="E130" s="20" t="str" cm="1">
        <f t="array" ref="E130">INDEX(Data!$K:$K,MATCH(1,INDEX((Records!$B130=Data!$U:$U)*($A$110=Data!$A:$A),0,1),0))</f>
        <v>vs Tsarlatans</v>
      </c>
      <c r="G130" s="20" cm="1">
        <f t="array" ref="G130">INDEX(Data!$C:$C,MATCH(1,INDEX((Records!$B130=Data!$U:$U)*($A$110=Data!$A:$A),0,1),0))</f>
        <v>18</v>
      </c>
      <c r="I130" s="20">
        <f>RANK(B130,Data!$U:$U)</f>
        <v>12</v>
      </c>
    </row>
    <row r="131" spans="1:12" x14ac:dyDescent="0.25">
      <c r="A131" s="22" t="s">
        <v>9</v>
      </c>
      <c r="B131" s="20">
        <f>_xlfn.MAXIFS(Data!$V:$V,Data!$A:$A,Records!$A$110)</f>
        <v>66</v>
      </c>
      <c r="C131" s="21">
        <f>COUNTIFS(Data!$V:$V,Records!$B131,Data!$A:$A,Records!$A$110)</f>
        <v>1</v>
      </c>
      <c r="D131" s="20" t="str" cm="1">
        <f t="array" ref="D131">INDEX(Data!$E:$E,MATCH(1,INDEX((Records!$B131=Data!$V:$V)*($A$110=Data!$A:$A),0,1),0))</f>
        <v>Steven Adams' Moustache</v>
      </c>
      <c r="E131" s="20" t="str" cm="1">
        <f t="array" ref="E131">INDEX(Data!$K:$K,MATCH(1,INDEX((Records!$B131=Data!$V:$V)*($A$110=Data!$A:$A),0,1),0))</f>
        <v>vs Kourayo Vallecano</v>
      </c>
      <c r="G131" s="20" cm="1">
        <f t="array" ref="G131">INDEX(Data!$C:$C,MATCH(1,INDEX((Records!$B131=Data!$V:$V)*($A$110=Data!$A:$A),0,1),0))</f>
        <v>4</v>
      </c>
      <c r="I131" s="20">
        <f>RANK(B131,Data!$V:$V)</f>
        <v>1</v>
      </c>
    </row>
    <row r="132" spans="1:12" x14ac:dyDescent="0.25">
      <c r="A132" s="22" t="s">
        <v>10</v>
      </c>
      <c r="B132" s="20">
        <f>_xlfn.MAXIFS(Data!$W:$W,Data!$A:$A,Records!$A$110)</f>
        <v>36</v>
      </c>
      <c r="C132" s="21">
        <f>COUNTIFS(Data!$W:$W,Records!$B132,Data!$A:$A,Records!$A$110)</f>
        <v>1</v>
      </c>
      <c r="D132" s="20" t="str" cm="1">
        <f t="array" ref="D132">INDEX(Data!$E:$E,MATCH(1,INDEX((Records!$B132=Data!$W:$W)*($A$110=Data!$A:$A),0,1),0))</f>
        <v>Karafli SaiTa</v>
      </c>
      <c r="E132" s="20" t="str" cm="1">
        <f t="array" ref="E132">INDEX(Data!$K:$K,MATCH(1,INDEX((Records!$B132=Data!$W:$W)*($A$110=Data!$A:$A),0,1),0))</f>
        <v>vs Fighting Thaddeus</v>
      </c>
      <c r="G132" s="20" cm="1">
        <f t="array" ref="G132">INDEX(Data!$C:$C,MATCH(1,INDEX((Records!$B132=Data!$W:$W)*($A$110=Data!$A:$A),0,1),0))</f>
        <v>18</v>
      </c>
      <c r="I132" s="20">
        <f>RANK(B132,Data!$W:$W)</f>
        <v>39</v>
      </c>
    </row>
    <row r="133" spans="1:12" x14ac:dyDescent="0.25">
      <c r="A133" s="22" t="s">
        <v>11</v>
      </c>
      <c r="B133" s="20">
        <f>_xlfn.MINIFS(Data!$X:$X,Data!$A:$A,Records!$A$110)</f>
        <v>8</v>
      </c>
      <c r="C133" s="21">
        <f>COUNTIFS(Data!$X:$X,Records!$B133,Data!$A:$A,Records!$A$110)</f>
        <v>1</v>
      </c>
      <c r="D133" s="20" t="str" cm="1">
        <f t="array" ref="D133">INDEX(Data!$E:$E,MATCH(1,INDEX((Records!$B133=Data!$X:$X)*($A$110=Data!$A:$A),0,1),0))</f>
        <v>The Bad Boys</v>
      </c>
      <c r="E133" s="20" t="str" cm="1">
        <f t="array" ref="E133">INDEX(Data!$K:$K,MATCH(1,INDEX((Records!$B133=Data!$X:$X)*($A$110=Data!$A:$A),0,1),0))</f>
        <v>vs The Guns</v>
      </c>
      <c r="G133" s="20" cm="1">
        <f t="array" ref="G133">INDEX(Data!$C:$C,MATCH(1,INDEX((Records!$B133=Data!$X:$X)*($A$110=Data!$A:$A),0,1),0))</f>
        <v>7</v>
      </c>
      <c r="I133" s="20">
        <f>RANK(B133,Data!$X:$X,1)</f>
        <v>1</v>
      </c>
    </row>
    <row r="134" spans="1:12" x14ac:dyDescent="0.25">
      <c r="A134" s="22" t="s">
        <v>8</v>
      </c>
      <c r="B134" s="23">
        <f>_xlfn.MAXIFS(Data!$Y:$Y,Data!$A:$A,Records!$A$110)</f>
        <v>3.3</v>
      </c>
      <c r="C134" s="21">
        <f>COUNTIFS(Data!$Y:$Y,Records!$B134,Data!$A:$A,Records!$A$110)</f>
        <v>1</v>
      </c>
      <c r="D134" s="20" t="str" cm="1">
        <f t="array" ref="D134">INDEX(Data!$E:$E,MATCH(1,INDEX((Records!$B134=Data!$Y:$Y)*($A$110=Data!$A:$A),0,1),0))</f>
        <v>The Bad Boys</v>
      </c>
      <c r="E134" s="20" t="str" cm="1">
        <f t="array" ref="E134">INDEX(Data!$K:$K,MATCH(1,INDEX((Records!$B134=Data!$Y:$Y)*($A$110=Data!$A:$A),0,1),0))</f>
        <v>vs Samarina Dudenbros</v>
      </c>
      <c r="G134" s="20" cm="1">
        <f t="array" ref="G134">INDEX(Data!$C:$C,MATCH(1,INDEX((Records!$B134=Data!$Y:$Y)*($A$110=Data!$A:$A),0,1),0))</f>
        <v>4</v>
      </c>
      <c r="I134" s="20">
        <f>RANK(B134,Data!$Y:$Y)</f>
        <v>14</v>
      </c>
    </row>
    <row r="136" spans="1:12" ht="18.75" x14ac:dyDescent="0.3">
      <c r="A136" s="30">
        <v>2023</v>
      </c>
      <c r="B136" s="30"/>
      <c r="C136" s="30"/>
      <c r="D136" s="30"/>
      <c r="E136" s="30"/>
      <c r="F136" s="30"/>
      <c r="G136" s="30"/>
      <c r="H136" s="30"/>
    </row>
    <row r="138" spans="1:12" ht="45" x14ac:dyDescent="0.25">
      <c r="A138" s="24" t="s">
        <v>151</v>
      </c>
      <c r="B138" s="24" t="s">
        <v>149</v>
      </c>
      <c r="C138" s="25"/>
      <c r="D138" s="24" t="s">
        <v>29</v>
      </c>
      <c r="E138" s="24" t="s">
        <v>150</v>
      </c>
      <c r="F138" s="25"/>
      <c r="G138" s="24" t="s">
        <v>38</v>
      </c>
      <c r="H138" s="24"/>
      <c r="I138" s="26" t="s">
        <v>179</v>
      </c>
      <c r="J138" s="25"/>
      <c r="K138" s="24" t="s">
        <v>29</v>
      </c>
      <c r="L138" s="24" t="s">
        <v>153</v>
      </c>
    </row>
    <row r="139" spans="1:12" x14ac:dyDescent="0.25">
      <c r="A139" s="22" t="s">
        <v>123</v>
      </c>
      <c r="B139" s="20">
        <f>_xlfn.MAXIFS(Data!$H:$H,Data!$A:$A,Records!$A136)</f>
        <v>13</v>
      </c>
      <c r="C139" s="21">
        <f>COUNTIFS(Data!$H:$H,Records!$B139,Data!$A:$A,Records!$A136)</f>
        <v>1</v>
      </c>
      <c r="D139" s="20" t="str" cm="1">
        <f t="array" ref="D139">INDEX(Data!$E:$E,MATCH(1,INDEX((Records!$B139=Data!$H:$H)*($A136=Data!$A:$A),0,1),0))</f>
        <v>Karafli SaiTa</v>
      </c>
      <c r="E139" s="20" t="str" cm="1">
        <f t="array" ref="E139">INDEX(Data!$K:$K,MATCH(1,INDEX((Records!$B139=Data!$H:$H)*($A136=Data!$A:$A),0,1),0))</f>
        <v>vs Donkey Rolls</v>
      </c>
      <c r="G139" s="20" cm="1">
        <f t="array" ref="G139">INDEX(Data!$C:$C,MATCH(1,INDEX((Records!$B139=Data!$H:$H)*($A136=Data!$A:$A),0,1),0))</f>
        <v>14</v>
      </c>
      <c r="I139" s="20">
        <f>RANK(B139,Data!$H:$H)</f>
        <v>1</v>
      </c>
      <c r="K139" s="20" t="s">
        <v>190</v>
      </c>
      <c r="L139" s="20">
        <f t="shared" ref="L139:L147" si="6">COUNTIF($D$139:$D$154,K139)</f>
        <v>4</v>
      </c>
    </row>
    <row r="140" spans="1:12" x14ac:dyDescent="0.25">
      <c r="A140" s="22" t="s">
        <v>0</v>
      </c>
      <c r="B140" s="20">
        <f>_xlfn.MAXIFS(Data!$M:$M,Data!$A:$A,Records!$A136)</f>
        <v>266</v>
      </c>
      <c r="C140" s="21">
        <f>COUNTIFS(Data!$M:$M,Records!$B140,Data!$A:$A,Records!$A136)</f>
        <v>1</v>
      </c>
      <c r="D140" s="20" t="str" cm="1">
        <f t="array" ref="D140">INDEX(Data!$E:$E,MATCH(1,INDEX((Records!$B140=Data!$M:$M)*($A136=Data!$A:$A),0,1),0))</f>
        <v>Karafli SaiTa</v>
      </c>
      <c r="E140" s="20" t="str" cm="1">
        <f t="array" ref="E140">INDEX(Data!$K:$K,MATCH(1,INDEX((Records!$B140=Data!$M:$M)*($A136=Data!$A:$A),0,1),0))</f>
        <v>vs The Bridgeburners</v>
      </c>
      <c r="G140" s="20" cm="1">
        <f t="array" ref="G140">INDEX(Data!$C:$C,MATCH(1,INDEX((Records!$B140=Data!$M:$M)*($A136=Data!$A:$A),0,1),0))</f>
        <v>6</v>
      </c>
      <c r="I140" s="20">
        <f>RANK(B140,Data!$M:$M)</f>
        <v>30</v>
      </c>
      <c r="K140" s="20" t="s">
        <v>94</v>
      </c>
      <c r="L140" s="20">
        <f t="shared" si="6"/>
        <v>1</v>
      </c>
    </row>
    <row r="141" spans="1:12" x14ac:dyDescent="0.25">
      <c r="A141" s="22" t="s">
        <v>1</v>
      </c>
      <c r="B141" s="20">
        <f>_xlfn.MAXIFS(Data!$N:$N,Data!$A:$A,Records!$A136)</f>
        <v>0.59599999999999997</v>
      </c>
      <c r="C141" s="21">
        <f>COUNTIFS(Data!$N:$N,Records!$B141,Data!$A:$A,Records!$A136)</f>
        <v>1</v>
      </c>
      <c r="D141" s="20" t="str" cm="1">
        <f t="array" ref="D141">INDEX(Data!$E:$E,MATCH(1,INDEX((Records!$B141=Data!$N:$N)*($A136=Data!$A:$A),0,1),0))</f>
        <v>Fighting Thaddeus</v>
      </c>
      <c r="E141" s="20" t="str" cm="1">
        <f t="array" ref="E141">INDEX(Data!$K:$K,MATCH(1,INDEX((Records!$B141=Data!$N:$N)*($A136=Data!$A:$A),0,1),0))</f>
        <v>vs LRBP PR3DATORS</v>
      </c>
      <c r="G141" s="20" cm="1">
        <f t="array" ref="G141">INDEX(Data!$C:$C,MATCH(1,INDEX((Records!$B141=Data!$N:$N)*($A136=Data!$A:$A),0,1),0))</f>
        <v>7</v>
      </c>
      <c r="I141" s="20">
        <f>RANK(B141,Data!$N:$N)</f>
        <v>3</v>
      </c>
      <c r="K141" s="20" t="s">
        <v>21</v>
      </c>
      <c r="L141" s="20">
        <f t="shared" si="6"/>
        <v>1</v>
      </c>
    </row>
    <row r="142" spans="1:12" x14ac:dyDescent="0.25">
      <c r="A142" s="22" t="s">
        <v>3</v>
      </c>
      <c r="B142" s="20">
        <f>_xlfn.MAXIFS(Data!$O:$O,Data!$A:$A,Records!$A136)</f>
        <v>87</v>
      </c>
      <c r="C142" s="21">
        <f>COUNTIFS(Data!$O:$O,Records!$B142,Data!$A:$A,Records!$A136)</f>
        <v>2</v>
      </c>
      <c r="D142" s="20" t="str" cm="1">
        <f t="array" ref="D142">INDEX(Data!$E:$E,MATCH(1,INDEX((Records!$B142=Data!$O:$O)*($A136=Data!$A:$A),0,1),0))</f>
        <v>st.Helens Eruptions</v>
      </c>
      <c r="E142" s="20" t="str" cm="1">
        <f t="array" ref="E142">INDEX(Data!$K:$K,MATCH(1,INDEX((Records!$B142=Data!$O:$O)*($A136=Data!$A:$A),0,1),0))</f>
        <v>vs Salonika Devils</v>
      </c>
      <c r="G142" s="20" cm="1">
        <f t="array" ref="G142">INDEX(Data!$C:$C,MATCH(1,INDEX((Records!$B142=Data!$O:$O)*($A136=Data!$A:$A),0,1),0))</f>
        <v>16</v>
      </c>
      <c r="I142" s="20">
        <f>RANK(B142,Data!$O:$O)</f>
        <v>9</v>
      </c>
      <c r="K142" s="20" t="s">
        <v>93</v>
      </c>
      <c r="L142" s="20">
        <f t="shared" si="6"/>
        <v>2</v>
      </c>
    </row>
    <row r="143" spans="1:12" x14ac:dyDescent="0.25">
      <c r="A143" s="22" t="s">
        <v>4</v>
      </c>
      <c r="B143" s="20">
        <f>_xlfn.MAXIFS(Data!$P:$P,Data!$A:$A,Records!$A136)</f>
        <v>0.52500000000000002</v>
      </c>
      <c r="C143" s="21">
        <f>COUNTIFS(Data!$P:$P,Records!$B143,Data!$A:$A,Records!$A136)</f>
        <v>1</v>
      </c>
      <c r="D143" s="20" t="str" cm="1">
        <f t="array" ref="D143">INDEX(Data!$E:$E,MATCH(1,INDEX((Records!$B143=Data!$P:$P)*($A136=Data!$A:$A),0,1),0))</f>
        <v>Guruuu 🐐🐐🐐</v>
      </c>
      <c r="E143" s="20" t="str" cm="1">
        <f t="array" ref="E143">INDEX(Data!$K:$K,MATCH(1,INDEX((Records!$B143=Data!$P:$P)*($A136=Data!$A:$A),0,1),0))</f>
        <v>vs Karafli SaiTa</v>
      </c>
      <c r="G143" s="20" t="str" cm="1">
        <f t="array" ref="G143">INDEX(Data!$C:$C,MATCH(1,INDEX((Records!$B143=Data!$P:$P)*($A136=Data!$A:$A),0,1),0))</f>
        <v>Quarterfinals</v>
      </c>
      <c r="I143" s="20">
        <f>RANK(B143,Data!$P:$P)</f>
        <v>2</v>
      </c>
      <c r="K143" s="20" t="s">
        <v>158</v>
      </c>
      <c r="L143" s="20">
        <f t="shared" si="6"/>
        <v>3</v>
      </c>
    </row>
    <row r="144" spans="1:12" x14ac:dyDescent="0.25">
      <c r="A144" s="22" t="s">
        <v>2</v>
      </c>
      <c r="B144" s="20">
        <f>_xlfn.MAXIFS(Data!$Q:$Q,Data!$A:$A,Records!$A136)</f>
        <v>0.95599999999999996</v>
      </c>
      <c r="C144" s="21">
        <f>COUNTIFS(Data!$Q:$Q,Records!$B144,Data!$A:$A,Records!$A136)-1</f>
        <v>1</v>
      </c>
      <c r="D144" s="20" t="str" cm="1">
        <f t="array" ref="D144">INDEX(Data!$E:$E,MATCH(1,INDEX((Records!$B144=Data!$Q:$Q)*($A136=Data!$A:$A),0,1),0))</f>
        <v>Karafli SaiTa</v>
      </c>
      <c r="E144" s="20" t="str" cm="1">
        <f t="array" ref="E144">INDEX(Data!$K:$K,MATCH(1,INDEX((Records!$B144=Data!$Q:$Q)*($A136=Data!$A:$A),0,1),0))</f>
        <v>vs Baltimore Hercules</v>
      </c>
      <c r="G144" s="20" cm="1">
        <f t="array" ref="G144">INDEX(Data!$C:$C,MATCH(1,INDEX((Records!$B144=Data!$Q:$Q)*($A136=Data!$A:$A),0,1),0))</f>
        <v>1</v>
      </c>
      <c r="I144" s="20">
        <f>RANK(B144,Data!$Q:$Q)</f>
        <v>1</v>
      </c>
      <c r="K144" s="20" t="s">
        <v>28</v>
      </c>
      <c r="L144" s="20">
        <f t="shared" si="6"/>
        <v>1</v>
      </c>
    </row>
    <row r="145" spans="1:18" x14ac:dyDescent="0.25">
      <c r="A145" s="22" t="s">
        <v>12</v>
      </c>
      <c r="B145" s="20">
        <f>_xlfn.MAXIFS(Data!$R:$R,Data!$A:$A,Records!$A136)</f>
        <v>745</v>
      </c>
      <c r="C145" s="21">
        <f>COUNTIFS(Data!$R:$R,Records!$B145,Data!$A:$A,Records!$A136)</f>
        <v>1</v>
      </c>
      <c r="D145" s="20" t="str" cm="1">
        <f t="array" ref="D145">INDEX(Data!$E:$E,MATCH(1,INDEX((Records!$B145=Data!$R:$R)*($A136=Data!$A:$A),0,1),0))</f>
        <v>LRBP PR3DATORS</v>
      </c>
      <c r="E145" s="20" t="str" cm="1">
        <f t="array" ref="E145">INDEX(Data!$K:$K,MATCH(1,INDEX((Records!$B145=Data!$R:$R)*($A136=Data!$A:$A),0,1),0))</f>
        <v>vs Donkey Rolls</v>
      </c>
      <c r="G145" s="20" t="str" cm="1">
        <f t="array" ref="G145">INDEX(Data!$C:$C,MATCH(1,INDEX((Records!$B145=Data!$R:$R)*($A136=Data!$A:$A),0,1),0))</f>
        <v>1st Round</v>
      </c>
      <c r="I145" s="20">
        <f>RANK(B145,Data!$R:$R)</f>
        <v>25</v>
      </c>
      <c r="K145" s="20" t="s">
        <v>98</v>
      </c>
      <c r="L145" s="20">
        <f t="shared" si="6"/>
        <v>1</v>
      </c>
      <c r="R145"/>
    </row>
    <row r="146" spans="1:18" x14ac:dyDescent="0.25">
      <c r="A146" s="22" t="s">
        <v>5</v>
      </c>
      <c r="B146" s="20">
        <f>_xlfn.MAXIFS(Data!$S:$S,Data!$A:$A,Records!$A136)</f>
        <v>84</v>
      </c>
      <c r="C146" s="21">
        <f>COUNTIFS(Data!$S:$S,Records!$B146,Data!$A:$A,Records!$A136)</f>
        <v>1</v>
      </c>
      <c r="D146" s="20" t="str" cm="1">
        <f t="array" ref="D146">INDEX(Data!$E:$E,MATCH(1,INDEX((Records!$B146=Data!$S:$S)*($A136=Data!$A:$A),0,1),0))</f>
        <v>LRBP PR3DATORS</v>
      </c>
      <c r="E146" s="20" t="str" cm="1">
        <f t="array" ref="E146">INDEX(Data!$K:$K,MATCH(1,INDEX((Records!$B146=Data!$S:$S)*($A136=Data!$A:$A),0,1),0))</f>
        <v>vs Donkey Rolls</v>
      </c>
      <c r="G146" s="20" t="str" cm="1">
        <f t="array" ref="G146">INDEX(Data!$C:$C,MATCH(1,INDEX((Records!$B146=Data!$S:$S)*($A136=Data!$A:$A),0,1),0))</f>
        <v>1st Round</v>
      </c>
      <c r="I146" s="20">
        <f>RANK(B146,Data!$S:$S)</f>
        <v>4</v>
      </c>
      <c r="K146" s="20" t="s">
        <v>26</v>
      </c>
      <c r="L146" s="20">
        <f t="shared" si="6"/>
        <v>1</v>
      </c>
      <c r="R146"/>
    </row>
    <row r="147" spans="1:18" x14ac:dyDescent="0.25">
      <c r="A147" s="22" t="s">
        <v>6</v>
      </c>
      <c r="B147" s="20">
        <f>_xlfn.MAXIFS(Data!$T:$T,Data!$A:$A,Records!$A136)</f>
        <v>232</v>
      </c>
      <c r="C147" s="21">
        <f>COUNTIFS(Data!$T:$T,Records!$B147,Data!$A:$A,Records!$A136)</f>
        <v>1</v>
      </c>
      <c r="D147" s="20" t="str" cm="1">
        <f t="array" ref="D147">INDEX(Data!$E:$E,MATCH(1,INDEX((Records!$B147=Data!$T:$T)*($A136=Data!$A:$A),0,1),0))</f>
        <v>LRBP PR3DATORS</v>
      </c>
      <c r="E147" s="20" t="str" cm="1">
        <f t="array" ref="E147">INDEX(Data!$K:$K,MATCH(1,INDEX((Records!$B147=Data!$T:$T)*($A136=Data!$A:$A),0,1),0))</f>
        <v>vs Tsarlatans</v>
      </c>
      <c r="G147" s="20" cm="1">
        <f t="array" ref="G147">INDEX(Data!$C:$C,MATCH(1,INDEX((Records!$B147=Data!$T:$T)*($A136=Data!$A:$A),0,1),0))</f>
        <v>18</v>
      </c>
      <c r="I147" s="20">
        <f>RANK(B147,Data!$T:$T)</f>
        <v>6</v>
      </c>
      <c r="L147" s="20">
        <f t="shared" si="6"/>
        <v>0</v>
      </c>
      <c r="R147"/>
    </row>
    <row r="148" spans="1:18" x14ac:dyDescent="0.25">
      <c r="A148" s="22" t="s">
        <v>7</v>
      </c>
      <c r="B148" s="20">
        <f>_xlfn.MAXIFS(Data!$U:$U,Data!$A:$A,Records!$A136)</f>
        <v>192</v>
      </c>
      <c r="C148" s="21">
        <f>COUNTIFS(Data!$U:$U,Records!$B148,Data!$A:$A,Records!$A136)</f>
        <v>1</v>
      </c>
      <c r="D148" s="20" t="str" cm="1">
        <f t="array" ref="D148">INDEX(Data!$E:$E,MATCH(1,INDEX((Records!$B148=Data!$U:$U)*($A136=Data!$A:$A),0,1),0))</f>
        <v>Karafli SaiTa</v>
      </c>
      <c r="E148" s="20" t="str" cm="1">
        <f t="array" ref="E148">INDEX(Data!$K:$K,MATCH(1,INDEX((Records!$B148=Data!$U:$U)*($A136=Data!$A:$A),0,1),0))</f>
        <v>vs The Bridgeburners</v>
      </c>
      <c r="G148" s="20" cm="1">
        <f t="array" ref="G148">INDEX(Data!$C:$C,MATCH(1,INDEX((Records!$B148=Data!$U:$U)*($A136=Data!$A:$A),0,1),0))</f>
        <v>6</v>
      </c>
      <c r="I148" s="20">
        <f>RANK(B148,Data!$U:$U)</f>
        <v>12</v>
      </c>
      <c r="R148"/>
    </row>
    <row r="149" spans="1:18" x14ac:dyDescent="0.25">
      <c r="A149" s="22" t="s">
        <v>9</v>
      </c>
      <c r="B149" s="20">
        <f>_xlfn.MAXIFS(Data!$V:$V,Data!$A:$A,Records!$A136)</f>
        <v>48</v>
      </c>
      <c r="C149" s="21">
        <f>COUNTIFS(Data!$V:$V,Records!$B149,Data!$A:$A,Records!$A136)</f>
        <v>1</v>
      </c>
      <c r="D149" s="20" t="str" cm="1">
        <f t="array" ref="D149">INDEX(Data!$E:$E,MATCH(1,INDEX((Records!$B149=Data!$V:$V)*($A136=Data!$A:$A),0,1),0))</f>
        <v>Steven Adams' Moustache</v>
      </c>
      <c r="E149" s="20" t="str" cm="1">
        <f t="array" ref="E149">INDEX(Data!$K:$K,MATCH(1,INDEX((Records!$B149=Data!$V:$V)*($A136=Data!$A:$A),0,1),0))</f>
        <v>vs purple fuzzy apache pirates</v>
      </c>
      <c r="G149" s="20" cm="1">
        <f t="array" ref="G149">INDEX(Data!$C:$C,MATCH(1,INDEX((Records!$B149=Data!$V:$V)*($A136=Data!$A:$A),0,1),0))</f>
        <v>3</v>
      </c>
      <c r="I149" s="20">
        <f>RANK(B149,Data!$V:$V)</f>
        <v>37</v>
      </c>
    </row>
    <row r="150" spans="1:18" x14ac:dyDescent="0.25">
      <c r="A150" s="22" t="s">
        <v>10</v>
      </c>
      <c r="B150" s="20">
        <f>_xlfn.MAXIFS(Data!$W:$W,Data!$A:$A,Records!$A136)</f>
        <v>38</v>
      </c>
      <c r="C150" s="21">
        <f>COUNTIFS(Data!$W:$W,Records!$B150,Data!$A:$A,Records!$A136)</f>
        <v>1</v>
      </c>
      <c r="D150" s="20" t="str" cm="1">
        <f t="array" ref="D150">INDEX(Data!$E:$E,MATCH(1,INDEX((Records!$B150=Data!$W:$W)*($A136=Data!$A:$A),0,1),0))</f>
        <v>Xanthi Ducks 🦆</v>
      </c>
      <c r="E150" s="20" t="str" cm="1">
        <f t="array" ref="E150">INDEX(Data!$K:$K,MATCH(1,INDEX((Records!$B150=Data!$W:$W)*($A136=Data!$A:$A),0,1),0))</f>
        <v>vs Kourayo Vallecano</v>
      </c>
      <c r="G150" s="20" cm="1">
        <f t="array" ref="G150">INDEX(Data!$C:$C,MATCH(1,INDEX((Records!$B150=Data!$W:$W)*($A136=Data!$A:$A),0,1),0))</f>
        <v>18</v>
      </c>
      <c r="I150" s="20">
        <f>RANK(B150,Data!$W:$W)</f>
        <v>23</v>
      </c>
      <c r="R150"/>
    </row>
    <row r="151" spans="1:18" x14ac:dyDescent="0.25">
      <c r="A151" s="22" t="s">
        <v>11</v>
      </c>
      <c r="B151" s="20">
        <f>_xlfn.MINIFS(Data!$X:$X,Data!$A:$A,Records!$A136)</f>
        <v>14</v>
      </c>
      <c r="C151" s="21">
        <f>COUNTIFS(Data!$X:$X,Records!$B151,Data!$A:$A,Records!$A136)</f>
        <v>1</v>
      </c>
      <c r="D151" s="20" t="str" cm="1">
        <f t="array" ref="D151">INDEX(Data!$E:$E,MATCH(1,INDEX((Records!$B151=Data!$X:$X)*($A136=Data!$A:$A),0,1),0))</f>
        <v>Guruuu 🐐🐐🐐</v>
      </c>
      <c r="E151" s="20" t="str" cm="1">
        <f t="array" ref="E151">INDEX(Data!$K:$K,MATCH(1,INDEX((Records!$B151=Data!$X:$X)*($A136=Data!$A:$A),0,1),0))</f>
        <v>vs Karafli SaiTa</v>
      </c>
      <c r="G151" s="20" t="str" cm="1">
        <f t="array" ref="G151">INDEX(Data!$C:$C,MATCH(1,INDEX((Records!$B151=Data!$X:$X)*($A136=Data!$A:$A),0,1),0))</f>
        <v>Quarterfinals</v>
      </c>
      <c r="I151" s="20">
        <f>RANK(B151,Data!$X:$X,1)</f>
        <v>5</v>
      </c>
      <c r="R151"/>
    </row>
    <row r="152" spans="1:18" x14ac:dyDescent="0.25">
      <c r="A152" s="22" t="s">
        <v>8</v>
      </c>
      <c r="B152" s="23">
        <f>_xlfn.MAXIFS(Data!$Y:$Y,Data!$A:$A,Records!$A136)</f>
        <v>3.52</v>
      </c>
      <c r="C152" s="21">
        <f>COUNTIFS(Data!$Y:$Y,Records!$B152,Data!$A:$A,Records!$A136)-1</f>
        <v>1</v>
      </c>
      <c r="D152" s="20" t="str" cm="1">
        <f t="array" ref="D152">INDEX(Data!$E:$E,MATCH(1,INDEX((Records!$B152=Data!$Y:$Y)*($A136=Data!$A:$A),0,1),0))</f>
        <v>Kourayo Vallecano</v>
      </c>
      <c r="E152" s="20" t="str" cm="1">
        <f t="array" ref="E152">INDEX(Data!$K:$K,MATCH(1,INDEX((Records!$B152=Data!$Y:$Y)*($A136=Data!$A:$A),0,1),0))</f>
        <v>vs st.Helens Eruptions</v>
      </c>
      <c r="G152" s="20" cm="1">
        <f t="array" ref="G152">INDEX(Data!$C:$C,MATCH(1,INDEX((Records!$B152=Data!$Y:$Y)*($A136=Data!$A:$A),0,1),0))</f>
        <v>1</v>
      </c>
      <c r="I152" s="20">
        <f>RANK(B152,Data!$Y:$Y)</f>
        <v>7</v>
      </c>
      <c r="R152"/>
    </row>
    <row r="153" spans="1:18" x14ac:dyDescent="0.25">
      <c r="R153"/>
    </row>
    <row r="154" spans="1:18" ht="18.75" x14ac:dyDescent="0.3">
      <c r="A154" s="30">
        <v>2024</v>
      </c>
      <c r="B154" s="30"/>
      <c r="C154" s="30"/>
      <c r="D154" s="30"/>
      <c r="E154" s="30"/>
      <c r="F154" s="30"/>
      <c r="G154" s="30"/>
      <c r="H154" s="30"/>
      <c r="R154"/>
    </row>
    <row r="155" spans="1:18" x14ac:dyDescent="0.25">
      <c r="R155"/>
    </row>
    <row r="156" spans="1:18" ht="45" x14ac:dyDescent="0.25">
      <c r="A156" s="24" t="s">
        <v>151</v>
      </c>
      <c r="B156" s="24" t="s">
        <v>149</v>
      </c>
      <c r="C156" s="25"/>
      <c r="D156" s="24" t="s">
        <v>29</v>
      </c>
      <c r="E156" s="24" t="s">
        <v>150</v>
      </c>
      <c r="F156" s="25"/>
      <c r="G156" s="24" t="s">
        <v>38</v>
      </c>
      <c r="H156" s="24"/>
      <c r="I156" s="26" t="s">
        <v>179</v>
      </c>
      <c r="J156" s="25"/>
      <c r="K156" s="24" t="s">
        <v>29</v>
      </c>
      <c r="L156" s="24" t="s">
        <v>153</v>
      </c>
      <c r="R156"/>
    </row>
    <row r="157" spans="1:18" x14ac:dyDescent="0.25">
      <c r="A157" s="22" t="s">
        <v>123</v>
      </c>
      <c r="B157" s="20">
        <f>_xlfn.MAXIFS(Data!$H:$H,Data!$A:$A,Records!$A154)</f>
        <v>13</v>
      </c>
      <c r="C157" s="21">
        <f>COUNTIFS(Data!$H:$H,Records!$B157,Data!$A:$A,Records!$A154)</f>
        <v>1</v>
      </c>
      <c r="D157" s="20" t="str" cm="1">
        <f t="array" ref="D157">INDEX(Data!$E:$E,MATCH(1,INDEX((Records!$B157=Data!$H:$H)*($A154=Data!$A:$A),0,1),0))</f>
        <v>Xanthi Ducks 🦆</v>
      </c>
      <c r="E157" s="20" t="str" cm="1">
        <f t="array" ref="E157">INDEX(Data!$K:$K,MATCH(1,INDEX((Records!$B157=Data!$H:$H)*($A154=Data!$A:$A),0,1),0))</f>
        <v>vs st.Helens Eruptions</v>
      </c>
      <c r="G157" s="20" cm="1">
        <f t="array" ref="G157">INDEX(Data!$C:$C,MATCH(1,INDEX((Records!$B157=Data!$H:$H)*($A154=Data!$A:$A),0,1),0))</f>
        <v>7</v>
      </c>
      <c r="I157" s="20">
        <f>RANK(B157,Data!$H:$H)</f>
        <v>1</v>
      </c>
      <c r="K157" s="20" t="s">
        <v>98</v>
      </c>
      <c r="L157" s="20">
        <f>COUNTIF($D$157:$D$172,K157)</f>
        <v>2</v>
      </c>
      <c r="R157"/>
    </row>
    <row r="158" spans="1:18" x14ac:dyDescent="0.25">
      <c r="A158" s="22" t="s">
        <v>0</v>
      </c>
      <c r="B158" s="20">
        <f>_xlfn.MAXIFS(Data!$M:$M,Data!$A:$A,Records!$A154)</f>
        <v>333</v>
      </c>
      <c r="C158" s="21">
        <f>COUNTIFS(Data!$M:$M,Records!$B158,Data!$A:$A,Records!$A154)</f>
        <v>1</v>
      </c>
      <c r="D158" s="20" t="str" cm="1">
        <f t="array" ref="D158">INDEX(Data!$E:$E,MATCH(1,INDEX((Records!$B158=Data!$M:$M)*($A154=Data!$A:$A),0,1),0))</f>
        <v>purple fuzzy apache pirates</v>
      </c>
      <c r="E158" s="20" t="str" cm="1">
        <f t="array" ref="E158">INDEX(Data!$K:$K,MATCH(1,INDEX((Records!$B158=Data!$M:$M)*($A154=Data!$A:$A),0,1),0))</f>
        <v>vs Guruuu 🐐🐐🐐</v>
      </c>
      <c r="G158" s="20" cm="1">
        <f t="array" ref="G158">INDEX(Data!$C:$C,MATCH(1,INDEX((Records!$B158=Data!$M:$M)*($A154=Data!$A:$A),0,1),0))</f>
        <v>17</v>
      </c>
      <c r="I158" s="20">
        <f>RANK(B158,Data!$M:$M)</f>
        <v>1</v>
      </c>
      <c r="K158" s="20" t="s">
        <v>159</v>
      </c>
      <c r="L158" s="20">
        <f t="shared" ref="L158:L165" si="7">COUNTIF($D$157:$D$172,K158)</f>
        <v>5</v>
      </c>
      <c r="R158"/>
    </row>
    <row r="159" spans="1:18" x14ac:dyDescent="0.25">
      <c r="A159" s="22" t="s">
        <v>1</v>
      </c>
      <c r="B159" s="20">
        <f>_xlfn.MAXIFS(Data!$N:$N,Data!$A:$A,Records!$A154)</f>
        <v>0.56899999999999995</v>
      </c>
      <c r="C159" s="21">
        <f>COUNTIFS(Data!$N:$N,Records!$B159,Data!$A:$A,Records!$A154)</f>
        <v>1</v>
      </c>
      <c r="D159" s="20" t="str" cm="1">
        <f t="array" ref="D159">INDEX(Data!$E:$E,MATCH(1,INDEX((Records!$B159=Data!$N:$N)*($A154=Data!$A:$A),0,1),0))</f>
        <v>Knights of Ni</v>
      </c>
      <c r="E159" s="20" t="str" cm="1">
        <f t="array" ref="E159">INDEX(Data!$K:$K,MATCH(1,INDEX((Records!$B159=Data!$N:$N)*($A154=Data!$A:$A),0,1),0))</f>
        <v>vs purple fuzzy apache pirates</v>
      </c>
      <c r="G159" s="20" cm="1">
        <f t="array" ref="G159">INDEX(Data!$C:$C,MATCH(1,INDEX((Records!$B159=Data!$N:$N)*($A154=Data!$A:$A),0,1),0))</f>
        <v>18</v>
      </c>
      <c r="I159" s="20">
        <f>RANK(B159,Data!$N:$N)</f>
        <v>9</v>
      </c>
      <c r="K159" s="20" t="s">
        <v>96</v>
      </c>
      <c r="L159" s="20">
        <f t="shared" si="7"/>
        <v>1</v>
      </c>
      <c r="R159"/>
    </row>
    <row r="160" spans="1:18" x14ac:dyDescent="0.25">
      <c r="A160" s="22" t="s">
        <v>3</v>
      </c>
      <c r="B160" s="20">
        <f>_xlfn.MAXIFS(Data!$O:$O,Data!$A:$A,Records!$A154)</f>
        <v>96</v>
      </c>
      <c r="C160" s="21">
        <f>COUNTIFS(Data!$O:$O,Records!$B160,Data!$A:$A,Records!$A154)</f>
        <v>1</v>
      </c>
      <c r="D160" s="20" t="str" cm="1">
        <f t="array" ref="D160">INDEX(Data!$E:$E,MATCH(1,INDEX((Records!$B160=Data!$O:$O)*($A154=Data!$A:$A),0,1),0))</f>
        <v>purple fuzzy apache pirates</v>
      </c>
      <c r="E160" s="20" t="str" cm="1">
        <f t="array" ref="E160">INDEX(Data!$K:$K,MATCH(1,INDEX((Records!$B160=Data!$O:$O)*($A154=Data!$A:$A),0,1),0))</f>
        <v>vs Guruuu 🐐🐐🐐</v>
      </c>
      <c r="G160" s="20" cm="1">
        <f t="array" ref="G160">INDEX(Data!$C:$C,MATCH(1,INDEX((Records!$B160=Data!$O:$O)*($A154=Data!$A:$A),0,1),0))</f>
        <v>17</v>
      </c>
      <c r="I160" s="20">
        <f>RANK(B160,Data!$O:$O)</f>
        <v>3</v>
      </c>
      <c r="K160" s="20" t="s">
        <v>158</v>
      </c>
      <c r="L160" s="20">
        <f t="shared" si="7"/>
        <v>1</v>
      </c>
    </row>
    <row r="161" spans="1:18" x14ac:dyDescent="0.25">
      <c r="A161" s="22" t="s">
        <v>4</v>
      </c>
      <c r="B161" s="20">
        <f>_xlfn.MAXIFS(Data!$P:$P,Data!$A:$A,Records!$A154)</f>
        <v>0.51</v>
      </c>
      <c r="C161" s="21">
        <f>COUNTIFS(Data!$P:$P,Records!$B161,Data!$A:$A,Records!$A154)</f>
        <v>1</v>
      </c>
      <c r="D161" s="20" t="str" cm="1">
        <f t="array" ref="D161">INDEX(Data!$E:$E,MATCH(1,INDEX((Records!$B161=Data!$P:$P)*($A154=Data!$A:$A),0,1),0))</f>
        <v>LRBP PR3DATORS</v>
      </c>
      <c r="E161" s="20" t="str" cm="1">
        <f t="array" ref="E161">INDEX(Data!$K:$K,MATCH(1,INDEX((Records!$B161=Data!$P:$P)*($A154=Data!$A:$A),0,1),0))</f>
        <v>vs st.Helens Eruptions</v>
      </c>
      <c r="G161" s="20" cm="1">
        <f t="array" ref="G161">INDEX(Data!$C:$C,MATCH(1,INDEX((Records!$B161=Data!$P:$P)*($A154=Data!$A:$A),0,1),0))</f>
        <v>4</v>
      </c>
      <c r="I161" s="20">
        <f>RANK(B161,Data!$P:$P)</f>
        <v>3</v>
      </c>
      <c r="K161" s="20" t="s">
        <v>94</v>
      </c>
      <c r="L161" s="20">
        <f t="shared" si="7"/>
        <v>2</v>
      </c>
    </row>
    <row r="162" spans="1:18" x14ac:dyDescent="0.25">
      <c r="A162" s="22" t="s">
        <v>2</v>
      </c>
      <c r="B162" s="20">
        <f>_xlfn.MAXIFS(Data!$Q:$Q,Data!$A:$A,Records!$A154)</f>
        <v>0.92900000000000005</v>
      </c>
      <c r="C162" s="21">
        <f>COUNTIFS(Data!$Q:$Q,Records!$B162,Data!$A:$A,Records!$A154)</f>
        <v>1</v>
      </c>
      <c r="D162" s="20" t="str" cm="1">
        <f t="array" ref="D162">INDEX(Data!$E:$E,MATCH(1,INDEX((Records!$B162=Data!$Q:$Q)*($A154=Data!$A:$A),0,1),0))</f>
        <v>Xanthi Ducks 🦆</v>
      </c>
      <c r="E162" s="20" t="str" cm="1">
        <f t="array" ref="E162">INDEX(Data!$K:$K,MATCH(1,INDEX((Records!$B162=Data!$Q:$Q)*($A154=Data!$A:$A),0,1),0))</f>
        <v>vs The Guns</v>
      </c>
      <c r="G162" s="20" cm="1">
        <f t="array" ref="G162">INDEX(Data!$C:$C,MATCH(1,INDEX((Records!$B162=Data!$Q:$Q)*($A154=Data!$A:$A),0,1),0))</f>
        <v>12</v>
      </c>
      <c r="I162" s="20">
        <f>RANK(B162,Data!$Q:$Q)</f>
        <v>4</v>
      </c>
      <c r="K162" s="20" t="s">
        <v>26</v>
      </c>
      <c r="L162" s="20">
        <f t="shared" si="7"/>
        <v>1</v>
      </c>
    </row>
    <row r="163" spans="1:18" x14ac:dyDescent="0.25">
      <c r="A163" s="22" t="s">
        <v>12</v>
      </c>
      <c r="B163" s="20">
        <f>_xlfn.MAXIFS(Data!$R:$R,Data!$A:$A,Records!$A154)</f>
        <v>892</v>
      </c>
      <c r="C163" s="21">
        <f>COUNTIFS(Data!$R:$R,Records!$B163,Data!$A:$A,Records!$A154)</f>
        <v>1</v>
      </c>
      <c r="D163" s="20" t="str" cm="1">
        <f t="array" ref="D163">INDEX(Data!$E:$E,MATCH(1,INDEX((Records!$B163=Data!$R:$R)*($A154=Data!$A:$A),0,1),0))</f>
        <v>purple fuzzy apache pirates</v>
      </c>
      <c r="E163" s="20" t="str" cm="1">
        <f t="array" ref="E163">INDEX(Data!$K:$K,MATCH(1,INDEX((Records!$B163=Data!$R:$R)*($A154=Data!$A:$A),0,1),0))</f>
        <v>vs Guruuu 🐐🐐🐐</v>
      </c>
      <c r="G163" s="20" cm="1">
        <f t="array" ref="G163">INDEX(Data!$C:$C,MATCH(1,INDEX((Records!$B163=Data!$R:$R)*($A154=Data!$A:$A),0,1),0))</f>
        <v>17</v>
      </c>
      <c r="I163" s="20">
        <f>RANK(B163,Data!$R:$R)</f>
        <v>1</v>
      </c>
      <c r="K163" s="20" t="s">
        <v>23</v>
      </c>
      <c r="L163" s="20">
        <f t="shared" si="7"/>
        <v>1</v>
      </c>
    </row>
    <row r="164" spans="1:18" x14ac:dyDescent="0.25">
      <c r="A164" s="22" t="s">
        <v>5</v>
      </c>
      <c r="B164" s="20">
        <f>_xlfn.MAXIFS(Data!$S:$S,Data!$A:$A,Records!$A154)</f>
        <v>87</v>
      </c>
      <c r="C164" s="21">
        <f>COUNTIFS(Data!$S:$S,Records!$B164,Data!$A:$A,Records!$A154)</f>
        <v>1</v>
      </c>
      <c r="D164" s="20" t="str" cm="1">
        <f t="array" ref="D164">INDEX(Data!$E:$E,MATCH(1,INDEX((Records!$B164=Data!$S:$S)*($A154=Data!$A:$A),0,1),0))</f>
        <v>Fighting Thaddeus</v>
      </c>
      <c r="E164" s="20" t="str" cm="1">
        <f t="array" ref="E164">INDEX(Data!$K:$K,MATCH(1,INDEX((Records!$B164=Data!$S:$S)*($A154=Data!$A:$A),0,1),0))</f>
        <v>vs Kourayo Vallecano</v>
      </c>
      <c r="G164" s="20" cm="1">
        <f t="array" ref="G164">INDEX(Data!$C:$C,MATCH(1,INDEX((Records!$B164=Data!$S:$S)*($A154=Data!$A:$A),0,1),0))</f>
        <v>15</v>
      </c>
      <c r="I164" s="20">
        <f>RANK(B164,Data!$S:$S)</f>
        <v>1</v>
      </c>
      <c r="K164" s="20" t="s">
        <v>99</v>
      </c>
      <c r="L164" s="20">
        <f t="shared" si="7"/>
        <v>1</v>
      </c>
    </row>
    <row r="165" spans="1:18" x14ac:dyDescent="0.25">
      <c r="A165" s="22" t="s">
        <v>6</v>
      </c>
      <c r="B165" s="20">
        <f>_xlfn.MAXIFS(Data!$T:$T,Data!$A:$A,Records!$A154)</f>
        <v>237</v>
      </c>
      <c r="C165" s="21">
        <f>COUNTIFS(Data!$T:$T,Records!$B165,Data!$A:$A,Records!$A154)</f>
        <v>1</v>
      </c>
      <c r="D165" s="20" t="str" cm="1">
        <f t="array" ref="D165">INDEX(Data!$E:$E,MATCH(1,INDEX((Records!$B165=Data!$T:$T)*($A154=Data!$A:$A),0,1),0))</f>
        <v>purple fuzzy apache pirates</v>
      </c>
      <c r="E165" s="20" t="str" cm="1">
        <f t="array" ref="E165">INDEX(Data!$K:$K,MATCH(1,INDEX((Records!$B165=Data!$T:$T)*($A154=Data!$A:$A),0,1),0))</f>
        <v>vs Guruuu 🐐🐐🐐</v>
      </c>
      <c r="G165" s="20" cm="1">
        <f t="array" ref="G165">INDEX(Data!$C:$C,MATCH(1,INDEX((Records!$B165=Data!$T:$T)*($A154=Data!$A:$A),0,1),0))</f>
        <v>17</v>
      </c>
      <c r="I165" s="20">
        <f>RANK(B165,Data!$T:$T)</f>
        <v>4</v>
      </c>
      <c r="L165" s="20">
        <f t="shared" si="7"/>
        <v>0</v>
      </c>
    </row>
    <row r="166" spans="1:18" x14ac:dyDescent="0.25">
      <c r="A166" s="22" t="s">
        <v>7</v>
      </c>
      <c r="B166" s="20">
        <f>_xlfn.MAXIFS(Data!$U:$U,Data!$A:$A,Records!$A154)</f>
        <v>235</v>
      </c>
      <c r="C166" s="21">
        <f>COUNTIFS(Data!$U:$U,Records!$B166,Data!$A:$A,Records!$A154)</f>
        <v>1</v>
      </c>
      <c r="D166" s="20" t="str" cm="1">
        <f t="array" ref="D166">INDEX(Data!$E:$E,MATCH(1,INDEX((Records!$B166=Data!$U:$U)*($A154=Data!$A:$A),0,1),0))</f>
        <v>purple fuzzy apache pirates</v>
      </c>
      <c r="E166" s="20" t="str" cm="1">
        <f t="array" ref="E166">INDEX(Data!$K:$K,MATCH(1,INDEX((Records!$B166=Data!$U:$U)*($A154=Data!$A:$A),0,1),0))</f>
        <v>vs Guruuu 🐐🐐🐐</v>
      </c>
      <c r="G166" s="20" cm="1">
        <f t="array" ref="G166">INDEX(Data!$C:$C,MATCH(1,INDEX((Records!$B166=Data!$U:$U)*($A154=Data!$A:$A),0,1),0))</f>
        <v>17</v>
      </c>
      <c r="I166" s="20">
        <f>RANK(B166,Data!$U:$U)</f>
        <v>3</v>
      </c>
      <c r="R166"/>
    </row>
    <row r="167" spans="1:18" x14ac:dyDescent="0.25">
      <c r="A167" s="22" t="s">
        <v>9</v>
      </c>
      <c r="B167" s="20">
        <f>_xlfn.MAXIFS(Data!$V:$V,Data!$A:$A,Records!$A154)</f>
        <v>54</v>
      </c>
      <c r="C167" s="21">
        <f>COUNTIFS(Data!$V:$V,Records!$B167,Data!$A:$A,Records!$A154)</f>
        <v>1</v>
      </c>
      <c r="D167" s="20" t="str" cm="1">
        <f t="array" ref="D167">INDEX(Data!$E:$E,MATCH(1,INDEX((Records!$B167=Data!$V:$V)*($A154=Data!$A:$A),0,1),0))</f>
        <v>Kourayo Vallecano</v>
      </c>
      <c r="E167" s="20" t="str" cm="1">
        <f t="array" ref="E167">INDEX(Data!$K:$K,MATCH(1,INDEX((Records!$B167=Data!$V:$V)*($A154=Data!$A:$A),0,1),0))</f>
        <v>vs st.Helens Eruptions</v>
      </c>
      <c r="G167" s="20" cm="1">
        <f t="array" ref="G167">INDEX(Data!$C:$C,MATCH(1,INDEX((Records!$B167=Data!$V:$V)*($A154=Data!$A:$A),0,1),0))</f>
        <v>18</v>
      </c>
      <c r="I167" s="20">
        <f>RANK(B167,Data!$V:$V)</f>
        <v>10</v>
      </c>
      <c r="R167"/>
    </row>
    <row r="168" spans="1:18" x14ac:dyDescent="0.25">
      <c r="A168" s="22" t="s">
        <v>10</v>
      </c>
      <c r="B168" s="20">
        <f>_xlfn.MAXIFS(Data!$W:$W,Data!$A:$A,Records!$A154)</f>
        <v>47</v>
      </c>
      <c r="C168" s="21">
        <f>COUNTIFS(Data!$W:$W,Records!$B168,Data!$A:$A,Records!$A154)</f>
        <v>1</v>
      </c>
      <c r="D168" s="20" t="str" cm="1">
        <f t="array" ref="D168">INDEX(Data!$E:$E,MATCH(1,INDEX((Records!$B168=Data!$W:$W)*($A154=Data!$A:$A),0,1),0))</f>
        <v>Pachiana NinjaBees</v>
      </c>
      <c r="E168" s="20" t="str" cm="1">
        <f t="array" ref="E168">INDEX(Data!$K:$K,MATCH(1,INDEX((Records!$B168=Data!$W:$W)*($A154=Data!$A:$A),0,1),0))</f>
        <v>vs Kourayo Vallecano</v>
      </c>
      <c r="G168" s="20" cm="1">
        <f t="array" ref="G168">INDEX(Data!$C:$C,MATCH(1,INDEX((Records!$B168=Data!$W:$W)*($A154=Data!$A:$A),0,1),0))</f>
        <v>17</v>
      </c>
      <c r="I168" s="20">
        <f>RANK(B168,Data!$W:$W)</f>
        <v>1</v>
      </c>
      <c r="R168"/>
    </row>
    <row r="169" spans="1:18" x14ac:dyDescent="0.25">
      <c r="A169" s="22" t="s">
        <v>11</v>
      </c>
      <c r="B169" s="20">
        <f>_xlfn.MINIFS(Data!$X:$X,Data!$A:$A,Records!$A154)</f>
        <v>11</v>
      </c>
      <c r="C169" s="21">
        <f>COUNTIFS(Data!$X:$X,Records!$B169,Data!$A:$A,Records!$A154)</f>
        <v>1</v>
      </c>
      <c r="D169" s="20" t="str" cm="1">
        <f t="array" ref="D169">INDEX(Data!$E:$E,MATCH(1,INDEX((Records!$B169=Data!$X:$X)*($A154=Data!$A:$A),0,1),0))</f>
        <v>Tsarlatans</v>
      </c>
      <c r="E169" s="20" t="str" cm="1">
        <f t="array" ref="E169">INDEX(Data!$K:$K,MATCH(1,INDEX((Records!$B169=Data!$X:$X)*($A154=Data!$A:$A),0,1),0))</f>
        <v>vs Karafli Saita</v>
      </c>
      <c r="G169" s="20" cm="1">
        <f t="array" ref="G169">INDEX(Data!$C:$C,MATCH(1,INDEX((Records!$B169=Data!$X:$X)*($A154=Data!$A:$A),0,1),0))</f>
        <v>12</v>
      </c>
      <c r="I169" s="20">
        <f>RANK(B169,Data!$X:$X,1)</f>
        <v>2</v>
      </c>
      <c r="R169"/>
    </row>
    <row r="170" spans="1:18" x14ac:dyDescent="0.25">
      <c r="A170" s="22" t="s">
        <v>8</v>
      </c>
      <c r="B170" s="23">
        <f>_xlfn.MAXIFS(Data!$Y:$Y,Data!$A:$A,Records!$A154)</f>
        <v>3.95</v>
      </c>
      <c r="C170" s="21">
        <f>COUNTIFS(Data!$Y:$Y,Records!$B170,Data!$A:$A,Records!$A154)</f>
        <v>1</v>
      </c>
      <c r="D170" s="20" t="str" cm="1">
        <f t="array" ref="D170">INDEX(Data!$E:$E,MATCH(1,INDEX((Records!$B170=Data!$Y:$Y)*($A154=Data!$A:$A),0,1),0))</f>
        <v>Fighting Thaddeus</v>
      </c>
      <c r="E170" s="20" t="str" cm="1">
        <f t="array" ref="E170">INDEX(Data!$K:$K,MATCH(1,INDEX((Records!$B170=Data!$Y:$Y)*($A154=Data!$A:$A),0,1),0))</f>
        <v>vs Paralouistas</v>
      </c>
      <c r="G170" s="20" cm="1">
        <f t="array" ref="G170">INDEX(Data!$C:$C,MATCH(1,INDEX((Records!$B170=Data!$Y:$Y)*($A154=Data!$A:$A),0,1),0))</f>
        <v>16</v>
      </c>
      <c r="I170" s="20">
        <f>RANK(B170,Data!$Y:$Y)</f>
        <v>2</v>
      </c>
      <c r="R170"/>
    </row>
    <row r="171" spans="1:18" x14ac:dyDescent="0.25">
      <c r="R171"/>
    </row>
    <row r="172" spans="1:18" ht="18.75" x14ac:dyDescent="0.3">
      <c r="A172" s="30">
        <v>2025</v>
      </c>
      <c r="B172" s="30"/>
      <c r="C172" s="30"/>
      <c r="D172" s="30"/>
      <c r="E172" s="30"/>
      <c r="F172" s="30"/>
      <c r="G172" s="30"/>
      <c r="H172" s="30"/>
      <c r="R172"/>
    </row>
    <row r="173" spans="1:18" x14ac:dyDescent="0.25">
      <c r="R173"/>
    </row>
    <row r="174" spans="1:18" ht="45" x14ac:dyDescent="0.25">
      <c r="A174" s="24" t="s">
        <v>151</v>
      </c>
      <c r="B174" s="24" t="s">
        <v>149</v>
      </c>
      <c r="C174" s="25"/>
      <c r="D174" s="24" t="s">
        <v>29</v>
      </c>
      <c r="E174" s="24" t="s">
        <v>150</v>
      </c>
      <c r="F174" s="25"/>
      <c r="G174" s="24" t="s">
        <v>38</v>
      </c>
      <c r="H174" s="24"/>
      <c r="I174" s="26" t="s">
        <v>179</v>
      </c>
      <c r="J174" s="25"/>
      <c r="K174" s="24" t="s">
        <v>29</v>
      </c>
      <c r="L174" s="24" t="s">
        <v>153</v>
      </c>
      <c r="R174"/>
    </row>
    <row r="175" spans="1:18" x14ac:dyDescent="0.25">
      <c r="A175" s="22" t="s">
        <v>123</v>
      </c>
      <c r="B175" s="20">
        <f>_xlfn.MAXIFS(Data!$H:$H,Data!$A:$A,Records!$A172)</f>
        <v>13</v>
      </c>
      <c r="C175" s="21">
        <f>COUNTIFS(Data!$H:$H,Records!$B175,Data!$A:$A,Records!$A172)</f>
        <v>1</v>
      </c>
      <c r="D175" s="20" t="str" cm="1">
        <f t="array" ref="D175">INDEX(Data!$E:$E,MATCH(1,INDEX((Records!$B175=Data!$H:$H)*($A172=Data!$A:$A),0,1),0))</f>
        <v>Karafli Saita</v>
      </c>
      <c r="E175" s="20" t="str" cm="1">
        <f t="array" ref="E175">INDEX(Data!$K:$K,MATCH(1,INDEX((Records!$B175=Data!$H:$H)*($A172=Data!$A:$A),0,1),0))</f>
        <v>vs The Guns</v>
      </c>
      <c r="G175" s="20" cm="1">
        <f t="array" ref="G175">INDEX(Data!$C:$C,MATCH(1,INDEX((Records!$B175=Data!$H:$H)*($A172=Data!$A:$A),0,1),0))</f>
        <v>3</v>
      </c>
      <c r="I175" s="20">
        <f>RANK(B175,Data!$H:$H)</f>
        <v>1</v>
      </c>
      <c r="K175" s="20" t="s">
        <v>186</v>
      </c>
      <c r="L175" s="20">
        <f>COUNTIF($D$175:$D$190,K175)</f>
        <v>1</v>
      </c>
      <c r="R175"/>
    </row>
    <row r="176" spans="1:18" x14ac:dyDescent="0.25">
      <c r="A176" s="22" t="s">
        <v>0</v>
      </c>
      <c r="B176" s="20">
        <f>_xlfn.MAXIFS(Data!$M:$M,Data!$A:$A,Records!$A172)</f>
        <v>309</v>
      </c>
      <c r="C176" s="21">
        <f>COUNTIFS(Data!$M:$M,Records!$B176,Data!$A:$A,Records!$A172)</f>
        <v>1</v>
      </c>
      <c r="D176" s="20" t="str" cm="1">
        <f t="array" ref="D176">INDEX(Data!$E:$E,MATCH(1,INDEX((Records!$B176=Data!$M:$M)*($A172=Data!$A:$A),0,1),0))</f>
        <v>Samarina Dudenbros</v>
      </c>
      <c r="E176" s="20" t="str" cm="1">
        <f t="array" ref="E176">INDEX(Data!$K:$K,MATCH(1,INDEX((Records!$B176=Data!$M:$M)*($A172=Data!$A:$A),0,1),0))</f>
        <v>vs The Bad Boys</v>
      </c>
      <c r="G176" s="20" cm="1">
        <f t="array" ref="G176">INDEX(Data!$C:$C,MATCH(1,INDEX((Records!$B176=Data!$M:$M)*($A172=Data!$A:$A),0,1),0))</f>
        <v>17</v>
      </c>
      <c r="I176" s="20">
        <f>RANK(B176,Data!$M:$M)</f>
        <v>4</v>
      </c>
      <c r="K176" s="20" t="s">
        <v>181</v>
      </c>
      <c r="L176" s="20">
        <f t="shared" ref="L176:L183" si="8">COUNTIF($D$175:$D$190,K176)</f>
        <v>4</v>
      </c>
      <c r="R176"/>
    </row>
    <row r="177" spans="1:18" x14ac:dyDescent="0.25">
      <c r="A177" s="22" t="s">
        <v>1</v>
      </c>
      <c r="B177" s="20">
        <f>_xlfn.MAXIFS(Data!$N:$N,Data!$A:$A,Records!$A172)</f>
        <v>0.60799999999999998</v>
      </c>
      <c r="C177" s="21">
        <f>COUNTIFS(Data!$N:$N,Records!$B177,Data!$A:$A,Records!$A172)</f>
        <v>1</v>
      </c>
      <c r="D177" s="20" t="str" cm="1">
        <f t="array" ref="D177">INDEX(Data!$E:$E,MATCH(1,INDEX((Records!$B177=Data!$N:$N)*($A172=Data!$A:$A),0,1),0))</f>
        <v>Tsarlatans</v>
      </c>
      <c r="E177" s="20" t="str" cm="1">
        <f t="array" ref="E177">INDEX(Data!$K:$K,MATCH(1,INDEX((Records!$B177=Data!$N:$N)*($A172=Data!$A:$A),0,1),0))</f>
        <v>vs Fighting Thaddeus</v>
      </c>
      <c r="G177" s="20" cm="1">
        <f t="array" ref="G177">INDEX(Data!$C:$C,MATCH(1,INDEX((Records!$B177=Data!$N:$N)*($A172=Data!$A:$A),0,1),0))</f>
        <v>9</v>
      </c>
      <c r="I177" s="20">
        <f>RANK(B177,Data!$N:$N)</f>
        <v>1</v>
      </c>
      <c r="K177" s="20" t="s">
        <v>99</v>
      </c>
      <c r="L177" s="20">
        <f t="shared" si="8"/>
        <v>2</v>
      </c>
    </row>
    <row r="178" spans="1:18" x14ac:dyDescent="0.25">
      <c r="A178" s="22" t="s">
        <v>3</v>
      </c>
      <c r="B178" s="20">
        <f>_xlfn.MAXIFS(Data!$O:$O,Data!$A:$A,Records!$A172)</f>
        <v>122</v>
      </c>
      <c r="C178" s="21">
        <f>COUNTIFS(Data!$O:$O,Records!$B178,Data!$A:$A,Records!$A172)</f>
        <v>1</v>
      </c>
      <c r="D178" s="20" t="str" cm="1">
        <f t="array" ref="D178">INDEX(Data!$E:$E,MATCH(1,INDEX((Records!$B178=Data!$O:$O)*($A172=Data!$A:$A),0,1),0))</f>
        <v>Samarina Dudenbros</v>
      </c>
      <c r="E178" s="20" t="str" cm="1">
        <f t="array" ref="E178">INDEX(Data!$K:$K,MATCH(1,INDEX((Records!$B178=Data!$O:$O)*($A172=Data!$A:$A),0,1),0))</f>
        <v>vs The Bad Boys</v>
      </c>
      <c r="G178" s="20" cm="1">
        <f t="array" ref="G178">INDEX(Data!$C:$C,MATCH(1,INDEX((Records!$B178=Data!$O:$O)*($A172=Data!$A:$A),0,1),0))</f>
        <v>17</v>
      </c>
      <c r="I178" s="20">
        <f>RANK(B178,Data!$O:$O)</f>
        <v>1</v>
      </c>
      <c r="K178" s="20" t="s">
        <v>159</v>
      </c>
      <c r="L178" s="20">
        <f t="shared" si="8"/>
        <v>2</v>
      </c>
    </row>
    <row r="179" spans="1:18" x14ac:dyDescent="0.25">
      <c r="A179" s="22" t="s">
        <v>4</v>
      </c>
      <c r="B179" s="20">
        <f>_xlfn.MAXIFS(Data!$P:$P,Data!$A:$A,Records!$A172)</f>
        <v>0.47499999999999998</v>
      </c>
      <c r="C179" s="21">
        <f>COUNTIFS(Data!$P:$P,Records!$B179,Data!$A:$A,Records!$A172)</f>
        <v>1</v>
      </c>
      <c r="D179" s="20" t="str" cm="1">
        <f t="array" ref="D179">INDEX(Data!$E:$E,MATCH(1,INDEX((Records!$B179=Data!$P:$P)*($A172=Data!$A:$A),0,1),0))</f>
        <v>purple fuzzy apache pirates</v>
      </c>
      <c r="E179" s="20" t="str" cm="1">
        <f t="array" ref="E179">INDEX(Data!$K:$K,MATCH(1,INDEX((Records!$B179=Data!$P:$P)*($A172=Data!$A:$A),0,1),0))</f>
        <v>vs Karafli Saita</v>
      </c>
      <c r="G179" s="20" cm="1">
        <f t="array" ref="G179">INDEX(Data!$C:$C,MATCH(1,INDEX((Records!$B179=Data!$P:$P)*($A172=Data!$A:$A),0,1),0))</f>
        <v>2</v>
      </c>
      <c r="I179" s="20">
        <f>RANK(B179,Data!$P:$P)</f>
        <v>19</v>
      </c>
      <c r="K179" s="20" t="s">
        <v>94</v>
      </c>
      <c r="L179" s="20">
        <f t="shared" si="8"/>
        <v>1</v>
      </c>
    </row>
    <row r="180" spans="1:18" x14ac:dyDescent="0.25">
      <c r="A180" s="22" t="s">
        <v>2</v>
      </c>
      <c r="B180" s="20">
        <f>_xlfn.MAXIFS(Data!$Q:$Q,Data!$A:$A,Records!$A172)</f>
        <v>0.91400000000000003</v>
      </c>
      <c r="C180" s="21">
        <f>COUNTIFS(Data!$Q:$Q,Records!$B180,Data!$A:$A,Records!$A172)</f>
        <v>1</v>
      </c>
      <c r="D180" s="20" t="str" cm="1">
        <f t="array" ref="D180">INDEX(Data!$E:$E,MATCH(1,INDEX((Records!$B180=Data!$Q:$Q)*($A172=Data!$A:$A),0,1),0))</f>
        <v>Fighting Thaddeus</v>
      </c>
      <c r="E180" s="20" t="str" cm="1">
        <f t="array" ref="E180">INDEX(Data!$K:$K,MATCH(1,INDEX((Records!$B180=Data!$Q:$Q)*($A172=Data!$A:$A),0,1),0))</f>
        <v>vs Heraklion Snakes</v>
      </c>
      <c r="G180" s="20" cm="1">
        <f t="array" ref="G180">INDEX(Data!$C:$C,MATCH(1,INDEX((Records!$B180=Data!$Q:$Q)*($A172=Data!$A:$A),0,1),0))</f>
        <v>14</v>
      </c>
      <c r="I180" s="20">
        <f>RANK(B180,Data!$Q:$Q)</f>
        <v>20</v>
      </c>
      <c r="K180" s="20" t="s">
        <v>98</v>
      </c>
      <c r="L180" s="20">
        <f t="shared" si="8"/>
        <v>1</v>
      </c>
      <c r="R180"/>
    </row>
    <row r="181" spans="1:18" x14ac:dyDescent="0.25">
      <c r="A181" s="22" t="s">
        <v>12</v>
      </c>
      <c r="B181" s="20">
        <f>_xlfn.MAXIFS(Data!$R:$R,Data!$A:$A,Records!$A172)</f>
        <v>887</v>
      </c>
      <c r="C181" s="21">
        <f>COUNTIFS(Data!$R:$R,Records!$B181,Data!$A:$A,Records!$A172)</f>
        <v>1</v>
      </c>
      <c r="D181" s="20" t="str" cm="1">
        <f t="array" ref="D181">INDEX(Data!$E:$E,MATCH(1,INDEX((Records!$B181=Data!$R:$R)*($A172=Data!$A:$A),0,1),0))</f>
        <v>Samarina Dudenbros</v>
      </c>
      <c r="E181" s="20" t="str" cm="1">
        <f t="array" ref="E181">INDEX(Data!$K:$K,MATCH(1,INDEX((Records!$B181=Data!$R:$R)*($A172=Data!$A:$A),0,1),0))</f>
        <v>vs The Bad Boys</v>
      </c>
      <c r="G181" s="20" cm="1">
        <f t="array" ref="G181">INDEX(Data!$C:$C,MATCH(1,INDEX((Records!$B181=Data!$R:$R)*($A172=Data!$A:$A),0,1),0))</f>
        <v>17</v>
      </c>
      <c r="I181" s="20">
        <f>RANK(B181,Data!$R:$R)</f>
        <v>2</v>
      </c>
      <c r="K181" s="20" t="s">
        <v>33</v>
      </c>
      <c r="L181" s="20">
        <f t="shared" si="8"/>
        <v>2</v>
      </c>
      <c r="R181"/>
    </row>
    <row r="182" spans="1:18" x14ac:dyDescent="0.25">
      <c r="A182" s="22" t="s">
        <v>5</v>
      </c>
      <c r="B182" s="20">
        <f>_xlfn.MAXIFS(Data!$S:$S,Data!$A:$A,Records!$A172)</f>
        <v>81</v>
      </c>
      <c r="C182" s="21">
        <f>COUNTIFS(Data!$S:$S,Records!$B182,Data!$A:$A,Records!$A172)</f>
        <v>1</v>
      </c>
      <c r="D182" s="20" t="str" cm="1">
        <f t="array" ref="D182">INDEX(Data!$E:$E,MATCH(1,INDEX((Records!$B182=Data!$S:$S)*($A172=Data!$A:$A),0,1),0))</f>
        <v>Xanthi Ducks 🦆</v>
      </c>
      <c r="E182" s="20" t="str" cm="1">
        <f t="array" ref="E182">INDEX(Data!$K:$K,MATCH(1,INDEX((Records!$B182=Data!$S:$S)*($A172=Data!$A:$A),0,1),0))</f>
        <v>vs The Guns</v>
      </c>
      <c r="G182" s="20" cm="1">
        <f t="array" ref="G182">INDEX(Data!$C:$C,MATCH(1,INDEX((Records!$B182=Data!$S:$S)*($A172=Data!$A:$A),0,1),0))</f>
        <v>17</v>
      </c>
      <c r="I182" s="20">
        <f>RANK(B182,Data!$S:$S)</f>
        <v>8</v>
      </c>
      <c r="K182" s="20" t="s">
        <v>23</v>
      </c>
      <c r="L182" s="20">
        <f t="shared" si="8"/>
        <v>1</v>
      </c>
      <c r="R182"/>
    </row>
    <row r="183" spans="1:18" x14ac:dyDescent="0.25">
      <c r="A183" s="22" t="s">
        <v>6</v>
      </c>
      <c r="B183" s="20">
        <f>_xlfn.MAXIFS(Data!$T:$T,Data!$A:$A,Records!$A172)</f>
        <v>203</v>
      </c>
      <c r="C183" s="21">
        <f>COUNTIFS(Data!$T:$T,Records!$B183,Data!$A:$A,Records!$A172)</f>
        <v>1</v>
      </c>
      <c r="D183" s="20" t="str" cm="1">
        <f t="array" ref="D183">INDEX(Data!$E:$E,MATCH(1,INDEX((Records!$B183=Data!$T:$T)*($A172=Data!$A:$A),0,1),0))</f>
        <v>purple fuzzy apache pirates</v>
      </c>
      <c r="E183" s="20" t="str" cm="1">
        <f t="array" ref="E183">INDEX(Data!$K:$K,MATCH(1,INDEX((Records!$B183=Data!$T:$T)*($A172=Data!$A:$A),0,1),0))</f>
        <v>vs Xanthi Ducks 🦆</v>
      </c>
      <c r="G183" s="20" t="str" cm="1">
        <f t="array" ref="G183">INDEX(Data!$C:$C,MATCH(1,INDEX((Records!$B183=Data!$T:$T)*($A172=Data!$A:$A),0,1),0))</f>
        <v>Quarterfinals</v>
      </c>
      <c r="I183" s="20">
        <f>RANK(B183,Data!$T:$T)</f>
        <v>49</v>
      </c>
      <c r="L183" s="20">
        <f t="shared" si="8"/>
        <v>0</v>
      </c>
      <c r="R183"/>
    </row>
    <row r="184" spans="1:18" x14ac:dyDescent="0.25">
      <c r="A184" s="22" t="s">
        <v>7</v>
      </c>
      <c r="B184" s="20">
        <f>_xlfn.MAXIFS(Data!$U:$U,Data!$A:$A,Records!$A172)</f>
        <v>214</v>
      </c>
      <c r="C184" s="21">
        <f>COUNTIFS(Data!$U:$U,Records!$B184,Data!$A:$A,Records!$A172)</f>
        <v>1</v>
      </c>
      <c r="D184" s="20" t="str" cm="1">
        <f t="array" ref="D184">INDEX(Data!$E:$E,MATCH(1,INDEX((Records!$B184=Data!$U:$U)*($A172=Data!$A:$A),0,1),0))</f>
        <v>The Guns</v>
      </c>
      <c r="E184" s="20" t="str" cm="1">
        <f t="array" ref="E184">INDEX(Data!$K:$K,MATCH(1,INDEX((Records!$B184=Data!$U:$U)*($A172=Data!$A:$A),0,1),0))</f>
        <v>vs Xanthi Ducks 🦆</v>
      </c>
      <c r="G184" s="20" cm="1">
        <f t="array" ref="G184">INDEX(Data!$C:$C,MATCH(1,INDEX((Records!$B184=Data!$U:$U)*($A172=Data!$A:$A),0,1),0))</f>
        <v>17</v>
      </c>
      <c r="I184" s="20">
        <f>RANK(B184,Data!$U:$U)</f>
        <v>4</v>
      </c>
      <c r="R184"/>
    </row>
    <row r="185" spans="1:18" x14ac:dyDescent="0.25">
      <c r="A185" s="22" t="s">
        <v>9</v>
      </c>
      <c r="B185" s="20">
        <f>_xlfn.MAXIFS(Data!$V:$V,Data!$A:$A,Records!$A172)</f>
        <v>63</v>
      </c>
      <c r="C185" s="21">
        <f>COUNTIFS(Data!$V:$V,Records!$B185,Data!$A:$A,Records!$A172)</f>
        <v>1</v>
      </c>
      <c r="D185" s="20" t="str" cm="1">
        <f t="array" ref="D185">INDEX(Data!$E:$E,MATCH(1,INDEX((Records!$B185=Data!$V:$V)*($A172=Data!$A:$A),0,1),0))</f>
        <v>The Guns</v>
      </c>
      <c r="E185" s="20" t="str" cm="1">
        <f t="array" ref="E185">INDEX(Data!$K:$K,MATCH(1,INDEX((Records!$B185=Data!$V:$V)*($A172=Data!$A:$A),0,1),0))</f>
        <v>vs Xanthi Ducks 🦆</v>
      </c>
      <c r="G185" s="20" cm="1">
        <f t="array" ref="G185">INDEX(Data!$C:$C,MATCH(1,INDEX((Records!$B185=Data!$V:$V)*($A172=Data!$A:$A),0,1),0))</f>
        <v>17</v>
      </c>
      <c r="I185" s="20">
        <f>RANK(B185,Data!$V:$V)</f>
        <v>2</v>
      </c>
      <c r="R185"/>
    </row>
    <row r="186" spans="1:18" x14ac:dyDescent="0.25">
      <c r="A186" s="22" t="s">
        <v>10</v>
      </c>
      <c r="B186" s="20">
        <f>_xlfn.MAXIFS(Data!$W:$W,Data!$A:$A,Records!$A172)</f>
        <v>42</v>
      </c>
      <c r="C186" s="21">
        <f>COUNTIFS(Data!$W:$W,Records!$B186,Data!$A:$A,Records!$A172)</f>
        <v>1</v>
      </c>
      <c r="D186" s="20" t="str" cm="1">
        <f t="array" ref="D186">INDEX(Data!$E:$E,MATCH(1,INDEX((Records!$B186=Data!$W:$W)*($A172=Data!$A:$A),0,1),0))</f>
        <v>Pachiana NinjaBees</v>
      </c>
      <c r="E186" s="20" t="str" cm="1">
        <f t="array" ref="E186">INDEX(Data!$K:$K,MATCH(1,INDEX((Records!$B186=Data!$W:$W)*($A172=Data!$A:$A),0,1),0))</f>
        <v>vs The Bridgeburners</v>
      </c>
      <c r="G186" s="20" cm="1">
        <f t="array" ref="G186">INDEX(Data!$C:$C,MATCH(1,INDEX((Records!$B186=Data!$W:$W)*($A172=Data!$A:$A),0,1),0))</f>
        <v>3</v>
      </c>
      <c r="I186" s="20">
        <f>RANK(B186,Data!$W:$W)</f>
        <v>5</v>
      </c>
      <c r="R186"/>
    </row>
    <row r="187" spans="1:18" x14ac:dyDescent="0.25">
      <c r="A187" s="22" t="s">
        <v>11</v>
      </c>
      <c r="B187" s="20">
        <f>_xlfn.MINIFS(Data!$X:$X,Data!$A:$A,Records!$A172)</f>
        <v>15</v>
      </c>
      <c r="C187" s="21">
        <f>COUNTIFS(Data!$X:$X,Records!$B187,Data!$A:$A,Records!$A172)</f>
        <v>1</v>
      </c>
      <c r="D187" s="20" t="str" cm="1">
        <f t="array" ref="D187">INDEX(Data!$E:$E,MATCH(1,INDEX((Records!$B187=Data!$X:$X)*($A172=Data!$A:$A),0,1),0))</f>
        <v>Tsarlatans</v>
      </c>
      <c r="E187" s="20" t="str" cm="1">
        <f t="array" ref="E187">INDEX(Data!$K:$K,MATCH(1,INDEX((Records!$B187=Data!$X:$X)*($A172=Data!$A:$A),0,1),0))</f>
        <v>vs Fighting Thaddeus</v>
      </c>
      <c r="G187" s="20" cm="1">
        <f t="array" ref="G187">INDEX(Data!$C:$C,MATCH(1,INDEX((Records!$B187=Data!$X:$X)*($A172=Data!$A:$A),0,1),0))</f>
        <v>9</v>
      </c>
      <c r="I187" s="20">
        <f>RANK(B187,Data!$X:$X,1)</f>
        <v>7</v>
      </c>
      <c r="R187"/>
    </row>
    <row r="188" spans="1:18" x14ac:dyDescent="0.25">
      <c r="A188" s="22" t="s">
        <v>8</v>
      </c>
      <c r="B188" s="23">
        <f>_xlfn.MAXIFS(Data!$Y:$Y,Data!$A:$A,Records!$A172)</f>
        <v>3.38</v>
      </c>
      <c r="C188" s="21">
        <f>COUNTIFS(Data!$Y:$Y,Records!$B188,Data!$A:$A,Records!$A172)</f>
        <v>1</v>
      </c>
      <c r="D188" s="20" t="str" cm="1">
        <f t="array" ref="D188">INDEX(Data!$E:$E,MATCH(1,INDEX((Records!$B188=Data!$Y:$Y)*($A172=Data!$A:$A),0,1),0))</f>
        <v>Samarina Dudenbros</v>
      </c>
      <c r="E188" s="20" t="str" cm="1">
        <f t="array" ref="E188">INDEX(Data!$K:$K,MATCH(1,INDEX((Records!$B188=Data!$Y:$Y)*($A172=Data!$A:$A),0,1),0))</f>
        <v>vs Karafli Saita</v>
      </c>
      <c r="G188" s="20" t="str" cm="1">
        <f t="array" ref="G188">INDEX(Data!$C:$C,MATCH(1,INDEX((Records!$B188=Data!$Y:$Y)*($A172=Data!$A:$A),0,1),0))</f>
        <v>Semifinals</v>
      </c>
      <c r="I188" s="20">
        <f>RANK(B188,Data!$Y:$Y)</f>
        <v>11</v>
      </c>
      <c r="R188"/>
    </row>
    <row r="189" spans="1:18" x14ac:dyDescent="0.25">
      <c r="R189"/>
    </row>
    <row r="190" spans="1:18" ht="18.75" x14ac:dyDescent="0.3">
      <c r="A190" s="30">
        <v>2026</v>
      </c>
      <c r="B190" s="30"/>
      <c r="C190" s="30"/>
      <c r="D190" s="30"/>
      <c r="E190" s="30"/>
      <c r="F190" s="30"/>
      <c r="G190" s="30"/>
      <c r="H190" s="30"/>
      <c r="R190"/>
    </row>
    <row r="191" spans="1:18" x14ac:dyDescent="0.25">
      <c r="R191"/>
    </row>
    <row r="192" spans="1:18" ht="45" x14ac:dyDescent="0.25">
      <c r="A192" s="24" t="s">
        <v>151</v>
      </c>
      <c r="B192" s="24" t="s">
        <v>149</v>
      </c>
      <c r="C192" s="25"/>
      <c r="D192" s="24" t="s">
        <v>29</v>
      </c>
      <c r="E192" s="24" t="s">
        <v>150</v>
      </c>
      <c r="F192" s="25"/>
      <c r="G192" s="24" t="s">
        <v>38</v>
      </c>
      <c r="H192" s="24"/>
      <c r="I192" s="26" t="s">
        <v>179</v>
      </c>
      <c r="J192" s="25"/>
      <c r="K192" s="24" t="s">
        <v>29</v>
      </c>
      <c r="L192" s="24" t="s">
        <v>153</v>
      </c>
      <c r="R192"/>
    </row>
    <row r="193" spans="1:18" x14ac:dyDescent="0.25">
      <c r="A193" s="22" t="s">
        <v>123</v>
      </c>
      <c r="B193" s="20">
        <f>_xlfn.MAXIFS(Data!$H:$H,Data!$A:$A,Records!$A190)</f>
        <v>12</v>
      </c>
      <c r="C193" s="21">
        <f>COUNTIFS(Data!$H:$H,Records!$B193,Data!$A:$A,Records!$A190)</f>
        <v>4</v>
      </c>
      <c r="D193" s="20" t="str" cm="1">
        <f t="array" ref="D193">INDEX(Data!$E:$E,MATCH(1,INDEX((Records!$B193=Data!$H:$H)*($A190=Data!$A:$A),0,1),0))</f>
        <v>Pachiana NinjaBees</v>
      </c>
      <c r="E193" s="20" t="str" cm="1">
        <f t="array" ref="E193">INDEX(Data!$K:$K,MATCH(1,INDEX((Records!$B193=Data!$H:$H)*($A190=Data!$A:$A),0,1),0))</f>
        <v>vs Salonika Devils</v>
      </c>
      <c r="G193" s="20" cm="1">
        <f t="array" ref="G193">INDEX(Data!$C:$C,MATCH(1,INDEX((Records!$B193=Data!$H:$H)*($A190=Data!$A:$A),0,1),0))</f>
        <v>10</v>
      </c>
      <c r="I193" s="20">
        <f>RANK(B193,Data!$H:$H)</f>
        <v>7</v>
      </c>
      <c r="K193" s="20" t="s">
        <v>186</v>
      </c>
      <c r="L193" s="20">
        <f>COUNTIF($D$193:$D$209,K193)</f>
        <v>3</v>
      </c>
      <c r="R193"/>
    </row>
    <row r="194" spans="1:18" x14ac:dyDescent="0.25">
      <c r="A194" s="22"/>
      <c r="B194" s="20">
        <f>+B193</f>
        <v>12</v>
      </c>
      <c r="C194" s="21"/>
      <c r="D194" s="20" t="s">
        <v>23</v>
      </c>
      <c r="E194" s="20" t="s">
        <v>195</v>
      </c>
      <c r="G194" s="20">
        <v>13</v>
      </c>
      <c r="I194" s="20">
        <f>RANK(B194,Data!$H:$H)</f>
        <v>7</v>
      </c>
      <c r="K194" s="20" t="s">
        <v>181</v>
      </c>
      <c r="L194" s="20">
        <f t="shared" ref="L194:L201" si="9">COUNTIF($D$193:$D$209,K194)</f>
        <v>3</v>
      </c>
      <c r="R194"/>
    </row>
    <row r="195" spans="1:18" x14ac:dyDescent="0.25">
      <c r="A195" s="22"/>
      <c r="B195" s="20">
        <f>+B194</f>
        <v>12</v>
      </c>
      <c r="C195" s="21"/>
      <c r="D195" s="20" t="s">
        <v>94</v>
      </c>
      <c r="E195" s="20" t="s">
        <v>72</v>
      </c>
      <c r="G195" s="20">
        <v>14</v>
      </c>
      <c r="I195" s="20">
        <f>RANK(B195,Data!$H:$H)</f>
        <v>7</v>
      </c>
      <c r="K195" s="20" t="s">
        <v>99</v>
      </c>
      <c r="L195" s="20">
        <f t="shared" si="9"/>
        <v>2</v>
      </c>
      <c r="R195"/>
    </row>
    <row r="196" spans="1:18" x14ac:dyDescent="0.25">
      <c r="A196" s="22"/>
      <c r="B196" s="20">
        <f>+B195</f>
        <v>12</v>
      </c>
      <c r="C196" s="21"/>
      <c r="D196" s="20" t="s">
        <v>94</v>
      </c>
      <c r="E196" s="20" t="s">
        <v>64</v>
      </c>
      <c r="G196" s="20">
        <v>16</v>
      </c>
      <c r="I196" s="20">
        <f>RANK(B196,Data!$H:$H)</f>
        <v>7</v>
      </c>
      <c r="K196" s="20" t="s">
        <v>94</v>
      </c>
      <c r="L196" s="20">
        <f>COUNTIF($D$193:$D$209,K196)-1</f>
        <v>2</v>
      </c>
      <c r="R196"/>
    </row>
    <row r="197" spans="1:18" x14ac:dyDescent="0.25">
      <c r="A197" s="22" t="s">
        <v>0</v>
      </c>
      <c r="B197" s="20">
        <f>_xlfn.MAXIFS(Data!$M:$M,Data!$A:$A,Records!$A190)</f>
        <v>305</v>
      </c>
      <c r="C197" s="21">
        <v>1</v>
      </c>
      <c r="D197" s="20" t="str" cm="1">
        <f t="array" ref="D197">INDEX(Data!$E:$E,MATCH(1,INDEX((Records!$B197=Data!$M:$M)*($A190=Data!$A:$A),0,1),0))</f>
        <v>Karafli Saita</v>
      </c>
      <c r="E197" s="20" t="str" cm="1">
        <f t="array" ref="E197">INDEX(Data!$K:$K,MATCH(1,INDEX((Records!$B197=Data!$M:$M)*($A190=Data!$A:$A),0,1),0))</f>
        <v>vs Fighting Thaddeus</v>
      </c>
      <c r="G197" s="20" cm="1">
        <f t="array" ref="G197">INDEX(Data!$C:$C,MATCH(1,INDEX((Records!$B197=Data!$M:$M)*($A190=Data!$A:$A),0,1),0))</f>
        <v>16</v>
      </c>
      <c r="I197" s="20">
        <f>RANK(B197,Data!$M:$M)</f>
        <v>5</v>
      </c>
      <c r="K197" s="20" t="s">
        <v>93</v>
      </c>
      <c r="L197" s="20">
        <f t="shared" si="9"/>
        <v>1</v>
      </c>
      <c r="R197"/>
    </row>
    <row r="198" spans="1:18" x14ac:dyDescent="0.25">
      <c r="A198" s="22" t="s">
        <v>1</v>
      </c>
      <c r="B198" s="20">
        <f>_xlfn.MAXIFS(Data!$N:$N,Data!$A:$A,Records!$A190)</f>
        <v>0.57199999999999995</v>
      </c>
      <c r="C198" s="21">
        <f>COUNTIFS(Data!$N:$N,Records!$B198,Data!$A:$A,Records!$A190)</f>
        <v>1</v>
      </c>
      <c r="D198" s="20" t="str" cm="1">
        <f t="array" ref="D198">INDEX(Data!$E:$E,MATCH(1,INDEX((Records!$B198=Data!$N:$N)*($A190=Data!$A:$A),0,1),0))</f>
        <v>purple fuzzy apache pirates</v>
      </c>
      <c r="E198" s="20" t="str" cm="1">
        <f t="array" ref="E198">INDEX(Data!$K:$K,MATCH(1,INDEX((Records!$B198=Data!$N:$N)*($A190=Data!$A:$A),0,1),0))</f>
        <v>vs Hércules Pals</v>
      </c>
      <c r="G198" s="20" cm="1">
        <f t="array" ref="G198">INDEX(Data!$C:$C,MATCH(1,INDEX((Records!$B198=Data!$N:$N)*($A190=Data!$A:$A),0,1),0))</f>
        <v>10</v>
      </c>
      <c r="I198" s="20">
        <f>RANK(B198,Data!$N:$N)</f>
        <v>7</v>
      </c>
      <c r="K198" s="20" t="s">
        <v>98</v>
      </c>
      <c r="L198" s="20">
        <f t="shared" si="9"/>
        <v>1</v>
      </c>
    </row>
    <row r="199" spans="1:18" x14ac:dyDescent="0.25">
      <c r="A199" s="22" t="s">
        <v>3</v>
      </c>
      <c r="B199" s="20">
        <f>_xlfn.MAXIFS(Data!$O:$O,Data!$A:$A,Records!$A190)</f>
        <v>85</v>
      </c>
      <c r="C199" s="21">
        <v>1</v>
      </c>
      <c r="D199" s="20" t="str" cm="1">
        <f t="array" ref="D199">INDEX(Data!$E:$E,MATCH(1,INDEX((Records!$B199=Data!$O:$O)*($A190=Data!$A:$A),0,1),0))</f>
        <v>Guruuu 🐐🐐🐐</v>
      </c>
      <c r="E199" s="20" t="str" cm="1">
        <f t="array" ref="E199">INDEX(Data!$K:$K,MATCH(1,INDEX((Records!$B199=Data!$O:$O)*($A190=Data!$A:$A),0,1),0))</f>
        <v>vs Heraklion Snakes</v>
      </c>
      <c r="G199" s="20" cm="1">
        <f t="array" ref="G199">INDEX(Data!$C:$C,MATCH(1,INDEX((Records!$B199=Data!$O:$O)*($A190=Data!$A:$A),0,1),0))</f>
        <v>8</v>
      </c>
      <c r="I199" s="20">
        <f>RANK(B199,Data!$O:$O)</f>
        <v>16</v>
      </c>
      <c r="K199" s="20" t="s">
        <v>159</v>
      </c>
      <c r="L199" s="20">
        <f>COUNTIF($D$193:$D$209,K199)</f>
        <v>1</v>
      </c>
    </row>
    <row r="200" spans="1:18" x14ac:dyDescent="0.25">
      <c r="A200" s="22" t="s">
        <v>4</v>
      </c>
      <c r="B200" s="20">
        <f>_xlfn.MAXIFS(Data!$P:$P,Data!$A:$A,Records!$A190)</f>
        <v>0.49199999999999999</v>
      </c>
      <c r="C200" s="21">
        <f>COUNTIFS(Data!$P:$P,Records!$B200,Data!$A:$A,Records!$A190)</f>
        <v>1</v>
      </c>
      <c r="D200" s="20" t="str" cm="1">
        <f t="array" ref="D200">INDEX(Data!$E:$E,MATCH(1,INDEX((Records!$B200=Data!$P:$P)*($A190=Data!$A:$A),0,1),0))</f>
        <v>Fighting Thaddeus</v>
      </c>
      <c r="E200" s="20" t="str" cm="1">
        <f t="array" ref="E200">INDEX(Data!$K:$K,MATCH(1,INDEX((Records!$B200=Data!$P:$P)*($A190=Data!$A:$A),0,1),0))</f>
        <v>vs LRBP PR3DATORS</v>
      </c>
      <c r="G200" s="20" cm="1">
        <f t="array" ref="G200">INDEX(Data!$C:$C,MATCH(1,INDEX((Records!$B200=Data!$P:$P)*($A190=Data!$A:$A),0,1),0))</f>
        <v>6</v>
      </c>
      <c r="I200" s="20">
        <f>RANK(B200,Data!$P:$P)</f>
        <v>10</v>
      </c>
      <c r="K200" s="20" t="s">
        <v>23</v>
      </c>
      <c r="L200" s="20">
        <f>COUNTIF($D$193:$D$209,K200)-1</f>
        <v>1</v>
      </c>
    </row>
    <row r="201" spans="1:18" x14ac:dyDescent="0.25">
      <c r="A201" s="22" t="s">
        <v>2</v>
      </c>
      <c r="B201" s="20">
        <f>_xlfn.MAXIFS(Data!$Q:$Q,Data!$A:$A,Records!$A190)</f>
        <v>0.92900000000000005</v>
      </c>
      <c r="C201" s="21">
        <f>COUNTIFS(Data!$Q:$Q,Records!$B201,Data!$A:$A,Records!$A190)</f>
        <v>1</v>
      </c>
      <c r="D201" s="20" t="str" cm="1">
        <f t="array" ref="D201">INDEX(Data!$E:$E,MATCH(1,INDEX((Records!$B201=Data!$Q:$Q)*($A190=Data!$A:$A),0,1),0))</f>
        <v>Samarina Dudenbros</v>
      </c>
      <c r="E201" s="20" t="str" cm="1">
        <f t="array" ref="E201">INDEX(Data!$K:$K,MATCH(1,INDEX((Records!$B201=Data!$Q:$Q)*($A190=Data!$A:$A),0,1),0))</f>
        <v>vs Salonika Devils</v>
      </c>
      <c r="G201" s="20" cm="1">
        <f t="array" ref="G201">INDEX(Data!$C:$C,MATCH(1,INDEX((Records!$B201=Data!$Q:$Q)*($A190=Data!$A:$A),0,1),0))</f>
        <v>3</v>
      </c>
      <c r="I201" s="20">
        <f>RANK(B201,Data!$Q:$Q)</f>
        <v>4</v>
      </c>
      <c r="K201" s="20" t="s">
        <v>184</v>
      </c>
      <c r="L201" s="20">
        <f t="shared" si="9"/>
        <v>1</v>
      </c>
      <c r="R201"/>
    </row>
    <row r="202" spans="1:18" x14ac:dyDescent="0.25">
      <c r="A202" s="22" t="s">
        <v>12</v>
      </c>
      <c r="B202" s="20">
        <f>_xlfn.MAXIFS(Data!$R:$R,Data!$A:$A,Records!$A190)</f>
        <v>879</v>
      </c>
      <c r="C202" s="21">
        <v>1</v>
      </c>
      <c r="D202" s="20" t="str" cm="1">
        <f t="array" ref="D202">INDEX(Data!$E:$E,MATCH(1,INDEX((Records!$B202=Data!$R:$R)*($A190=Data!$A:$A),0,1),0))</f>
        <v>Karafli Saita</v>
      </c>
      <c r="E202" s="20" t="str" cm="1">
        <f t="array" ref="E202">INDEX(Data!$K:$K,MATCH(1,INDEX((Records!$B202=Data!$R:$R)*($A190=Data!$A:$A),0,1),0))</f>
        <v>vs Fighting Thaddeus</v>
      </c>
      <c r="G202" s="20" cm="1">
        <f t="array" ref="G202">INDEX(Data!$C:$C,MATCH(1,INDEX((Records!$B202=Data!$R:$R)*($A190=Data!$A:$A),0,1),0))</f>
        <v>16</v>
      </c>
      <c r="I202" s="20">
        <f>RANK(B202,Data!$R:$R)</f>
        <v>4</v>
      </c>
      <c r="R202"/>
    </row>
    <row r="203" spans="1:18" x14ac:dyDescent="0.25">
      <c r="A203" s="22" t="s">
        <v>5</v>
      </c>
      <c r="B203" s="20">
        <f>_xlfn.MAXIFS(Data!$S:$S,Data!$A:$A,Records!$A190)</f>
        <v>86</v>
      </c>
      <c r="C203" s="21">
        <v>1</v>
      </c>
      <c r="D203" s="20" t="str" cm="1">
        <f t="array" ref="D203">INDEX(Data!$E:$E,MATCH(1,INDEX((Records!$B203=Data!$S:$S)*($A190=Data!$A:$A),0,1),0))</f>
        <v>Tsarlatans</v>
      </c>
      <c r="E203" s="20" t="str" cm="1">
        <f t="array" ref="E203">INDEX(Data!$K:$K,MATCH(1,INDEX((Records!$B203=Data!$S:$S)*($A190=Data!$A:$A),0,1),0))</f>
        <v>vs st.Helens Eruptions</v>
      </c>
      <c r="G203" s="20" cm="1">
        <f t="array" ref="G203">INDEX(Data!$C:$C,MATCH(1,INDEX((Records!$B203=Data!$S:$S)*($A190=Data!$A:$A),0,1),0))</f>
        <v>16</v>
      </c>
      <c r="I203" s="20">
        <f>RANK(B203,Data!$S:$S)</f>
        <v>2</v>
      </c>
      <c r="R203"/>
    </row>
    <row r="204" spans="1:18" x14ac:dyDescent="0.25">
      <c r="A204" s="22" t="s">
        <v>6</v>
      </c>
      <c r="B204" s="20">
        <f>_xlfn.MAXIFS(Data!$T:$T,Data!$A:$A,Records!$A190)</f>
        <v>228</v>
      </c>
      <c r="C204" s="21">
        <v>1</v>
      </c>
      <c r="D204" s="20" t="str" cm="1">
        <f t="array" ref="D204">INDEX(Data!$E:$E,MATCH(1,INDEX((Records!$B204=Data!$T:$T)*($A190=Data!$A:$A),0,1),0))</f>
        <v>Tsarlatans</v>
      </c>
      <c r="E204" s="20" t="str" cm="1">
        <f t="array" ref="E204">INDEX(Data!$K:$K,MATCH(1,INDEX((Records!$B204=Data!$T:$T)*($A190=Data!$A:$A),0,1),0))</f>
        <v>vs Salonika Devils</v>
      </c>
      <c r="G204" s="20" cm="1">
        <f t="array" ref="G204">INDEX(Data!$C:$C,MATCH(1,INDEX((Records!$B204=Data!$T:$T)*($A190=Data!$A:$A),0,1),0))</f>
        <v>8</v>
      </c>
      <c r="I204" s="20">
        <f>RANK(B204,Data!$T:$T)</f>
        <v>7</v>
      </c>
      <c r="R204"/>
    </row>
    <row r="205" spans="1:18" x14ac:dyDescent="0.25">
      <c r="A205" s="22" t="s">
        <v>7</v>
      </c>
      <c r="B205" s="20">
        <f>_xlfn.MAXIFS(Data!$U:$U,Data!$A:$A,Records!$A190)</f>
        <v>243</v>
      </c>
      <c r="C205" s="21">
        <v>1</v>
      </c>
      <c r="D205" s="20" t="str" cm="1">
        <f t="array" ref="D205">INDEX(Data!$E:$E,MATCH(1,INDEX((Records!$B205=Data!$U:$U)*($A190=Data!$A:$A),0,1),0))</f>
        <v>Samarina Dudenbros</v>
      </c>
      <c r="E205" s="20" t="str" cm="1">
        <f t="array" ref="E205">INDEX(Data!$K:$K,MATCH(1,INDEX((Records!$B205=Data!$U:$U)*($A190=Data!$A:$A),0,1),0))</f>
        <v>vs The Bridgeburners</v>
      </c>
      <c r="G205" s="20" cm="1">
        <f t="array" ref="G205">INDEX(Data!$C:$C,MATCH(1,INDEX((Records!$B205=Data!$U:$U)*($A190=Data!$A:$A),0,1),0))</f>
        <v>16</v>
      </c>
      <c r="I205" s="20">
        <f>RANK(B205,Data!$U:$U)</f>
        <v>1</v>
      </c>
      <c r="R205"/>
    </row>
    <row r="206" spans="1:18" x14ac:dyDescent="0.25">
      <c r="A206" s="22" t="s">
        <v>9</v>
      </c>
      <c r="B206" s="20">
        <f>_xlfn.MAXIFS(Data!$V:$V,Data!$A:$A,Records!$A190)</f>
        <v>63</v>
      </c>
      <c r="C206" s="21">
        <v>1</v>
      </c>
      <c r="D206" s="20" t="str" cm="1">
        <f t="array" ref="D206">INDEX(Data!$E:$E,MATCH(1,INDEX((Records!$B206=Data!$V:$V)*($A190=Data!$A:$A),0,1),0))</f>
        <v>Samarina Dudenbros</v>
      </c>
      <c r="E206" s="20" t="str" cm="1">
        <f t="array" ref="E206">INDEX(Data!$K:$K,MATCH(1,INDEX((Records!$B206=Data!$V:$V)*($A190=Data!$A:$A),0,1),0))</f>
        <v>vs The Guns</v>
      </c>
      <c r="G206" s="20" cm="1">
        <f t="array" ref="G206">INDEX(Data!$C:$C,MATCH(1,INDEX((Records!$B206=Data!$V:$V)*($A190=Data!$A:$A),0,1),0))</f>
        <v>8</v>
      </c>
      <c r="I206" s="20">
        <f>RANK(B206,Data!$V:$V)</f>
        <v>2</v>
      </c>
      <c r="R206"/>
    </row>
    <row r="207" spans="1:18" x14ac:dyDescent="0.25">
      <c r="A207" s="22" t="s">
        <v>10</v>
      </c>
      <c r="B207" s="20">
        <f>_xlfn.MAXIFS(Data!$W:$W,Data!$A:$A,Records!$A190)</f>
        <v>41</v>
      </c>
      <c r="C207" s="21">
        <f>COUNTIFS(Data!$W:$W,Records!$B207,Data!$A:$A,Records!$A190)</f>
        <v>1</v>
      </c>
      <c r="D207" s="20" t="str" cm="1">
        <f t="array" ref="D207">INDEX(Data!$E:$E,MATCH(1,INDEX((Records!$B207=Data!$W:$W)*($A190=Data!$A:$A),0,1),0))</f>
        <v>Karafli Saita</v>
      </c>
      <c r="E207" s="20" t="str" cm="1">
        <f t="array" ref="E207">INDEX(Data!$K:$K,MATCH(1,INDEX((Records!$B207=Data!$W:$W)*($A190=Data!$A:$A),0,1),0))</f>
        <v>vs Heraklion Snakes</v>
      </c>
      <c r="G207" s="20" cm="1">
        <f t="array" ref="G207">INDEX(Data!$C:$C,MATCH(1,INDEX((Records!$B207=Data!$W:$W)*($A190=Data!$A:$A),0,1),0))</f>
        <v>3</v>
      </c>
      <c r="I207" s="20">
        <f>RANK(B207,Data!$W:$W)</f>
        <v>10</v>
      </c>
      <c r="R207"/>
    </row>
    <row r="208" spans="1:18" x14ac:dyDescent="0.25">
      <c r="A208" s="22" t="s">
        <v>11</v>
      </c>
      <c r="B208" s="20">
        <f>_xlfn.MINIFS(Data!$X:$X,Data!$A:$A,Records!$A190)</f>
        <v>16</v>
      </c>
      <c r="C208" s="21">
        <f>COUNTIFS(Data!$X:$X,Records!$B208,Data!$A:$A,Records!$A190)</f>
        <v>1</v>
      </c>
      <c r="D208" s="20" t="str" cm="1">
        <f t="array" ref="D208">INDEX(Data!$E:$E,MATCH(1,INDEX((Records!$B208=Data!$X:$X)*($A190=Data!$A:$A),0,1),0))</f>
        <v>Heraklion Snakes</v>
      </c>
      <c r="E208" s="20" t="str" cm="1">
        <f t="array" ref="E208">INDEX(Data!$K:$K,MATCH(1,INDEX((Records!$B208=Data!$X:$X)*($A190=Data!$A:$A),0,1),0))</f>
        <v>vs Hércules Pals</v>
      </c>
      <c r="G208" s="20" cm="1">
        <f t="array" ref="G208">INDEX(Data!$C:$C,MATCH(1,INDEX((Records!$B208=Data!$X:$X)*($A190=Data!$A:$A),0,1),0))</f>
        <v>2</v>
      </c>
      <c r="I208" s="20">
        <f>RANK(B208,Data!$X:$X,1)</f>
        <v>8</v>
      </c>
      <c r="R208"/>
    </row>
    <row r="209" spans="1:18" x14ac:dyDescent="0.25">
      <c r="A209" s="22" t="s">
        <v>8</v>
      </c>
      <c r="B209" s="23">
        <f>_xlfn.MAXIFS(Data!$Y:$Y,Data!$A:$A,Records!$A190)</f>
        <v>3.94</v>
      </c>
      <c r="C209" s="21">
        <f>COUNTIFS(Data!$Y:$Y,Records!$B209,Data!$A:$A,Records!$A190)</f>
        <v>1</v>
      </c>
      <c r="D209" s="20" t="str" cm="1">
        <f t="array" ref="D209">INDEX(Data!$E:$E,MATCH(1,INDEX((Records!$B209=Data!$Y:$Y)*($A190=Data!$A:$A),0,1),0))</f>
        <v>Xanthi Ducks 🦆</v>
      </c>
      <c r="E209" s="20" t="str" cm="1">
        <f t="array" ref="E209">INDEX(Data!$K:$K,MATCH(1,INDEX((Records!$B209=Data!$Y:$Y)*($A190=Data!$A:$A),0,1),0))</f>
        <v>vs The Guns</v>
      </c>
      <c r="G209" s="20" cm="1">
        <f t="array" ref="G209">INDEX(Data!$C:$C,MATCH(1,INDEX((Records!$B209=Data!$Y:$Y)*($A190=Data!$A:$A),0,1),0))</f>
        <v>12</v>
      </c>
      <c r="I209" s="20">
        <f>RANK(B209,Data!$Y:$Y)</f>
        <v>3</v>
      </c>
      <c r="R209"/>
    </row>
  </sheetData>
  <mergeCells count="10">
    <mergeCell ref="A190:H190"/>
    <mergeCell ref="A172:H172"/>
    <mergeCell ref="A154:H154"/>
    <mergeCell ref="A136:H136"/>
    <mergeCell ref="A110:H110"/>
    <mergeCell ref="A1:H1"/>
    <mergeCell ref="A24:H24"/>
    <mergeCell ref="A52:H52"/>
    <mergeCell ref="A72:H72"/>
    <mergeCell ref="A90:H90"/>
  </mergeCells>
  <conditionalFormatting sqref="I3">
    <cfRule type="cellIs" dxfId="1591" priority="1" operator="between">
      <formula>1</formula>
      <formula>5</formula>
    </cfRule>
  </conditionalFormatting>
  <conditionalFormatting sqref="I26:I209">
    <cfRule type="cellIs" dxfId="1590" priority="2" operator="between">
      <formula>1</formula>
      <formula>5</formula>
    </cfRule>
  </conditionalFormatting>
  <pageMargins left="0.7" right="0.7" top="0.75" bottom="0.75" header="0.3" footer="0.3"/>
  <pageSetup orientation="portrait" r:id="rId1"/>
  <customProperties>
    <customPr name="_pios_id" r:id="rId2"/>
    <customPr name="EpmWorksheetKeyString_GUID"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586FE-1820-448C-B398-53BE0AF6C6CE}">
  <sheetPr>
    <tabColor theme="9" tint="0.79998168889431442"/>
  </sheetPr>
  <dimension ref="A1:Y3451"/>
  <sheetViews>
    <sheetView workbookViewId="0">
      <pane ySplit="1" topLeftCell="A2" activePane="bottomLeft" state="frozen"/>
      <selection pane="bottomLeft" activeCell="D3451" sqref="D2:D3451"/>
    </sheetView>
  </sheetViews>
  <sheetFormatPr defaultRowHeight="15" x14ac:dyDescent="0.25"/>
  <cols>
    <col min="1" max="1" width="6.28515625" customWidth="1"/>
    <col min="2" max="2" width="8.28515625" customWidth="1"/>
    <col min="3" max="3" width="12.7109375" bestFit="1" customWidth="1"/>
    <col min="4" max="4" width="6.7109375" customWidth="1"/>
    <col min="5" max="5" width="31" customWidth="1"/>
    <col min="6" max="6" width="11.5703125" customWidth="1"/>
    <col min="7" max="7" width="7" customWidth="1"/>
    <col min="8" max="8" width="3.7109375" customWidth="1"/>
    <col min="9" max="9" width="2.85546875" customWidth="1"/>
    <col min="10" max="10" width="2.28515625" customWidth="1"/>
    <col min="11" max="11" width="25.7109375" customWidth="1"/>
    <col min="12" max="12" width="16.28515625" bestFit="1" customWidth="1"/>
    <col min="13" max="13" width="4.28515625" customWidth="1"/>
    <col min="14" max="14" width="7.140625" style="1" bestFit="1" customWidth="1"/>
    <col min="15" max="15" width="4.28515625" customWidth="1"/>
    <col min="16" max="16" width="7.140625" style="1" bestFit="1" customWidth="1"/>
    <col min="17" max="17" width="6.85546875" style="1" bestFit="1" customWidth="1"/>
    <col min="18" max="18" width="4.28515625" customWidth="1"/>
    <col min="19" max="19" width="5.42578125" customWidth="1"/>
    <col min="20" max="23" width="4.28515625" customWidth="1"/>
    <col min="24" max="24" width="6.28515625" customWidth="1"/>
    <col min="25" max="25" width="6.5703125" customWidth="1"/>
  </cols>
  <sheetData>
    <row r="1" spans="1:25" s="3" customFormat="1" ht="39.6" customHeight="1" x14ac:dyDescent="0.25">
      <c r="A1" s="2" t="s">
        <v>37</v>
      </c>
      <c r="B1" s="10" t="s">
        <v>122</v>
      </c>
      <c r="C1" s="2" t="s">
        <v>38</v>
      </c>
      <c r="D1" s="2" t="s">
        <v>58</v>
      </c>
      <c r="E1" s="2" t="s">
        <v>29</v>
      </c>
      <c r="F1" s="2" t="s">
        <v>39</v>
      </c>
      <c r="G1" s="2" t="s">
        <v>143</v>
      </c>
      <c r="H1" s="2" t="s">
        <v>13</v>
      </c>
      <c r="I1" s="2" t="s">
        <v>14</v>
      </c>
      <c r="J1" s="2" t="s">
        <v>31</v>
      </c>
      <c r="K1" s="3" t="s">
        <v>92</v>
      </c>
      <c r="L1" s="3" t="s">
        <v>91</v>
      </c>
      <c r="M1" s="2" t="s">
        <v>0</v>
      </c>
      <c r="N1" s="4" t="s">
        <v>1</v>
      </c>
      <c r="O1" s="2" t="s">
        <v>3</v>
      </c>
      <c r="P1" s="4" t="s">
        <v>4</v>
      </c>
      <c r="Q1" s="4" t="s">
        <v>2</v>
      </c>
      <c r="R1" s="2" t="s">
        <v>12</v>
      </c>
      <c r="S1" s="2" t="s">
        <v>5</v>
      </c>
      <c r="T1" s="2" t="s">
        <v>6</v>
      </c>
      <c r="U1" s="2" t="s">
        <v>7</v>
      </c>
      <c r="V1" s="2" t="s">
        <v>9</v>
      </c>
      <c r="W1" s="2" t="s">
        <v>10</v>
      </c>
      <c r="X1" s="2" t="s">
        <v>11</v>
      </c>
      <c r="Y1" s="2" t="s">
        <v>8</v>
      </c>
    </row>
    <row r="2" spans="1:25" x14ac:dyDescent="0.25">
      <c r="A2">
        <v>2018</v>
      </c>
      <c r="B2" t="s">
        <v>57</v>
      </c>
      <c r="C2">
        <v>1</v>
      </c>
      <c r="D2">
        <v>1</v>
      </c>
      <c r="E2" t="s">
        <v>18</v>
      </c>
      <c r="F2" t="s">
        <v>52</v>
      </c>
      <c r="G2">
        <f t="shared" ref="G2:G65" si="0">IF(H2+0.5*J2&gt;6.5,1,0)</f>
        <v>0</v>
      </c>
      <c r="H2">
        <v>5</v>
      </c>
      <c r="I2">
        <v>7</v>
      </c>
      <c r="J2">
        <v>1</v>
      </c>
      <c r="K2" s="6" t="s">
        <v>60</v>
      </c>
      <c r="L2" s="6" t="s">
        <v>75</v>
      </c>
      <c r="M2">
        <v>118</v>
      </c>
      <c r="N2" s="1">
        <v>0.41099999999999998</v>
      </c>
      <c r="O2">
        <v>37</v>
      </c>
      <c r="P2" s="1">
        <v>0.34599999999999997</v>
      </c>
      <c r="Q2" s="1">
        <v>0.86599999999999999</v>
      </c>
      <c r="R2">
        <v>344</v>
      </c>
      <c r="S2">
        <v>25</v>
      </c>
      <c r="T2">
        <v>100</v>
      </c>
      <c r="U2">
        <v>77</v>
      </c>
      <c r="V2">
        <v>33</v>
      </c>
      <c r="W2">
        <v>16</v>
      </c>
      <c r="X2">
        <v>58</v>
      </c>
      <c r="Y2" s="5">
        <v>1.3275862068965518</v>
      </c>
    </row>
    <row r="3" spans="1:25" x14ac:dyDescent="0.25">
      <c r="A3">
        <v>2018</v>
      </c>
      <c r="B3" t="s">
        <v>57</v>
      </c>
      <c r="C3">
        <v>1</v>
      </c>
      <c r="D3">
        <v>1</v>
      </c>
      <c r="E3" t="s">
        <v>16</v>
      </c>
      <c r="F3" t="s">
        <v>51</v>
      </c>
      <c r="G3">
        <f t="shared" si="0"/>
        <v>1</v>
      </c>
      <c r="H3">
        <v>7</v>
      </c>
      <c r="I3">
        <v>5</v>
      </c>
      <c r="J3">
        <v>1</v>
      </c>
      <c r="K3" s="6" t="s">
        <v>59</v>
      </c>
      <c r="L3" s="6" t="s">
        <v>74</v>
      </c>
      <c r="M3">
        <v>121</v>
      </c>
      <c r="N3" s="1">
        <v>0.42299999999999999</v>
      </c>
      <c r="O3">
        <v>38</v>
      </c>
      <c r="P3" s="1">
        <v>0.33600000000000002</v>
      </c>
      <c r="Q3" s="1">
        <v>0.85099999999999998</v>
      </c>
      <c r="R3">
        <v>354</v>
      </c>
      <c r="S3">
        <v>17</v>
      </c>
      <c r="T3">
        <v>105</v>
      </c>
      <c r="U3">
        <v>71</v>
      </c>
      <c r="V3">
        <v>20</v>
      </c>
      <c r="W3">
        <v>16</v>
      </c>
      <c r="X3">
        <v>52</v>
      </c>
      <c r="Y3" s="5">
        <v>1.3653846153846154</v>
      </c>
    </row>
    <row r="4" spans="1:25" x14ac:dyDescent="0.25">
      <c r="A4">
        <v>2018</v>
      </c>
      <c r="B4" t="s">
        <v>57</v>
      </c>
      <c r="C4">
        <v>1</v>
      </c>
      <c r="D4">
        <v>2</v>
      </c>
      <c r="E4" t="s">
        <v>15</v>
      </c>
      <c r="F4" t="s">
        <v>48</v>
      </c>
      <c r="G4">
        <f t="shared" si="0"/>
        <v>1</v>
      </c>
      <c r="H4">
        <v>10</v>
      </c>
      <c r="I4">
        <v>3</v>
      </c>
      <c r="J4">
        <v>0</v>
      </c>
      <c r="K4" s="6" t="s">
        <v>182</v>
      </c>
      <c r="L4" s="6" t="s">
        <v>76</v>
      </c>
      <c r="M4">
        <v>127</v>
      </c>
      <c r="N4" s="1">
        <v>0.42799999999999999</v>
      </c>
      <c r="O4">
        <v>28</v>
      </c>
      <c r="P4" s="1">
        <v>0.35899999999999999</v>
      </c>
      <c r="Q4" s="1">
        <v>0.8</v>
      </c>
      <c r="R4">
        <v>358</v>
      </c>
      <c r="S4">
        <v>35</v>
      </c>
      <c r="T4">
        <v>110</v>
      </c>
      <c r="U4">
        <v>93</v>
      </c>
      <c r="V4">
        <v>26</v>
      </c>
      <c r="W4">
        <v>11</v>
      </c>
      <c r="X4">
        <v>51</v>
      </c>
      <c r="Y4" s="5">
        <v>1.8235294117647058</v>
      </c>
    </row>
    <row r="5" spans="1:25" x14ac:dyDescent="0.25">
      <c r="A5">
        <v>2018</v>
      </c>
      <c r="B5" t="s">
        <v>57</v>
      </c>
      <c r="C5">
        <v>1</v>
      </c>
      <c r="D5">
        <v>2</v>
      </c>
      <c r="E5" t="s">
        <v>181</v>
      </c>
      <c r="F5" t="s">
        <v>49</v>
      </c>
      <c r="G5">
        <f t="shared" si="0"/>
        <v>0</v>
      </c>
      <c r="H5">
        <v>3</v>
      </c>
      <c r="I5">
        <v>10</v>
      </c>
      <c r="J5">
        <v>0</v>
      </c>
      <c r="K5" s="6" t="s">
        <v>61</v>
      </c>
      <c r="L5" s="6" t="s">
        <v>77</v>
      </c>
      <c r="M5">
        <v>106</v>
      </c>
      <c r="N5" s="1">
        <v>0.379</v>
      </c>
      <c r="O5">
        <v>40</v>
      </c>
      <c r="P5" s="1">
        <v>0.35699999999999998</v>
      </c>
      <c r="Q5" s="1">
        <v>0.80300000000000005</v>
      </c>
      <c r="R5">
        <v>301</v>
      </c>
      <c r="S5">
        <v>25</v>
      </c>
      <c r="T5">
        <v>89</v>
      </c>
      <c r="U5">
        <v>69</v>
      </c>
      <c r="V5">
        <v>20</v>
      </c>
      <c r="W5">
        <v>9</v>
      </c>
      <c r="X5">
        <v>47</v>
      </c>
      <c r="Y5" s="5">
        <v>1.4680851063829787</v>
      </c>
    </row>
    <row r="6" spans="1:25" x14ac:dyDescent="0.25">
      <c r="A6">
        <v>2018</v>
      </c>
      <c r="B6" t="s">
        <v>57</v>
      </c>
      <c r="C6">
        <v>1</v>
      </c>
      <c r="D6">
        <v>3</v>
      </c>
      <c r="E6" t="s">
        <v>20</v>
      </c>
      <c r="F6" t="s">
        <v>47</v>
      </c>
      <c r="G6">
        <f t="shared" si="0"/>
        <v>0</v>
      </c>
      <c r="H6">
        <v>2</v>
      </c>
      <c r="I6">
        <v>10</v>
      </c>
      <c r="J6">
        <v>1</v>
      </c>
      <c r="K6" s="6" t="s">
        <v>63</v>
      </c>
      <c r="L6" s="6" t="s">
        <v>79</v>
      </c>
      <c r="M6">
        <v>104</v>
      </c>
      <c r="N6" s="1">
        <v>0.44400000000000001</v>
      </c>
      <c r="O6">
        <v>20</v>
      </c>
      <c r="P6" s="1">
        <v>0.33300000000000002</v>
      </c>
      <c r="Q6" s="1">
        <v>0.83699999999999997</v>
      </c>
      <c r="R6">
        <v>264</v>
      </c>
      <c r="S6">
        <v>33</v>
      </c>
      <c r="T6">
        <v>83</v>
      </c>
      <c r="U6">
        <v>48</v>
      </c>
      <c r="V6">
        <v>17</v>
      </c>
      <c r="W6">
        <v>11</v>
      </c>
      <c r="X6">
        <v>37</v>
      </c>
      <c r="Y6" s="5">
        <v>1.2972972972972974</v>
      </c>
    </row>
    <row r="7" spans="1:25" x14ac:dyDescent="0.25">
      <c r="A7">
        <v>2018</v>
      </c>
      <c r="B7" t="s">
        <v>57</v>
      </c>
      <c r="C7">
        <v>1</v>
      </c>
      <c r="D7">
        <v>3</v>
      </c>
      <c r="E7" t="s">
        <v>17</v>
      </c>
      <c r="F7" t="s">
        <v>43</v>
      </c>
      <c r="G7">
        <f t="shared" si="0"/>
        <v>1</v>
      </c>
      <c r="H7">
        <v>10</v>
      </c>
      <c r="I7">
        <v>2</v>
      </c>
      <c r="J7">
        <v>1</v>
      </c>
      <c r="K7" s="6" t="s">
        <v>62</v>
      </c>
      <c r="L7" s="6" t="s">
        <v>78</v>
      </c>
      <c r="M7">
        <v>105</v>
      </c>
      <c r="N7" s="1">
        <v>0.49099999999999999</v>
      </c>
      <c r="O7">
        <v>25</v>
      </c>
      <c r="P7" s="1">
        <v>0.38500000000000001</v>
      </c>
      <c r="Q7" s="1">
        <v>0.90700000000000003</v>
      </c>
      <c r="R7">
        <v>274</v>
      </c>
      <c r="S7">
        <v>32</v>
      </c>
      <c r="T7">
        <v>97</v>
      </c>
      <c r="U7">
        <v>48</v>
      </c>
      <c r="V7">
        <v>12</v>
      </c>
      <c r="W7">
        <v>16</v>
      </c>
      <c r="X7">
        <v>29</v>
      </c>
      <c r="Y7" s="5">
        <v>1.6551724137931034</v>
      </c>
    </row>
    <row r="8" spans="1:25" x14ac:dyDescent="0.25">
      <c r="A8">
        <v>2018</v>
      </c>
      <c r="B8" t="s">
        <v>57</v>
      </c>
      <c r="C8">
        <v>1</v>
      </c>
      <c r="D8">
        <v>4</v>
      </c>
      <c r="E8" t="s">
        <v>190</v>
      </c>
      <c r="F8" t="s">
        <v>103</v>
      </c>
      <c r="G8">
        <f t="shared" si="0"/>
        <v>1</v>
      </c>
      <c r="H8">
        <v>9</v>
      </c>
      <c r="I8">
        <v>4</v>
      </c>
      <c r="J8">
        <v>0</v>
      </c>
      <c r="K8" s="6" t="s">
        <v>64</v>
      </c>
      <c r="L8" s="6" t="s">
        <v>80</v>
      </c>
      <c r="M8">
        <v>99</v>
      </c>
      <c r="N8" s="1">
        <v>0.49299999999999999</v>
      </c>
      <c r="O8">
        <v>25</v>
      </c>
      <c r="P8" s="1">
        <v>0.43099999999999999</v>
      </c>
      <c r="Q8" s="1">
        <v>0.877</v>
      </c>
      <c r="R8">
        <v>273</v>
      </c>
      <c r="S8">
        <v>15</v>
      </c>
      <c r="T8">
        <v>73</v>
      </c>
      <c r="U8">
        <v>57</v>
      </c>
      <c r="V8">
        <v>17</v>
      </c>
      <c r="W8">
        <v>9</v>
      </c>
      <c r="X8">
        <v>37</v>
      </c>
      <c r="Y8" s="5">
        <v>1.5405405405405406</v>
      </c>
    </row>
    <row r="9" spans="1:25" x14ac:dyDescent="0.25">
      <c r="A9">
        <v>2018</v>
      </c>
      <c r="B9" t="s">
        <v>57</v>
      </c>
      <c r="C9">
        <v>1</v>
      </c>
      <c r="D9">
        <v>4</v>
      </c>
      <c r="E9" t="s">
        <v>28</v>
      </c>
      <c r="F9" t="s">
        <v>46</v>
      </c>
      <c r="G9">
        <f t="shared" si="0"/>
        <v>0</v>
      </c>
      <c r="H9">
        <v>4</v>
      </c>
      <c r="I9">
        <v>9</v>
      </c>
      <c r="J9">
        <v>0</v>
      </c>
      <c r="K9" s="6" t="s">
        <v>191</v>
      </c>
      <c r="L9" s="6" t="s">
        <v>113</v>
      </c>
      <c r="M9">
        <v>98</v>
      </c>
      <c r="N9" s="1">
        <v>0.439</v>
      </c>
      <c r="O9">
        <v>18</v>
      </c>
      <c r="P9" s="1">
        <v>0.39100000000000001</v>
      </c>
      <c r="Q9" s="1">
        <v>0.62</v>
      </c>
      <c r="R9">
        <v>245</v>
      </c>
      <c r="S9">
        <v>32</v>
      </c>
      <c r="T9">
        <v>91</v>
      </c>
      <c r="U9">
        <v>73</v>
      </c>
      <c r="V9">
        <v>13</v>
      </c>
      <c r="W9">
        <v>11</v>
      </c>
      <c r="X9">
        <v>49</v>
      </c>
      <c r="Y9" s="5">
        <v>1.489795918367347</v>
      </c>
    </row>
    <row r="10" spans="1:25" x14ac:dyDescent="0.25">
      <c r="A10">
        <v>2018</v>
      </c>
      <c r="B10" t="s">
        <v>57</v>
      </c>
      <c r="C10">
        <v>1</v>
      </c>
      <c r="D10">
        <v>5</v>
      </c>
      <c r="E10" t="s">
        <v>22</v>
      </c>
      <c r="F10" t="s">
        <v>44</v>
      </c>
      <c r="G10">
        <f t="shared" si="0"/>
        <v>1</v>
      </c>
      <c r="H10">
        <v>11</v>
      </c>
      <c r="I10">
        <v>2</v>
      </c>
      <c r="J10">
        <v>0</v>
      </c>
      <c r="K10" s="6" t="s">
        <v>65</v>
      </c>
      <c r="L10" s="6" t="s">
        <v>119</v>
      </c>
      <c r="M10">
        <v>113</v>
      </c>
      <c r="N10" s="1">
        <v>0.44800000000000001</v>
      </c>
      <c r="O10">
        <v>26</v>
      </c>
      <c r="P10" s="1">
        <v>0.36099999999999999</v>
      </c>
      <c r="Q10" s="1">
        <v>0.83799999999999997</v>
      </c>
      <c r="R10">
        <v>319</v>
      </c>
      <c r="S10">
        <v>29</v>
      </c>
      <c r="T10">
        <v>115</v>
      </c>
      <c r="U10">
        <v>57</v>
      </c>
      <c r="V10">
        <v>23</v>
      </c>
      <c r="W10">
        <v>15</v>
      </c>
      <c r="X10">
        <v>38</v>
      </c>
      <c r="Y10" s="5">
        <v>1.5</v>
      </c>
    </row>
    <row r="11" spans="1:25" x14ac:dyDescent="0.25">
      <c r="A11">
        <v>2018</v>
      </c>
      <c r="B11" t="s">
        <v>57</v>
      </c>
      <c r="C11">
        <v>1</v>
      </c>
      <c r="D11">
        <v>5</v>
      </c>
      <c r="E11" t="s">
        <v>26</v>
      </c>
      <c r="F11" t="s">
        <v>118</v>
      </c>
      <c r="G11">
        <f t="shared" si="0"/>
        <v>0</v>
      </c>
      <c r="H11">
        <v>2</v>
      </c>
      <c r="I11">
        <v>11</v>
      </c>
      <c r="J11">
        <v>0</v>
      </c>
      <c r="K11" s="6" t="s">
        <v>66</v>
      </c>
      <c r="L11" s="6" t="s">
        <v>81</v>
      </c>
      <c r="M11">
        <v>95</v>
      </c>
      <c r="N11" s="1">
        <v>0.40100000000000002</v>
      </c>
      <c r="O11">
        <v>18</v>
      </c>
      <c r="P11" s="1">
        <v>0.26100000000000001</v>
      </c>
      <c r="Q11" s="1">
        <v>0.745</v>
      </c>
      <c r="R11">
        <v>281</v>
      </c>
      <c r="S11">
        <v>33</v>
      </c>
      <c r="T11">
        <v>103</v>
      </c>
      <c r="U11">
        <v>73</v>
      </c>
      <c r="V11">
        <v>12</v>
      </c>
      <c r="W11">
        <v>12</v>
      </c>
      <c r="X11">
        <v>49</v>
      </c>
      <c r="Y11" s="5">
        <v>1.489795918367347</v>
      </c>
    </row>
    <row r="12" spans="1:25" x14ac:dyDescent="0.25">
      <c r="A12">
        <v>2018</v>
      </c>
      <c r="B12" t="s">
        <v>57</v>
      </c>
      <c r="C12">
        <v>1</v>
      </c>
      <c r="D12">
        <v>6</v>
      </c>
      <c r="E12" t="s">
        <v>19</v>
      </c>
      <c r="F12" t="s">
        <v>56</v>
      </c>
      <c r="G12">
        <f t="shared" si="0"/>
        <v>1</v>
      </c>
      <c r="H12">
        <v>11</v>
      </c>
      <c r="I12">
        <v>2</v>
      </c>
      <c r="J12">
        <v>0</v>
      </c>
      <c r="K12" s="6" t="s">
        <v>193</v>
      </c>
      <c r="L12" s="6" t="s">
        <v>117</v>
      </c>
      <c r="M12">
        <v>151</v>
      </c>
      <c r="N12" s="1">
        <v>0.48899999999999999</v>
      </c>
      <c r="O12">
        <v>28</v>
      </c>
      <c r="P12" s="1">
        <v>0.308</v>
      </c>
      <c r="Q12" s="1">
        <v>0.77600000000000002</v>
      </c>
      <c r="R12">
        <v>396</v>
      </c>
      <c r="S12">
        <v>32</v>
      </c>
      <c r="T12">
        <v>123</v>
      </c>
      <c r="U12">
        <v>69</v>
      </c>
      <c r="V12">
        <v>29</v>
      </c>
      <c r="W12">
        <v>25</v>
      </c>
      <c r="X12">
        <v>54</v>
      </c>
      <c r="Y12" s="5">
        <v>1.2777777777777777</v>
      </c>
    </row>
    <row r="13" spans="1:25" x14ac:dyDescent="0.25">
      <c r="A13">
        <v>2018</v>
      </c>
      <c r="B13" t="s">
        <v>57</v>
      </c>
      <c r="C13">
        <v>1</v>
      </c>
      <c r="D13">
        <v>6</v>
      </c>
      <c r="E13" t="s">
        <v>159</v>
      </c>
      <c r="F13" t="s">
        <v>116</v>
      </c>
      <c r="G13">
        <f t="shared" si="0"/>
        <v>0</v>
      </c>
      <c r="H13">
        <v>2</v>
      </c>
      <c r="I13">
        <v>11</v>
      </c>
      <c r="J13">
        <v>0</v>
      </c>
      <c r="K13" s="6" t="s">
        <v>67</v>
      </c>
      <c r="L13" s="6" t="s">
        <v>82</v>
      </c>
      <c r="M13">
        <v>107</v>
      </c>
      <c r="N13" s="1">
        <v>0.47799999999999998</v>
      </c>
      <c r="O13">
        <v>20</v>
      </c>
      <c r="P13" s="1">
        <v>0.34499999999999997</v>
      </c>
      <c r="Q13" s="1">
        <v>0.71099999999999997</v>
      </c>
      <c r="R13">
        <v>288</v>
      </c>
      <c r="S13">
        <v>30</v>
      </c>
      <c r="T13">
        <v>82</v>
      </c>
      <c r="U13">
        <v>37</v>
      </c>
      <c r="V13">
        <v>17</v>
      </c>
      <c r="W13">
        <v>14</v>
      </c>
      <c r="X13">
        <v>29</v>
      </c>
      <c r="Y13" s="5">
        <v>1.2758620689655173</v>
      </c>
    </row>
    <row r="14" spans="1:25" x14ac:dyDescent="0.25">
      <c r="A14">
        <v>2018</v>
      </c>
      <c r="B14" t="s">
        <v>57</v>
      </c>
      <c r="C14">
        <v>1</v>
      </c>
      <c r="D14">
        <v>7</v>
      </c>
      <c r="E14" t="s">
        <v>94</v>
      </c>
      <c r="F14" t="s">
        <v>40</v>
      </c>
      <c r="G14">
        <f t="shared" si="0"/>
        <v>1</v>
      </c>
      <c r="H14">
        <v>11</v>
      </c>
      <c r="I14">
        <v>2</v>
      </c>
      <c r="J14">
        <v>0</v>
      </c>
      <c r="K14" s="6" t="s">
        <v>68</v>
      </c>
      <c r="L14" s="6" t="s">
        <v>84</v>
      </c>
      <c r="M14">
        <v>163</v>
      </c>
      <c r="N14" s="1">
        <v>0.48499999999999999</v>
      </c>
      <c r="O14">
        <v>36</v>
      </c>
      <c r="P14" s="1">
        <v>0.371</v>
      </c>
      <c r="Q14" s="1">
        <v>0.754</v>
      </c>
      <c r="R14">
        <v>411</v>
      </c>
      <c r="S14">
        <v>55</v>
      </c>
      <c r="T14">
        <v>117</v>
      </c>
      <c r="U14">
        <v>78</v>
      </c>
      <c r="V14">
        <v>30</v>
      </c>
      <c r="W14">
        <v>11</v>
      </c>
      <c r="X14">
        <v>45</v>
      </c>
      <c r="Y14" s="5">
        <v>1.7333333333333334</v>
      </c>
    </row>
    <row r="15" spans="1:25" x14ac:dyDescent="0.25">
      <c r="A15">
        <v>2018</v>
      </c>
      <c r="B15" t="s">
        <v>57</v>
      </c>
      <c r="C15">
        <v>1</v>
      </c>
      <c r="D15">
        <v>7</v>
      </c>
      <c r="E15" t="s">
        <v>25</v>
      </c>
      <c r="F15" t="s">
        <v>53</v>
      </c>
      <c r="G15">
        <f t="shared" si="0"/>
        <v>0</v>
      </c>
      <c r="H15">
        <v>2</v>
      </c>
      <c r="I15">
        <v>11</v>
      </c>
      <c r="J15">
        <v>0</v>
      </c>
      <c r="K15" s="6" t="s">
        <v>106</v>
      </c>
      <c r="L15" s="6" t="s">
        <v>83</v>
      </c>
      <c r="M15">
        <v>134</v>
      </c>
      <c r="N15" s="1">
        <v>0.46500000000000002</v>
      </c>
      <c r="O15">
        <v>28</v>
      </c>
      <c r="P15" s="1">
        <v>0.35</v>
      </c>
      <c r="Q15" s="1">
        <v>0.72599999999999998</v>
      </c>
      <c r="R15">
        <v>357</v>
      </c>
      <c r="S15">
        <v>33</v>
      </c>
      <c r="T15">
        <v>98</v>
      </c>
      <c r="U15">
        <v>88</v>
      </c>
      <c r="V15">
        <v>19</v>
      </c>
      <c r="W15">
        <v>12</v>
      </c>
      <c r="X15">
        <v>52</v>
      </c>
      <c r="Y15" s="5">
        <v>1.6923076923076923</v>
      </c>
    </row>
    <row r="16" spans="1:25" x14ac:dyDescent="0.25">
      <c r="A16">
        <v>2018</v>
      </c>
      <c r="B16" t="s">
        <v>57</v>
      </c>
      <c r="C16">
        <v>1</v>
      </c>
      <c r="D16">
        <v>8</v>
      </c>
      <c r="E16" t="s">
        <v>24</v>
      </c>
      <c r="F16" t="s">
        <v>55</v>
      </c>
      <c r="G16">
        <f t="shared" si="0"/>
        <v>1</v>
      </c>
      <c r="H16">
        <v>8</v>
      </c>
      <c r="I16">
        <v>4</v>
      </c>
      <c r="J16">
        <v>1</v>
      </c>
      <c r="K16" s="6" t="s">
        <v>72</v>
      </c>
      <c r="L16" s="6" t="s">
        <v>85</v>
      </c>
      <c r="M16">
        <v>128</v>
      </c>
      <c r="N16" s="1">
        <v>0.41699999999999998</v>
      </c>
      <c r="O16">
        <v>32</v>
      </c>
      <c r="P16" s="1">
        <v>0.317</v>
      </c>
      <c r="Q16" s="1">
        <v>0.752</v>
      </c>
      <c r="R16">
        <v>367</v>
      </c>
      <c r="S16">
        <v>38</v>
      </c>
      <c r="T16">
        <v>115</v>
      </c>
      <c r="U16">
        <v>89</v>
      </c>
      <c r="V16">
        <v>34</v>
      </c>
      <c r="W16">
        <v>18</v>
      </c>
      <c r="X16">
        <v>64</v>
      </c>
      <c r="Y16" s="5">
        <v>1.390625</v>
      </c>
    </row>
    <row r="17" spans="1:25" x14ac:dyDescent="0.25">
      <c r="A17">
        <v>2018</v>
      </c>
      <c r="B17" t="s">
        <v>57</v>
      </c>
      <c r="C17">
        <v>1</v>
      </c>
      <c r="D17">
        <v>8</v>
      </c>
      <c r="E17" t="s">
        <v>33</v>
      </c>
      <c r="F17" t="s">
        <v>42</v>
      </c>
      <c r="G17">
        <f t="shared" si="0"/>
        <v>0</v>
      </c>
      <c r="H17">
        <v>4</v>
      </c>
      <c r="I17">
        <v>8</v>
      </c>
      <c r="J17">
        <v>1</v>
      </c>
      <c r="K17" s="6" t="s">
        <v>69</v>
      </c>
      <c r="L17" s="6" t="s">
        <v>86</v>
      </c>
      <c r="M17">
        <v>116</v>
      </c>
      <c r="N17" s="1">
        <v>0.47</v>
      </c>
      <c r="O17">
        <v>22</v>
      </c>
      <c r="P17" s="1">
        <v>0.34899999999999998</v>
      </c>
      <c r="Q17" s="1">
        <v>0.80600000000000005</v>
      </c>
      <c r="R17">
        <v>308</v>
      </c>
      <c r="S17">
        <v>23</v>
      </c>
      <c r="T17">
        <v>108</v>
      </c>
      <c r="U17">
        <v>48</v>
      </c>
      <c r="V17">
        <v>27</v>
      </c>
      <c r="W17">
        <v>18</v>
      </c>
      <c r="X17">
        <v>47</v>
      </c>
      <c r="Y17" s="5">
        <v>1.0212765957446808</v>
      </c>
    </row>
    <row r="18" spans="1:25" x14ac:dyDescent="0.25">
      <c r="A18">
        <v>2018</v>
      </c>
      <c r="B18" t="s">
        <v>57</v>
      </c>
      <c r="C18">
        <v>1</v>
      </c>
      <c r="D18">
        <v>9</v>
      </c>
      <c r="E18" t="s">
        <v>21</v>
      </c>
      <c r="F18" t="s">
        <v>50</v>
      </c>
      <c r="G18">
        <f t="shared" si="0"/>
        <v>1</v>
      </c>
      <c r="H18">
        <v>9</v>
      </c>
      <c r="I18">
        <v>4</v>
      </c>
      <c r="J18">
        <v>0</v>
      </c>
      <c r="K18" s="6" t="s">
        <v>71</v>
      </c>
      <c r="L18" s="6" t="s">
        <v>121</v>
      </c>
      <c r="M18">
        <v>160</v>
      </c>
      <c r="N18" s="1">
        <v>0.47099999999999997</v>
      </c>
      <c r="O18">
        <v>34</v>
      </c>
      <c r="P18" s="1">
        <v>0.36599999999999999</v>
      </c>
      <c r="Q18" s="1">
        <v>0.63</v>
      </c>
      <c r="R18">
        <v>412</v>
      </c>
      <c r="S18">
        <v>38</v>
      </c>
      <c r="T18">
        <v>140</v>
      </c>
      <c r="U18">
        <v>76</v>
      </c>
      <c r="V18">
        <v>37</v>
      </c>
      <c r="W18">
        <v>24</v>
      </c>
      <c r="X18">
        <v>71</v>
      </c>
      <c r="Y18" s="5">
        <v>1.0704225352112675</v>
      </c>
    </row>
    <row r="19" spans="1:25" x14ac:dyDescent="0.25">
      <c r="A19">
        <v>2018</v>
      </c>
      <c r="B19" t="s">
        <v>57</v>
      </c>
      <c r="C19">
        <v>1</v>
      </c>
      <c r="D19">
        <v>9</v>
      </c>
      <c r="E19" t="s">
        <v>23</v>
      </c>
      <c r="F19" t="s">
        <v>120</v>
      </c>
      <c r="G19">
        <f t="shared" si="0"/>
        <v>0</v>
      </c>
      <c r="H19">
        <v>4</v>
      </c>
      <c r="I19">
        <v>9</v>
      </c>
      <c r="J19">
        <v>0</v>
      </c>
      <c r="K19" s="6" t="s">
        <v>70</v>
      </c>
      <c r="L19" s="6" t="s">
        <v>87</v>
      </c>
      <c r="M19">
        <v>126</v>
      </c>
      <c r="N19" s="1">
        <v>0.49399999999999999</v>
      </c>
      <c r="O19">
        <v>30</v>
      </c>
      <c r="P19" s="1">
        <v>0.33700000000000002</v>
      </c>
      <c r="Q19" s="1">
        <v>0.76400000000000001</v>
      </c>
      <c r="R19">
        <v>350</v>
      </c>
      <c r="S19">
        <v>33</v>
      </c>
      <c r="T19">
        <v>103</v>
      </c>
      <c r="U19">
        <v>50</v>
      </c>
      <c r="V19">
        <v>24</v>
      </c>
      <c r="W19">
        <v>14</v>
      </c>
      <c r="X19">
        <v>41</v>
      </c>
      <c r="Y19" s="5">
        <v>1.2195121951219512</v>
      </c>
    </row>
    <row r="20" spans="1:25" x14ac:dyDescent="0.25">
      <c r="A20">
        <v>2018</v>
      </c>
      <c r="B20" t="s">
        <v>57</v>
      </c>
      <c r="C20">
        <v>1</v>
      </c>
      <c r="D20">
        <v>10</v>
      </c>
      <c r="E20" t="s">
        <v>98</v>
      </c>
      <c r="F20" t="s">
        <v>41</v>
      </c>
      <c r="G20">
        <f t="shared" si="0"/>
        <v>1</v>
      </c>
      <c r="H20">
        <v>10</v>
      </c>
      <c r="I20">
        <v>3</v>
      </c>
      <c r="J20">
        <v>0</v>
      </c>
      <c r="K20" s="6" t="s">
        <v>111</v>
      </c>
      <c r="L20" s="6" t="s">
        <v>89</v>
      </c>
      <c r="M20">
        <v>111</v>
      </c>
      <c r="N20" s="1">
        <v>0.42199999999999999</v>
      </c>
      <c r="O20">
        <v>29</v>
      </c>
      <c r="P20" s="1">
        <v>0.34899999999999998</v>
      </c>
      <c r="Q20" s="1">
        <v>0.83899999999999997</v>
      </c>
      <c r="R20">
        <v>324</v>
      </c>
      <c r="S20">
        <v>28</v>
      </c>
      <c r="T20">
        <v>92</v>
      </c>
      <c r="U20">
        <v>90</v>
      </c>
      <c r="V20">
        <v>32</v>
      </c>
      <c r="W20">
        <v>12</v>
      </c>
      <c r="X20">
        <v>39</v>
      </c>
      <c r="Y20" s="5">
        <v>2.3076923076923075</v>
      </c>
    </row>
    <row r="21" spans="1:25" x14ac:dyDescent="0.25">
      <c r="A21">
        <v>2018</v>
      </c>
      <c r="B21" t="s">
        <v>57</v>
      </c>
      <c r="C21">
        <v>1</v>
      </c>
      <c r="D21">
        <v>10</v>
      </c>
      <c r="E21" t="s">
        <v>97</v>
      </c>
      <c r="F21" t="s">
        <v>54</v>
      </c>
      <c r="G21">
        <f t="shared" si="0"/>
        <v>0</v>
      </c>
      <c r="H21">
        <v>3</v>
      </c>
      <c r="I21">
        <v>10</v>
      </c>
      <c r="J21">
        <v>0</v>
      </c>
      <c r="K21" s="6" t="s">
        <v>112</v>
      </c>
      <c r="L21" s="6" t="s">
        <v>88</v>
      </c>
      <c r="M21">
        <v>76</v>
      </c>
      <c r="N21" s="1">
        <v>0.50700000000000001</v>
      </c>
      <c r="O21">
        <v>28</v>
      </c>
      <c r="P21" s="1">
        <v>0.42399999999999999</v>
      </c>
      <c r="Q21" s="1">
        <v>0.76500000000000001</v>
      </c>
      <c r="R21">
        <v>206</v>
      </c>
      <c r="S21">
        <v>10</v>
      </c>
      <c r="T21">
        <v>50</v>
      </c>
      <c r="U21">
        <v>16</v>
      </c>
      <c r="V21">
        <v>9</v>
      </c>
      <c r="W21">
        <v>10</v>
      </c>
      <c r="X21">
        <v>30</v>
      </c>
      <c r="Y21" s="5">
        <v>0.53333333333333333</v>
      </c>
    </row>
    <row r="22" spans="1:25" x14ac:dyDescent="0.25">
      <c r="A22">
        <v>2018</v>
      </c>
      <c r="B22" t="s">
        <v>57</v>
      </c>
      <c r="C22">
        <v>2</v>
      </c>
      <c r="D22">
        <v>11</v>
      </c>
      <c r="E22" t="s">
        <v>16</v>
      </c>
      <c r="F22" t="s">
        <v>51</v>
      </c>
      <c r="G22">
        <f t="shared" si="0"/>
        <v>1</v>
      </c>
      <c r="H22">
        <v>9</v>
      </c>
      <c r="I22">
        <v>4</v>
      </c>
      <c r="J22">
        <v>0</v>
      </c>
      <c r="K22" s="6" t="s">
        <v>61</v>
      </c>
      <c r="L22" s="6" t="s">
        <v>77</v>
      </c>
      <c r="M22">
        <v>209</v>
      </c>
      <c r="N22" s="1">
        <v>0.50900000000000001</v>
      </c>
      <c r="O22">
        <v>51</v>
      </c>
      <c r="P22" s="1">
        <v>0.39500000000000002</v>
      </c>
      <c r="Q22" s="1">
        <v>0.79300000000000004</v>
      </c>
      <c r="R22">
        <v>561</v>
      </c>
      <c r="S22">
        <v>51</v>
      </c>
      <c r="T22">
        <v>180</v>
      </c>
      <c r="U22">
        <v>100</v>
      </c>
      <c r="V22">
        <v>38</v>
      </c>
      <c r="W22">
        <v>17</v>
      </c>
      <c r="X22">
        <v>71</v>
      </c>
      <c r="Y22" s="5">
        <v>1.408450704225352</v>
      </c>
    </row>
    <row r="23" spans="1:25" x14ac:dyDescent="0.25">
      <c r="A23">
        <v>2018</v>
      </c>
      <c r="B23" t="s">
        <v>57</v>
      </c>
      <c r="C23">
        <v>2</v>
      </c>
      <c r="D23">
        <v>11</v>
      </c>
      <c r="E23" t="s">
        <v>15</v>
      </c>
      <c r="F23" t="s">
        <v>48</v>
      </c>
      <c r="G23">
        <f t="shared" si="0"/>
        <v>0</v>
      </c>
      <c r="H23">
        <v>4</v>
      </c>
      <c r="I23">
        <v>9</v>
      </c>
      <c r="J23">
        <v>0</v>
      </c>
      <c r="K23" s="6" t="s">
        <v>60</v>
      </c>
      <c r="L23" s="6" t="s">
        <v>75</v>
      </c>
      <c r="M23">
        <v>180</v>
      </c>
      <c r="N23" s="1">
        <v>0.48599999999999999</v>
      </c>
      <c r="O23">
        <v>33</v>
      </c>
      <c r="P23" s="1">
        <v>0.36699999999999999</v>
      </c>
      <c r="Q23" s="1">
        <v>0.70699999999999996</v>
      </c>
      <c r="R23">
        <v>504</v>
      </c>
      <c r="S23">
        <v>61</v>
      </c>
      <c r="T23">
        <v>160</v>
      </c>
      <c r="U23">
        <v>91</v>
      </c>
      <c r="V23">
        <v>27</v>
      </c>
      <c r="W23">
        <v>22</v>
      </c>
      <c r="X23">
        <v>62</v>
      </c>
      <c r="Y23" s="5">
        <v>1.467741935483871</v>
      </c>
    </row>
    <row r="24" spans="1:25" x14ac:dyDescent="0.25">
      <c r="A24">
        <v>2018</v>
      </c>
      <c r="B24" t="s">
        <v>57</v>
      </c>
      <c r="C24">
        <v>2</v>
      </c>
      <c r="D24">
        <v>12</v>
      </c>
      <c r="E24" t="s">
        <v>17</v>
      </c>
      <c r="F24" t="s">
        <v>43</v>
      </c>
      <c r="G24">
        <f t="shared" si="0"/>
        <v>1</v>
      </c>
      <c r="H24">
        <v>8</v>
      </c>
      <c r="I24">
        <v>5</v>
      </c>
      <c r="J24">
        <v>0</v>
      </c>
      <c r="K24" s="6" t="s">
        <v>59</v>
      </c>
      <c r="L24" s="6" t="s">
        <v>74</v>
      </c>
      <c r="M24">
        <v>183</v>
      </c>
      <c r="N24" s="1">
        <v>0.52600000000000002</v>
      </c>
      <c r="O24">
        <v>36</v>
      </c>
      <c r="P24" s="1">
        <v>0.34599999999999997</v>
      </c>
      <c r="Q24" s="1">
        <v>0.747</v>
      </c>
      <c r="R24">
        <v>461</v>
      </c>
      <c r="S24">
        <v>53</v>
      </c>
      <c r="T24">
        <v>155</v>
      </c>
      <c r="U24">
        <v>101</v>
      </c>
      <c r="V24">
        <v>35</v>
      </c>
      <c r="W24">
        <v>26</v>
      </c>
      <c r="X24">
        <v>76</v>
      </c>
      <c r="Y24" s="5">
        <v>1.3289473684210527</v>
      </c>
    </row>
    <row r="25" spans="1:25" x14ac:dyDescent="0.25">
      <c r="A25">
        <v>2018</v>
      </c>
      <c r="B25" t="s">
        <v>57</v>
      </c>
      <c r="C25">
        <v>2</v>
      </c>
      <c r="D25">
        <v>12</v>
      </c>
      <c r="E25" t="s">
        <v>18</v>
      </c>
      <c r="F25" t="s">
        <v>52</v>
      </c>
      <c r="G25">
        <f t="shared" si="0"/>
        <v>0</v>
      </c>
      <c r="H25">
        <v>5</v>
      </c>
      <c r="I25">
        <v>8</v>
      </c>
      <c r="J25">
        <v>0</v>
      </c>
      <c r="K25" s="6" t="s">
        <v>63</v>
      </c>
      <c r="L25" s="6" t="s">
        <v>79</v>
      </c>
      <c r="M25">
        <v>160</v>
      </c>
      <c r="N25" s="1">
        <v>0.48499999999999999</v>
      </c>
      <c r="O25">
        <v>52</v>
      </c>
      <c r="P25" s="1">
        <v>0.433</v>
      </c>
      <c r="Q25" s="1">
        <v>0.75700000000000001</v>
      </c>
      <c r="R25">
        <v>450</v>
      </c>
      <c r="S25">
        <v>36</v>
      </c>
      <c r="T25">
        <v>145</v>
      </c>
      <c r="U25">
        <v>80</v>
      </c>
      <c r="V25">
        <v>33</v>
      </c>
      <c r="W25">
        <v>32</v>
      </c>
      <c r="X25">
        <v>72</v>
      </c>
      <c r="Y25" s="5">
        <v>1.1111111111111112</v>
      </c>
    </row>
    <row r="26" spans="1:25" x14ac:dyDescent="0.25">
      <c r="A26">
        <v>2018</v>
      </c>
      <c r="B26" t="s">
        <v>57</v>
      </c>
      <c r="C26">
        <v>2</v>
      </c>
      <c r="D26">
        <v>13</v>
      </c>
      <c r="E26" t="s">
        <v>181</v>
      </c>
      <c r="F26" t="s">
        <v>49</v>
      </c>
      <c r="G26">
        <f t="shared" si="0"/>
        <v>1</v>
      </c>
      <c r="H26">
        <v>8</v>
      </c>
      <c r="I26">
        <v>5</v>
      </c>
      <c r="J26">
        <v>0</v>
      </c>
      <c r="K26" s="6" t="s">
        <v>64</v>
      </c>
      <c r="L26" s="6" t="s">
        <v>80</v>
      </c>
      <c r="M26">
        <v>153</v>
      </c>
      <c r="N26" s="1">
        <v>0.43</v>
      </c>
      <c r="O26">
        <v>29</v>
      </c>
      <c r="P26" s="1">
        <v>0.27400000000000002</v>
      </c>
      <c r="Q26" s="1">
        <v>0.85399999999999998</v>
      </c>
      <c r="R26">
        <v>411</v>
      </c>
      <c r="S26">
        <v>20</v>
      </c>
      <c r="T26">
        <v>107</v>
      </c>
      <c r="U26">
        <v>104</v>
      </c>
      <c r="V26">
        <v>30</v>
      </c>
      <c r="W26">
        <v>17</v>
      </c>
      <c r="X26">
        <v>47</v>
      </c>
      <c r="Y26" s="5">
        <v>2.2127659574468086</v>
      </c>
    </row>
    <row r="27" spans="1:25" x14ac:dyDescent="0.25">
      <c r="A27">
        <v>2018</v>
      </c>
      <c r="B27" t="s">
        <v>57</v>
      </c>
      <c r="C27">
        <v>2</v>
      </c>
      <c r="D27">
        <v>13</v>
      </c>
      <c r="E27" t="s">
        <v>28</v>
      </c>
      <c r="F27" t="s">
        <v>46</v>
      </c>
      <c r="G27">
        <f t="shared" si="0"/>
        <v>0</v>
      </c>
      <c r="H27">
        <v>5</v>
      </c>
      <c r="I27">
        <v>8</v>
      </c>
      <c r="J27">
        <v>0</v>
      </c>
      <c r="K27" s="6" t="s">
        <v>182</v>
      </c>
      <c r="L27" s="6" t="s">
        <v>76</v>
      </c>
      <c r="M27">
        <v>113</v>
      </c>
      <c r="N27" s="1">
        <v>0.44800000000000001</v>
      </c>
      <c r="O27">
        <v>17</v>
      </c>
      <c r="P27" s="1">
        <v>0.34</v>
      </c>
      <c r="Q27" s="1">
        <v>0.70299999999999996</v>
      </c>
      <c r="R27">
        <v>295</v>
      </c>
      <c r="S27">
        <v>28</v>
      </c>
      <c r="T27">
        <v>133</v>
      </c>
      <c r="U27">
        <v>56</v>
      </c>
      <c r="V27">
        <v>23</v>
      </c>
      <c r="W27">
        <v>9</v>
      </c>
      <c r="X27">
        <v>46</v>
      </c>
      <c r="Y27" s="5">
        <v>1.2173913043478262</v>
      </c>
    </row>
    <row r="28" spans="1:25" x14ac:dyDescent="0.25">
      <c r="A28">
        <v>2018</v>
      </c>
      <c r="B28" t="s">
        <v>57</v>
      </c>
      <c r="C28">
        <v>2</v>
      </c>
      <c r="D28">
        <v>14</v>
      </c>
      <c r="E28" t="s">
        <v>20</v>
      </c>
      <c r="F28" t="s">
        <v>47</v>
      </c>
      <c r="G28">
        <f t="shared" si="0"/>
        <v>1</v>
      </c>
      <c r="H28">
        <v>9</v>
      </c>
      <c r="I28">
        <v>3</v>
      </c>
      <c r="J28">
        <v>1</v>
      </c>
      <c r="K28" s="6" t="s">
        <v>66</v>
      </c>
      <c r="L28" s="6" t="s">
        <v>81</v>
      </c>
      <c r="M28">
        <v>151</v>
      </c>
      <c r="N28" s="1">
        <v>0.46200000000000002</v>
      </c>
      <c r="O28">
        <v>60</v>
      </c>
      <c r="P28" s="1">
        <v>0.44400000000000001</v>
      </c>
      <c r="Q28" s="1">
        <v>0.77900000000000003</v>
      </c>
      <c r="R28">
        <v>429</v>
      </c>
      <c r="S28">
        <v>32</v>
      </c>
      <c r="T28">
        <v>132</v>
      </c>
      <c r="U28">
        <v>77</v>
      </c>
      <c r="V28">
        <v>31</v>
      </c>
      <c r="W28">
        <v>23</v>
      </c>
      <c r="X28">
        <v>49</v>
      </c>
      <c r="Y28" s="5">
        <v>1.5714285714285714</v>
      </c>
    </row>
    <row r="29" spans="1:25" x14ac:dyDescent="0.25">
      <c r="A29">
        <v>2018</v>
      </c>
      <c r="B29" t="s">
        <v>57</v>
      </c>
      <c r="C29">
        <v>2</v>
      </c>
      <c r="D29">
        <v>14</v>
      </c>
      <c r="E29" t="s">
        <v>22</v>
      </c>
      <c r="F29" t="s">
        <v>44</v>
      </c>
      <c r="G29">
        <f t="shared" si="0"/>
        <v>0</v>
      </c>
      <c r="H29">
        <v>3</v>
      </c>
      <c r="I29">
        <v>9</v>
      </c>
      <c r="J29">
        <v>1</v>
      </c>
      <c r="K29" s="6" t="s">
        <v>62</v>
      </c>
      <c r="L29" s="6" t="s">
        <v>78</v>
      </c>
      <c r="M29">
        <v>155</v>
      </c>
      <c r="N29" s="1">
        <v>0.47399999999999998</v>
      </c>
      <c r="O29">
        <v>41</v>
      </c>
      <c r="P29" s="1">
        <v>0.36299999999999999</v>
      </c>
      <c r="Q29" s="1">
        <v>0.83499999999999996</v>
      </c>
      <c r="R29">
        <v>422</v>
      </c>
      <c r="S29">
        <v>32</v>
      </c>
      <c r="T29">
        <v>112</v>
      </c>
      <c r="U29">
        <v>67</v>
      </c>
      <c r="V29">
        <v>21</v>
      </c>
      <c r="W29">
        <v>19</v>
      </c>
      <c r="X29">
        <v>56</v>
      </c>
      <c r="Y29" s="5">
        <v>1.1964285714285714</v>
      </c>
    </row>
    <row r="30" spans="1:25" x14ac:dyDescent="0.25">
      <c r="A30">
        <v>2018</v>
      </c>
      <c r="B30" t="s">
        <v>57</v>
      </c>
      <c r="C30">
        <v>2</v>
      </c>
      <c r="D30">
        <v>15</v>
      </c>
      <c r="E30" t="s">
        <v>190</v>
      </c>
      <c r="F30" t="s">
        <v>103</v>
      </c>
      <c r="G30">
        <f t="shared" si="0"/>
        <v>0</v>
      </c>
      <c r="H30">
        <v>5</v>
      </c>
      <c r="I30">
        <v>7</v>
      </c>
      <c r="J30">
        <v>1</v>
      </c>
      <c r="K30" s="6" t="s">
        <v>65</v>
      </c>
      <c r="L30" s="6" t="s">
        <v>119</v>
      </c>
      <c r="M30">
        <v>171</v>
      </c>
      <c r="N30" s="1">
        <v>0.47199999999999998</v>
      </c>
      <c r="O30">
        <v>44</v>
      </c>
      <c r="P30" s="1">
        <v>0.36399999999999999</v>
      </c>
      <c r="Q30" s="1">
        <v>0.67900000000000005</v>
      </c>
      <c r="R30">
        <v>441</v>
      </c>
      <c r="S30">
        <v>38</v>
      </c>
      <c r="T30">
        <v>133</v>
      </c>
      <c r="U30">
        <v>93</v>
      </c>
      <c r="V30">
        <v>34</v>
      </c>
      <c r="W30">
        <v>18</v>
      </c>
      <c r="X30">
        <v>76</v>
      </c>
      <c r="Y30" s="5">
        <v>1.2236842105263157</v>
      </c>
    </row>
    <row r="31" spans="1:25" x14ac:dyDescent="0.25">
      <c r="A31">
        <v>2018</v>
      </c>
      <c r="B31" t="s">
        <v>57</v>
      </c>
      <c r="C31">
        <v>2</v>
      </c>
      <c r="D31">
        <v>15</v>
      </c>
      <c r="E31" t="s">
        <v>26</v>
      </c>
      <c r="F31" t="s">
        <v>118</v>
      </c>
      <c r="G31">
        <f t="shared" si="0"/>
        <v>1</v>
      </c>
      <c r="H31">
        <v>7</v>
      </c>
      <c r="I31">
        <v>5</v>
      </c>
      <c r="J31">
        <v>1</v>
      </c>
      <c r="K31" s="6" t="s">
        <v>191</v>
      </c>
      <c r="L31" s="6" t="s">
        <v>113</v>
      </c>
      <c r="M31">
        <v>160</v>
      </c>
      <c r="N31" s="1">
        <v>0.434</v>
      </c>
      <c r="O31">
        <v>44</v>
      </c>
      <c r="P31" s="1">
        <v>0.35499999999999998</v>
      </c>
      <c r="Q31" s="1">
        <v>0.78600000000000003</v>
      </c>
      <c r="R31">
        <v>456</v>
      </c>
      <c r="S31">
        <v>51</v>
      </c>
      <c r="T31">
        <v>136</v>
      </c>
      <c r="U31">
        <v>122</v>
      </c>
      <c r="V31">
        <v>26</v>
      </c>
      <c r="W31">
        <v>14</v>
      </c>
      <c r="X31">
        <v>60</v>
      </c>
      <c r="Y31" s="5">
        <v>2.0333333333333332</v>
      </c>
    </row>
    <row r="32" spans="1:25" x14ac:dyDescent="0.25">
      <c r="A32">
        <v>2018</v>
      </c>
      <c r="B32" t="s">
        <v>57</v>
      </c>
      <c r="C32">
        <v>2</v>
      </c>
      <c r="D32">
        <v>16</v>
      </c>
      <c r="E32" t="s">
        <v>25</v>
      </c>
      <c r="F32" t="s">
        <v>53</v>
      </c>
      <c r="G32">
        <f t="shared" si="0"/>
        <v>1</v>
      </c>
      <c r="H32">
        <v>10</v>
      </c>
      <c r="I32">
        <v>3</v>
      </c>
      <c r="J32">
        <v>0</v>
      </c>
      <c r="K32" s="6" t="s">
        <v>193</v>
      </c>
      <c r="L32" s="6" t="s">
        <v>117</v>
      </c>
      <c r="M32">
        <v>161</v>
      </c>
      <c r="N32" s="1">
        <v>0.47199999999999998</v>
      </c>
      <c r="O32">
        <v>39</v>
      </c>
      <c r="P32" s="1">
        <v>0.36099999999999999</v>
      </c>
      <c r="Q32" s="1">
        <v>0.72699999999999998</v>
      </c>
      <c r="R32">
        <v>417</v>
      </c>
      <c r="S32">
        <v>19</v>
      </c>
      <c r="T32">
        <v>128</v>
      </c>
      <c r="U32">
        <v>96</v>
      </c>
      <c r="V32">
        <v>37</v>
      </c>
      <c r="W32">
        <v>5</v>
      </c>
      <c r="X32">
        <v>74</v>
      </c>
      <c r="Y32" s="5">
        <v>1.2972972972972974</v>
      </c>
    </row>
    <row r="33" spans="1:25" x14ac:dyDescent="0.25">
      <c r="A33">
        <v>2018</v>
      </c>
      <c r="B33" t="s">
        <v>57</v>
      </c>
      <c r="C33">
        <v>2</v>
      </c>
      <c r="D33">
        <v>16</v>
      </c>
      <c r="E33" t="s">
        <v>159</v>
      </c>
      <c r="F33" t="s">
        <v>116</v>
      </c>
      <c r="G33">
        <f t="shared" si="0"/>
        <v>0</v>
      </c>
      <c r="H33">
        <v>3</v>
      </c>
      <c r="I33">
        <v>10</v>
      </c>
      <c r="J33">
        <v>0</v>
      </c>
      <c r="K33" s="6" t="s">
        <v>68</v>
      </c>
      <c r="L33" s="6" t="s">
        <v>84</v>
      </c>
      <c r="M33">
        <v>125</v>
      </c>
      <c r="N33" s="1">
        <v>0.38700000000000001</v>
      </c>
      <c r="O33">
        <v>21</v>
      </c>
      <c r="P33" s="1">
        <v>0.247</v>
      </c>
      <c r="Q33" s="1">
        <v>0.64200000000000002</v>
      </c>
      <c r="R33">
        <v>314</v>
      </c>
      <c r="S33">
        <v>36</v>
      </c>
      <c r="T33">
        <v>120</v>
      </c>
      <c r="U33">
        <v>67</v>
      </c>
      <c r="V33">
        <v>28</v>
      </c>
      <c r="W33">
        <v>9</v>
      </c>
      <c r="X33">
        <v>58</v>
      </c>
      <c r="Y33" s="5">
        <v>1.1551724137931034</v>
      </c>
    </row>
    <row r="34" spans="1:25" x14ac:dyDescent="0.25">
      <c r="A34">
        <v>2018</v>
      </c>
      <c r="B34" t="s">
        <v>57</v>
      </c>
      <c r="C34">
        <v>2</v>
      </c>
      <c r="D34">
        <v>17</v>
      </c>
      <c r="E34" t="s">
        <v>24</v>
      </c>
      <c r="F34" t="s">
        <v>55</v>
      </c>
      <c r="G34">
        <f t="shared" si="0"/>
        <v>0</v>
      </c>
      <c r="H34">
        <v>4</v>
      </c>
      <c r="I34">
        <v>9</v>
      </c>
      <c r="J34">
        <v>0</v>
      </c>
      <c r="K34" s="6" t="s">
        <v>67</v>
      </c>
      <c r="L34" s="6" t="s">
        <v>82</v>
      </c>
      <c r="M34">
        <v>147</v>
      </c>
      <c r="N34" s="1">
        <v>0.46100000000000002</v>
      </c>
      <c r="O34">
        <v>37</v>
      </c>
      <c r="P34" s="1">
        <v>0.36599999999999999</v>
      </c>
      <c r="Q34" s="1">
        <v>0.75</v>
      </c>
      <c r="R34">
        <v>409</v>
      </c>
      <c r="S34">
        <v>39</v>
      </c>
      <c r="T34">
        <v>145</v>
      </c>
      <c r="U34">
        <v>103</v>
      </c>
      <c r="V34">
        <v>32</v>
      </c>
      <c r="W34">
        <v>13</v>
      </c>
      <c r="X34">
        <v>64</v>
      </c>
      <c r="Y34" s="5">
        <v>1.609375</v>
      </c>
    </row>
    <row r="35" spans="1:25" x14ac:dyDescent="0.25">
      <c r="A35">
        <v>2018</v>
      </c>
      <c r="B35" t="s">
        <v>57</v>
      </c>
      <c r="C35">
        <v>2</v>
      </c>
      <c r="D35">
        <v>17</v>
      </c>
      <c r="E35" t="s">
        <v>19</v>
      </c>
      <c r="F35" t="s">
        <v>56</v>
      </c>
      <c r="G35">
        <f t="shared" si="0"/>
        <v>1</v>
      </c>
      <c r="H35">
        <v>9</v>
      </c>
      <c r="I35">
        <v>4</v>
      </c>
      <c r="J35">
        <v>0</v>
      </c>
      <c r="K35" s="6" t="s">
        <v>69</v>
      </c>
      <c r="L35" s="6" t="s">
        <v>86</v>
      </c>
      <c r="M35">
        <v>180</v>
      </c>
      <c r="N35" s="1">
        <v>0.47699999999999998</v>
      </c>
      <c r="O35">
        <v>55</v>
      </c>
      <c r="P35" s="1">
        <v>0.42</v>
      </c>
      <c r="Q35" s="1">
        <v>0.82</v>
      </c>
      <c r="R35">
        <v>506</v>
      </c>
      <c r="S35">
        <v>33</v>
      </c>
      <c r="T35">
        <v>168</v>
      </c>
      <c r="U35">
        <v>106</v>
      </c>
      <c r="V35">
        <v>29</v>
      </c>
      <c r="W35">
        <v>25</v>
      </c>
      <c r="X35">
        <v>68</v>
      </c>
      <c r="Y35" s="5">
        <v>1.5588235294117647</v>
      </c>
    </row>
    <row r="36" spans="1:25" x14ac:dyDescent="0.25">
      <c r="A36">
        <v>2018</v>
      </c>
      <c r="B36" t="s">
        <v>57</v>
      </c>
      <c r="C36">
        <v>2</v>
      </c>
      <c r="D36">
        <v>18</v>
      </c>
      <c r="E36" t="s">
        <v>94</v>
      </c>
      <c r="F36" t="s">
        <v>40</v>
      </c>
      <c r="G36">
        <f t="shared" si="0"/>
        <v>1</v>
      </c>
      <c r="H36">
        <v>8</v>
      </c>
      <c r="I36">
        <v>5</v>
      </c>
      <c r="J36">
        <v>0</v>
      </c>
      <c r="K36" s="6" t="s">
        <v>71</v>
      </c>
      <c r="L36" s="6" t="s">
        <v>121</v>
      </c>
      <c r="M36">
        <v>165</v>
      </c>
      <c r="N36" s="1">
        <v>0.433</v>
      </c>
      <c r="O36">
        <v>45</v>
      </c>
      <c r="P36" s="1">
        <v>0.35199999999999998</v>
      </c>
      <c r="Q36" s="1">
        <v>0.71899999999999997</v>
      </c>
      <c r="R36">
        <v>444</v>
      </c>
      <c r="S36">
        <v>49</v>
      </c>
      <c r="T36">
        <v>126</v>
      </c>
      <c r="U36">
        <v>91</v>
      </c>
      <c r="V36">
        <v>31</v>
      </c>
      <c r="W36">
        <v>22</v>
      </c>
      <c r="X36">
        <v>74</v>
      </c>
      <c r="Y36" s="5">
        <v>1.2297297297297298</v>
      </c>
    </row>
    <row r="37" spans="1:25" x14ac:dyDescent="0.25">
      <c r="A37">
        <v>2018</v>
      </c>
      <c r="B37" t="s">
        <v>57</v>
      </c>
      <c r="C37">
        <v>2</v>
      </c>
      <c r="D37">
        <v>18</v>
      </c>
      <c r="E37" t="s">
        <v>23</v>
      </c>
      <c r="F37" t="s">
        <v>120</v>
      </c>
      <c r="G37">
        <f t="shared" si="0"/>
        <v>0</v>
      </c>
      <c r="H37">
        <v>5</v>
      </c>
      <c r="I37">
        <v>8</v>
      </c>
      <c r="J37">
        <v>0</v>
      </c>
      <c r="K37" s="6" t="s">
        <v>106</v>
      </c>
      <c r="L37" s="6" t="s">
        <v>83</v>
      </c>
      <c r="M37">
        <v>136</v>
      </c>
      <c r="N37" s="1">
        <v>0.42399999999999999</v>
      </c>
      <c r="O37">
        <v>51</v>
      </c>
      <c r="P37" s="1">
        <v>0.372</v>
      </c>
      <c r="Q37" s="1">
        <v>0.78600000000000003</v>
      </c>
      <c r="R37">
        <v>367</v>
      </c>
      <c r="S37">
        <v>36</v>
      </c>
      <c r="T37">
        <v>110</v>
      </c>
      <c r="U37">
        <v>75</v>
      </c>
      <c r="V37">
        <v>16</v>
      </c>
      <c r="W37">
        <v>17</v>
      </c>
      <c r="X37">
        <v>34</v>
      </c>
      <c r="Y37" s="5">
        <v>2.2058823529411766</v>
      </c>
    </row>
    <row r="38" spans="1:25" x14ac:dyDescent="0.25">
      <c r="A38">
        <v>2018</v>
      </c>
      <c r="B38" t="s">
        <v>57</v>
      </c>
      <c r="C38">
        <v>2</v>
      </c>
      <c r="D38">
        <v>19</v>
      </c>
      <c r="E38" t="s">
        <v>33</v>
      </c>
      <c r="F38" t="s">
        <v>42</v>
      </c>
      <c r="G38">
        <f t="shared" si="0"/>
        <v>1</v>
      </c>
      <c r="H38">
        <v>10</v>
      </c>
      <c r="I38">
        <v>2</v>
      </c>
      <c r="J38">
        <v>1</v>
      </c>
      <c r="K38" s="6" t="s">
        <v>111</v>
      </c>
      <c r="L38" s="6" t="s">
        <v>89</v>
      </c>
      <c r="M38">
        <v>132</v>
      </c>
      <c r="N38" s="1">
        <v>0.46500000000000002</v>
      </c>
      <c r="O38">
        <v>33</v>
      </c>
      <c r="P38" s="1">
        <v>0.36299999999999999</v>
      </c>
      <c r="Q38" s="1">
        <v>0.80800000000000005</v>
      </c>
      <c r="R38">
        <v>339</v>
      </c>
      <c r="S38">
        <v>24</v>
      </c>
      <c r="T38">
        <v>97</v>
      </c>
      <c r="U38">
        <v>64</v>
      </c>
      <c r="V38">
        <v>33</v>
      </c>
      <c r="W38">
        <v>9</v>
      </c>
      <c r="X38">
        <v>59</v>
      </c>
      <c r="Y38" s="5">
        <v>1.0847457627118644</v>
      </c>
    </row>
    <row r="39" spans="1:25" x14ac:dyDescent="0.25">
      <c r="A39">
        <v>2018</v>
      </c>
      <c r="B39" t="s">
        <v>57</v>
      </c>
      <c r="C39">
        <v>2</v>
      </c>
      <c r="D39">
        <v>19</v>
      </c>
      <c r="E39" t="s">
        <v>97</v>
      </c>
      <c r="F39" t="s">
        <v>54</v>
      </c>
      <c r="G39">
        <f t="shared" si="0"/>
        <v>0</v>
      </c>
      <c r="H39">
        <v>2</v>
      </c>
      <c r="I39">
        <v>10</v>
      </c>
      <c r="J39">
        <v>1</v>
      </c>
      <c r="K39" s="6" t="s">
        <v>72</v>
      </c>
      <c r="L39" s="6" t="s">
        <v>85</v>
      </c>
      <c r="M39">
        <v>80</v>
      </c>
      <c r="N39" s="1">
        <v>0.40799999999999997</v>
      </c>
      <c r="O39">
        <v>24</v>
      </c>
      <c r="P39" s="1">
        <v>0.30399999999999999</v>
      </c>
      <c r="Q39" s="1">
        <v>0.75900000000000001</v>
      </c>
      <c r="R39">
        <v>225</v>
      </c>
      <c r="S39">
        <v>16</v>
      </c>
      <c r="T39">
        <v>55</v>
      </c>
      <c r="U39">
        <v>46</v>
      </c>
      <c r="V39">
        <v>17</v>
      </c>
      <c r="W39">
        <v>9</v>
      </c>
      <c r="X39">
        <v>24</v>
      </c>
      <c r="Y39" s="5">
        <v>1.9166666666666667</v>
      </c>
    </row>
    <row r="40" spans="1:25" x14ac:dyDescent="0.25">
      <c r="A40">
        <v>2018</v>
      </c>
      <c r="B40" t="s">
        <v>57</v>
      </c>
      <c r="C40">
        <v>2</v>
      </c>
      <c r="D40">
        <v>20</v>
      </c>
      <c r="E40" t="s">
        <v>21</v>
      </c>
      <c r="F40" t="s">
        <v>50</v>
      </c>
      <c r="G40">
        <f t="shared" si="0"/>
        <v>1</v>
      </c>
      <c r="H40">
        <v>11</v>
      </c>
      <c r="I40">
        <v>2</v>
      </c>
      <c r="J40">
        <v>0</v>
      </c>
      <c r="K40" s="6" t="s">
        <v>112</v>
      </c>
      <c r="L40" s="6" t="s">
        <v>88</v>
      </c>
      <c r="M40">
        <v>187</v>
      </c>
      <c r="N40" s="1">
        <v>0.49099999999999999</v>
      </c>
      <c r="O40">
        <v>44</v>
      </c>
      <c r="P40" s="1">
        <v>0.40699999999999997</v>
      </c>
      <c r="Q40" s="1">
        <v>0.78900000000000003</v>
      </c>
      <c r="R40">
        <v>493</v>
      </c>
      <c r="S40">
        <v>58</v>
      </c>
      <c r="T40">
        <v>135</v>
      </c>
      <c r="U40">
        <v>102</v>
      </c>
      <c r="V40">
        <v>40</v>
      </c>
      <c r="W40">
        <v>20</v>
      </c>
      <c r="X40">
        <v>55</v>
      </c>
      <c r="Y40" s="5">
        <v>1.8545454545454545</v>
      </c>
    </row>
    <row r="41" spans="1:25" x14ac:dyDescent="0.25">
      <c r="A41">
        <v>2018</v>
      </c>
      <c r="B41" t="s">
        <v>57</v>
      </c>
      <c r="C41">
        <v>2</v>
      </c>
      <c r="D41">
        <v>20</v>
      </c>
      <c r="E41" t="s">
        <v>98</v>
      </c>
      <c r="F41" t="s">
        <v>41</v>
      </c>
      <c r="G41">
        <f t="shared" si="0"/>
        <v>0</v>
      </c>
      <c r="H41">
        <v>2</v>
      </c>
      <c r="I41">
        <v>11</v>
      </c>
      <c r="J41">
        <v>0</v>
      </c>
      <c r="K41" s="6" t="s">
        <v>70</v>
      </c>
      <c r="L41" s="6" t="s">
        <v>87</v>
      </c>
      <c r="M41">
        <v>135</v>
      </c>
      <c r="N41" s="1">
        <v>0.45</v>
      </c>
      <c r="O41">
        <v>38</v>
      </c>
      <c r="P41" s="1">
        <v>0.35499999999999998</v>
      </c>
      <c r="Q41" s="1">
        <v>0.89400000000000002</v>
      </c>
      <c r="R41">
        <v>401</v>
      </c>
      <c r="S41">
        <v>32</v>
      </c>
      <c r="T41">
        <v>128</v>
      </c>
      <c r="U41">
        <v>92</v>
      </c>
      <c r="V41">
        <v>22</v>
      </c>
      <c r="W41">
        <v>22</v>
      </c>
      <c r="X41">
        <v>82</v>
      </c>
      <c r="Y41" s="5">
        <v>1.1219512195121952</v>
      </c>
    </row>
    <row r="42" spans="1:25" x14ac:dyDescent="0.25">
      <c r="A42">
        <v>2018</v>
      </c>
      <c r="B42" t="s">
        <v>57</v>
      </c>
      <c r="C42">
        <v>3</v>
      </c>
      <c r="D42">
        <v>21</v>
      </c>
      <c r="E42" t="s">
        <v>16</v>
      </c>
      <c r="F42" t="s">
        <v>51</v>
      </c>
      <c r="G42">
        <f t="shared" si="0"/>
        <v>1</v>
      </c>
      <c r="H42">
        <v>7</v>
      </c>
      <c r="I42">
        <v>6</v>
      </c>
      <c r="J42">
        <v>0</v>
      </c>
      <c r="K42" s="6" t="s">
        <v>63</v>
      </c>
      <c r="L42" s="6" t="s">
        <v>79</v>
      </c>
      <c r="M42">
        <v>164</v>
      </c>
      <c r="N42" s="1">
        <v>0.48399999999999999</v>
      </c>
      <c r="O42">
        <v>56</v>
      </c>
      <c r="P42" s="1">
        <v>0.42699999999999999</v>
      </c>
      <c r="Q42" s="1">
        <v>0.76300000000000001</v>
      </c>
      <c r="R42">
        <v>455</v>
      </c>
      <c r="S42">
        <v>38</v>
      </c>
      <c r="T42">
        <v>169</v>
      </c>
      <c r="U42">
        <v>111</v>
      </c>
      <c r="V42">
        <v>43</v>
      </c>
      <c r="W42">
        <v>20</v>
      </c>
      <c r="X42">
        <v>68</v>
      </c>
      <c r="Y42" s="5">
        <v>1.6323529411764706</v>
      </c>
    </row>
    <row r="43" spans="1:25" x14ac:dyDescent="0.25">
      <c r="A43">
        <v>2018</v>
      </c>
      <c r="B43" t="s">
        <v>57</v>
      </c>
      <c r="C43">
        <v>3</v>
      </c>
      <c r="D43">
        <v>21</v>
      </c>
      <c r="E43" t="s">
        <v>17</v>
      </c>
      <c r="F43" t="s">
        <v>43</v>
      </c>
      <c r="G43">
        <f t="shared" si="0"/>
        <v>0</v>
      </c>
      <c r="H43">
        <v>6</v>
      </c>
      <c r="I43">
        <v>7</v>
      </c>
      <c r="J43">
        <v>0</v>
      </c>
      <c r="K43" s="6" t="s">
        <v>60</v>
      </c>
      <c r="L43" s="6" t="s">
        <v>75</v>
      </c>
      <c r="M43">
        <v>179</v>
      </c>
      <c r="N43" s="1">
        <v>0.54400000000000004</v>
      </c>
      <c r="O43">
        <v>35</v>
      </c>
      <c r="P43" s="1">
        <v>0.38</v>
      </c>
      <c r="Q43" s="1">
        <v>0.85499999999999998</v>
      </c>
      <c r="R43">
        <v>458</v>
      </c>
      <c r="S43">
        <v>48</v>
      </c>
      <c r="T43">
        <v>143</v>
      </c>
      <c r="U43">
        <v>91</v>
      </c>
      <c r="V43">
        <v>26</v>
      </c>
      <c r="W43">
        <v>17</v>
      </c>
      <c r="X43">
        <v>56</v>
      </c>
      <c r="Y43" s="5">
        <v>1.625</v>
      </c>
    </row>
    <row r="44" spans="1:25" x14ac:dyDescent="0.25">
      <c r="A44">
        <v>2018</v>
      </c>
      <c r="B44" t="s">
        <v>57</v>
      </c>
      <c r="C44">
        <v>3</v>
      </c>
      <c r="D44">
        <v>22</v>
      </c>
      <c r="E44" t="s">
        <v>15</v>
      </c>
      <c r="F44" t="s">
        <v>48</v>
      </c>
      <c r="G44">
        <f t="shared" si="0"/>
        <v>1</v>
      </c>
      <c r="H44">
        <v>9</v>
      </c>
      <c r="I44">
        <v>4</v>
      </c>
      <c r="J44">
        <v>0</v>
      </c>
      <c r="K44" s="6" t="s">
        <v>64</v>
      </c>
      <c r="L44" s="6" t="s">
        <v>80</v>
      </c>
      <c r="M44">
        <v>181</v>
      </c>
      <c r="N44" s="1">
        <v>0.43099999999999999</v>
      </c>
      <c r="O44">
        <v>37</v>
      </c>
      <c r="P44" s="1">
        <v>0.33300000000000002</v>
      </c>
      <c r="Q44" s="1">
        <v>0.71699999999999997</v>
      </c>
      <c r="R44">
        <v>508</v>
      </c>
      <c r="S44">
        <v>53</v>
      </c>
      <c r="T44">
        <v>137</v>
      </c>
      <c r="U44">
        <v>114</v>
      </c>
      <c r="V44">
        <v>42</v>
      </c>
      <c r="W44">
        <v>16</v>
      </c>
      <c r="X44">
        <v>75</v>
      </c>
      <c r="Y44" s="5">
        <v>1.52</v>
      </c>
    </row>
    <row r="45" spans="1:25" x14ac:dyDescent="0.25">
      <c r="A45">
        <v>2018</v>
      </c>
      <c r="B45" t="s">
        <v>57</v>
      </c>
      <c r="C45">
        <v>3</v>
      </c>
      <c r="D45">
        <v>22</v>
      </c>
      <c r="E45" t="s">
        <v>28</v>
      </c>
      <c r="F45" t="s">
        <v>46</v>
      </c>
      <c r="G45">
        <f t="shared" si="0"/>
        <v>0</v>
      </c>
      <c r="H45">
        <v>4</v>
      </c>
      <c r="I45">
        <v>9</v>
      </c>
      <c r="J45">
        <v>0</v>
      </c>
      <c r="K45" s="6" t="s">
        <v>61</v>
      </c>
      <c r="L45" s="6" t="s">
        <v>77</v>
      </c>
      <c r="M45">
        <v>168</v>
      </c>
      <c r="N45" s="1">
        <v>0.48599999999999999</v>
      </c>
      <c r="O45">
        <v>32</v>
      </c>
      <c r="P45" s="1">
        <v>0.32</v>
      </c>
      <c r="Q45" s="1">
        <v>0.66700000000000004</v>
      </c>
      <c r="R45">
        <v>420</v>
      </c>
      <c r="S45">
        <v>40</v>
      </c>
      <c r="T45">
        <v>148</v>
      </c>
      <c r="U45">
        <v>76</v>
      </c>
      <c r="V45">
        <v>33</v>
      </c>
      <c r="W45">
        <v>19</v>
      </c>
      <c r="X45">
        <v>53</v>
      </c>
      <c r="Y45" s="5">
        <v>1.4339622641509433</v>
      </c>
    </row>
    <row r="46" spans="1:25" x14ac:dyDescent="0.25">
      <c r="A46">
        <v>2018</v>
      </c>
      <c r="B46" t="s">
        <v>57</v>
      </c>
      <c r="C46">
        <v>3</v>
      </c>
      <c r="D46">
        <v>23</v>
      </c>
      <c r="E46" t="s">
        <v>18</v>
      </c>
      <c r="F46" t="s">
        <v>52</v>
      </c>
      <c r="G46">
        <f t="shared" si="0"/>
        <v>0</v>
      </c>
      <c r="H46">
        <v>6</v>
      </c>
      <c r="I46">
        <v>7</v>
      </c>
      <c r="J46">
        <v>0</v>
      </c>
      <c r="K46" s="6" t="s">
        <v>66</v>
      </c>
      <c r="L46" s="6" t="s">
        <v>81</v>
      </c>
      <c r="M46">
        <v>135</v>
      </c>
      <c r="N46" s="1">
        <v>0.42599999999999999</v>
      </c>
      <c r="O46">
        <v>34</v>
      </c>
      <c r="P46" s="1">
        <v>0.30599999999999999</v>
      </c>
      <c r="Q46" s="1">
        <v>0.83299999999999996</v>
      </c>
      <c r="R46">
        <v>364</v>
      </c>
      <c r="S46">
        <v>37</v>
      </c>
      <c r="T46">
        <v>129</v>
      </c>
      <c r="U46">
        <v>78</v>
      </c>
      <c r="V46">
        <v>26</v>
      </c>
      <c r="W46">
        <v>22</v>
      </c>
      <c r="X46">
        <v>45</v>
      </c>
      <c r="Y46" s="5">
        <v>1.7333333333333334</v>
      </c>
    </row>
    <row r="47" spans="1:25" x14ac:dyDescent="0.25">
      <c r="A47">
        <v>2018</v>
      </c>
      <c r="B47" t="s">
        <v>57</v>
      </c>
      <c r="C47">
        <v>3</v>
      </c>
      <c r="D47">
        <v>23</v>
      </c>
      <c r="E47" t="s">
        <v>22</v>
      </c>
      <c r="F47" t="s">
        <v>44</v>
      </c>
      <c r="G47">
        <f t="shared" si="0"/>
        <v>1</v>
      </c>
      <c r="H47">
        <v>7</v>
      </c>
      <c r="I47">
        <v>6</v>
      </c>
      <c r="J47">
        <v>0</v>
      </c>
      <c r="K47" s="6" t="s">
        <v>59</v>
      </c>
      <c r="L47" s="6" t="s">
        <v>74</v>
      </c>
      <c r="M47">
        <v>164</v>
      </c>
      <c r="N47" s="1">
        <v>0.46600000000000003</v>
      </c>
      <c r="O47">
        <v>48</v>
      </c>
      <c r="P47" s="1">
        <v>0.375</v>
      </c>
      <c r="Q47" s="1">
        <v>0.75800000000000001</v>
      </c>
      <c r="R47">
        <v>451</v>
      </c>
      <c r="S47">
        <v>24</v>
      </c>
      <c r="T47">
        <v>168</v>
      </c>
      <c r="U47">
        <v>84</v>
      </c>
      <c r="V47">
        <v>22</v>
      </c>
      <c r="W47">
        <v>21</v>
      </c>
      <c r="X47">
        <v>64</v>
      </c>
      <c r="Y47" s="5">
        <v>1.3125</v>
      </c>
    </row>
    <row r="48" spans="1:25" x14ac:dyDescent="0.25">
      <c r="A48">
        <v>2018</v>
      </c>
      <c r="B48" t="s">
        <v>57</v>
      </c>
      <c r="C48">
        <v>3</v>
      </c>
      <c r="D48">
        <v>24</v>
      </c>
      <c r="E48" t="s">
        <v>181</v>
      </c>
      <c r="F48" t="s">
        <v>49</v>
      </c>
      <c r="G48">
        <f t="shared" si="0"/>
        <v>1</v>
      </c>
      <c r="H48">
        <v>10</v>
      </c>
      <c r="I48">
        <v>3</v>
      </c>
      <c r="J48">
        <v>0</v>
      </c>
      <c r="K48" s="6" t="s">
        <v>65</v>
      </c>
      <c r="L48" s="6" t="s">
        <v>119</v>
      </c>
      <c r="M48">
        <v>206</v>
      </c>
      <c r="N48" s="1">
        <v>0.45300000000000001</v>
      </c>
      <c r="O48">
        <v>63</v>
      </c>
      <c r="P48" s="1">
        <v>0.36799999999999999</v>
      </c>
      <c r="Q48" s="1">
        <v>0.83699999999999997</v>
      </c>
      <c r="R48">
        <v>578</v>
      </c>
      <c r="S48">
        <v>40</v>
      </c>
      <c r="T48">
        <v>132</v>
      </c>
      <c r="U48">
        <v>133</v>
      </c>
      <c r="V48">
        <v>35</v>
      </c>
      <c r="W48">
        <v>18</v>
      </c>
      <c r="X48">
        <v>61</v>
      </c>
      <c r="Y48" s="5">
        <v>2.180327868852459</v>
      </c>
    </row>
    <row r="49" spans="1:25" x14ac:dyDescent="0.25">
      <c r="A49">
        <v>2018</v>
      </c>
      <c r="B49" t="s">
        <v>57</v>
      </c>
      <c r="C49">
        <v>3</v>
      </c>
      <c r="D49">
        <v>24</v>
      </c>
      <c r="E49" t="s">
        <v>26</v>
      </c>
      <c r="F49" t="s">
        <v>118</v>
      </c>
      <c r="G49">
        <f t="shared" si="0"/>
        <v>0</v>
      </c>
      <c r="H49">
        <v>3</v>
      </c>
      <c r="I49">
        <v>10</v>
      </c>
      <c r="J49">
        <v>0</v>
      </c>
      <c r="K49" s="6" t="s">
        <v>182</v>
      </c>
      <c r="L49" s="6" t="s">
        <v>76</v>
      </c>
      <c r="M49">
        <v>138</v>
      </c>
      <c r="N49" s="1">
        <v>0.46200000000000002</v>
      </c>
      <c r="O49">
        <v>31</v>
      </c>
      <c r="P49" s="1">
        <v>0.34399999999999997</v>
      </c>
      <c r="Q49" s="1">
        <v>0.68100000000000005</v>
      </c>
      <c r="R49">
        <v>354</v>
      </c>
      <c r="S49">
        <v>34</v>
      </c>
      <c r="T49">
        <v>138</v>
      </c>
      <c r="U49">
        <v>116</v>
      </c>
      <c r="V49">
        <v>26</v>
      </c>
      <c r="W49">
        <v>17</v>
      </c>
      <c r="X49">
        <v>56</v>
      </c>
      <c r="Y49" s="5">
        <v>2.0714285714285716</v>
      </c>
    </row>
    <row r="50" spans="1:25" x14ac:dyDescent="0.25">
      <c r="A50">
        <v>2018</v>
      </c>
      <c r="B50" t="s">
        <v>57</v>
      </c>
      <c r="C50">
        <v>3</v>
      </c>
      <c r="D50">
        <v>25</v>
      </c>
      <c r="E50" t="s">
        <v>190</v>
      </c>
      <c r="F50" t="s">
        <v>103</v>
      </c>
      <c r="G50">
        <f t="shared" si="0"/>
        <v>1</v>
      </c>
      <c r="H50">
        <v>7</v>
      </c>
      <c r="I50">
        <v>6</v>
      </c>
      <c r="J50">
        <v>0</v>
      </c>
      <c r="K50" s="6" t="s">
        <v>62</v>
      </c>
      <c r="L50" s="6" t="s">
        <v>78</v>
      </c>
      <c r="M50">
        <v>189</v>
      </c>
      <c r="N50" s="1">
        <v>0.46800000000000003</v>
      </c>
      <c r="O50">
        <v>55</v>
      </c>
      <c r="P50" s="1">
        <v>0.36399999999999999</v>
      </c>
      <c r="Q50" s="1">
        <v>0.72699999999999998</v>
      </c>
      <c r="R50">
        <v>513</v>
      </c>
      <c r="S50">
        <v>40</v>
      </c>
      <c r="T50">
        <v>154</v>
      </c>
      <c r="U50">
        <v>89</v>
      </c>
      <c r="V50">
        <v>47</v>
      </c>
      <c r="W50">
        <v>28</v>
      </c>
      <c r="X50">
        <v>64</v>
      </c>
      <c r="Y50" s="5">
        <v>1.390625</v>
      </c>
    </row>
    <row r="51" spans="1:25" x14ac:dyDescent="0.25">
      <c r="A51">
        <v>2018</v>
      </c>
      <c r="B51" t="s">
        <v>57</v>
      </c>
      <c r="C51">
        <v>3</v>
      </c>
      <c r="D51">
        <v>25</v>
      </c>
      <c r="E51" t="s">
        <v>20</v>
      </c>
      <c r="F51" t="s">
        <v>47</v>
      </c>
      <c r="G51">
        <f t="shared" si="0"/>
        <v>0</v>
      </c>
      <c r="H51">
        <v>6</v>
      </c>
      <c r="I51">
        <v>7</v>
      </c>
      <c r="J51">
        <v>0</v>
      </c>
      <c r="K51" s="6" t="s">
        <v>191</v>
      </c>
      <c r="L51" s="6" t="s">
        <v>113</v>
      </c>
      <c r="M51">
        <v>178</v>
      </c>
      <c r="N51" s="1">
        <v>0.48099999999999998</v>
      </c>
      <c r="O51">
        <v>46</v>
      </c>
      <c r="P51" s="1">
        <v>0.46500000000000002</v>
      </c>
      <c r="Q51" s="1">
        <v>0.754</v>
      </c>
      <c r="R51">
        <v>494</v>
      </c>
      <c r="S51">
        <v>41</v>
      </c>
      <c r="T51">
        <v>147</v>
      </c>
      <c r="U51">
        <v>99</v>
      </c>
      <c r="V51">
        <v>23</v>
      </c>
      <c r="W51">
        <v>17</v>
      </c>
      <c r="X51">
        <v>71</v>
      </c>
      <c r="Y51" s="5">
        <v>1.3943661971830985</v>
      </c>
    </row>
    <row r="52" spans="1:25" x14ac:dyDescent="0.25">
      <c r="A52">
        <v>2018</v>
      </c>
      <c r="B52" t="s">
        <v>57</v>
      </c>
      <c r="C52">
        <v>3</v>
      </c>
      <c r="D52">
        <v>26</v>
      </c>
      <c r="E52" t="s">
        <v>24</v>
      </c>
      <c r="F52" t="s">
        <v>55</v>
      </c>
      <c r="G52">
        <f t="shared" si="0"/>
        <v>1</v>
      </c>
      <c r="H52">
        <v>9</v>
      </c>
      <c r="I52">
        <v>4</v>
      </c>
      <c r="J52">
        <v>0</v>
      </c>
      <c r="K52" s="6" t="s">
        <v>193</v>
      </c>
      <c r="L52" s="6" t="s">
        <v>117</v>
      </c>
      <c r="M52">
        <v>168</v>
      </c>
      <c r="N52" s="1">
        <v>0.45400000000000001</v>
      </c>
      <c r="O52">
        <v>63</v>
      </c>
      <c r="P52" s="1">
        <v>0.38</v>
      </c>
      <c r="Q52" s="1">
        <v>0.79200000000000004</v>
      </c>
      <c r="R52">
        <v>494</v>
      </c>
      <c r="S52">
        <v>33</v>
      </c>
      <c r="T52">
        <v>187</v>
      </c>
      <c r="U52">
        <v>109</v>
      </c>
      <c r="V52">
        <v>56</v>
      </c>
      <c r="W52">
        <v>12</v>
      </c>
      <c r="X52">
        <v>77</v>
      </c>
      <c r="Y52" s="5">
        <v>1.4155844155844155</v>
      </c>
    </row>
    <row r="53" spans="1:25" x14ac:dyDescent="0.25">
      <c r="A53">
        <v>2018</v>
      </c>
      <c r="B53" t="s">
        <v>57</v>
      </c>
      <c r="C53">
        <v>3</v>
      </c>
      <c r="D53">
        <v>26</v>
      </c>
      <c r="E53" t="s">
        <v>159</v>
      </c>
      <c r="F53" t="s">
        <v>116</v>
      </c>
      <c r="G53">
        <f t="shared" si="0"/>
        <v>0</v>
      </c>
      <c r="H53">
        <v>4</v>
      </c>
      <c r="I53">
        <v>9</v>
      </c>
      <c r="J53">
        <v>0</v>
      </c>
      <c r="K53" s="6" t="s">
        <v>69</v>
      </c>
      <c r="L53" s="6" t="s">
        <v>86</v>
      </c>
      <c r="M53">
        <v>163</v>
      </c>
      <c r="N53" s="1">
        <v>0.48499999999999999</v>
      </c>
      <c r="O53">
        <v>30</v>
      </c>
      <c r="P53" s="1">
        <v>0.36599999999999999</v>
      </c>
      <c r="Q53" s="1">
        <v>0.79210000000000003</v>
      </c>
      <c r="R53">
        <v>417</v>
      </c>
      <c r="S53">
        <v>22</v>
      </c>
      <c r="T53">
        <v>128</v>
      </c>
      <c r="U53">
        <v>46</v>
      </c>
      <c r="V53">
        <v>20</v>
      </c>
      <c r="W53">
        <v>17</v>
      </c>
      <c r="X53">
        <v>65</v>
      </c>
      <c r="Y53" s="5">
        <v>0.70769230769230773</v>
      </c>
    </row>
    <row r="54" spans="1:25" x14ac:dyDescent="0.25">
      <c r="A54">
        <v>2018</v>
      </c>
      <c r="B54" t="s">
        <v>57</v>
      </c>
      <c r="C54">
        <v>3</v>
      </c>
      <c r="D54">
        <v>27</v>
      </c>
      <c r="E54" t="s">
        <v>23</v>
      </c>
      <c r="F54" t="s">
        <v>120</v>
      </c>
      <c r="G54">
        <f t="shared" si="0"/>
        <v>1</v>
      </c>
      <c r="H54">
        <v>10</v>
      </c>
      <c r="I54">
        <v>2</v>
      </c>
      <c r="J54">
        <v>1</v>
      </c>
      <c r="K54" s="6" t="s">
        <v>68</v>
      </c>
      <c r="L54" s="6" t="s">
        <v>84</v>
      </c>
      <c r="M54">
        <v>182</v>
      </c>
      <c r="N54" s="1">
        <v>0.45</v>
      </c>
      <c r="O54">
        <v>48</v>
      </c>
      <c r="P54" s="1">
        <v>0.35799999999999998</v>
      </c>
      <c r="Q54" s="1">
        <v>0.84</v>
      </c>
      <c r="R54">
        <v>501</v>
      </c>
      <c r="S54">
        <v>43</v>
      </c>
      <c r="T54">
        <v>146</v>
      </c>
      <c r="U54">
        <v>102</v>
      </c>
      <c r="V54">
        <v>30</v>
      </c>
      <c r="W54">
        <v>25</v>
      </c>
      <c r="X54">
        <v>81</v>
      </c>
      <c r="Y54" s="5">
        <v>1.2592592592592593</v>
      </c>
    </row>
    <row r="55" spans="1:25" x14ac:dyDescent="0.25">
      <c r="A55">
        <v>2018</v>
      </c>
      <c r="B55" t="s">
        <v>57</v>
      </c>
      <c r="C55">
        <v>3</v>
      </c>
      <c r="D55">
        <v>27</v>
      </c>
      <c r="E55" t="s">
        <v>25</v>
      </c>
      <c r="F55" t="s">
        <v>53</v>
      </c>
      <c r="G55">
        <f t="shared" si="0"/>
        <v>0</v>
      </c>
      <c r="H55">
        <v>2</v>
      </c>
      <c r="I55">
        <v>10</v>
      </c>
      <c r="J55">
        <v>1</v>
      </c>
      <c r="K55" s="6" t="s">
        <v>71</v>
      </c>
      <c r="L55" s="6" t="s">
        <v>121</v>
      </c>
      <c r="M55">
        <v>170</v>
      </c>
      <c r="N55" s="1">
        <v>0.439</v>
      </c>
      <c r="O55">
        <v>31</v>
      </c>
      <c r="P55" s="1">
        <v>0.28199999999999997</v>
      </c>
      <c r="Q55" s="1">
        <v>0.78</v>
      </c>
      <c r="R55">
        <v>456</v>
      </c>
      <c r="S55">
        <v>31</v>
      </c>
      <c r="T55">
        <v>127</v>
      </c>
      <c r="U55">
        <v>101</v>
      </c>
      <c r="V55">
        <v>30</v>
      </c>
      <c r="W55">
        <v>7</v>
      </c>
      <c r="X55">
        <v>78</v>
      </c>
      <c r="Y55" s="5">
        <v>1.2948717948717949</v>
      </c>
    </row>
    <row r="56" spans="1:25" x14ac:dyDescent="0.25">
      <c r="A56">
        <v>2018</v>
      </c>
      <c r="B56" t="s">
        <v>57</v>
      </c>
      <c r="C56">
        <v>3</v>
      </c>
      <c r="D56">
        <v>28</v>
      </c>
      <c r="E56" t="s">
        <v>19</v>
      </c>
      <c r="F56" t="s">
        <v>56</v>
      </c>
      <c r="G56">
        <f t="shared" si="0"/>
        <v>1</v>
      </c>
      <c r="H56">
        <v>11</v>
      </c>
      <c r="I56">
        <v>2</v>
      </c>
      <c r="J56">
        <v>0</v>
      </c>
      <c r="K56" s="6" t="s">
        <v>111</v>
      </c>
      <c r="L56" s="6" t="s">
        <v>89</v>
      </c>
      <c r="M56">
        <v>145</v>
      </c>
      <c r="N56" s="1">
        <v>0.42</v>
      </c>
      <c r="O56">
        <v>44</v>
      </c>
      <c r="P56" s="1">
        <v>0.39600000000000002</v>
      </c>
      <c r="Q56" s="1">
        <v>0.82099999999999995</v>
      </c>
      <c r="R56">
        <v>389</v>
      </c>
      <c r="S56">
        <v>29</v>
      </c>
      <c r="T56">
        <v>154</v>
      </c>
      <c r="U56">
        <v>109</v>
      </c>
      <c r="V56">
        <v>23</v>
      </c>
      <c r="W56">
        <v>17</v>
      </c>
      <c r="X56">
        <v>60</v>
      </c>
      <c r="Y56" s="5">
        <v>1.8166666666666667</v>
      </c>
    </row>
    <row r="57" spans="1:25" x14ac:dyDescent="0.25">
      <c r="A57">
        <v>2018</v>
      </c>
      <c r="B57" t="s">
        <v>57</v>
      </c>
      <c r="C57">
        <v>3</v>
      </c>
      <c r="D57">
        <v>28</v>
      </c>
      <c r="E57" t="s">
        <v>97</v>
      </c>
      <c r="F57" t="s">
        <v>54</v>
      </c>
      <c r="G57">
        <f t="shared" si="0"/>
        <v>0</v>
      </c>
      <c r="H57">
        <v>2</v>
      </c>
      <c r="I57">
        <v>11</v>
      </c>
      <c r="J57">
        <v>0</v>
      </c>
      <c r="K57" s="6" t="s">
        <v>67</v>
      </c>
      <c r="L57" s="6" t="s">
        <v>82</v>
      </c>
      <c r="M57">
        <v>102</v>
      </c>
      <c r="N57" s="1">
        <v>0.47199999999999998</v>
      </c>
      <c r="O57">
        <v>22</v>
      </c>
      <c r="P57" s="1">
        <v>0.31900000000000001</v>
      </c>
      <c r="Q57" s="1">
        <v>0.53800000000000003</v>
      </c>
      <c r="R57">
        <v>247</v>
      </c>
      <c r="S57">
        <v>11</v>
      </c>
      <c r="T57">
        <v>81</v>
      </c>
      <c r="U57">
        <v>62</v>
      </c>
      <c r="V57">
        <v>22</v>
      </c>
      <c r="W57">
        <v>9</v>
      </c>
      <c r="X57">
        <v>47</v>
      </c>
      <c r="Y57" s="5">
        <v>1.3191489361702127</v>
      </c>
    </row>
    <row r="58" spans="1:25" x14ac:dyDescent="0.25">
      <c r="A58">
        <v>2018</v>
      </c>
      <c r="B58" t="s">
        <v>57</v>
      </c>
      <c r="C58">
        <v>3</v>
      </c>
      <c r="D58">
        <v>29</v>
      </c>
      <c r="E58" t="s">
        <v>94</v>
      </c>
      <c r="F58" t="s">
        <v>40</v>
      </c>
      <c r="G58">
        <f t="shared" si="0"/>
        <v>1</v>
      </c>
      <c r="H58">
        <v>10</v>
      </c>
      <c r="I58">
        <v>3</v>
      </c>
      <c r="J58">
        <v>0</v>
      </c>
      <c r="K58" s="6" t="s">
        <v>112</v>
      </c>
      <c r="L58" s="6" t="s">
        <v>88</v>
      </c>
      <c r="M58">
        <v>208</v>
      </c>
      <c r="N58" s="1">
        <v>0.501</v>
      </c>
      <c r="O58">
        <v>57</v>
      </c>
      <c r="P58" s="1">
        <v>0.435</v>
      </c>
      <c r="Q58" s="1">
        <v>0.78800000000000003</v>
      </c>
      <c r="R58">
        <v>562</v>
      </c>
      <c r="S58">
        <v>59</v>
      </c>
      <c r="T58">
        <v>136</v>
      </c>
      <c r="U58">
        <v>110</v>
      </c>
      <c r="V58">
        <v>41</v>
      </c>
      <c r="W58">
        <v>22</v>
      </c>
      <c r="X58">
        <v>54</v>
      </c>
      <c r="Y58" s="5">
        <v>2.0370370370370372</v>
      </c>
    </row>
    <row r="59" spans="1:25" x14ac:dyDescent="0.25">
      <c r="A59">
        <v>2018</v>
      </c>
      <c r="B59" t="s">
        <v>57</v>
      </c>
      <c r="C59">
        <v>3</v>
      </c>
      <c r="D59">
        <v>29</v>
      </c>
      <c r="E59" t="s">
        <v>98</v>
      </c>
      <c r="F59" t="s">
        <v>41</v>
      </c>
      <c r="G59">
        <f t="shared" si="0"/>
        <v>0</v>
      </c>
      <c r="H59">
        <v>3</v>
      </c>
      <c r="I59">
        <v>10</v>
      </c>
      <c r="J59">
        <v>0</v>
      </c>
      <c r="K59" s="6" t="s">
        <v>106</v>
      </c>
      <c r="L59" s="6" t="s">
        <v>83</v>
      </c>
      <c r="M59">
        <v>173</v>
      </c>
      <c r="N59" s="1">
        <v>0.46899999999999997</v>
      </c>
      <c r="O59">
        <v>56</v>
      </c>
      <c r="P59" s="1">
        <v>0.4</v>
      </c>
      <c r="Q59" s="1">
        <v>0.88700000000000001</v>
      </c>
      <c r="R59">
        <v>488</v>
      </c>
      <c r="S59">
        <v>31</v>
      </c>
      <c r="T59">
        <v>112</v>
      </c>
      <c r="U59">
        <v>104</v>
      </c>
      <c r="V59">
        <v>30</v>
      </c>
      <c r="W59">
        <v>16</v>
      </c>
      <c r="X59">
        <v>50</v>
      </c>
      <c r="Y59" s="5">
        <v>2.08</v>
      </c>
    </row>
    <row r="60" spans="1:25" x14ac:dyDescent="0.25">
      <c r="A60">
        <v>2018</v>
      </c>
      <c r="B60" t="s">
        <v>57</v>
      </c>
      <c r="C60">
        <v>3</v>
      </c>
      <c r="D60">
        <v>30</v>
      </c>
      <c r="E60" t="s">
        <v>33</v>
      </c>
      <c r="F60" t="s">
        <v>42</v>
      </c>
      <c r="G60">
        <f t="shared" si="0"/>
        <v>0</v>
      </c>
      <c r="H60">
        <v>6</v>
      </c>
      <c r="I60">
        <v>7</v>
      </c>
      <c r="J60">
        <v>0</v>
      </c>
      <c r="K60" s="6" t="s">
        <v>70</v>
      </c>
      <c r="L60" s="6" t="s">
        <v>87</v>
      </c>
      <c r="M60">
        <v>171</v>
      </c>
      <c r="N60" s="1">
        <v>0.45</v>
      </c>
      <c r="O60">
        <v>46</v>
      </c>
      <c r="P60" s="1">
        <v>0.39300000000000002</v>
      </c>
      <c r="Q60" s="1">
        <v>0.78100000000000003</v>
      </c>
      <c r="R60">
        <v>463</v>
      </c>
      <c r="S60">
        <v>41</v>
      </c>
      <c r="T60">
        <v>124</v>
      </c>
      <c r="U60">
        <v>88</v>
      </c>
      <c r="V60">
        <v>30</v>
      </c>
      <c r="W60">
        <v>20</v>
      </c>
      <c r="X60">
        <v>59</v>
      </c>
      <c r="Y60" s="5">
        <v>1.4915254237288136</v>
      </c>
    </row>
    <row r="61" spans="1:25" x14ac:dyDescent="0.25">
      <c r="A61">
        <v>2018</v>
      </c>
      <c r="B61" t="s">
        <v>57</v>
      </c>
      <c r="C61">
        <v>3</v>
      </c>
      <c r="D61">
        <v>30</v>
      </c>
      <c r="E61" t="s">
        <v>21</v>
      </c>
      <c r="F61" t="s">
        <v>50</v>
      </c>
      <c r="G61">
        <f t="shared" si="0"/>
        <v>1</v>
      </c>
      <c r="H61">
        <v>7</v>
      </c>
      <c r="I61">
        <v>6</v>
      </c>
      <c r="J61">
        <v>0</v>
      </c>
      <c r="K61" s="6" t="s">
        <v>72</v>
      </c>
      <c r="L61" s="6" t="s">
        <v>85</v>
      </c>
      <c r="M61">
        <v>176</v>
      </c>
      <c r="N61" s="1">
        <v>0.499</v>
      </c>
      <c r="O61">
        <v>47</v>
      </c>
      <c r="P61" s="1">
        <v>0.41199999999999998</v>
      </c>
      <c r="Q61" s="1">
        <v>0.71599999999999997</v>
      </c>
      <c r="R61">
        <v>467</v>
      </c>
      <c r="S61">
        <v>32</v>
      </c>
      <c r="T61">
        <v>141</v>
      </c>
      <c r="U61">
        <v>90</v>
      </c>
      <c r="V61">
        <v>27</v>
      </c>
      <c r="W61">
        <v>15</v>
      </c>
      <c r="X61">
        <v>66</v>
      </c>
      <c r="Y61" s="5">
        <v>1.3636363636363635</v>
      </c>
    </row>
    <row r="62" spans="1:25" x14ac:dyDescent="0.25">
      <c r="A62">
        <v>2018</v>
      </c>
      <c r="B62" t="s">
        <v>57</v>
      </c>
      <c r="C62">
        <v>4</v>
      </c>
      <c r="D62">
        <v>31</v>
      </c>
      <c r="E62" t="s">
        <v>28</v>
      </c>
      <c r="F62" t="s">
        <v>46</v>
      </c>
      <c r="G62">
        <f t="shared" si="0"/>
        <v>0</v>
      </c>
      <c r="H62">
        <v>6</v>
      </c>
      <c r="I62">
        <v>6</v>
      </c>
      <c r="J62">
        <v>1</v>
      </c>
      <c r="K62" s="6" t="s">
        <v>60</v>
      </c>
      <c r="L62" s="6" t="s">
        <v>75</v>
      </c>
      <c r="M62">
        <v>133</v>
      </c>
      <c r="N62" s="1">
        <v>0.46700000000000003</v>
      </c>
      <c r="O62">
        <v>24</v>
      </c>
      <c r="P62" s="1">
        <v>0.32900000000000001</v>
      </c>
      <c r="Q62" s="1">
        <v>0.74199999999999999</v>
      </c>
      <c r="R62">
        <v>336</v>
      </c>
      <c r="S62">
        <v>32</v>
      </c>
      <c r="T62">
        <v>108</v>
      </c>
      <c r="U62">
        <v>86</v>
      </c>
      <c r="V62">
        <v>28</v>
      </c>
      <c r="W62">
        <v>14</v>
      </c>
      <c r="X62">
        <v>39</v>
      </c>
      <c r="Y62" s="5">
        <v>2.2051282051282053</v>
      </c>
    </row>
    <row r="63" spans="1:25" x14ac:dyDescent="0.25">
      <c r="A63">
        <v>2018</v>
      </c>
      <c r="B63" t="s">
        <v>57</v>
      </c>
      <c r="C63">
        <v>4</v>
      </c>
      <c r="D63">
        <v>31</v>
      </c>
      <c r="E63" t="s">
        <v>16</v>
      </c>
      <c r="F63" t="s">
        <v>51</v>
      </c>
      <c r="G63">
        <f t="shared" si="0"/>
        <v>0</v>
      </c>
      <c r="H63">
        <v>6</v>
      </c>
      <c r="I63">
        <v>6</v>
      </c>
      <c r="J63">
        <v>1</v>
      </c>
      <c r="K63" s="6" t="s">
        <v>64</v>
      </c>
      <c r="L63" s="6" t="s">
        <v>80</v>
      </c>
      <c r="M63">
        <v>133</v>
      </c>
      <c r="N63" s="1">
        <v>0.45200000000000001</v>
      </c>
      <c r="O63">
        <v>42</v>
      </c>
      <c r="P63" s="1">
        <v>0.372</v>
      </c>
      <c r="Q63" s="1">
        <v>0.80200000000000005</v>
      </c>
      <c r="R63">
        <v>373</v>
      </c>
      <c r="S63">
        <v>24</v>
      </c>
      <c r="T63">
        <v>127</v>
      </c>
      <c r="U63">
        <v>85</v>
      </c>
      <c r="V63">
        <v>24</v>
      </c>
      <c r="W63">
        <v>16</v>
      </c>
      <c r="X63">
        <v>61</v>
      </c>
      <c r="Y63" s="5">
        <v>1.3934426229508197</v>
      </c>
    </row>
    <row r="64" spans="1:25" x14ac:dyDescent="0.25">
      <c r="A64">
        <v>2018</v>
      </c>
      <c r="B64" t="s">
        <v>57</v>
      </c>
      <c r="C64">
        <v>4</v>
      </c>
      <c r="D64">
        <v>32</v>
      </c>
      <c r="E64" t="s">
        <v>17</v>
      </c>
      <c r="F64" t="s">
        <v>43</v>
      </c>
      <c r="G64">
        <f t="shared" si="0"/>
        <v>0</v>
      </c>
      <c r="H64">
        <v>6</v>
      </c>
      <c r="I64">
        <v>7</v>
      </c>
      <c r="J64">
        <v>0</v>
      </c>
      <c r="K64" s="6" t="s">
        <v>66</v>
      </c>
      <c r="L64" s="6" t="s">
        <v>81</v>
      </c>
      <c r="M64">
        <v>138</v>
      </c>
      <c r="N64" s="1">
        <v>0.496</v>
      </c>
      <c r="O64">
        <v>25</v>
      </c>
      <c r="P64" s="1">
        <v>0.35699999999999998</v>
      </c>
      <c r="Q64" s="1">
        <v>0.70099999999999996</v>
      </c>
      <c r="R64">
        <v>362</v>
      </c>
      <c r="S64">
        <v>43</v>
      </c>
      <c r="T64">
        <v>119</v>
      </c>
      <c r="U64">
        <v>86</v>
      </c>
      <c r="V64">
        <v>22</v>
      </c>
      <c r="W64">
        <v>19</v>
      </c>
      <c r="X64">
        <v>56</v>
      </c>
      <c r="Y64" s="5">
        <v>1.5357142857142858</v>
      </c>
    </row>
    <row r="65" spans="1:25" x14ac:dyDescent="0.25">
      <c r="A65">
        <v>2018</v>
      </c>
      <c r="B65" t="s">
        <v>57</v>
      </c>
      <c r="C65">
        <v>4</v>
      </c>
      <c r="D65">
        <v>32</v>
      </c>
      <c r="E65" t="s">
        <v>22</v>
      </c>
      <c r="F65" t="s">
        <v>44</v>
      </c>
      <c r="G65">
        <f t="shared" si="0"/>
        <v>1</v>
      </c>
      <c r="H65">
        <v>7</v>
      </c>
      <c r="I65">
        <v>6</v>
      </c>
      <c r="J65">
        <v>0</v>
      </c>
      <c r="K65" s="6" t="s">
        <v>63</v>
      </c>
      <c r="L65" s="6" t="s">
        <v>79</v>
      </c>
      <c r="M65">
        <v>146</v>
      </c>
      <c r="N65" s="1">
        <v>0.47399999999999998</v>
      </c>
      <c r="O65">
        <v>32</v>
      </c>
      <c r="P65" s="1">
        <v>0.29599999999999999</v>
      </c>
      <c r="Q65" s="1">
        <v>0.75</v>
      </c>
      <c r="R65">
        <v>390</v>
      </c>
      <c r="S65">
        <v>25</v>
      </c>
      <c r="T65">
        <v>128</v>
      </c>
      <c r="U65">
        <v>69</v>
      </c>
      <c r="V65">
        <v>21</v>
      </c>
      <c r="W65">
        <v>15</v>
      </c>
      <c r="X65">
        <v>43</v>
      </c>
      <c r="Y65" s="5">
        <v>1.6046511627906976</v>
      </c>
    </row>
    <row r="66" spans="1:25" x14ac:dyDescent="0.25">
      <c r="A66">
        <v>2018</v>
      </c>
      <c r="B66" t="s">
        <v>57</v>
      </c>
      <c r="C66">
        <v>4</v>
      </c>
      <c r="D66">
        <v>33</v>
      </c>
      <c r="E66" t="s">
        <v>26</v>
      </c>
      <c r="F66" t="s">
        <v>118</v>
      </c>
      <c r="G66">
        <f t="shared" ref="G66:G129" si="1">IF(H66+0.5*J66&gt;6.5,1,0)</f>
        <v>0</v>
      </c>
      <c r="H66">
        <v>3</v>
      </c>
      <c r="I66">
        <v>10</v>
      </c>
      <c r="J66">
        <v>0</v>
      </c>
      <c r="K66" s="6" t="s">
        <v>61</v>
      </c>
      <c r="L66" s="6" t="s">
        <v>77</v>
      </c>
      <c r="M66">
        <v>118</v>
      </c>
      <c r="N66" s="1">
        <v>0.498</v>
      </c>
      <c r="O66">
        <v>34</v>
      </c>
      <c r="P66" s="1">
        <v>0.40500000000000003</v>
      </c>
      <c r="Q66" s="1">
        <v>0.746</v>
      </c>
      <c r="R66">
        <v>320</v>
      </c>
      <c r="S66">
        <v>26</v>
      </c>
      <c r="T66">
        <v>88</v>
      </c>
      <c r="U66">
        <v>48</v>
      </c>
      <c r="V66">
        <v>27</v>
      </c>
      <c r="W66">
        <v>10</v>
      </c>
      <c r="X66">
        <v>49</v>
      </c>
      <c r="Y66" s="5">
        <v>0.97959183673469385</v>
      </c>
    </row>
    <row r="67" spans="1:25" x14ac:dyDescent="0.25">
      <c r="A67">
        <v>2018</v>
      </c>
      <c r="B67" t="s">
        <v>57</v>
      </c>
      <c r="C67">
        <v>4</v>
      </c>
      <c r="D67">
        <v>33</v>
      </c>
      <c r="E67" t="s">
        <v>15</v>
      </c>
      <c r="F67" t="s">
        <v>48</v>
      </c>
      <c r="G67">
        <f t="shared" si="1"/>
        <v>1</v>
      </c>
      <c r="H67">
        <v>10</v>
      </c>
      <c r="I67">
        <v>3</v>
      </c>
      <c r="J67">
        <v>0</v>
      </c>
      <c r="K67" s="6" t="s">
        <v>65</v>
      </c>
      <c r="L67" s="6" t="s">
        <v>119</v>
      </c>
      <c r="M67">
        <v>161</v>
      </c>
      <c r="N67" s="1">
        <v>0.48799999999999999</v>
      </c>
      <c r="O67">
        <v>40</v>
      </c>
      <c r="P67" s="1">
        <v>0.42099999999999999</v>
      </c>
      <c r="Q67" s="1">
        <v>0.77400000000000002</v>
      </c>
      <c r="R67">
        <v>434</v>
      </c>
      <c r="S67">
        <v>31</v>
      </c>
      <c r="T67">
        <v>89</v>
      </c>
      <c r="U67">
        <v>88</v>
      </c>
      <c r="V67">
        <v>25</v>
      </c>
      <c r="W67">
        <v>21</v>
      </c>
      <c r="X67">
        <v>57</v>
      </c>
      <c r="Y67" s="5">
        <v>1.5438596491228069</v>
      </c>
    </row>
    <row r="68" spans="1:25" x14ac:dyDescent="0.25">
      <c r="A68">
        <v>2018</v>
      </c>
      <c r="B68" t="s">
        <v>57</v>
      </c>
      <c r="C68">
        <v>4</v>
      </c>
      <c r="D68">
        <v>34</v>
      </c>
      <c r="E68" t="s">
        <v>190</v>
      </c>
      <c r="F68" t="s">
        <v>103</v>
      </c>
      <c r="G68">
        <f t="shared" si="1"/>
        <v>1</v>
      </c>
      <c r="H68">
        <v>7</v>
      </c>
      <c r="I68">
        <v>6</v>
      </c>
      <c r="J68">
        <v>0</v>
      </c>
      <c r="K68" s="6" t="s">
        <v>59</v>
      </c>
      <c r="L68" s="6" t="s">
        <v>74</v>
      </c>
      <c r="M68">
        <v>147</v>
      </c>
      <c r="N68" s="1">
        <v>0.42399999999999999</v>
      </c>
      <c r="O68">
        <v>26</v>
      </c>
      <c r="P68" s="1">
        <v>0.26500000000000001</v>
      </c>
      <c r="Q68" s="1">
        <v>0.75</v>
      </c>
      <c r="R68">
        <v>404</v>
      </c>
      <c r="S68">
        <v>52</v>
      </c>
      <c r="T68">
        <v>141</v>
      </c>
      <c r="U68">
        <v>82</v>
      </c>
      <c r="V68">
        <v>38</v>
      </c>
      <c r="W68">
        <v>34</v>
      </c>
      <c r="X68">
        <v>62</v>
      </c>
      <c r="Y68" s="5">
        <v>1.3225806451612903</v>
      </c>
    </row>
    <row r="69" spans="1:25" x14ac:dyDescent="0.25">
      <c r="A69">
        <v>2018</v>
      </c>
      <c r="B69" t="s">
        <v>57</v>
      </c>
      <c r="C69">
        <v>4</v>
      </c>
      <c r="D69">
        <v>34</v>
      </c>
      <c r="E69" t="s">
        <v>18</v>
      </c>
      <c r="F69" t="s">
        <v>52</v>
      </c>
      <c r="G69">
        <f t="shared" si="1"/>
        <v>0</v>
      </c>
      <c r="H69">
        <v>6</v>
      </c>
      <c r="I69">
        <v>7</v>
      </c>
      <c r="J69">
        <v>0</v>
      </c>
      <c r="K69" s="6" t="s">
        <v>191</v>
      </c>
      <c r="L69" s="6" t="s">
        <v>113</v>
      </c>
      <c r="M69">
        <v>115</v>
      </c>
      <c r="N69" s="1">
        <v>0.442</v>
      </c>
      <c r="O69">
        <v>27</v>
      </c>
      <c r="P69" s="1">
        <v>0.32500000000000001</v>
      </c>
      <c r="Q69" s="1">
        <v>0.77300000000000002</v>
      </c>
      <c r="R69">
        <v>315</v>
      </c>
      <c r="S69">
        <v>28</v>
      </c>
      <c r="T69">
        <v>115</v>
      </c>
      <c r="U69">
        <v>79</v>
      </c>
      <c r="V69">
        <v>28</v>
      </c>
      <c r="W69">
        <v>13</v>
      </c>
      <c r="X69">
        <v>54</v>
      </c>
      <c r="Y69" s="5">
        <v>1.462962962962963</v>
      </c>
    </row>
    <row r="70" spans="1:25" x14ac:dyDescent="0.25">
      <c r="A70">
        <v>2018</v>
      </c>
      <c r="B70" t="s">
        <v>57</v>
      </c>
      <c r="C70">
        <v>4</v>
      </c>
      <c r="D70">
        <v>35</v>
      </c>
      <c r="E70" t="s">
        <v>20</v>
      </c>
      <c r="F70" t="s">
        <v>47</v>
      </c>
      <c r="G70">
        <f t="shared" si="1"/>
        <v>1</v>
      </c>
      <c r="H70">
        <v>9</v>
      </c>
      <c r="I70">
        <v>4</v>
      </c>
      <c r="J70">
        <v>0</v>
      </c>
      <c r="K70" s="6" t="s">
        <v>182</v>
      </c>
      <c r="L70" s="6" t="s">
        <v>76</v>
      </c>
      <c r="M70">
        <v>158</v>
      </c>
      <c r="N70" s="1">
        <v>0.45700000000000002</v>
      </c>
      <c r="O70">
        <v>27</v>
      </c>
      <c r="P70" s="1">
        <v>0.31</v>
      </c>
      <c r="Q70" s="1">
        <v>0.77700000000000002</v>
      </c>
      <c r="R70">
        <v>416</v>
      </c>
      <c r="S70">
        <v>47</v>
      </c>
      <c r="T70">
        <v>114</v>
      </c>
      <c r="U70">
        <v>81</v>
      </c>
      <c r="V70">
        <v>27</v>
      </c>
      <c r="W70">
        <v>20</v>
      </c>
      <c r="X70">
        <v>54</v>
      </c>
      <c r="Y70" s="5">
        <v>1.5</v>
      </c>
    </row>
    <row r="71" spans="1:25" x14ac:dyDescent="0.25">
      <c r="A71">
        <v>2018</v>
      </c>
      <c r="B71" t="s">
        <v>57</v>
      </c>
      <c r="C71">
        <v>4</v>
      </c>
      <c r="D71">
        <v>35</v>
      </c>
      <c r="E71" t="s">
        <v>181</v>
      </c>
      <c r="F71" t="s">
        <v>49</v>
      </c>
      <c r="G71">
        <f t="shared" si="1"/>
        <v>0</v>
      </c>
      <c r="H71">
        <v>4</v>
      </c>
      <c r="I71">
        <v>9</v>
      </c>
      <c r="J71">
        <v>0</v>
      </c>
      <c r="K71" s="6" t="s">
        <v>62</v>
      </c>
      <c r="L71" s="6" t="s">
        <v>78</v>
      </c>
      <c r="M71">
        <v>149</v>
      </c>
      <c r="N71" s="1">
        <v>0.47299999999999998</v>
      </c>
      <c r="O71">
        <v>41</v>
      </c>
      <c r="P71" s="1">
        <v>0.38</v>
      </c>
      <c r="Q71" s="1">
        <v>0.746</v>
      </c>
      <c r="R71">
        <v>386</v>
      </c>
      <c r="S71">
        <v>35</v>
      </c>
      <c r="T71">
        <v>113</v>
      </c>
      <c r="U71">
        <v>64</v>
      </c>
      <c r="V71">
        <v>19</v>
      </c>
      <c r="W71">
        <v>14</v>
      </c>
      <c r="X71">
        <v>44</v>
      </c>
      <c r="Y71" s="5">
        <v>1.4545454545454546</v>
      </c>
    </row>
    <row r="72" spans="1:25" x14ac:dyDescent="0.25">
      <c r="A72">
        <v>2018</v>
      </c>
      <c r="B72" t="s">
        <v>57</v>
      </c>
      <c r="C72">
        <v>4</v>
      </c>
      <c r="D72">
        <v>36</v>
      </c>
      <c r="E72" t="s">
        <v>23</v>
      </c>
      <c r="F72" t="s">
        <v>120</v>
      </c>
      <c r="G72">
        <f t="shared" si="1"/>
        <v>1</v>
      </c>
      <c r="H72">
        <v>12</v>
      </c>
      <c r="I72">
        <v>1</v>
      </c>
      <c r="J72">
        <v>0</v>
      </c>
      <c r="K72" s="6" t="s">
        <v>193</v>
      </c>
      <c r="L72" s="6" t="s">
        <v>117</v>
      </c>
      <c r="M72">
        <v>157</v>
      </c>
      <c r="N72" s="1">
        <v>0.46</v>
      </c>
      <c r="O72">
        <v>52</v>
      </c>
      <c r="P72" s="1">
        <v>0.38800000000000001</v>
      </c>
      <c r="Q72" s="1">
        <v>0.81100000000000005</v>
      </c>
      <c r="R72">
        <v>456</v>
      </c>
      <c r="S72">
        <v>39</v>
      </c>
      <c r="T72">
        <v>118</v>
      </c>
      <c r="U72">
        <v>88</v>
      </c>
      <c r="V72">
        <v>29</v>
      </c>
      <c r="W72">
        <v>18</v>
      </c>
      <c r="X72">
        <v>54</v>
      </c>
      <c r="Y72" s="5">
        <v>1.6296296296296295</v>
      </c>
    </row>
    <row r="73" spans="1:25" x14ac:dyDescent="0.25">
      <c r="A73">
        <v>2018</v>
      </c>
      <c r="B73" t="s">
        <v>57</v>
      </c>
      <c r="C73">
        <v>4</v>
      </c>
      <c r="D73">
        <v>36</v>
      </c>
      <c r="E73" t="s">
        <v>159</v>
      </c>
      <c r="F73" t="s">
        <v>116</v>
      </c>
      <c r="G73">
        <f t="shared" si="1"/>
        <v>0</v>
      </c>
      <c r="H73">
        <v>1</v>
      </c>
      <c r="I73">
        <v>12</v>
      </c>
      <c r="J73">
        <v>0</v>
      </c>
      <c r="K73" s="6" t="s">
        <v>71</v>
      </c>
      <c r="L73" s="6" t="s">
        <v>121</v>
      </c>
      <c r="M73">
        <v>103</v>
      </c>
      <c r="N73" s="1">
        <v>0.433</v>
      </c>
      <c r="O73">
        <v>27</v>
      </c>
      <c r="P73" s="1">
        <v>0.38600000000000001</v>
      </c>
      <c r="Q73" s="1">
        <v>0.68899999999999995</v>
      </c>
      <c r="R73">
        <v>284</v>
      </c>
      <c r="S73">
        <v>33</v>
      </c>
      <c r="T73">
        <v>102</v>
      </c>
      <c r="U73">
        <v>66</v>
      </c>
      <c r="V73">
        <v>22</v>
      </c>
      <c r="W73">
        <v>24</v>
      </c>
      <c r="X73">
        <v>64</v>
      </c>
      <c r="Y73" s="5">
        <v>1.03125</v>
      </c>
    </row>
    <row r="74" spans="1:25" x14ac:dyDescent="0.25">
      <c r="A74">
        <v>2018</v>
      </c>
      <c r="B74" t="s">
        <v>57</v>
      </c>
      <c r="C74">
        <v>4</v>
      </c>
      <c r="D74">
        <v>37</v>
      </c>
      <c r="E74" t="s">
        <v>24</v>
      </c>
      <c r="F74" t="s">
        <v>55</v>
      </c>
      <c r="G74">
        <f t="shared" si="1"/>
        <v>1</v>
      </c>
      <c r="H74">
        <v>10</v>
      </c>
      <c r="I74">
        <v>3</v>
      </c>
      <c r="J74">
        <v>0</v>
      </c>
      <c r="K74" s="6" t="s">
        <v>111</v>
      </c>
      <c r="L74" s="6" t="s">
        <v>89</v>
      </c>
      <c r="M74">
        <v>148</v>
      </c>
      <c r="N74" s="1">
        <v>0.47099999999999997</v>
      </c>
      <c r="O74">
        <v>53</v>
      </c>
      <c r="P74" s="1">
        <v>0.39300000000000002</v>
      </c>
      <c r="Q74" s="1">
        <v>0.753</v>
      </c>
      <c r="R74">
        <v>416</v>
      </c>
      <c r="S74">
        <v>19</v>
      </c>
      <c r="T74">
        <v>131</v>
      </c>
      <c r="U74">
        <v>88</v>
      </c>
      <c r="V74">
        <v>38</v>
      </c>
      <c r="W74">
        <v>10</v>
      </c>
      <c r="X74">
        <v>58</v>
      </c>
      <c r="Y74" s="5">
        <v>1.5172413793103448</v>
      </c>
    </row>
    <row r="75" spans="1:25" x14ac:dyDescent="0.25">
      <c r="A75">
        <v>2018</v>
      </c>
      <c r="B75" t="s">
        <v>57</v>
      </c>
      <c r="C75">
        <v>4</v>
      </c>
      <c r="D75">
        <v>37</v>
      </c>
      <c r="E75" t="s">
        <v>97</v>
      </c>
      <c r="F75" t="s">
        <v>54</v>
      </c>
      <c r="G75">
        <f t="shared" si="1"/>
        <v>0</v>
      </c>
      <c r="H75">
        <v>3</v>
      </c>
      <c r="I75">
        <v>10</v>
      </c>
      <c r="J75">
        <v>0</v>
      </c>
      <c r="K75" s="6" t="s">
        <v>69</v>
      </c>
      <c r="L75" s="6" t="s">
        <v>86</v>
      </c>
      <c r="M75">
        <v>88</v>
      </c>
      <c r="N75" s="1">
        <v>0.44400000000000001</v>
      </c>
      <c r="O75">
        <v>23</v>
      </c>
      <c r="P75" s="1">
        <v>0.371</v>
      </c>
      <c r="Q75" s="1">
        <v>0.73799999999999999</v>
      </c>
      <c r="R75">
        <v>247</v>
      </c>
      <c r="S75">
        <v>27</v>
      </c>
      <c r="T75">
        <v>97</v>
      </c>
      <c r="U75">
        <v>52</v>
      </c>
      <c r="V75">
        <v>25</v>
      </c>
      <c r="W75">
        <v>16</v>
      </c>
      <c r="X75">
        <v>38</v>
      </c>
      <c r="Y75" s="5">
        <v>1.368421052631579</v>
      </c>
    </row>
    <row r="76" spans="1:25" x14ac:dyDescent="0.25">
      <c r="A76">
        <v>2018</v>
      </c>
      <c r="B76" t="s">
        <v>57</v>
      </c>
      <c r="C76">
        <v>4</v>
      </c>
      <c r="D76">
        <v>38</v>
      </c>
      <c r="E76" t="s">
        <v>25</v>
      </c>
      <c r="F76" t="s">
        <v>53</v>
      </c>
      <c r="G76">
        <f t="shared" si="1"/>
        <v>1</v>
      </c>
      <c r="H76">
        <v>8</v>
      </c>
      <c r="I76">
        <v>5</v>
      </c>
      <c r="J76">
        <v>0</v>
      </c>
      <c r="K76" s="6" t="s">
        <v>112</v>
      </c>
      <c r="L76" s="6" t="s">
        <v>88</v>
      </c>
      <c r="M76">
        <v>174</v>
      </c>
      <c r="N76" s="1">
        <v>0.45900000000000002</v>
      </c>
      <c r="O76">
        <v>40</v>
      </c>
      <c r="P76" s="1">
        <v>0.4</v>
      </c>
      <c r="Q76" s="1">
        <v>0.76200000000000001</v>
      </c>
      <c r="R76">
        <v>481</v>
      </c>
      <c r="S76">
        <v>35</v>
      </c>
      <c r="T76">
        <v>111</v>
      </c>
      <c r="U76">
        <v>94</v>
      </c>
      <c r="V76">
        <v>40</v>
      </c>
      <c r="W76">
        <v>7</v>
      </c>
      <c r="X76">
        <v>72</v>
      </c>
      <c r="Y76" s="5">
        <v>1.3055555555555556</v>
      </c>
    </row>
    <row r="77" spans="1:25" x14ac:dyDescent="0.25">
      <c r="A77">
        <v>2018</v>
      </c>
      <c r="B77" t="s">
        <v>57</v>
      </c>
      <c r="C77">
        <v>4</v>
      </c>
      <c r="D77">
        <v>38</v>
      </c>
      <c r="E77" t="s">
        <v>98</v>
      </c>
      <c r="F77" t="s">
        <v>41</v>
      </c>
      <c r="G77">
        <f t="shared" si="1"/>
        <v>0</v>
      </c>
      <c r="H77">
        <v>5</v>
      </c>
      <c r="I77">
        <v>8</v>
      </c>
      <c r="J77">
        <v>0</v>
      </c>
      <c r="K77" s="6" t="s">
        <v>68</v>
      </c>
      <c r="L77" s="6" t="s">
        <v>84</v>
      </c>
      <c r="M77">
        <v>130</v>
      </c>
      <c r="N77" s="1">
        <v>0.441</v>
      </c>
      <c r="O77">
        <v>32</v>
      </c>
      <c r="P77" s="1">
        <v>0.35599999999999998</v>
      </c>
      <c r="Q77" s="1">
        <v>0.79800000000000004</v>
      </c>
      <c r="R77">
        <v>363</v>
      </c>
      <c r="S77">
        <v>30</v>
      </c>
      <c r="T77">
        <v>131</v>
      </c>
      <c r="U77">
        <v>83</v>
      </c>
      <c r="V77">
        <v>31</v>
      </c>
      <c r="W77">
        <v>15</v>
      </c>
      <c r="X77">
        <v>48</v>
      </c>
      <c r="Y77" s="5">
        <v>1.7291666666666667</v>
      </c>
    </row>
    <row r="78" spans="1:25" x14ac:dyDescent="0.25">
      <c r="A78">
        <v>2018</v>
      </c>
      <c r="B78" t="s">
        <v>57</v>
      </c>
      <c r="C78">
        <v>4</v>
      </c>
      <c r="D78">
        <v>39</v>
      </c>
      <c r="E78" t="s">
        <v>21</v>
      </c>
      <c r="F78" t="s">
        <v>50</v>
      </c>
      <c r="G78">
        <f t="shared" si="1"/>
        <v>0</v>
      </c>
      <c r="H78">
        <v>3</v>
      </c>
      <c r="I78">
        <v>10</v>
      </c>
      <c r="J78">
        <v>0</v>
      </c>
      <c r="K78" s="6" t="s">
        <v>67</v>
      </c>
      <c r="L78" s="6" t="s">
        <v>82</v>
      </c>
      <c r="M78">
        <v>136</v>
      </c>
      <c r="N78" s="1">
        <v>0.41199999999999998</v>
      </c>
      <c r="O78">
        <v>30</v>
      </c>
      <c r="P78" s="1">
        <v>0.32600000000000001</v>
      </c>
      <c r="Q78" s="1">
        <v>0.82599999999999996</v>
      </c>
      <c r="R78">
        <v>392</v>
      </c>
      <c r="S78">
        <v>35</v>
      </c>
      <c r="T78">
        <v>124</v>
      </c>
      <c r="U78">
        <v>79</v>
      </c>
      <c r="V78">
        <v>32</v>
      </c>
      <c r="W78">
        <v>15</v>
      </c>
      <c r="X78">
        <v>59</v>
      </c>
      <c r="Y78" s="5">
        <v>1.3389830508474576</v>
      </c>
    </row>
    <row r="79" spans="1:25" x14ac:dyDescent="0.25">
      <c r="A79">
        <v>2018</v>
      </c>
      <c r="B79" t="s">
        <v>57</v>
      </c>
      <c r="C79">
        <v>4</v>
      </c>
      <c r="D79">
        <v>39</v>
      </c>
      <c r="E79" t="s">
        <v>19</v>
      </c>
      <c r="F79" t="s">
        <v>56</v>
      </c>
      <c r="G79">
        <f t="shared" si="1"/>
        <v>1</v>
      </c>
      <c r="H79">
        <v>10</v>
      </c>
      <c r="I79">
        <v>3</v>
      </c>
      <c r="J79">
        <v>0</v>
      </c>
      <c r="K79" s="6" t="s">
        <v>70</v>
      </c>
      <c r="L79" s="6" t="s">
        <v>87</v>
      </c>
      <c r="M79">
        <v>165</v>
      </c>
      <c r="N79" s="1">
        <v>0.45600000000000002</v>
      </c>
      <c r="O79">
        <v>48</v>
      </c>
      <c r="P79" s="1">
        <v>0.40300000000000002</v>
      </c>
      <c r="Q79" s="1">
        <v>0.79400000000000004</v>
      </c>
      <c r="R79">
        <v>455</v>
      </c>
      <c r="S79">
        <v>45</v>
      </c>
      <c r="T79">
        <v>152</v>
      </c>
      <c r="U79">
        <v>96</v>
      </c>
      <c r="V79">
        <v>20</v>
      </c>
      <c r="W79">
        <v>25</v>
      </c>
      <c r="X79">
        <v>60</v>
      </c>
      <c r="Y79" s="5">
        <v>1.6</v>
      </c>
    </row>
    <row r="80" spans="1:25" x14ac:dyDescent="0.25">
      <c r="A80">
        <v>2018</v>
      </c>
      <c r="B80" t="s">
        <v>57</v>
      </c>
      <c r="C80">
        <v>4</v>
      </c>
      <c r="D80">
        <v>40</v>
      </c>
      <c r="E80" t="s">
        <v>33</v>
      </c>
      <c r="F80" t="s">
        <v>42</v>
      </c>
      <c r="G80">
        <f t="shared" si="1"/>
        <v>0</v>
      </c>
      <c r="H80">
        <v>4</v>
      </c>
      <c r="I80">
        <v>9</v>
      </c>
      <c r="J80">
        <v>0</v>
      </c>
      <c r="K80" s="6" t="s">
        <v>106</v>
      </c>
      <c r="L80" s="6" t="s">
        <v>83</v>
      </c>
      <c r="M80">
        <v>119</v>
      </c>
      <c r="N80" s="1">
        <v>0.45900000000000002</v>
      </c>
      <c r="O80">
        <v>33</v>
      </c>
      <c r="P80" s="1">
        <v>0.36699999999999999</v>
      </c>
      <c r="Q80" s="1">
        <v>0.75</v>
      </c>
      <c r="R80">
        <v>331</v>
      </c>
      <c r="S80">
        <v>30</v>
      </c>
      <c r="T80">
        <v>75</v>
      </c>
      <c r="U80">
        <v>78</v>
      </c>
      <c r="V80">
        <v>24</v>
      </c>
      <c r="W80">
        <v>11</v>
      </c>
      <c r="X80">
        <v>48</v>
      </c>
      <c r="Y80" s="5">
        <v>1.625</v>
      </c>
    </row>
    <row r="81" spans="1:25" x14ac:dyDescent="0.25">
      <c r="A81">
        <v>2018</v>
      </c>
      <c r="B81" t="s">
        <v>57</v>
      </c>
      <c r="C81">
        <v>4</v>
      </c>
      <c r="D81">
        <v>40</v>
      </c>
      <c r="E81" t="s">
        <v>94</v>
      </c>
      <c r="F81" t="s">
        <v>40</v>
      </c>
      <c r="G81">
        <f t="shared" si="1"/>
        <v>1</v>
      </c>
      <c r="H81">
        <v>9</v>
      </c>
      <c r="I81">
        <v>4</v>
      </c>
      <c r="J81">
        <v>0</v>
      </c>
      <c r="K81" s="6" t="s">
        <v>72</v>
      </c>
      <c r="L81" s="6" t="s">
        <v>85</v>
      </c>
      <c r="M81">
        <v>157</v>
      </c>
      <c r="N81" s="1">
        <v>0.46400000000000002</v>
      </c>
      <c r="O81">
        <v>52</v>
      </c>
      <c r="P81" s="1">
        <v>0.40300000000000002</v>
      </c>
      <c r="Q81" s="1">
        <v>0.747</v>
      </c>
      <c r="R81">
        <v>437</v>
      </c>
      <c r="S81">
        <v>32</v>
      </c>
      <c r="T81">
        <v>140</v>
      </c>
      <c r="U81">
        <v>114</v>
      </c>
      <c r="V81">
        <v>22</v>
      </c>
      <c r="W81">
        <v>9</v>
      </c>
      <c r="X81">
        <v>66</v>
      </c>
      <c r="Y81" s="5">
        <v>1.7272727272727273</v>
      </c>
    </row>
    <row r="82" spans="1:25" x14ac:dyDescent="0.25">
      <c r="A82">
        <v>2018</v>
      </c>
      <c r="B82" t="s">
        <v>57</v>
      </c>
      <c r="C82">
        <v>5</v>
      </c>
      <c r="D82">
        <v>41</v>
      </c>
      <c r="E82" t="s">
        <v>16</v>
      </c>
      <c r="F82" t="s">
        <v>51</v>
      </c>
      <c r="G82">
        <f t="shared" si="1"/>
        <v>1</v>
      </c>
      <c r="H82">
        <v>11</v>
      </c>
      <c r="I82">
        <v>2</v>
      </c>
      <c r="J82">
        <v>0</v>
      </c>
      <c r="K82" s="6" t="s">
        <v>66</v>
      </c>
      <c r="L82" s="6" t="s">
        <v>81</v>
      </c>
      <c r="M82">
        <v>178</v>
      </c>
      <c r="N82" s="1">
        <v>0.54100000000000004</v>
      </c>
      <c r="O82">
        <v>50</v>
      </c>
      <c r="P82" s="1">
        <v>0.435</v>
      </c>
      <c r="Q82" s="1">
        <v>0.83199999999999996</v>
      </c>
      <c r="R82">
        <v>495</v>
      </c>
      <c r="S82">
        <v>42</v>
      </c>
      <c r="T82">
        <v>153</v>
      </c>
      <c r="U82">
        <v>88</v>
      </c>
      <c r="V82">
        <v>29</v>
      </c>
      <c r="W82">
        <v>23</v>
      </c>
      <c r="X82">
        <v>63</v>
      </c>
      <c r="Y82" s="5">
        <v>1.3968253968253967</v>
      </c>
    </row>
    <row r="83" spans="1:25" x14ac:dyDescent="0.25">
      <c r="A83">
        <v>2018</v>
      </c>
      <c r="B83" t="s">
        <v>57</v>
      </c>
      <c r="C83">
        <v>5</v>
      </c>
      <c r="D83">
        <v>41</v>
      </c>
      <c r="E83" t="s">
        <v>22</v>
      </c>
      <c r="F83" t="s">
        <v>44</v>
      </c>
      <c r="G83">
        <f t="shared" si="1"/>
        <v>0</v>
      </c>
      <c r="H83">
        <v>2</v>
      </c>
      <c r="I83">
        <v>11</v>
      </c>
      <c r="J83">
        <v>0</v>
      </c>
      <c r="K83" s="6" t="s">
        <v>60</v>
      </c>
      <c r="L83" s="6" t="s">
        <v>75</v>
      </c>
      <c r="M83">
        <v>159</v>
      </c>
      <c r="N83" s="1">
        <v>0.48</v>
      </c>
      <c r="O83">
        <v>47</v>
      </c>
      <c r="P83" s="1">
        <v>0.46500000000000002</v>
      </c>
      <c r="Q83" s="1">
        <v>0.80800000000000005</v>
      </c>
      <c r="R83">
        <v>428</v>
      </c>
      <c r="S83">
        <v>31</v>
      </c>
      <c r="T83">
        <v>142</v>
      </c>
      <c r="U83">
        <v>65</v>
      </c>
      <c r="V83">
        <v>24</v>
      </c>
      <c r="W83">
        <v>17</v>
      </c>
      <c r="X83">
        <v>50</v>
      </c>
      <c r="Y83" s="5">
        <v>1.3</v>
      </c>
    </row>
    <row r="84" spans="1:25" x14ac:dyDescent="0.25">
      <c r="A84">
        <v>2018</v>
      </c>
      <c r="B84" t="s">
        <v>57</v>
      </c>
      <c r="C84">
        <v>5</v>
      </c>
      <c r="D84">
        <v>42</v>
      </c>
      <c r="E84" t="s">
        <v>28</v>
      </c>
      <c r="F84" t="s">
        <v>46</v>
      </c>
      <c r="G84">
        <f t="shared" si="1"/>
        <v>1</v>
      </c>
      <c r="H84">
        <v>8</v>
      </c>
      <c r="I84">
        <v>4</v>
      </c>
      <c r="J84">
        <v>1</v>
      </c>
      <c r="K84" s="6" t="s">
        <v>65</v>
      </c>
      <c r="L84" s="6" t="s">
        <v>119</v>
      </c>
      <c r="M84">
        <v>132</v>
      </c>
      <c r="N84" s="1">
        <v>0.41899999999999998</v>
      </c>
      <c r="O84">
        <v>34</v>
      </c>
      <c r="P84" s="1">
        <v>0.33700000000000002</v>
      </c>
      <c r="Q84" s="1">
        <v>0.67400000000000004</v>
      </c>
      <c r="R84">
        <v>358</v>
      </c>
      <c r="S84">
        <v>43</v>
      </c>
      <c r="T84">
        <v>122</v>
      </c>
      <c r="U84">
        <v>79</v>
      </c>
      <c r="V84">
        <v>36</v>
      </c>
      <c r="W84">
        <v>25</v>
      </c>
      <c r="X84">
        <v>66</v>
      </c>
      <c r="Y84" s="5">
        <v>1.196969696969697</v>
      </c>
    </row>
    <row r="85" spans="1:25" x14ac:dyDescent="0.25">
      <c r="A85">
        <v>2018</v>
      </c>
      <c r="B85" t="s">
        <v>57</v>
      </c>
      <c r="C85">
        <v>5</v>
      </c>
      <c r="D85">
        <v>42</v>
      </c>
      <c r="E85" t="s">
        <v>26</v>
      </c>
      <c r="F85" t="s">
        <v>118</v>
      </c>
      <c r="G85">
        <f t="shared" si="1"/>
        <v>0</v>
      </c>
      <c r="H85">
        <v>4</v>
      </c>
      <c r="I85">
        <v>8</v>
      </c>
      <c r="J85">
        <v>1</v>
      </c>
      <c r="K85" s="6" t="s">
        <v>64</v>
      </c>
      <c r="L85" s="6" t="s">
        <v>80</v>
      </c>
      <c r="M85">
        <v>118</v>
      </c>
      <c r="N85" s="1">
        <v>0.437</v>
      </c>
      <c r="O85">
        <v>34</v>
      </c>
      <c r="P85" s="1">
        <v>0.36199999999999999</v>
      </c>
      <c r="Q85" s="1">
        <v>0.81699999999999995</v>
      </c>
      <c r="R85">
        <v>328</v>
      </c>
      <c r="S85">
        <v>31</v>
      </c>
      <c r="T85">
        <v>94</v>
      </c>
      <c r="U85">
        <v>51</v>
      </c>
      <c r="V85">
        <v>18</v>
      </c>
      <c r="W85">
        <v>12</v>
      </c>
      <c r="X85">
        <v>46</v>
      </c>
      <c r="Y85" s="5">
        <v>1.1086956521739131</v>
      </c>
    </row>
    <row r="86" spans="1:25" x14ac:dyDescent="0.25">
      <c r="A86">
        <v>2018</v>
      </c>
      <c r="B86" t="s">
        <v>57</v>
      </c>
      <c r="C86">
        <v>5</v>
      </c>
      <c r="D86">
        <v>43</v>
      </c>
      <c r="E86" t="s">
        <v>17</v>
      </c>
      <c r="F86" t="s">
        <v>43</v>
      </c>
      <c r="G86">
        <f t="shared" si="1"/>
        <v>0</v>
      </c>
      <c r="H86">
        <v>3</v>
      </c>
      <c r="I86">
        <v>10</v>
      </c>
      <c r="J86">
        <v>0</v>
      </c>
      <c r="K86" s="6" t="s">
        <v>191</v>
      </c>
      <c r="L86" s="6" t="s">
        <v>113</v>
      </c>
      <c r="M86">
        <v>141</v>
      </c>
      <c r="N86" s="1">
        <v>0.45900000000000002</v>
      </c>
      <c r="O86">
        <v>42</v>
      </c>
      <c r="P86" s="1">
        <v>0.40400000000000003</v>
      </c>
      <c r="Q86" s="1">
        <v>0.72299999999999998</v>
      </c>
      <c r="R86">
        <v>371</v>
      </c>
      <c r="S86">
        <v>48</v>
      </c>
      <c r="T86">
        <v>147</v>
      </c>
      <c r="U86">
        <v>96</v>
      </c>
      <c r="V86">
        <v>23</v>
      </c>
      <c r="W86">
        <v>20</v>
      </c>
      <c r="X86">
        <v>65</v>
      </c>
      <c r="Y86" s="5">
        <v>1.476923076923077</v>
      </c>
    </row>
    <row r="87" spans="1:25" x14ac:dyDescent="0.25">
      <c r="A87">
        <v>2018</v>
      </c>
      <c r="B87" t="s">
        <v>57</v>
      </c>
      <c r="C87">
        <v>5</v>
      </c>
      <c r="D87">
        <v>43</v>
      </c>
      <c r="E87" t="s">
        <v>190</v>
      </c>
      <c r="F87" t="s">
        <v>103</v>
      </c>
      <c r="G87">
        <f t="shared" si="1"/>
        <v>1</v>
      </c>
      <c r="H87">
        <v>10</v>
      </c>
      <c r="I87">
        <v>3</v>
      </c>
      <c r="J87">
        <v>0</v>
      </c>
      <c r="K87" s="6" t="s">
        <v>63</v>
      </c>
      <c r="L87" s="6" t="s">
        <v>79</v>
      </c>
      <c r="M87">
        <v>173</v>
      </c>
      <c r="N87" s="1">
        <v>0.47499999999999998</v>
      </c>
      <c r="O87">
        <v>48</v>
      </c>
      <c r="P87" s="1">
        <v>0.42499999999999999</v>
      </c>
      <c r="Q87" s="1">
        <v>0.76700000000000002</v>
      </c>
      <c r="R87">
        <v>460</v>
      </c>
      <c r="S87">
        <v>55</v>
      </c>
      <c r="T87">
        <v>145</v>
      </c>
      <c r="U87">
        <v>82</v>
      </c>
      <c r="V87">
        <v>21</v>
      </c>
      <c r="W87">
        <v>28</v>
      </c>
      <c r="X87">
        <v>53</v>
      </c>
      <c r="Y87" s="5">
        <v>1.5471698113207548</v>
      </c>
    </row>
    <row r="88" spans="1:25" x14ac:dyDescent="0.25">
      <c r="A88">
        <v>2018</v>
      </c>
      <c r="B88" t="s">
        <v>57</v>
      </c>
      <c r="C88">
        <v>5</v>
      </c>
      <c r="D88">
        <v>44</v>
      </c>
      <c r="E88" t="s">
        <v>20</v>
      </c>
      <c r="F88" t="s">
        <v>47</v>
      </c>
      <c r="G88">
        <f t="shared" si="1"/>
        <v>0</v>
      </c>
      <c r="H88">
        <v>5</v>
      </c>
      <c r="I88">
        <v>8</v>
      </c>
      <c r="J88">
        <v>0</v>
      </c>
      <c r="K88" s="6" t="s">
        <v>61</v>
      </c>
      <c r="L88" s="6" t="s">
        <v>77</v>
      </c>
      <c r="M88">
        <v>143</v>
      </c>
      <c r="N88" s="1">
        <v>0.45500000000000002</v>
      </c>
      <c r="O88">
        <v>26</v>
      </c>
      <c r="P88" s="1">
        <v>0.34699999999999998</v>
      </c>
      <c r="Q88" s="1">
        <v>0.78600000000000003</v>
      </c>
      <c r="R88">
        <v>378</v>
      </c>
      <c r="S88">
        <v>40</v>
      </c>
      <c r="T88">
        <v>108</v>
      </c>
      <c r="U88">
        <v>88</v>
      </c>
      <c r="V88">
        <v>30</v>
      </c>
      <c r="W88">
        <v>11</v>
      </c>
      <c r="X88">
        <v>41</v>
      </c>
      <c r="Y88" s="5">
        <v>2.1463414634146343</v>
      </c>
    </row>
    <row r="89" spans="1:25" x14ac:dyDescent="0.25">
      <c r="A89">
        <v>2018</v>
      </c>
      <c r="B89" t="s">
        <v>57</v>
      </c>
      <c r="C89">
        <v>5</v>
      </c>
      <c r="D89">
        <v>44</v>
      </c>
      <c r="E89" t="s">
        <v>15</v>
      </c>
      <c r="F89" t="s">
        <v>48</v>
      </c>
      <c r="G89">
        <f t="shared" si="1"/>
        <v>1</v>
      </c>
      <c r="H89">
        <v>8</v>
      </c>
      <c r="I89">
        <v>5</v>
      </c>
      <c r="J89">
        <v>0</v>
      </c>
      <c r="K89" s="6" t="s">
        <v>62</v>
      </c>
      <c r="L89" s="6" t="s">
        <v>78</v>
      </c>
      <c r="M89">
        <v>191</v>
      </c>
      <c r="N89" s="1">
        <v>0.47499999999999998</v>
      </c>
      <c r="O89">
        <v>46</v>
      </c>
      <c r="P89" s="1">
        <v>0.35399999999999998</v>
      </c>
      <c r="Q89" s="1">
        <v>0.73299999999999998</v>
      </c>
      <c r="R89">
        <v>516</v>
      </c>
      <c r="S89">
        <v>39</v>
      </c>
      <c r="T89">
        <v>141</v>
      </c>
      <c r="U89">
        <v>107</v>
      </c>
      <c r="V89">
        <v>21</v>
      </c>
      <c r="W89">
        <v>19</v>
      </c>
      <c r="X89">
        <v>63</v>
      </c>
      <c r="Y89" s="5">
        <v>1.6984126984126984</v>
      </c>
    </row>
    <row r="90" spans="1:25" x14ac:dyDescent="0.25">
      <c r="A90">
        <v>2018</v>
      </c>
      <c r="B90" t="s">
        <v>57</v>
      </c>
      <c r="C90">
        <v>5</v>
      </c>
      <c r="D90">
        <v>45</v>
      </c>
      <c r="E90" t="s">
        <v>181</v>
      </c>
      <c r="F90" t="s">
        <v>49</v>
      </c>
      <c r="G90">
        <f t="shared" si="1"/>
        <v>1</v>
      </c>
      <c r="H90">
        <v>10</v>
      </c>
      <c r="I90">
        <v>3</v>
      </c>
      <c r="J90">
        <v>0</v>
      </c>
      <c r="K90" s="6" t="s">
        <v>59</v>
      </c>
      <c r="L90" s="6" t="s">
        <v>74</v>
      </c>
      <c r="M90">
        <v>146</v>
      </c>
      <c r="N90" s="1">
        <v>0.502</v>
      </c>
      <c r="O90">
        <v>37</v>
      </c>
      <c r="P90" s="1">
        <v>0.43</v>
      </c>
      <c r="Q90" s="1">
        <v>0.84599999999999997</v>
      </c>
      <c r="R90">
        <v>406</v>
      </c>
      <c r="S90">
        <v>29</v>
      </c>
      <c r="T90">
        <v>110</v>
      </c>
      <c r="U90">
        <v>98</v>
      </c>
      <c r="V90">
        <v>19</v>
      </c>
      <c r="W90">
        <v>9</v>
      </c>
      <c r="X90">
        <v>42</v>
      </c>
      <c r="Y90" s="5">
        <v>2.3333333333333335</v>
      </c>
    </row>
    <row r="91" spans="1:25" x14ac:dyDescent="0.25">
      <c r="A91">
        <v>2018</v>
      </c>
      <c r="B91" t="s">
        <v>57</v>
      </c>
      <c r="C91">
        <v>5</v>
      </c>
      <c r="D91">
        <v>45</v>
      </c>
      <c r="E91" t="s">
        <v>18</v>
      </c>
      <c r="F91" t="s">
        <v>52</v>
      </c>
      <c r="G91">
        <f t="shared" si="1"/>
        <v>0</v>
      </c>
      <c r="H91">
        <v>3</v>
      </c>
      <c r="I91">
        <v>10</v>
      </c>
      <c r="J91">
        <v>0</v>
      </c>
      <c r="K91" s="6" t="s">
        <v>182</v>
      </c>
      <c r="L91" s="6" t="s">
        <v>76</v>
      </c>
      <c r="M91">
        <v>124</v>
      </c>
      <c r="N91" s="1">
        <v>0.42299999999999999</v>
      </c>
      <c r="O91">
        <v>34</v>
      </c>
      <c r="P91" s="1">
        <v>0.34</v>
      </c>
      <c r="Q91" s="1">
        <v>0.83799999999999997</v>
      </c>
      <c r="R91">
        <v>349</v>
      </c>
      <c r="S91">
        <v>37</v>
      </c>
      <c r="T91">
        <v>139</v>
      </c>
      <c r="U91">
        <v>87</v>
      </c>
      <c r="V91">
        <v>16</v>
      </c>
      <c r="W91">
        <v>21</v>
      </c>
      <c r="X91">
        <v>46</v>
      </c>
      <c r="Y91" s="5">
        <v>1.8913043478260869</v>
      </c>
    </row>
    <row r="92" spans="1:25" x14ac:dyDescent="0.25">
      <c r="A92">
        <v>2018</v>
      </c>
      <c r="B92" t="s">
        <v>57</v>
      </c>
      <c r="C92">
        <v>5</v>
      </c>
      <c r="D92">
        <v>46</v>
      </c>
      <c r="E92" t="s">
        <v>159</v>
      </c>
      <c r="F92" t="s">
        <v>116</v>
      </c>
      <c r="G92">
        <f t="shared" si="1"/>
        <v>1</v>
      </c>
      <c r="H92">
        <v>9</v>
      </c>
      <c r="I92">
        <v>4</v>
      </c>
      <c r="J92">
        <v>0</v>
      </c>
      <c r="K92" s="6" t="s">
        <v>111</v>
      </c>
      <c r="L92" s="6" t="s">
        <v>89</v>
      </c>
      <c r="M92">
        <v>112</v>
      </c>
      <c r="N92" s="1">
        <v>0.41799999999999998</v>
      </c>
      <c r="O92">
        <v>30</v>
      </c>
      <c r="P92" s="1">
        <v>0.35299999999999998</v>
      </c>
      <c r="Q92" s="1">
        <v>0.627</v>
      </c>
      <c r="R92">
        <v>291</v>
      </c>
      <c r="S92">
        <v>26</v>
      </c>
      <c r="T92">
        <v>109</v>
      </c>
      <c r="U92">
        <v>61</v>
      </c>
      <c r="V92">
        <v>30</v>
      </c>
      <c r="W92">
        <v>20</v>
      </c>
      <c r="X92">
        <v>48</v>
      </c>
      <c r="Y92" s="5">
        <v>1.2708333333333333</v>
      </c>
    </row>
    <row r="93" spans="1:25" x14ac:dyDescent="0.25">
      <c r="A93">
        <v>2018</v>
      </c>
      <c r="B93" t="s">
        <v>57</v>
      </c>
      <c r="C93">
        <v>5</v>
      </c>
      <c r="D93">
        <v>46</v>
      </c>
      <c r="E93" t="s">
        <v>97</v>
      </c>
      <c r="F93" t="s">
        <v>54</v>
      </c>
      <c r="G93">
        <f t="shared" si="1"/>
        <v>0</v>
      </c>
      <c r="H93">
        <v>4</v>
      </c>
      <c r="I93">
        <v>9</v>
      </c>
      <c r="J93">
        <v>0</v>
      </c>
      <c r="K93" s="6" t="s">
        <v>193</v>
      </c>
      <c r="L93" s="6" t="s">
        <v>117</v>
      </c>
      <c r="M93">
        <v>73</v>
      </c>
      <c r="N93" s="1">
        <v>0.45900000000000002</v>
      </c>
      <c r="O93">
        <v>18</v>
      </c>
      <c r="P93" s="1">
        <v>0.4</v>
      </c>
      <c r="Q93" s="1">
        <v>0.75900000000000001</v>
      </c>
      <c r="R93">
        <v>186</v>
      </c>
      <c r="S93">
        <v>19</v>
      </c>
      <c r="T93">
        <v>45</v>
      </c>
      <c r="U93">
        <v>25</v>
      </c>
      <c r="V93">
        <v>26</v>
      </c>
      <c r="W93">
        <v>15</v>
      </c>
      <c r="X93">
        <v>20</v>
      </c>
      <c r="Y93" s="5">
        <v>1.25</v>
      </c>
    </row>
    <row r="94" spans="1:25" x14ac:dyDescent="0.25">
      <c r="A94">
        <v>2018</v>
      </c>
      <c r="B94" t="s">
        <v>57</v>
      </c>
      <c r="C94">
        <v>5</v>
      </c>
      <c r="D94">
        <v>47</v>
      </c>
      <c r="E94" t="s">
        <v>98</v>
      </c>
      <c r="F94" t="s">
        <v>41</v>
      </c>
      <c r="G94">
        <f t="shared" si="1"/>
        <v>0</v>
      </c>
      <c r="H94">
        <v>4</v>
      </c>
      <c r="I94">
        <v>9</v>
      </c>
      <c r="J94">
        <v>0</v>
      </c>
      <c r="K94" s="6" t="s">
        <v>71</v>
      </c>
      <c r="L94" s="6" t="s">
        <v>121</v>
      </c>
      <c r="M94">
        <v>152</v>
      </c>
      <c r="N94" s="1">
        <v>0.40600000000000003</v>
      </c>
      <c r="O94">
        <v>48</v>
      </c>
      <c r="P94" s="1">
        <v>0.33800000000000002</v>
      </c>
      <c r="Q94" s="1">
        <v>0.81499999999999995</v>
      </c>
      <c r="R94">
        <v>427</v>
      </c>
      <c r="S94">
        <v>35</v>
      </c>
      <c r="T94">
        <v>142</v>
      </c>
      <c r="U94">
        <v>109</v>
      </c>
      <c r="V94">
        <v>31</v>
      </c>
      <c r="W94">
        <v>23</v>
      </c>
      <c r="X94">
        <v>64</v>
      </c>
      <c r="Y94" s="5">
        <v>1.703125</v>
      </c>
    </row>
    <row r="95" spans="1:25" x14ac:dyDescent="0.25">
      <c r="A95">
        <v>2018</v>
      </c>
      <c r="B95" t="s">
        <v>57</v>
      </c>
      <c r="C95">
        <v>5</v>
      </c>
      <c r="D95">
        <v>47</v>
      </c>
      <c r="E95" t="s">
        <v>23</v>
      </c>
      <c r="F95" t="s">
        <v>120</v>
      </c>
      <c r="G95">
        <f t="shared" si="1"/>
        <v>1</v>
      </c>
      <c r="H95">
        <v>9</v>
      </c>
      <c r="I95">
        <v>4</v>
      </c>
      <c r="J95">
        <v>0</v>
      </c>
      <c r="K95" s="6" t="s">
        <v>112</v>
      </c>
      <c r="L95" s="6" t="s">
        <v>88</v>
      </c>
      <c r="M95">
        <v>164</v>
      </c>
      <c r="N95" s="1">
        <v>0.46500000000000002</v>
      </c>
      <c r="O95">
        <v>51</v>
      </c>
      <c r="P95" s="1">
        <v>0.38100000000000001</v>
      </c>
      <c r="Q95" s="1">
        <v>0.83499999999999996</v>
      </c>
      <c r="R95">
        <v>455</v>
      </c>
      <c r="S95">
        <v>38</v>
      </c>
      <c r="T95">
        <v>150</v>
      </c>
      <c r="U95">
        <v>95</v>
      </c>
      <c r="V95">
        <v>27</v>
      </c>
      <c r="W95">
        <v>15</v>
      </c>
      <c r="X95">
        <v>63</v>
      </c>
      <c r="Y95" s="5">
        <v>1.5079365079365079</v>
      </c>
    </row>
    <row r="96" spans="1:25" x14ac:dyDescent="0.25">
      <c r="A96">
        <v>2018</v>
      </c>
      <c r="B96" t="s">
        <v>57</v>
      </c>
      <c r="C96">
        <v>5</v>
      </c>
      <c r="D96">
        <v>48</v>
      </c>
      <c r="E96" t="s">
        <v>21</v>
      </c>
      <c r="F96" t="s">
        <v>50</v>
      </c>
      <c r="G96">
        <f t="shared" si="1"/>
        <v>1</v>
      </c>
      <c r="H96">
        <v>11</v>
      </c>
      <c r="I96">
        <v>2</v>
      </c>
      <c r="J96">
        <v>0</v>
      </c>
      <c r="K96" s="6" t="s">
        <v>69</v>
      </c>
      <c r="L96" s="6" t="s">
        <v>86</v>
      </c>
      <c r="M96">
        <v>181</v>
      </c>
      <c r="N96" s="1">
        <v>0.503</v>
      </c>
      <c r="O96">
        <v>46</v>
      </c>
      <c r="P96" s="1">
        <v>0.40699999999999997</v>
      </c>
      <c r="Q96" s="1">
        <v>0.68799999999999994</v>
      </c>
      <c r="R96">
        <v>474</v>
      </c>
      <c r="S96">
        <v>35</v>
      </c>
      <c r="T96">
        <v>94</v>
      </c>
      <c r="U96">
        <v>84</v>
      </c>
      <c r="V96">
        <v>32</v>
      </c>
      <c r="W96">
        <v>21</v>
      </c>
      <c r="X96">
        <v>53</v>
      </c>
      <c r="Y96" s="5">
        <v>1.5849056603773586</v>
      </c>
    </row>
    <row r="97" spans="1:25" x14ac:dyDescent="0.25">
      <c r="A97">
        <v>2018</v>
      </c>
      <c r="B97" t="s">
        <v>57</v>
      </c>
      <c r="C97">
        <v>5</v>
      </c>
      <c r="D97">
        <v>48</v>
      </c>
      <c r="E97" t="s">
        <v>24</v>
      </c>
      <c r="F97" t="s">
        <v>55</v>
      </c>
      <c r="G97">
        <f t="shared" si="1"/>
        <v>0</v>
      </c>
      <c r="H97">
        <v>2</v>
      </c>
      <c r="I97">
        <v>11</v>
      </c>
      <c r="J97">
        <v>0</v>
      </c>
      <c r="K97" s="6" t="s">
        <v>70</v>
      </c>
      <c r="L97" s="6" t="s">
        <v>87</v>
      </c>
      <c r="M97">
        <v>118</v>
      </c>
      <c r="N97" s="1">
        <v>0.43099999999999999</v>
      </c>
      <c r="O97">
        <v>39</v>
      </c>
      <c r="P97" s="1">
        <v>0.36099999999999999</v>
      </c>
      <c r="Q97" s="1">
        <v>0.77300000000000002</v>
      </c>
      <c r="R97">
        <v>326</v>
      </c>
      <c r="S97">
        <v>25</v>
      </c>
      <c r="T97">
        <v>124</v>
      </c>
      <c r="U97">
        <v>76</v>
      </c>
      <c r="V97">
        <v>29</v>
      </c>
      <c r="W97">
        <v>5</v>
      </c>
      <c r="X97">
        <v>65</v>
      </c>
      <c r="Y97" s="5">
        <v>1.1692307692307693</v>
      </c>
    </row>
    <row r="98" spans="1:25" x14ac:dyDescent="0.25">
      <c r="A98">
        <v>2018</v>
      </c>
      <c r="B98" t="s">
        <v>57</v>
      </c>
      <c r="C98">
        <v>5</v>
      </c>
      <c r="D98">
        <v>49</v>
      </c>
      <c r="E98" t="s">
        <v>33</v>
      </c>
      <c r="F98" t="s">
        <v>42</v>
      </c>
      <c r="G98">
        <f t="shared" si="1"/>
        <v>0</v>
      </c>
      <c r="H98">
        <v>6</v>
      </c>
      <c r="I98">
        <v>7</v>
      </c>
      <c r="J98">
        <v>0</v>
      </c>
      <c r="K98" s="6" t="s">
        <v>68</v>
      </c>
      <c r="L98" s="6" t="s">
        <v>84</v>
      </c>
      <c r="M98">
        <v>155</v>
      </c>
      <c r="N98" s="1">
        <v>0.45100000000000001</v>
      </c>
      <c r="O98">
        <v>50</v>
      </c>
      <c r="P98" s="1">
        <v>0.373</v>
      </c>
      <c r="Q98" s="1">
        <v>0.84499999999999997</v>
      </c>
      <c r="R98">
        <v>420</v>
      </c>
      <c r="S98">
        <v>21</v>
      </c>
      <c r="T98">
        <v>104</v>
      </c>
      <c r="U98">
        <v>113</v>
      </c>
      <c r="V98">
        <v>34</v>
      </c>
      <c r="W98">
        <v>13</v>
      </c>
      <c r="X98">
        <v>63</v>
      </c>
      <c r="Y98" s="5">
        <v>1.7936507936507937</v>
      </c>
    </row>
    <row r="99" spans="1:25" x14ac:dyDescent="0.25">
      <c r="A99">
        <v>2018</v>
      </c>
      <c r="B99" t="s">
        <v>57</v>
      </c>
      <c r="C99">
        <v>5</v>
      </c>
      <c r="D99">
        <v>49</v>
      </c>
      <c r="E99" t="s">
        <v>25</v>
      </c>
      <c r="F99" t="s">
        <v>53</v>
      </c>
      <c r="G99">
        <f t="shared" si="1"/>
        <v>1</v>
      </c>
      <c r="H99">
        <v>7</v>
      </c>
      <c r="I99">
        <v>6</v>
      </c>
      <c r="J99">
        <v>0</v>
      </c>
      <c r="K99" s="6" t="s">
        <v>72</v>
      </c>
      <c r="L99" s="6" t="s">
        <v>85</v>
      </c>
      <c r="M99">
        <v>176</v>
      </c>
      <c r="N99" s="1">
        <v>0.46899999999999997</v>
      </c>
      <c r="O99">
        <v>36</v>
      </c>
      <c r="P99" s="1">
        <v>0.34300000000000003</v>
      </c>
      <c r="Q99" s="1">
        <v>0.78700000000000003</v>
      </c>
      <c r="R99">
        <v>462</v>
      </c>
      <c r="S99">
        <v>36</v>
      </c>
      <c r="T99">
        <v>130</v>
      </c>
      <c r="U99">
        <v>92</v>
      </c>
      <c r="V99">
        <v>29</v>
      </c>
      <c r="W99">
        <v>8</v>
      </c>
      <c r="X99">
        <v>44</v>
      </c>
      <c r="Y99" s="5">
        <v>2.0909090909090908</v>
      </c>
    </row>
    <row r="100" spans="1:25" x14ac:dyDescent="0.25">
      <c r="A100">
        <v>2018</v>
      </c>
      <c r="B100" t="s">
        <v>57</v>
      </c>
      <c r="C100">
        <v>5</v>
      </c>
      <c r="D100">
        <v>50</v>
      </c>
      <c r="E100" t="s">
        <v>19</v>
      </c>
      <c r="F100" t="s">
        <v>56</v>
      </c>
      <c r="G100">
        <f t="shared" si="1"/>
        <v>1</v>
      </c>
      <c r="H100">
        <v>9</v>
      </c>
      <c r="I100">
        <v>3</v>
      </c>
      <c r="J100">
        <v>1</v>
      </c>
      <c r="K100" s="6" t="s">
        <v>106</v>
      </c>
      <c r="L100" s="6" t="s">
        <v>83</v>
      </c>
      <c r="M100">
        <v>145</v>
      </c>
      <c r="N100" s="1">
        <v>0.42199999999999999</v>
      </c>
      <c r="O100">
        <v>46</v>
      </c>
      <c r="P100" s="1">
        <v>0.35699999999999998</v>
      </c>
      <c r="Q100" s="1">
        <v>0.82499999999999996</v>
      </c>
      <c r="R100">
        <v>416</v>
      </c>
      <c r="S100">
        <v>35</v>
      </c>
      <c r="T100">
        <v>139</v>
      </c>
      <c r="U100">
        <v>109</v>
      </c>
      <c r="V100">
        <v>33</v>
      </c>
      <c r="W100">
        <v>24</v>
      </c>
      <c r="X100">
        <v>47</v>
      </c>
      <c r="Y100" s="5">
        <v>2.3191489361702127</v>
      </c>
    </row>
    <row r="101" spans="1:25" x14ac:dyDescent="0.25">
      <c r="A101">
        <v>2018</v>
      </c>
      <c r="B101" t="s">
        <v>57</v>
      </c>
      <c r="C101">
        <v>5</v>
      </c>
      <c r="D101">
        <v>50</v>
      </c>
      <c r="E101" t="s">
        <v>94</v>
      </c>
      <c r="F101" t="s">
        <v>40</v>
      </c>
      <c r="G101">
        <f t="shared" si="1"/>
        <v>0</v>
      </c>
      <c r="H101">
        <v>3</v>
      </c>
      <c r="I101">
        <v>9</v>
      </c>
      <c r="J101">
        <v>1</v>
      </c>
      <c r="K101" s="6" t="s">
        <v>67</v>
      </c>
      <c r="L101" s="6" t="s">
        <v>82</v>
      </c>
      <c r="M101">
        <v>123</v>
      </c>
      <c r="N101" s="1">
        <v>0.45100000000000001</v>
      </c>
      <c r="O101">
        <v>25</v>
      </c>
      <c r="P101" s="1">
        <v>0.313</v>
      </c>
      <c r="Q101" s="1">
        <v>0.873</v>
      </c>
      <c r="R101">
        <v>340</v>
      </c>
      <c r="S101">
        <v>43</v>
      </c>
      <c r="T101">
        <v>128</v>
      </c>
      <c r="U101">
        <v>75</v>
      </c>
      <c r="V101">
        <v>32</v>
      </c>
      <c r="W101">
        <v>24</v>
      </c>
      <c r="X101">
        <v>56</v>
      </c>
      <c r="Y101" s="5">
        <v>1.3392857142857142</v>
      </c>
    </row>
    <row r="102" spans="1:25" x14ac:dyDescent="0.25">
      <c r="A102">
        <v>2018</v>
      </c>
      <c r="B102" t="s">
        <v>57</v>
      </c>
      <c r="C102">
        <v>6</v>
      </c>
      <c r="D102">
        <v>51</v>
      </c>
      <c r="E102" t="s">
        <v>16</v>
      </c>
      <c r="F102" t="s">
        <v>51</v>
      </c>
      <c r="G102">
        <f t="shared" si="1"/>
        <v>1</v>
      </c>
      <c r="H102">
        <v>9</v>
      </c>
      <c r="I102">
        <v>3</v>
      </c>
      <c r="J102">
        <v>1</v>
      </c>
      <c r="K102" s="6" t="s">
        <v>65</v>
      </c>
      <c r="L102" s="6" t="s">
        <v>119</v>
      </c>
      <c r="M102">
        <v>179</v>
      </c>
      <c r="N102" s="1">
        <v>0.49199999999999999</v>
      </c>
      <c r="O102">
        <v>45</v>
      </c>
      <c r="P102" s="1">
        <v>0.33600000000000002</v>
      </c>
      <c r="Q102" s="1">
        <v>0.80400000000000005</v>
      </c>
      <c r="R102">
        <v>477</v>
      </c>
      <c r="S102">
        <v>45</v>
      </c>
      <c r="T102">
        <v>186</v>
      </c>
      <c r="U102">
        <v>76</v>
      </c>
      <c r="V102">
        <v>37</v>
      </c>
      <c r="W102">
        <v>18</v>
      </c>
      <c r="X102">
        <v>56</v>
      </c>
      <c r="Y102" s="5">
        <v>1.3571428571428572</v>
      </c>
    </row>
    <row r="103" spans="1:25" x14ac:dyDescent="0.25">
      <c r="A103">
        <v>2018</v>
      </c>
      <c r="B103" t="s">
        <v>57</v>
      </c>
      <c r="C103">
        <v>6</v>
      </c>
      <c r="D103">
        <v>51</v>
      </c>
      <c r="E103" t="s">
        <v>26</v>
      </c>
      <c r="F103" t="s">
        <v>118</v>
      </c>
      <c r="G103">
        <f t="shared" si="1"/>
        <v>0</v>
      </c>
      <c r="H103">
        <v>3</v>
      </c>
      <c r="I103">
        <v>9</v>
      </c>
      <c r="J103">
        <v>1</v>
      </c>
      <c r="K103" s="6" t="s">
        <v>60</v>
      </c>
      <c r="L103" s="6" t="s">
        <v>75</v>
      </c>
      <c r="M103">
        <v>136</v>
      </c>
      <c r="N103" s="1">
        <v>0.42899999999999999</v>
      </c>
      <c r="O103">
        <v>43</v>
      </c>
      <c r="P103" s="1">
        <v>0.38100000000000001</v>
      </c>
      <c r="Q103" s="1">
        <v>0.79100000000000004</v>
      </c>
      <c r="R103">
        <v>383</v>
      </c>
      <c r="S103">
        <v>38</v>
      </c>
      <c r="T103">
        <v>99</v>
      </c>
      <c r="U103">
        <v>76</v>
      </c>
      <c r="V103">
        <v>21</v>
      </c>
      <c r="W103">
        <v>10</v>
      </c>
      <c r="X103">
        <v>53</v>
      </c>
      <c r="Y103" s="5">
        <v>1.4339622641509433</v>
      </c>
    </row>
    <row r="104" spans="1:25" x14ac:dyDescent="0.25">
      <c r="A104">
        <v>2018</v>
      </c>
      <c r="B104" t="s">
        <v>57</v>
      </c>
      <c r="C104">
        <v>6</v>
      </c>
      <c r="D104">
        <v>52</v>
      </c>
      <c r="E104" t="s">
        <v>190</v>
      </c>
      <c r="F104" t="s">
        <v>103</v>
      </c>
      <c r="G104">
        <f t="shared" si="1"/>
        <v>0</v>
      </c>
      <c r="H104">
        <v>3</v>
      </c>
      <c r="I104">
        <v>10</v>
      </c>
      <c r="J104">
        <v>0</v>
      </c>
      <c r="K104" s="6" t="s">
        <v>66</v>
      </c>
      <c r="L104" s="6" t="s">
        <v>81</v>
      </c>
      <c r="M104">
        <v>136</v>
      </c>
      <c r="N104" s="1">
        <v>0.46400000000000002</v>
      </c>
      <c r="O104">
        <v>27</v>
      </c>
      <c r="P104" s="1">
        <v>0.29699999999999999</v>
      </c>
      <c r="Q104" s="1">
        <v>0.72599999999999998</v>
      </c>
      <c r="R104">
        <v>360</v>
      </c>
      <c r="S104">
        <v>27</v>
      </c>
      <c r="T104">
        <v>109</v>
      </c>
      <c r="U104">
        <v>89</v>
      </c>
      <c r="V104">
        <v>27</v>
      </c>
      <c r="W104">
        <v>16</v>
      </c>
      <c r="X104">
        <v>47</v>
      </c>
      <c r="Y104" s="5">
        <v>1.8936170212765957</v>
      </c>
    </row>
    <row r="105" spans="1:25" x14ac:dyDescent="0.25">
      <c r="A105">
        <v>2018</v>
      </c>
      <c r="B105" t="s">
        <v>57</v>
      </c>
      <c r="C105">
        <v>6</v>
      </c>
      <c r="D105">
        <v>52</v>
      </c>
      <c r="E105" t="s">
        <v>22</v>
      </c>
      <c r="F105" t="s">
        <v>44</v>
      </c>
      <c r="G105">
        <f t="shared" si="1"/>
        <v>1</v>
      </c>
      <c r="H105">
        <v>10</v>
      </c>
      <c r="I105">
        <v>3</v>
      </c>
      <c r="J105">
        <v>0</v>
      </c>
      <c r="K105" s="6" t="s">
        <v>191</v>
      </c>
      <c r="L105" s="6" t="s">
        <v>113</v>
      </c>
      <c r="M105">
        <v>140</v>
      </c>
      <c r="N105" s="1">
        <v>0.42399999999999999</v>
      </c>
      <c r="O105">
        <v>40</v>
      </c>
      <c r="P105" s="1">
        <v>0.37</v>
      </c>
      <c r="Q105" s="1">
        <v>0.80700000000000005</v>
      </c>
      <c r="R105">
        <v>391</v>
      </c>
      <c r="S105">
        <v>36</v>
      </c>
      <c r="T105">
        <v>129</v>
      </c>
      <c r="U105">
        <v>59</v>
      </c>
      <c r="V105">
        <v>13</v>
      </c>
      <c r="W105">
        <v>19</v>
      </c>
      <c r="X105">
        <v>30</v>
      </c>
      <c r="Y105" s="5">
        <v>1.9666666666666666</v>
      </c>
    </row>
    <row r="106" spans="1:25" x14ac:dyDescent="0.25">
      <c r="A106">
        <v>2018</v>
      </c>
      <c r="B106" t="s">
        <v>57</v>
      </c>
      <c r="C106">
        <v>6</v>
      </c>
      <c r="D106">
        <v>53</v>
      </c>
      <c r="E106" t="s">
        <v>28</v>
      </c>
      <c r="F106" t="s">
        <v>46</v>
      </c>
      <c r="G106">
        <f t="shared" si="1"/>
        <v>1</v>
      </c>
      <c r="H106">
        <v>9</v>
      </c>
      <c r="I106">
        <v>4</v>
      </c>
      <c r="J106">
        <v>0</v>
      </c>
      <c r="K106" s="6" t="s">
        <v>62</v>
      </c>
      <c r="L106" s="6" t="s">
        <v>78</v>
      </c>
      <c r="M106">
        <v>159</v>
      </c>
      <c r="N106" s="1">
        <v>0.46800000000000003</v>
      </c>
      <c r="O106">
        <v>40</v>
      </c>
      <c r="P106" s="1">
        <v>0.44900000000000001</v>
      </c>
      <c r="Q106" s="1">
        <v>0.623</v>
      </c>
      <c r="R106">
        <v>424</v>
      </c>
      <c r="S106">
        <v>51</v>
      </c>
      <c r="T106">
        <v>136</v>
      </c>
      <c r="U106">
        <v>97</v>
      </c>
      <c r="V106">
        <v>28</v>
      </c>
      <c r="W106">
        <v>22</v>
      </c>
      <c r="X106">
        <v>64</v>
      </c>
      <c r="Y106" s="5">
        <v>1.515625</v>
      </c>
    </row>
    <row r="107" spans="1:25" x14ac:dyDescent="0.25">
      <c r="A107">
        <v>2018</v>
      </c>
      <c r="B107" t="s">
        <v>57</v>
      </c>
      <c r="C107">
        <v>6</v>
      </c>
      <c r="D107">
        <v>53</v>
      </c>
      <c r="E107" t="s">
        <v>20</v>
      </c>
      <c r="F107" t="s">
        <v>47</v>
      </c>
      <c r="G107">
        <f t="shared" si="1"/>
        <v>0</v>
      </c>
      <c r="H107">
        <v>4</v>
      </c>
      <c r="I107">
        <v>9</v>
      </c>
      <c r="J107">
        <v>0</v>
      </c>
      <c r="K107" s="6" t="s">
        <v>64</v>
      </c>
      <c r="L107" s="6" t="s">
        <v>80</v>
      </c>
      <c r="M107">
        <v>141</v>
      </c>
      <c r="N107" s="1">
        <v>0.442</v>
      </c>
      <c r="O107">
        <v>24</v>
      </c>
      <c r="P107" s="1">
        <v>0.29599999999999999</v>
      </c>
      <c r="Q107" s="1">
        <v>0.75</v>
      </c>
      <c r="R107">
        <v>363</v>
      </c>
      <c r="S107">
        <v>31</v>
      </c>
      <c r="T107">
        <v>112</v>
      </c>
      <c r="U107">
        <v>110</v>
      </c>
      <c r="V107">
        <v>20</v>
      </c>
      <c r="W107">
        <v>20</v>
      </c>
      <c r="X107">
        <v>62</v>
      </c>
      <c r="Y107" s="5">
        <v>1.7741935483870968</v>
      </c>
    </row>
    <row r="108" spans="1:25" x14ac:dyDescent="0.25">
      <c r="A108">
        <v>2018</v>
      </c>
      <c r="B108" t="s">
        <v>57</v>
      </c>
      <c r="C108">
        <v>6</v>
      </c>
      <c r="D108">
        <v>54</v>
      </c>
      <c r="E108" t="s">
        <v>181</v>
      </c>
      <c r="F108" t="s">
        <v>49</v>
      </c>
      <c r="G108">
        <f t="shared" si="1"/>
        <v>1</v>
      </c>
      <c r="H108">
        <v>9</v>
      </c>
      <c r="I108">
        <v>4</v>
      </c>
      <c r="J108">
        <v>0</v>
      </c>
      <c r="K108" s="6" t="s">
        <v>63</v>
      </c>
      <c r="L108" s="6" t="s">
        <v>79</v>
      </c>
      <c r="M108">
        <v>195</v>
      </c>
      <c r="N108" s="1">
        <v>0.51600000000000001</v>
      </c>
      <c r="O108">
        <v>45</v>
      </c>
      <c r="P108" s="1">
        <v>0.42099999999999999</v>
      </c>
      <c r="Q108" s="1">
        <v>0.79500000000000004</v>
      </c>
      <c r="R108">
        <v>497</v>
      </c>
      <c r="S108">
        <v>37</v>
      </c>
      <c r="T108">
        <v>131</v>
      </c>
      <c r="U108">
        <v>91</v>
      </c>
      <c r="V108">
        <v>42</v>
      </c>
      <c r="W108">
        <v>11</v>
      </c>
      <c r="X108">
        <v>63</v>
      </c>
      <c r="Y108" s="5">
        <v>1.4444444444444444</v>
      </c>
    </row>
    <row r="109" spans="1:25" x14ac:dyDescent="0.25">
      <c r="A109">
        <v>2018</v>
      </c>
      <c r="B109" t="s">
        <v>57</v>
      </c>
      <c r="C109">
        <v>6</v>
      </c>
      <c r="D109">
        <v>54</v>
      </c>
      <c r="E109" t="s">
        <v>17</v>
      </c>
      <c r="F109" t="s">
        <v>43</v>
      </c>
      <c r="G109">
        <f t="shared" si="1"/>
        <v>0</v>
      </c>
      <c r="H109">
        <v>4</v>
      </c>
      <c r="I109">
        <v>9</v>
      </c>
      <c r="J109">
        <v>0</v>
      </c>
      <c r="K109" s="6" t="s">
        <v>182</v>
      </c>
      <c r="L109" s="6" t="s">
        <v>76</v>
      </c>
      <c r="M109">
        <v>135</v>
      </c>
      <c r="N109" s="1">
        <v>0.46700000000000003</v>
      </c>
      <c r="O109">
        <v>47</v>
      </c>
      <c r="P109" s="1">
        <v>0.41599999999999998</v>
      </c>
      <c r="Q109" s="1">
        <v>0.75700000000000001</v>
      </c>
      <c r="R109">
        <v>370</v>
      </c>
      <c r="S109">
        <v>25</v>
      </c>
      <c r="T109">
        <v>99</v>
      </c>
      <c r="U109">
        <v>84</v>
      </c>
      <c r="V109">
        <v>26</v>
      </c>
      <c r="W109">
        <v>16</v>
      </c>
      <c r="X109">
        <v>55</v>
      </c>
      <c r="Y109" s="5">
        <v>1.5272727272727273</v>
      </c>
    </row>
    <row r="110" spans="1:25" x14ac:dyDescent="0.25">
      <c r="A110">
        <v>2018</v>
      </c>
      <c r="B110" t="s">
        <v>57</v>
      </c>
      <c r="C110">
        <v>6</v>
      </c>
      <c r="D110">
        <v>55</v>
      </c>
      <c r="E110" t="s">
        <v>18</v>
      </c>
      <c r="F110" t="s">
        <v>52</v>
      </c>
      <c r="G110">
        <f t="shared" si="1"/>
        <v>1</v>
      </c>
      <c r="H110">
        <v>8</v>
      </c>
      <c r="I110">
        <v>5</v>
      </c>
      <c r="J110">
        <v>0</v>
      </c>
      <c r="K110" s="6" t="s">
        <v>61</v>
      </c>
      <c r="L110" s="6" t="s">
        <v>77</v>
      </c>
      <c r="M110">
        <v>169</v>
      </c>
      <c r="N110" s="1">
        <v>0.46400000000000002</v>
      </c>
      <c r="O110">
        <v>37</v>
      </c>
      <c r="P110" s="1">
        <v>0.32700000000000001</v>
      </c>
      <c r="Q110" s="1">
        <v>0.83</v>
      </c>
      <c r="R110">
        <v>453</v>
      </c>
      <c r="S110">
        <v>38</v>
      </c>
      <c r="T110">
        <v>138</v>
      </c>
      <c r="U110">
        <v>161</v>
      </c>
      <c r="V110">
        <v>41</v>
      </c>
      <c r="W110">
        <v>24</v>
      </c>
      <c r="X110">
        <v>68</v>
      </c>
      <c r="Y110" s="5">
        <v>2.3676470588235294</v>
      </c>
    </row>
    <row r="111" spans="1:25" x14ac:dyDescent="0.25">
      <c r="A111">
        <v>2018</v>
      </c>
      <c r="B111" t="s">
        <v>57</v>
      </c>
      <c r="C111">
        <v>6</v>
      </c>
      <c r="D111">
        <v>55</v>
      </c>
      <c r="E111" t="s">
        <v>15</v>
      </c>
      <c r="F111" t="s">
        <v>48</v>
      </c>
      <c r="G111">
        <f t="shared" si="1"/>
        <v>0</v>
      </c>
      <c r="H111">
        <v>5</v>
      </c>
      <c r="I111">
        <v>8</v>
      </c>
      <c r="J111">
        <v>0</v>
      </c>
      <c r="K111" s="6" t="s">
        <v>59</v>
      </c>
      <c r="L111" s="6" t="s">
        <v>74</v>
      </c>
      <c r="M111">
        <v>181</v>
      </c>
      <c r="N111" s="1">
        <v>0.44</v>
      </c>
      <c r="O111">
        <v>29</v>
      </c>
      <c r="P111" s="1">
        <v>0.28999999999999998</v>
      </c>
      <c r="Q111" s="1">
        <v>0.64800000000000002</v>
      </c>
      <c r="R111">
        <v>472</v>
      </c>
      <c r="S111">
        <v>45</v>
      </c>
      <c r="T111">
        <v>127</v>
      </c>
      <c r="U111">
        <v>94</v>
      </c>
      <c r="V111">
        <v>24</v>
      </c>
      <c r="W111">
        <v>26</v>
      </c>
      <c r="X111">
        <v>59</v>
      </c>
      <c r="Y111" s="5">
        <v>1.5932203389830508</v>
      </c>
    </row>
    <row r="112" spans="1:25" x14ac:dyDescent="0.25">
      <c r="A112">
        <v>2018</v>
      </c>
      <c r="B112" t="s">
        <v>57</v>
      </c>
      <c r="C112">
        <v>6</v>
      </c>
      <c r="D112">
        <v>56</v>
      </c>
      <c r="E112" t="s">
        <v>98</v>
      </c>
      <c r="F112" t="s">
        <v>41</v>
      </c>
      <c r="G112">
        <f t="shared" si="1"/>
        <v>1</v>
      </c>
      <c r="H112">
        <v>11</v>
      </c>
      <c r="I112">
        <v>2</v>
      </c>
      <c r="J112">
        <v>0</v>
      </c>
      <c r="K112" s="6" t="s">
        <v>193</v>
      </c>
      <c r="L112" s="6" t="s">
        <v>117</v>
      </c>
      <c r="M112">
        <v>154</v>
      </c>
      <c r="N112" s="1">
        <v>0.49199999999999999</v>
      </c>
      <c r="O112">
        <v>40</v>
      </c>
      <c r="P112" s="1">
        <v>0.38800000000000001</v>
      </c>
      <c r="Q112" s="1">
        <v>0.876</v>
      </c>
      <c r="R112">
        <v>433</v>
      </c>
      <c r="S112">
        <v>31</v>
      </c>
      <c r="T112">
        <v>114</v>
      </c>
      <c r="U112">
        <v>83</v>
      </c>
      <c r="V112">
        <v>32</v>
      </c>
      <c r="W112">
        <v>16</v>
      </c>
      <c r="X112">
        <v>56</v>
      </c>
      <c r="Y112" s="5">
        <v>1.4821428571428572</v>
      </c>
    </row>
    <row r="113" spans="1:25" x14ac:dyDescent="0.25">
      <c r="A113">
        <v>2018</v>
      </c>
      <c r="B113" t="s">
        <v>57</v>
      </c>
      <c r="C113">
        <v>6</v>
      </c>
      <c r="D113">
        <v>56</v>
      </c>
      <c r="E113" t="s">
        <v>159</v>
      </c>
      <c r="F113" t="s">
        <v>116</v>
      </c>
      <c r="G113">
        <f t="shared" si="1"/>
        <v>0</v>
      </c>
      <c r="H113">
        <v>2</v>
      </c>
      <c r="I113">
        <v>11</v>
      </c>
      <c r="J113">
        <v>0</v>
      </c>
      <c r="K113" s="6" t="s">
        <v>112</v>
      </c>
      <c r="L113" s="6" t="s">
        <v>88</v>
      </c>
      <c r="M113">
        <v>98</v>
      </c>
      <c r="N113" s="1">
        <v>0.434</v>
      </c>
      <c r="O113">
        <v>31</v>
      </c>
      <c r="P113" s="1">
        <v>0.41899999999999998</v>
      </c>
      <c r="Q113" s="1">
        <v>0.74099999999999999</v>
      </c>
      <c r="R113">
        <v>270</v>
      </c>
      <c r="S113">
        <v>26</v>
      </c>
      <c r="T113">
        <v>79</v>
      </c>
      <c r="U113">
        <v>54</v>
      </c>
      <c r="V113">
        <v>20</v>
      </c>
      <c r="W113">
        <v>13</v>
      </c>
      <c r="X113">
        <v>43</v>
      </c>
      <c r="Y113" s="5">
        <v>1.2558139534883721</v>
      </c>
    </row>
    <row r="114" spans="1:25" x14ac:dyDescent="0.25">
      <c r="A114">
        <v>2018</v>
      </c>
      <c r="B114" t="s">
        <v>57</v>
      </c>
      <c r="C114">
        <v>6</v>
      </c>
      <c r="D114">
        <v>57</v>
      </c>
      <c r="E114" t="s">
        <v>21</v>
      </c>
      <c r="F114" t="s">
        <v>50</v>
      </c>
      <c r="G114">
        <f t="shared" si="1"/>
        <v>1</v>
      </c>
      <c r="H114">
        <v>8</v>
      </c>
      <c r="I114">
        <v>4</v>
      </c>
      <c r="J114">
        <v>1</v>
      </c>
      <c r="K114" s="6" t="s">
        <v>111</v>
      </c>
      <c r="L114" s="6" t="s">
        <v>89</v>
      </c>
      <c r="M114">
        <v>137</v>
      </c>
      <c r="N114" s="1">
        <v>0.498</v>
      </c>
      <c r="O114">
        <v>28</v>
      </c>
      <c r="P114" s="1">
        <v>0.41799999999999998</v>
      </c>
      <c r="Q114" s="1">
        <v>0.70899999999999996</v>
      </c>
      <c r="R114">
        <v>341</v>
      </c>
      <c r="S114">
        <v>34</v>
      </c>
      <c r="T114">
        <v>109</v>
      </c>
      <c r="U114">
        <v>52</v>
      </c>
      <c r="V114">
        <v>31</v>
      </c>
      <c r="W114">
        <v>16</v>
      </c>
      <c r="X114">
        <v>61</v>
      </c>
      <c r="Y114" s="5">
        <v>0.85245901639344257</v>
      </c>
    </row>
    <row r="115" spans="1:25" x14ac:dyDescent="0.25">
      <c r="A115">
        <v>2018</v>
      </c>
      <c r="B115" t="s">
        <v>57</v>
      </c>
      <c r="C115">
        <v>6</v>
      </c>
      <c r="D115">
        <v>57</v>
      </c>
      <c r="E115" t="s">
        <v>97</v>
      </c>
      <c r="F115" t="s">
        <v>54</v>
      </c>
      <c r="G115">
        <f t="shared" si="1"/>
        <v>0</v>
      </c>
      <c r="H115">
        <v>4</v>
      </c>
      <c r="I115">
        <v>8</v>
      </c>
      <c r="J115">
        <v>1</v>
      </c>
      <c r="K115" s="6" t="s">
        <v>70</v>
      </c>
      <c r="L115" s="6" t="s">
        <v>87</v>
      </c>
      <c r="M115">
        <v>73</v>
      </c>
      <c r="N115" s="1">
        <v>0.44</v>
      </c>
      <c r="O115">
        <v>26</v>
      </c>
      <c r="P115" s="1">
        <v>0.42599999999999999</v>
      </c>
      <c r="Q115" s="1">
        <v>0.72699999999999998</v>
      </c>
      <c r="R115">
        <v>188</v>
      </c>
      <c r="S115">
        <v>18</v>
      </c>
      <c r="T115">
        <v>93</v>
      </c>
      <c r="U115">
        <v>41</v>
      </c>
      <c r="V115">
        <v>7</v>
      </c>
      <c r="W115">
        <v>16</v>
      </c>
      <c r="X115">
        <v>35</v>
      </c>
      <c r="Y115" s="5">
        <v>1.1714285714285715</v>
      </c>
    </row>
    <row r="116" spans="1:25" x14ac:dyDescent="0.25">
      <c r="A116">
        <v>2018</v>
      </c>
      <c r="B116" t="s">
        <v>57</v>
      </c>
      <c r="C116">
        <v>6</v>
      </c>
      <c r="D116">
        <v>58</v>
      </c>
      <c r="E116" t="s">
        <v>23</v>
      </c>
      <c r="F116" t="s">
        <v>120</v>
      </c>
      <c r="G116">
        <f t="shared" si="1"/>
        <v>1</v>
      </c>
      <c r="H116">
        <v>7</v>
      </c>
      <c r="I116">
        <v>6</v>
      </c>
      <c r="J116">
        <v>0</v>
      </c>
      <c r="K116" s="6" t="s">
        <v>72</v>
      </c>
      <c r="L116" s="6" t="s">
        <v>85</v>
      </c>
      <c r="M116">
        <v>166</v>
      </c>
      <c r="N116" s="1">
        <v>0.443</v>
      </c>
      <c r="O116">
        <v>37</v>
      </c>
      <c r="P116" s="1">
        <v>0.33300000000000002</v>
      </c>
      <c r="Q116" s="1">
        <v>0.83099999999999996</v>
      </c>
      <c r="R116">
        <v>467</v>
      </c>
      <c r="S116">
        <v>38</v>
      </c>
      <c r="T116">
        <v>161</v>
      </c>
      <c r="U116">
        <v>95</v>
      </c>
      <c r="V116">
        <v>34</v>
      </c>
      <c r="W116">
        <v>16</v>
      </c>
      <c r="X116">
        <v>67</v>
      </c>
      <c r="Y116" s="5">
        <v>1.4179104477611941</v>
      </c>
    </row>
    <row r="117" spans="1:25" x14ac:dyDescent="0.25">
      <c r="A117">
        <v>2018</v>
      </c>
      <c r="B117" t="s">
        <v>57</v>
      </c>
      <c r="C117">
        <v>6</v>
      </c>
      <c r="D117">
        <v>58</v>
      </c>
      <c r="E117" t="s">
        <v>33</v>
      </c>
      <c r="F117" t="s">
        <v>42</v>
      </c>
      <c r="G117">
        <f t="shared" si="1"/>
        <v>0</v>
      </c>
      <c r="H117">
        <v>6</v>
      </c>
      <c r="I117">
        <v>7</v>
      </c>
      <c r="J117">
        <v>0</v>
      </c>
      <c r="K117" s="6" t="s">
        <v>71</v>
      </c>
      <c r="L117" s="6" t="s">
        <v>121</v>
      </c>
      <c r="M117">
        <v>165</v>
      </c>
      <c r="N117" s="1">
        <v>0.46700000000000003</v>
      </c>
      <c r="O117">
        <v>48</v>
      </c>
      <c r="P117" s="1">
        <v>0.38100000000000001</v>
      </c>
      <c r="Q117" s="1">
        <v>0.81499999999999995</v>
      </c>
      <c r="R117">
        <v>453</v>
      </c>
      <c r="S117">
        <v>21</v>
      </c>
      <c r="T117">
        <v>79</v>
      </c>
      <c r="U117">
        <v>69</v>
      </c>
      <c r="V117">
        <v>31</v>
      </c>
      <c r="W117">
        <v>17</v>
      </c>
      <c r="X117">
        <v>45</v>
      </c>
      <c r="Y117" s="5">
        <v>1.5333333333333334</v>
      </c>
    </row>
    <row r="118" spans="1:25" x14ac:dyDescent="0.25">
      <c r="A118">
        <v>2018</v>
      </c>
      <c r="B118" t="s">
        <v>57</v>
      </c>
      <c r="C118">
        <v>6</v>
      </c>
      <c r="D118">
        <v>59</v>
      </c>
      <c r="E118" t="s">
        <v>24</v>
      </c>
      <c r="F118" t="s">
        <v>55</v>
      </c>
      <c r="G118">
        <f t="shared" si="1"/>
        <v>1</v>
      </c>
      <c r="H118">
        <v>8</v>
      </c>
      <c r="I118">
        <v>5</v>
      </c>
      <c r="J118">
        <v>0</v>
      </c>
      <c r="K118" s="6" t="s">
        <v>106</v>
      </c>
      <c r="L118" s="6" t="s">
        <v>83</v>
      </c>
      <c r="M118">
        <v>166</v>
      </c>
      <c r="N118" s="1">
        <v>0.47</v>
      </c>
      <c r="O118">
        <v>62</v>
      </c>
      <c r="P118" s="1">
        <v>0.41299999999999998</v>
      </c>
      <c r="Q118" s="1">
        <v>0.73399999999999999</v>
      </c>
      <c r="R118">
        <v>441</v>
      </c>
      <c r="S118">
        <v>31</v>
      </c>
      <c r="T118">
        <v>143</v>
      </c>
      <c r="U118">
        <v>112</v>
      </c>
      <c r="V118">
        <v>43</v>
      </c>
      <c r="W118">
        <v>30</v>
      </c>
      <c r="X118">
        <v>63</v>
      </c>
      <c r="Y118" s="5">
        <v>1.7777777777777777</v>
      </c>
    </row>
    <row r="119" spans="1:25" x14ac:dyDescent="0.25">
      <c r="A119">
        <v>2018</v>
      </c>
      <c r="B119" t="s">
        <v>57</v>
      </c>
      <c r="C119">
        <v>6</v>
      </c>
      <c r="D119">
        <v>59</v>
      </c>
      <c r="E119" t="s">
        <v>94</v>
      </c>
      <c r="F119" t="s">
        <v>40</v>
      </c>
      <c r="G119">
        <f t="shared" si="1"/>
        <v>0</v>
      </c>
      <c r="H119">
        <v>5</v>
      </c>
      <c r="I119">
        <v>8</v>
      </c>
      <c r="J119">
        <v>0</v>
      </c>
      <c r="K119" s="6" t="s">
        <v>69</v>
      </c>
      <c r="L119" s="6" t="s">
        <v>86</v>
      </c>
      <c r="M119">
        <v>140</v>
      </c>
      <c r="N119" s="1">
        <v>0.504</v>
      </c>
      <c r="O119">
        <v>25</v>
      </c>
      <c r="P119" s="1">
        <v>0.32100000000000001</v>
      </c>
      <c r="Q119" s="1">
        <v>0.80300000000000005</v>
      </c>
      <c r="R119">
        <v>354</v>
      </c>
      <c r="S119">
        <v>43</v>
      </c>
      <c r="T119">
        <v>131</v>
      </c>
      <c r="U119">
        <v>89</v>
      </c>
      <c r="V119">
        <v>35</v>
      </c>
      <c r="W119">
        <v>16</v>
      </c>
      <c r="X119">
        <v>45</v>
      </c>
      <c r="Y119" s="5">
        <v>1.9777777777777779</v>
      </c>
    </row>
    <row r="120" spans="1:25" x14ac:dyDescent="0.25">
      <c r="A120">
        <v>2018</v>
      </c>
      <c r="B120" t="s">
        <v>57</v>
      </c>
      <c r="C120">
        <v>6</v>
      </c>
      <c r="D120">
        <v>60</v>
      </c>
      <c r="E120" t="s">
        <v>25</v>
      </c>
      <c r="F120" t="s">
        <v>53</v>
      </c>
      <c r="G120">
        <f t="shared" si="1"/>
        <v>1</v>
      </c>
      <c r="H120">
        <v>9</v>
      </c>
      <c r="I120">
        <v>4</v>
      </c>
      <c r="J120">
        <v>0</v>
      </c>
      <c r="K120" s="6" t="s">
        <v>67</v>
      </c>
      <c r="L120" s="6" t="s">
        <v>82</v>
      </c>
      <c r="M120">
        <v>182</v>
      </c>
      <c r="N120" s="1">
        <v>0.434</v>
      </c>
      <c r="O120">
        <v>57</v>
      </c>
      <c r="P120" s="1">
        <v>0.373</v>
      </c>
      <c r="Q120" s="1">
        <v>0.73799999999999999</v>
      </c>
      <c r="R120">
        <v>497</v>
      </c>
      <c r="S120">
        <v>38</v>
      </c>
      <c r="T120">
        <v>149</v>
      </c>
      <c r="U120">
        <v>118</v>
      </c>
      <c r="V120">
        <v>35</v>
      </c>
      <c r="W120">
        <v>5</v>
      </c>
      <c r="X120">
        <v>63</v>
      </c>
      <c r="Y120" s="5">
        <v>1.873015873015873</v>
      </c>
    </row>
    <row r="121" spans="1:25" x14ac:dyDescent="0.25">
      <c r="A121">
        <v>2018</v>
      </c>
      <c r="B121" t="s">
        <v>57</v>
      </c>
      <c r="C121">
        <v>6</v>
      </c>
      <c r="D121">
        <v>60</v>
      </c>
      <c r="E121" t="s">
        <v>19</v>
      </c>
      <c r="F121" t="s">
        <v>56</v>
      </c>
      <c r="G121">
        <f t="shared" si="1"/>
        <v>0</v>
      </c>
      <c r="H121">
        <v>4</v>
      </c>
      <c r="I121">
        <v>9</v>
      </c>
      <c r="J121">
        <v>0</v>
      </c>
      <c r="K121" s="6" t="s">
        <v>68</v>
      </c>
      <c r="L121" s="6" t="s">
        <v>84</v>
      </c>
      <c r="M121">
        <v>134</v>
      </c>
      <c r="N121" s="1">
        <v>0.41499999999999998</v>
      </c>
      <c r="O121">
        <v>36</v>
      </c>
      <c r="P121" s="1">
        <v>0.29299999999999998</v>
      </c>
      <c r="Q121" s="1">
        <v>0.78700000000000003</v>
      </c>
      <c r="R121">
        <v>352</v>
      </c>
      <c r="S121">
        <v>36</v>
      </c>
      <c r="T121">
        <v>141</v>
      </c>
      <c r="U121">
        <v>85</v>
      </c>
      <c r="V121">
        <v>23</v>
      </c>
      <c r="W121">
        <v>19</v>
      </c>
      <c r="X121">
        <v>45</v>
      </c>
      <c r="Y121" s="5">
        <v>1.8888888888888888</v>
      </c>
    </row>
    <row r="122" spans="1:25" x14ac:dyDescent="0.25">
      <c r="A122">
        <v>2018</v>
      </c>
      <c r="B122" t="s">
        <v>57</v>
      </c>
      <c r="C122">
        <v>7</v>
      </c>
      <c r="D122">
        <v>61</v>
      </c>
      <c r="E122" t="s">
        <v>16</v>
      </c>
      <c r="F122" t="s">
        <v>51</v>
      </c>
      <c r="G122">
        <f t="shared" si="1"/>
        <v>1</v>
      </c>
      <c r="H122">
        <v>7</v>
      </c>
      <c r="I122">
        <v>5</v>
      </c>
      <c r="J122">
        <v>1</v>
      </c>
      <c r="K122" s="6" t="s">
        <v>191</v>
      </c>
      <c r="L122" s="6" t="s">
        <v>113</v>
      </c>
      <c r="M122">
        <v>165</v>
      </c>
      <c r="N122" s="1">
        <v>0.46600000000000003</v>
      </c>
      <c r="O122">
        <v>61</v>
      </c>
      <c r="P122" s="1">
        <v>0.39900000000000002</v>
      </c>
      <c r="Q122" s="1">
        <v>0.8</v>
      </c>
      <c r="R122">
        <v>475</v>
      </c>
      <c r="S122">
        <v>38</v>
      </c>
      <c r="T122">
        <v>133</v>
      </c>
      <c r="U122">
        <v>81</v>
      </c>
      <c r="V122">
        <v>31</v>
      </c>
      <c r="W122">
        <v>20</v>
      </c>
      <c r="X122">
        <v>62</v>
      </c>
      <c r="Y122" s="5">
        <v>1.3064516129032258</v>
      </c>
    </row>
    <row r="123" spans="1:25" x14ac:dyDescent="0.25">
      <c r="A123">
        <v>2018</v>
      </c>
      <c r="B123" t="s">
        <v>57</v>
      </c>
      <c r="C123">
        <v>7</v>
      </c>
      <c r="D123">
        <v>61</v>
      </c>
      <c r="E123" t="s">
        <v>190</v>
      </c>
      <c r="F123" t="s">
        <v>103</v>
      </c>
      <c r="G123">
        <f t="shared" si="1"/>
        <v>0</v>
      </c>
      <c r="H123">
        <v>5</v>
      </c>
      <c r="I123">
        <v>7</v>
      </c>
      <c r="J123">
        <v>1</v>
      </c>
      <c r="K123" s="6" t="s">
        <v>60</v>
      </c>
      <c r="L123" s="6" t="s">
        <v>75</v>
      </c>
      <c r="M123">
        <v>173</v>
      </c>
      <c r="N123" s="1">
        <v>0.53200000000000003</v>
      </c>
      <c r="O123">
        <v>51</v>
      </c>
      <c r="P123" s="1">
        <v>0.42899999999999999</v>
      </c>
      <c r="Q123" s="1">
        <v>0.78100000000000003</v>
      </c>
      <c r="R123">
        <v>454</v>
      </c>
      <c r="S123">
        <v>35</v>
      </c>
      <c r="T123">
        <v>112</v>
      </c>
      <c r="U123">
        <v>74</v>
      </c>
      <c r="V123">
        <v>31</v>
      </c>
      <c r="W123">
        <v>17</v>
      </c>
      <c r="X123">
        <v>48</v>
      </c>
      <c r="Y123" s="5">
        <v>1.5416666666666667</v>
      </c>
    </row>
    <row r="124" spans="1:25" x14ac:dyDescent="0.25">
      <c r="A124">
        <v>2018</v>
      </c>
      <c r="B124" t="s">
        <v>57</v>
      </c>
      <c r="C124">
        <v>7</v>
      </c>
      <c r="D124">
        <v>62</v>
      </c>
      <c r="E124" t="s">
        <v>26</v>
      </c>
      <c r="F124" t="s">
        <v>118</v>
      </c>
      <c r="G124">
        <f t="shared" si="1"/>
        <v>0</v>
      </c>
      <c r="H124">
        <v>6</v>
      </c>
      <c r="I124">
        <v>7</v>
      </c>
      <c r="J124">
        <v>0</v>
      </c>
      <c r="K124" s="6" t="s">
        <v>62</v>
      </c>
      <c r="L124" s="6" t="s">
        <v>78</v>
      </c>
      <c r="M124">
        <v>100</v>
      </c>
      <c r="N124" s="1">
        <v>0.42699999999999999</v>
      </c>
      <c r="O124">
        <v>28</v>
      </c>
      <c r="P124" s="1">
        <v>0.35899999999999999</v>
      </c>
      <c r="Q124" s="1">
        <v>0.80200000000000005</v>
      </c>
      <c r="R124">
        <v>293</v>
      </c>
      <c r="S124">
        <v>26</v>
      </c>
      <c r="T124">
        <v>86</v>
      </c>
      <c r="U124">
        <v>60</v>
      </c>
      <c r="V124">
        <v>25</v>
      </c>
      <c r="W124">
        <v>5</v>
      </c>
      <c r="X124">
        <v>33</v>
      </c>
      <c r="Y124" s="5">
        <v>1.8181818181818181</v>
      </c>
    </row>
    <row r="125" spans="1:25" x14ac:dyDescent="0.25">
      <c r="A125">
        <v>2018</v>
      </c>
      <c r="B125" t="s">
        <v>57</v>
      </c>
      <c r="C125">
        <v>7</v>
      </c>
      <c r="D125">
        <v>62</v>
      </c>
      <c r="E125" t="s">
        <v>20</v>
      </c>
      <c r="F125" t="s">
        <v>47</v>
      </c>
      <c r="G125">
        <f t="shared" si="1"/>
        <v>1</v>
      </c>
      <c r="H125">
        <v>7</v>
      </c>
      <c r="I125">
        <v>6</v>
      </c>
      <c r="J125">
        <v>0</v>
      </c>
      <c r="K125" s="6" t="s">
        <v>65</v>
      </c>
      <c r="L125" s="6" t="s">
        <v>119</v>
      </c>
      <c r="M125">
        <v>148</v>
      </c>
      <c r="N125" s="1">
        <v>0.46100000000000002</v>
      </c>
      <c r="O125">
        <v>27</v>
      </c>
      <c r="P125" s="1">
        <v>0.34599999999999997</v>
      </c>
      <c r="Q125" s="1">
        <v>0.70299999999999996</v>
      </c>
      <c r="R125">
        <v>368</v>
      </c>
      <c r="S125">
        <v>43</v>
      </c>
      <c r="T125">
        <v>92</v>
      </c>
      <c r="U125">
        <v>78</v>
      </c>
      <c r="V125">
        <v>22</v>
      </c>
      <c r="W125">
        <v>11</v>
      </c>
      <c r="X125">
        <v>48</v>
      </c>
      <c r="Y125" s="5">
        <v>1.625</v>
      </c>
    </row>
    <row r="126" spans="1:25" x14ac:dyDescent="0.25">
      <c r="A126">
        <v>2018</v>
      </c>
      <c r="B126" t="s">
        <v>57</v>
      </c>
      <c r="C126">
        <v>7</v>
      </c>
      <c r="D126">
        <v>63</v>
      </c>
      <c r="E126" t="s">
        <v>22</v>
      </c>
      <c r="F126" t="s">
        <v>44</v>
      </c>
      <c r="G126">
        <f t="shared" si="1"/>
        <v>0</v>
      </c>
      <c r="H126">
        <v>1</v>
      </c>
      <c r="I126">
        <v>12</v>
      </c>
      <c r="J126">
        <v>0</v>
      </c>
      <c r="K126" s="6" t="s">
        <v>182</v>
      </c>
      <c r="L126" s="6" t="s">
        <v>76</v>
      </c>
      <c r="M126">
        <v>138</v>
      </c>
      <c r="N126" s="1">
        <v>0.45</v>
      </c>
      <c r="O126">
        <v>29</v>
      </c>
      <c r="P126" s="1">
        <v>0.377</v>
      </c>
      <c r="Q126" s="1">
        <v>0.753</v>
      </c>
      <c r="R126">
        <v>369</v>
      </c>
      <c r="S126">
        <v>20</v>
      </c>
      <c r="T126">
        <v>116</v>
      </c>
      <c r="U126">
        <v>70</v>
      </c>
      <c r="V126">
        <v>22</v>
      </c>
      <c r="W126">
        <v>11</v>
      </c>
      <c r="X126">
        <v>52</v>
      </c>
      <c r="Y126" s="5">
        <v>1.3461538461538463</v>
      </c>
    </row>
    <row r="127" spans="1:25" x14ac:dyDescent="0.25">
      <c r="A127">
        <v>2018</v>
      </c>
      <c r="B127" t="s">
        <v>57</v>
      </c>
      <c r="C127">
        <v>7</v>
      </c>
      <c r="D127">
        <v>63</v>
      </c>
      <c r="E127" t="s">
        <v>181</v>
      </c>
      <c r="F127" t="s">
        <v>49</v>
      </c>
      <c r="G127">
        <f t="shared" si="1"/>
        <v>1</v>
      </c>
      <c r="H127">
        <v>12</v>
      </c>
      <c r="I127">
        <v>1</v>
      </c>
      <c r="J127">
        <v>0</v>
      </c>
      <c r="K127" s="6" t="s">
        <v>66</v>
      </c>
      <c r="L127" s="6" t="s">
        <v>81</v>
      </c>
      <c r="M127">
        <v>159</v>
      </c>
      <c r="N127" s="1">
        <v>0.48899999999999999</v>
      </c>
      <c r="O127">
        <v>46</v>
      </c>
      <c r="P127" s="1">
        <v>0.438</v>
      </c>
      <c r="Q127" s="1">
        <v>0.85699999999999998</v>
      </c>
      <c r="R127">
        <v>454</v>
      </c>
      <c r="S127">
        <v>29</v>
      </c>
      <c r="T127">
        <v>120</v>
      </c>
      <c r="U127">
        <v>93</v>
      </c>
      <c r="V127">
        <v>21</v>
      </c>
      <c r="W127">
        <v>14</v>
      </c>
      <c r="X127">
        <v>50</v>
      </c>
      <c r="Y127" s="5">
        <v>1.86</v>
      </c>
    </row>
    <row r="128" spans="1:25" x14ac:dyDescent="0.25">
      <c r="A128">
        <v>2018</v>
      </c>
      <c r="B128" t="s">
        <v>57</v>
      </c>
      <c r="C128">
        <v>7</v>
      </c>
      <c r="D128">
        <v>64</v>
      </c>
      <c r="E128" t="s">
        <v>18</v>
      </c>
      <c r="F128" t="s">
        <v>52</v>
      </c>
      <c r="G128">
        <f t="shared" si="1"/>
        <v>1</v>
      </c>
      <c r="H128">
        <v>7</v>
      </c>
      <c r="I128">
        <v>6</v>
      </c>
      <c r="J128">
        <v>0</v>
      </c>
      <c r="K128" s="6" t="s">
        <v>64</v>
      </c>
      <c r="L128" s="6" t="s">
        <v>80</v>
      </c>
      <c r="M128">
        <v>122</v>
      </c>
      <c r="N128" s="1">
        <v>0.439</v>
      </c>
      <c r="O128">
        <v>30</v>
      </c>
      <c r="P128" s="1">
        <v>0.39500000000000002</v>
      </c>
      <c r="Q128" s="1">
        <v>0.72099999999999997</v>
      </c>
      <c r="R128">
        <v>323</v>
      </c>
      <c r="S128">
        <v>35</v>
      </c>
      <c r="T128">
        <v>141</v>
      </c>
      <c r="U128">
        <v>109</v>
      </c>
      <c r="V128">
        <v>31</v>
      </c>
      <c r="W128">
        <v>13</v>
      </c>
      <c r="X128">
        <v>54</v>
      </c>
      <c r="Y128" s="5">
        <v>2.0185185185185186</v>
      </c>
    </row>
    <row r="129" spans="1:25" x14ac:dyDescent="0.25">
      <c r="A129">
        <v>2018</v>
      </c>
      <c r="B129" t="s">
        <v>57</v>
      </c>
      <c r="C129">
        <v>7</v>
      </c>
      <c r="D129">
        <v>64</v>
      </c>
      <c r="E129" t="s">
        <v>28</v>
      </c>
      <c r="F129" t="s">
        <v>46</v>
      </c>
      <c r="G129">
        <f t="shared" si="1"/>
        <v>0</v>
      </c>
      <c r="H129">
        <v>6</v>
      </c>
      <c r="I129">
        <v>7</v>
      </c>
      <c r="J129">
        <v>0</v>
      </c>
      <c r="K129" s="6" t="s">
        <v>59</v>
      </c>
      <c r="L129" s="6" t="s">
        <v>74</v>
      </c>
      <c r="M129">
        <v>149</v>
      </c>
      <c r="N129" s="1">
        <v>0.48399999999999999</v>
      </c>
      <c r="O129">
        <v>32</v>
      </c>
      <c r="P129" s="1">
        <v>0.38100000000000001</v>
      </c>
      <c r="Q129" s="1">
        <v>0.68500000000000005</v>
      </c>
      <c r="R129">
        <v>367</v>
      </c>
      <c r="S129">
        <v>29</v>
      </c>
      <c r="T129">
        <v>129</v>
      </c>
      <c r="U129">
        <v>95</v>
      </c>
      <c r="V129">
        <v>30</v>
      </c>
      <c r="W129">
        <v>16</v>
      </c>
      <c r="X129">
        <v>52</v>
      </c>
      <c r="Y129" s="5">
        <v>1.8269230769230769</v>
      </c>
    </row>
    <row r="130" spans="1:25" x14ac:dyDescent="0.25">
      <c r="A130">
        <v>2018</v>
      </c>
      <c r="B130" t="s">
        <v>57</v>
      </c>
      <c r="C130">
        <v>7</v>
      </c>
      <c r="D130">
        <v>65</v>
      </c>
      <c r="E130" t="s">
        <v>17</v>
      </c>
      <c r="F130" t="s">
        <v>43</v>
      </c>
      <c r="G130">
        <f t="shared" ref="G130:G193" si="2">IF(H130+0.5*J130&gt;6.5,1,0)</f>
        <v>1</v>
      </c>
      <c r="H130">
        <v>8</v>
      </c>
      <c r="I130">
        <v>5</v>
      </c>
      <c r="J130">
        <v>0</v>
      </c>
      <c r="K130" s="6" t="s">
        <v>61</v>
      </c>
      <c r="L130" s="6" t="s">
        <v>77</v>
      </c>
      <c r="M130">
        <v>183</v>
      </c>
      <c r="N130" s="1">
        <v>0.54</v>
      </c>
      <c r="O130">
        <v>52</v>
      </c>
      <c r="P130" s="1">
        <v>0.43</v>
      </c>
      <c r="Q130" s="1">
        <v>0.79500000000000004</v>
      </c>
      <c r="R130">
        <v>488</v>
      </c>
      <c r="S130">
        <v>35</v>
      </c>
      <c r="T130">
        <v>168</v>
      </c>
      <c r="U130">
        <v>133</v>
      </c>
      <c r="V130">
        <v>45</v>
      </c>
      <c r="W130">
        <v>16</v>
      </c>
      <c r="X130">
        <v>49</v>
      </c>
      <c r="Y130" s="5">
        <v>2.7142857142857144</v>
      </c>
    </row>
    <row r="131" spans="1:25" x14ac:dyDescent="0.25">
      <c r="A131">
        <v>2018</v>
      </c>
      <c r="B131" t="s">
        <v>57</v>
      </c>
      <c r="C131">
        <v>7</v>
      </c>
      <c r="D131">
        <v>65</v>
      </c>
      <c r="E131" t="s">
        <v>15</v>
      </c>
      <c r="F131" t="s">
        <v>48</v>
      </c>
      <c r="G131">
        <f t="shared" si="2"/>
        <v>0</v>
      </c>
      <c r="H131">
        <v>5</v>
      </c>
      <c r="I131">
        <v>8</v>
      </c>
      <c r="J131">
        <v>0</v>
      </c>
      <c r="K131" s="6" t="s">
        <v>63</v>
      </c>
      <c r="L131" s="6" t="s">
        <v>79</v>
      </c>
      <c r="M131">
        <v>191</v>
      </c>
      <c r="N131" s="1">
        <v>0.499</v>
      </c>
      <c r="O131">
        <v>43</v>
      </c>
      <c r="P131" s="1">
        <v>0.38100000000000001</v>
      </c>
      <c r="Q131" s="1">
        <v>0.85499999999999998</v>
      </c>
      <c r="R131">
        <v>531</v>
      </c>
      <c r="S131">
        <v>40</v>
      </c>
      <c r="T131">
        <v>99</v>
      </c>
      <c r="U131">
        <v>111</v>
      </c>
      <c r="V131">
        <v>22</v>
      </c>
      <c r="W131">
        <v>21</v>
      </c>
      <c r="X131">
        <v>59</v>
      </c>
      <c r="Y131" s="5">
        <v>1.8813559322033899</v>
      </c>
    </row>
    <row r="132" spans="1:25" x14ac:dyDescent="0.25">
      <c r="A132">
        <v>2018</v>
      </c>
      <c r="B132" t="s">
        <v>57</v>
      </c>
      <c r="C132">
        <v>7</v>
      </c>
      <c r="D132">
        <v>66</v>
      </c>
      <c r="E132" t="s">
        <v>21</v>
      </c>
      <c r="F132" t="s">
        <v>50</v>
      </c>
      <c r="G132">
        <f t="shared" si="2"/>
        <v>1</v>
      </c>
      <c r="H132">
        <v>10</v>
      </c>
      <c r="I132">
        <v>2</v>
      </c>
      <c r="J132">
        <v>1</v>
      </c>
      <c r="K132" s="6" t="s">
        <v>193</v>
      </c>
      <c r="L132" s="6" t="s">
        <v>117</v>
      </c>
      <c r="M132">
        <v>162</v>
      </c>
      <c r="N132" s="1">
        <v>0.52100000000000002</v>
      </c>
      <c r="O132">
        <v>31</v>
      </c>
      <c r="P132" s="1">
        <v>0.41899999999999998</v>
      </c>
      <c r="Q132" s="1">
        <v>0.66</v>
      </c>
      <c r="R132">
        <v>423</v>
      </c>
      <c r="S132">
        <v>50</v>
      </c>
      <c r="T132">
        <v>107</v>
      </c>
      <c r="U132">
        <v>87</v>
      </c>
      <c r="V132">
        <v>36</v>
      </c>
      <c r="W132">
        <v>12</v>
      </c>
      <c r="X132">
        <v>61</v>
      </c>
      <c r="Y132" s="5">
        <v>1.4262295081967213</v>
      </c>
    </row>
    <row r="133" spans="1:25" x14ac:dyDescent="0.25">
      <c r="A133">
        <v>2018</v>
      </c>
      <c r="B133" t="s">
        <v>57</v>
      </c>
      <c r="C133">
        <v>7</v>
      </c>
      <c r="D133">
        <v>66</v>
      </c>
      <c r="E133" t="s">
        <v>159</v>
      </c>
      <c r="F133" t="s">
        <v>116</v>
      </c>
      <c r="G133">
        <f t="shared" si="2"/>
        <v>0</v>
      </c>
      <c r="H133">
        <v>2</v>
      </c>
      <c r="I133">
        <v>10</v>
      </c>
      <c r="J133">
        <v>1</v>
      </c>
      <c r="K133" s="6" t="s">
        <v>70</v>
      </c>
      <c r="L133" s="6" t="s">
        <v>87</v>
      </c>
      <c r="M133">
        <v>108</v>
      </c>
      <c r="N133" s="1">
        <v>0.45400000000000001</v>
      </c>
      <c r="O133">
        <v>26</v>
      </c>
      <c r="P133" s="1">
        <v>0.34200000000000003</v>
      </c>
      <c r="Q133" s="1">
        <v>0.755</v>
      </c>
      <c r="R133">
        <v>282</v>
      </c>
      <c r="S133">
        <v>39</v>
      </c>
      <c r="T133">
        <v>97</v>
      </c>
      <c r="U133">
        <v>59</v>
      </c>
      <c r="V133">
        <v>23</v>
      </c>
      <c r="W133">
        <v>12</v>
      </c>
      <c r="X133">
        <v>51</v>
      </c>
      <c r="Y133" s="5">
        <v>1.1568627450980393</v>
      </c>
    </row>
    <row r="134" spans="1:25" x14ac:dyDescent="0.25">
      <c r="A134">
        <v>2018</v>
      </c>
      <c r="B134" t="s">
        <v>57</v>
      </c>
      <c r="C134">
        <v>7</v>
      </c>
      <c r="D134">
        <v>67</v>
      </c>
      <c r="E134" t="s">
        <v>98</v>
      </c>
      <c r="F134" t="s">
        <v>41</v>
      </c>
      <c r="G134">
        <f t="shared" si="2"/>
        <v>1</v>
      </c>
      <c r="H134">
        <v>12</v>
      </c>
      <c r="I134">
        <v>1</v>
      </c>
      <c r="J134">
        <v>0</v>
      </c>
      <c r="K134" s="6" t="s">
        <v>72</v>
      </c>
      <c r="L134" s="6" t="s">
        <v>85</v>
      </c>
      <c r="M134">
        <v>148</v>
      </c>
      <c r="N134" s="1">
        <v>0.47</v>
      </c>
      <c r="O134">
        <v>40</v>
      </c>
      <c r="P134" s="1">
        <v>0.33900000000000002</v>
      </c>
      <c r="Q134" s="1">
        <v>0.83099999999999996</v>
      </c>
      <c r="R134">
        <v>405</v>
      </c>
      <c r="S134">
        <v>21</v>
      </c>
      <c r="T134">
        <v>91</v>
      </c>
      <c r="U134">
        <v>114</v>
      </c>
      <c r="V134">
        <v>31</v>
      </c>
      <c r="W134">
        <v>17</v>
      </c>
      <c r="X134">
        <v>51</v>
      </c>
      <c r="Y134" s="5">
        <v>2.2352941176470589</v>
      </c>
    </row>
    <row r="135" spans="1:25" x14ac:dyDescent="0.25">
      <c r="A135">
        <v>2018</v>
      </c>
      <c r="B135" t="s">
        <v>57</v>
      </c>
      <c r="C135">
        <v>7</v>
      </c>
      <c r="D135">
        <v>67</v>
      </c>
      <c r="E135" t="s">
        <v>33</v>
      </c>
      <c r="F135" t="s">
        <v>42</v>
      </c>
      <c r="G135">
        <f t="shared" si="2"/>
        <v>0</v>
      </c>
      <c r="H135">
        <v>1</v>
      </c>
      <c r="I135">
        <v>12</v>
      </c>
      <c r="J135">
        <v>0</v>
      </c>
      <c r="K135" s="6" t="s">
        <v>112</v>
      </c>
      <c r="L135" s="6" t="s">
        <v>88</v>
      </c>
      <c r="M135">
        <v>98</v>
      </c>
      <c r="N135" s="1">
        <v>0.377</v>
      </c>
      <c r="O135">
        <v>29</v>
      </c>
      <c r="P135" s="1">
        <v>0.312</v>
      </c>
      <c r="Q135" s="1">
        <v>0.81299999999999994</v>
      </c>
      <c r="R135">
        <v>264</v>
      </c>
      <c r="S135">
        <v>16</v>
      </c>
      <c r="T135">
        <v>67</v>
      </c>
      <c r="U135">
        <v>82</v>
      </c>
      <c r="V135">
        <v>19</v>
      </c>
      <c r="W135">
        <v>15</v>
      </c>
      <c r="X135">
        <v>40</v>
      </c>
      <c r="Y135" s="5">
        <v>2.0499999999999998</v>
      </c>
    </row>
    <row r="136" spans="1:25" x14ac:dyDescent="0.25">
      <c r="A136">
        <v>2018</v>
      </c>
      <c r="B136" t="s">
        <v>57</v>
      </c>
      <c r="C136">
        <v>7</v>
      </c>
      <c r="D136">
        <v>68</v>
      </c>
      <c r="E136" t="s">
        <v>94</v>
      </c>
      <c r="F136" t="s">
        <v>40</v>
      </c>
      <c r="G136">
        <f t="shared" si="2"/>
        <v>1</v>
      </c>
      <c r="H136">
        <v>10</v>
      </c>
      <c r="I136">
        <v>3</v>
      </c>
      <c r="J136">
        <v>0</v>
      </c>
      <c r="K136" s="6" t="s">
        <v>111</v>
      </c>
      <c r="L136" s="6" t="s">
        <v>89</v>
      </c>
      <c r="M136">
        <v>211</v>
      </c>
      <c r="N136" s="1">
        <v>0.52500000000000002</v>
      </c>
      <c r="O136">
        <v>54</v>
      </c>
      <c r="P136" s="1">
        <v>0.40899999999999997</v>
      </c>
      <c r="Q136" s="1">
        <v>0.75800000000000001</v>
      </c>
      <c r="R136">
        <v>567</v>
      </c>
      <c r="S136">
        <v>67</v>
      </c>
      <c r="T136">
        <v>158</v>
      </c>
      <c r="U136">
        <v>107</v>
      </c>
      <c r="V136">
        <v>20</v>
      </c>
      <c r="W136">
        <v>18</v>
      </c>
      <c r="X136">
        <v>60</v>
      </c>
      <c r="Y136" s="5">
        <v>1.7833333333333334</v>
      </c>
    </row>
    <row r="137" spans="1:25" x14ac:dyDescent="0.25">
      <c r="A137">
        <v>2018</v>
      </c>
      <c r="B137" t="s">
        <v>57</v>
      </c>
      <c r="C137">
        <v>7</v>
      </c>
      <c r="D137">
        <v>68</v>
      </c>
      <c r="E137" t="s">
        <v>97</v>
      </c>
      <c r="F137" t="s">
        <v>54</v>
      </c>
      <c r="G137">
        <f t="shared" si="2"/>
        <v>0</v>
      </c>
      <c r="H137">
        <v>3</v>
      </c>
      <c r="I137">
        <v>10</v>
      </c>
      <c r="J137">
        <v>0</v>
      </c>
      <c r="K137" s="6" t="s">
        <v>106</v>
      </c>
      <c r="L137" s="6" t="s">
        <v>83</v>
      </c>
      <c r="M137">
        <v>99</v>
      </c>
      <c r="N137" s="1">
        <v>0.495</v>
      </c>
      <c r="O137">
        <v>28</v>
      </c>
      <c r="P137" s="1">
        <v>0.43099999999999999</v>
      </c>
      <c r="Q137" s="1">
        <v>0.76800000000000002</v>
      </c>
      <c r="R137">
        <v>269</v>
      </c>
      <c r="S137">
        <v>15</v>
      </c>
      <c r="T137">
        <v>80</v>
      </c>
      <c r="U137">
        <v>42</v>
      </c>
      <c r="V137">
        <v>7</v>
      </c>
      <c r="W137">
        <v>15</v>
      </c>
      <c r="X137">
        <v>42</v>
      </c>
      <c r="Y137" s="5">
        <v>1</v>
      </c>
    </row>
    <row r="138" spans="1:25" x14ac:dyDescent="0.25">
      <c r="A138">
        <v>2018</v>
      </c>
      <c r="B138" t="s">
        <v>57</v>
      </c>
      <c r="C138">
        <v>7</v>
      </c>
      <c r="D138">
        <v>69</v>
      </c>
      <c r="E138" t="s">
        <v>23</v>
      </c>
      <c r="F138" t="s">
        <v>120</v>
      </c>
      <c r="G138">
        <f t="shared" si="2"/>
        <v>0</v>
      </c>
      <c r="H138">
        <v>3</v>
      </c>
      <c r="I138">
        <v>10</v>
      </c>
      <c r="J138">
        <v>0</v>
      </c>
      <c r="K138" s="6" t="s">
        <v>67</v>
      </c>
      <c r="L138" s="6" t="s">
        <v>82</v>
      </c>
      <c r="M138">
        <v>138</v>
      </c>
      <c r="N138" s="1">
        <v>0.48899999999999999</v>
      </c>
      <c r="O138">
        <v>36</v>
      </c>
      <c r="P138" s="1">
        <v>0.40899999999999997</v>
      </c>
      <c r="Q138" s="1">
        <v>0.71399999999999997</v>
      </c>
      <c r="R138">
        <v>347</v>
      </c>
      <c r="S138">
        <v>23</v>
      </c>
      <c r="T138">
        <v>95</v>
      </c>
      <c r="U138">
        <v>82</v>
      </c>
      <c r="V138">
        <v>26</v>
      </c>
      <c r="W138">
        <v>13</v>
      </c>
      <c r="X138">
        <v>48</v>
      </c>
      <c r="Y138" s="5">
        <v>1.7083333333333333</v>
      </c>
    </row>
    <row r="139" spans="1:25" x14ac:dyDescent="0.25">
      <c r="A139">
        <v>2018</v>
      </c>
      <c r="B139" t="s">
        <v>57</v>
      </c>
      <c r="C139">
        <v>7</v>
      </c>
      <c r="D139">
        <v>69</v>
      </c>
      <c r="E139" t="s">
        <v>19</v>
      </c>
      <c r="F139" t="s">
        <v>56</v>
      </c>
      <c r="G139">
        <f t="shared" si="2"/>
        <v>1</v>
      </c>
      <c r="H139">
        <v>10</v>
      </c>
      <c r="I139">
        <v>3</v>
      </c>
      <c r="J139">
        <v>0</v>
      </c>
      <c r="K139" s="6" t="s">
        <v>71</v>
      </c>
      <c r="L139" s="6" t="s">
        <v>121</v>
      </c>
      <c r="M139">
        <v>179</v>
      </c>
      <c r="N139" s="1">
        <v>0.46400000000000002</v>
      </c>
      <c r="O139">
        <v>56</v>
      </c>
      <c r="P139" s="1">
        <v>0.36599999999999999</v>
      </c>
      <c r="Q139" s="1">
        <v>0.76700000000000002</v>
      </c>
      <c r="R139">
        <v>516</v>
      </c>
      <c r="S139">
        <v>37</v>
      </c>
      <c r="T139">
        <v>143</v>
      </c>
      <c r="U139">
        <v>109</v>
      </c>
      <c r="V139">
        <v>25</v>
      </c>
      <c r="W139">
        <v>25</v>
      </c>
      <c r="X139">
        <v>46</v>
      </c>
      <c r="Y139" s="5">
        <v>2.3695652173913042</v>
      </c>
    </row>
    <row r="140" spans="1:25" x14ac:dyDescent="0.25">
      <c r="A140">
        <v>2018</v>
      </c>
      <c r="B140" t="s">
        <v>57</v>
      </c>
      <c r="C140">
        <v>7</v>
      </c>
      <c r="D140">
        <v>70</v>
      </c>
      <c r="E140" t="s">
        <v>24</v>
      </c>
      <c r="F140" t="s">
        <v>55</v>
      </c>
      <c r="G140">
        <f t="shared" si="2"/>
        <v>1</v>
      </c>
      <c r="H140">
        <v>7</v>
      </c>
      <c r="I140">
        <v>6</v>
      </c>
      <c r="J140">
        <v>0</v>
      </c>
      <c r="K140" s="6" t="s">
        <v>68</v>
      </c>
      <c r="L140" s="6" t="s">
        <v>84</v>
      </c>
      <c r="M140">
        <v>154</v>
      </c>
      <c r="N140" s="1">
        <v>0.53500000000000003</v>
      </c>
      <c r="O140">
        <v>46</v>
      </c>
      <c r="P140" s="1">
        <v>0.46</v>
      </c>
      <c r="Q140" s="1">
        <v>0.754</v>
      </c>
      <c r="R140">
        <v>403</v>
      </c>
      <c r="S140">
        <v>22</v>
      </c>
      <c r="T140">
        <v>112</v>
      </c>
      <c r="U140">
        <v>72</v>
      </c>
      <c r="V140">
        <v>33</v>
      </c>
      <c r="W140">
        <v>15</v>
      </c>
      <c r="X140">
        <v>53</v>
      </c>
      <c r="Y140" s="5">
        <v>1.3584905660377358</v>
      </c>
    </row>
    <row r="141" spans="1:25" x14ac:dyDescent="0.25">
      <c r="A141">
        <v>2018</v>
      </c>
      <c r="B141" t="s">
        <v>57</v>
      </c>
      <c r="C141">
        <v>7</v>
      </c>
      <c r="D141">
        <v>70</v>
      </c>
      <c r="E141" t="s">
        <v>25</v>
      </c>
      <c r="F141" t="s">
        <v>53</v>
      </c>
      <c r="G141">
        <f t="shared" si="2"/>
        <v>0</v>
      </c>
      <c r="H141">
        <v>6</v>
      </c>
      <c r="I141">
        <v>7</v>
      </c>
      <c r="J141">
        <v>0</v>
      </c>
      <c r="K141" s="6" t="s">
        <v>69</v>
      </c>
      <c r="L141" s="6" t="s">
        <v>86</v>
      </c>
      <c r="M141">
        <v>174</v>
      </c>
      <c r="N141" s="1">
        <v>0.46200000000000002</v>
      </c>
      <c r="O141">
        <v>36</v>
      </c>
      <c r="P141" s="1">
        <v>0.32100000000000001</v>
      </c>
      <c r="Q141" s="1">
        <v>0.753</v>
      </c>
      <c r="R141">
        <v>448</v>
      </c>
      <c r="S141">
        <v>40</v>
      </c>
      <c r="T141">
        <v>120</v>
      </c>
      <c r="U141">
        <v>111</v>
      </c>
      <c r="V141">
        <v>27</v>
      </c>
      <c r="W141">
        <v>12</v>
      </c>
      <c r="X141">
        <v>62</v>
      </c>
      <c r="Y141" s="5">
        <v>1.7903225806451613</v>
      </c>
    </row>
    <row r="142" spans="1:25" x14ac:dyDescent="0.25">
      <c r="A142">
        <v>2018</v>
      </c>
      <c r="B142" t="s">
        <v>57</v>
      </c>
      <c r="C142">
        <v>8</v>
      </c>
      <c r="D142">
        <v>71</v>
      </c>
      <c r="E142" t="s">
        <v>20</v>
      </c>
      <c r="F142" t="s">
        <v>47</v>
      </c>
      <c r="G142">
        <f t="shared" si="2"/>
        <v>0</v>
      </c>
      <c r="H142">
        <v>4</v>
      </c>
      <c r="I142">
        <v>8</v>
      </c>
      <c r="J142">
        <v>1</v>
      </c>
      <c r="K142" s="6" t="s">
        <v>60</v>
      </c>
      <c r="L142" s="6" t="s">
        <v>75</v>
      </c>
      <c r="M142">
        <v>165</v>
      </c>
      <c r="N142" s="1">
        <v>0.46899999999999997</v>
      </c>
      <c r="O142">
        <v>23</v>
      </c>
      <c r="P142" s="1">
        <v>0.35899999999999999</v>
      </c>
      <c r="Q142" s="1">
        <v>0.72699999999999998</v>
      </c>
      <c r="R142">
        <v>425</v>
      </c>
      <c r="S142">
        <v>37</v>
      </c>
      <c r="T142">
        <v>127</v>
      </c>
      <c r="U142">
        <v>105</v>
      </c>
      <c r="V142">
        <v>25</v>
      </c>
      <c r="W142">
        <v>14</v>
      </c>
      <c r="X142">
        <v>69</v>
      </c>
      <c r="Y142" s="5">
        <v>1.5217391304347827</v>
      </c>
    </row>
    <row r="143" spans="1:25" x14ac:dyDescent="0.25">
      <c r="A143">
        <v>2018</v>
      </c>
      <c r="B143" t="s">
        <v>57</v>
      </c>
      <c r="C143">
        <v>8</v>
      </c>
      <c r="D143">
        <v>71</v>
      </c>
      <c r="E143" t="s">
        <v>16</v>
      </c>
      <c r="F143" t="s">
        <v>51</v>
      </c>
      <c r="G143">
        <f t="shared" si="2"/>
        <v>1</v>
      </c>
      <c r="H143">
        <v>8</v>
      </c>
      <c r="I143">
        <v>4</v>
      </c>
      <c r="J143">
        <v>1</v>
      </c>
      <c r="K143" s="6" t="s">
        <v>62</v>
      </c>
      <c r="L143" s="6" t="s">
        <v>78</v>
      </c>
      <c r="M143">
        <v>165</v>
      </c>
      <c r="N143" s="1">
        <v>0.503</v>
      </c>
      <c r="O143">
        <v>69</v>
      </c>
      <c r="P143" s="1">
        <v>0.46899999999999997</v>
      </c>
      <c r="Q143" s="1">
        <v>0.84499999999999997</v>
      </c>
      <c r="R143">
        <v>470</v>
      </c>
      <c r="S143">
        <v>31</v>
      </c>
      <c r="T143">
        <v>111</v>
      </c>
      <c r="U143">
        <v>83</v>
      </c>
      <c r="V143">
        <v>23</v>
      </c>
      <c r="W143">
        <v>28</v>
      </c>
      <c r="X143">
        <v>47</v>
      </c>
      <c r="Y143" s="5">
        <v>1.7659574468085106</v>
      </c>
    </row>
    <row r="144" spans="1:25" x14ac:dyDescent="0.25">
      <c r="A144">
        <v>2018</v>
      </c>
      <c r="B144" t="s">
        <v>57</v>
      </c>
      <c r="C144">
        <v>8</v>
      </c>
      <c r="D144">
        <v>72</v>
      </c>
      <c r="E144" t="s">
        <v>190</v>
      </c>
      <c r="F144" t="s">
        <v>103</v>
      </c>
      <c r="G144">
        <f t="shared" si="2"/>
        <v>0</v>
      </c>
      <c r="H144">
        <v>5</v>
      </c>
      <c r="I144">
        <v>8</v>
      </c>
      <c r="J144">
        <v>0</v>
      </c>
      <c r="K144" s="6" t="s">
        <v>182</v>
      </c>
      <c r="L144" s="6" t="s">
        <v>76</v>
      </c>
      <c r="M144">
        <v>124</v>
      </c>
      <c r="N144" s="1">
        <v>0.496</v>
      </c>
      <c r="O144">
        <v>33</v>
      </c>
      <c r="P144" s="1">
        <v>0.41299999999999998</v>
      </c>
      <c r="Q144" s="1">
        <v>0.70799999999999996</v>
      </c>
      <c r="R144">
        <v>332</v>
      </c>
      <c r="S144">
        <v>30</v>
      </c>
      <c r="T144">
        <v>74</v>
      </c>
      <c r="U144">
        <v>55</v>
      </c>
      <c r="V144">
        <v>27</v>
      </c>
      <c r="W144">
        <v>13</v>
      </c>
      <c r="X144">
        <v>41</v>
      </c>
      <c r="Y144" s="5">
        <v>1.3414634146341464</v>
      </c>
    </row>
    <row r="145" spans="1:25" x14ac:dyDescent="0.25">
      <c r="A145">
        <v>2018</v>
      </c>
      <c r="B145" t="s">
        <v>57</v>
      </c>
      <c r="C145">
        <v>8</v>
      </c>
      <c r="D145">
        <v>72</v>
      </c>
      <c r="E145" t="s">
        <v>181</v>
      </c>
      <c r="F145" t="s">
        <v>49</v>
      </c>
      <c r="G145">
        <f t="shared" si="2"/>
        <v>1</v>
      </c>
      <c r="H145">
        <v>8</v>
      </c>
      <c r="I145">
        <v>5</v>
      </c>
      <c r="J145">
        <v>0</v>
      </c>
      <c r="K145" s="6" t="s">
        <v>191</v>
      </c>
      <c r="L145" s="6" t="s">
        <v>113</v>
      </c>
      <c r="M145">
        <v>178</v>
      </c>
      <c r="N145" s="1">
        <v>0.45300000000000001</v>
      </c>
      <c r="O145">
        <v>45</v>
      </c>
      <c r="P145" s="1">
        <v>0.36299999999999999</v>
      </c>
      <c r="Q145" s="1">
        <v>0.78900000000000003</v>
      </c>
      <c r="R145">
        <v>472</v>
      </c>
      <c r="S145">
        <v>32</v>
      </c>
      <c r="T145">
        <v>137</v>
      </c>
      <c r="U145">
        <v>100</v>
      </c>
      <c r="V145">
        <v>24</v>
      </c>
      <c r="W145">
        <v>12</v>
      </c>
      <c r="X145">
        <v>42</v>
      </c>
      <c r="Y145" s="5">
        <v>2.3809523809523809</v>
      </c>
    </row>
    <row r="146" spans="1:25" x14ac:dyDescent="0.25">
      <c r="A146">
        <v>2018</v>
      </c>
      <c r="B146" t="s">
        <v>57</v>
      </c>
      <c r="C146">
        <v>8</v>
      </c>
      <c r="D146">
        <v>73</v>
      </c>
      <c r="E146" t="s">
        <v>26</v>
      </c>
      <c r="F146" t="s">
        <v>118</v>
      </c>
      <c r="G146">
        <f t="shared" si="2"/>
        <v>1</v>
      </c>
      <c r="H146">
        <v>7</v>
      </c>
      <c r="I146">
        <v>5</v>
      </c>
      <c r="J146">
        <v>1</v>
      </c>
      <c r="K146" s="6" t="s">
        <v>59</v>
      </c>
      <c r="L146" s="6" t="s">
        <v>74</v>
      </c>
      <c r="M146">
        <v>152</v>
      </c>
      <c r="N146" s="1">
        <v>0.49</v>
      </c>
      <c r="O146">
        <v>36</v>
      </c>
      <c r="P146" s="1">
        <v>0.379</v>
      </c>
      <c r="Q146" s="1">
        <v>0.73399999999999999</v>
      </c>
      <c r="R146">
        <v>398</v>
      </c>
      <c r="S146">
        <v>35</v>
      </c>
      <c r="T146">
        <v>111</v>
      </c>
      <c r="U146">
        <v>58</v>
      </c>
      <c r="V146">
        <v>23</v>
      </c>
      <c r="W146">
        <v>14</v>
      </c>
      <c r="X146">
        <v>37</v>
      </c>
      <c r="Y146" s="5">
        <v>1.5675675675675675</v>
      </c>
    </row>
    <row r="147" spans="1:25" x14ac:dyDescent="0.25">
      <c r="A147">
        <v>2018</v>
      </c>
      <c r="B147" t="s">
        <v>57</v>
      </c>
      <c r="C147">
        <v>8</v>
      </c>
      <c r="D147">
        <v>73</v>
      </c>
      <c r="E147" t="s">
        <v>18</v>
      </c>
      <c r="F147" t="s">
        <v>52</v>
      </c>
      <c r="G147">
        <f t="shared" si="2"/>
        <v>0</v>
      </c>
      <c r="H147">
        <v>5</v>
      </c>
      <c r="I147">
        <v>7</v>
      </c>
      <c r="J147">
        <v>1</v>
      </c>
      <c r="K147" s="6" t="s">
        <v>65</v>
      </c>
      <c r="L147" s="6" t="s">
        <v>119</v>
      </c>
      <c r="M147">
        <v>135</v>
      </c>
      <c r="N147" s="1">
        <v>0.434</v>
      </c>
      <c r="O147">
        <v>28</v>
      </c>
      <c r="P147" s="1">
        <v>0.27700000000000002</v>
      </c>
      <c r="Q147" s="1">
        <v>0.81399999999999995</v>
      </c>
      <c r="R147">
        <v>394</v>
      </c>
      <c r="S147">
        <v>35</v>
      </c>
      <c r="T147">
        <v>133</v>
      </c>
      <c r="U147">
        <v>120</v>
      </c>
      <c r="V147">
        <v>22</v>
      </c>
      <c r="W147">
        <v>18</v>
      </c>
      <c r="X147">
        <v>60</v>
      </c>
      <c r="Y147" s="5">
        <v>2</v>
      </c>
    </row>
    <row r="148" spans="1:25" x14ac:dyDescent="0.25">
      <c r="A148">
        <v>2018</v>
      </c>
      <c r="B148" t="s">
        <v>57</v>
      </c>
      <c r="C148">
        <v>8</v>
      </c>
      <c r="D148">
        <v>74</v>
      </c>
      <c r="E148" t="s">
        <v>15</v>
      </c>
      <c r="F148" t="s">
        <v>48</v>
      </c>
      <c r="G148">
        <f t="shared" si="2"/>
        <v>1</v>
      </c>
      <c r="H148">
        <v>11</v>
      </c>
      <c r="I148">
        <v>2</v>
      </c>
      <c r="J148">
        <v>0</v>
      </c>
      <c r="K148" s="6" t="s">
        <v>66</v>
      </c>
      <c r="L148" s="6" t="s">
        <v>81</v>
      </c>
      <c r="M148">
        <v>256</v>
      </c>
      <c r="N148" s="1">
        <v>0.47599999999999998</v>
      </c>
      <c r="O148">
        <v>56</v>
      </c>
      <c r="P148" s="1">
        <v>0.38900000000000001</v>
      </c>
      <c r="Q148" s="1">
        <v>0.8</v>
      </c>
      <c r="R148">
        <v>692</v>
      </c>
      <c r="S148">
        <v>46</v>
      </c>
      <c r="T148">
        <v>149</v>
      </c>
      <c r="U148">
        <v>115</v>
      </c>
      <c r="V148">
        <v>32</v>
      </c>
      <c r="W148">
        <v>26</v>
      </c>
      <c r="X148">
        <v>61</v>
      </c>
      <c r="Y148" s="5">
        <v>1.8852459016393444</v>
      </c>
    </row>
    <row r="149" spans="1:25" x14ac:dyDescent="0.25">
      <c r="A149">
        <v>2018</v>
      </c>
      <c r="B149" t="s">
        <v>57</v>
      </c>
      <c r="C149">
        <v>8</v>
      </c>
      <c r="D149">
        <v>74</v>
      </c>
      <c r="E149" t="s">
        <v>22</v>
      </c>
      <c r="F149" t="s">
        <v>44</v>
      </c>
      <c r="G149">
        <f t="shared" si="2"/>
        <v>0</v>
      </c>
      <c r="H149">
        <v>2</v>
      </c>
      <c r="I149">
        <v>11</v>
      </c>
      <c r="J149">
        <v>0</v>
      </c>
      <c r="K149" s="6" t="s">
        <v>61</v>
      </c>
      <c r="L149" s="6" t="s">
        <v>77</v>
      </c>
      <c r="M149">
        <v>150</v>
      </c>
      <c r="N149" s="1">
        <v>0.44400000000000001</v>
      </c>
      <c r="O149">
        <v>34</v>
      </c>
      <c r="P149" s="1">
        <v>0.37</v>
      </c>
      <c r="Q149" s="1">
        <v>0.72899999999999998</v>
      </c>
      <c r="R149">
        <v>396</v>
      </c>
      <c r="S149">
        <v>28</v>
      </c>
      <c r="T149">
        <v>164</v>
      </c>
      <c r="U149">
        <v>69</v>
      </c>
      <c r="V149">
        <v>27</v>
      </c>
      <c r="W149">
        <v>15</v>
      </c>
      <c r="X149">
        <v>53</v>
      </c>
      <c r="Y149" s="5">
        <v>1.3018867924528301</v>
      </c>
    </row>
    <row r="150" spans="1:25" x14ac:dyDescent="0.25">
      <c r="A150">
        <v>2018</v>
      </c>
      <c r="B150" t="s">
        <v>57</v>
      </c>
      <c r="C150">
        <v>8</v>
      </c>
      <c r="D150">
        <v>75</v>
      </c>
      <c r="E150" t="s">
        <v>17</v>
      </c>
      <c r="F150" t="s">
        <v>43</v>
      </c>
      <c r="G150">
        <f t="shared" si="2"/>
        <v>1</v>
      </c>
      <c r="H150">
        <v>9</v>
      </c>
      <c r="I150">
        <v>4</v>
      </c>
      <c r="J150">
        <v>0</v>
      </c>
      <c r="K150" s="6" t="s">
        <v>64</v>
      </c>
      <c r="L150" s="6" t="s">
        <v>80</v>
      </c>
      <c r="M150">
        <v>143</v>
      </c>
      <c r="N150" s="1">
        <v>0.48799999999999999</v>
      </c>
      <c r="O150">
        <v>40</v>
      </c>
      <c r="P150" s="1">
        <v>0.377</v>
      </c>
      <c r="Q150" s="1">
        <v>0.59799999999999998</v>
      </c>
      <c r="R150">
        <v>378</v>
      </c>
      <c r="S150">
        <v>44</v>
      </c>
      <c r="T150">
        <v>151</v>
      </c>
      <c r="U150">
        <v>115</v>
      </c>
      <c r="V150">
        <v>31</v>
      </c>
      <c r="W150">
        <v>8</v>
      </c>
      <c r="X150">
        <v>56</v>
      </c>
      <c r="Y150" s="5">
        <v>2.0535714285714284</v>
      </c>
    </row>
    <row r="151" spans="1:25" x14ac:dyDescent="0.25">
      <c r="A151">
        <v>2018</v>
      </c>
      <c r="B151" t="s">
        <v>57</v>
      </c>
      <c r="C151">
        <v>8</v>
      </c>
      <c r="D151">
        <v>75</v>
      </c>
      <c r="E151" t="s">
        <v>28</v>
      </c>
      <c r="F151" t="s">
        <v>46</v>
      </c>
      <c r="G151">
        <f t="shared" si="2"/>
        <v>0</v>
      </c>
      <c r="H151">
        <v>4</v>
      </c>
      <c r="I151">
        <v>9</v>
      </c>
      <c r="J151">
        <v>0</v>
      </c>
      <c r="K151" s="6" t="s">
        <v>63</v>
      </c>
      <c r="L151" s="6" t="s">
        <v>79</v>
      </c>
      <c r="M151">
        <v>115</v>
      </c>
      <c r="N151" s="1">
        <v>0.47299999999999998</v>
      </c>
      <c r="O151">
        <v>34</v>
      </c>
      <c r="P151" s="1">
        <v>0.39500000000000002</v>
      </c>
      <c r="Q151" s="1">
        <v>0.61</v>
      </c>
      <c r="R151">
        <v>300</v>
      </c>
      <c r="S151">
        <v>29</v>
      </c>
      <c r="T151">
        <v>81</v>
      </c>
      <c r="U151">
        <v>57</v>
      </c>
      <c r="V151">
        <v>23</v>
      </c>
      <c r="W151">
        <v>14</v>
      </c>
      <c r="X151">
        <v>47</v>
      </c>
      <c r="Y151" s="5">
        <v>1.2127659574468086</v>
      </c>
    </row>
    <row r="152" spans="1:25" x14ac:dyDescent="0.25">
      <c r="A152">
        <v>2018</v>
      </c>
      <c r="B152" t="s">
        <v>57</v>
      </c>
      <c r="C152">
        <v>8</v>
      </c>
      <c r="D152">
        <v>76</v>
      </c>
      <c r="E152" t="s">
        <v>33</v>
      </c>
      <c r="F152" t="s">
        <v>42</v>
      </c>
      <c r="G152">
        <f t="shared" si="2"/>
        <v>1</v>
      </c>
      <c r="H152">
        <v>10</v>
      </c>
      <c r="I152">
        <v>3</v>
      </c>
      <c r="J152">
        <v>0</v>
      </c>
      <c r="K152" s="6" t="s">
        <v>193</v>
      </c>
      <c r="L152" s="6" t="s">
        <v>117</v>
      </c>
      <c r="M152">
        <v>198</v>
      </c>
      <c r="N152" s="1">
        <v>0.48099999999999998</v>
      </c>
      <c r="O152">
        <v>52</v>
      </c>
      <c r="P152" s="1">
        <v>0.35099999999999998</v>
      </c>
      <c r="Q152" s="1">
        <v>0.80600000000000005</v>
      </c>
      <c r="R152">
        <v>531</v>
      </c>
      <c r="S152">
        <v>30</v>
      </c>
      <c r="T152">
        <v>112</v>
      </c>
      <c r="U152">
        <v>85</v>
      </c>
      <c r="V152">
        <v>24</v>
      </c>
      <c r="W152">
        <v>19</v>
      </c>
      <c r="X152">
        <v>51</v>
      </c>
      <c r="Y152" s="5">
        <v>1.6666666666666667</v>
      </c>
    </row>
    <row r="153" spans="1:25" x14ac:dyDescent="0.25">
      <c r="A153">
        <v>2018</v>
      </c>
      <c r="B153" t="s">
        <v>57</v>
      </c>
      <c r="C153">
        <v>8</v>
      </c>
      <c r="D153">
        <v>76</v>
      </c>
      <c r="E153" t="s">
        <v>159</v>
      </c>
      <c r="F153" t="s">
        <v>116</v>
      </c>
      <c r="G153">
        <f t="shared" si="2"/>
        <v>0</v>
      </c>
      <c r="H153">
        <v>3</v>
      </c>
      <c r="I153">
        <v>10</v>
      </c>
      <c r="J153">
        <v>0</v>
      </c>
      <c r="K153" s="6" t="s">
        <v>72</v>
      </c>
      <c r="L153" s="6" t="s">
        <v>85</v>
      </c>
      <c r="M153">
        <v>110</v>
      </c>
      <c r="N153" s="1">
        <v>0.47399999999999998</v>
      </c>
      <c r="O153">
        <v>22</v>
      </c>
      <c r="P153" s="1">
        <v>0.34399999999999997</v>
      </c>
      <c r="Q153" s="1">
        <v>0.77400000000000002</v>
      </c>
      <c r="R153">
        <v>283</v>
      </c>
      <c r="S153">
        <v>24</v>
      </c>
      <c r="T153">
        <v>91</v>
      </c>
      <c r="U153">
        <v>73</v>
      </c>
      <c r="V153">
        <v>21</v>
      </c>
      <c r="W153">
        <v>26</v>
      </c>
      <c r="X153">
        <v>42</v>
      </c>
      <c r="Y153" s="5">
        <v>1.7380952380952381</v>
      </c>
    </row>
    <row r="154" spans="1:25" x14ac:dyDescent="0.25">
      <c r="A154">
        <v>2018</v>
      </c>
      <c r="B154" t="s">
        <v>57</v>
      </c>
      <c r="C154">
        <v>8</v>
      </c>
      <c r="D154">
        <v>77</v>
      </c>
      <c r="E154" t="s">
        <v>21</v>
      </c>
      <c r="F154" t="s">
        <v>50</v>
      </c>
      <c r="G154">
        <f t="shared" si="2"/>
        <v>1</v>
      </c>
      <c r="H154">
        <v>9</v>
      </c>
      <c r="I154">
        <v>3</v>
      </c>
      <c r="J154">
        <v>1</v>
      </c>
      <c r="K154" s="6" t="s">
        <v>106</v>
      </c>
      <c r="L154" s="6" t="s">
        <v>83</v>
      </c>
      <c r="M154">
        <v>197</v>
      </c>
      <c r="N154" s="1">
        <v>0.504</v>
      </c>
      <c r="O154">
        <v>31</v>
      </c>
      <c r="P154" s="1">
        <v>0.36899999999999999</v>
      </c>
      <c r="Q154" s="1">
        <v>0.755</v>
      </c>
      <c r="R154">
        <v>502</v>
      </c>
      <c r="S154">
        <v>62</v>
      </c>
      <c r="T154">
        <v>138</v>
      </c>
      <c r="U154">
        <v>133</v>
      </c>
      <c r="V154">
        <v>29</v>
      </c>
      <c r="W154">
        <v>25</v>
      </c>
      <c r="X154">
        <v>67</v>
      </c>
      <c r="Y154" s="5">
        <v>1.9850746268656716</v>
      </c>
    </row>
    <row r="155" spans="1:25" x14ac:dyDescent="0.25">
      <c r="A155">
        <v>2018</v>
      </c>
      <c r="B155" t="s">
        <v>57</v>
      </c>
      <c r="C155">
        <v>8</v>
      </c>
      <c r="D155">
        <v>77</v>
      </c>
      <c r="E155" t="s">
        <v>94</v>
      </c>
      <c r="F155" t="s">
        <v>40</v>
      </c>
      <c r="G155">
        <f t="shared" si="2"/>
        <v>0</v>
      </c>
      <c r="H155">
        <v>3</v>
      </c>
      <c r="I155">
        <v>9</v>
      </c>
      <c r="J155">
        <v>1</v>
      </c>
      <c r="K155" s="6" t="s">
        <v>70</v>
      </c>
      <c r="L155" s="6" t="s">
        <v>87</v>
      </c>
      <c r="M155">
        <v>147</v>
      </c>
      <c r="N155" s="1">
        <v>0.42699999999999999</v>
      </c>
      <c r="O155">
        <v>40</v>
      </c>
      <c r="P155" s="1">
        <v>0.35099999999999998</v>
      </c>
      <c r="Q155" s="1">
        <v>0.73099999999999998</v>
      </c>
      <c r="R155">
        <v>383</v>
      </c>
      <c r="S155">
        <v>61</v>
      </c>
      <c r="T155">
        <v>143</v>
      </c>
      <c r="U155">
        <v>54</v>
      </c>
      <c r="V155">
        <v>29</v>
      </c>
      <c r="W155">
        <v>11</v>
      </c>
      <c r="X155">
        <v>48</v>
      </c>
      <c r="Y155" s="5">
        <v>1.125</v>
      </c>
    </row>
    <row r="156" spans="1:25" x14ac:dyDescent="0.25">
      <c r="A156">
        <v>2018</v>
      </c>
      <c r="B156" t="s">
        <v>57</v>
      </c>
      <c r="C156">
        <v>8</v>
      </c>
      <c r="D156">
        <v>78</v>
      </c>
      <c r="E156" t="s">
        <v>98</v>
      </c>
      <c r="F156" t="s">
        <v>41</v>
      </c>
      <c r="G156">
        <f t="shared" si="2"/>
        <v>0</v>
      </c>
      <c r="H156">
        <v>4</v>
      </c>
      <c r="I156">
        <v>9</v>
      </c>
      <c r="J156">
        <v>0</v>
      </c>
      <c r="K156" s="6" t="s">
        <v>67</v>
      </c>
      <c r="L156" s="6" t="s">
        <v>82</v>
      </c>
      <c r="M156">
        <v>183</v>
      </c>
      <c r="N156" s="1">
        <v>0.49099999999999999</v>
      </c>
      <c r="O156">
        <v>61</v>
      </c>
      <c r="P156" s="1">
        <v>0.39900000000000002</v>
      </c>
      <c r="Q156" s="1">
        <v>0.82499999999999996</v>
      </c>
      <c r="R156">
        <v>512</v>
      </c>
      <c r="S156">
        <v>37</v>
      </c>
      <c r="T156">
        <v>147</v>
      </c>
      <c r="U156">
        <v>89</v>
      </c>
      <c r="V156">
        <v>37</v>
      </c>
      <c r="W156">
        <v>23</v>
      </c>
      <c r="X156">
        <v>61</v>
      </c>
      <c r="Y156" s="5">
        <v>1.459016393442623</v>
      </c>
    </row>
    <row r="157" spans="1:25" x14ac:dyDescent="0.25">
      <c r="A157">
        <v>2018</v>
      </c>
      <c r="B157" t="s">
        <v>57</v>
      </c>
      <c r="C157">
        <v>8</v>
      </c>
      <c r="D157">
        <v>78</v>
      </c>
      <c r="E157" t="s">
        <v>19</v>
      </c>
      <c r="F157" t="s">
        <v>56</v>
      </c>
      <c r="G157">
        <f t="shared" si="2"/>
        <v>1</v>
      </c>
      <c r="H157">
        <v>9</v>
      </c>
      <c r="I157">
        <v>4</v>
      </c>
      <c r="J157">
        <v>0</v>
      </c>
      <c r="K157" s="6" t="s">
        <v>112</v>
      </c>
      <c r="L157" s="6" t="s">
        <v>88</v>
      </c>
      <c r="M157">
        <v>204</v>
      </c>
      <c r="N157" s="1">
        <v>0.48099999999999998</v>
      </c>
      <c r="O157">
        <v>52</v>
      </c>
      <c r="P157" s="1">
        <v>0.36099999999999999</v>
      </c>
      <c r="Q157" s="1">
        <v>0.84299999999999997</v>
      </c>
      <c r="R157">
        <v>546</v>
      </c>
      <c r="S157">
        <v>43</v>
      </c>
      <c r="T157">
        <v>190</v>
      </c>
      <c r="U157">
        <v>111</v>
      </c>
      <c r="V157">
        <v>23</v>
      </c>
      <c r="W157">
        <v>25</v>
      </c>
      <c r="X157">
        <v>51</v>
      </c>
      <c r="Y157" s="5">
        <v>2.1764705882352939</v>
      </c>
    </row>
    <row r="158" spans="1:25" x14ac:dyDescent="0.25">
      <c r="A158">
        <v>2018</v>
      </c>
      <c r="B158" t="s">
        <v>57</v>
      </c>
      <c r="C158">
        <v>8</v>
      </c>
      <c r="D158">
        <v>79</v>
      </c>
      <c r="E158" t="s">
        <v>25</v>
      </c>
      <c r="F158" t="s">
        <v>53</v>
      </c>
      <c r="G158">
        <f t="shared" si="2"/>
        <v>1</v>
      </c>
      <c r="H158">
        <v>10</v>
      </c>
      <c r="I158">
        <v>3</v>
      </c>
      <c r="J158">
        <v>0</v>
      </c>
      <c r="K158" s="6" t="s">
        <v>111</v>
      </c>
      <c r="L158" s="6" t="s">
        <v>89</v>
      </c>
      <c r="M158">
        <v>184</v>
      </c>
      <c r="N158" s="1">
        <v>0.44900000000000001</v>
      </c>
      <c r="O158">
        <v>41</v>
      </c>
      <c r="P158" s="1">
        <v>0.32800000000000001</v>
      </c>
      <c r="Q158" s="1">
        <v>0.77400000000000002</v>
      </c>
      <c r="R158">
        <v>498</v>
      </c>
      <c r="S158">
        <v>28</v>
      </c>
      <c r="T158">
        <v>177</v>
      </c>
      <c r="U158">
        <v>104</v>
      </c>
      <c r="V158">
        <v>32</v>
      </c>
      <c r="W158">
        <v>11</v>
      </c>
      <c r="X158">
        <v>61</v>
      </c>
      <c r="Y158" s="5">
        <v>1.7049180327868851</v>
      </c>
    </row>
    <row r="159" spans="1:25" x14ac:dyDescent="0.25">
      <c r="A159">
        <v>2018</v>
      </c>
      <c r="B159" t="s">
        <v>57</v>
      </c>
      <c r="C159">
        <v>8</v>
      </c>
      <c r="D159">
        <v>79</v>
      </c>
      <c r="E159" t="s">
        <v>97</v>
      </c>
      <c r="F159" t="s">
        <v>54</v>
      </c>
      <c r="G159">
        <f t="shared" si="2"/>
        <v>0</v>
      </c>
      <c r="H159">
        <v>3</v>
      </c>
      <c r="I159">
        <v>10</v>
      </c>
      <c r="J159">
        <v>0</v>
      </c>
      <c r="K159" s="6" t="s">
        <v>68</v>
      </c>
      <c r="L159" s="6" t="s">
        <v>84</v>
      </c>
      <c r="M159">
        <v>95</v>
      </c>
      <c r="N159" s="1">
        <v>0.49</v>
      </c>
      <c r="O159">
        <v>16</v>
      </c>
      <c r="P159" s="1">
        <v>0.27600000000000002</v>
      </c>
      <c r="Q159" s="1">
        <v>0.72099999999999997</v>
      </c>
      <c r="R159">
        <v>237</v>
      </c>
      <c r="S159">
        <v>14</v>
      </c>
      <c r="T159">
        <v>74</v>
      </c>
      <c r="U159">
        <v>54</v>
      </c>
      <c r="V159">
        <v>15</v>
      </c>
      <c r="W159">
        <v>15</v>
      </c>
      <c r="X159">
        <v>32</v>
      </c>
      <c r="Y159" s="5">
        <v>1.6875</v>
      </c>
    </row>
    <row r="160" spans="1:25" x14ac:dyDescent="0.25">
      <c r="A160">
        <v>2018</v>
      </c>
      <c r="B160" t="s">
        <v>57</v>
      </c>
      <c r="C160">
        <v>8</v>
      </c>
      <c r="D160">
        <v>80</v>
      </c>
      <c r="E160" t="s">
        <v>24</v>
      </c>
      <c r="F160" t="s">
        <v>55</v>
      </c>
      <c r="G160">
        <f t="shared" si="2"/>
        <v>1</v>
      </c>
      <c r="H160">
        <v>9</v>
      </c>
      <c r="I160">
        <v>3</v>
      </c>
      <c r="J160">
        <v>1</v>
      </c>
      <c r="K160" s="6" t="s">
        <v>71</v>
      </c>
      <c r="L160" s="6" t="s">
        <v>121</v>
      </c>
      <c r="M160">
        <v>173</v>
      </c>
      <c r="N160" s="1">
        <v>0.47799999999999998</v>
      </c>
      <c r="O160">
        <v>47</v>
      </c>
      <c r="P160" s="1">
        <v>0.38800000000000001</v>
      </c>
      <c r="Q160" s="1">
        <v>0.78400000000000003</v>
      </c>
      <c r="R160">
        <v>484</v>
      </c>
      <c r="S160">
        <v>37</v>
      </c>
      <c r="T160">
        <v>162</v>
      </c>
      <c r="U160">
        <v>115</v>
      </c>
      <c r="V160">
        <v>40</v>
      </c>
      <c r="W160">
        <v>20</v>
      </c>
      <c r="X160">
        <v>74</v>
      </c>
      <c r="Y160" s="5">
        <v>1.5540540540540539</v>
      </c>
    </row>
    <row r="161" spans="1:25" x14ac:dyDescent="0.25">
      <c r="A161">
        <v>2018</v>
      </c>
      <c r="B161" t="s">
        <v>57</v>
      </c>
      <c r="C161">
        <v>8</v>
      </c>
      <c r="D161">
        <v>80</v>
      </c>
      <c r="E161" t="s">
        <v>23</v>
      </c>
      <c r="F161" t="s">
        <v>120</v>
      </c>
      <c r="G161">
        <f t="shared" si="2"/>
        <v>0</v>
      </c>
      <c r="H161">
        <v>3</v>
      </c>
      <c r="I161">
        <v>9</v>
      </c>
      <c r="J161">
        <v>1</v>
      </c>
      <c r="K161" s="6" t="s">
        <v>69</v>
      </c>
      <c r="L161" s="6" t="s">
        <v>86</v>
      </c>
      <c r="M161">
        <v>148</v>
      </c>
      <c r="N161" s="1">
        <v>0.437</v>
      </c>
      <c r="O161">
        <v>31</v>
      </c>
      <c r="P161" s="1">
        <v>0.35599999999999998</v>
      </c>
      <c r="Q161" s="1">
        <v>0.70599999999999996</v>
      </c>
      <c r="R161">
        <v>399</v>
      </c>
      <c r="S161">
        <v>37</v>
      </c>
      <c r="T161">
        <v>140</v>
      </c>
      <c r="U161">
        <v>123</v>
      </c>
      <c r="V161">
        <v>30</v>
      </c>
      <c r="W161">
        <v>19</v>
      </c>
      <c r="X161">
        <v>73</v>
      </c>
      <c r="Y161" s="5">
        <v>1.6849315068493151</v>
      </c>
    </row>
    <row r="162" spans="1:25" x14ac:dyDescent="0.25">
      <c r="A162">
        <v>2018</v>
      </c>
      <c r="B162" t="s">
        <v>57</v>
      </c>
      <c r="C162">
        <v>9</v>
      </c>
      <c r="D162">
        <v>81</v>
      </c>
      <c r="E162" t="s">
        <v>16</v>
      </c>
      <c r="F162" t="s">
        <v>51</v>
      </c>
      <c r="G162">
        <f t="shared" si="2"/>
        <v>1</v>
      </c>
      <c r="H162">
        <v>7</v>
      </c>
      <c r="I162">
        <v>6</v>
      </c>
      <c r="J162">
        <v>0</v>
      </c>
      <c r="K162" s="6" t="s">
        <v>182</v>
      </c>
      <c r="L162" s="6" t="s">
        <v>76</v>
      </c>
      <c r="M162">
        <v>118</v>
      </c>
      <c r="N162" s="1">
        <v>0.48</v>
      </c>
      <c r="O162">
        <v>38</v>
      </c>
      <c r="P162" s="1">
        <v>0.4</v>
      </c>
      <c r="Q162" s="1">
        <v>0.79</v>
      </c>
      <c r="R162">
        <v>323</v>
      </c>
      <c r="S162">
        <v>19</v>
      </c>
      <c r="T162">
        <v>115</v>
      </c>
      <c r="U162">
        <v>75</v>
      </c>
      <c r="V162">
        <v>18</v>
      </c>
      <c r="W162">
        <v>11</v>
      </c>
      <c r="X162">
        <v>40</v>
      </c>
      <c r="Y162" s="5">
        <v>1.875</v>
      </c>
    </row>
    <row r="163" spans="1:25" x14ac:dyDescent="0.25">
      <c r="A163">
        <v>2018</v>
      </c>
      <c r="B163" t="s">
        <v>57</v>
      </c>
      <c r="C163">
        <v>9</v>
      </c>
      <c r="D163">
        <v>81</v>
      </c>
      <c r="E163" t="s">
        <v>181</v>
      </c>
      <c r="F163" t="s">
        <v>49</v>
      </c>
      <c r="G163">
        <f t="shared" si="2"/>
        <v>0</v>
      </c>
      <c r="H163">
        <v>6</v>
      </c>
      <c r="I163">
        <v>7</v>
      </c>
      <c r="J163">
        <v>0</v>
      </c>
      <c r="K163" s="6" t="s">
        <v>60</v>
      </c>
      <c r="L163" s="6" t="s">
        <v>75</v>
      </c>
      <c r="M163">
        <v>165</v>
      </c>
      <c r="N163" s="1">
        <v>0.46300000000000002</v>
      </c>
      <c r="O163">
        <v>41</v>
      </c>
      <c r="P163" s="1">
        <v>0.39800000000000002</v>
      </c>
      <c r="Q163" s="1">
        <v>0.85099999999999998</v>
      </c>
      <c r="R163">
        <v>434</v>
      </c>
      <c r="S163">
        <v>25</v>
      </c>
      <c r="T163">
        <v>103</v>
      </c>
      <c r="U163">
        <v>92</v>
      </c>
      <c r="V163">
        <v>13</v>
      </c>
      <c r="W163">
        <v>9</v>
      </c>
      <c r="X163">
        <v>62</v>
      </c>
      <c r="Y163" s="5">
        <v>1.4838709677419355</v>
      </c>
    </row>
    <row r="164" spans="1:25" x14ac:dyDescent="0.25">
      <c r="A164">
        <v>2018</v>
      </c>
      <c r="B164" t="s">
        <v>57</v>
      </c>
      <c r="C164">
        <v>9</v>
      </c>
      <c r="D164">
        <v>82</v>
      </c>
      <c r="E164" t="s">
        <v>18</v>
      </c>
      <c r="F164" t="s">
        <v>52</v>
      </c>
      <c r="G164">
        <f t="shared" si="2"/>
        <v>1</v>
      </c>
      <c r="H164">
        <v>9</v>
      </c>
      <c r="I164">
        <v>4</v>
      </c>
      <c r="J164">
        <v>0</v>
      </c>
      <c r="K164" s="6" t="s">
        <v>62</v>
      </c>
      <c r="L164" s="6" t="s">
        <v>78</v>
      </c>
      <c r="M164">
        <v>153</v>
      </c>
      <c r="N164" s="1">
        <v>0.46400000000000002</v>
      </c>
      <c r="O164">
        <v>54</v>
      </c>
      <c r="P164" s="1">
        <v>0.42899999999999999</v>
      </c>
      <c r="Q164" s="1">
        <v>0.82899999999999996</v>
      </c>
      <c r="R164">
        <v>423</v>
      </c>
      <c r="S164">
        <v>31</v>
      </c>
      <c r="T164">
        <v>142</v>
      </c>
      <c r="U164">
        <v>103</v>
      </c>
      <c r="V164">
        <v>34</v>
      </c>
      <c r="W164">
        <v>15</v>
      </c>
      <c r="X164">
        <v>65</v>
      </c>
      <c r="Y164" s="5">
        <v>1.5846153846153845</v>
      </c>
    </row>
    <row r="165" spans="1:25" x14ac:dyDescent="0.25">
      <c r="A165">
        <v>2018</v>
      </c>
      <c r="B165" t="s">
        <v>57</v>
      </c>
      <c r="C165">
        <v>9</v>
      </c>
      <c r="D165">
        <v>82</v>
      </c>
      <c r="E165" t="s">
        <v>20</v>
      </c>
      <c r="F165" t="s">
        <v>47</v>
      </c>
      <c r="G165">
        <f t="shared" si="2"/>
        <v>0</v>
      </c>
      <c r="H165">
        <v>4</v>
      </c>
      <c r="I165">
        <v>9</v>
      </c>
      <c r="J165">
        <v>0</v>
      </c>
      <c r="K165" s="6" t="s">
        <v>59</v>
      </c>
      <c r="L165" s="6" t="s">
        <v>74</v>
      </c>
      <c r="M165">
        <v>130</v>
      </c>
      <c r="N165" s="1">
        <v>0.45500000000000002</v>
      </c>
      <c r="O165">
        <v>13</v>
      </c>
      <c r="P165" s="1">
        <v>0.22800000000000001</v>
      </c>
      <c r="Q165" s="1">
        <v>0.78900000000000003</v>
      </c>
      <c r="R165">
        <v>344</v>
      </c>
      <c r="S165">
        <v>41</v>
      </c>
      <c r="T165">
        <v>126</v>
      </c>
      <c r="U165">
        <v>101</v>
      </c>
      <c r="V165">
        <v>15</v>
      </c>
      <c r="W165">
        <v>19</v>
      </c>
      <c r="X165">
        <v>52</v>
      </c>
      <c r="Y165" s="5">
        <v>1.9423076923076923</v>
      </c>
    </row>
    <row r="166" spans="1:25" x14ac:dyDescent="0.25">
      <c r="A166">
        <v>2018</v>
      </c>
      <c r="B166" t="s">
        <v>57</v>
      </c>
      <c r="C166">
        <v>9</v>
      </c>
      <c r="D166">
        <v>83</v>
      </c>
      <c r="E166" t="s">
        <v>190</v>
      </c>
      <c r="F166" t="s">
        <v>103</v>
      </c>
      <c r="G166">
        <f t="shared" si="2"/>
        <v>1</v>
      </c>
      <c r="H166">
        <v>7</v>
      </c>
      <c r="I166">
        <v>6</v>
      </c>
      <c r="J166">
        <v>0</v>
      </c>
      <c r="K166" s="6" t="s">
        <v>61</v>
      </c>
      <c r="L166" s="6" t="s">
        <v>77</v>
      </c>
      <c r="M166">
        <v>178</v>
      </c>
      <c r="N166" s="1">
        <v>0.499</v>
      </c>
      <c r="O166">
        <v>58</v>
      </c>
      <c r="P166" s="1">
        <v>0.38400000000000001</v>
      </c>
      <c r="Q166" s="1">
        <v>0.65500000000000003</v>
      </c>
      <c r="R166">
        <v>452</v>
      </c>
      <c r="S166">
        <v>33</v>
      </c>
      <c r="T166">
        <v>118</v>
      </c>
      <c r="U166">
        <v>81</v>
      </c>
      <c r="V166">
        <v>32</v>
      </c>
      <c r="W166">
        <v>26</v>
      </c>
      <c r="X166">
        <v>49</v>
      </c>
      <c r="Y166" s="5">
        <v>1.653061224489796</v>
      </c>
    </row>
    <row r="167" spans="1:25" x14ac:dyDescent="0.25">
      <c r="A167">
        <v>2018</v>
      </c>
      <c r="B167" t="s">
        <v>57</v>
      </c>
      <c r="C167">
        <v>9</v>
      </c>
      <c r="D167">
        <v>83</v>
      </c>
      <c r="E167" t="s">
        <v>15</v>
      </c>
      <c r="F167" t="s">
        <v>48</v>
      </c>
      <c r="G167">
        <f t="shared" si="2"/>
        <v>0</v>
      </c>
      <c r="H167">
        <v>6</v>
      </c>
      <c r="I167">
        <v>7</v>
      </c>
      <c r="J167">
        <v>0</v>
      </c>
      <c r="K167" s="6" t="s">
        <v>191</v>
      </c>
      <c r="L167" s="6" t="s">
        <v>113</v>
      </c>
      <c r="M167">
        <v>204</v>
      </c>
      <c r="N167" s="1">
        <v>0.42899999999999999</v>
      </c>
      <c r="O167">
        <v>41</v>
      </c>
      <c r="P167" s="1">
        <v>0.32300000000000001</v>
      </c>
      <c r="Q167" s="1">
        <v>0.79600000000000004</v>
      </c>
      <c r="R167">
        <v>535</v>
      </c>
      <c r="S167">
        <v>51</v>
      </c>
      <c r="T167">
        <v>155</v>
      </c>
      <c r="U167">
        <v>90</v>
      </c>
      <c r="V167">
        <v>23</v>
      </c>
      <c r="W167">
        <v>20</v>
      </c>
      <c r="X167">
        <v>59</v>
      </c>
      <c r="Y167" s="5">
        <v>1.5254237288135593</v>
      </c>
    </row>
    <row r="168" spans="1:25" x14ac:dyDescent="0.25">
      <c r="A168">
        <v>2018</v>
      </c>
      <c r="B168" t="s">
        <v>57</v>
      </c>
      <c r="C168">
        <v>9</v>
      </c>
      <c r="D168">
        <v>84</v>
      </c>
      <c r="E168" t="s">
        <v>17</v>
      </c>
      <c r="F168" t="s">
        <v>43</v>
      </c>
      <c r="G168">
        <f t="shared" si="2"/>
        <v>1</v>
      </c>
      <c r="H168">
        <v>9</v>
      </c>
      <c r="I168">
        <v>4</v>
      </c>
      <c r="J168">
        <v>0</v>
      </c>
      <c r="K168" s="6" t="s">
        <v>65</v>
      </c>
      <c r="L168" s="6" t="s">
        <v>119</v>
      </c>
      <c r="M168">
        <v>149</v>
      </c>
      <c r="N168" s="1">
        <v>0.48499999999999999</v>
      </c>
      <c r="O168">
        <v>35</v>
      </c>
      <c r="P168" s="1">
        <v>0.35</v>
      </c>
      <c r="Q168" s="1">
        <v>0.75600000000000001</v>
      </c>
      <c r="R168">
        <v>395</v>
      </c>
      <c r="S168">
        <v>49</v>
      </c>
      <c r="T168">
        <v>156</v>
      </c>
      <c r="U168">
        <v>118</v>
      </c>
      <c r="V168">
        <v>31</v>
      </c>
      <c r="W168">
        <v>17</v>
      </c>
      <c r="X168">
        <v>67</v>
      </c>
      <c r="Y168" s="5">
        <v>1.7611940298507462</v>
      </c>
    </row>
    <row r="169" spans="1:25" x14ac:dyDescent="0.25">
      <c r="A169">
        <v>2018</v>
      </c>
      <c r="B169" t="s">
        <v>57</v>
      </c>
      <c r="C169">
        <v>9</v>
      </c>
      <c r="D169">
        <v>84</v>
      </c>
      <c r="E169" t="s">
        <v>26</v>
      </c>
      <c r="F169" t="s">
        <v>118</v>
      </c>
      <c r="G169">
        <f t="shared" si="2"/>
        <v>0</v>
      </c>
      <c r="H169">
        <v>4</v>
      </c>
      <c r="I169">
        <v>9</v>
      </c>
      <c r="J169">
        <v>0</v>
      </c>
      <c r="K169" s="6" t="s">
        <v>63</v>
      </c>
      <c r="L169" s="6" t="s">
        <v>79</v>
      </c>
      <c r="M169">
        <v>132</v>
      </c>
      <c r="N169" s="1">
        <v>0.45500000000000002</v>
      </c>
      <c r="O169">
        <v>50</v>
      </c>
      <c r="P169" s="1">
        <v>0.40300000000000002</v>
      </c>
      <c r="Q169" s="1">
        <v>0.746</v>
      </c>
      <c r="R169">
        <v>358</v>
      </c>
      <c r="S169">
        <v>30</v>
      </c>
      <c r="T169">
        <v>123</v>
      </c>
      <c r="U169">
        <v>57</v>
      </c>
      <c r="V169">
        <v>30</v>
      </c>
      <c r="W169">
        <v>18</v>
      </c>
      <c r="X169">
        <v>47</v>
      </c>
      <c r="Y169" s="5">
        <v>1.2127659574468086</v>
      </c>
    </row>
    <row r="170" spans="1:25" x14ac:dyDescent="0.25">
      <c r="A170">
        <v>2018</v>
      </c>
      <c r="B170" t="s">
        <v>57</v>
      </c>
      <c r="C170">
        <v>9</v>
      </c>
      <c r="D170">
        <v>85</v>
      </c>
      <c r="E170" t="s">
        <v>22</v>
      </c>
      <c r="F170" t="s">
        <v>44</v>
      </c>
      <c r="G170">
        <f t="shared" si="2"/>
        <v>1</v>
      </c>
      <c r="H170">
        <v>9</v>
      </c>
      <c r="I170">
        <v>4</v>
      </c>
      <c r="J170">
        <v>0</v>
      </c>
      <c r="K170" s="6" t="s">
        <v>64</v>
      </c>
      <c r="L170" s="6" t="s">
        <v>80</v>
      </c>
      <c r="M170">
        <v>128</v>
      </c>
      <c r="N170" s="1">
        <v>0.434</v>
      </c>
      <c r="O170">
        <v>29</v>
      </c>
      <c r="P170" s="1">
        <v>0.35399999999999998</v>
      </c>
      <c r="Q170" s="1">
        <v>0.71699999999999997</v>
      </c>
      <c r="R170">
        <v>351</v>
      </c>
      <c r="S170">
        <v>39</v>
      </c>
      <c r="T170">
        <v>117</v>
      </c>
      <c r="U170">
        <v>93</v>
      </c>
      <c r="V170">
        <v>28</v>
      </c>
      <c r="W170">
        <v>19</v>
      </c>
      <c r="X170">
        <v>38</v>
      </c>
      <c r="Y170" s="5">
        <v>2.4473684210526314</v>
      </c>
    </row>
    <row r="171" spans="1:25" x14ac:dyDescent="0.25">
      <c r="A171">
        <v>2018</v>
      </c>
      <c r="B171" t="s">
        <v>57</v>
      </c>
      <c r="C171">
        <v>9</v>
      </c>
      <c r="D171">
        <v>85</v>
      </c>
      <c r="E171" t="s">
        <v>28</v>
      </c>
      <c r="F171" t="s">
        <v>46</v>
      </c>
      <c r="G171">
        <f t="shared" si="2"/>
        <v>0</v>
      </c>
      <c r="H171">
        <v>4</v>
      </c>
      <c r="I171">
        <v>9</v>
      </c>
      <c r="J171">
        <v>0</v>
      </c>
      <c r="K171" s="6" t="s">
        <v>66</v>
      </c>
      <c r="L171" s="6" t="s">
        <v>81</v>
      </c>
      <c r="M171">
        <v>80</v>
      </c>
      <c r="N171" s="1">
        <v>0.48499999999999999</v>
      </c>
      <c r="O171">
        <v>22</v>
      </c>
      <c r="P171" s="1">
        <v>0.45800000000000002</v>
      </c>
      <c r="Q171" s="1">
        <v>0.73</v>
      </c>
      <c r="R171">
        <v>209</v>
      </c>
      <c r="S171">
        <v>20</v>
      </c>
      <c r="T171">
        <v>69</v>
      </c>
      <c r="U171">
        <v>41</v>
      </c>
      <c r="V171">
        <v>16</v>
      </c>
      <c r="W171">
        <v>8</v>
      </c>
      <c r="X171">
        <v>25</v>
      </c>
      <c r="Y171" s="5">
        <v>1.64</v>
      </c>
    </row>
    <row r="172" spans="1:25" x14ac:dyDescent="0.25">
      <c r="A172">
        <v>2018</v>
      </c>
      <c r="B172" t="s">
        <v>57</v>
      </c>
      <c r="C172">
        <v>9</v>
      </c>
      <c r="D172">
        <v>86</v>
      </c>
      <c r="E172" t="s">
        <v>94</v>
      </c>
      <c r="F172" t="s">
        <v>40</v>
      </c>
      <c r="G172">
        <f t="shared" si="2"/>
        <v>1</v>
      </c>
      <c r="H172">
        <v>9</v>
      </c>
      <c r="I172">
        <v>4</v>
      </c>
      <c r="J172">
        <v>0</v>
      </c>
      <c r="K172" s="6" t="s">
        <v>193</v>
      </c>
      <c r="L172" s="6" t="s">
        <v>117</v>
      </c>
      <c r="M172">
        <v>165</v>
      </c>
      <c r="N172" s="1">
        <v>0.435</v>
      </c>
      <c r="O172">
        <v>42</v>
      </c>
      <c r="P172" s="1">
        <v>0.313</v>
      </c>
      <c r="Q172" s="1">
        <v>0.65300000000000002</v>
      </c>
      <c r="R172">
        <v>436</v>
      </c>
      <c r="S172">
        <v>58</v>
      </c>
      <c r="T172">
        <v>172</v>
      </c>
      <c r="U172">
        <v>83</v>
      </c>
      <c r="V172">
        <v>46</v>
      </c>
      <c r="W172">
        <v>21</v>
      </c>
      <c r="X172">
        <v>59</v>
      </c>
      <c r="Y172" s="5">
        <v>1.4067796610169492</v>
      </c>
    </row>
    <row r="173" spans="1:25" x14ac:dyDescent="0.25">
      <c r="A173">
        <v>2018</v>
      </c>
      <c r="B173" t="s">
        <v>57</v>
      </c>
      <c r="C173">
        <v>9</v>
      </c>
      <c r="D173">
        <v>86</v>
      </c>
      <c r="E173" t="s">
        <v>159</v>
      </c>
      <c r="F173" t="s">
        <v>116</v>
      </c>
      <c r="G173">
        <f t="shared" si="2"/>
        <v>0</v>
      </c>
      <c r="H173">
        <v>4</v>
      </c>
      <c r="I173">
        <v>9</v>
      </c>
      <c r="J173">
        <v>0</v>
      </c>
      <c r="K173" s="6" t="s">
        <v>106</v>
      </c>
      <c r="L173" s="6" t="s">
        <v>83</v>
      </c>
      <c r="M173">
        <v>107</v>
      </c>
      <c r="N173" s="1">
        <v>0.44600000000000001</v>
      </c>
      <c r="O173">
        <v>28</v>
      </c>
      <c r="P173" s="1">
        <v>0.34599999999999997</v>
      </c>
      <c r="Q173" s="1">
        <v>0.79600000000000004</v>
      </c>
      <c r="R173">
        <v>285</v>
      </c>
      <c r="S173">
        <v>33</v>
      </c>
      <c r="T173">
        <v>79</v>
      </c>
      <c r="U173">
        <v>64</v>
      </c>
      <c r="V173">
        <v>20</v>
      </c>
      <c r="W173">
        <v>11</v>
      </c>
      <c r="X173">
        <v>49</v>
      </c>
      <c r="Y173" s="5">
        <v>1.3061224489795917</v>
      </c>
    </row>
    <row r="174" spans="1:25" x14ac:dyDescent="0.25">
      <c r="A174">
        <v>2018</v>
      </c>
      <c r="B174" t="s">
        <v>57</v>
      </c>
      <c r="C174">
        <v>9</v>
      </c>
      <c r="D174">
        <v>87</v>
      </c>
      <c r="E174" t="s">
        <v>19</v>
      </c>
      <c r="F174" t="s">
        <v>56</v>
      </c>
      <c r="G174">
        <f t="shared" si="2"/>
        <v>0</v>
      </c>
      <c r="H174">
        <v>6</v>
      </c>
      <c r="I174">
        <v>7</v>
      </c>
      <c r="J174">
        <v>0</v>
      </c>
      <c r="K174" s="6" t="s">
        <v>72</v>
      </c>
      <c r="L174" s="6" t="s">
        <v>85</v>
      </c>
      <c r="M174">
        <v>172</v>
      </c>
      <c r="N174" s="1">
        <v>0.432</v>
      </c>
      <c r="O174">
        <v>46</v>
      </c>
      <c r="P174" s="1">
        <v>0.32900000000000001</v>
      </c>
      <c r="Q174" s="1">
        <v>0.71399999999999997</v>
      </c>
      <c r="R174">
        <v>455</v>
      </c>
      <c r="S174">
        <v>41</v>
      </c>
      <c r="T174">
        <v>165</v>
      </c>
      <c r="U174">
        <v>111</v>
      </c>
      <c r="V174">
        <v>31</v>
      </c>
      <c r="W174">
        <v>18</v>
      </c>
      <c r="X174">
        <v>50</v>
      </c>
      <c r="Y174" s="5">
        <v>2.2200000000000002</v>
      </c>
    </row>
    <row r="175" spans="1:25" x14ac:dyDescent="0.25">
      <c r="A175">
        <v>2018</v>
      </c>
      <c r="B175" t="s">
        <v>57</v>
      </c>
      <c r="C175">
        <v>9</v>
      </c>
      <c r="D175">
        <v>87</v>
      </c>
      <c r="E175" t="s">
        <v>33</v>
      </c>
      <c r="F175" t="s">
        <v>42</v>
      </c>
      <c r="G175">
        <f t="shared" si="2"/>
        <v>1</v>
      </c>
      <c r="H175">
        <v>7</v>
      </c>
      <c r="I175">
        <v>6</v>
      </c>
      <c r="J175">
        <v>0</v>
      </c>
      <c r="K175" s="6" t="s">
        <v>67</v>
      </c>
      <c r="L175" s="6" t="s">
        <v>82</v>
      </c>
      <c r="M175">
        <v>188</v>
      </c>
      <c r="N175" s="1">
        <v>0.50800000000000001</v>
      </c>
      <c r="O175">
        <v>55</v>
      </c>
      <c r="P175" s="1">
        <v>0.41399999999999998</v>
      </c>
      <c r="Q175" s="1">
        <v>0.72699999999999998</v>
      </c>
      <c r="R175">
        <v>479</v>
      </c>
      <c r="S175">
        <v>15</v>
      </c>
      <c r="T175">
        <v>97</v>
      </c>
      <c r="U175">
        <v>91</v>
      </c>
      <c r="V175">
        <v>29</v>
      </c>
      <c r="W175">
        <v>15</v>
      </c>
      <c r="X175">
        <v>46</v>
      </c>
      <c r="Y175" s="5">
        <v>1.9782608695652173</v>
      </c>
    </row>
    <row r="176" spans="1:25" x14ac:dyDescent="0.25">
      <c r="A176">
        <v>2018</v>
      </c>
      <c r="B176" t="s">
        <v>57</v>
      </c>
      <c r="C176">
        <v>9</v>
      </c>
      <c r="D176">
        <v>88</v>
      </c>
      <c r="E176" t="s">
        <v>25</v>
      </c>
      <c r="F176" t="s">
        <v>53</v>
      </c>
      <c r="G176">
        <f t="shared" si="2"/>
        <v>1</v>
      </c>
      <c r="H176">
        <v>8</v>
      </c>
      <c r="I176">
        <v>5</v>
      </c>
      <c r="J176">
        <v>0</v>
      </c>
      <c r="K176" s="6" t="s">
        <v>70</v>
      </c>
      <c r="L176" s="6" t="s">
        <v>87</v>
      </c>
      <c r="M176">
        <v>161</v>
      </c>
      <c r="N176" s="1">
        <v>0.41399999999999998</v>
      </c>
      <c r="O176">
        <v>21</v>
      </c>
      <c r="P176" s="1">
        <v>0.23300000000000001</v>
      </c>
      <c r="Q176" s="1">
        <v>0.71899999999999997</v>
      </c>
      <c r="R176">
        <v>443</v>
      </c>
      <c r="S176">
        <v>37</v>
      </c>
      <c r="T176">
        <v>147</v>
      </c>
      <c r="U176">
        <v>116</v>
      </c>
      <c r="V176">
        <v>31</v>
      </c>
      <c r="W176">
        <v>11</v>
      </c>
      <c r="X176">
        <v>51</v>
      </c>
      <c r="Y176" s="5">
        <v>2.2745098039215685</v>
      </c>
    </row>
    <row r="177" spans="1:25" x14ac:dyDescent="0.25">
      <c r="A177">
        <v>2018</v>
      </c>
      <c r="B177" t="s">
        <v>57</v>
      </c>
      <c r="C177">
        <v>9</v>
      </c>
      <c r="D177">
        <v>88</v>
      </c>
      <c r="E177" t="s">
        <v>21</v>
      </c>
      <c r="F177" t="s">
        <v>50</v>
      </c>
      <c r="G177">
        <f t="shared" si="2"/>
        <v>0</v>
      </c>
      <c r="H177">
        <v>5</v>
      </c>
      <c r="I177">
        <v>8</v>
      </c>
      <c r="J177">
        <v>0</v>
      </c>
      <c r="K177" s="6" t="s">
        <v>68</v>
      </c>
      <c r="L177" s="6" t="s">
        <v>84</v>
      </c>
      <c r="M177">
        <v>134</v>
      </c>
      <c r="N177" s="1">
        <v>0.504</v>
      </c>
      <c r="O177">
        <v>37</v>
      </c>
      <c r="P177" s="1">
        <v>0.49299999999999999</v>
      </c>
      <c r="Q177" s="1">
        <v>0.65200000000000002</v>
      </c>
      <c r="R177">
        <v>335</v>
      </c>
      <c r="S177">
        <v>46</v>
      </c>
      <c r="T177">
        <v>114</v>
      </c>
      <c r="U177">
        <v>92</v>
      </c>
      <c r="V177">
        <v>24</v>
      </c>
      <c r="W177">
        <v>20</v>
      </c>
      <c r="X177">
        <v>65</v>
      </c>
      <c r="Y177" s="5">
        <v>1.4153846153846155</v>
      </c>
    </row>
    <row r="178" spans="1:25" x14ac:dyDescent="0.25">
      <c r="A178">
        <v>2018</v>
      </c>
      <c r="B178" t="s">
        <v>57</v>
      </c>
      <c r="C178">
        <v>9</v>
      </c>
      <c r="D178">
        <v>89</v>
      </c>
      <c r="E178" t="s">
        <v>24</v>
      </c>
      <c r="F178" t="s">
        <v>55</v>
      </c>
      <c r="G178">
        <f t="shared" si="2"/>
        <v>0</v>
      </c>
      <c r="H178">
        <v>6</v>
      </c>
      <c r="I178">
        <v>7</v>
      </c>
      <c r="J178">
        <v>0</v>
      </c>
      <c r="K178" s="6" t="s">
        <v>112</v>
      </c>
      <c r="L178" s="6" t="s">
        <v>88</v>
      </c>
      <c r="M178">
        <v>173</v>
      </c>
      <c r="N178" s="1">
        <v>0.45300000000000001</v>
      </c>
      <c r="O178">
        <v>71</v>
      </c>
      <c r="P178" s="1">
        <v>0.42299999999999999</v>
      </c>
      <c r="Q178" s="1">
        <v>0.77600000000000002</v>
      </c>
      <c r="R178">
        <v>483</v>
      </c>
      <c r="S178">
        <v>34</v>
      </c>
      <c r="T178">
        <v>131</v>
      </c>
      <c r="U178">
        <v>104</v>
      </c>
      <c r="V178">
        <v>44</v>
      </c>
      <c r="W178">
        <v>16</v>
      </c>
      <c r="X178">
        <v>70</v>
      </c>
      <c r="Y178" s="5">
        <v>1.4857142857142858</v>
      </c>
    </row>
    <row r="179" spans="1:25" x14ac:dyDescent="0.25">
      <c r="A179">
        <v>2018</v>
      </c>
      <c r="B179" t="s">
        <v>57</v>
      </c>
      <c r="C179">
        <v>9</v>
      </c>
      <c r="D179">
        <v>89</v>
      </c>
      <c r="E179" t="s">
        <v>98</v>
      </c>
      <c r="F179" t="s">
        <v>41</v>
      </c>
      <c r="G179">
        <f t="shared" si="2"/>
        <v>1</v>
      </c>
      <c r="H179">
        <v>7</v>
      </c>
      <c r="I179">
        <v>6</v>
      </c>
      <c r="J179">
        <v>0</v>
      </c>
      <c r="K179" s="6" t="s">
        <v>69</v>
      </c>
      <c r="L179" s="6" t="s">
        <v>86</v>
      </c>
      <c r="M179">
        <v>165</v>
      </c>
      <c r="N179" s="1">
        <v>0.46200000000000002</v>
      </c>
      <c r="O179">
        <v>46</v>
      </c>
      <c r="P179" s="1">
        <v>0.38300000000000001</v>
      </c>
      <c r="Q179" s="1">
        <v>0.80400000000000005</v>
      </c>
      <c r="R179">
        <v>462</v>
      </c>
      <c r="S179">
        <v>35</v>
      </c>
      <c r="T179">
        <v>142</v>
      </c>
      <c r="U179">
        <v>70</v>
      </c>
      <c r="V179">
        <v>29</v>
      </c>
      <c r="W179">
        <v>18</v>
      </c>
      <c r="X179">
        <v>44</v>
      </c>
      <c r="Y179" s="5">
        <v>1.5909090909090908</v>
      </c>
    </row>
    <row r="180" spans="1:25" x14ac:dyDescent="0.25">
      <c r="A180">
        <v>2018</v>
      </c>
      <c r="B180" t="s">
        <v>57</v>
      </c>
      <c r="C180">
        <v>9</v>
      </c>
      <c r="D180">
        <v>90</v>
      </c>
      <c r="E180" t="s">
        <v>23</v>
      </c>
      <c r="F180" t="s">
        <v>120</v>
      </c>
      <c r="G180">
        <f t="shared" si="2"/>
        <v>1</v>
      </c>
      <c r="H180">
        <v>9</v>
      </c>
      <c r="I180">
        <v>4</v>
      </c>
      <c r="J180">
        <v>0</v>
      </c>
      <c r="K180" s="6" t="s">
        <v>111</v>
      </c>
      <c r="L180" s="6" t="s">
        <v>89</v>
      </c>
      <c r="M180">
        <v>147</v>
      </c>
      <c r="N180" s="1">
        <v>0.45700000000000002</v>
      </c>
      <c r="O180">
        <v>28</v>
      </c>
      <c r="P180" s="1">
        <v>0.29499999999999998</v>
      </c>
      <c r="Q180" s="1">
        <v>0.75900000000000001</v>
      </c>
      <c r="R180">
        <v>382</v>
      </c>
      <c r="S180">
        <v>36</v>
      </c>
      <c r="T180">
        <v>114</v>
      </c>
      <c r="U180">
        <v>96</v>
      </c>
      <c r="V180">
        <v>29</v>
      </c>
      <c r="W180">
        <v>22</v>
      </c>
      <c r="X180">
        <v>56</v>
      </c>
      <c r="Y180" s="5">
        <v>1.7142857142857142</v>
      </c>
    </row>
    <row r="181" spans="1:25" x14ac:dyDescent="0.25">
      <c r="A181">
        <v>2018</v>
      </c>
      <c r="B181" t="s">
        <v>57</v>
      </c>
      <c r="C181">
        <v>9</v>
      </c>
      <c r="D181">
        <v>90</v>
      </c>
      <c r="E181" t="s">
        <v>97</v>
      </c>
      <c r="F181" t="s">
        <v>54</v>
      </c>
      <c r="G181">
        <f t="shared" si="2"/>
        <v>0</v>
      </c>
      <c r="H181">
        <v>4</v>
      </c>
      <c r="I181">
        <v>9</v>
      </c>
      <c r="J181">
        <v>0</v>
      </c>
      <c r="K181" s="6" t="s">
        <v>71</v>
      </c>
      <c r="L181" s="6" t="s">
        <v>121</v>
      </c>
      <c r="M181">
        <v>81</v>
      </c>
      <c r="N181" s="1">
        <v>0.41299999999999998</v>
      </c>
      <c r="O181">
        <v>20</v>
      </c>
      <c r="P181" s="1">
        <v>0.34499999999999997</v>
      </c>
      <c r="Q181" s="1">
        <v>0.83299999999999996</v>
      </c>
      <c r="R181">
        <v>202</v>
      </c>
      <c r="S181">
        <v>24</v>
      </c>
      <c r="T181">
        <v>62</v>
      </c>
      <c r="U181">
        <v>46</v>
      </c>
      <c r="V181">
        <v>18</v>
      </c>
      <c r="W181">
        <v>19</v>
      </c>
      <c r="X181">
        <v>26</v>
      </c>
      <c r="Y181" s="5">
        <v>1.7692307692307692</v>
      </c>
    </row>
    <row r="182" spans="1:25" x14ac:dyDescent="0.25">
      <c r="A182">
        <v>2018</v>
      </c>
      <c r="B182" t="s">
        <v>57</v>
      </c>
      <c r="C182">
        <v>10</v>
      </c>
      <c r="D182">
        <v>91</v>
      </c>
      <c r="E182" t="s">
        <v>16</v>
      </c>
      <c r="F182" t="s">
        <v>51</v>
      </c>
      <c r="G182">
        <f t="shared" si="2"/>
        <v>0</v>
      </c>
      <c r="H182">
        <v>3</v>
      </c>
      <c r="I182">
        <v>10</v>
      </c>
      <c r="J182">
        <v>0</v>
      </c>
      <c r="K182" s="6" t="s">
        <v>193</v>
      </c>
      <c r="L182" s="6" t="s">
        <v>117</v>
      </c>
      <c r="M182">
        <v>132</v>
      </c>
      <c r="N182" s="1">
        <v>0.45800000000000002</v>
      </c>
      <c r="O182">
        <v>37</v>
      </c>
      <c r="P182" s="1">
        <v>0.316</v>
      </c>
      <c r="Q182" s="1">
        <v>0.79500000000000004</v>
      </c>
      <c r="R182">
        <v>363</v>
      </c>
      <c r="S182">
        <v>29</v>
      </c>
      <c r="T182">
        <v>131</v>
      </c>
      <c r="U182">
        <v>70</v>
      </c>
      <c r="V182">
        <v>30</v>
      </c>
      <c r="W182">
        <v>22</v>
      </c>
      <c r="X182">
        <v>59</v>
      </c>
      <c r="Y182" s="5">
        <v>1.1864406779661016</v>
      </c>
    </row>
    <row r="183" spans="1:25" x14ac:dyDescent="0.25">
      <c r="A183">
        <v>2018</v>
      </c>
      <c r="B183" t="s">
        <v>57</v>
      </c>
      <c r="C183">
        <v>10</v>
      </c>
      <c r="D183">
        <v>91</v>
      </c>
      <c r="E183" t="s">
        <v>159</v>
      </c>
      <c r="F183" t="s">
        <v>116</v>
      </c>
      <c r="G183">
        <f t="shared" si="2"/>
        <v>1</v>
      </c>
      <c r="H183">
        <v>10</v>
      </c>
      <c r="I183">
        <v>3</v>
      </c>
      <c r="J183">
        <v>0</v>
      </c>
      <c r="K183" s="6" t="s">
        <v>60</v>
      </c>
      <c r="L183" s="6" t="s">
        <v>75</v>
      </c>
      <c r="M183">
        <v>164</v>
      </c>
      <c r="N183" s="1">
        <v>0.46300000000000002</v>
      </c>
      <c r="O183">
        <v>51</v>
      </c>
      <c r="P183" s="1">
        <v>0.47199999999999998</v>
      </c>
      <c r="Q183" s="1">
        <v>0.69099999999999995</v>
      </c>
      <c r="R183">
        <v>435</v>
      </c>
      <c r="S183">
        <v>47</v>
      </c>
      <c r="T183">
        <v>137</v>
      </c>
      <c r="U183">
        <v>85</v>
      </c>
      <c r="V183">
        <v>22</v>
      </c>
      <c r="W183">
        <v>32</v>
      </c>
      <c r="X183">
        <v>65</v>
      </c>
      <c r="Y183" s="5">
        <v>1.3076923076923077</v>
      </c>
    </row>
    <row r="184" spans="1:25" x14ac:dyDescent="0.25">
      <c r="A184">
        <v>2018</v>
      </c>
      <c r="B184" t="s">
        <v>57</v>
      </c>
      <c r="C184">
        <v>10</v>
      </c>
      <c r="D184">
        <v>92</v>
      </c>
      <c r="E184" t="s">
        <v>19</v>
      </c>
      <c r="F184" t="s">
        <v>56</v>
      </c>
      <c r="G184">
        <f t="shared" si="2"/>
        <v>1</v>
      </c>
      <c r="H184">
        <v>10</v>
      </c>
      <c r="I184">
        <v>3</v>
      </c>
      <c r="J184">
        <v>0</v>
      </c>
      <c r="K184" s="6" t="s">
        <v>59</v>
      </c>
      <c r="L184" s="6" t="s">
        <v>74</v>
      </c>
      <c r="M184">
        <v>172</v>
      </c>
      <c r="N184" s="1">
        <v>0.46600000000000003</v>
      </c>
      <c r="O184">
        <v>43</v>
      </c>
      <c r="P184" s="1">
        <v>0.33600000000000002</v>
      </c>
      <c r="Q184" s="1">
        <v>0.84399999999999997</v>
      </c>
      <c r="R184">
        <v>463</v>
      </c>
      <c r="S184">
        <v>34</v>
      </c>
      <c r="T184">
        <v>172</v>
      </c>
      <c r="U184">
        <v>110</v>
      </c>
      <c r="V184">
        <v>30</v>
      </c>
      <c r="W184">
        <v>9</v>
      </c>
      <c r="X184">
        <v>56</v>
      </c>
      <c r="Y184" s="5">
        <v>1.9642857142857142</v>
      </c>
    </row>
    <row r="185" spans="1:25" x14ac:dyDescent="0.25">
      <c r="A185">
        <v>2018</v>
      </c>
      <c r="B185" t="s">
        <v>57</v>
      </c>
      <c r="C185">
        <v>10</v>
      </c>
      <c r="D185">
        <v>92</v>
      </c>
      <c r="E185" t="s">
        <v>18</v>
      </c>
      <c r="F185" t="s">
        <v>52</v>
      </c>
      <c r="G185">
        <f t="shared" si="2"/>
        <v>0</v>
      </c>
      <c r="H185">
        <v>3</v>
      </c>
      <c r="I185">
        <v>10</v>
      </c>
      <c r="J185">
        <v>0</v>
      </c>
      <c r="K185" s="6" t="s">
        <v>67</v>
      </c>
      <c r="L185" s="6" t="s">
        <v>82</v>
      </c>
      <c r="M185">
        <v>133</v>
      </c>
      <c r="N185" s="1">
        <v>0.45100000000000001</v>
      </c>
      <c r="O185">
        <v>35</v>
      </c>
      <c r="P185" s="1">
        <v>0.33300000000000002</v>
      </c>
      <c r="Q185" s="1">
        <v>0.85199999999999998</v>
      </c>
      <c r="R185">
        <v>353</v>
      </c>
      <c r="S185">
        <v>32</v>
      </c>
      <c r="T185">
        <v>116</v>
      </c>
      <c r="U185">
        <v>96</v>
      </c>
      <c r="V185">
        <v>21</v>
      </c>
      <c r="W185">
        <v>15</v>
      </c>
      <c r="X185">
        <v>51</v>
      </c>
      <c r="Y185" s="5">
        <v>1.8823529411764706</v>
      </c>
    </row>
    <row r="186" spans="1:25" x14ac:dyDescent="0.25">
      <c r="A186">
        <v>2018</v>
      </c>
      <c r="B186" t="s">
        <v>57</v>
      </c>
      <c r="C186">
        <v>10</v>
      </c>
      <c r="D186">
        <v>93</v>
      </c>
      <c r="E186" t="s">
        <v>15</v>
      </c>
      <c r="F186" t="s">
        <v>48</v>
      </c>
      <c r="G186">
        <f t="shared" si="2"/>
        <v>1</v>
      </c>
      <c r="H186">
        <v>7</v>
      </c>
      <c r="I186">
        <v>6</v>
      </c>
      <c r="J186">
        <v>0</v>
      </c>
      <c r="K186" s="6" t="s">
        <v>68</v>
      </c>
      <c r="L186" s="6" t="s">
        <v>84</v>
      </c>
      <c r="M186">
        <v>230</v>
      </c>
      <c r="N186" s="1">
        <v>0.47399999999999998</v>
      </c>
      <c r="O186">
        <v>54</v>
      </c>
      <c r="P186" s="1">
        <v>0.36499999999999999</v>
      </c>
      <c r="Q186" s="1">
        <v>0.81299999999999994</v>
      </c>
      <c r="R186">
        <v>640</v>
      </c>
      <c r="S186">
        <v>39</v>
      </c>
      <c r="T186">
        <v>160</v>
      </c>
      <c r="U186">
        <v>119</v>
      </c>
      <c r="V186">
        <v>28</v>
      </c>
      <c r="W186">
        <v>18</v>
      </c>
      <c r="X186">
        <v>69</v>
      </c>
      <c r="Y186" s="5">
        <v>1.7246376811594204</v>
      </c>
    </row>
    <row r="187" spans="1:25" x14ac:dyDescent="0.25">
      <c r="A187">
        <v>2018</v>
      </c>
      <c r="B187" t="s">
        <v>57</v>
      </c>
      <c r="C187">
        <v>10</v>
      </c>
      <c r="D187">
        <v>93</v>
      </c>
      <c r="E187" t="s">
        <v>25</v>
      </c>
      <c r="F187" t="s">
        <v>53</v>
      </c>
      <c r="G187">
        <f t="shared" si="2"/>
        <v>0</v>
      </c>
      <c r="H187">
        <v>6</v>
      </c>
      <c r="I187">
        <v>7</v>
      </c>
      <c r="J187">
        <v>0</v>
      </c>
      <c r="K187" s="6" t="s">
        <v>61</v>
      </c>
      <c r="L187" s="6" t="s">
        <v>77</v>
      </c>
      <c r="M187">
        <v>217</v>
      </c>
      <c r="N187" s="1">
        <v>0.53300000000000003</v>
      </c>
      <c r="O187">
        <v>57</v>
      </c>
      <c r="P187" s="1">
        <v>0.47499999999999998</v>
      </c>
      <c r="Q187" s="1">
        <v>0.82699999999999996</v>
      </c>
      <c r="R187">
        <v>558</v>
      </c>
      <c r="S187">
        <v>31</v>
      </c>
      <c r="T187">
        <v>134</v>
      </c>
      <c r="U187">
        <v>118</v>
      </c>
      <c r="V187">
        <v>27</v>
      </c>
      <c r="W187">
        <v>15</v>
      </c>
      <c r="X187">
        <v>54</v>
      </c>
      <c r="Y187" s="5">
        <v>2.1851851851851851</v>
      </c>
    </row>
    <row r="188" spans="1:25" x14ac:dyDescent="0.25">
      <c r="A188">
        <v>2018</v>
      </c>
      <c r="B188" t="s">
        <v>57</v>
      </c>
      <c r="C188">
        <v>10</v>
      </c>
      <c r="D188">
        <v>94</v>
      </c>
      <c r="E188" t="s">
        <v>24</v>
      </c>
      <c r="F188" t="s">
        <v>55</v>
      </c>
      <c r="G188">
        <f t="shared" si="2"/>
        <v>1</v>
      </c>
      <c r="H188">
        <v>9</v>
      </c>
      <c r="I188">
        <v>4</v>
      </c>
      <c r="J188">
        <v>0</v>
      </c>
      <c r="K188" s="6" t="s">
        <v>63</v>
      </c>
      <c r="L188" s="6" t="s">
        <v>79</v>
      </c>
      <c r="M188">
        <v>147</v>
      </c>
      <c r="N188" s="1">
        <v>0.43099999999999999</v>
      </c>
      <c r="O188">
        <v>44</v>
      </c>
      <c r="P188" s="1">
        <v>0.32400000000000001</v>
      </c>
      <c r="Q188" s="1">
        <v>0.8</v>
      </c>
      <c r="R188">
        <v>426</v>
      </c>
      <c r="S188">
        <v>29</v>
      </c>
      <c r="T188">
        <v>151</v>
      </c>
      <c r="U188">
        <v>115</v>
      </c>
      <c r="V188">
        <v>50</v>
      </c>
      <c r="W188">
        <v>26</v>
      </c>
      <c r="X188">
        <v>56</v>
      </c>
      <c r="Y188" s="5">
        <v>2.0535714285714284</v>
      </c>
    </row>
    <row r="189" spans="1:25" x14ac:dyDescent="0.25">
      <c r="A189">
        <v>2018</v>
      </c>
      <c r="B189" t="s">
        <v>57</v>
      </c>
      <c r="C189">
        <v>10</v>
      </c>
      <c r="D189">
        <v>94</v>
      </c>
      <c r="E189" t="s">
        <v>17</v>
      </c>
      <c r="F189" t="s">
        <v>43</v>
      </c>
      <c r="G189">
        <f t="shared" si="2"/>
        <v>0</v>
      </c>
      <c r="H189">
        <v>4</v>
      </c>
      <c r="I189">
        <v>9</v>
      </c>
      <c r="J189">
        <v>0</v>
      </c>
      <c r="K189" s="6" t="s">
        <v>69</v>
      </c>
      <c r="L189" s="6" t="s">
        <v>86</v>
      </c>
      <c r="M189">
        <v>155</v>
      </c>
      <c r="N189" s="1">
        <v>0.47</v>
      </c>
      <c r="O189">
        <v>41</v>
      </c>
      <c r="P189" s="1">
        <v>0.38700000000000001</v>
      </c>
      <c r="Q189" s="1">
        <v>0.76900000000000002</v>
      </c>
      <c r="R189">
        <v>411</v>
      </c>
      <c r="S189">
        <v>32</v>
      </c>
      <c r="T189">
        <v>115</v>
      </c>
      <c r="U189">
        <v>112</v>
      </c>
      <c r="V189">
        <v>39</v>
      </c>
      <c r="W189">
        <v>22</v>
      </c>
      <c r="X189">
        <v>61</v>
      </c>
      <c r="Y189" s="5">
        <v>1.8360655737704918</v>
      </c>
    </row>
    <row r="190" spans="1:25" x14ac:dyDescent="0.25">
      <c r="A190">
        <v>2018</v>
      </c>
      <c r="B190" t="s">
        <v>57</v>
      </c>
      <c r="C190">
        <v>10</v>
      </c>
      <c r="D190">
        <v>95</v>
      </c>
      <c r="E190" t="s">
        <v>23</v>
      </c>
      <c r="F190" t="s">
        <v>120</v>
      </c>
      <c r="G190">
        <f t="shared" si="2"/>
        <v>1</v>
      </c>
      <c r="H190">
        <v>11</v>
      </c>
      <c r="I190">
        <v>2</v>
      </c>
      <c r="J190">
        <v>0</v>
      </c>
      <c r="K190" s="6" t="s">
        <v>64</v>
      </c>
      <c r="L190" s="6" t="s">
        <v>80</v>
      </c>
      <c r="M190">
        <v>175</v>
      </c>
      <c r="N190" s="1">
        <v>0.47799999999999998</v>
      </c>
      <c r="O190">
        <v>56</v>
      </c>
      <c r="P190" s="1">
        <v>0.41799999999999998</v>
      </c>
      <c r="Q190" s="1">
        <v>0.80600000000000005</v>
      </c>
      <c r="R190">
        <v>481</v>
      </c>
      <c r="S190">
        <v>45</v>
      </c>
      <c r="T190">
        <v>109</v>
      </c>
      <c r="U190">
        <v>94</v>
      </c>
      <c r="V190">
        <v>38</v>
      </c>
      <c r="W190">
        <v>19</v>
      </c>
      <c r="X190">
        <v>58</v>
      </c>
      <c r="Y190" s="5">
        <v>1.6206896551724137</v>
      </c>
    </row>
    <row r="191" spans="1:25" x14ac:dyDescent="0.25">
      <c r="A191">
        <v>2018</v>
      </c>
      <c r="B191" t="s">
        <v>57</v>
      </c>
      <c r="C191">
        <v>10</v>
      </c>
      <c r="D191">
        <v>95</v>
      </c>
      <c r="E191" t="s">
        <v>28</v>
      </c>
      <c r="F191" t="s">
        <v>46</v>
      </c>
      <c r="G191">
        <f t="shared" si="2"/>
        <v>0</v>
      </c>
      <c r="H191">
        <v>2</v>
      </c>
      <c r="I191">
        <v>11</v>
      </c>
      <c r="J191">
        <v>0</v>
      </c>
      <c r="K191" s="6" t="s">
        <v>71</v>
      </c>
      <c r="L191" s="6" t="s">
        <v>121</v>
      </c>
      <c r="M191">
        <v>121</v>
      </c>
      <c r="N191" s="1">
        <v>0.496</v>
      </c>
      <c r="O191">
        <v>12</v>
      </c>
      <c r="P191" s="1">
        <v>0.214</v>
      </c>
      <c r="Q191" s="1">
        <v>0.65600000000000003</v>
      </c>
      <c r="R191">
        <v>294</v>
      </c>
      <c r="S191">
        <v>31</v>
      </c>
      <c r="T191">
        <v>92</v>
      </c>
      <c r="U191">
        <v>66</v>
      </c>
      <c r="V191">
        <v>23</v>
      </c>
      <c r="W191">
        <v>13</v>
      </c>
      <c r="X191">
        <v>44</v>
      </c>
      <c r="Y191" s="5">
        <v>1.5</v>
      </c>
    </row>
    <row r="192" spans="1:25" x14ac:dyDescent="0.25">
      <c r="A192">
        <v>2018</v>
      </c>
      <c r="B192" t="s">
        <v>57</v>
      </c>
      <c r="C192">
        <v>10</v>
      </c>
      <c r="D192">
        <v>96</v>
      </c>
      <c r="E192" t="s">
        <v>22</v>
      </c>
      <c r="F192" t="s">
        <v>44</v>
      </c>
      <c r="G192">
        <f t="shared" si="2"/>
        <v>1</v>
      </c>
      <c r="H192">
        <v>10</v>
      </c>
      <c r="I192">
        <v>3</v>
      </c>
      <c r="J192">
        <v>0</v>
      </c>
      <c r="K192" s="6" t="s">
        <v>111</v>
      </c>
      <c r="L192" s="6" t="s">
        <v>89</v>
      </c>
      <c r="M192">
        <v>147</v>
      </c>
      <c r="N192" s="1">
        <v>0.45200000000000001</v>
      </c>
      <c r="O192">
        <v>31</v>
      </c>
      <c r="P192" s="1">
        <v>0.34799999999999998</v>
      </c>
      <c r="Q192" s="1">
        <v>0.79100000000000004</v>
      </c>
      <c r="R192">
        <v>393</v>
      </c>
      <c r="S192">
        <v>42</v>
      </c>
      <c r="T192">
        <v>120</v>
      </c>
      <c r="U192">
        <v>81</v>
      </c>
      <c r="V192">
        <v>26</v>
      </c>
      <c r="W192">
        <v>19</v>
      </c>
      <c r="X192">
        <v>38</v>
      </c>
      <c r="Y192" s="5">
        <v>2.1315789473684212</v>
      </c>
    </row>
    <row r="193" spans="1:25" x14ac:dyDescent="0.25">
      <c r="A193">
        <v>2018</v>
      </c>
      <c r="B193" t="s">
        <v>57</v>
      </c>
      <c r="C193">
        <v>10</v>
      </c>
      <c r="D193">
        <v>96</v>
      </c>
      <c r="E193" t="s">
        <v>97</v>
      </c>
      <c r="F193" t="s">
        <v>54</v>
      </c>
      <c r="G193">
        <f t="shared" si="2"/>
        <v>0</v>
      </c>
      <c r="H193">
        <v>3</v>
      </c>
      <c r="I193">
        <v>10</v>
      </c>
      <c r="J193">
        <v>0</v>
      </c>
      <c r="K193" s="6" t="s">
        <v>66</v>
      </c>
      <c r="L193" s="6" t="s">
        <v>81</v>
      </c>
      <c r="M193">
        <v>81</v>
      </c>
      <c r="N193" s="1">
        <v>0.46800000000000003</v>
      </c>
      <c r="O193">
        <v>25</v>
      </c>
      <c r="P193" s="1">
        <v>0.439</v>
      </c>
      <c r="Q193" s="1">
        <v>0.745</v>
      </c>
      <c r="R193">
        <v>222</v>
      </c>
      <c r="S193">
        <v>20</v>
      </c>
      <c r="T193">
        <v>75</v>
      </c>
      <c r="U193">
        <v>40</v>
      </c>
      <c r="V193">
        <v>19</v>
      </c>
      <c r="W193">
        <v>11</v>
      </c>
      <c r="X193">
        <v>32</v>
      </c>
      <c r="Y193" s="5">
        <v>1.25</v>
      </c>
    </row>
    <row r="194" spans="1:25" x14ac:dyDescent="0.25">
      <c r="A194">
        <v>2018</v>
      </c>
      <c r="B194" t="s">
        <v>57</v>
      </c>
      <c r="C194">
        <v>10</v>
      </c>
      <c r="D194">
        <v>97</v>
      </c>
      <c r="E194" t="s">
        <v>98</v>
      </c>
      <c r="F194" t="s">
        <v>41</v>
      </c>
      <c r="G194">
        <f t="shared" ref="G194:G257" si="3">IF(H194+0.5*J194&gt;6.5,1,0)</f>
        <v>0</v>
      </c>
      <c r="H194">
        <v>4</v>
      </c>
      <c r="I194">
        <v>9</v>
      </c>
      <c r="J194">
        <v>0</v>
      </c>
      <c r="K194" s="6" t="s">
        <v>65</v>
      </c>
      <c r="L194" s="6" t="s">
        <v>119</v>
      </c>
      <c r="M194">
        <v>144</v>
      </c>
      <c r="N194" s="1">
        <v>0.45900000000000002</v>
      </c>
      <c r="O194">
        <v>26</v>
      </c>
      <c r="P194" s="1">
        <v>0.32100000000000001</v>
      </c>
      <c r="Q194" s="1">
        <v>0.81899999999999995</v>
      </c>
      <c r="R194">
        <v>382</v>
      </c>
      <c r="S194">
        <v>38</v>
      </c>
      <c r="T194">
        <v>116</v>
      </c>
      <c r="U194">
        <v>65</v>
      </c>
      <c r="V194">
        <v>23</v>
      </c>
      <c r="W194">
        <v>17</v>
      </c>
      <c r="X194">
        <v>43</v>
      </c>
      <c r="Y194" s="5">
        <v>1.5116279069767442</v>
      </c>
    </row>
    <row r="195" spans="1:25" x14ac:dyDescent="0.25">
      <c r="A195">
        <v>2018</v>
      </c>
      <c r="B195" t="s">
        <v>57</v>
      </c>
      <c r="C195">
        <v>10</v>
      </c>
      <c r="D195">
        <v>97</v>
      </c>
      <c r="E195" t="s">
        <v>26</v>
      </c>
      <c r="F195" t="s">
        <v>118</v>
      </c>
      <c r="G195">
        <f t="shared" si="3"/>
        <v>1</v>
      </c>
      <c r="H195">
        <v>9</v>
      </c>
      <c r="I195">
        <v>4</v>
      </c>
      <c r="J195">
        <v>0</v>
      </c>
      <c r="K195" s="6" t="s">
        <v>112</v>
      </c>
      <c r="L195" s="6" t="s">
        <v>88</v>
      </c>
      <c r="M195">
        <v>153</v>
      </c>
      <c r="N195" s="1">
        <v>0.47399999999999998</v>
      </c>
      <c r="O195">
        <v>48</v>
      </c>
      <c r="P195" s="1">
        <v>0.38100000000000001</v>
      </c>
      <c r="Q195" s="1">
        <v>0.745</v>
      </c>
      <c r="R195">
        <v>427</v>
      </c>
      <c r="S195">
        <v>42</v>
      </c>
      <c r="T195">
        <v>140</v>
      </c>
      <c r="U195">
        <v>72</v>
      </c>
      <c r="V195">
        <v>21</v>
      </c>
      <c r="W195">
        <v>25</v>
      </c>
      <c r="X195">
        <v>49</v>
      </c>
      <c r="Y195" s="5">
        <v>1.4693877551020409</v>
      </c>
    </row>
    <row r="196" spans="1:25" x14ac:dyDescent="0.25">
      <c r="A196">
        <v>2018</v>
      </c>
      <c r="B196" t="s">
        <v>57</v>
      </c>
      <c r="C196">
        <v>10</v>
      </c>
      <c r="D196">
        <v>98</v>
      </c>
      <c r="E196" t="s">
        <v>190</v>
      </c>
      <c r="F196" t="s">
        <v>103</v>
      </c>
      <c r="G196">
        <f t="shared" si="3"/>
        <v>0</v>
      </c>
      <c r="H196">
        <v>5</v>
      </c>
      <c r="I196">
        <v>8</v>
      </c>
      <c r="J196">
        <v>0</v>
      </c>
      <c r="K196" s="6" t="s">
        <v>70</v>
      </c>
      <c r="L196" s="6" t="s">
        <v>87</v>
      </c>
      <c r="M196">
        <v>138</v>
      </c>
      <c r="N196" s="1">
        <v>0.46500000000000002</v>
      </c>
      <c r="O196">
        <v>40</v>
      </c>
      <c r="P196" s="1">
        <v>0.34499999999999997</v>
      </c>
      <c r="Q196" s="1">
        <v>0.81899999999999995</v>
      </c>
      <c r="R196">
        <v>375</v>
      </c>
      <c r="S196">
        <v>36</v>
      </c>
      <c r="T196">
        <v>90</v>
      </c>
      <c r="U196">
        <v>93</v>
      </c>
      <c r="V196">
        <v>28</v>
      </c>
      <c r="W196">
        <v>15</v>
      </c>
      <c r="X196">
        <v>52</v>
      </c>
      <c r="Y196" s="5">
        <v>1.7884615384615385</v>
      </c>
    </row>
    <row r="197" spans="1:25" x14ac:dyDescent="0.25">
      <c r="A197">
        <v>2018</v>
      </c>
      <c r="B197" t="s">
        <v>57</v>
      </c>
      <c r="C197">
        <v>10</v>
      </c>
      <c r="D197">
        <v>98</v>
      </c>
      <c r="E197" t="s">
        <v>21</v>
      </c>
      <c r="F197" t="s">
        <v>50</v>
      </c>
      <c r="G197">
        <f t="shared" si="3"/>
        <v>1</v>
      </c>
      <c r="H197">
        <v>8</v>
      </c>
      <c r="I197">
        <v>5</v>
      </c>
      <c r="J197">
        <v>0</v>
      </c>
      <c r="K197" s="6" t="s">
        <v>191</v>
      </c>
      <c r="L197" s="6" t="s">
        <v>113</v>
      </c>
      <c r="M197">
        <v>142</v>
      </c>
      <c r="N197" s="1">
        <v>0.48299999999999998</v>
      </c>
      <c r="O197">
        <v>25</v>
      </c>
      <c r="P197" s="1">
        <v>0.36199999999999999</v>
      </c>
      <c r="Q197" s="1">
        <v>0.68600000000000005</v>
      </c>
      <c r="R197">
        <v>379</v>
      </c>
      <c r="S197">
        <v>53</v>
      </c>
      <c r="T197">
        <v>133</v>
      </c>
      <c r="U197">
        <v>101</v>
      </c>
      <c r="V197">
        <v>26</v>
      </c>
      <c r="W197">
        <v>31</v>
      </c>
      <c r="X197">
        <v>58</v>
      </c>
      <c r="Y197" s="5">
        <v>1.7413793103448276</v>
      </c>
    </row>
    <row r="198" spans="1:25" x14ac:dyDescent="0.25">
      <c r="A198">
        <v>2018</v>
      </c>
      <c r="B198" t="s">
        <v>57</v>
      </c>
      <c r="C198">
        <v>10</v>
      </c>
      <c r="D198">
        <v>99</v>
      </c>
      <c r="E198" t="s">
        <v>20</v>
      </c>
      <c r="F198" t="s">
        <v>47</v>
      </c>
      <c r="G198">
        <f t="shared" si="3"/>
        <v>1</v>
      </c>
      <c r="H198">
        <v>8</v>
      </c>
      <c r="I198">
        <v>5</v>
      </c>
      <c r="J198">
        <v>0</v>
      </c>
      <c r="K198" s="6" t="s">
        <v>72</v>
      </c>
      <c r="L198" s="6" t="s">
        <v>85</v>
      </c>
      <c r="M198">
        <v>182</v>
      </c>
      <c r="N198" s="1">
        <v>0.48399999999999999</v>
      </c>
      <c r="O198">
        <v>22</v>
      </c>
      <c r="P198" s="1">
        <v>0.36699999999999999</v>
      </c>
      <c r="Q198" s="1">
        <v>0.81</v>
      </c>
      <c r="R198">
        <v>454</v>
      </c>
      <c r="S198">
        <v>45</v>
      </c>
      <c r="T198">
        <v>149</v>
      </c>
      <c r="U198">
        <v>110</v>
      </c>
      <c r="V198">
        <v>26</v>
      </c>
      <c r="W198">
        <v>14</v>
      </c>
      <c r="X198">
        <v>58</v>
      </c>
      <c r="Y198" s="5">
        <v>1.896551724137931</v>
      </c>
    </row>
    <row r="199" spans="1:25" x14ac:dyDescent="0.25">
      <c r="A199">
        <v>2018</v>
      </c>
      <c r="B199" t="s">
        <v>57</v>
      </c>
      <c r="C199">
        <v>10</v>
      </c>
      <c r="D199">
        <v>99</v>
      </c>
      <c r="E199" t="s">
        <v>33</v>
      </c>
      <c r="F199" t="s">
        <v>42</v>
      </c>
      <c r="G199">
        <f t="shared" si="3"/>
        <v>0</v>
      </c>
      <c r="H199">
        <v>5</v>
      </c>
      <c r="I199">
        <v>8</v>
      </c>
      <c r="J199">
        <v>0</v>
      </c>
      <c r="K199" s="6" t="s">
        <v>62</v>
      </c>
      <c r="L199" s="6" t="s">
        <v>78</v>
      </c>
      <c r="M199">
        <v>135</v>
      </c>
      <c r="N199" s="1">
        <v>0.42599999999999999</v>
      </c>
      <c r="O199">
        <v>45</v>
      </c>
      <c r="P199" s="1">
        <v>0.375</v>
      </c>
      <c r="Q199" s="1">
        <v>0.81799999999999995</v>
      </c>
      <c r="R199">
        <v>351</v>
      </c>
      <c r="S199">
        <v>22</v>
      </c>
      <c r="T199">
        <v>95</v>
      </c>
      <c r="U199">
        <v>75</v>
      </c>
      <c r="V199">
        <v>25</v>
      </c>
      <c r="W199">
        <v>11</v>
      </c>
      <c r="X199">
        <v>39</v>
      </c>
      <c r="Y199" s="5">
        <v>1.9230769230769231</v>
      </c>
    </row>
    <row r="200" spans="1:25" x14ac:dyDescent="0.25">
      <c r="A200">
        <v>2018</v>
      </c>
      <c r="B200" t="s">
        <v>57</v>
      </c>
      <c r="C200">
        <v>10</v>
      </c>
      <c r="D200">
        <v>100</v>
      </c>
      <c r="E200" t="s">
        <v>94</v>
      </c>
      <c r="F200" t="s">
        <v>40</v>
      </c>
      <c r="G200">
        <f t="shared" si="3"/>
        <v>0</v>
      </c>
      <c r="H200">
        <v>4</v>
      </c>
      <c r="I200">
        <v>9</v>
      </c>
      <c r="J200">
        <v>0</v>
      </c>
      <c r="K200" s="6" t="s">
        <v>182</v>
      </c>
      <c r="L200" s="6" t="s">
        <v>76</v>
      </c>
      <c r="M200">
        <v>160</v>
      </c>
      <c r="N200" s="1">
        <v>0.48</v>
      </c>
      <c r="O200">
        <v>33</v>
      </c>
      <c r="P200" s="1">
        <v>0.375</v>
      </c>
      <c r="Q200" s="1">
        <v>0.76</v>
      </c>
      <c r="R200">
        <v>451</v>
      </c>
      <c r="S200">
        <v>49</v>
      </c>
      <c r="T200">
        <v>169</v>
      </c>
      <c r="U200">
        <v>70</v>
      </c>
      <c r="V200">
        <v>29</v>
      </c>
      <c r="W200">
        <v>13</v>
      </c>
      <c r="X200">
        <v>53</v>
      </c>
      <c r="Y200" s="5">
        <v>1.320754716981132</v>
      </c>
    </row>
    <row r="201" spans="1:25" x14ac:dyDescent="0.25">
      <c r="A201">
        <v>2018</v>
      </c>
      <c r="B201" t="s">
        <v>57</v>
      </c>
      <c r="C201">
        <v>10</v>
      </c>
      <c r="D201">
        <v>100</v>
      </c>
      <c r="E201" t="s">
        <v>181</v>
      </c>
      <c r="F201" t="s">
        <v>49</v>
      </c>
      <c r="G201">
        <f t="shared" si="3"/>
        <v>1</v>
      </c>
      <c r="H201">
        <v>9</v>
      </c>
      <c r="I201">
        <v>4</v>
      </c>
      <c r="J201">
        <v>0</v>
      </c>
      <c r="K201" s="6" t="s">
        <v>106</v>
      </c>
      <c r="L201" s="6" t="s">
        <v>83</v>
      </c>
      <c r="M201">
        <v>198</v>
      </c>
      <c r="N201" s="1">
        <v>0.47799999999999998</v>
      </c>
      <c r="O201">
        <v>71</v>
      </c>
      <c r="P201" s="1">
        <v>0.433</v>
      </c>
      <c r="Q201" s="1">
        <v>0.85199999999999998</v>
      </c>
      <c r="R201">
        <v>536</v>
      </c>
      <c r="S201">
        <v>29</v>
      </c>
      <c r="T201">
        <v>125</v>
      </c>
      <c r="U201">
        <v>84</v>
      </c>
      <c r="V201">
        <v>28</v>
      </c>
      <c r="W201">
        <v>14</v>
      </c>
      <c r="X201">
        <v>43</v>
      </c>
      <c r="Y201" s="5">
        <v>1.9534883720930232</v>
      </c>
    </row>
    <row r="202" spans="1:25" x14ac:dyDescent="0.25">
      <c r="A202">
        <v>2018</v>
      </c>
      <c r="B202" t="s">
        <v>57</v>
      </c>
      <c r="C202">
        <v>11</v>
      </c>
      <c r="D202">
        <v>101</v>
      </c>
      <c r="E202" t="s">
        <v>94</v>
      </c>
      <c r="F202" t="s">
        <v>40</v>
      </c>
      <c r="G202">
        <f t="shared" si="3"/>
        <v>1</v>
      </c>
      <c r="H202">
        <v>10</v>
      </c>
      <c r="I202">
        <v>2</v>
      </c>
      <c r="J202">
        <v>1</v>
      </c>
      <c r="K202" s="6" t="s">
        <v>60</v>
      </c>
      <c r="L202" s="6" t="s">
        <v>75</v>
      </c>
      <c r="M202">
        <v>180</v>
      </c>
      <c r="N202" s="1">
        <v>0.499</v>
      </c>
      <c r="O202">
        <v>43</v>
      </c>
      <c r="P202" s="1">
        <v>0.41299999999999998</v>
      </c>
      <c r="Q202" s="1">
        <v>0.80200000000000005</v>
      </c>
      <c r="R202">
        <v>500</v>
      </c>
      <c r="S202">
        <v>45</v>
      </c>
      <c r="T202">
        <v>151</v>
      </c>
      <c r="U202">
        <v>105</v>
      </c>
      <c r="V202">
        <v>34</v>
      </c>
      <c r="W202">
        <v>22</v>
      </c>
      <c r="X202">
        <v>57</v>
      </c>
      <c r="Y202" s="5">
        <v>1.8421052631578947</v>
      </c>
    </row>
    <row r="203" spans="1:25" x14ac:dyDescent="0.25">
      <c r="A203">
        <v>2018</v>
      </c>
      <c r="B203" t="s">
        <v>57</v>
      </c>
      <c r="C203">
        <v>11</v>
      </c>
      <c r="D203">
        <v>101</v>
      </c>
      <c r="E203" t="s">
        <v>16</v>
      </c>
      <c r="F203" t="s">
        <v>51</v>
      </c>
      <c r="G203">
        <f t="shared" si="3"/>
        <v>0</v>
      </c>
      <c r="H203">
        <v>2</v>
      </c>
      <c r="I203">
        <v>10</v>
      </c>
      <c r="J203">
        <v>1</v>
      </c>
      <c r="K203" s="6" t="s">
        <v>106</v>
      </c>
      <c r="L203" s="6" t="s">
        <v>83</v>
      </c>
      <c r="M203">
        <v>151</v>
      </c>
      <c r="N203" s="1">
        <v>0.497</v>
      </c>
      <c r="O203">
        <v>42</v>
      </c>
      <c r="P203" s="1">
        <v>0.42</v>
      </c>
      <c r="Q203" s="1">
        <v>0.74399999999999999</v>
      </c>
      <c r="R203">
        <v>411</v>
      </c>
      <c r="S203">
        <v>27</v>
      </c>
      <c r="T203">
        <v>167</v>
      </c>
      <c r="U203">
        <v>79</v>
      </c>
      <c r="V203">
        <v>21</v>
      </c>
      <c r="W203">
        <v>22</v>
      </c>
      <c r="X203">
        <v>62</v>
      </c>
      <c r="Y203" s="5">
        <v>1.2741935483870968</v>
      </c>
    </row>
    <row r="204" spans="1:25" x14ac:dyDescent="0.25">
      <c r="A204">
        <v>2018</v>
      </c>
      <c r="B204" t="s">
        <v>57</v>
      </c>
      <c r="C204">
        <v>11</v>
      </c>
      <c r="D204">
        <v>102</v>
      </c>
      <c r="E204" t="s">
        <v>18</v>
      </c>
      <c r="F204" t="s">
        <v>52</v>
      </c>
      <c r="G204">
        <f t="shared" si="3"/>
        <v>1</v>
      </c>
      <c r="H204">
        <v>8</v>
      </c>
      <c r="I204">
        <v>5</v>
      </c>
      <c r="J204">
        <v>0</v>
      </c>
      <c r="K204" s="6" t="s">
        <v>193</v>
      </c>
      <c r="L204" s="6" t="s">
        <v>117</v>
      </c>
      <c r="M204">
        <v>161</v>
      </c>
      <c r="N204" s="1">
        <v>0.47399999999999998</v>
      </c>
      <c r="O204">
        <v>31</v>
      </c>
      <c r="P204" s="1">
        <v>0.32600000000000001</v>
      </c>
      <c r="Q204" s="1">
        <v>0.81799999999999995</v>
      </c>
      <c r="R204">
        <v>416</v>
      </c>
      <c r="S204">
        <v>28</v>
      </c>
      <c r="T204">
        <v>116</v>
      </c>
      <c r="U204">
        <v>112</v>
      </c>
      <c r="V204">
        <v>32</v>
      </c>
      <c r="W204">
        <v>23</v>
      </c>
      <c r="X204">
        <v>52</v>
      </c>
      <c r="Y204" s="5">
        <v>2.1538461538461537</v>
      </c>
    </row>
    <row r="205" spans="1:25" x14ac:dyDescent="0.25">
      <c r="A205">
        <v>2018</v>
      </c>
      <c r="B205" t="s">
        <v>57</v>
      </c>
      <c r="C205">
        <v>11</v>
      </c>
      <c r="D205">
        <v>102</v>
      </c>
      <c r="E205" t="s">
        <v>159</v>
      </c>
      <c r="F205" t="s">
        <v>116</v>
      </c>
      <c r="G205">
        <f t="shared" si="3"/>
        <v>0</v>
      </c>
      <c r="H205">
        <v>5</v>
      </c>
      <c r="I205">
        <v>8</v>
      </c>
      <c r="J205">
        <v>0</v>
      </c>
      <c r="K205" s="6" t="s">
        <v>59</v>
      </c>
      <c r="L205" s="6" t="s">
        <v>74</v>
      </c>
      <c r="M205">
        <v>141</v>
      </c>
      <c r="N205" s="1">
        <v>0.40100000000000002</v>
      </c>
      <c r="O205">
        <v>35</v>
      </c>
      <c r="P205" s="1">
        <v>0.34</v>
      </c>
      <c r="Q205" s="1">
        <v>0.72599999999999998</v>
      </c>
      <c r="R205">
        <v>386</v>
      </c>
      <c r="S205">
        <v>45</v>
      </c>
      <c r="T205">
        <v>104</v>
      </c>
      <c r="U205">
        <v>82</v>
      </c>
      <c r="V205">
        <v>31</v>
      </c>
      <c r="W205">
        <v>30</v>
      </c>
      <c r="X205">
        <v>40</v>
      </c>
      <c r="Y205" s="5">
        <v>2.0499999999999998</v>
      </c>
    </row>
    <row r="206" spans="1:25" x14ac:dyDescent="0.25">
      <c r="A206">
        <v>2018</v>
      </c>
      <c r="B206" t="s">
        <v>57</v>
      </c>
      <c r="C206">
        <v>11</v>
      </c>
      <c r="D206">
        <v>103</v>
      </c>
      <c r="E206" t="s">
        <v>15</v>
      </c>
      <c r="F206" t="s">
        <v>48</v>
      </c>
      <c r="G206">
        <f t="shared" si="3"/>
        <v>1</v>
      </c>
      <c r="H206">
        <v>9</v>
      </c>
      <c r="I206">
        <v>4</v>
      </c>
      <c r="J206">
        <v>0</v>
      </c>
      <c r="K206" s="6" t="s">
        <v>67</v>
      </c>
      <c r="L206" s="6" t="s">
        <v>82</v>
      </c>
      <c r="M206">
        <v>188</v>
      </c>
      <c r="N206" s="1">
        <v>0.46200000000000002</v>
      </c>
      <c r="O206">
        <v>49</v>
      </c>
      <c r="P206" s="1">
        <v>0.36</v>
      </c>
      <c r="Q206" s="1">
        <v>0.78800000000000003</v>
      </c>
      <c r="R206">
        <v>529</v>
      </c>
      <c r="S206">
        <v>37</v>
      </c>
      <c r="T206">
        <v>134</v>
      </c>
      <c r="U206">
        <v>136</v>
      </c>
      <c r="V206">
        <v>29</v>
      </c>
      <c r="W206">
        <v>13</v>
      </c>
      <c r="X206">
        <v>52</v>
      </c>
      <c r="Y206" s="5">
        <v>2.6153846153846154</v>
      </c>
    </row>
    <row r="207" spans="1:25" x14ac:dyDescent="0.25">
      <c r="A207">
        <v>2018</v>
      </c>
      <c r="B207" t="s">
        <v>57</v>
      </c>
      <c r="C207">
        <v>11</v>
      </c>
      <c r="D207">
        <v>103</v>
      </c>
      <c r="E207" t="s">
        <v>19</v>
      </c>
      <c r="F207" t="s">
        <v>56</v>
      </c>
      <c r="G207">
        <f t="shared" si="3"/>
        <v>0</v>
      </c>
      <c r="H207">
        <v>4</v>
      </c>
      <c r="I207">
        <v>9</v>
      </c>
      <c r="J207">
        <v>0</v>
      </c>
      <c r="K207" s="6" t="s">
        <v>61</v>
      </c>
      <c r="L207" s="6" t="s">
        <v>77</v>
      </c>
      <c r="M207">
        <v>150</v>
      </c>
      <c r="N207" s="1">
        <v>0.45700000000000002</v>
      </c>
      <c r="O207">
        <v>37</v>
      </c>
      <c r="P207" s="1">
        <v>0.32700000000000001</v>
      </c>
      <c r="Q207" s="1">
        <v>0.81200000000000006</v>
      </c>
      <c r="R207">
        <v>406</v>
      </c>
      <c r="S207">
        <v>38</v>
      </c>
      <c r="T207">
        <v>120</v>
      </c>
      <c r="U207">
        <v>85</v>
      </c>
      <c r="V207">
        <v>18</v>
      </c>
      <c r="W207">
        <v>15</v>
      </c>
      <c r="X207">
        <v>40</v>
      </c>
      <c r="Y207" s="5">
        <v>2.125</v>
      </c>
    </row>
    <row r="208" spans="1:25" x14ac:dyDescent="0.25">
      <c r="A208">
        <v>2018</v>
      </c>
      <c r="B208" t="s">
        <v>57</v>
      </c>
      <c r="C208">
        <v>11</v>
      </c>
      <c r="D208">
        <v>104</v>
      </c>
      <c r="E208" t="s">
        <v>17</v>
      </c>
      <c r="F208" t="s">
        <v>43</v>
      </c>
      <c r="G208">
        <f t="shared" si="3"/>
        <v>0</v>
      </c>
      <c r="H208">
        <v>6</v>
      </c>
      <c r="I208">
        <v>6</v>
      </c>
      <c r="J208">
        <v>1</v>
      </c>
      <c r="K208" s="6" t="s">
        <v>68</v>
      </c>
      <c r="L208" s="6" t="s">
        <v>84</v>
      </c>
      <c r="M208">
        <v>165</v>
      </c>
      <c r="N208" s="1">
        <v>0.49099999999999999</v>
      </c>
      <c r="O208">
        <v>37</v>
      </c>
      <c r="P208" s="1">
        <v>0.33900000000000002</v>
      </c>
      <c r="Q208" s="1">
        <v>0.76800000000000002</v>
      </c>
      <c r="R208">
        <v>430</v>
      </c>
      <c r="S208">
        <v>42</v>
      </c>
      <c r="T208">
        <v>162</v>
      </c>
      <c r="U208">
        <v>134</v>
      </c>
      <c r="V208">
        <v>41</v>
      </c>
      <c r="W208">
        <v>10</v>
      </c>
      <c r="X208">
        <v>61</v>
      </c>
      <c r="Y208" s="5">
        <v>2.1967213114754101</v>
      </c>
    </row>
    <row r="209" spans="1:25" x14ac:dyDescent="0.25">
      <c r="A209">
        <v>2018</v>
      </c>
      <c r="B209" t="s">
        <v>57</v>
      </c>
      <c r="C209">
        <v>11</v>
      </c>
      <c r="D209">
        <v>104</v>
      </c>
      <c r="E209" t="s">
        <v>25</v>
      </c>
      <c r="F209" t="s">
        <v>53</v>
      </c>
      <c r="G209">
        <f t="shared" si="3"/>
        <v>0</v>
      </c>
      <c r="H209">
        <v>6</v>
      </c>
      <c r="I209">
        <v>6</v>
      </c>
      <c r="J209">
        <v>1</v>
      </c>
      <c r="K209" s="6" t="s">
        <v>63</v>
      </c>
      <c r="L209" s="6" t="s">
        <v>79</v>
      </c>
      <c r="M209">
        <v>189</v>
      </c>
      <c r="N209" s="1">
        <v>0.42899999999999999</v>
      </c>
      <c r="O209">
        <v>35</v>
      </c>
      <c r="P209" s="1">
        <v>0.307</v>
      </c>
      <c r="Q209" s="1">
        <v>0.79</v>
      </c>
      <c r="R209">
        <v>496</v>
      </c>
      <c r="S209">
        <v>42</v>
      </c>
      <c r="T209">
        <v>136</v>
      </c>
      <c r="U209">
        <v>122</v>
      </c>
      <c r="V209">
        <v>37</v>
      </c>
      <c r="W209">
        <v>11</v>
      </c>
      <c r="X209">
        <v>55</v>
      </c>
      <c r="Y209" s="5">
        <v>2.2181818181818183</v>
      </c>
    </row>
    <row r="210" spans="1:25" x14ac:dyDescent="0.25">
      <c r="A210">
        <v>2018</v>
      </c>
      <c r="B210" t="s">
        <v>57</v>
      </c>
      <c r="C210">
        <v>11</v>
      </c>
      <c r="D210">
        <v>105</v>
      </c>
      <c r="E210" t="s">
        <v>28</v>
      </c>
      <c r="F210" t="s">
        <v>46</v>
      </c>
      <c r="G210">
        <f t="shared" si="3"/>
        <v>0</v>
      </c>
      <c r="H210">
        <v>3</v>
      </c>
      <c r="I210">
        <v>10</v>
      </c>
      <c r="J210">
        <v>0</v>
      </c>
      <c r="K210" s="6" t="s">
        <v>69</v>
      </c>
      <c r="L210" s="6" t="s">
        <v>86</v>
      </c>
      <c r="M210">
        <v>93</v>
      </c>
      <c r="N210" s="1">
        <v>0.41</v>
      </c>
      <c r="O210">
        <v>19</v>
      </c>
      <c r="P210" s="1">
        <v>0.32800000000000001</v>
      </c>
      <c r="Q210" s="1">
        <v>0.77100000000000002</v>
      </c>
      <c r="R210">
        <v>286</v>
      </c>
      <c r="S210">
        <v>49</v>
      </c>
      <c r="T210">
        <v>121</v>
      </c>
      <c r="U210">
        <v>73</v>
      </c>
      <c r="V210">
        <v>30</v>
      </c>
      <c r="W210">
        <v>16</v>
      </c>
      <c r="X210">
        <v>40</v>
      </c>
      <c r="Y210" s="5">
        <v>1.825</v>
      </c>
    </row>
    <row r="211" spans="1:25" x14ac:dyDescent="0.25">
      <c r="A211">
        <v>2018</v>
      </c>
      <c r="B211" t="s">
        <v>57</v>
      </c>
      <c r="C211">
        <v>11</v>
      </c>
      <c r="D211">
        <v>105</v>
      </c>
      <c r="E211" t="s">
        <v>24</v>
      </c>
      <c r="F211" t="s">
        <v>55</v>
      </c>
      <c r="G211">
        <f t="shared" si="3"/>
        <v>1</v>
      </c>
      <c r="H211">
        <v>10</v>
      </c>
      <c r="I211">
        <v>3</v>
      </c>
      <c r="J211">
        <v>0</v>
      </c>
      <c r="K211" s="6" t="s">
        <v>64</v>
      </c>
      <c r="L211" s="6" t="s">
        <v>80</v>
      </c>
      <c r="M211">
        <v>176</v>
      </c>
      <c r="N211" s="1">
        <v>0.46600000000000003</v>
      </c>
      <c r="O211">
        <v>71</v>
      </c>
      <c r="P211" s="1">
        <v>0.42</v>
      </c>
      <c r="Q211" s="1">
        <v>0.83799999999999997</v>
      </c>
      <c r="R211">
        <v>490</v>
      </c>
      <c r="S211">
        <v>32</v>
      </c>
      <c r="T211">
        <v>163</v>
      </c>
      <c r="U211">
        <v>94</v>
      </c>
      <c r="V211">
        <v>29</v>
      </c>
      <c r="W211">
        <v>22</v>
      </c>
      <c r="X211">
        <v>49</v>
      </c>
      <c r="Y211" s="5">
        <v>1.9183673469387754</v>
      </c>
    </row>
    <row r="212" spans="1:25" x14ac:dyDescent="0.25">
      <c r="A212">
        <v>2018</v>
      </c>
      <c r="B212" t="s">
        <v>57</v>
      </c>
      <c r="C212">
        <v>11</v>
      </c>
      <c r="D212">
        <v>106</v>
      </c>
      <c r="E212" t="s">
        <v>23</v>
      </c>
      <c r="F212" t="s">
        <v>120</v>
      </c>
      <c r="G212">
        <f t="shared" si="3"/>
        <v>1</v>
      </c>
      <c r="H212">
        <v>10</v>
      </c>
      <c r="I212">
        <v>3</v>
      </c>
      <c r="J212">
        <v>0</v>
      </c>
      <c r="K212" s="6" t="s">
        <v>66</v>
      </c>
      <c r="L212" s="6" t="s">
        <v>81</v>
      </c>
      <c r="M212">
        <v>186</v>
      </c>
      <c r="N212" s="1">
        <v>0.44900000000000001</v>
      </c>
      <c r="O212">
        <v>50</v>
      </c>
      <c r="P212" s="1">
        <v>0.33300000000000002</v>
      </c>
      <c r="Q212" s="1">
        <v>0.84099999999999997</v>
      </c>
      <c r="R212">
        <v>496</v>
      </c>
      <c r="S212">
        <v>34</v>
      </c>
      <c r="T212">
        <v>108</v>
      </c>
      <c r="U212">
        <v>96</v>
      </c>
      <c r="V212">
        <v>31</v>
      </c>
      <c r="W212">
        <v>27</v>
      </c>
      <c r="X212">
        <v>51</v>
      </c>
      <c r="Y212" s="5">
        <v>1.8823529411764706</v>
      </c>
    </row>
    <row r="213" spans="1:25" x14ac:dyDescent="0.25">
      <c r="A213">
        <v>2018</v>
      </c>
      <c r="B213" t="s">
        <v>57</v>
      </c>
      <c r="C213">
        <v>11</v>
      </c>
      <c r="D213">
        <v>106</v>
      </c>
      <c r="E213" t="s">
        <v>22</v>
      </c>
      <c r="F213" t="s">
        <v>44</v>
      </c>
      <c r="G213">
        <f t="shared" si="3"/>
        <v>0</v>
      </c>
      <c r="H213">
        <v>3</v>
      </c>
      <c r="I213">
        <v>10</v>
      </c>
      <c r="J213">
        <v>0</v>
      </c>
      <c r="K213" s="6" t="s">
        <v>71</v>
      </c>
      <c r="L213" s="6" t="s">
        <v>121</v>
      </c>
      <c r="M213">
        <v>168</v>
      </c>
      <c r="N213" s="1">
        <v>0.44800000000000001</v>
      </c>
      <c r="O213">
        <v>42</v>
      </c>
      <c r="P213" s="1">
        <v>0.33100000000000002</v>
      </c>
      <c r="Q213" s="1">
        <v>0.74099999999999999</v>
      </c>
      <c r="R213">
        <v>461</v>
      </c>
      <c r="S213">
        <v>38</v>
      </c>
      <c r="T213">
        <v>151</v>
      </c>
      <c r="U213">
        <v>90</v>
      </c>
      <c r="V213">
        <v>30</v>
      </c>
      <c r="W213">
        <v>29</v>
      </c>
      <c r="X213">
        <v>66</v>
      </c>
      <c r="Y213" s="5">
        <v>1.3636363636363635</v>
      </c>
    </row>
    <row r="214" spans="1:25" x14ac:dyDescent="0.25">
      <c r="A214">
        <v>2018</v>
      </c>
      <c r="B214" t="s">
        <v>57</v>
      </c>
      <c r="C214">
        <v>11</v>
      </c>
      <c r="D214">
        <v>107</v>
      </c>
      <c r="E214" t="s">
        <v>26</v>
      </c>
      <c r="F214" t="s">
        <v>118</v>
      </c>
      <c r="G214">
        <f t="shared" si="3"/>
        <v>1</v>
      </c>
      <c r="H214">
        <v>11</v>
      </c>
      <c r="I214">
        <v>2</v>
      </c>
      <c r="J214">
        <v>0</v>
      </c>
      <c r="K214" s="6" t="s">
        <v>111</v>
      </c>
      <c r="L214" s="6" t="s">
        <v>89</v>
      </c>
      <c r="M214">
        <v>124</v>
      </c>
      <c r="N214" s="1">
        <v>0.42899999999999999</v>
      </c>
      <c r="O214">
        <v>32</v>
      </c>
      <c r="P214" s="1">
        <v>0.29899999999999999</v>
      </c>
      <c r="Q214" s="1">
        <v>0.68300000000000005</v>
      </c>
      <c r="R214">
        <v>336</v>
      </c>
      <c r="S214">
        <v>37</v>
      </c>
      <c r="T214">
        <v>119</v>
      </c>
      <c r="U214">
        <v>53</v>
      </c>
      <c r="V214">
        <v>23</v>
      </c>
      <c r="W214">
        <v>14</v>
      </c>
      <c r="X214">
        <v>44</v>
      </c>
      <c r="Y214" s="5">
        <v>1.2045454545454546</v>
      </c>
    </row>
    <row r="215" spans="1:25" x14ac:dyDescent="0.25">
      <c r="A215">
        <v>2018</v>
      </c>
      <c r="B215" t="s">
        <v>57</v>
      </c>
      <c r="C215">
        <v>11</v>
      </c>
      <c r="D215">
        <v>107</v>
      </c>
      <c r="E215" t="s">
        <v>97</v>
      </c>
      <c r="F215" t="s">
        <v>54</v>
      </c>
      <c r="G215">
        <f t="shared" si="3"/>
        <v>0</v>
      </c>
      <c r="H215">
        <v>2</v>
      </c>
      <c r="I215">
        <v>11</v>
      </c>
      <c r="J215">
        <v>0</v>
      </c>
      <c r="K215" s="6" t="s">
        <v>65</v>
      </c>
      <c r="L215" s="6" t="s">
        <v>119</v>
      </c>
      <c r="M215">
        <v>88</v>
      </c>
      <c r="N215" s="1">
        <v>0.42299999999999999</v>
      </c>
      <c r="O215">
        <v>16</v>
      </c>
      <c r="P215" s="1">
        <v>0.25800000000000001</v>
      </c>
      <c r="Q215" s="1">
        <v>0.59</v>
      </c>
      <c r="R215">
        <v>215</v>
      </c>
      <c r="S215">
        <v>25</v>
      </c>
      <c r="T215">
        <v>70</v>
      </c>
      <c r="U215">
        <v>52</v>
      </c>
      <c r="V215">
        <v>20</v>
      </c>
      <c r="W215">
        <v>9</v>
      </c>
      <c r="X215">
        <v>26</v>
      </c>
      <c r="Y215" s="5">
        <v>2</v>
      </c>
    </row>
    <row r="216" spans="1:25" x14ac:dyDescent="0.25">
      <c r="A216">
        <v>2018</v>
      </c>
      <c r="B216" t="s">
        <v>57</v>
      </c>
      <c r="C216">
        <v>11</v>
      </c>
      <c r="D216">
        <v>108</v>
      </c>
      <c r="E216" t="s">
        <v>190</v>
      </c>
      <c r="F216" t="s">
        <v>103</v>
      </c>
      <c r="G216">
        <f t="shared" si="3"/>
        <v>1</v>
      </c>
      <c r="H216">
        <v>6</v>
      </c>
      <c r="I216">
        <v>5</v>
      </c>
      <c r="J216">
        <v>2</v>
      </c>
      <c r="K216" s="6" t="s">
        <v>112</v>
      </c>
      <c r="L216" s="6" t="s">
        <v>88</v>
      </c>
      <c r="M216">
        <v>181</v>
      </c>
      <c r="N216" s="1">
        <v>0.46500000000000002</v>
      </c>
      <c r="O216">
        <v>44</v>
      </c>
      <c r="P216" s="1">
        <v>0.314</v>
      </c>
      <c r="Q216" s="1">
        <v>0.73599999999999999</v>
      </c>
      <c r="R216">
        <v>487</v>
      </c>
      <c r="S216">
        <v>43</v>
      </c>
      <c r="T216">
        <v>96</v>
      </c>
      <c r="U216">
        <v>125</v>
      </c>
      <c r="V216">
        <v>34</v>
      </c>
      <c r="W216">
        <v>15</v>
      </c>
      <c r="X216">
        <v>53</v>
      </c>
      <c r="Y216" s="5">
        <v>2.358490566037736</v>
      </c>
    </row>
    <row r="217" spans="1:25" x14ac:dyDescent="0.25">
      <c r="A217">
        <v>2018</v>
      </c>
      <c r="B217" t="s">
        <v>57</v>
      </c>
      <c r="C217">
        <v>11</v>
      </c>
      <c r="D217">
        <v>108</v>
      </c>
      <c r="E217" t="s">
        <v>98</v>
      </c>
      <c r="F217" t="s">
        <v>41</v>
      </c>
      <c r="G217">
        <f t="shared" si="3"/>
        <v>0</v>
      </c>
      <c r="H217">
        <v>5</v>
      </c>
      <c r="I217">
        <v>6</v>
      </c>
      <c r="J217">
        <v>2</v>
      </c>
      <c r="K217" s="6" t="s">
        <v>191</v>
      </c>
      <c r="L217" s="6" t="s">
        <v>113</v>
      </c>
      <c r="M217">
        <v>136</v>
      </c>
      <c r="N217" s="1">
        <v>0.48199999999999998</v>
      </c>
      <c r="O217">
        <v>27</v>
      </c>
      <c r="P217" s="1">
        <v>0.36499999999999999</v>
      </c>
      <c r="Q217" s="1">
        <v>0.78500000000000003</v>
      </c>
      <c r="R217">
        <v>361</v>
      </c>
      <c r="S217">
        <v>43</v>
      </c>
      <c r="T217">
        <v>109</v>
      </c>
      <c r="U217">
        <v>54</v>
      </c>
      <c r="V217">
        <v>23</v>
      </c>
      <c r="W217">
        <v>15</v>
      </c>
      <c r="X217">
        <v>36</v>
      </c>
      <c r="Y217" s="5">
        <v>1.5</v>
      </c>
    </row>
    <row r="218" spans="1:25" x14ac:dyDescent="0.25">
      <c r="A218">
        <v>2018</v>
      </c>
      <c r="B218" t="s">
        <v>57</v>
      </c>
      <c r="C218">
        <v>11</v>
      </c>
      <c r="D218">
        <v>109</v>
      </c>
      <c r="E218" t="s">
        <v>21</v>
      </c>
      <c r="F218" t="s">
        <v>50</v>
      </c>
      <c r="G218">
        <f t="shared" si="3"/>
        <v>1</v>
      </c>
      <c r="H218">
        <v>9</v>
      </c>
      <c r="I218">
        <v>4</v>
      </c>
      <c r="J218">
        <v>0</v>
      </c>
      <c r="K218" s="6" t="s">
        <v>62</v>
      </c>
      <c r="L218" s="6" t="s">
        <v>78</v>
      </c>
      <c r="M218">
        <v>145</v>
      </c>
      <c r="N218" s="1">
        <v>0.48499999999999999</v>
      </c>
      <c r="O218">
        <v>29</v>
      </c>
      <c r="P218" s="1">
        <v>0.35399999999999998</v>
      </c>
      <c r="Q218" s="1">
        <v>0.71699999999999997</v>
      </c>
      <c r="R218">
        <v>390</v>
      </c>
      <c r="S218">
        <v>46</v>
      </c>
      <c r="T218">
        <v>142</v>
      </c>
      <c r="U218">
        <v>123</v>
      </c>
      <c r="V218">
        <v>34</v>
      </c>
      <c r="W218">
        <v>31</v>
      </c>
      <c r="X218">
        <v>54</v>
      </c>
      <c r="Y218" s="5">
        <v>2.2777777777777777</v>
      </c>
    </row>
    <row r="219" spans="1:25" x14ac:dyDescent="0.25">
      <c r="A219">
        <v>2018</v>
      </c>
      <c r="B219" t="s">
        <v>57</v>
      </c>
      <c r="C219">
        <v>11</v>
      </c>
      <c r="D219">
        <v>109</v>
      </c>
      <c r="E219" t="s">
        <v>20</v>
      </c>
      <c r="F219" t="s">
        <v>47</v>
      </c>
      <c r="G219">
        <f t="shared" si="3"/>
        <v>0</v>
      </c>
      <c r="H219">
        <v>4</v>
      </c>
      <c r="I219">
        <v>9</v>
      </c>
      <c r="J219">
        <v>0</v>
      </c>
      <c r="K219" s="6" t="s">
        <v>70</v>
      </c>
      <c r="L219" s="6" t="s">
        <v>87</v>
      </c>
      <c r="M219">
        <v>166</v>
      </c>
      <c r="N219" s="1">
        <v>0.46600000000000003</v>
      </c>
      <c r="O219">
        <v>20</v>
      </c>
      <c r="P219" s="1">
        <v>0.317</v>
      </c>
      <c r="Q219" s="1">
        <v>0.70899999999999996</v>
      </c>
      <c r="R219">
        <v>413</v>
      </c>
      <c r="S219">
        <v>44</v>
      </c>
      <c r="T219">
        <v>144</v>
      </c>
      <c r="U219">
        <v>115</v>
      </c>
      <c r="V219">
        <v>26</v>
      </c>
      <c r="W219">
        <v>19</v>
      </c>
      <c r="X219">
        <v>52</v>
      </c>
      <c r="Y219" s="5">
        <v>2.2115384615384617</v>
      </c>
    </row>
    <row r="220" spans="1:25" x14ac:dyDescent="0.25">
      <c r="A220">
        <v>2018</v>
      </c>
      <c r="B220" t="s">
        <v>57</v>
      </c>
      <c r="C220">
        <v>11</v>
      </c>
      <c r="D220">
        <v>110</v>
      </c>
      <c r="E220" t="s">
        <v>181</v>
      </c>
      <c r="F220" t="s">
        <v>49</v>
      </c>
      <c r="G220">
        <f t="shared" si="3"/>
        <v>1</v>
      </c>
      <c r="H220">
        <v>8</v>
      </c>
      <c r="I220">
        <v>5</v>
      </c>
      <c r="J220">
        <v>0</v>
      </c>
      <c r="K220" s="6" t="s">
        <v>72</v>
      </c>
      <c r="L220" s="6" t="s">
        <v>85</v>
      </c>
      <c r="M220">
        <v>206</v>
      </c>
      <c r="N220" s="1">
        <v>0.48399999999999999</v>
      </c>
      <c r="O220">
        <v>57</v>
      </c>
      <c r="P220" s="1">
        <v>0.39300000000000002</v>
      </c>
      <c r="Q220" s="1">
        <v>0.86399999999999999</v>
      </c>
      <c r="R220">
        <v>558</v>
      </c>
      <c r="S220">
        <v>36</v>
      </c>
      <c r="T220">
        <v>159</v>
      </c>
      <c r="U220">
        <v>97</v>
      </c>
      <c r="V220">
        <v>22</v>
      </c>
      <c r="W220">
        <v>10</v>
      </c>
      <c r="X220">
        <v>56</v>
      </c>
      <c r="Y220" s="5">
        <v>1.7321428571428572</v>
      </c>
    </row>
    <row r="221" spans="1:25" x14ac:dyDescent="0.25">
      <c r="A221">
        <v>2018</v>
      </c>
      <c r="B221" t="s">
        <v>57</v>
      </c>
      <c r="C221">
        <v>11</v>
      </c>
      <c r="D221">
        <v>110</v>
      </c>
      <c r="E221" t="s">
        <v>33</v>
      </c>
      <c r="F221" t="s">
        <v>42</v>
      </c>
      <c r="G221">
        <f t="shared" si="3"/>
        <v>0</v>
      </c>
      <c r="H221">
        <v>5</v>
      </c>
      <c r="I221">
        <v>8</v>
      </c>
      <c r="J221">
        <v>0</v>
      </c>
      <c r="K221" s="6" t="s">
        <v>182</v>
      </c>
      <c r="L221" s="6" t="s">
        <v>76</v>
      </c>
      <c r="M221">
        <v>164</v>
      </c>
      <c r="N221" s="1">
        <v>0.49099999999999999</v>
      </c>
      <c r="O221">
        <v>52</v>
      </c>
      <c r="P221" s="1">
        <v>0.40600000000000003</v>
      </c>
      <c r="Q221" s="1">
        <v>0.76800000000000002</v>
      </c>
      <c r="R221">
        <v>443</v>
      </c>
      <c r="S221">
        <v>28</v>
      </c>
      <c r="T221">
        <v>113</v>
      </c>
      <c r="U221">
        <v>55</v>
      </c>
      <c r="V221">
        <v>21</v>
      </c>
      <c r="W221">
        <v>20</v>
      </c>
      <c r="X221">
        <v>29</v>
      </c>
      <c r="Y221" s="5">
        <v>1.896551724137931</v>
      </c>
    </row>
    <row r="222" spans="1:25" x14ac:dyDescent="0.25">
      <c r="A222">
        <v>2018</v>
      </c>
      <c r="B222" t="s">
        <v>57</v>
      </c>
      <c r="C222">
        <v>12</v>
      </c>
      <c r="D222">
        <v>111</v>
      </c>
      <c r="E222" t="s">
        <v>16</v>
      </c>
      <c r="F222" t="s">
        <v>51</v>
      </c>
      <c r="G222">
        <f t="shared" si="3"/>
        <v>1</v>
      </c>
      <c r="H222">
        <v>9</v>
      </c>
      <c r="I222">
        <v>3</v>
      </c>
      <c r="J222">
        <v>1</v>
      </c>
      <c r="K222" s="6" t="s">
        <v>72</v>
      </c>
      <c r="L222" s="6" t="s">
        <v>85</v>
      </c>
      <c r="M222">
        <v>163</v>
      </c>
      <c r="N222" s="1">
        <v>0.46800000000000003</v>
      </c>
      <c r="O222">
        <v>51</v>
      </c>
      <c r="P222" s="1">
        <v>0.36399999999999999</v>
      </c>
      <c r="Q222" s="1">
        <v>0.84899999999999998</v>
      </c>
      <c r="R222">
        <v>467</v>
      </c>
      <c r="S222">
        <v>32</v>
      </c>
      <c r="T222">
        <v>131</v>
      </c>
      <c r="U222">
        <v>86</v>
      </c>
      <c r="V222">
        <v>33</v>
      </c>
      <c r="W222">
        <v>16</v>
      </c>
      <c r="X222">
        <v>60</v>
      </c>
      <c r="Y222" s="5">
        <v>1.4333333333333333</v>
      </c>
    </row>
    <row r="223" spans="1:25" x14ac:dyDescent="0.25">
      <c r="A223">
        <v>2018</v>
      </c>
      <c r="B223" t="s">
        <v>57</v>
      </c>
      <c r="C223">
        <v>12</v>
      </c>
      <c r="D223">
        <v>111</v>
      </c>
      <c r="E223" t="s">
        <v>33</v>
      </c>
      <c r="F223" t="s">
        <v>42</v>
      </c>
      <c r="G223">
        <f t="shared" si="3"/>
        <v>0</v>
      </c>
      <c r="H223">
        <v>3</v>
      </c>
      <c r="I223">
        <v>9</v>
      </c>
      <c r="J223">
        <v>1</v>
      </c>
      <c r="K223" s="6" t="s">
        <v>60</v>
      </c>
      <c r="L223" s="6" t="s">
        <v>75</v>
      </c>
      <c r="M223">
        <v>151</v>
      </c>
      <c r="N223" s="1">
        <v>0.46700000000000003</v>
      </c>
      <c r="O223">
        <v>45</v>
      </c>
      <c r="P223" s="1">
        <v>0.36899999999999999</v>
      </c>
      <c r="Q223" s="1">
        <v>0.82699999999999996</v>
      </c>
      <c r="R223">
        <v>409</v>
      </c>
      <c r="S223">
        <v>24</v>
      </c>
      <c r="T223">
        <v>116</v>
      </c>
      <c r="U223">
        <v>80</v>
      </c>
      <c r="V223">
        <v>33</v>
      </c>
      <c r="W223">
        <v>11</v>
      </c>
      <c r="X223">
        <v>39</v>
      </c>
      <c r="Y223" s="5">
        <v>2.0512820512820511</v>
      </c>
    </row>
    <row r="224" spans="1:25" x14ac:dyDescent="0.25">
      <c r="A224">
        <v>2018</v>
      </c>
      <c r="B224" t="s">
        <v>57</v>
      </c>
      <c r="C224">
        <v>12</v>
      </c>
      <c r="D224">
        <v>112</v>
      </c>
      <c r="E224" t="s">
        <v>15</v>
      </c>
      <c r="F224" t="s">
        <v>48</v>
      </c>
      <c r="G224">
        <f t="shared" si="3"/>
        <v>1</v>
      </c>
      <c r="H224">
        <v>11</v>
      </c>
      <c r="I224">
        <v>2</v>
      </c>
      <c r="J224">
        <v>0</v>
      </c>
      <c r="K224" s="6" t="s">
        <v>193</v>
      </c>
      <c r="L224" s="6" t="s">
        <v>117</v>
      </c>
      <c r="M224">
        <v>150</v>
      </c>
      <c r="N224" s="1">
        <v>0.434</v>
      </c>
      <c r="O224">
        <v>28</v>
      </c>
      <c r="P224" s="1">
        <v>0.29199999999999998</v>
      </c>
      <c r="Q224" s="1">
        <v>0.81499999999999995</v>
      </c>
      <c r="R224">
        <v>447</v>
      </c>
      <c r="S224">
        <v>44</v>
      </c>
      <c r="T224">
        <v>101</v>
      </c>
      <c r="U224">
        <v>81</v>
      </c>
      <c r="V224">
        <v>33</v>
      </c>
      <c r="W224">
        <v>19</v>
      </c>
      <c r="X224">
        <v>44</v>
      </c>
      <c r="Y224" s="5">
        <v>1.8409090909090908</v>
      </c>
    </row>
    <row r="225" spans="1:25" x14ac:dyDescent="0.25">
      <c r="A225">
        <v>2018</v>
      </c>
      <c r="B225" t="s">
        <v>57</v>
      </c>
      <c r="C225">
        <v>12</v>
      </c>
      <c r="D225">
        <v>112</v>
      </c>
      <c r="E225" t="s">
        <v>159</v>
      </c>
      <c r="F225" t="s">
        <v>116</v>
      </c>
      <c r="G225">
        <f t="shared" si="3"/>
        <v>0</v>
      </c>
      <c r="H225">
        <v>2</v>
      </c>
      <c r="I225">
        <v>11</v>
      </c>
      <c r="J225">
        <v>0</v>
      </c>
      <c r="K225" s="6" t="s">
        <v>61</v>
      </c>
      <c r="L225" s="6" t="s">
        <v>77</v>
      </c>
      <c r="M225">
        <v>103</v>
      </c>
      <c r="N225" s="1">
        <v>0.40400000000000003</v>
      </c>
      <c r="O225">
        <v>25</v>
      </c>
      <c r="P225" s="1">
        <v>0.39700000000000002</v>
      </c>
      <c r="Q225" s="1">
        <v>0.70399999999999996</v>
      </c>
      <c r="R225">
        <v>269</v>
      </c>
      <c r="S225">
        <v>21</v>
      </c>
      <c r="T225">
        <v>91</v>
      </c>
      <c r="U225">
        <v>55</v>
      </c>
      <c r="V225">
        <v>13</v>
      </c>
      <c r="W225">
        <v>25</v>
      </c>
      <c r="X225">
        <v>50</v>
      </c>
      <c r="Y225" s="5">
        <v>1.1000000000000001</v>
      </c>
    </row>
    <row r="226" spans="1:25" x14ac:dyDescent="0.25">
      <c r="A226">
        <v>2018</v>
      </c>
      <c r="B226" t="s">
        <v>57</v>
      </c>
      <c r="C226">
        <v>12</v>
      </c>
      <c r="D226">
        <v>113</v>
      </c>
      <c r="E226" t="s">
        <v>17</v>
      </c>
      <c r="F226" t="s">
        <v>43</v>
      </c>
      <c r="G226">
        <f t="shared" si="3"/>
        <v>1</v>
      </c>
      <c r="H226">
        <v>7</v>
      </c>
      <c r="I226">
        <v>6</v>
      </c>
      <c r="J226">
        <v>0</v>
      </c>
      <c r="K226" s="6" t="s">
        <v>67</v>
      </c>
      <c r="L226" s="6" t="s">
        <v>82</v>
      </c>
      <c r="M226">
        <v>148</v>
      </c>
      <c r="N226" s="1">
        <v>0.49199999999999999</v>
      </c>
      <c r="O226">
        <v>29</v>
      </c>
      <c r="P226" s="1">
        <v>0.34100000000000003</v>
      </c>
      <c r="Q226" s="1">
        <v>0.79600000000000004</v>
      </c>
      <c r="R226">
        <v>364</v>
      </c>
      <c r="S226">
        <v>34</v>
      </c>
      <c r="T226">
        <v>101</v>
      </c>
      <c r="U226">
        <v>122</v>
      </c>
      <c r="V226">
        <v>34</v>
      </c>
      <c r="W226">
        <v>11</v>
      </c>
      <c r="X226">
        <v>42</v>
      </c>
      <c r="Y226" s="5">
        <v>2.9047619047619047</v>
      </c>
    </row>
    <row r="227" spans="1:25" x14ac:dyDescent="0.25">
      <c r="A227">
        <v>2018</v>
      </c>
      <c r="B227" t="s">
        <v>57</v>
      </c>
      <c r="C227">
        <v>12</v>
      </c>
      <c r="D227">
        <v>113</v>
      </c>
      <c r="E227" t="s">
        <v>19</v>
      </c>
      <c r="F227" t="s">
        <v>56</v>
      </c>
      <c r="G227">
        <f t="shared" si="3"/>
        <v>0</v>
      </c>
      <c r="H227">
        <v>6</v>
      </c>
      <c r="I227">
        <v>7</v>
      </c>
      <c r="J227">
        <v>0</v>
      </c>
      <c r="K227" s="6" t="s">
        <v>63</v>
      </c>
      <c r="L227" s="6" t="s">
        <v>79</v>
      </c>
      <c r="M227">
        <v>154</v>
      </c>
      <c r="N227" s="1">
        <v>0.48399999999999999</v>
      </c>
      <c r="O227">
        <v>50</v>
      </c>
      <c r="P227" s="1">
        <v>0.4</v>
      </c>
      <c r="Q227" s="1">
        <v>0.78</v>
      </c>
      <c r="R227">
        <v>443</v>
      </c>
      <c r="S227">
        <v>28</v>
      </c>
      <c r="T227">
        <v>128</v>
      </c>
      <c r="U227">
        <v>94</v>
      </c>
      <c r="V227">
        <v>26</v>
      </c>
      <c r="W227">
        <v>20</v>
      </c>
      <c r="X227">
        <v>48</v>
      </c>
      <c r="Y227" s="5">
        <v>1.9583333333333333</v>
      </c>
    </row>
    <row r="228" spans="1:25" x14ac:dyDescent="0.25">
      <c r="A228">
        <v>2018</v>
      </c>
      <c r="B228" t="s">
        <v>57</v>
      </c>
      <c r="C228">
        <v>12</v>
      </c>
      <c r="D228">
        <v>114</v>
      </c>
      <c r="E228" t="s">
        <v>25</v>
      </c>
      <c r="F228" t="s">
        <v>53</v>
      </c>
      <c r="G228">
        <f t="shared" si="3"/>
        <v>1</v>
      </c>
      <c r="H228">
        <v>7</v>
      </c>
      <c r="I228">
        <v>6</v>
      </c>
      <c r="J228">
        <v>0</v>
      </c>
      <c r="K228" s="6" t="s">
        <v>64</v>
      </c>
      <c r="L228" s="6" t="s">
        <v>80</v>
      </c>
      <c r="M228">
        <v>158</v>
      </c>
      <c r="N228" s="1">
        <v>0.46899999999999997</v>
      </c>
      <c r="O228">
        <v>49</v>
      </c>
      <c r="P228" s="1">
        <v>0.41199999999999998</v>
      </c>
      <c r="Q228" s="1">
        <v>0.85699999999999998</v>
      </c>
      <c r="R228">
        <v>449</v>
      </c>
      <c r="S228">
        <v>26</v>
      </c>
      <c r="T228">
        <v>102</v>
      </c>
      <c r="U228">
        <v>98</v>
      </c>
      <c r="V228">
        <v>26</v>
      </c>
      <c r="W228">
        <v>6</v>
      </c>
      <c r="X228">
        <v>47</v>
      </c>
      <c r="Y228" s="5">
        <v>2.0851063829787235</v>
      </c>
    </row>
    <row r="229" spans="1:25" x14ac:dyDescent="0.25">
      <c r="A229">
        <v>2018</v>
      </c>
      <c r="B229" t="s">
        <v>57</v>
      </c>
      <c r="C229">
        <v>12</v>
      </c>
      <c r="D229">
        <v>114</v>
      </c>
      <c r="E229" t="s">
        <v>28</v>
      </c>
      <c r="F229" t="s">
        <v>46</v>
      </c>
      <c r="G229">
        <f t="shared" si="3"/>
        <v>0</v>
      </c>
      <c r="H229">
        <v>6</v>
      </c>
      <c r="I229">
        <v>7</v>
      </c>
      <c r="J229">
        <v>0</v>
      </c>
      <c r="K229" s="6" t="s">
        <v>68</v>
      </c>
      <c r="L229" s="6" t="s">
        <v>84</v>
      </c>
      <c r="M229">
        <v>110</v>
      </c>
      <c r="N229" s="1">
        <v>0.49299999999999999</v>
      </c>
      <c r="O229">
        <v>18</v>
      </c>
      <c r="P229" s="1">
        <v>0.439</v>
      </c>
      <c r="Q229" s="1">
        <v>0.66700000000000004</v>
      </c>
      <c r="R229">
        <v>278</v>
      </c>
      <c r="S229">
        <v>40</v>
      </c>
      <c r="T229">
        <v>119</v>
      </c>
      <c r="U229">
        <v>59</v>
      </c>
      <c r="V229">
        <v>20</v>
      </c>
      <c r="W229">
        <v>12</v>
      </c>
      <c r="X229">
        <v>43</v>
      </c>
      <c r="Y229" s="5">
        <v>1.3720930232558139</v>
      </c>
    </row>
    <row r="230" spans="1:25" x14ac:dyDescent="0.25">
      <c r="A230">
        <v>2018</v>
      </c>
      <c r="B230" t="s">
        <v>57</v>
      </c>
      <c r="C230">
        <v>12</v>
      </c>
      <c r="D230">
        <v>115</v>
      </c>
      <c r="E230" t="s">
        <v>22</v>
      </c>
      <c r="F230" t="s">
        <v>44</v>
      </c>
      <c r="G230">
        <f t="shared" si="3"/>
        <v>1</v>
      </c>
      <c r="H230">
        <v>10</v>
      </c>
      <c r="I230">
        <v>3</v>
      </c>
      <c r="J230">
        <v>0</v>
      </c>
      <c r="K230" s="6" t="s">
        <v>69</v>
      </c>
      <c r="L230" s="6" t="s">
        <v>86</v>
      </c>
      <c r="M230">
        <v>169</v>
      </c>
      <c r="N230" s="1">
        <v>0.45600000000000002</v>
      </c>
      <c r="O230">
        <v>46</v>
      </c>
      <c r="P230" s="1">
        <v>0.38300000000000001</v>
      </c>
      <c r="Q230" s="1">
        <v>0.82499999999999996</v>
      </c>
      <c r="R230">
        <v>450</v>
      </c>
      <c r="S230">
        <v>38</v>
      </c>
      <c r="T230">
        <v>184</v>
      </c>
      <c r="U230">
        <v>86</v>
      </c>
      <c r="V230">
        <v>26</v>
      </c>
      <c r="W230">
        <v>21</v>
      </c>
      <c r="X230">
        <v>48</v>
      </c>
      <c r="Y230" s="5">
        <v>1.7916666666666667</v>
      </c>
    </row>
    <row r="231" spans="1:25" x14ac:dyDescent="0.25">
      <c r="A231">
        <v>2018</v>
      </c>
      <c r="B231" t="s">
        <v>57</v>
      </c>
      <c r="C231">
        <v>12</v>
      </c>
      <c r="D231">
        <v>115</v>
      </c>
      <c r="E231" t="s">
        <v>24</v>
      </c>
      <c r="F231" t="s">
        <v>55</v>
      </c>
      <c r="G231">
        <f t="shared" si="3"/>
        <v>0</v>
      </c>
      <c r="H231">
        <v>3</v>
      </c>
      <c r="I231">
        <v>10</v>
      </c>
      <c r="J231">
        <v>0</v>
      </c>
      <c r="K231" s="6" t="s">
        <v>66</v>
      </c>
      <c r="L231" s="6" t="s">
        <v>81</v>
      </c>
      <c r="M231">
        <v>139</v>
      </c>
      <c r="N231" s="1">
        <v>0.48799999999999999</v>
      </c>
      <c r="O231">
        <v>49</v>
      </c>
      <c r="P231" s="1">
        <v>0.40500000000000003</v>
      </c>
      <c r="Q231" s="1">
        <v>0.81499999999999995</v>
      </c>
      <c r="R231">
        <v>380</v>
      </c>
      <c r="S231">
        <v>20</v>
      </c>
      <c r="T231">
        <v>93</v>
      </c>
      <c r="U231">
        <v>81</v>
      </c>
      <c r="V231">
        <v>24</v>
      </c>
      <c r="W231">
        <v>15</v>
      </c>
      <c r="X231">
        <v>64</v>
      </c>
      <c r="Y231" s="5">
        <v>1.265625</v>
      </c>
    </row>
    <row r="232" spans="1:25" x14ac:dyDescent="0.25">
      <c r="A232">
        <v>2018</v>
      </c>
      <c r="B232" t="s">
        <v>57</v>
      </c>
      <c r="C232">
        <v>12</v>
      </c>
      <c r="D232">
        <v>116</v>
      </c>
      <c r="E232" t="s">
        <v>23</v>
      </c>
      <c r="F232" t="s">
        <v>120</v>
      </c>
      <c r="G232">
        <f t="shared" si="3"/>
        <v>1</v>
      </c>
      <c r="H232">
        <v>7</v>
      </c>
      <c r="I232">
        <v>6</v>
      </c>
      <c r="J232">
        <v>0</v>
      </c>
      <c r="K232" s="6" t="s">
        <v>65</v>
      </c>
      <c r="L232" s="6" t="s">
        <v>119</v>
      </c>
      <c r="M232">
        <v>152</v>
      </c>
      <c r="N232" s="1">
        <v>0.44400000000000001</v>
      </c>
      <c r="O232">
        <v>33</v>
      </c>
      <c r="P232" s="1">
        <v>0.30299999999999999</v>
      </c>
      <c r="Q232" s="1">
        <v>0.78100000000000003</v>
      </c>
      <c r="R232">
        <v>394</v>
      </c>
      <c r="S232">
        <v>37</v>
      </c>
      <c r="T232">
        <v>103</v>
      </c>
      <c r="U232">
        <v>107</v>
      </c>
      <c r="V232">
        <v>36</v>
      </c>
      <c r="W232">
        <v>21</v>
      </c>
      <c r="X232">
        <v>63</v>
      </c>
      <c r="Y232" s="5">
        <v>1.6984126984126984</v>
      </c>
    </row>
    <row r="233" spans="1:25" x14ac:dyDescent="0.25">
      <c r="A233">
        <v>2018</v>
      </c>
      <c r="B233" t="s">
        <v>57</v>
      </c>
      <c r="C233">
        <v>12</v>
      </c>
      <c r="D233">
        <v>116</v>
      </c>
      <c r="E233" t="s">
        <v>26</v>
      </c>
      <c r="F233" t="s">
        <v>118</v>
      </c>
      <c r="G233">
        <f t="shared" si="3"/>
        <v>0</v>
      </c>
      <c r="H233">
        <v>6</v>
      </c>
      <c r="I233">
        <v>7</v>
      </c>
      <c r="J233">
        <v>0</v>
      </c>
      <c r="K233" s="6" t="s">
        <v>71</v>
      </c>
      <c r="L233" s="6" t="s">
        <v>121</v>
      </c>
      <c r="M233">
        <v>150</v>
      </c>
      <c r="N233" s="1">
        <v>0.498</v>
      </c>
      <c r="O233">
        <v>54</v>
      </c>
      <c r="P233" s="1">
        <v>0.41499999999999998</v>
      </c>
      <c r="Q233" s="1">
        <v>0.79700000000000004</v>
      </c>
      <c r="R233">
        <v>409</v>
      </c>
      <c r="S233">
        <v>21</v>
      </c>
      <c r="T233">
        <v>93</v>
      </c>
      <c r="U233">
        <v>65</v>
      </c>
      <c r="V233">
        <v>28</v>
      </c>
      <c r="W233">
        <v>19</v>
      </c>
      <c r="X233">
        <v>54</v>
      </c>
      <c r="Y233" s="5">
        <v>1.2037037037037037</v>
      </c>
    </row>
    <row r="234" spans="1:25" x14ac:dyDescent="0.25">
      <c r="A234">
        <v>2018</v>
      </c>
      <c r="B234" t="s">
        <v>57</v>
      </c>
      <c r="C234">
        <v>12</v>
      </c>
      <c r="D234">
        <v>117</v>
      </c>
      <c r="E234" t="s">
        <v>190</v>
      </c>
      <c r="F234" t="s">
        <v>103</v>
      </c>
      <c r="G234">
        <f t="shared" si="3"/>
        <v>1</v>
      </c>
      <c r="H234">
        <v>10</v>
      </c>
      <c r="I234">
        <v>3</v>
      </c>
      <c r="J234">
        <v>0</v>
      </c>
      <c r="K234" s="6" t="s">
        <v>111</v>
      </c>
      <c r="L234" s="6" t="s">
        <v>89</v>
      </c>
      <c r="M234">
        <v>211</v>
      </c>
      <c r="N234" s="1">
        <v>0.48699999999999999</v>
      </c>
      <c r="O234">
        <v>53</v>
      </c>
      <c r="P234" s="1">
        <v>0.40200000000000002</v>
      </c>
      <c r="Q234" s="1">
        <v>0.76500000000000001</v>
      </c>
      <c r="R234">
        <v>563</v>
      </c>
      <c r="S234">
        <v>38</v>
      </c>
      <c r="T234">
        <v>125</v>
      </c>
      <c r="U234">
        <v>98</v>
      </c>
      <c r="V234">
        <v>32</v>
      </c>
      <c r="W234">
        <v>33</v>
      </c>
      <c r="X234">
        <v>57</v>
      </c>
      <c r="Y234" s="5">
        <v>1.7192982456140351</v>
      </c>
    </row>
    <row r="235" spans="1:25" x14ac:dyDescent="0.25">
      <c r="A235">
        <v>2018</v>
      </c>
      <c r="B235" t="s">
        <v>57</v>
      </c>
      <c r="C235">
        <v>12</v>
      </c>
      <c r="D235">
        <v>117</v>
      </c>
      <c r="E235" t="s">
        <v>97</v>
      </c>
      <c r="F235" t="s">
        <v>54</v>
      </c>
      <c r="G235">
        <f t="shared" si="3"/>
        <v>0</v>
      </c>
      <c r="H235">
        <v>3</v>
      </c>
      <c r="I235">
        <v>10</v>
      </c>
      <c r="J235">
        <v>0</v>
      </c>
      <c r="K235" s="6" t="s">
        <v>191</v>
      </c>
      <c r="L235" s="6" t="s">
        <v>113</v>
      </c>
      <c r="M235">
        <v>80</v>
      </c>
      <c r="N235" s="1">
        <v>0.49099999999999999</v>
      </c>
      <c r="O235">
        <v>11</v>
      </c>
      <c r="P235" s="1">
        <v>0.25600000000000001</v>
      </c>
      <c r="Q235" s="1">
        <v>0.76900000000000002</v>
      </c>
      <c r="R235">
        <v>201</v>
      </c>
      <c r="S235">
        <v>32</v>
      </c>
      <c r="T235">
        <v>88</v>
      </c>
      <c r="U235">
        <v>39</v>
      </c>
      <c r="V235">
        <v>16</v>
      </c>
      <c r="W235">
        <v>10</v>
      </c>
      <c r="X235">
        <v>32</v>
      </c>
      <c r="Y235" s="5">
        <v>1.21875</v>
      </c>
    </row>
    <row r="236" spans="1:25" x14ac:dyDescent="0.25">
      <c r="A236">
        <v>2018</v>
      </c>
      <c r="B236" t="s">
        <v>57</v>
      </c>
      <c r="C236">
        <v>12</v>
      </c>
      <c r="D236">
        <v>118</v>
      </c>
      <c r="E236" t="s">
        <v>20</v>
      </c>
      <c r="F236" t="s">
        <v>47</v>
      </c>
      <c r="G236">
        <f t="shared" si="3"/>
        <v>1</v>
      </c>
      <c r="H236">
        <v>9</v>
      </c>
      <c r="I236">
        <v>4</v>
      </c>
      <c r="J236">
        <v>0</v>
      </c>
      <c r="K236" s="6" t="s">
        <v>112</v>
      </c>
      <c r="L236" s="6" t="s">
        <v>88</v>
      </c>
      <c r="M236">
        <v>171</v>
      </c>
      <c r="N236" s="1">
        <v>0.47799999999999998</v>
      </c>
      <c r="O236">
        <v>20</v>
      </c>
      <c r="P236" s="1">
        <v>0.26700000000000002</v>
      </c>
      <c r="Q236" s="1">
        <v>0.73699999999999999</v>
      </c>
      <c r="R236">
        <v>446</v>
      </c>
      <c r="S236">
        <v>38</v>
      </c>
      <c r="T236">
        <v>83</v>
      </c>
      <c r="U236">
        <v>98</v>
      </c>
      <c r="V236">
        <v>31</v>
      </c>
      <c r="W236">
        <v>16</v>
      </c>
      <c r="X236">
        <v>55</v>
      </c>
      <c r="Y236" s="5">
        <v>1.7818181818181817</v>
      </c>
    </row>
    <row r="237" spans="1:25" x14ac:dyDescent="0.25">
      <c r="A237">
        <v>2018</v>
      </c>
      <c r="B237" t="s">
        <v>57</v>
      </c>
      <c r="C237">
        <v>12</v>
      </c>
      <c r="D237">
        <v>118</v>
      </c>
      <c r="E237" t="s">
        <v>98</v>
      </c>
      <c r="F237" t="s">
        <v>41</v>
      </c>
      <c r="G237">
        <f t="shared" si="3"/>
        <v>0</v>
      </c>
      <c r="H237">
        <v>4</v>
      </c>
      <c r="I237">
        <v>9</v>
      </c>
      <c r="J237">
        <v>0</v>
      </c>
      <c r="K237" s="6" t="s">
        <v>62</v>
      </c>
      <c r="L237" s="6" t="s">
        <v>78</v>
      </c>
      <c r="M237">
        <v>85</v>
      </c>
      <c r="N237" s="1">
        <v>0.5</v>
      </c>
      <c r="O237">
        <v>15</v>
      </c>
      <c r="P237" s="1">
        <v>0.375</v>
      </c>
      <c r="Q237" s="1">
        <v>0.83099999999999996</v>
      </c>
      <c r="R237">
        <v>234</v>
      </c>
      <c r="S237">
        <v>28</v>
      </c>
      <c r="T237">
        <v>79</v>
      </c>
      <c r="U237">
        <v>43</v>
      </c>
      <c r="V237">
        <v>16</v>
      </c>
      <c r="W237">
        <v>13</v>
      </c>
      <c r="X237">
        <v>26</v>
      </c>
      <c r="Y237" s="5">
        <v>1.6538461538461537</v>
      </c>
    </row>
    <row r="238" spans="1:25" x14ac:dyDescent="0.25">
      <c r="A238">
        <v>2018</v>
      </c>
      <c r="B238" t="s">
        <v>57</v>
      </c>
      <c r="C238">
        <v>12</v>
      </c>
      <c r="D238">
        <v>119</v>
      </c>
      <c r="E238" t="s">
        <v>181</v>
      </c>
      <c r="F238" t="s">
        <v>49</v>
      </c>
      <c r="G238">
        <f t="shared" si="3"/>
        <v>1</v>
      </c>
      <c r="H238">
        <v>10</v>
      </c>
      <c r="I238">
        <v>3</v>
      </c>
      <c r="J238">
        <v>0</v>
      </c>
      <c r="K238" s="6" t="s">
        <v>70</v>
      </c>
      <c r="L238" s="6" t="s">
        <v>87</v>
      </c>
      <c r="M238">
        <v>156</v>
      </c>
      <c r="N238" s="1">
        <v>0.48799999999999999</v>
      </c>
      <c r="O238">
        <v>33</v>
      </c>
      <c r="P238" s="1">
        <v>0.35499999999999998</v>
      </c>
      <c r="Q238" s="1">
        <v>0.78300000000000003</v>
      </c>
      <c r="R238">
        <v>410</v>
      </c>
      <c r="S238">
        <v>44</v>
      </c>
      <c r="T238">
        <v>141</v>
      </c>
      <c r="U238">
        <v>67</v>
      </c>
      <c r="V238">
        <v>21</v>
      </c>
      <c r="W238">
        <v>11</v>
      </c>
      <c r="X238">
        <v>47</v>
      </c>
      <c r="Y238" s="5">
        <v>1.425531914893617</v>
      </c>
    </row>
    <row r="239" spans="1:25" x14ac:dyDescent="0.25">
      <c r="A239">
        <v>2018</v>
      </c>
      <c r="B239" t="s">
        <v>57</v>
      </c>
      <c r="C239">
        <v>12</v>
      </c>
      <c r="D239">
        <v>119</v>
      </c>
      <c r="E239" t="s">
        <v>21</v>
      </c>
      <c r="F239" t="s">
        <v>50</v>
      </c>
      <c r="G239">
        <f t="shared" si="3"/>
        <v>0</v>
      </c>
      <c r="H239">
        <v>3</v>
      </c>
      <c r="I239">
        <v>10</v>
      </c>
      <c r="J239">
        <v>0</v>
      </c>
      <c r="K239" s="6" t="s">
        <v>182</v>
      </c>
      <c r="L239" s="6" t="s">
        <v>76</v>
      </c>
      <c r="M239">
        <v>121</v>
      </c>
      <c r="N239" s="1">
        <v>0.47299999999999998</v>
      </c>
      <c r="O239">
        <v>26</v>
      </c>
      <c r="P239" s="1">
        <v>0.38200000000000001</v>
      </c>
      <c r="Q239" s="1">
        <v>0.77300000000000002</v>
      </c>
      <c r="R239">
        <v>326</v>
      </c>
      <c r="S239">
        <v>28</v>
      </c>
      <c r="T239">
        <v>84</v>
      </c>
      <c r="U239">
        <v>70</v>
      </c>
      <c r="V239">
        <v>16</v>
      </c>
      <c r="W239">
        <v>18</v>
      </c>
      <c r="X239">
        <v>51</v>
      </c>
      <c r="Y239" s="5">
        <v>1.3725490196078431</v>
      </c>
    </row>
    <row r="240" spans="1:25" x14ac:dyDescent="0.25">
      <c r="A240">
        <v>2018</v>
      </c>
      <c r="B240" t="s">
        <v>57</v>
      </c>
      <c r="C240">
        <v>12</v>
      </c>
      <c r="D240">
        <v>120</v>
      </c>
      <c r="E240" t="s">
        <v>18</v>
      </c>
      <c r="F240" t="s">
        <v>52</v>
      </c>
      <c r="G240">
        <f t="shared" si="3"/>
        <v>1</v>
      </c>
      <c r="H240">
        <v>10</v>
      </c>
      <c r="I240">
        <v>3</v>
      </c>
      <c r="J240">
        <v>0</v>
      </c>
      <c r="K240" s="6" t="s">
        <v>106</v>
      </c>
      <c r="L240" s="6" t="s">
        <v>83</v>
      </c>
      <c r="M240">
        <v>123</v>
      </c>
      <c r="N240" s="1">
        <v>0.41299999999999998</v>
      </c>
      <c r="O240">
        <v>26</v>
      </c>
      <c r="P240" s="1">
        <v>0.32100000000000001</v>
      </c>
      <c r="Q240" s="1">
        <v>0.85899999999999999</v>
      </c>
      <c r="R240">
        <v>339</v>
      </c>
      <c r="S240">
        <v>34</v>
      </c>
      <c r="T240">
        <v>127</v>
      </c>
      <c r="U240">
        <v>110</v>
      </c>
      <c r="V240">
        <v>24</v>
      </c>
      <c r="W240">
        <v>14</v>
      </c>
      <c r="X240">
        <v>58</v>
      </c>
      <c r="Y240" s="5">
        <v>1.896551724137931</v>
      </c>
    </row>
    <row r="241" spans="1:25" x14ac:dyDescent="0.25">
      <c r="A241">
        <v>2018</v>
      </c>
      <c r="B241" t="s">
        <v>57</v>
      </c>
      <c r="C241">
        <v>12</v>
      </c>
      <c r="D241">
        <v>120</v>
      </c>
      <c r="E241" t="s">
        <v>94</v>
      </c>
      <c r="F241" t="s">
        <v>40</v>
      </c>
      <c r="G241">
        <f t="shared" si="3"/>
        <v>0</v>
      </c>
      <c r="H241">
        <v>3</v>
      </c>
      <c r="I241">
        <v>10</v>
      </c>
      <c r="J241">
        <v>0</v>
      </c>
      <c r="K241" s="6" t="s">
        <v>59</v>
      </c>
      <c r="L241" s="6" t="s">
        <v>74</v>
      </c>
      <c r="M241">
        <v>106</v>
      </c>
      <c r="N241" s="1">
        <v>0.498</v>
      </c>
      <c r="O241">
        <v>18</v>
      </c>
      <c r="P241" s="1">
        <v>0.38300000000000001</v>
      </c>
      <c r="Q241" s="1">
        <v>0.73699999999999999</v>
      </c>
      <c r="R241">
        <v>286</v>
      </c>
      <c r="S241">
        <v>31</v>
      </c>
      <c r="T241">
        <v>106</v>
      </c>
      <c r="U241">
        <v>42</v>
      </c>
      <c r="V241">
        <v>16</v>
      </c>
      <c r="W241">
        <v>10</v>
      </c>
      <c r="X241">
        <v>27</v>
      </c>
      <c r="Y241" s="5">
        <v>1.5555555555555556</v>
      </c>
    </row>
    <row r="242" spans="1:25" x14ac:dyDescent="0.25">
      <c r="A242">
        <v>2018</v>
      </c>
      <c r="B242" t="s">
        <v>57</v>
      </c>
      <c r="C242">
        <v>13</v>
      </c>
      <c r="D242">
        <v>121</v>
      </c>
      <c r="E242" t="s">
        <v>21</v>
      </c>
      <c r="F242" t="s">
        <v>50</v>
      </c>
      <c r="G242">
        <f t="shared" si="3"/>
        <v>1</v>
      </c>
      <c r="H242">
        <v>8</v>
      </c>
      <c r="I242">
        <v>5</v>
      </c>
      <c r="J242">
        <v>0</v>
      </c>
      <c r="K242" s="6" t="s">
        <v>60</v>
      </c>
      <c r="L242" s="6" t="s">
        <v>75</v>
      </c>
      <c r="M242">
        <v>150</v>
      </c>
      <c r="N242" s="1">
        <v>0.51900000000000002</v>
      </c>
      <c r="O242">
        <v>31</v>
      </c>
      <c r="P242" s="1">
        <v>0.39200000000000002</v>
      </c>
      <c r="Q242" s="1">
        <v>0.753</v>
      </c>
      <c r="R242">
        <v>386</v>
      </c>
      <c r="S242">
        <v>38</v>
      </c>
      <c r="T242">
        <v>87</v>
      </c>
      <c r="U242">
        <v>99</v>
      </c>
      <c r="V242">
        <v>25</v>
      </c>
      <c r="W242">
        <v>21</v>
      </c>
      <c r="X242">
        <v>57</v>
      </c>
      <c r="Y242" s="5">
        <v>1.736842105263158</v>
      </c>
    </row>
    <row r="243" spans="1:25" x14ac:dyDescent="0.25">
      <c r="A243">
        <v>2018</v>
      </c>
      <c r="B243" t="s">
        <v>57</v>
      </c>
      <c r="C243">
        <v>13</v>
      </c>
      <c r="D243">
        <v>121</v>
      </c>
      <c r="E243" t="s">
        <v>16</v>
      </c>
      <c r="F243" t="s">
        <v>51</v>
      </c>
      <c r="G243">
        <f t="shared" si="3"/>
        <v>0</v>
      </c>
      <c r="H243">
        <v>5</v>
      </c>
      <c r="I243">
        <v>8</v>
      </c>
      <c r="J243">
        <v>0</v>
      </c>
      <c r="K243" s="6" t="s">
        <v>70</v>
      </c>
      <c r="L243" s="6" t="s">
        <v>87</v>
      </c>
      <c r="M243">
        <v>120</v>
      </c>
      <c r="N243" s="1">
        <v>0.441</v>
      </c>
      <c r="O243">
        <v>34</v>
      </c>
      <c r="P243" s="1">
        <v>0.30599999999999999</v>
      </c>
      <c r="Q243" s="1">
        <v>0.84399999999999997</v>
      </c>
      <c r="R243">
        <v>339</v>
      </c>
      <c r="S243">
        <v>26</v>
      </c>
      <c r="T243">
        <v>118</v>
      </c>
      <c r="U243">
        <v>86</v>
      </c>
      <c r="V243">
        <v>24</v>
      </c>
      <c r="W243">
        <v>14</v>
      </c>
      <c r="X243">
        <v>48</v>
      </c>
      <c r="Y243" s="5">
        <v>1.7916666666666667</v>
      </c>
    </row>
    <row r="244" spans="1:25" x14ac:dyDescent="0.25">
      <c r="A244">
        <v>2018</v>
      </c>
      <c r="B244" t="s">
        <v>57</v>
      </c>
      <c r="C244">
        <v>13</v>
      </c>
      <c r="D244">
        <v>122</v>
      </c>
      <c r="E244" t="s">
        <v>159</v>
      </c>
      <c r="F244" t="s">
        <v>116</v>
      </c>
      <c r="G244">
        <f t="shared" si="3"/>
        <v>1</v>
      </c>
      <c r="H244">
        <v>7</v>
      </c>
      <c r="I244">
        <v>6</v>
      </c>
      <c r="J244">
        <v>0</v>
      </c>
      <c r="K244" s="6" t="s">
        <v>63</v>
      </c>
      <c r="L244" s="6" t="s">
        <v>79</v>
      </c>
      <c r="M244">
        <v>136</v>
      </c>
      <c r="N244" s="1">
        <v>0.41199999999999998</v>
      </c>
      <c r="O244">
        <v>38</v>
      </c>
      <c r="P244" s="1">
        <v>0.34200000000000003</v>
      </c>
      <c r="Q244" s="1">
        <v>0.65500000000000003</v>
      </c>
      <c r="R244">
        <v>346</v>
      </c>
      <c r="S244">
        <v>35</v>
      </c>
      <c r="T244">
        <v>125</v>
      </c>
      <c r="U244">
        <v>103</v>
      </c>
      <c r="V244">
        <v>37</v>
      </c>
      <c r="W244">
        <v>18</v>
      </c>
      <c r="X244">
        <v>59</v>
      </c>
      <c r="Y244" s="5">
        <v>1.7457627118644068</v>
      </c>
    </row>
    <row r="245" spans="1:25" x14ac:dyDescent="0.25">
      <c r="A245">
        <v>2018</v>
      </c>
      <c r="B245" t="s">
        <v>57</v>
      </c>
      <c r="C245">
        <v>13</v>
      </c>
      <c r="D245">
        <v>122</v>
      </c>
      <c r="E245" t="s">
        <v>17</v>
      </c>
      <c r="F245" t="s">
        <v>43</v>
      </c>
      <c r="G245">
        <f t="shared" si="3"/>
        <v>0</v>
      </c>
      <c r="H245">
        <v>6</v>
      </c>
      <c r="I245">
        <v>7</v>
      </c>
      <c r="J245">
        <v>0</v>
      </c>
      <c r="K245" s="6" t="s">
        <v>193</v>
      </c>
      <c r="L245" s="6" t="s">
        <v>117</v>
      </c>
      <c r="M245">
        <v>145</v>
      </c>
      <c r="N245" s="1">
        <v>0.48699999999999999</v>
      </c>
      <c r="O245">
        <v>23</v>
      </c>
      <c r="P245" s="1">
        <v>0.32400000000000001</v>
      </c>
      <c r="Q245" s="1">
        <v>0.77300000000000002</v>
      </c>
      <c r="R245">
        <v>381</v>
      </c>
      <c r="S245">
        <v>50</v>
      </c>
      <c r="T245">
        <v>121</v>
      </c>
      <c r="U245">
        <v>75</v>
      </c>
      <c r="V245">
        <v>32</v>
      </c>
      <c r="W245">
        <v>26</v>
      </c>
      <c r="X245">
        <v>61</v>
      </c>
      <c r="Y245" s="5">
        <v>1.2295081967213115</v>
      </c>
    </row>
    <row r="246" spans="1:25" x14ac:dyDescent="0.25">
      <c r="A246">
        <v>2018</v>
      </c>
      <c r="B246" t="s">
        <v>57</v>
      </c>
      <c r="C246">
        <v>13</v>
      </c>
      <c r="D246">
        <v>123</v>
      </c>
      <c r="E246" t="s">
        <v>28</v>
      </c>
      <c r="F246" t="s">
        <v>46</v>
      </c>
      <c r="G246">
        <f t="shared" si="3"/>
        <v>1</v>
      </c>
      <c r="H246">
        <v>7</v>
      </c>
      <c r="I246">
        <v>6</v>
      </c>
      <c r="J246">
        <v>0</v>
      </c>
      <c r="K246" s="6" t="s">
        <v>67</v>
      </c>
      <c r="L246" s="6" t="s">
        <v>82</v>
      </c>
      <c r="M246">
        <v>135</v>
      </c>
      <c r="N246" s="1">
        <v>0.45500000000000002</v>
      </c>
      <c r="O246">
        <v>26</v>
      </c>
      <c r="P246" s="1">
        <v>0.34200000000000003</v>
      </c>
      <c r="Q246" s="1">
        <v>0.77900000000000003</v>
      </c>
      <c r="R246">
        <v>363</v>
      </c>
      <c r="S246">
        <v>51</v>
      </c>
      <c r="T246">
        <v>97</v>
      </c>
      <c r="U246">
        <v>104</v>
      </c>
      <c r="V246">
        <v>32</v>
      </c>
      <c r="W246">
        <v>18</v>
      </c>
      <c r="X246">
        <v>58</v>
      </c>
      <c r="Y246" s="5">
        <v>1.7931034482758621</v>
      </c>
    </row>
    <row r="247" spans="1:25" x14ac:dyDescent="0.25">
      <c r="A247">
        <v>2018</v>
      </c>
      <c r="B247" t="s">
        <v>57</v>
      </c>
      <c r="C247">
        <v>13</v>
      </c>
      <c r="D247">
        <v>123</v>
      </c>
      <c r="E247" t="s">
        <v>19</v>
      </c>
      <c r="F247" t="s">
        <v>56</v>
      </c>
      <c r="G247">
        <f t="shared" si="3"/>
        <v>0</v>
      </c>
      <c r="H247">
        <v>6</v>
      </c>
      <c r="I247">
        <v>7</v>
      </c>
      <c r="J247">
        <v>0</v>
      </c>
      <c r="K247" s="6" t="s">
        <v>64</v>
      </c>
      <c r="L247" s="6" t="s">
        <v>80</v>
      </c>
      <c r="M247">
        <v>131</v>
      </c>
      <c r="N247" s="1">
        <v>0.41299999999999998</v>
      </c>
      <c r="O247">
        <v>36</v>
      </c>
      <c r="P247" s="1">
        <v>0.31</v>
      </c>
      <c r="Q247" s="1">
        <v>0.82799999999999996</v>
      </c>
      <c r="R247">
        <v>370</v>
      </c>
      <c r="S247">
        <v>33</v>
      </c>
      <c r="T247">
        <v>127</v>
      </c>
      <c r="U247">
        <v>84</v>
      </c>
      <c r="V247">
        <v>20</v>
      </c>
      <c r="W247">
        <v>13</v>
      </c>
      <c r="X247">
        <v>34</v>
      </c>
      <c r="Y247" s="5">
        <v>2.4705882352941178</v>
      </c>
    </row>
    <row r="248" spans="1:25" x14ac:dyDescent="0.25">
      <c r="A248">
        <v>2018</v>
      </c>
      <c r="B248" t="s">
        <v>57</v>
      </c>
      <c r="C248">
        <v>13</v>
      </c>
      <c r="D248">
        <v>124</v>
      </c>
      <c r="E248" t="s">
        <v>25</v>
      </c>
      <c r="F248" t="s">
        <v>53</v>
      </c>
      <c r="G248">
        <f t="shared" si="3"/>
        <v>0</v>
      </c>
      <c r="H248">
        <v>5</v>
      </c>
      <c r="I248">
        <v>8</v>
      </c>
      <c r="J248">
        <v>0</v>
      </c>
      <c r="K248" s="6" t="s">
        <v>66</v>
      </c>
      <c r="L248" s="6" t="s">
        <v>81</v>
      </c>
      <c r="M248">
        <v>182</v>
      </c>
      <c r="N248" s="1">
        <v>0.44600000000000001</v>
      </c>
      <c r="O248">
        <v>38</v>
      </c>
      <c r="P248" s="1">
        <v>0.35799999999999998</v>
      </c>
      <c r="Q248" s="1">
        <v>0.80900000000000005</v>
      </c>
      <c r="R248">
        <v>474</v>
      </c>
      <c r="S248">
        <v>37</v>
      </c>
      <c r="T248">
        <v>130</v>
      </c>
      <c r="U248">
        <v>92</v>
      </c>
      <c r="V248">
        <v>21</v>
      </c>
      <c r="W248">
        <v>8</v>
      </c>
      <c r="X248">
        <v>57</v>
      </c>
      <c r="Y248" s="5">
        <v>1.6140350877192982</v>
      </c>
    </row>
    <row r="249" spans="1:25" x14ac:dyDescent="0.25">
      <c r="A249">
        <v>2018</v>
      </c>
      <c r="B249" t="s">
        <v>57</v>
      </c>
      <c r="C249">
        <v>13</v>
      </c>
      <c r="D249">
        <v>124</v>
      </c>
      <c r="E249" t="s">
        <v>22</v>
      </c>
      <c r="F249" t="s">
        <v>44</v>
      </c>
      <c r="G249">
        <f t="shared" si="3"/>
        <v>1</v>
      </c>
      <c r="H249">
        <v>8</v>
      </c>
      <c r="I249">
        <v>5</v>
      </c>
      <c r="J249">
        <v>0</v>
      </c>
      <c r="K249" s="6" t="s">
        <v>68</v>
      </c>
      <c r="L249" s="6" t="s">
        <v>84</v>
      </c>
      <c r="M249">
        <v>175</v>
      </c>
      <c r="N249" s="1">
        <v>0.504</v>
      </c>
      <c r="O249">
        <v>53</v>
      </c>
      <c r="P249" s="1">
        <v>0.44500000000000001</v>
      </c>
      <c r="Q249" s="1">
        <v>0.8</v>
      </c>
      <c r="R249">
        <v>463</v>
      </c>
      <c r="S249">
        <v>35</v>
      </c>
      <c r="T249">
        <v>158</v>
      </c>
      <c r="U249">
        <v>93</v>
      </c>
      <c r="V249">
        <v>17</v>
      </c>
      <c r="W249">
        <v>11</v>
      </c>
      <c r="X249">
        <v>53</v>
      </c>
      <c r="Y249" s="5">
        <v>1.7547169811320755</v>
      </c>
    </row>
    <row r="250" spans="1:25" x14ac:dyDescent="0.25">
      <c r="A250">
        <v>2018</v>
      </c>
      <c r="B250" t="s">
        <v>57</v>
      </c>
      <c r="C250">
        <v>13</v>
      </c>
      <c r="D250">
        <v>125</v>
      </c>
      <c r="E250" t="s">
        <v>26</v>
      </c>
      <c r="F250" t="s">
        <v>118</v>
      </c>
      <c r="G250">
        <f t="shared" si="3"/>
        <v>0</v>
      </c>
      <c r="H250">
        <v>6</v>
      </c>
      <c r="I250">
        <v>7</v>
      </c>
      <c r="J250">
        <v>0</v>
      </c>
      <c r="K250" s="6" t="s">
        <v>69</v>
      </c>
      <c r="L250" s="6" t="s">
        <v>86</v>
      </c>
      <c r="M250">
        <v>129</v>
      </c>
      <c r="N250" s="1">
        <v>0.42299999999999999</v>
      </c>
      <c r="O250">
        <v>38</v>
      </c>
      <c r="P250" s="1">
        <v>0.28599999999999998</v>
      </c>
      <c r="Q250" s="1">
        <v>0.79600000000000004</v>
      </c>
      <c r="R250">
        <v>339</v>
      </c>
      <c r="S250">
        <v>21</v>
      </c>
      <c r="T250">
        <v>104</v>
      </c>
      <c r="U250">
        <v>78</v>
      </c>
      <c r="V250">
        <v>36</v>
      </c>
      <c r="W250">
        <v>16</v>
      </c>
      <c r="X250">
        <v>42</v>
      </c>
      <c r="Y250" s="5">
        <v>1.8571428571428572</v>
      </c>
    </row>
    <row r="251" spans="1:25" x14ac:dyDescent="0.25">
      <c r="A251">
        <v>2018</v>
      </c>
      <c r="B251" t="s">
        <v>57</v>
      </c>
      <c r="C251">
        <v>13</v>
      </c>
      <c r="D251">
        <v>125</v>
      </c>
      <c r="E251" t="s">
        <v>24</v>
      </c>
      <c r="F251" t="s">
        <v>55</v>
      </c>
      <c r="G251">
        <f t="shared" si="3"/>
        <v>1</v>
      </c>
      <c r="H251">
        <v>7</v>
      </c>
      <c r="I251">
        <v>6</v>
      </c>
      <c r="J251">
        <v>0</v>
      </c>
      <c r="K251" s="6" t="s">
        <v>65</v>
      </c>
      <c r="L251" s="6" t="s">
        <v>119</v>
      </c>
      <c r="M251">
        <v>126</v>
      </c>
      <c r="N251" s="1">
        <v>0.41599999999999998</v>
      </c>
      <c r="O251">
        <v>50</v>
      </c>
      <c r="P251" s="1">
        <v>0.39700000000000002</v>
      </c>
      <c r="Q251" s="1">
        <v>0.74099999999999999</v>
      </c>
      <c r="R251">
        <v>365</v>
      </c>
      <c r="S251">
        <v>33</v>
      </c>
      <c r="T251">
        <v>131</v>
      </c>
      <c r="U251">
        <v>88</v>
      </c>
      <c r="V251">
        <v>33</v>
      </c>
      <c r="W251">
        <v>21</v>
      </c>
      <c r="X251">
        <v>63</v>
      </c>
      <c r="Y251" s="5">
        <v>1.3968253968253967</v>
      </c>
    </row>
    <row r="252" spans="1:25" x14ac:dyDescent="0.25">
      <c r="A252">
        <v>2018</v>
      </c>
      <c r="B252" t="s">
        <v>57</v>
      </c>
      <c r="C252">
        <v>13</v>
      </c>
      <c r="D252">
        <v>126</v>
      </c>
      <c r="E252" t="s">
        <v>23</v>
      </c>
      <c r="F252" t="s">
        <v>120</v>
      </c>
      <c r="G252">
        <f t="shared" si="3"/>
        <v>0</v>
      </c>
      <c r="H252">
        <v>4</v>
      </c>
      <c r="I252">
        <v>9</v>
      </c>
      <c r="J252">
        <v>0</v>
      </c>
      <c r="K252" s="6" t="s">
        <v>191</v>
      </c>
      <c r="L252" s="6" t="s">
        <v>113</v>
      </c>
      <c r="M252">
        <v>167</v>
      </c>
      <c r="N252" s="1">
        <v>0.47599999999999998</v>
      </c>
      <c r="O252">
        <v>35</v>
      </c>
      <c r="P252" s="1">
        <v>0.33700000000000002</v>
      </c>
      <c r="Q252" s="1">
        <v>0.78800000000000003</v>
      </c>
      <c r="R252">
        <v>436</v>
      </c>
      <c r="S252">
        <v>30</v>
      </c>
      <c r="T252">
        <v>126</v>
      </c>
      <c r="U252">
        <v>81</v>
      </c>
      <c r="V252">
        <v>38</v>
      </c>
      <c r="W252">
        <v>27</v>
      </c>
      <c r="X252">
        <v>48</v>
      </c>
      <c r="Y252" s="5">
        <v>1.6875</v>
      </c>
    </row>
    <row r="253" spans="1:25" x14ac:dyDescent="0.25">
      <c r="A253">
        <v>2018</v>
      </c>
      <c r="B253" t="s">
        <v>57</v>
      </c>
      <c r="C253">
        <v>13</v>
      </c>
      <c r="D253">
        <v>126</v>
      </c>
      <c r="E253" t="s">
        <v>190</v>
      </c>
      <c r="F253" t="s">
        <v>103</v>
      </c>
      <c r="G253">
        <f t="shared" si="3"/>
        <v>1</v>
      </c>
      <c r="H253">
        <v>9</v>
      </c>
      <c r="I253">
        <v>4</v>
      </c>
      <c r="J253">
        <v>0</v>
      </c>
      <c r="K253" s="6" t="s">
        <v>71</v>
      </c>
      <c r="L253" s="6" t="s">
        <v>121</v>
      </c>
      <c r="M253">
        <v>201</v>
      </c>
      <c r="N253" s="1">
        <v>0.48</v>
      </c>
      <c r="O253">
        <v>48</v>
      </c>
      <c r="P253" s="1">
        <v>0.36399999999999999</v>
      </c>
      <c r="Q253" s="1">
        <v>0.72</v>
      </c>
      <c r="R253">
        <v>522</v>
      </c>
      <c r="S253">
        <v>44</v>
      </c>
      <c r="T253">
        <v>136</v>
      </c>
      <c r="U253">
        <v>92</v>
      </c>
      <c r="V253">
        <v>29</v>
      </c>
      <c r="W253">
        <v>30</v>
      </c>
      <c r="X253">
        <v>65</v>
      </c>
      <c r="Y253" s="5">
        <v>1.4153846153846155</v>
      </c>
    </row>
    <row r="254" spans="1:25" x14ac:dyDescent="0.25">
      <c r="A254">
        <v>2018</v>
      </c>
      <c r="B254" t="s">
        <v>57</v>
      </c>
      <c r="C254">
        <v>13</v>
      </c>
      <c r="D254">
        <v>127</v>
      </c>
      <c r="E254" t="s">
        <v>20</v>
      </c>
      <c r="F254" t="s">
        <v>47</v>
      </c>
      <c r="G254">
        <f t="shared" si="3"/>
        <v>1</v>
      </c>
      <c r="H254">
        <v>9</v>
      </c>
      <c r="I254">
        <v>3</v>
      </c>
      <c r="J254">
        <v>1</v>
      </c>
      <c r="K254" s="6" t="s">
        <v>111</v>
      </c>
      <c r="L254" s="6" t="s">
        <v>89</v>
      </c>
      <c r="M254">
        <v>145</v>
      </c>
      <c r="N254" s="1">
        <v>0.46600000000000003</v>
      </c>
      <c r="O254">
        <v>19</v>
      </c>
      <c r="P254" s="1">
        <v>0.27900000000000003</v>
      </c>
      <c r="Q254" s="1">
        <v>0.77</v>
      </c>
      <c r="R254">
        <v>356</v>
      </c>
      <c r="S254">
        <v>35</v>
      </c>
      <c r="T254">
        <v>124</v>
      </c>
      <c r="U254">
        <v>87</v>
      </c>
      <c r="V254">
        <v>19</v>
      </c>
      <c r="W254">
        <v>12</v>
      </c>
      <c r="X254">
        <v>40</v>
      </c>
      <c r="Y254" s="5">
        <v>2.1749999999999998</v>
      </c>
    </row>
    <row r="255" spans="1:25" x14ac:dyDescent="0.25">
      <c r="A255">
        <v>2018</v>
      </c>
      <c r="B255" t="s">
        <v>57</v>
      </c>
      <c r="C255">
        <v>13</v>
      </c>
      <c r="D255">
        <v>127</v>
      </c>
      <c r="E255" t="s">
        <v>97</v>
      </c>
      <c r="F255" t="s">
        <v>54</v>
      </c>
      <c r="G255">
        <f t="shared" si="3"/>
        <v>0</v>
      </c>
      <c r="H255">
        <v>3</v>
      </c>
      <c r="I255">
        <v>9</v>
      </c>
      <c r="J255">
        <v>1</v>
      </c>
      <c r="K255" s="6" t="s">
        <v>62</v>
      </c>
      <c r="L255" s="6" t="s">
        <v>78</v>
      </c>
      <c r="M255">
        <v>85</v>
      </c>
      <c r="N255" s="1">
        <v>0.47</v>
      </c>
      <c r="O255">
        <v>14</v>
      </c>
      <c r="P255" s="1">
        <v>0.29799999999999999</v>
      </c>
      <c r="Q255" s="1">
        <v>0.82499999999999996</v>
      </c>
      <c r="R255">
        <v>217</v>
      </c>
      <c r="S255">
        <v>35</v>
      </c>
      <c r="T255">
        <v>87</v>
      </c>
      <c r="U255">
        <v>41</v>
      </c>
      <c r="V255">
        <v>11</v>
      </c>
      <c r="W255">
        <v>6</v>
      </c>
      <c r="X255">
        <v>41</v>
      </c>
      <c r="Y255" s="5">
        <v>1</v>
      </c>
    </row>
    <row r="256" spans="1:25" x14ac:dyDescent="0.25">
      <c r="A256">
        <v>2018</v>
      </c>
      <c r="B256" t="s">
        <v>57</v>
      </c>
      <c r="C256">
        <v>13</v>
      </c>
      <c r="D256">
        <v>128</v>
      </c>
      <c r="E256" t="s">
        <v>98</v>
      </c>
      <c r="F256" t="s">
        <v>41</v>
      </c>
      <c r="G256">
        <f t="shared" si="3"/>
        <v>0</v>
      </c>
      <c r="H256">
        <v>4</v>
      </c>
      <c r="I256">
        <v>9</v>
      </c>
      <c r="J256">
        <v>0</v>
      </c>
      <c r="K256" s="6" t="s">
        <v>182</v>
      </c>
      <c r="L256" s="6" t="s">
        <v>76</v>
      </c>
      <c r="M256">
        <v>162</v>
      </c>
      <c r="N256" s="1">
        <v>0.46700000000000003</v>
      </c>
      <c r="O256">
        <v>25</v>
      </c>
      <c r="P256" s="1">
        <v>0.24</v>
      </c>
      <c r="Q256" s="1">
        <v>0.77500000000000002</v>
      </c>
      <c r="R256">
        <v>435</v>
      </c>
      <c r="S256">
        <v>27</v>
      </c>
      <c r="T256">
        <v>150</v>
      </c>
      <c r="U256">
        <v>109</v>
      </c>
      <c r="V256">
        <v>34</v>
      </c>
      <c r="W256">
        <v>10</v>
      </c>
      <c r="X256">
        <v>63</v>
      </c>
      <c r="Y256" s="5">
        <v>1.7301587301587302</v>
      </c>
    </row>
    <row r="257" spans="1:25" x14ac:dyDescent="0.25">
      <c r="A257">
        <v>2018</v>
      </c>
      <c r="B257" t="s">
        <v>57</v>
      </c>
      <c r="C257">
        <v>13</v>
      </c>
      <c r="D257">
        <v>128</v>
      </c>
      <c r="E257" t="s">
        <v>181</v>
      </c>
      <c r="F257" t="s">
        <v>49</v>
      </c>
      <c r="G257">
        <f t="shared" si="3"/>
        <v>1</v>
      </c>
      <c r="H257">
        <v>9</v>
      </c>
      <c r="I257">
        <v>4</v>
      </c>
      <c r="J257">
        <v>0</v>
      </c>
      <c r="K257" s="6" t="s">
        <v>112</v>
      </c>
      <c r="L257" s="6" t="s">
        <v>88</v>
      </c>
      <c r="M257">
        <v>178</v>
      </c>
      <c r="N257" s="1">
        <v>0.47299999999999998</v>
      </c>
      <c r="O257">
        <v>53</v>
      </c>
      <c r="P257" s="1">
        <v>0.39</v>
      </c>
      <c r="Q257" s="1">
        <v>0.89800000000000002</v>
      </c>
      <c r="R257">
        <v>497</v>
      </c>
      <c r="S257">
        <v>20</v>
      </c>
      <c r="T257">
        <v>104</v>
      </c>
      <c r="U257">
        <v>83</v>
      </c>
      <c r="V257">
        <v>22</v>
      </c>
      <c r="W257">
        <v>12</v>
      </c>
      <c r="X257">
        <v>44</v>
      </c>
      <c r="Y257" s="5">
        <v>1.8863636363636365</v>
      </c>
    </row>
    <row r="258" spans="1:25" x14ac:dyDescent="0.25">
      <c r="A258">
        <v>2018</v>
      </c>
      <c r="B258" t="s">
        <v>57</v>
      </c>
      <c r="C258">
        <v>13</v>
      </c>
      <c r="D258">
        <v>129</v>
      </c>
      <c r="E258" t="s">
        <v>33</v>
      </c>
      <c r="F258" t="s">
        <v>42</v>
      </c>
      <c r="G258">
        <f t="shared" ref="G258:G321" si="4">IF(H258+0.5*J258&gt;6.5,1,0)</f>
        <v>0</v>
      </c>
      <c r="H258">
        <v>4</v>
      </c>
      <c r="I258">
        <v>9</v>
      </c>
      <c r="J258">
        <v>0</v>
      </c>
      <c r="K258" s="6" t="s">
        <v>59</v>
      </c>
      <c r="L258" s="6" t="s">
        <v>74</v>
      </c>
      <c r="M258">
        <v>175</v>
      </c>
      <c r="N258" s="1">
        <v>0.49399999999999999</v>
      </c>
      <c r="O258">
        <v>50</v>
      </c>
      <c r="P258" s="1">
        <v>0.35499999999999998</v>
      </c>
      <c r="Q258" s="1">
        <v>0.70699999999999996</v>
      </c>
      <c r="R258">
        <v>465</v>
      </c>
      <c r="S258">
        <v>17</v>
      </c>
      <c r="T258">
        <v>121</v>
      </c>
      <c r="U258">
        <v>88</v>
      </c>
      <c r="V258">
        <v>39</v>
      </c>
      <c r="W258">
        <v>23</v>
      </c>
      <c r="X258">
        <v>57</v>
      </c>
      <c r="Y258" s="5">
        <v>1.5438596491228069</v>
      </c>
    </row>
    <row r="259" spans="1:25" x14ac:dyDescent="0.25">
      <c r="A259">
        <v>2018</v>
      </c>
      <c r="B259" t="s">
        <v>57</v>
      </c>
      <c r="C259">
        <v>13</v>
      </c>
      <c r="D259">
        <v>129</v>
      </c>
      <c r="E259" t="s">
        <v>18</v>
      </c>
      <c r="F259" t="s">
        <v>52</v>
      </c>
      <c r="G259">
        <f t="shared" si="4"/>
        <v>1</v>
      </c>
      <c r="H259">
        <v>9</v>
      </c>
      <c r="I259">
        <v>4</v>
      </c>
      <c r="J259">
        <v>0</v>
      </c>
      <c r="K259" s="6" t="s">
        <v>72</v>
      </c>
      <c r="L259" s="6" t="s">
        <v>85</v>
      </c>
      <c r="M259">
        <v>187</v>
      </c>
      <c r="N259" s="1">
        <v>0.53400000000000003</v>
      </c>
      <c r="O259">
        <v>32</v>
      </c>
      <c r="P259" s="1">
        <v>0.33700000000000002</v>
      </c>
      <c r="Q259" s="1">
        <v>0.83799999999999997</v>
      </c>
      <c r="R259">
        <v>473</v>
      </c>
      <c r="S259">
        <v>42</v>
      </c>
      <c r="T259">
        <v>140</v>
      </c>
      <c r="U259">
        <v>122</v>
      </c>
      <c r="V259">
        <v>31</v>
      </c>
      <c r="W259">
        <v>12</v>
      </c>
      <c r="X259">
        <v>45</v>
      </c>
      <c r="Y259" s="5">
        <v>2.7111111111111112</v>
      </c>
    </row>
    <row r="260" spans="1:25" x14ac:dyDescent="0.25">
      <c r="A260">
        <v>2018</v>
      </c>
      <c r="B260" t="s">
        <v>57</v>
      </c>
      <c r="C260">
        <v>13</v>
      </c>
      <c r="D260">
        <v>130</v>
      </c>
      <c r="E260" t="s">
        <v>15</v>
      </c>
      <c r="F260" t="s">
        <v>48</v>
      </c>
      <c r="G260">
        <f t="shared" si="4"/>
        <v>1</v>
      </c>
      <c r="H260">
        <v>7</v>
      </c>
      <c r="I260">
        <v>6</v>
      </c>
      <c r="J260">
        <v>0</v>
      </c>
      <c r="K260" s="6" t="s">
        <v>106</v>
      </c>
      <c r="L260" s="6" t="s">
        <v>83</v>
      </c>
      <c r="M260">
        <v>150</v>
      </c>
      <c r="N260" s="1">
        <v>0.47499999999999998</v>
      </c>
      <c r="O260">
        <v>36</v>
      </c>
      <c r="P260" s="1">
        <v>0.38300000000000001</v>
      </c>
      <c r="Q260" s="1">
        <v>0.73699999999999999</v>
      </c>
      <c r="R260">
        <v>434</v>
      </c>
      <c r="S260">
        <v>33</v>
      </c>
      <c r="T260">
        <v>109</v>
      </c>
      <c r="U260">
        <v>58</v>
      </c>
      <c r="V260">
        <v>27</v>
      </c>
      <c r="W260">
        <v>25</v>
      </c>
      <c r="X260">
        <v>45</v>
      </c>
      <c r="Y260" s="5">
        <v>1.288888888888889</v>
      </c>
    </row>
    <row r="261" spans="1:25" x14ac:dyDescent="0.25">
      <c r="A261">
        <v>2018</v>
      </c>
      <c r="B261" t="s">
        <v>57</v>
      </c>
      <c r="C261">
        <v>13</v>
      </c>
      <c r="D261">
        <v>130</v>
      </c>
      <c r="E261" t="s">
        <v>94</v>
      </c>
      <c r="F261" t="s">
        <v>40</v>
      </c>
      <c r="G261">
        <f t="shared" si="4"/>
        <v>0</v>
      </c>
      <c r="H261">
        <v>6</v>
      </c>
      <c r="I261">
        <v>7</v>
      </c>
      <c r="J261">
        <v>0</v>
      </c>
      <c r="K261" s="6" t="s">
        <v>61</v>
      </c>
      <c r="L261" s="6" t="s">
        <v>77</v>
      </c>
      <c r="M261">
        <v>152</v>
      </c>
      <c r="N261" s="1">
        <v>0.51900000000000002</v>
      </c>
      <c r="O261">
        <v>33</v>
      </c>
      <c r="P261" s="1">
        <v>0.41299999999999998</v>
      </c>
      <c r="Q261" s="1">
        <v>0.65700000000000003</v>
      </c>
      <c r="R261">
        <v>383</v>
      </c>
      <c r="S261">
        <v>56</v>
      </c>
      <c r="T261">
        <v>145</v>
      </c>
      <c r="U261">
        <v>50</v>
      </c>
      <c r="V261">
        <v>17</v>
      </c>
      <c r="W261">
        <v>18</v>
      </c>
      <c r="X261">
        <v>42</v>
      </c>
      <c r="Y261" s="5">
        <v>1.1904761904761905</v>
      </c>
    </row>
    <row r="262" spans="1:25" x14ac:dyDescent="0.25">
      <c r="A262">
        <v>2018</v>
      </c>
      <c r="B262" t="s">
        <v>57</v>
      </c>
      <c r="C262">
        <v>14</v>
      </c>
      <c r="D262">
        <v>131</v>
      </c>
      <c r="E262" t="s">
        <v>16</v>
      </c>
      <c r="F262" t="s">
        <v>51</v>
      </c>
      <c r="G262">
        <f t="shared" si="4"/>
        <v>1</v>
      </c>
      <c r="H262">
        <v>8</v>
      </c>
      <c r="I262">
        <v>5</v>
      </c>
      <c r="J262">
        <v>0</v>
      </c>
      <c r="K262" s="6" t="s">
        <v>112</v>
      </c>
      <c r="L262" s="6" t="s">
        <v>88</v>
      </c>
      <c r="M262">
        <v>173</v>
      </c>
      <c r="N262" s="1">
        <v>0.45800000000000002</v>
      </c>
      <c r="O262">
        <v>59</v>
      </c>
      <c r="P262" s="1">
        <v>0.376</v>
      </c>
      <c r="Q262" s="1">
        <v>0.78600000000000003</v>
      </c>
      <c r="R262">
        <v>471</v>
      </c>
      <c r="S262">
        <v>35</v>
      </c>
      <c r="T262">
        <v>160</v>
      </c>
      <c r="U262">
        <v>107</v>
      </c>
      <c r="V262">
        <v>37</v>
      </c>
      <c r="W262">
        <v>18</v>
      </c>
      <c r="X262">
        <v>74</v>
      </c>
      <c r="Y262" s="5">
        <v>1.4459459459459461</v>
      </c>
    </row>
    <row r="263" spans="1:25" x14ac:dyDescent="0.25">
      <c r="A263">
        <v>2018</v>
      </c>
      <c r="B263" t="s">
        <v>57</v>
      </c>
      <c r="C263">
        <v>14</v>
      </c>
      <c r="D263">
        <v>131</v>
      </c>
      <c r="E263" t="s">
        <v>98</v>
      </c>
      <c r="F263" t="s">
        <v>41</v>
      </c>
      <c r="G263">
        <f t="shared" si="4"/>
        <v>0</v>
      </c>
      <c r="H263">
        <v>5</v>
      </c>
      <c r="I263">
        <v>8</v>
      </c>
      <c r="J263">
        <v>0</v>
      </c>
      <c r="K263" s="6" t="s">
        <v>60</v>
      </c>
      <c r="L263" s="6" t="s">
        <v>75</v>
      </c>
      <c r="M263">
        <v>158</v>
      </c>
      <c r="N263" s="1">
        <v>0.495</v>
      </c>
      <c r="O263">
        <v>44</v>
      </c>
      <c r="P263" s="1">
        <v>0.4</v>
      </c>
      <c r="Q263" s="1">
        <v>0.83499999999999996</v>
      </c>
      <c r="R263">
        <v>436</v>
      </c>
      <c r="S263">
        <v>30</v>
      </c>
      <c r="T263">
        <v>133</v>
      </c>
      <c r="U263">
        <v>96</v>
      </c>
      <c r="V263">
        <v>24</v>
      </c>
      <c r="W263">
        <v>14</v>
      </c>
      <c r="X263">
        <v>66</v>
      </c>
      <c r="Y263" s="5">
        <v>1.4545454545454546</v>
      </c>
    </row>
    <row r="264" spans="1:25" x14ac:dyDescent="0.25">
      <c r="A264">
        <v>2018</v>
      </c>
      <c r="B264" t="s">
        <v>57</v>
      </c>
      <c r="C264">
        <v>14</v>
      </c>
      <c r="D264">
        <v>132</v>
      </c>
      <c r="E264" t="s">
        <v>159</v>
      </c>
      <c r="F264" t="s">
        <v>116</v>
      </c>
      <c r="G264">
        <f t="shared" si="4"/>
        <v>1</v>
      </c>
      <c r="H264">
        <v>7</v>
      </c>
      <c r="I264">
        <v>6</v>
      </c>
      <c r="J264">
        <v>0</v>
      </c>
      <c r="K264" s="6" t="s">
        <v>64</v>
      </c>
      <c r="L264" s="6" t="s">
        <v>80</v>
      </c>
      <c r="M264">
        <v>120</v>
      </c>
      <c r="N264" s="1">
        <v>0.443</v>
      </c>
      <c r="O264">
        <v>36</v>
      </c>
      <c r="P264" s="1">
        <v>0.36</v>
      </c>
      <c r="Q264" s="1">
        <v>0.69099999999999995</v>
      </c>
      <c r="R264">
        <v>323</v>
      </c>
      <c r="S264">
        <v>18</v>
      </c>
      <c r="T264">
        <v>88</v>
      </c>
      <c r="U264">
        <v>47</v>
      </c>
      <c r="V264">
        <v>23</v>
      </c>
      <c r="W264">
        <v>19</v>
      </c>
      <c r="X264">
        <v>33</v>
      </c>
      <c r="Y264" s="5">
        <v>1.4242424242424243</v>
      </c>
    </row>
    <row r="265" spans="1:25" x14ac:dyDescent="0.25">
      <c r="A265">
        <v>2018</v>
      </c>
      <c r="B265" t="s">
        <v>57</v>
      </c>
      <c r="C265">
        <v>14</v>
      </c>
      <c r="D265">
        <v>132</v>
      </c>
      <c r="E265" t="s">
        <v>28</v>
      </c>
      <c r="F265" t="s">
        <v>46</v>
      </c>
      <c r="G265">
        <f t="shared" si="4"/>
        <v>0</v>
      </c>
      <c r="H265">
        <v>6</v>
      </c>
      <c r="I265">
        <v>7</v>
      </c>
      <c r="J265">
        <v>0</v>
      </c>
      <c r="K265" s="6" t="s">
        <v>193</v>
      </c>
      <c r="L265" s="6" t="s">
        <v>117</v>
      </c>
      <c r="M265">
        <v>107</v>
      </c>
      <c r="N265" s="1">
        <v>0.47799999999999998</v>
      </c>
      <c r="O265">
        <v>21</v>
      </c>
      <c r="P265" s="1">
        <v>0.438</v>
      </c>
      <c r="Q265" s="1">
        <v>0.82</v>
      </c>
      <c r="R265">
        <v>285</v>
      </c>
      <c r="S265">
        <v>44</v>
      </c>
      <c r="T265">
        <v>119</v>
      </c>
      <c r="U265">
        <v>73</v>
      </c>
      <c r="V265">
        <v>22</v>
      </c>
      <c r="W265">
        <v>16</v>
      </c>
      <c r="X265">
        <v>58</v>
      </c>
      <c r="Y265" s="5">
        <v>1.2586206896551724</v>
      </c>
    </row>
    <row r="266" spans="1:25" x14ac:dyDescent="0.25">
      <c r="A266">
        <v>2018</v>
      </c>
      <c r="B266" t="s">
        <v>57</v>
      </c>
      <c r="C266">
        <v>14</v>
      </c>
      <c r="D266">
        <v>133</v>
      </c>
      <c r="E266" t="s">
        <v>19</v>
      </c>
      <c r="F266" t="s">
        <v>56</v>
      </c>
      <c r="G266">
        <f t="shared" si="4"/>
        <v>0</v>
      </c>
      <c r="H266">
        <v>2</v>
      </c>
      <c r="I266">
        <v>11</v>
      </c>
      <c r="J266">
        <v>0</v>
      </c>
      <c r="K266" s="6" t="s">
        <v>66</v>
      </c>
      <c r="L266" s="6" t="s">
        <v>81</v>
      </c>
      <c r="M266">
        <v>108</v>
      </c>
      <c r="N266" s="1">
        <v>0.42499999999999999</v>
      </c>
      <c r="O266">
        <v>24</v>
      </c>
      <c r="P266" s="1">
        <v>0.28599999999999998</v>
      </c>
      <c r="Q266" s="1">
        <v>0.69799999999999995</v>
      </c>
      <c r="R266">
        <v>300</v>
      </c>
      <c r="S266">
        <v>32</v>
      </c>
      <c r="T266">
        <v>122</v>
      </c>
      <c r="U266">
        <v>90</v>
      </c>
      <c r="V266">
        <v>20</v>
      </c>
      <c r="W266">
        <v>16</v>
      </c>
      <c r="X266">
        <v>47</v>
      </c>
      <c r="Y266" s="5">
        <v>1.9148936170212767</v>
      </c>
    </row>
    <row r="267" spans="1:25" x14ac:dyDescent="0.25">
      <c r="A267">
        <v>2018</v>
      </c>
      <c r="B267" t="s">
        <v>57</v>
      </c>
      <c r="C267">
        <v>14</v>
      </c>
      <c r="D267">
        <v>133</v>
      </c>
      <c r="E267" t="s">
        <v>22</v>
      </c>
      <c r="F267" t="s">
        <v>44</v>
      </c>
      <c r="G267">
        <f t="shared" si="4"/>
        <v>1</v>
      </c>
      <c r="H267">
        <v>11</v>
      </c>
      <c r="I267">
        <v>2</v>
      </c>
      <c r="J267">
        <v>0</v>
      </c>
      <c r="K267" s="6" t="s">
        <v>67</v>
      </c>
      <c r="L267" s="6" t="s">
        <v>82</v>
      </c>
      <c r="M267">
        <v>149</v>
      </c>
      <c r="N267" s="1">
        <v>0.45200000000000001</v>
      </c>
      <c r="O267">
        <v>32</v>
      </c>
      <c r="P267" s="1">
        <v>0.30499999999999999</v>
      </c>
      <c r="Q267" s="1">
        <v>0.78200000000000003</v>
      </c>
      <c r="R267">
        <v>398</v>
      </c>
      <c r="S267">
        <v>24</v>
      </c>
      <c r="T267">
        <v>146</v>
      </c>
      <c r="U267">
        <v>99</v>
      </c>
      <c r="V267">
        <v>17</v>
      </c>
      <c r="W267">
        <v>23</v>
      </c>
      <c r="X267">
        <v>42</v>
      </c>
      <c r="Y267" s="5">
        <v>2.3571428571428572</v>
      </c>
    </row>
    <row r="268" spans="1:25" x14ac:dyDescent="0.25">
      <c r="A268">
        <v>2018</v>
      </c>
      <c r="B268" t="s">
        <v>57</v>
      </c>
      <c r="C268">
        <v>14</v>
      </c>
      <c r="D268">
        <v>134</v>
      </c>
      <c r="E268" t="s">
        <v>26</v>
      </c>
      <c r="F268" t="s">
        <v>118</v>
      </c>
      <c r="G268">
        <f t="shared" si="4"/>
        <v>0</v>
      </c>
      <c r="H268">
        <v>4</v>
      </c>
      <c r="I268">
        <v>8</v>
      </c>
      <c r="J268">
        <v>1</v>
      </c>
      <c r="K268" s="6" t="s">
        <v>68</v>
      </c>
      <c r="L268" s="6" t="s">
        <v>84</v>
      </c>
      <c r="M268">
        <v>137</v>
      </c>
      <c r="N268" s="1">
        <v>0.441</v>
      </c>
      <c r="O268">
        <v>55</v>
      </c>
      <c r="P268" s="1">
        <v>0.41399999999999998</v>
      </c>
      <c r="Q268" s="1">
        <v>0.77600000000000002</v>
      </c>
      <c r="R268">
        <v>388</v>
      </c>
      <c r="S268">
        <v>28</v>
      </c>
      <c r="T268">
        <v>98</v>
      </c>
      <c r="U268">
        <v>58</v>
      </c>
      <c r="V268">
        <v>30</v>
      </c>
      <c r="W268">
        <v>9</v>
      </c>
      <c r="X268">
        <v>44</v>
      </c>
      <c r="Y268" s="5">
        <v>1.3181818181818181</v>
      </c>
    </row>
    <row r="269" spans="1:25" x14ac:dyDescent="0.25">
      <c r="A269">
        <v>2018</v>
      </c>
      <c r="B269" t="s">
        <v>57</v>
      </c>
      <c r="C269">
        <v>14</v>
      </c>
      <c r="D269">
        <v>134</v>
      </c>
      <c r="E269" t="s">
        <v>25</v>
      </c>
      <c r="F269" t="s">
        <v>53</v>
      </c>
      <c r="G269">
        <f t="shared" si="4"/>
        <v>1</v>
      </c>
      <c r="H269">
        <v>8</v>
      </c>
      <c r="I269">
        <v>4</v>
      </c>
      <c r="J269">
        <v>1</v>
      </c>
      <c r="K269" s="6" t="s">
        <v>65</v>
      </c>
      <c r="L269" s="6" t="s">
        <v>119</v>
      </c>
      <c r="M269">
        <v>168</v>
      </c>
      <c r="N269" s="1">
        <v>0.45700000000000002</v>
      </c>
      <c r="O269">
        <v>44</v>
      </c>
      <c r="P269" s="1">
        <v>0.36699999999999999</v>
      </c>
      <c r="Q269" s="1">
        <v>0.81599999999999995</v>
      </c>
      <c r="R269">
        <v>460</v>
      </c>
      <c r="S269">
        <v>30</v>
      </c>
      <c r="T269">
        <v>138</v>
      </c>
      <c r="U269">
        <v>129</v>
      </c>
      <c r="V269">
        <v>29</v>
      </c>
      <c r="W269">
        <v>9</v>
      </c>
      <c r="X269">
        <v>72</v>
      </c>
      <c r="Y269" s="5">
        <v>1.7916666666666667</v>
      </c>
    </row>
    <row r="270" spans="1:25" x14ac:dyDescent="0.25">
      <c r="A270">
        <v>2018</v>
      </c>
      <c r="B270" t="s">
        <v>57</v>
      </c>
      <c r="C270">
        <v>14</v>
      </c>
      <c r="D270">
        <v>135</v>
      </c>
      <c r="E270" t="s">
        <v>190</v>
      </c>
      <c r="F270" t="s">
        <v>103</v>
      </c>
      <c r="G270">
        <f t="shared" si="4"/>
        <v>1</v>
      </c>
      <c r="H270">
        <v>10</v>
      </c>
      <c r="I270">
        <v>2</v>
      </c>
      <c r="J270">
        <v>1</v>
      </c>
      <c r="K270" s="6" t="s">
        <v>69</v>
      </c>
      <c r="L270" s="6" t="s">
        <v>86</v>
      </c>
      <c r="M270">
        <v>226</v>
      </c>
      <c r="N270" s="1">
        <v>0.48599999999999999</v>
      </c>
      <c r="O270">
        <v>44</v>
      </c>
      <c r="P270" s="1">
        <v>0.34399999999999997</v>
      </c>
      <c r="Q270" s="1">
        <v>0.78200000000000003</v>
      </c>
      <c r="R270">
        <v>600</v>
      </c>
      <c r="S270">
        <v>51</v>
      </c>
      <c r="T270">
        <v>155</v>
      </c>
      <c r="U270">
        <v>130</v>
      </c>
      <c r="V270">
        <v>49</v>
      </c>
      <c r="W270">
        <v>31</v>
      </c>
      <c r="X270">
        <v>80</v>
      </c>
      <c r="Y270" s="5">
        <v>1.625</v>
      </c>
    </row>
    <row r="271" spans="1:25" x14ac:dyDescent="0.25">
      <c r="A271">
        <v>2018</v>
      </c>
      <c r="B271" t="s">
        <v>57</v>
      </c>
      <c r="C271">
        <v>14</v>
      </c>
      <c r="D271">
        <v>135</v>
      </c>
      <c r="E271" t="s">
        <v>24</v>
      </c>
      <c r="F271" t="s">
        <v>55</v>
      </c>
      <c r="G271">
        <f t="shared" si="4"/>
        <v>0</v>
      </c>
      <c r="H271">
        <v>2</v>
      </c>
      <c r="I271">
        <v>10</v>
      </c>
      <c r="J271">
        <v>1</v>
      </c>
      <c r="K271" s="6" t="s">
        <v>191</v>
      </c>
      <c r="L271" s="6" t="s">
        <v>113</v>
      </c>
      <c r="M271">
        <v>148</v>
      </c>
      <c r="N271" s="1">
        <v>0.46400000000000002</v>
      </c>
      <c r="O271">
        <v>44</v>
      </c>
      <c r="P271" s="1">
        <v>0.376</v>
      </c>
      <c r="Q271" s="1">
        <v>0.747</v>
      </c>
      <c r="R271">
        <v>408</v>
      </c>
      <c r="S271">
        <v>28</v>
      </c>
      <c r="T271">
        <v>109</v>
      </c>
      <c r="U271">
        <v>88</v>
      </c>
      <c r="V271">
        <v>32</v>
      </c>
      <c r="W271">
        <v>19</v>
      </c>
      <c r="X271">
        <v>58</v>
      </c>
      <c r="Y271" s="5">
        <v>1.5172413793103448</v>
      </c>
    </row>
    <row r="272" spans="1:25" x14ac:dyDescent="0.25">
      <c r="A272">
        <v>2018</v>
      </c>
      <c r="B272" t="s">
        <v>57</v>
      </c>
      <c r="C272">
        <v>14</v>
      </c>
      <c r="D272">
        <v>136</v>
      </c>
      <c r="E272" t="s">
        <v>23</v>
      </c>
      <c r="F272" t="s">
        <v>120</v>
      </c>
      <c r="G272">
        <f t="shared" si="4"/>
        <v>1</v>
      </c>
      <c r="H272">
        <v>7</v>
      </c>
      <c r="I272">
        <v>4</v>
      </c>
      <c r="J272">
        <v>2</v>
      </c>
      <c r="K272" s="6" t="s">
        <v>62</v>
      </c>
      <c r="L272" s="6" t="s">
        <v>78</v>
      </c>
      <c r="M272">
        <v>172</v>
      </c>
      <c r="N272" s="1">
        <v>0.46200000000000002</v>
      </c>
      <c r="O272">
        <v>45</v>
      </c>
      <c r="P272" s="1">
        <v>0.36299999999999999</v>
      </c>
      <c r="Q272" s="1">
        <v>0.85399999999999998</v>
      </c>
      <c r="R272">
        <v>465</v>
      </c>
      <c r="S272">
        <v>46</v>
      </c>
      <c r="T272">
        <v>132</v>
      </c>
      <c r="U272">
        <v>69</v>
      </c>
      <c r="V272">
        <v>27</v>
      </c>
      <c r="W272">
        <v>14</v>
      </c>
      <c r="X272">
        <v>45</v>
      </c>
      <c r="Y272" s="5">
        <v>1.5333333333333334</v>
      </c>
    </row>
    <row r="273" spans="1:25" x14ac:dyDescent="0.25">
      <c r="A273">
        <v>2018</v>
      </c>
      <c r="B273" t="s">
        <v>57</v>
      </c>
      <c r="C273">
        <v>14</v>
      </c>
      <c r="D273">
        <v>136</v>
      </c>
      <c r="E273" t="s">
        <v>20</v>
      </c>
      <c r="F273" t="s">
        <v>47</v>
      </c>
      <c r="G273">
        <f t="shared" si="4"/>
        <v>0</v>
      </c>
      <c r="H273">
        <v>4</v>
      </c>
      <c r="I273">
        <v>7</v>
      </c>
      <c r="J273">
        <v>2</v>
      </c>
      <c r="K273" s="6" t="s">
        <v>71</v>
      </c>
      <c r="L273" s="6" t="s">
        <v>121</v>
      </c>
      <c r="M273">
        <v>166</v>
      </c>
      <c r="N273" s="1">
        <v>0.48399999999999999</v>
      </c>
      <c r="O273">
        <v>29</v>
      </c>
      <c r="P273" s="1">
        <v>0.40799999999999997</v>
      </c>
      <c r="Q273" s="1">
        <v>0.72299999999999998</v>
      </c>
      <c r="R273">
        <v>421</v>
      </c>
      <c r="S273">
        <v>40</v>
      </c>
      <c r="T273">
        <v>103</v>
      </c>
      <c r="U273">
        <v>92</v>
      </c>
      <c r="V273">
        <v>21</v>
      </c>
      <c r="W273">
        <v>14</v>
      </c>
      <c r="X273">
        <v>45</v>
      </c>
      <c r="Y273" s="5">
        <v>2.0444444444444443</v>
      </c>
    </row>
    <row r="274" spans="1:25" x14ac:dyDescent="0.25">
      <c r="A274">
        <v>2018</v>
      </c>
      <c r="B274" t="s">
        <v>57</v>
      </c>
      <c r="C274">
        <v>14</v>
      </c>
      <c r="D274">
        <v>137</v>
      </c>
      <c r="E274" t="s">
        <v>181</v>
      </c>
      <c r="F274" t="s">
        <v>49</v>
      </c>
      <c r="G274">
        <f t="shared" si="4"/>
        <v>1</v>
      </c>
      <c r="H274">
        <v>12</v>
      </c>
      <c r="I274">
        <v>1</v>
      </c>
      <c r="J274">
        <v>0</v>
      </c>
      <c r="K274" s="6" t="s">
        <v>111</v>
      </c>
      <c r="L274" s="6" t="s">
        <v>89</v>
      </c>
      <c r="M274">
        <v>178</v>
      </c>
      <c r="N274" s="1">
        <v>0.48</v>
      </c>
      <c r="O274">
        <v>51</v>
      </c>
      <c r="P274" s="1">
        <v>0.39500000000000002</v>
      </c>
      <c r="Q274" s="1">
        <v>0.78100000000000003</v>
      </c>
      <c r="R274">
        <v>489</v>
      </c>
      <c r="S274">
        <v>34</v>
      </c>
      <c r="T274">
        <v>123</v>
      </c>
      <c r="U274">
        <v>76</v>
      </c>
      <c r="V274">
        <v>39</v>
      </c>
      <c r="W274">
        <v>14</v>
      </c>
      <c r="X274">
        <v>40</v>
      </c>
      <c r="Y274" s="5">
        <v>1.9</v>
      </c>
    </row>
    <row r="275" spans="1:25" x14ac:dyDescent="0.25">
      <c r="A275">
        <v>2018</v>
      </c>
      <c r="B275" t="s">
        <v>57</v>
      </c>
      <c r="C275">
        <v>14</v>
      </c>
      <c r="D275">
        <v>137</v>
      </c>
      <c r="E275" t="s">
        <v>97</v>
      </c>
      <c r="F275" t="s">
        <v>54</v>
      </c>
      <c r="G275">
        <f t="shared" si="4"/>
        <v>0</v>
      </c>
      <c r="H275">
        <v>1</v>
      </c>
      <c r="I275">
        <v>12</v>
      </c>
      <c r="J275">
        <v>0</v>
      </c>
      <c r="K275" s="6" t="s">
        <v>182</v>
      </c>
      <c r="L275" s="6" t="s">
        <v>76</v>
      </c>
      <c r="M275">
        <v>78</v>
      </c>
      <c r="N275" s="1">
        <v>0.443</v>
      </c>
      <c r="O275">
        <v>16</v>
      </c>
      <c r="P275" s="1">
        <v>0.27100000000000002</v>
      </c>
      <c r="Q275" s="1">
        <v>0.73499999999999999</v>
      </c>
      <c r="R275">
        <v>197</v>
      </c>
      <c r="S275">
        <v>28</v>
      </c>
      <c r="T275">
        <v>83</v>
      </c>
      <c r="U275">
        <v>54</v>
      </c>
      <c r="V275">
        <v>20</v>
      </c>
      <c r="W275">
        <v>13</v>
      </c>
      <c r="X275">
        <v>31</v>
      </c>
      <c r="Y275" s="5">
        <v>1.7419354838709677</v>
      </c>
    </row>
    <row r="276" spans="1:25" x14ac:dyDescent="0.25">
      <c r="A276">
        <v>2018</v>
      </c>
      <c r="B276" t="s">
        <v>57</v>
      </c>
      <c r="C276">
        <v>14</v>
      </c>
      <c r="D276">
        <v>138</v>
      </c>
      <c r="E276" t="s">
        <v>18</v>
      </c>
      <c r="F276" t="s">
        <v>52</v>
      </c>
      <c r="G276">
        <f t="shared" si="4"/>
        <v>1</v>
      </c>
      <c r="H276">
        <v>9</v>
      </c>
      <c r="I276">
        <v>4</v>
      </c>
      <c r="J276">
        <v>0</v>
      </c>
      <c r="K276" s="6" t="s">
        <v>70</v>
      </c>
      <c r="L276" s="6" t="s">
        <v>87</v>
      </c>
      <c r="M276">
        <v>142</v>
      </c>
      <c r="N276" s="1">
        <v>0.45800000000000002</v>
      </c>
      <c r="O276">
        <v>47</v>
      </c>
      <c r="P276" s="1">
        <v>0.42699999999999999</v>
      </c>
      <c r="Q276" s="1">
        <v>0.84799999999999998</v>
      </c>
      <c r="R276">
        <v>420</v>
      </c>
      <c r="S276">
        <v>36</v>
      </c>
      <c r="T276">
        <v>151</v>
      </c>
      <c r="U276">
        <v>114</v>
      </c>
      <c r="V276">
        <v>35</v>
      </c>
      <c r="W276">
        <v>25</v>
      </c>
      <c r="X276">
        <v>55</v>
      </c>
      <c r="Y276" s="5">
        <v>2.0727272727272728</v>
      </c>
    </row>
    <row r="277" spans="1:25" x14ac:dyDescent="0.25">
      <c r="A277">
        <v>2018</v>
      </c>
      <c r="B277" t="s">
        <v>57</v>
      </c>
      <c r="C277">
        <v>14</v>
      </c>
      <c r="D277">
        <v>138</v>
      </c>
      <c r="E277" t="s">
        <v>21</v>
      </c>
      <c r="F277" t="s">
        <v>50</v>
      </c>
      <c r="G277">
        <f t="shared" si="4"/>
        <v>0</v>
      </c>
      <c r="H277">
        <v>4</v>
      </c>
      <c r="I277">
        <v>9</v>
      </c>
      <c r="J277">
        <v>0</v>
      </c>
      <c r="K277" s="6" t="s">
        <v>59</v>
      </c>
      <c r="L277" s="6" t="s">
        <v>74</v>
      </c>
      <c r="M277">
        <v>168</v>
      </c>
      <c r="N277" s="1">
        <v>0.47899999999999998</v>
      </c>
      <c r="O277">
        <v>32</v>
      </c>
      <c r="P277" s="1">
        <v>0.317</v>
      </c>
      <c r="Q277" s="1">
        <v>0.67900000000000005</v>
      </c>
      <c r="R277">
        <v>425</v>
      </c>
      <c r="S277">
        <v>45</v>
      </c>
      <c r="T277">
        <v>112</v>
      </c>
      <c r="U277">
        <v>109</v>
      </c>
      <c r="V277">
        <v>29</v>
      </c>
      <c r="W277">
        <v>19</v>
      </c>
      <c r="X277">
        <v>67</v>
      </c>
      <c r="Y277" s="5">
        <v>1.6268656716417911</v>
      </c>
    </row>
    <row r="278" spans="1:25" x14ac:dyDescent="0.25">
      <c r="A278">
        <v>2018</v>
      </c>
      <c r="B278" t="s">
        <v>57</v>
      </c>
      <c r="C278">
        <v>14</v>
      </c>
      <c r="D278">
        <v>139</v>
      </c>
      <c r="E278" t="s">
        <v>15</v>
      </c>
      <c r="F278" t="s">
        <v>48</v>
      </c>
      <c r="G278">
        <f t="shared" si="4"/>
        <v>1</v>
      </c>
      <c r="H278">
        <v>10</v>
      </c>
      <c r="I278">
        <v>3</v>
      </c>
      <c r="J278">
        <v>0</v>
      </c>
      <c r="K278" s="6" t="s">
        <v>72</v>
      </c>
      <c r="L278" s="6" t="s">
        <v>85</v>
      </c>
      <c r="M278">
        <v>176</v>
      </c>
      <c r="N278" s="1">
        <v>0.43099999999999999</v>
      </c>
      <c r="O278">
        <v>26</v>
      </c>
      <c r="P278" s="1">
        <v>0.252</v>
      </c>
      <c r="Q278" s="1">
        <v>0.82399999999999995</v>
      </c>
      <c r="R278">
        <v>448</v>
      </c>
      <c r="S278">
        <v>47</v>
      </c>
      <c r="T278">
        <v>154</v>
      </c>
      <c r="U278">
        <v>105</v>
      </c>
      <c r="V278">
        <v>28</v>
      </c>
      <c r="W278">
        <v>26</v>
      </c>
      <c r="X278">
        <v>45</v>
      </c>
      <c r="Y278" s="5">
        <v>2.3333333333333335</v>
      </c>
    </row>
    <row r="279" spans="1:25" x14ac:dyDescent="0.25">
      <c r="A279">
        <v>2018</v>
      </c>
      <c r="B279" t="s">
        <v>57</v>
      </c>
      <c r="C279">
        <v>14</v>
      </c>
      <c r="D279">
        <v>139</v>
      </c>
      <c r="E279" t="s">
        <v>33</v>
      </c>
      <c r="F279" t="s">
        <v>42</v>
      </c>
      <c r="G279">
        <f t="shared" si="4"/>
        <v>0</v>
      </c>
      <c r="H279">
        <v>3</v>
      </c>
      <c r="I279">
        <v>10</v>
      </c>
      <c r="J279">
        <v>0</v>
      </c>
      <c r="K279" s="6" t="s">
        <v>61</v>
      </c>
      <c r="L279" s="6" t="s">
        <v>77</v>
      </c>
      <c r="M279">
        <v>136</v>
      </c>
      <c r="N279" s="1">
        <v>0.48099999999999998</v>
      </c>
      <c r="O279">
        <v>50</v>
      </c>
      <c r="P279" s="1">
        <v>0.41299999999999998</v>
      </c>
      <c r="Q279" s="1">
        <v>0.79200000000000004</v>
      </c>
      <c r="R279">
        <v>364</v>
      </c>
      <c r="S279">
        <v>12</v>
      </c>
      <c r="T279">
        <v>78</v>
      </c>
      <c r="U279">
        <v>63</v>
      </c>
      <c r="V279">
        <v>19</v>
      </c>
      <c r="W279">
        <v>12</v>
      </c>
      <c r="X279">
        <v>50</v>
      </c>
      <c r="Y279" s="5">
        <v>1.26</v>
      </c>
    </row>
    <row r="280" spans="1:25" x14ac:dyDescent="0.25">
      <c r="A280">
        <v>2018</v>
      </c>
      <c r="B280" t="s">
        <v>57</v>
      </c>
      <c r="C280">
        <v>14</v>
      </c>
      <c r="D280">
        <v>140</v>
      </c>
      <c r="E280" t="s">
        <v>17</v>
      </c>
      <c r="F280" t="s">
        <v>43</v>
      </c>
      <c r="G280">
        <f t="shared" si="4"/>
        <v>1</v>
      </c>
      <c r="H280">
        <v>9</v>
      </c>
      <c r="I280">
        <v>3</v>
      </c>
      <c r="J280">
        <v>1</v>
      </c>
      <c r="K280" s="6" t="s">
        <v>106</v>
      </c>
      <c r="L280" s="6" t="s">
        <v>83</v>
      </c>
      <c r="M280">
        <v>169</v>
      </c>
      <c r="N280" s="1">
        <v>0.499</v>
      </c>
      <c r="O280">
        <v>32</v>
      </c>
      <c r="P280" s="1">
        <v>0.33</v>
      </c>
      <c r="Q280" s="1">
        <v>0.63200000000000001</v>
      </c>
      <c r="R280">
        <v>425</v>
      </c>
      <c r="S280">
        <v>38</v>
      </c>
      <c r="T280">
        <v>143</v>
      </c>
      <c r="U280">
        <v>101</v>
      </c>
      <c r="V280">
        <v>40</v>
      </c>
      <c r="W280">
        <v>24</v>
      </c>
      <c r="X280">
        <v>58</v>
      </c>
      <c r="Y280" s="5">
        <v>1.7413793103448276</v>
      </c>
    </row>
    <row r="281" spans="1:25" x14ac:dyDescent="0.25">
      <c r="A281">
        <v>2018</v>
      </c>
      <c r="B281" t="s">
        <v>57</v>
      </c>
      <c r="C281">
        <v>14</v>
      </c>
      <c r="D281">
        <v>140</v>
      </c>
      <c r="E281" t="s">
        <v>94</v>
      </c>
      <c r="F281" t="s">
        <v>40</v>
      </c>
      <c r="G281">
        <f t="shared" si="4"/>
        <v>0</v>
      </c>
      <c r="H281">
        <v>3</v>
      </c>
      <c r="I281">
        <v>9</v>
      </c>
      <c r="J281">
        <v>1</v>
      </c>
      <c r="K281" s="6" t="s">
        <v>63</v>
      </c>
      <c r="L281" s="6" t="s">
        <v>79</v>
      </c>
      <c r="M281">
        <v>134</v>
      </c>
      <c r="N281" s="1">
        <v>0.41499999999999998</v>
      </c>
      <c r="O281">
        <v>32</v>
      </c>
      <c r="P281" s="1">
        <v>0.29399999999999998</v>
      </c>
      <c r="Q281" s="1">
        <v>0.81</v>
      </c>
      <c r="R281">
        <v>364</v>
      </c>
      <c r="S281">
        <v>43</v>
      </c>
      <c r="T281">
        <v>140</v>
      </c>
      <c r="U281">
        <v>61</v>
      </c>
      <c r="V281">
        <v>28</v>
      </c>
      <c r="W281">
        <v>23</v>
      </c>
      <c r="X281">
        <v>52</v>
      </c>
      <c r="Y281" s="5">
        <v>1.1730769230769231</v>
      </c>
    </row>
    <row r="282" spans="1:25" x14ac:dyDescent="0.25">
      <c r="A282">
        <v>2018</v>
      </c>
      <c r="B282" t="s">
        <v>57</v>
      </c>
      <c r="C282">
        <v>15</v>
      </c>
      <c r="D282">
        <v>141</v>
      </c>
      <c r="E282" t="s">
        <v>16</v>
      </c>
      <c r="F282" t="s">
        <v>51</v>
      </c>
      <c r="G282">
        <f t="shared" si="4"/>
        <v>1</v>
      </c>
      <c r="H282">
        <v>11</v>
      </c>
      <c r="I282">
        <v>2</v>
      </c>
      <c r="J282">
        <v>0</v>
      </c>
      <c r="K282" s="6" t="s">
        <v>111</v>
      </c>
      <c r="L282" s="6" t="s">
        <v>89</v>
      </c>
      <c r="M282">
        <v>167</v>
      </c>
      <c r="N282" s="1">
        <v>0.5</v>
      </c>
      <c r="O282">
        <v>63</v>
      </c>
      <c r="P282" s="1">
        <v>0.46700000000000003</v>
      </c>
      <c r="Q282" s="1">
        <v>0.74</v>
      </c>
      <c r="R282">
        <v>471</v>
      </c>
      <c r="S282">
        <v>44</v>
      </c>
      <c r="T282">
        <v>155</v>
      </c>
      <c r="U282">
        <v>76</v>
      </c>
      <c r="V282">
        <v>27</v>
      </c>
      <c r="W282">
        <v>21</v>
      </c>
      <c r="X282">
        <v>53</v>
      </c>
      <c r="Y282" s="5">
        <v>1.4339622641509433</v>
      </c>
    </row>
    <row r="283" spans="1:25" x14ac:dyDescent="0.25">
      <c r="A283">
        <v>2018</v>
      </c>
      <c r="B283" t="s">
        <v>57</v>
      </c>
      <c r="C283">
        <v>15</v>
      </c>
      <c r="D283">
        <v>141</v>
      </c>
      <c r="E283" t="s">
        <v>97</v>
      </c>
      <c r="F283" t="s">
        <v>54</v>
      </c>
      <c r="G283">
        <f t="shared" si="4"/>
        <v>0</v>
      </c>
      <c r="H283">
        <v>2</v>
      </c>
      <c r="I283">
        <v>11</v>
      </c>
      <c r="J283">
        <v>0</v>
      </c>
      <c r="K283" s="6" t="s">
        <v>60</v>
      </c>
      <c r="L283" s="6" t="s">
        <v>75</v>
      </c>
      <c r="M283">
        <v>74</v>
      </c>
      <c r="N283" s="1">
        <v>0.48699999999999999</v>
      </c>
      <c r="O283">
        <v>16</v>
      </c>
      <c r="P283" s="1">
        <v>0.36399999999999999</v>
      </c>
      <c r="Q283" s="1">
        <v>0.75600000000000001</v>
      </c>
      <c r="R283">
        <v>198</v>
      </c>
      <c r="S283">
        <v>24</v>
      </c>
      <c r="T283">
        <v>82</v>
      </c>
      <c r="U283">
        <v>38</v>
      </c>
      <c r="V283">
        <v>12</v>
      </c>
      <c r="W283">
        <v>14</v>
      </c>
      <c r="X283">
        <v>30</v>
      </c>
      <c r="Y283" s="5">
        <v>1.2666666666666666</v>
      </c>
    </row>
    <row r="284" spans="1:25" x14ac:dyDescent="0.25">
      <c r="A284">
        <v>2018</v>
      </c>
      <c r="B284" t="s">
        <v>57</v>
      </c>
      <c r="C284">
        <v>15</v>
      </c>
      <c r="D284">
        <v>142</v>
      </c>
      <c r="E284" t="s">
        <v>22</v>
      </c>
      <c r="F284" t="s">
        <v>44</v>
      </c>
      <c r="G284">
        <f t="shared" si="4"/>
        <v>1</v>
      </c>
      <c r="H284">
        <v>8</v>
      </c>
      <c r="I284">
        <v>5</v>
      </c>
      <c r="J284">
        <v>0</v>
      </c>
      <c r="K284" s="6" t="s">
        <v>193</v>
      </c>
      <c r="L284" s="6" t="s">
        <v>117</v>
      </c>
      <c r="M284">
        <v>147</v>
      </c>
      <c r="N284" s="1">
        <v>0.43099999999999999</v>
      </c>
      <c r="O284">
        <v>29</v>
      </c>
      <c r="P284" s="1">
        <v>0.27900000000000003</v>
      </c>
      <c r="Q284" s="1">
        <v>0.76500000000000001</v>
      </c>
      <c r="R284">
        <v>398</v>
      </c>
      <c r="S284">
        <v>51</v>
      </c>
      <c r="T284">
        <v>161</v>
      </c>
      <c r="U284">
        <v>88</v>
      </c>
      <c r="V284">
        <v>22</v>
      </c>
      <c r="W284">
        <v>13</v>
      </c>
      <c r="X284">
        <v>60</v>
      </c>
      <c r="Y284" s="5">
        <v>1.4666666666666666</v>
      </c>
    </row>
    <row r="285" spans="1:25" x14ac:dyDescent="0.25">
      <c r="A285">
        <v>2018</v>
      </c>
      <c r="B285" t="s">
        <v>57</v>
      </c>
      <c r="C285">
        <v>15</v>
      </c>
      <c r="D285">
        <v>142</v>
      </c>
      <c r="E285" t="s">
        <v>159</v>
      </c>
      <c r="F285" t="s">
        <v>116</v>
      </c>
      <c r="G285">
        <f t="shared" si="4"/>
        <v>0</v>
      </c>
      <c r="H285">
        <v>5</v>
      </c>
      <c r="I285">
        <v>8</v>
      </c>
      <c r="J285">
        <v>0</v>
      </c>
      <c r="K285" s="6" t="s">
        <v>66</v>
      </c>
      <c r="L285" s="6" t="s">
        <v>81</v>
      </c>
      <c r="M285">
        <v>126</v>
      </c>
      <c r="N285" s="1">
        <v>0.47399999999999998</v>
      </c>
      <c r="O285">
        <v>34</v>
      </c>
      <c r="P285" s="1">
        <v>0.39500000000000002</v>
      </c>
      <c r="Q285" s="1">
        <v>0.74199999999999999</v>
      </c>
      <c r="R285">
        <v>335</v>
      </c>
      <c r="S285">
        <v>34</v>
      </c>
      <c r="T285">
        <v>112</v>
      </c>
      <c r="U285">
        <v>57</v>
      </c>
      <c r="V285">
        <v>20</v>
      </c>
      <c r="W285">
        <v>10</v>
      </c>
      <c r="X285">
        <v>31</v>
      </c>
      <c r="Y285" s="5">
        <v>1.8387096774193548</v>
      </c>
    </row>
    <row r="286" spans="1:25" x14ac:dyDescent="0.25">
      <c r="A286">
        <v>2018</v>
      </c>
      <c r="B286" t="s">
        <v>57</v>
      </c>
      <c r="C286">
        <v>15</v>
      </c>
      <c r="D286">
        <v>143</v>
      </c>
      <c r="E286" t="s">
        <v>26</v>
      </c>
      <c r="F286" t="s">
        <v>118</v>
      </c>
      <c r="G286">
        <f t="shared" si="4"/>
        <v>1</v>
      </c>
      <c r="H286">
        <v>8</v>
      </c>
      <c r="I286">
        <v>5</v>
      </c>
      <c r="J286">
        <v>0</v>
      </c>
      <c r="K286" s="6" t="s">
        <v>67</v>
      </c>
      <c r="L286" s="6" t="s">
        <v>82</v>
      </c>
      <c r="M286">
        <v>171</v>
      </c>
      <c r="N286" s="1">
        <v>0.44800000000000001</v>
      </c>
      <c r="O286">
        <v>50</v>
      </c>
      <c r="P286" s="1">
        <v>0.34499999999999997</v>
      </c>
      <c r="Q286" s="1">
        <v>0.79300000000000004</v>
      </c>
      <c r="R286">
        <v>461</v>
      </c>
      <c r="S286">
        <v>29</v>
      </c>
      <c r="T286">
        <v>145</v>
      </c>
      <c r="U286">
        <v>86</v>
      </c>
      <c r="V286">
        <v>30</v>
      </c>
      <c r="W286">
        <v>20</v>
      </c>
      <c r="X286">
        <v>59</v>
      </c>
      <c r="Y286" s="5">
        <v>1.4576271186440677</v>
      </c>
    </row>
    <row r="287" spans="1:25" x14ac:dyDescent="0.25">
      <c r="A287">
        <v>2018</v>
      </c>
      <c r="B287" t="s">
        <v>57</v>
      </c>
      <c r="C287">
        <v>15</v>
      </c>
      <c r="D287">
        <v>143</v>
      </c>
      <c r="E287" t="s">
        <v>19</v>
      </c>
      <c r="F287" t="s">
        <v>56</v>
      </c>
      <c r="G287">
        <f t="shared" si="4"/>
        <v>0</v>
      </c>
      <c r="H287">
        <v>5</v>
      </c>
      <c r="I287">
        <v>8</v>
      </c>
      <c r="J287">
        <v>0</v>
      </c>
      <c r="K287" s="6" t="s">
        <v>65</v>
      </c>
      <c r="L287" s="6" t="s">
        <v>119</v>
      </c>
      <c r="M287">
        <v>117</v>
      </c>
      <c r="N287" s="1">
        <v>0.47399999999999998</v>
      </c>
      <c r="O287">
        <v>31</v>
      </c>
      <c r="P287" s="1">
        <v>0.39200000000000002</v>
      </c>
      <c r="Q287" s="1">
        <v>0.753</v>
      </c>
      <c r="R287">
        <v>323</v>
      </c>
      <c r="S287">
        <v>20</v>
      </c>
      <c r="T287">
        <v>126</v>
      </c>
      <c r="U287">
        <v>87</v>
      </c>
      <c r="V287">
        <v>17</v>
      </c>
      <c r="W287">
        <v>14</v>
      </c>
      <c r="X287">
        <v>36</v>
      </c>
      <c r="Y287" s="5">
        <v>2.4166666666666665</v>
      </c>
    </row>
    <row r="288" spans="1:25" x14ac:dyDescent="0.25">
      <c r="A288">
        <v>2018</v>
      </c>
      <c r="B288" t="s">
        <v>57</v>
      </c>
      <c r="C288">
        <v>15</v>
      </c>
      <c r="D288">
        <v>144</v>
      </c>
      <c r="E288" t="s">
        <v>190</v>
      </c>
      <c r="F288" t="s">
        <v>103</v>
      </c>
      <c r="G288">
        <f t="shared" si="4"/>
        <v>1</v>
      </c>
      <c r="H288">
        <v>8</v>
      </c>
      <c r="I288">
        <v>5</v>
      </c>
      <c r="J288">
        <v>0</v>
      </c>
      <c r="K288" s="6" t="s">
        <v>68</v>
      </c>
      <c r="L288" s="6" t="s">
        <v>84</v>
      </c>
      <c r="M288">
        <v>203</v>
      </c>
      <c r="N288" s="1">
        <v>0.44500000000000001</v>
      </c>
      <c r="O288">
        <v>55</v>
      </c>
      <c r="P288" s="1">
        <v>0.372</v>
      </c>
      <c r="Q288" s="1">
        <v>0.72299999999999998</v>
      </c>
      <c r="R288">
        <v>534</v>
      </c>
      <c r="S288">
        <v>33</v>
      </c>
      <c r="T288">
        <v>160</v>
      </c>
      <c r="U288">
        <v>107</v>
      </c>
      <c r="V288">
        <v>32</v>
      </c>
      <c r="W288">
        <v>14</v>
      </c>
      <c r="X288">
        <v>76</v>
      </c>
      <c r="Y288" s="5">
        <v>1.4078947368421053</v>
      </c>
    </row>
    <row r="289" spans="1:25" x14ac:dyDescent="0.25">
      <c r="A289">
        <v>2018</v>
      </c>
      <c r="B289" t="s">
        <v>57</v>
      </c>
      <c r="C289">
        <v>15</v>
      </c>
      <c r="D289">
        <v>144</v>
      </c>
      <c r="E289" t="s">
        <v>25</v>
      </c>
      <c r="F289" t="s">
        <v>53</v>
      </c>
      <c r="G289">
        <f t="shared" si="4"/>
        <v>0</v>
      </c>
      <c r="H289">
        <v>5</v>
      </c>
      <c r="I289">
        <v>8</v>
      </c>
      <c r="J289">
        <v>0</v>
      </c>
      <c r="K289" s="6" t="s">
        <v>191</v>
      </c>
      <c r="L289" s="6" t="s">
        <v>113</v>
      </c>
      <c r="M289">
        <v>176</v>
      </c>
      <c r="N289" s="1">
        <v>0.42199999999999999</v>
      </c>
      <c r="O289">
        <v>37</v>
      </c>
      <c r="P289" s="1">
        <v>0.27800000000000002</v>
      </c>
      <c r="Q289" s="1">
        <v>0.76100000000000001</v>
      </c>
      <c r="R289">
        <v>472</v>
      </c>
      <c r="S289">
        <v>36</v>
      </c>
      <c r="T289">
        <v>131</v>
      </c>
      <c r="U289">
        <v>120</v>
      </c>
      <c r="V289">
        <v>29</v>
      </c>
      <c r="W289">
        <v>7</v>
      </c>
      <c r="X289">
        <v>59</v>
      </c>
      <c r="Y289" s="5">
        <v>2.0338983050847457</v>
      </c>
    </row>
    <row r="290" spans="1:25" x14ac:dyDescent="0.25">
      <c r="A290">
        <v>2018</v>
      </c>
      <c r="B290" t="s">
        <v>57</v>
      </c>
      <c r="C290">
        <v>15</v>
      </c>
      <c r="D290">
        <v>145</v>
      </c>
      <c r="E290" t="s">
        <v>24</v>
      </c>
      <c r="F290" t="s">
        <v>55</v>
      </c>
      <c r="G290">
        <f t="shared" si="4"/>
        <v>1</v>
      </c>
      <c r="H290">
        <v>10</v>
      </c>
      <c r="I290">
        <v>3</v>
      </c>
      <c r="J290">
        <v>0</v>
      </c>
      <c r="K290" s="6" t="s">
        <v>62</v>
      </c>
      <c r="L290" s="6" t="s">
        <v>78</v>
      </c>
      <c r="M290">
        <v>139</v>
      </c>
      <c r="N290" s="1">
        <v>0.437</v>
      </c>
      <c r="O290">
        <v>55</v>
      </c>
      <c r="P290" s="1">
        <v>0.377</v>
      </c>
      <c r="Q290" s="1">
        <v>0.80200000000000005</v>
      </c>
      <c r="R290">
        <v>418</v>
      </c>
      <c r="S290">
        <v>26</v>
      </c>
      <c r="T290">
        <v>136</v>
      </c>
      <c r="U290">
        <v>94</v>
      </c>
      <c r="V290">
        <v>41</v>
      </c>
      <c r="W290">
        <v>20</v>
      </c>
      <c r="X290">
        <v>59</v>
      </c>
      <c r="Y290" s="5">
        <v>1.5932203389830508</v>
      </c>
    </row>
    <row r="291" spans="1:25" x14ac:dyDescent="0.25">
      <c r="A291">
        <v>2018</v>
      </c>
      <c r="B291" t="s">
        <v>57</v>
      </c>
      <c r="C291">
        <v>15</v>
      </c>
      <c r="D291">
        <v>145</v>
      </c>
      <c r="E291" t="s">
        <v>20</v>
      </c>
      <c r="F291" t="s">
        <v>47</v>
      </c>
      <c r="G291">
        <f t="shared" si="4"/>
        <v>0</v>
      </c>
      <c r="H291">
        <v>3</v>
      </c>
      <c r="I291">
        <v>10</v>
      </c>
      <c r="J291">
        <v>0</v>
      </c>
      <c r="K291" s="6" t="s">
        <v>69</v>
      </c>
      <c r="L291" s="6" t="s">
        <v>86</v>
      </c>
      <c r="M291">
        <v>163</v>
      </c>
      <c r="N291" s="1">
        <v>0.44700000000000001</v>
      </c>
      <c r="O291">
        <v>23</v>
      </c>
      <c r="P291" s="1">
        <v>0.27100000000000002</v>
      </c>
      <c r="Q291" s="1">
        <v>0.753</v>
      </c>
      <c r="R291">
        <v>410</v>
      </c>
      <c r="S291">
        <v>33</v>
      </c>
      <c r="T291">
        <v>119</v>
      </c>
      <c r="U291">
        <v>81</v>
      </c>
      <c r="V291">
        <v>21</v>
      </c>
      <c r="W291">
        <v>10</v>
      </c>
      <c r="X291">
        <v>63</v>
      </c>
      <c r="Y291" s="5">
        <v>1.2857142857142858</v>
      </c>
    </row>
    <row r="292" spans="1:25" x14ac:dyDescent="0.25">
      <c r="A292">
        <v>2018</v>
      </c>
      <c r="B292" t="s">
        <v>57</v>
      </c>
      <c r="C292">
        <v>15</v>
      </c>
      <c r="D292">
        <v>146</v>
      </c>
      <c r="E292" t="s">
        <v>23</v>
      </c>
      <c r="F292" t="s">
        <v>120</v>
      </c>
      <c r="G292">
        <f t="shared" si="4"/>
        <v>0</v>
      </c>
      <c r="H292">
        <v>4</v>
      </c>
      <c r="I292">
        <v>9</v>
      </c>
      <c r="J292">
        <v>0</v>
      </c>
      <c r="K292" s="6" t="s">
        <v>182</v>
      </c>
      <c r="L292" s="6" t="s">
        <v>76</v>
      </c>
      <c r="M292">
        <v>175</v>
      </c>
      <c r="N292" s="1">
        <v>0.45100000000000001</v>
      </c>
      <c r="O292">
        <v>37</v>
      </c>
      <c r="P292" s="1">
        <v>0.32700000000000001</v>
      </c>
      <c r="Q292" s="1">
        <v>0.77700000000000002</v>
      </c>
      <c r="R292">
        <v>467</v>
      </c>
      <c r="S292">
        <v>39</v>
      </c>
      <c r="T292">
        <v>123</v>
      </c>
      <c r="U292">
        <v>115</v>
      </c>
      <c r="V292">
        <v>41</v>
      </c>
      <c r="W292">
        <v>27</v>
      </c>
      <c r="X292">
        <v>64</v>
      </c>
      <c r="Y292" s="5">
        <v>1.796875</v>
      </c>
    </row>
    <row r="293" spans="1:25" x14ac:dyDescent="0.25">
      <c r="A293">
        <v>2018</v>
      </c>
      <c r="B293" t="s">
        <v>57</v>
      </c>
      <c r="C293">
        <v>15</v>
      </c>
      <c r="D293">
        <v>146</v>
      </c>
      <c r="E293" t="s">
        <v>181</v>
      </c>
      <c r="F293" t="s">
        <v>49</v>
      </c>
      <c r="G293">
        <f t="shared" si="4"/>
        <v>1</v>
      </c>
      <c r="H293">
        <v>9</v>
      </c>
      <c r="I293">
        <v>4</v>
      </c>
      <c r="J293">
        <v>0</v>
      </c>
      <c r="K293" s="6" t="s">
        <v>71</v>
      </c>
      <c r="L293" s="6" t="s">
        <v>121</v>
      </c>
      <c r="M293">
        <v>187</v>
      </c>
      <c r="N293" s="1">
        <v>0.48799999999999999</v>
      </c>
      <c r="O293">
        <v>51</v>
      </c>
      <c r="P293" s="1">
        <v>0.41099999999999998</v>
      </c>
      <c r="Q293" s="1">
        <v>0.83199999999999996</v>
      </c>
      <c r="R293">
        <v>509</v>
      </c>
      <c r="S293">
        <v>29</v>
      </c>
      <c r="T293">
        <v>124</v>
      </c>
      <c r="U293">
        <v>91</v>
      </c>
      <c r="V293">
        <v>28</v>
      </c>
      <c r="W293">
        <v>10</v>
      </c>
      <c r="X293">
        <v>45</v>
      </c>
      <c r="Y293" s="5">
        <v>2.0222222222222221</v>
      </c>
    </row>
    <row r="294" spans="1:25" x14ac:dyDescent="0.25">
      <c r="A294">
        <v>2018</v>
      </c>
      <c r="B294" t="s">
        <v>57</v>
      </c>
      <c r="C294">
        <v>15</v>
      </c>
      <c r="D294">
        <v>147</v>
      </c>
      <c r="E294" t="s">
        <v>18</v>
      </c>
      <c r="F294" t="s">
        <v>52</v>
      </c>
      <c r="G294">
        <f t="shared" si="4"/>
        <v>0</v>
      </c>
      <c r="H294">
        <v>4</v>
      </c>
      <c r="I294">
        <v>8</v>
      </c>
      <c r="J294">
        <v>1</v>
      </c>
      <c r="K294" s="6" t="s">
        <v>112</v>
      </c>
      <c r="L294" s="6" t="s">
        <v>88</v>
      </c>
      <c r="M294">
        <v>137</v>
      </c>
      <c r="N294" s="1">
        <v>0.441</v>
      </c>
      <c r="O294">
        <v>34</v>
      </c>
      <c r="P294" s="1">
        <v>0.35799999999999998</v>
      </c>
      <c r="Q294" s="1">
        <v>0.89300000000000002</v>
      </c>
      <c r="R294">
        <v>375</v>
      </c>
      <c r="S294">
        <v>30</v>
      </c>
      <c r="T294">
        <v>135</v>
      </c>
      <c r="U294">
        <v>103</v>
      </c>
      <c r="V294">
        <v>34</v>
      </c>
      <c r="W294">
        <v>20</v>
      </c>
      <c r="X294">
        <v>53</v>
      </c>
      <c r="Y294" s="5">
        <v>1.9433962264150944</v>
      </c>
    </row>
    <row r="295" spans="1:25" x14ac:dyDescent="0.25">
      <c r="A295">
        <v>2018</v>
      </c>
      <c r="B295" t="s">
        <v>57</v>
      </c>
      <c r="C295">
        <v>15</v>
      </c>
      <c r="D295">
        <v>147</v>
      </c>
      <c r="E295" t="s">
        <v>98</v>
      </c>
      <c r="F295" t="s">
        <v>41</v>
      </c>
      <c r="G295">
        <f t="shared" si="4"/>
        <v>1</v>
      </c>
      <c r="H295">
        <v>8</v>
      </c>
      <c r="I295">
        <v>4</v>
      </c>
      <c r="J295">
        <v>1</v>
      </c>
      <c r="K295" s="6" t="s">
        <v>59</v>
      </c>
      <c r="L295" s="6" t="s">
        <v>74</v>
      </c>
      <c r="M295">
        <v>167</v>
      </c>
      <c r="N295" s="1">
        <v>0.50600000000000001</v>
      </c>
      <c r="O295">
        <v>43</v>
      </c>
      <c r="P295" s="1">
        <v>0.39800000000000002</v>
      </c>
      <c r="Q295" s="1">
        <v>0.80900000000000005</v>
      </c>
      <c r="R295">
        <v>449</v>
      </c>
      <c r="S295">
        <v>41</v>
      </c>
      <c r="T295">
        <v>105</v>
      </c>
      <c r="U295">
        <v>102</v>
      </c>
      <c r="V295">
        <v>18</v>
      </c>
      <c r="W295">
        <v>20</v>
      </c>
      <c r="X295">
        <v>50</v>
      </c>
      <c r="Y295" s="5">
        <v>2.04</v>
      </c>
    </row>
    <row r="296" spans="1:25" x14ac:dyDescent="0.25">
      <c r="A296">
        <v>2018</v>
      </c>
      <c r="B296" t="s">
        <v>57</v>
      </c>
      <c r="C296">
        <v>15</v>
      </c>
      <c r="D296">
        <v>148</v>
      </c>
      <c r="E296" t="s">
        <v>21</v>
      </c>
      <c r="F296" t="s">
        <v>50</v>
      </c>
      <c r="G296">
        <f t="shared" si="4"/>
        <v>0</v>
      </c>
      <c r="H296">
        <v>5</v>
      </c>
      <c r="I296">
        <v>8</v>
      </c>
      <c r="J296">
        <v>0</v>
      </c>
      <c r="K296" s="6" t="s">
        <v>61</v>
      </c>
      <c r="L296" s="6" t="s">
        <v>77</v>
      </c>
      <c r="M296">
        <v>146</v>
      </c>
      <c r="N296" s="1">
        <v>0.45800000000000002</v>
      </c>
      <c r="O296">
        <v>28</v>
      </c>
      <c r="P296" s="1">
        <v>0.34599999999999997</v>
      </c>
      <c r="Q296" s="1">
        <v>0.78600000000000003</v>
      </c>
      <c r="R296">
        <v>386</v>
      </c>
      <c r="S296">
        <v>58</v>
      </c>
      <c r="T296">
        <v>115</v>
      </c>
      <c r="U296">
        <v>128</v>
      </c>
      <c r="V296">
        <v>30</v>
      </c>
      <c r="W296">
        <v>21</v>
      </c>
      <c r="X296">
        <v>71</v>
      </c>
      <c r="Y296" s="5">
        <v>1.8028169014084507</v>
      </c>
    </row>
    <row r="297" spans="1:25" x14ac:dyDescent="0.25">
      <c r="A297">
        <v>2018</v>
      </c>
      <c r="B297" t="s">
        <v>57</v>
      </c>
      <c r="C297">
        <v>15</v>
      </c>
      <c r="D297">
        <v>148</v>
      </c>
      <c r="E297" t="s">
        <v>15</v>
      </c>
      <c r="F297" t="s">
        <v>48</v>
      </c>
      <c r="G297">
        <f t="shared" si="4"/>
        <v>1</v>
      </c>
      <c r="H297">
        <v>8</v>
      </c>
      <c r="I297">
        <v>5</v>
      </c>
      <c r="J297">
        <v>0</v>
      </c>
      <c r="K297" s="6" t="s">
        <v>70</v>
      </c>
      <c r="L297" s="6" t="s">
        <v>87</v>
      </c>
      <c r="M297">
        <v>157</v>
      </c>
      <c r="N297" s="1">
        <v>0.439</v>
      </c>
      <c r="O297">
        <v>36</v>
      </c>
      <c r="P297" s="1">
        <v>0.35299999999999998</v>
      </c>
      <c r="Q297" s="1">
        <v>0.82799999999999996</v>
      </c>
      <c r="R297">
        <v>490</v>
      </c>
      <c r="S297">
        <v>39</v>
      </c>
      <c r="T297">
        <v>135</v>
      </c>
      <c r="U297">
        <v>85</v>
      </c>
      <c r="V297">
        <v>23</v>
      </c>
      <c r="W297">
        <v>39</v>
      </c>
      <c r="X297">
        <v>53</v>
      </c>
      <c r="Y297" s="5">
        <v>1.6037735849056605</v>
      </c>
    </row>
    <row r="298" spans="1:25" x14ac:dyDescent="0.25">
      <c r="A298">
        <v>2018</v>
      </c>
      <c r="B298" t="s">
        <v>57</v>
      </c>
      <c r="C298">
        <v>15</v>
      </c>
      <c r="D298">
        <v>149</v>
      </c>
      <c r="E298" t="s">
        <v>17</v>
      </c>
      <c r="F298" t="s">
        <v>43</v>
      </c>
      <c r="G298">
        <f t="shared" si="4"/>
        <v>1</v>
      </c>
      <c r="H298">
        <v>7</v>
      </c>
      <c r="I298">
        <v>6</v>
      </c>
      <c r="J298">
        <v>0</v>
      </c>
      <c r="K298" s="6" t="s">
        <v>72</v>
      </c>
      <c r="L298" s="6" t="s">
        <v>85</v>
      </c>
      <c r="M298">
        <v>133</v>
      </c>
      <c r="N298" s="1">
        <v>0.47799999999999998</v>
      </c>
      <c r="O298">
        <v>27</v>
      </c>
      <c r="P298" s="1">
        <v>0.28100000000000003</v>
      </c>
      <c r="Q298" s="1">
        <v>0.70099999999999996</v>
      </c>
      <c r="R298">
        <v>347</v>
      </c>
      <c r="S298">
        <v>32</v>
      </c>
      <c r="T298">
        <v>140</v>
      </c>
      <c r="U298">
        <v>101</v>
      </c>
      <c r="V298">
        <v>35</v>
      </c>
      <c r="W298">
        <v>19</v>
      </c>
      <c r="X298">
        <v>51</v>
      </c>
      <c r="Y298" s="5">
        <v>1.9803921568627452</v>
      </c>
    </row>
    <row r="299" spans="1:25" x14ac:dyDescent="0.25">
      <c r="A299">
        <v>2018</v>
      </c>
      <c r="B299" t="s">
        <v>57</v>
      </c>
      <c r="C299">
        <v>15</v>
      </c>
      <c r="D299">
        <v>149</v>
      </c>
      <c r="E299" t="s">
        <v>33</v>
      </c>
      <c r="F299" t="s">
        <v>42</v>
      </c>
      <c r="G299">
        <f t="shared" si="4"/>
        <v>0</v>
      </c>
      <c r="H299">
        <v>6</v>
      </c>
      <c r="I299">
        <v>7</v>
      </c>
      <c r="J299">
        <v>0</v>
      </c>
      <c r="K299" s="6" t="s">
        <v>63</v>
      </c>
      <c r="L299" s="6" t="s">
        <v>79</v>
      </c>
      <c r="M299">
        <v>166</v>
      </c>
      <c r="N299" s="1">
        <v>0.46800000000000003</v>
      </c>
      <c r="O299">
        <v>51</v>
      </c>
      <c r="P299" s="1">
        <v>0.38600000000000001</v>
      </c>
      <c r="Q299" s="1">
        <v>0.79100000000000004</v>
      </c>
      <c r="R299">
        <v>455</v>
      </c>
      <c r="S299">
        <v>30</v>
      </c>
      <c r="T299">
        <v>103</v>
      </c>
      <c r="U299">
        <v>81</v>
      </c>
      <c r="V299">
        <v>25</v>
      </c>
      <c r="W299">
        <v>13</v>
      </c>
      <c r="X299">
        <v>43</v>
      </c>
      <c r="Y299" s="5">
        <v>1.8837209302325582</v>
      </c>
    </row>
    <row r="300" spans="1:25" x14ac:dyDescent="0.25">
      <c r="A300">
        <v>2018</v>
      </c>
      <c r="B300" t="s">
        <v>57</v>
      </c>
      <c r="C300">
        <v>15</v>
      </c>
      <c r="D300">
        <v>150</v>
      </c>
      <c r="E300" t="s">
        <v>94</v>
      </c>
      <c r="F300" t="s">
        <v>40</v>
      </c>
      <c r="G300">
        <f t="shared" si="4"/>
        <v>1</v>
      </c>
      <c r="H300">
        <v>10</v>
      </c>
      <c r="I300">
        <v>3</v>
      </c>
      <c r="J300">
        <v>0</v>
      </c>
      <c r="K300" s="6" t="s">
        <v>64</v>
      </c>
      <c r="L300" s="6" t="s">
        <v>80</v>
      </c>
      <c r="M300">
        <v>159</v>
      </c>
      <c r="N300" s="1">
        <v>0.47899999999999998</v>
      </c>
      <c r="O300">
        <v>47</v>
      </c>
      <c r="P300" s="1">
        <v>0.41199999999999998</v>
      </c>
      <c r="Q300" s="1">
        <v>0.70899999999999996</v>
      </c>
      <c r="R300">
        <v>443</v>
      </c>
      <c r="S300">
        <v>38</v>
      </c>
      <c r="T300">
        <v>119</v>
      </c>
      <c r="U300">
        <v>84</v>
      </c>
      <c r="V300">
        <v>35</v>
      </c>
      <c r="W300">
        <v>25</v>
      </c>
      <c r="X300">
        <v>48</v>
      </c>
      <c r="Y300" s="5">
        <v>1.75</v>
      </c>
    </row>
    <row r="301" spans="1:25" x14ac:dyDescent="0.25">
      <c r="A301">
        <v>2018</v>
      </c>
      <c r="B301" t="s">
        <v>57</v>
      </c>
      <c r="C301">
        <v>15</v>
      </c>
      <c r="D301">
        <v>150</v>
      </c>
      <c r="E301" t="s">
        <v>28</v>
      </c>
      <c r="F301" t="s">
        <v>46</v>
      </c>
      <c r="G301">
        <f t="shared" si="4"/>
        <v>0</v>
      </c>
      <c r="H301">
        <v>3</v>
      </c>
      <c r="I301">
        <v>10</v>
      </c>
      <c r="J301">
        <v>0</v>
      </c>
      <c r="K301" s="6" t="s">
        <v>106</v>
      </c>
      <c r="L301" s="6" t="s">
        <v>83</v>
      </c>
      <c r="M301">
        <v>115</v>
      </c>
      <c r="N301" s="1">
        <v>0.45500000000000002</v>
      </c>
      <c r="O301">
        <v>26</v>
      </c>
      <c r="P301" s="1">
        <v>0.38200000000000001</v>
      </c>
      <c r="Q301" s="1">
        <v>0.63400000000000001</v>
      </c>
      <c r="R301">
        <v>308</v>
      </c>
      <c r="S301">
        <v>44</v>
      </c>
      <c r="T301">
        <v>114</v>
      </c>
      <c r="U301">
        <v>73</v>
      </c>
      <c r="V301">
        <v>15</v>
      </c>
      <c r="W301">
        <v>18</v>
      </c>
      <c r="X301">
        <v>36</v>
      </c>
      <c r="Y301" s="5">
        <v>2.0277777777777777</v>
      </c>
    </row>
    <row r="302" spans="1:25" x14ac:dyDescent="0.25">
      <c r="A302">
        <v>2018</v>
      </c>
      <c r="B302" t="s">
        <v>57</v>
      </c>
      <c r="C302">
        <v>16</v>
      </c>
      <c r="D302">
        <v>151</v>
      </c>
      <c r="E302" t="s">
        <v>16</v>
      </c>
      <c r="F302" t="s">
        <v>51</v>
      </c>
      <c r="G302">
        <f t="shared" si="4"/>
        <v>1</v>
      </c>
      <c r="H302">
        <v>10</v>
      </c>
      <c r="I302">
        <v>3</v>
      </c>
      <c r="J302">
        <v>0</v>
      </c>
      <c r="K302" s="6" t="s">
        <v>71</v>
      </c>
      <c r="L302" s="6" t="s">
        <v>121</v>
      </c>
      <c r="M302">
        <v>150</v>
      </c>
      <c r="N302" s="1">
        <v>0.47499999999999998</v>
      </c>
      <c r="O302">
        <v>44</v>
      </c>
      <c r="P302" s="1">
        <v>0.4</v>
      </c>
      <c r="Q302" s="1">
        <v>0.78100000000000003</v>
      </c>
      <c r="R302">
        <v>401</v>
      </c>
      <c r="S302">
        <v>40</v>
      </c>
      <c r="T302">
        <v>142</v>
      </c>
      <c r="U302">
        <v>87</v>
      </c>
      <c r="V302">
        <v>42</v>
      </c>
      <c r="W302">
        <v>20</v>
      </c>
      <c r="X302">
        <v>77</v>
      </c>
      <c r="Y302" s="5">
        <v>1.1298701298701299</v>
      </c>
    </row>
    <row r="303" spans="1:25" x14ac:dyDescent="0.25">
      <c r="A303">
        <v>2018</v>
      </c>
      <c r="B303" t="s">
        <v>57</v>
      </c>
      <c r="C303">
        <v>16</v>
      </c>
      <c r="D303">
        <v>151</v>
      </c>
      <c r="E303" t="s">
        <v>23</v>
      </c>
      <c r="F303" t="s">
        <v>120</v>
      </c>
      <c r="G303">
        <f t="shared" si="4"/>
        <v>0</v>
      </c>
      <c r="H303">
        <v>3</v>
      </c>
      <c r="I303">
        <v>10</v>
      </c>
      <c r="J303">
        <v>0</v>
      </c>
      <c r="K303" s="6" t="s">
        <v>60</v>
      </c>
      <c r="L303" s="6" t="s">
        <v>75</v>
      </c>
      <c r="M303">
        <v>134</v>
      </c>
      <c r="N303" s="1">
        <v>0.46700000000000003</v>
      </c>
      <c r="O303">
        <v>28</v>
      </c>
      <c r="P303" s="1">
        <v>0.32900000000000001</v>
      </c>
      <c r="Q303" s="1">
        <v>0.80400000000000005</v>
      </c>
      <c r="R303">
        <v>378</v>
      </c>
      <c r="S303">
        <v>33</v>
      </c>
      <c r="T303">
        <v>96</v>
      </c>
      <c r="U303">
        <v>66</v>
      </c>
      <c r="V303">
        <v>26</v>
      </c>
      <c r="W303">
        <v>18</v>
      </c>
      <c r="X303">
        <v>36</v>
      </c>
      <c r="Y303" s="5">
        <v>1.8333333333333333</v>
      </c>
    </row>
    <row r="304" spans="1:25" x14ac:dyDescent="0.25">
      <c r="A304">
        <v>2018</v>
      </c>
      <c r="B304" t="s">
        <v>57</v>
      </c>
      <c r="C304">
        <v>16</v>
      </c>
      <c r="D304">
        <v>152</v>
      </c>
      <c r="E304" t="s">
        <v>26</v>
      </c>
      <c r="F304" t="s">
        <v>118</v>
      </c>
      <c r="G304">
        <f t="shared" si="4"/>
        <v>0</v>
      </c>
      <c r="H304">
        <v>6</v>
      </c>
      <c r="I304">
        <v>7</v>
      </c>
      <c r="J304">
        <v>0</v>
      </c>
      <c r="K304" s="6" t="s">
        <v>193</v>
      </c>
      <c r="L304" s="6" t="s">
        <v>117</v>
      </c>
      <c r="M304">
        <v>135</v>
      </c>
      <c r="N304" s="1">
        <v>0.44900000000000001</v>
      </c>
      <c r="O304">
        <v>37</v>
      </c>
      <c r="P304" s="1">
        <v>0.32200000000000001</v>
      </c>
      <c r="Q304" s="1">
        <v>0.82099999999999995</v>
      </c>
      <c r="R304">
        <v>376</v>
      </c>
      <c r="S304">
        <v>26</v>
      </c>
      <c r="T304">
        <v>104</v>
      </c>
      <c r="U304">
        <v>65</v>
      </c>
      <c r="V304">
        <v>26</v>
      </c>
      <c r="W304">
        <v>20</v>
      </c>
      <c r="X304">
        <v>42</v>
      </c>
      <c r="Y304" s="5">
        <v>1.5476190476190477</v>
      </c>
    </row>
    <row r="305" spans="1:25" x14ac:dyDescent="0.25">
      <c r="A305">
        <v>2018</v>
      </c>
      <c r="B305" t="s">
        <v>57</v>
      </c>
      <c r="C305">
        <v>16</v>
      </c>
      <c r="D305">
        <v>152</v>
      </c>
      <c r="E305" t="s">
        <v>159</v>
      </c>
      <c r="F305" t="s">
        <v>116</v>
      </c>
      <c r="G305">
        <f t="shared" si="4"/>
        <v>1</v>
      </c>
      <c r="H305">
        <v>7</v>
      </c>
      <c r="I305">
        <v>6</v>
      </c>
      <c r="J305">
        <v>0</v>
      </c>
      <c r="K305" s="6" t="s">
        <v>65</v>
      </c>
      <c r="L305" s="6" t="s">
        <v>119</v>
      </c>
      <c r="M305">
        <v>151</v>
      </c>
      <c r="N305" s="1">
        <v>0.47</v>
      </c>
      <c r="O305">
        <v>38</v>
      </c>
      <c r="P305" s="1">
        <v>0.38</v>
      </c>
      <c r="Q305" s="1">
        <v>0.72699999999999998</v>
      </c>
      <c r="R305">
        <v>380</v>
      </c>
      <c r="S305">
        <v>37</v>
      </c>
      <c r="T305">
        <v>103</v>
      </c>
      <c r="U305">
        <v>40</v>
      </c>
      <c r="V305">
        <v>21</v>
      </c>
      <c r="W305">
        <v>21</v>
      </c>
      <c r="X305">
        <v>45</v>
      </c>
      <c r="Y305" s="5">
        <v>0.88888888888888884</v>
      </c>
    </row>
    <row r="306" spans="1:25" x14ac:dyDescent="0.25">
      <c r="A306">
        <v>2018</v>
      </c>
      <c r="B306" t="s">
        <v>57</v>
      </c>
      <c r="C306">
        <v>16</v>
      </c>
      <c r="D306">
        <v>153</v>
      </c>
      <c r="E306" t="s">
        <v>19</v>
      </c>
      <c r="F306" t="s">
        <v>56</v>
      </c>
      <c r="G306">
        <f t="shared" si="4"/>
        <v>0</v>
      </c>
      <c r="H306">
        <v>4</v>
      </c>
      <c r="I306">
        <v>9</v>
      </c>
      <c r="J306">
        <v>0</v>
      </c>
      <c r="K306" s="6" t="s">
        <v>191</v>
      </c>
      <c r="L306" s="6" t="s">
        <v>113</v>
      </c>
      <c r="M306">
        <v>131</v>
      </c>
      <c r="N306" s="1">
        <v>0.432</v>
      </c>
      <c r="O306">
        <v>31</v>
      </c>
      <c r="P306" s="1">
        <v>0.29199999999999998</v>
      </c>
      <c r="Q306" s="1">
        <v>0.81200000000000006</v>
      </c>
      <c r="R306">
        <v>375</v>
      </c>
      <c r="S306">
        <v>22</v>
      </c>
      <c r="T306">
        <v>141</v>
      </c>
      <c r="U306">
        <v>111</v>
      </c>
      <c r="V306">
        <v>36</v>
      </c>
      <c r="W306">
        <v>14</v>
      </c>
      <c r="X306">
        <v>55</v>
      </c>
      <c r="Y306" s="5">
        <v>2.0181818181818181</v>
      </c>
    </row>
    <row r="307" spans="1:25" x14ac:dyDescent="0.25">
      <c r="A307">
        <v>2018</v>
      </c>
      <c r="B307" t="s">
        <v>57</v>
      </c>
      <c r="C307">
        <v>16</v>
      </c>
      <c r="D307">
        <v>153</v>
      </c>
      <c r="E307" t="s">
        <v>190</v>
      </c>
      <c r="F307" t="s">
        <v>103</v>
      </c>
      <c r="G307">
        <f t="shared" si="4"/>
        <v>1</v>
      </c>
      <c r="H307">
        <v>9</v>
      </c>
      <c r="I307">
        <v>4</v>
      </c>
      <c r="J307">
        <v>0</v>
      </c>
      <c r="K307" s="6" t="s">
        <v>67</v>
      </c>
      <c r="L307" s="6" t="s">
        <v>82</v>
      </c>
      <c r="M307">
        <v>182</v>
      </c>
      <c r="N307" s="1">
        <v>0.504</v>
      </c>
      <c r="O307">
        <v>52</v>
      </c>
      <c r="P307" s="1">
        <v>0.437</v>
      </c>
      <c r="Q307" s="1">
        <v>0.78</v>
      </c>
      <c r="R307">
        <v>480</v>
      </c>
      <c r="S307">
        <v>38</v>
      </c>
      <c r="T307">
        <v>144</v>
      </c>
      <c r="U307">
        <v>71</v>
      </c>
      <c r="V307">
        <v>29</v>
      </c>
      <c r="W307">
        <v>30</v>
      </c>
      <c r="X307">
        <v>43</v>
      </c>
      <c r="Y307" s="5">
        <v>1.6511627906976745</v>
      </c>
    </row>
    <row r="308" spans="1:25" x14ac:dyDescent="0.25">
      <c r="A308">
        <v>2018</v>
      </c>
      <c r="B308" t="s">
        <v>57</v>
      </c>
      <c r="C308">
        <v>16</v>
      </c>
      <c r="D308">
        <v>154</v>
      </c>
      <c r="E308" t="s">
        <v>20</v>
      </c>
      <c r="F308" t="s">
        <v>47</v>
      </c>
      <c r="G308">
        <f t="shared" si="4"/>
        <v>0</v>
      </c>
      <c r="H308">
        <v>5</v>
      </c>
      <c r="I308">
        <v>7</v>
      </c>
      <c r="J308">
        <v>1</v>
      </c>
      <c r="K308" s="6" t="s">
        <v>68</v>
      </c>
      <c r="L308" s="6" t="s">
        <v>84</v>
      </c>
      <c r="M308">
        <v>157</v>
      </c>
      <c r="N308" s="1">
        <v>0.42099999999999999</v>
      </c>
      <c r="O308">
        <v>21</v>
      </c>
      <c r="P308" s="1">
        <v>0.22800000000000001</v>
      </c>
      <c r="Q308" s="1">
        <v>0.79200000000000004</v>
      </c>
      <c r="R308">
        <v>415</v>
      </c>
      <c r="S308">
        <v>46</v>
      </c>
      <c r="T308">
        <v>104</v>
      </c>
      <c r="U308">
        <v>121</v>
      </c>
      <c r="V308">
        <v>32</v>
      </c>
      <c r="W308">
        <v>12</v>
      </c>
      <c r="X308">
        <v>62</v>
      </c>
      <c r="Y308" s="5">
        <v>1.9516129032258065</v>
      </c>
    </row>
    <row r="309" spans="1:25" x14ac:dyDescent="0.25">
      <c r="A309">
        <v>2018</v>
      </c>
      <c r="B309" t="s">
        <v>57</v>
      </c>
      <c r="C309">
        <v>16</v>
      </c>
      <c r="D309">
        <v>154</v>
      </c>
      <c r="E309" t="s">
        <v>25</v>
      </c>
      <c r="F309" t="s">
        <v>53</v>
      </c>
      <c r="G309">
        <f t="shared" si="4"/>
        <v>1</v>
      </c>
      <c r="H309">
        <v>7</v>
      </c>
      <c r="I309">
        <v>5</v>
      </c>
      <c r="J309">
        <v>1</v>
      </c>
      <c r="K309" s="6" t="s">
        <v>62</v>
      </c>
      <c r="L309" s="6" t="s">
        <v>78</v>
      </c>
      <c r="M309">
        <v>165</v>
      </c>
      <c r="N309" s="1">
        <v>0.43</v>
      </c>
      <c r="O309">
        <v>45</v>
      </c>
      <c r="P309" s="1">
        <v>0.33600000000000002</v>
      </c>
      <c r="Q309" s="1">
        <v>0.85</v>
      </c>
      <c r="R309">
        <v>460</v>
      </c>
      <c r="S309">
        <v>33</v>
      </c>
      <c r="T309">
        <v>111</v>
      </c>
      <c r="U309">
        <v>120</v>
      </c>
      <c r="V309">
        <v>32</v>
      </c>
      <c r="W309">
        <v>7</v>
      </c>
      <c r="X309">
        <v>72</v>
      </c>
      <c r="Y309" s="5">
        <v>1.6666666666666667</v>
      </c>
    </row>
    <row r="310" spans="1:25" x14ac:dyDescent="0.25">
      <c r="A310">
        <v>2018</v>
      </c>
      <c r="B310" t="s">
        <v>57</v>
      </c>
      <c r="C310">
        <v>16</v>
      </c>
      <c r="D310">
        <v>155</v>
      </c>
      <c r="E310" t="s">
        <v>24</v>
      </c>
      <c r="F310" t="s">
        <v>55</v>
      </c>
      <c r="G310">
        <f t="shared" si="4"/>
        <v>1</v>
      </c>
      <c r="H310">
        <v>9</v>
      </c>
      <c r="I310">
        <v>4</v>
      </c>
      <c r="J310">
        <v>0</v>
      </c>
      <c r="K310" s="6" t="s">
        <v>182</v>
      </c>
      <c r="L310" s="6" t="s">
        <v>76</v>
      </c>
      <c r="M310">
        <v>187</v>
      </c>
      <c r="N310" s="1">
        <v>0.49</v>
      </c>
      <c r="O310">
        <v>54</v>
      </c>
      <c r="P310" s="1">
        <v>0.41899999999999998</v>
      </c>
      <c r="Q310" s="1">
        <v>0.86699999999999999</v>
      </c>
      <c r="R310">
        <v>500</v>
      </c>
      <c r="S310">
        <v>26</v>
      </c>
      <c r="T310">
        <v>126</v>
      </c>
      <c r="U310">
        <v>93</v>
      </c>
      <c r="V310">
        <v>35</v>
      </c>
      <c r="W310">
        <v>13</v>
      </c>
      <c r="X310">
        <v>44</v>
      </c>
      <c r="Y310" s="5">
        <v>2.1136363636363638</v>
      </c>
    </row>
    <row r="311" spans="1:25" x14ac:dyDescent="0.25">
      <c r="A311">
        <v>2018</v>
      </c>
      <c r="B311" t="s">
        <v>57</v>
      </c>
      <c r="C311">
        <v>16</v>
      </c>
      <c r="D311">
        <v>155</v>
      </c>
      <c r="E311" t="s">
        <v>181</v>
      </c>
      <c r="F311" t="s">
        <v>49</v>
      </c>
      <c r="G311">
        <f t="shared" si="4"/>
        <v>0</v>
      </c>
      <c r="H311">
        <v>4</v>
      </c>
      <c r="I311">
        <v>9</v>
      </c>
      <c r="J311">
        <v>0</v>
      </c>
      <c r="K311" s="6" t="s">
        <v>69</v>
      </c>
      <c r="L311" s="6" t="s">
        <v>86</v>
      </c>
      <c r="M311">
        <v>152</v>
      </c>
      <c r="N311" s="1">
        <v>0.44600000000000001</v>
      </c>
      <c r="O311">
        <v>42</v>
      </c>
      <c r="P311" s="1">
        <v>0.33100000000000002</v>
      </c>
      <c r="Q311" s="1">
        <v>0.88200000000000001</v>
      </c>
      <c r="R311">
        <v>428</v>
      </c>
      <c r="S311">
        <v>40</v>
      </c>
      <c r="T311">
        <v>164</v>
      </c>
      <c r="U311">
        <v>78</v>
      </c>
      <c r="V311">
        <v>21</v>
      </c>
      <c r="W311">
        <v>21</v>
      </c>
      <c r="X311">
        <v>59</v>
      </c>
      <c r="Y311" s="5">
        <v>1.3220338983050848</v>
      </c>
    </row>
    <row r="312" spans="1:25" x14ac:dyDescent="0.25">
      <c r="A312">
        <v>2018</v>
      </c>
      <c r="B312" t="s">
        <v>57</v>
      </c>
      <c r="C312">
        <v>16</v>
      </c>
      <c r="D312">
        <v>156</v>
      </c>
      <c r="E312" t="s">
        <v>18</v>
      </c>
      <c r="F312" t="s">
        <v>52</v>
      </c>
      <c r="G312">
        <f t="shared" si="4"/>
        <v>1</v>
      </c>
      <c r="H312">
        <v>12</v>
      </c>
      <c r="I312">
        <v>1</v>
      </c>
      <c r="J312">
        <v>0</v>
      </c>
      <c r="K312" s="6" t="s">
        <v>111</v>
      </c>
      <c r="L312" s="6" t="s">
        <v>89</v>
      </c>
      <c r="M312">
        <v>169</v>
      </c>
      <c r="N312" s="1">
        <v>0.47899999999999998</v>
      </c>
      <c r="O312">
        <v>35</v>
      </c>
      <c r="P312" s="1">
        <v>0.35</v>
      </c>
      <c r="Q312" s="1">
        <v>0.81799999999999995</v>
      </c>
      <c r="R312">
        <v>436</v>
      </c>
      <c r="S312">
        <v>32</v>
      </c>
      <c r="T312">
        <v>135</v>
      </c>
      <c r="U312">
        <v>113</v>
      </c>
      <c r="V312">
        <v>34</v>
      </c>
      <c r="W312">
        <v>21</v>
      </c>
      <c r="X312">
        <v>55</v>
      </c>
      <c r="Y312" s="5">
        <v>2.0545454545454547</v>
      </c>
    </row>
    <row r="313" spans="1:25" x14ac:dyDescent="0.25">
      <c r="A313">
        <v>2018</v>
      </c>
      <c r="B313" t="s">
        <v>57</v>
      </c>
      <c r="C313">
        <v>16</v>
      </c>
      <c r="D313">
        <v>156</v>
      </c>
      <c r="E313" t="s">
        <v>97</v>
      </c>
      <c r="F313" t="s">
        <v>54</v>
      </c>
      <c r="G313">
        <f t="shared" si="4"/>
        <v>0</v>
      </c>
      <c r="H313">
        <v>1</v>
      </c>
      <c r="I313">
        <v>12</v>
      </c>
      <c r="J313">
        <v>0</v>
      </c>
      <c r="K313" s="6" t="s">
        <v>59</v>
      </c>
      <c r="L313" s="6" t="s">
        <v>74</v>
      </c>
      <c r="M313">
        <v>74</v>
      </c>
      <c r="N313" s="1">
        <v>0.42499999999999999</v>
      </c>
      <c r="O313">
        <v>16</v>
      </c>
      <c r="P313" s="1">
        <v>0.29599999999999999</v>
      </c>
      <c r="Q313" s="1">
        <v>0.72299999999999998</v>
      </c>
      <c r="R313">
        <v>198</v>
      </c>
      <c r="S313">
        <v>21</v>
      </c>
      <c r="T313">
        <v>74</v>
      </c>
      <c r="U313">
        <v>37</v>
      </c>
      <c r="V313">
        <v>17</v>
      </c>
      <c r="W313">
        <v>11</v>
      </c>
      <c r="X313">
        <v>31</v>
      </c>
      <c r="Y313" s="5">
        <v>1.1935483870967742</v>
      </c>
    </row>
    <row r="314" spans="1:25" x14ac:dyDescent="0.25">
      <c r="A314">
        <v>2018</v>
      </c>
      <c r="B314" t="s">
        <v>57</v>
      </c>
      <c r="C314">
        <v>16</v>
      </c>
      <c r="D314">
        <v>157</v>
      </c>
      <c r="E314" t="s">
        <v>98</v>
      </c>
      <c r="F314" t="s">
        <v>41</v>
      </c>
      <c r="G314">
        <f t="shared" si="4"/>
        <v>0</v>
      </c>
      <c r="H314">
        <v>4</v>
      </c>
      <c r="I314">
        <v>7</v>
      </c>
      <c r="J314">
        <v>2</v>
      </c>
      <c r="K314" s="6" t="s">
        <v>61</v>
      </c>
      <c r="L314" s="6" t="s">
        <v>77</v>
      </c>
      <c r="M314">
        <v>143</v>
      </c>
      <c r="N314" s="1">
        <v>0.46100000000000002</v>
      </c>
      <c r="O314">
        <v>31</v>
      </c>
      <c r="P314" s="1">
        <v>0.31</v>
      </c>
      <c r="Q314" s="1">
        <v>0.86399999999999999</v>
      </c>
      <c r="R314">
        <v>387</v>
      </c>
      <c r="S314">
        <v>45</v>
      </c>
      <c r="T314">
        <v>119</v>
      </c>
      <c r="U314">
        <v>107</v>
      </c>
      <c r="V314">
        <v>24</v>
      </c>
      <c r="W314">
        <v>20</v>
      </c>
      <c r="X314">
        <v>63</v>
      </c>
      <c r="Y314" s="5">
        <v>1.6984126984126984</v>
      </c>
    </row>
    <row r="315" spans="1:25" x14ac:dyDescent="0.25">
      <c r="A315">
        <v>2018</v>
      </c>
      <c r="B315" t="s">
        <v>57</v>
      </c>
      <c r="C315">
        <v>16</v>
      </c>
      <c r="D315">
        <v>157</v>
      </c>
      <c r="E315" t="s">
        <v>15</v>
      </c>
      <c r="F315" t="s">
        <v>48</v>
      </c>
      <c r="G315">
        <f t="shared" si="4"/>
        <v>1</v>
      </c>
      <c r="H315">
        <v>7</v>
      </c>
      <c r="I315">
        <v>4</v>
      </c>
      <c r="J315">
        <v>2</v>
      </c>
      <c r="K315" s="6" t="s">
        <v>112</v>
      </c>
      <c r="L315" s="6" t="s">
        <v>88</v>
      </c>
      <c r="M315">
        <v>197</v>
      </c>
      <c r="N315" s="1">
        <v>0.503</v>
      </c>
      <c r="O315">
        <v>50</v>
      </c>
      <c r="P315" s="1">
        <v>0.42399999999999999</v>
      </c>
      <c r="Q315" s="1">
        <v>0.78400000000000003</v>
      </c>
      <c r="R315">
        <v>542</v>
      </c>
      <c r="S315">
        <v>32</v>
      </c>
      <c r="T315">
        <v>118</v>
      </c>
      <c r="U315">
        <v>107</v>
      </c>
      <c r="V315">
        <v>24</v>
      </c>
      <c r="W315">
        <v>18</v>
      </c>
      <c r="X315">
        <v>60</v>
      </c>
      <c r="Y315" s="5">
        <v>1.7833333333333334</v>
      </c>
    </row>
    <row r="316" spans="1:25" x14ac:dyDescent="0.25">
      <c r="A316">
        <v>2018</v>
      </c>
      <c r="B316" t="s">
        <v>57</v>
      </c>
      <c r="C316">
        <v>16</v>
      </c>
      <c r="D316">
        <v>158</v>
      </c>
      <c r="E316" t="s">
        <v>21</v>
      </c>
      <c r="F316" t="s">
        <v>50</v>
      </c>
      <c r="G316">
        <f t="shared" si="4"/>
        <v>1</v>
      </c>
      <c r="H316">
        <v>10</v>
      </c>
      <c r="I316">
        <v>3</v>
      </c>
      <c r="J316">
        <v>0</v>
      </c>
      <c r="K316" s="6" t="s">
        <v>63</v>
      </c>
      <c r="L316" s="6" t="s">
        <v>79</v>
      </c>
      <c r="M316">
        <v>170</v>
      </c>
      <c r="N316" s="1">
        <v>0.52</v>
      </c>
      <c r="O316">
        <v>24</v>
      </c>
      <c r="P316" s="1">
        <v>0.38100000000000001</v>
      </c>
      <c r="Q316" s="1">
        <v>0.69599999999999995</v>
      </c>
      <c r="R316">
        <v>428</v>
      </c>
      <c r="S316">
        <v>53</v>
      </c>
      <c r="T316">
        <v>114</v>
      </c>
      <c r="U316">
        <v>113</v>
      </c>
      <c r="V316">
        <v>27</v>
      </c>
      <c r="W316">
        <v>17</v>
      </c>
      <c r="X316">
        <v>53</v>
      </c>
      <c r="Y316" s="5">
        <v>2.1320754716981134</v>
      </c>
    </row>
    <row r="317" spans="1:25" x14ac:dyDescent="0.25">
      <c r="A317">
        <v>2018</v>
      </c>
      <c r="B317" t="s">
        <v>57</v>
      </c>
      <c r="C317">
        <v>16</v>
      </c>
      <c r="D317">
        <v>158</v>
      </c>
      <c r="E317" t="s">
        <v>17</v>
      </c>
      <c r="F317" t="s">
        <v>43</v>
      </c>
      <c r="G317">
        <f t="shared" si="4"/>
        <v>0</v>
      </c>
      <c r="H317">
        <v>3</v>
      </c>
      <c r="I317">
        <v>10</v>
      </c>
      <c r="J317">
        <v>0</v>
      </c>
      <c r="K317" s="6" t="s">
        <v>70</v>
      </c>
      <c r="L317" s="6" t="s">
        <v>87</v>
      </c>
      <c r="M317">
        <v>148</v>
      </c>
      <c r="N317" s="1">
        <v>0.442</v>
      </c>
      <c r="O317">
        <v>42</v>
      </c>
      <c r="P317" s="1">
        <v>0.311</v>
      </c>
      <c r="Q317" s="1">
        <v>0.70499999999999996</v>
      </c>
      <c r="R317">
        <v>393</v>
      </c>
      <c r="S317">
        <v>33</v>
      </c>
      <c r="T317">
        <v>139</v>
      </c>
      <c r="U317">
        <v>78</v>
      </c>
      <c r="V317">
        <v>22</v>
      </c>
      <c r="W317">
        <v>16</v>
      </c>
      <c r="X317">
        <v>63</v>
      </c>
      <c r="Y317" s="5">
        <v>1.2380952380952381</v>
      </c>
    </row>
    <row r="318" spans="1:25" x14ac:dyDescent="0.25">
      <c r="A318">
        <v>2018</v>
      </c>
      <c r="B318" t="s">
        <v>57</v>
      </c>
      <c r="C318">
        <v>16</v>
      </c>
      <c r="D318">
        <v>159</v>
      </c>
      <c r="E318" t="s">
        <v>33</v>
      </c>
      <c r="F318" t="s">
        <v>42</v>
      </c>
      <c r="G318">
        <f t="shared" si="4"/>
        <v>1</v>
      </c>
      <c r="H318">
        <v>10</v>
      </c>
      <c r="I318">
        <v>2</v>
      </c>
      <c r="J318">
        <v>1</v>
      </c>
      <c r="K318" s="6" t="s">
        <v>64</v>
      </c>
      <c r="L318" s="6" t="s">
        <v>80</v>
      </c>
      <c r="M318">
        <v>154</v>
      </c>
      <c r="N318" s="1">
        <v>0.45400000000000001</v>
      </c>
      <c r="O318">
        <v>55</v>
      </c>
      <c r="P318" s="1">
        <v>0.39600000000000002</v>
      </c>
      <c r="Q318" s="1">
        <v>0.79300000000000004</v>
      </c>
      <c r="R318">
        <v>409</v>
      </c>
      <c r="S318">
        <v>18</v>
      </c>
      <c r="T318">
        <v>116</v>
      </c>
      <c r="U318">
        <v>93</v>
      </c>
      <c r="V318">
        <v>23</v>
      </c>
      <c r="W318">
        <v>21</v>
      </c>
      <c r="X318">
        <v>43</v>
      </c>
      <c r="Y318" s="5">
        <v>2.1627906976744184</v>
      </c>
    </row>
    <row r="319" spans="1:25" x14ac:dyDescent="0.25">
      <c r="A319">
        <v>2018</v>
      </c>
      <c r="B319" t="s">
        <v>57</v>
      </c>
      <c r="C319">
        <v>16</v>
      </c>
      <c r="D319">
        <v>159</v>
      </c>
      <c r="E319" t="s">
        <v>28</v>
      </c>
      <c r="F319" t="s">
        <v>46</v>
      </c>
      <c r="G319">
        <f t="shared" si="4"/>
        <v>0</v>
      </c>
      <c r="H319">
        <v>2</v>
      </c>
      <c r="I319">
        <v>10</v>
      </c>
      <c r="J319">
        <v>1</v>
      </c>
      <c r="K319" s="6" t="s">
        <v>72</v>
      </c>
      <c r="L319" s="6" t="s">
        <v>85</v>
      </c>
      <c r="M319">
        <v>139</v>
      </c>
      <c r="N319" s="1">
        <v>0.434</v>
      </c>
      <c r="O319">
        <v>19</v>
      </c>
      <c r="P319" s="1">
        <v>0.29199999999999998</v>
      </c>
      <c r="Q319" s="1">
        <v>0.76400000000000001</v>
      </c>
      <c r="R319">
        <v>352</v>
      </c>
      <c r="S319">
        <v>51</v>
      </c>
      <c r="T319">
        <v>146</v>
      </c>
      <c r="U319">
        <v>89</v>
      </c>
      <c r="V319">
        <v>23</v>
      </c>
      <c r="W319">
        <v>20</v>
      </c>
      <c r="X319">
        <v>53</v>
      </c>
      <c r="Y319" s="5">
        <v>1.679245283018868</v>
      </c>
    </row>
    <row r="320" spans="1:25" x14ac:dyDescent="0.25">
      <c r="A320">
        <v>2018</v>
      </c>
      <c r="B320" t="s">
        <v>57</v>
      </c>
      <c r="C320">
        <v>16</v>
      </c>
      <c r="D320">
        <v>160</v>
      </c>
      <c r="E320" t="s">
        <v>94</v>
      </c>
      <c r="F320" t="s">
        <v>40</v>
      </c>
      <c r="G320">
        <f t="shared" si="4"/>
        <v>0</v>
      </c>
      <c r="H320">
        <v>3</v>
      </c>
      <c r="I320">
        <v>9</v>
      </c>
      <c r="J320">
        <v>1</v>
      </c>
      <c r="K320" s="6" t="s">
        <v>66</v>
      </c>
      <c r="L320" s="6" t="s">
        <v>81</v>
      </c>
      <c r="M320">
        <v>155</v>
      </c>
      <c r="N320" s="1">
        <v>0.48299999999999998</v>
      </c>
      <c r="O320">
        <v>31</v>
      </c>
      <c r="P320" s="1">
        <v>0.28999999999999998</v>
      </c>
      <c r="Q320" s="1">
        <v>0.79500000000000004</v>
      </c>
      <c r="R320">
        <v>403</v>
      </c>
      <c r="S320">
        <v>50</v>
      </c>
      <c r="T320">
        <v>125</v>
      </c>
      <c r="U320">
        <v>92</v>
      </c>
      <c r="V320">
        <v>29</v>
      </c>
      <c r="W320">
        <v>19</v>
      </c>
      <c r="X320">
        <v>42</v>
      </c>
      <c r="Y320" s="5">
        <v>2.1904761904761907</v>
      </c>
    </row>
    <row r="321" spans="1:25" x14ac:dyDescent="0.25">
      <c r="A321">
        <v>2018</v>
      </c>
      <c r="B321" t="s">
        <v>57</v>
      </c>
      <c r="C321">
        <v>16</v>
      </c>
      <c r="D321">
        <v>160</v>
      </c>
      <c r="E321" t="s">
        <v>22</v>
      </c>
      <c r="F321" t="s">
        <v>44</v>
      </c>
      <c r="G321">
        <f t="shared" si="4"/>
        <v>1</v>
      </c>
      <c r="H321">
        <v>9</v>
      </c>
      <c r="I321">
        <v>3</v>
      </c>
      <c r="J321">
        <v>1</v>
      </c>
      <c r="K321" s="6" t="s">
        <v>106</v>
      </c>
      <c r="L321" s="6" t="s">
        <v>83</v>
      </c>
      <c r="M321">
        <v>204</v>
      </c>
      <c r="N321" s="1">
        <v>0.504</v>
      </c>
      <c r="O321">
        <v>44</v>
      </c>
      <c r="P321" s="1">
        <v>0.38900000000000001</v>
      </c>
      <c r="Q321" s="1">
        <v>0.83099999999999996</v>
      </c>
      <c r="R321">
        <v>511</v>
      </c>
      <c r="S321">
        <v>35</v>
      </c>
      <c r="T321">
        <v>153</v>
      </c>
      <c r="U321">
        <v>104</v>
      </c>
      <c r="V321">
        <v>28</v>
      </c>
      <c r="W321">
        <v>16</v>
      </c>
      <c r="X321">
        <v>42</v>
      </c>
      <c r="Y321" s="5">
        <v>2.4761904761904763</v>
      </c>
    </row>
    <row r="322" spans="1:25" x14ac:dyDescent="0.25">
      <c r="A322">
        <v>2018</v>
      </c>
      <c r="B322" t="s">
        <v>57</v>
      </c>
      <c r="C322">
        <v>17</v>
      </c>
      <c r="D322">
        <v>161</v>
      </c>
      <c r="E322" t="s">
        <v>16</v>
      </c>
      <c r="F322" t="s">
        <v>51</v>
      </c>
      <c r="G322">
        <f t="shared" ref="G322:G385" si="5">IF(H322+0.5*J322&gt;6.5,1,0)</f>
        <v>1</v>
      </c>
      <c r="H322">
        <v>11</v>
      </c>
      <c r="I322">
        <v>2</v>
      </c>
      <c r="J322">
        <v>0</v>
      </c>
      <c r="K322" s="6" t="s">
        <v>69</v>
      </c>
      <c r="L322" s="6" t="s">
        <v>86</v>
      </c>
      <c r="M322">
        <v>173</v>
      </c>
      <c r="N322" s="1">
        <v>0.499</v>
      </c>
      <c r="O322">
        <v>47</v>
      </c>
      <c r="P322" s="1">
        <v>0.42299999999999999</v>
      </c>
      <c r="Q322" s="1">
        <v>0.80800000000000005</v>
      </c>
      <c r="R322">
        <v>452</v>
      </c>
      <c r="S322">
        <v>44</v>
      </c>
      <c r="T322">
        <v>161</v>
      </c>
      <c r="U322">
        <v>118</v>
      </c>
      <c r="V322">
        <v>41</v>
      </c>
      <c r="W322">
        <v>26</v>
      </c>
      <c r="X322">
        <v>66</v>
      </c>
      <c r="Y322" s="5">
        <v>1.7878787878787878</v>
      </c>
    </row>
    <row r="323" spans="1:25" x14ac:dyDescent="0.25">
      <c r="A323">
        <v>2018</v>
      </c>
      <c r="B323" t="s">
        <v>57</v>
      </c>
      <c r="C323">
        <v>17</v>
      </c>
      <c r="D323">
        <v>161</v>
      </c>
      <c r="E323" t="s">
        <v>24</v>
      </c>
      <c r="F323" t="s">
        <v>55</v>
      </c>
      <c r="G323">
        <f t="shared" si="5"/>
        <v>0</v>
      </c>
      <c r="H323">
        <v>2</v>
      </c>
      <c r="I323">
        <v>11</v>
      </c>
      <c r="J323">
        <v>0</v>
      </c>
      <c r="K323" s="6" t="s">
        <v>60</v>
      </c>
      <c r="L323" s="6" t="s">
        <v>75</v>
      </c>
      <c r="M323">
        <v>126</v>
      </c>
      <c r="N323" s="1">
        <v>0.432</v>
      </c>
      <c r="O323">
        <v>35</v>
      </c>
      <c r="P323" s="1">
        <v>0.33</v>
      </c>
      <c r="Q323" s="1">
        <v>0.77</v>
      </c>
      <c r="R323">
        <v>344</v>
      </c>
      <c r="S323">
        <v>22</v>
      </c>
      <c r="T323">
        <v>112</v>
      </c>
      <c r="U323">
        <v>113</v>
      </c>
      <c r="V323">
        <v>20</v>
      </c>
      <c r="W323">
        <v>8</v>
      </c>
      <c r="X323">
        <v>49</v>
      </c>
      <c r="Y323" s="5">
        <v>2.306122448979592</v>
      </c>
    </row>
    <row r="324" spans="1:25" x14ac:dyDescent="0.25">
      <c r="A324">
        <v>2018</v>
      </c>
      <c r="B324" t="s">
        <v>57</v>
      </c>
      <c r="C324">
        <v>17</v>
      </c>
      <c r="D324">
        <v>162</v>
      </c>
      <c r="E324" t="s">
        <v>190</v>
      </c>
      <c r="F324" t="s">
        <v>103</v>
      </c>
      <c r="G324">
        <f t="shared" si="5"/>
        <v>1</v>
      </c>
      <c r="H324">
        <v>10</v>
      </c>
      <c r="I324">
        <v>3</v>
      </c>
      <c r="J324">
        <v>0</v>
      </c>
      <c r="K324" s="6" t="s">
        <v>193</v>
      </c>
      <c r="L324" s="6" t="s">
        <v>117</v>
      </c>
      <c r="M324">
        <v>224</v>
      </c>
      <c r="N324" s="1">
        <v>0.46600000000000003</v>
      </c>
      <c r="O324">
        <v>55</v>
      </c>
      <c r="P324" s="1">
        <v>0.40699999999999997</v>
      </c>
      <c r="Q324" s="1">
        <v>0.67900000000000005</v>
      </c>
      <c r="R324">
        <v>596</v>
      </c>
      <c r="S324">
        <v>68</v>
      </c>
      <c r="T324">
        <v>160</v>
      </c>
      <c r="U324">
        <v>77</v>
      </c>
      <c r="V324">
        <v>33</v>
      </c>
      <c r="W324">
        <v>26</v>
      </c>
      <c r="X324">
        <v>60</v>
      </c>
      <c r="Y324" s="5">
        <v>1.2833333333333334</v>
      </c>
    </row>
    <row r="325" spans="1:25" x14ac:dyDescent="0.25">
      <c r="A325">
        <v>2018</v>
      </c>
      <c r="B325" t="s">
        <v>57</v>
      </c>
      <c r="C325">
        <v>17</v>
      </c>
      <c r="D325">
        <v>162</v>
      </c>
      <c r="E325" t="s">
        <v>159</v>
      </c>
      <c r="F325" t="s">
        <v>116</v>
      </c>
      <c r="G325">
        <f t="shared" si="5"/>
        <v>0</v>
      </c>
      <c r="H325">
        <v>3</v>
      </c>
      <c r="I325">
        <v>10</v>
      </c>
      <c r="J325">
        <v>0</v>
      </c>
      <c r="K325" s="6" t="s">
        <v>191</v>
      </c>
      <c r="L325" s="6" t="s">
        <v>113</v>
      </c>
      <c r="M325">
        <v>106</v>
      </c>
      <c r="N325" s="1">
        <v>0.434</v>
      </c>
      <c r="O325">
        <v>29</v>
      </c>
      <c r="P325" s="1">
        <v>0.32200000000000001</v>
      </c>
      <c r="Q325" s="1">
        <v>0.78</v>
      </c>
      <c r="R325">
        <v>280</v>
      </c>
      <c r="S325">
        <v>27</v>
      </c>
      <c r="T325">
        <v>76</v>
      </c>
      <c r="U325">
        <v>43</v>
      </c>
      <c r="V325">
        <v>16</v>
      </c>
      <c r="W325">
        <v>16</v>
      </c>
      <c r="X325">
        <v>30</v>
      </c>
      <c r="Y325" s="5">
        <v>1.4333333333333333</v>
      </c>
    </row>
    <row r="326" spans="1:25" x14ac:dyDescent="0.25">
      <c r="A326">
        <v>2018</v>
      </c>
      <c r="B326" t="s">
        <v>57</v>
      </c>
      <c r="C326">
        <v>17</v>
      </c>
      <c r="D326">
        <v>163</v>
      </c>
      <c r="E326" t="s">
        <v>20</v>
      </c>
      <c r="F326" t="s">
        <v>47</v>
      </c>
      <c r="G326">
        <f t="shared" si="5"/>
        <v>1</v>
      </c>
      <c r="H326">
        <v>8</v>
      </c>
      <c r="I326">
        <v>5</v>
      </c>
      <c r="J326">
        <v>0</v>
      </c>
      <c r="K326" s="6" t="s">
        <v>67</v>
      </c>
      <c r="L326" s="6" t="s">
        <v>82</v>
      </c>
      <c r="M326">
        <v>191</v>
      </c>
      <c r="N326" s="1">
        <v>0.46200000000000002</v>
      </c>
      <c r="O326">
        <v>28</v>
      </c>
      <c r="P326" s="1">
        <v>0.29199999999999998</v>
      </c>
      <c r="Q326" s="1">
        <v>0.75900000000000001</v>
      </c>
      <c r="R326">
        <v>492</v>
      </c>
      <c r="S326">
        <v>36</v>
      </c>
      <c r="T326">
        <v>123</v>
      </c>
      <c r="U326">
        <v>119</v>
      </c>
      <c r="V326">
        <v>34</v>
      </c>
      <c r="W326">
        <v>13</v>
      </c>
      <c r="X326">
        <v>65</v>
      </c>
      <c r="Y326" s="5">
        <v>1.8307692307692307</v>
      </c>
    </row>
    <row r="327" spans="1:25" x14ac:dyDescent="0.25">
      <c r="A327">
        <v>2018</v>
      </c>
      <c r="B327" t="s">
        <v>57</v>
      </c>
      <c r="C327">
        <v>17</v>
      </c>
      <c r="D327">
        <v>163</v>
      </c>
      <c r="E327" t="s">
        <v>19</v>
      </c>
      <c r="F327" t="s">
        <v>56</v>
      </c>
      <c r="G327">
        <f t="shared" si="5"/>
        <v>0</v>
      </c>
      <c r="H327">
        <v>5</v>
      </c>
      <c r="I327">
        <v>8</v>
      </c>
      <c r="J327">
        <v>0</v>
      </c>
      <c r="K327" s="6" t="s">
        <v>62</v>
      </c>
      <c r="L327" s="6" t="s">
        <v>78</v>
      </c>
      <c r="M327">
        <v>128</v>
      </c>
      <c r="N327" s="1">
        <v>0.41399999999999998</v>
      </c>
      <c r="O327">
        <v>39</v>
      </c>
      <c r="P327" s="1">
        <v>0.35099999999999998</v>
      </c>
      <c r="Q327" s="1">
        <v>0.71799999999999997</v>
      </c>
      <c r="R327">
        <v>351</v>
      </c>
      <c r="S327">
        <v>23</v>
      </c>
      <c r="T327">
        <v>113</v>
      </c>
      <c r="U327">
        <v>107</v>
      </c>
      <c r="V327">
        <v>24</v>
      </c>
      <c r="W327">
        <v>19</v>
      </c>
      <c r="X327">
        <v>56</v>
      </c>
      <c r="Y327" s="5">
        <v>1.9107142857142858</v>
      </c>
    </row>
    <row r="328" spans="1:25" x14ac:dyDescent="0.25">
      <c r="A328">
        <v>2018</v>
      </c>
      <c r="B328" t="s">
        <v>57</v>
      </c>
      <c r="C328">
        <v>17</v>
      </c>
      <c r="D328">
        <v>164</v>
      </c>
      <c r="E328" t="s">
        <v>25</v>
      </c>
      <c r="F328" t="s">
        <v>53</v>
      </c>
      <c r="G328">
        <f t="shared" si="5"/>
        <v>1</v>
      </c>
      <c r="H328">
        <v>10</v>
      </c>
      <c r="I328">
        <v>3</v>
      </c>
      <c r="J328">
        <v>0</v>
      </c>
      <c r="K328" s="6" t="s">
        <v>182</v>
      </c>
      <c r="L328" s="6" t="s">
        <v>76</v>
      </c>
      <c r="M328">
        <v>157</v>
      </c>
      <c r="N328" s="1">
        <v>0.437</v>
      </c>
      <c r="O328">
        <v>51</v>
      </c>
      <c r="P328" s="1">
        <v>0.36199999999999999</v>
      </c>
      <c r="Q328" s="1">
        <v>0.84399999999999997</v>
      </c>
      <c r="R328">
        <v>430</v>
      </c>
      <c r="S328">
        <v>19</v>
      </c>
      <c r="T328">
        <v>136</v>
      </c>
      <c r="U328">
        <v>81</v>
      </c>
      <c r="V328">
        <v>32</v>
      </c>
      <c r="W328">
        <v>12</v>
      </c>
      <c r="X328">
        <v>40</v>
      </c>
      <c r="Y328" s="5">
        <v>2.0249999999999999</v>
      </c>
    </row>
    <row r="329" spans="1:25" x14ac:dyDescent="0.25">
      <c r="A329">
        <v>2018</v>
      </c>
      <c r="B329" t="s">
        <v>57</v>
      </c>
      <c r="C329">
        <v>17</v>
      </c>
      <c r="D329">
        <v>164</v>
      </c>
      <c r="E329" t="s">
        <v>181</v>
      </c>
      <c r="F329" t="s">
        <v>49</v>
      </c>
      <c r="G329">
        <f t="shared" si="5"/>
        <v>0</v>
      </c>
      <c r="H329">
        <v>3</v>
      </c>
      <c r="I329">
        <v>10</v>
      </c>
      <c r="J329">
        <v>0</v>
      </c>
      <c r="K329" s="6" t="s">
        <v>68</v>
      </c>
      <c r="L329" s="6" t="s">
        <v>84</v>
      </c>
      <c r="M329">
        <v>151</v>
      </c>
      <c r="N329" s="1">
        <v>0.495</v>
      </c>
      <c r="O329">
        <v>42</v>
      </c>
      <c r="P329" s="1">
        <v>0.36209999999999998</v>
      </c>
      <c r="Q329" s="1">
        <v>0.85599999999999998</v>
      </c>
      <c r="R329">
        <v>421</v>
      </c>
      <c r="S329">
        <v>18</v>
      </c>
      <c r="T329">
        <v>114</v>
      </c>
      <c r="U329">
        <v>72</v>
      </c>
      <c r="V329">
        <v>26</v>
      </c>
      <c r="W329">
        <v>9</v>
      </c>
      <c r="X329">
        <v>50</v>
      </c>
      <c r="Y329" s="5">
        <v>1.44</v>
      </c>
    </row>
    <row r="330" spans="1:25" x14ac:dyDescent="0.25">
      <c r="A330">
        <v>2018</v>
      </c>
      <c r="B330" t="s">
        <v>57</v>
      </c>
      <c r="C330">
        <v>17</v>
      </c>
      <c r="D330">
        <v>165</v>
      </c>
      <c r="E330" t="s">
        <v>18</v>
      </c>
      <c r="F330" t="s">
        <v>52</v>
      </c>
      <c r="G330">
        <f t="shared" si="5"/>
        <v>0</v>
      </c>
      <c r="H330">
        <v>4</v>
      </c>
      <c r="I330">
        <v>9</v>
      </c>
      <c r="J330">
        <v>0</v>
      </c>
      <c r="K330" s="6" t="s">
        <v>71</v>
      </c>
      <c r="L330" s="6" t="s">
        <v>121</v>
      </c>
      <c r="M330">
        <v>154</v>
      </c>
      <c r="N330" s="1">
        <v>0.44600000000000001</v>
      </c>
      <c r="O330">
        <v>37</v>
      </c>
      <c r="P330" s="1">
        <v>0.32200000000000001</v>
      </c>
      <c r="Q330" s="1">
        <v>0.81399999999999995</v>
      </c>
      <c r="R330">
        <v>415</v>
      </c>
      <c r="S330">
        <v>28</v>
      </c>
      <c r="T330">
        <v>137</v>
      </c>
      <c r="U330">
        <v>106</v>
      </c>
      <c r="V330">
        <v>35</v>
      </c>
      <c r="W330">
        <v>17</v>
      </c>
      <c r="X330">
        <v>52</v>
      </c>
      <c r="Y330" s="5">
        <v>2.0384615384615383</v>
      </c>
    </row>
    <row r="331" spans="1:25" x14ac:dyDescent="0.25">
      <c r="A331">
        <v>2018</v>
      </c>
      <c r="B331" t="s">
        <v>57</v>
      </c>
      <c r="C331">
        <v>17</v>
      </c>
      <c r="D331">
        <v>165</v>
      </c>
      <c r="E331" t="s">
        <v>23</v>
      </c>
      <c r="F331" t="s">
        <v>120</v>
      </c>
      <c r="G331">
        <f t="shared" si="5"/>
        <v>1</v>
      </c>
      <c r="H331">
        <v>9</v>
      </c>
      <c r="I331">
        <v>4</v>
      </c>
      <c r="J331">
        <v>0</v>
      </c>
      <c r="K331" s="6" t="s">
        <v>59</v>
      </c>
      <c r="L331" s="6" t="s">
        <v>74</v>
      </c>
      <c r="M331">
        <v>171</v>
      </c>
      <c r="N331" s="1">
        <v>0.47</v>
      </c>
      <c r="O331">
        <v>48</v>
      </c>
      <c r="P331" s="1">
        <v>0.39</v>
      </c>
      <c r="Q331" s="1">
        <v>0.75800000000000001</v>
      </c>
      <c r="R331">
        <v>459</v>
      </c>
      <c r="S331">
        <v>48</v>
      </c>
      <c r="T331">
        <v>153</v>
      </c>
      <c r="U331">
        <v>54</v>
      </c>
      <c r="V331">
        <v>23</v>
      </c>
      <c r="W331">
        <v>23</v>
      </c>
      <c r="X331">
        <v>47</v>
      </c>
      <c r="Y331" s="5">
        <v>1.1489361702127661</v>
      </c>
    </row>
    <row r="332" spans="1:25" x14ac:dyDescent="0.25">
      <c r="A332">
        <v>2018</v>
      </c>
      <c r="B332" t="s">
        <v>57</v>
      </c>
      <c r="C332">
        <v>17</v>
      </c>
      <c r="D332">
        <v>166</v>
      </c>
      <c r="E332" t="s">
        <v>15</v>
      </c>
      <c r="F332" t="s">
        <v>48</v>
      </c>
      <c r="G332">
        <f t="shared" si="5"/>
        <v>1</v>
      </c>
      <c r="H332">
        <v>12</v>
      </c>
      <c r="I332">
        <v>1</v>
      </c>
      <c r="J332">
        <v>0</v>
      </c>
      <c r="K332" s="6" t="s">
        <v>111</v>
      </c>
      <c r="L332" s="6" t="s">
        <v>89</v>
      </c>
      <c r="M332">
        <v>186</v>
      </c>
      <c r="N332" s="1">
        <v>0.49199999999999999</v>
      </c>
      <c r="O332">
        <v>52</v>
      </c>
      <c r="P332" s="1">
        <v>0.4</v>
      </c>
      <c r="Q332" s="1">
        <v>0.79800000000000004</v>
      </c>
      <c r="R332">
        <v>515</v>
      </c>
      <c r="S332">
        <v>36</v>
      </c>
      <c r="T332">
        <v>137</v>
      </c>
      <c r="U332">
        <v>100</v>
      </c>
      <c r="V332">
        <v>23</v>
      </c>
      <c r="W332">
        <v>19</v>
      </c>
      <c r="X332">
        <v>47</v>
      </c>
      <c r="Y332" s="5">
        <v>2.1276595744680851</v>
      </c>
    </row>
    <row r="333" spans="1:25" x14ac:dyDescent="0.25">
      <c r="A333">
        <v>2018</v>
      </c>
      <c r="B333" t="s">
        <v>57</v>
      </c>
      <c r="C333">
        <v>17</v>
      </c>
      <c r="D333">
        <v>166</v>
      </c>
      <c r="E333" t="s">
        <v>97</v>
      </c>
      <c r="F333" t="s">
        <v>54</v>
      </c>
      <c r="G333">
        <f t="shared" si="5"/>
        <v>0</v>
      </c>
      <c r="H333">
        <v>1</v>
      </c>
      <c r="I333">
        <v>12</v>
      </c>
      <c r="J333">
        <v>0</v>
      </c>
      <c r="K333" s="6" t="s">
        <v>61</v>
      </c>
      <c r="L333" s="6" t="s">
        <v>77</v>
      </c>
      <c r="M333">
        <v>94</v>
      </c>
      <c r="N333" s="1">
        <v>0.49</v>
      </c>
      <c r="O333">
        <v>16</v>
      </c>
      <c r="P333" s="1">
        <v>0.29099999999999998</v>
      </c>
      <c r="Q333" s="1">
        <v>0.74299999999999999</v>
      </c>
      <c r="R333">
        <v>230</v>
      </c>
      <c r="S333">
        <v>15</v>
      </c>
      <c r="T333">
        <v>75</v>
      </c>
      <c r="U333">
        <v>57</v>
      </c>
      <c r="V333">
        <v>12</v>
      </c>
      <c r="W333">
        <v>7</v>
      </c>
      <c r="X333">
        <v>40</v>
      </c>
      <c r="Y333" s="5">
        <v>1.425</v>
      </c>
    </row>
    <row r="334" spans="1:25" x14ac:dyDescent="0.25">
      <c r="A334">
        <v>2018</v>
      </c>
      <c r="B334" t="s">
        <v>57</v>
      </c>
      <c r="C334">
        <v>17</v>
      </c>
      <c r="D334">
        <v>167</v>
      </c>
      <c r="E334" t="s">
        <v>98</v>
      </c>
      <c r="F334" t="s">
        <v>41</v>
      </c>
      <c r="G334">
        <f t="shared" si="5"/>
        <v>0</v>
      </c>
      <c r="H334">
        <v>4</v>
      </c>
      <c r="I334">
        <v>9</v>
      </c>
      <c r="J334">
        <v>0</v>
      </c>
      <c r="K334" s="6" t="s">
        <v>63</v>
      </c>
      <c r="L334" s="6" t="s">
        <v>79</v>
      </c>
      <c r="M334">
        <v>150</v>
      </c>
      <c r="N334" s="1">
        <v>0.47</v>
      </c>
      <c r="O334">
        <v>30</v>
      </c>
      <c r="P334" s="1">
        <v>0.34100000000000003</v>
      </c>
      <c r="Q334" s="1">
        <v>0.81499999999999995</v>
      </c>
      <c r="R334">
        <v>405</v>
      </c>
      <c r="S334">
        <v>43</v>
      </c>
      <c r="T334">
        <v>116</v>
      </c>
      <c r="U334">
        <v>90</v>
      </c>
      <c r="V334">
        <v>36</v>
      </c>
      <c r="W334">
        <v>17</v>
      </c>
      <c r="X334">
        <v>61</v>
      </c>
      <c r="Y334" s="5">
        <v>1.4754098360655739</v>
      </c>
    </row>
    <row r="335" spans="1:25" x14ac:dyDescent="0.25">
      <c r="A335">
        <v>2018</v>
      </c>
      <c r="B335" t="s">
        <v>57</v>
      </c>
      <c r="C335">
        <v>17</v>
      </c>
      <c r="D335">
        <v>167</v>
      </c>
      <c r="E335" t="s">
        <v>17</v>
      </c>
      <c r="F335" t="s">
        <v>43</v>
      </c>
      <c r="G335">
        <f t="shared" si="5"/>
        <v>1</v>
      </c>
      <c r="H335">
        <v>9</v>
      </c>
      <c r="I335">
        <v>4</v>
      </c>
      <c r="J335">
        <v>0</v>
      </c>
      <c r="K335" s="6" t="s">
        <v>112</v>
      </c>
      <c r="L335" s="6" t="s">
        <v>88</v>
      </c>
      <c r="M335">
        <v>159</v>
      </c>
      <c r="N335" s="1">
        <v>0.49399999999999999</v>
      </c>
      <c r="O335">
        <v>64</v>
      </c>
      <c r="P335" s="1">
        <v>0.44800000000000001</v>
      </c>
      <c r="Q335" s="1">
        <v>0.80400000000000005</v>
      </c>
      <c r="R335">
        <v>419</v>
      </c>
      <c r="S335">
        <v>26</v>
      </c>
      <c r="T335">
        <v>156</v>
      </c>
      <c r="U335">
        <v>79</v>
      </c>
      <c r="V335">
        <v>26</v>
      </c>
      <c r="W335">
        <v>23</v>
      </c>
      <c r="X335">
        <v>45</v>
      </c>
      <c r="Y335" s="5">
        <v>1.7555555555555555</v>
      </c>
    </row>
    <row r="336" spans="1:25" x14ac:dyDescent="0.25">
      <c r="A336">
        <v>2018</v>
      </c>
      <c r="B336" t="s">
        <v>57</v>
      </c>
      <c r="C336">
        <v>17</v>
      </c>
      <c r="D336">
        <v>168</v>
      </c>
      <c r="E336" t="s">
        <v>21</v>
      </c>
      <c r="F336" t="s">
        <v>50</v>
      </c>
      <c r="G336">
        <f t="shared" si="5"/>
        <v>1</v>
      </c>
      <c r="H336">
        <v>8</v>
      </c>
      <c r="I336">
        <v>5</v>
      </c>
      <c r="J336">
        <v>0</v>
      </c>
      <c r="K336" s="6" t="s">
        <v>64</v>
      </c>
      <c r="L336" s="6" t="s">
        <v>80</v>
      </c>
      <c r="M336">
        <v>147</v>
      </c>
      <c r="N336" s="1">
        <v>0.49199999999999999</v>
      </c>
      <c r="O336">
        <v>32</v>
      </c>
      <c r="P336" s="1">
        <v>0.39500000000000002</v>
      </c>
      <c r="Q336" s="1">
        <v>0.66300000000000003</v>
      </c>
      <c r="R336">
        <v>393</v>
      </c>
      <c r="S336">
        <v>35</v>
      </c>
      <c r="T336">
        <v>128</v>
      </c>
      <c r="U336">
        <v>103</v>
      </c>
      <c r="V336">
        <v>33</v>
      </c>
      <c r="W336">
        <v>20</v>
      </c>
      <c r="X336">
        <v>60</v>
      </c>
      <c r="Y336" s="5">
        <v>1.7166666666666666</v>
      </c>
    </row>
    <row r="337" spans="1:25" x14ac:dyDescent="0.25">
      <c r="A337">
        <v>2018</v>
      </c>
      <c r="B337" t="s">
        <v>57</v>
      </c>
      <c r="C337">
        <v>17</v>
      </c>
      <c r="D337">
        <v>168</v>
      </c>
      <c r="E337" t="s">
        <v>28</v>
      </c>
      <c r="F337" t="s">
        <v>46</v>
      </c>
      <c r="G337">
        <f t="shared" si="5"/>
        <v>0</v>
      </c>
      <c r="H337">
        <v>5</v>
      </c>
      <c r="I337">
        <v>8</v>
      </c>
      <c r="J337">
        <v>0</v>
      </c>
      <c r="K337" s="6" t="s">
        <v>70</v>
      </c>
      <c r="L337" s="6" t="s">
        <v>87</v>
      </c>
      <c r="M337">
        <v>133</v>
      </c>
      <c r="N337" s="1">
        <v>0.504</v>
      </c>
      <c r="O337">
        <v>31</v>
      </c>
      <c r="P337" s="1">
        <v>0.39700000000000002</v>
      </c>
      <c r="Q337" s="1">
        <v>0.78100000000000003</v>
      </c>
      <c r="R337">
        <v>354</v>
      </c>
      <c r="S337">
        <v>34</v>
      </c>
      <c r="T337">
        <v>137</v>
      </c>
      <c r="U337">
        <v>73</v>
      </c>
      <c r="V337">
        <v>25</v>
      </c>
      <c r="W337">
        <v>19</v>
      </c>
      <c r="X337">
        <v>50</v>
      </c>
      <c r="Y337" s="5">
        <v>1.46</v>
      </c>
    </row>
    <row r="338" spans="1:25" x14ac:dyDescent="0.25">
      <c r="A338">
        <v>2018</v>
      </c>
      <c r="B338" t="s">
        <v>57</v>
      </c>
      <c r="C338">
        <v>17</v>
      </c>
      <c r="D338">
        <v>169</v>
      </c>
      <c r="E338" t="s">
        <v>22</v>
      </c>
      <c r="F338" t="s">
        <v>44</v>
      </c>
      <c r="G338">
        <f t="shared" si="5"/>
        <v>1</v>
      </c>
      <c r="H338">
        <v>12</v>
      </c>
      <c r="I338">
        <v>1</v>
      </c>
      <c r="J338">
        <v>0</v>
      </c>
      <c r="K338" s="6" t="s">
        <v>72</v>
      </c>
      <c r="L338" s="6" t="s">
        <v>85</v>
      </c>
      <c r="M338">
        <v>176</v>
      </c>
      <c r="N338" s="1">
        <v>0.49199999999999999</v>
      </c>
      <c r="O338">
        <v>65</v>
      </c>
      <c r="P338" s="1">
        <v>0.45500000000000002</v>
      </c>
      <c r="Q338" s="1">
        <v>0.83499999999999996</v>
      </c>
      <c r="R338">
        <v>488</v>
      </c>
      <c r="S338">
        <v>26</v>
      </c>
      <c r="T338">
        <v>115</v>
      </c>
      <c r="U338">
        <v>90</v>
      </c>
      <c r="V338">
        <v>28</v>
      </c>
      <c r="W338">
        <v>10</v>
      </c>
      <c r="X338">
        <v>43</v>
      </c>
      <c r="Y338" s="5">
        <v>2.0930232558139537</v>
      </c>
    </row>
    <row r="339" spans="1:25" x14ac:dyDescent="0.25">
      <c r="A339">
        <v>2018</v>
      </c>
      <c r="B339" t="s">
        <v>57</v>
      </c>
      <c r="C339">
        <v>17</v>
      </c>
      <c r="D339">
        <v>169</v>
      </c>
      <c r="E339" t="s">
        <v>33</v>
      </c>
      <c r="F339" t="s">
        <v>42</v>
      </c>
      <c r="G339">
        <f t="shared" si="5"/>
        <v>0</v>
      </c>
      <c r="H339">
        <v>1</v>
      </c>
      <c r="I339">
        <v>12</v>
      </c>
      <c r="J339">
        <v>0</v>
      </c>
      <c r="K339" s="6" t="s">
        <v>66</v>
      </c>
      <c r="L339" s="6" t="s">
        <v>81</v>
      </c>
      <c r="M339">
        <v>142</v>
      </c>
      <c r="N339" s="1">
        <v>0.40600000000000003</v>
      </c>
      <c r="O339">
        <v>40</v>
      </c>
      <c r="P339" s="1">
        <v>0.313</v>
      </c>
      <c r="Q339" s="1">
        <v>0.80400000000000005</v>
      </c>
      <c r="R339">
        <v>369</v>
      </c>
      <c r="S339">
        <v>24</v>
      </c>
      <c r="T339">
        <v>101</v>
      </c>
      <c r="U339">
        <v>72</v>
      </c>
      <c r="V339">
        <v>27</v>
      </c>
      <c r="W339">
        <v>15</v>
      </c>
      <c r="X339">
        <v>49</v>
      </c>
      <c r="Y339" s="5">
        <v>1.4693877551020409</v>
      </c>
    </row>
    <row r="340" spans="1:25" x14ac:dyDescent="0.25">
      <c r="A340">
        <v>2018</v>
      </c>
      <c r="B340" t="s">
        <v>57</v>
      </c>
      <c r="C340">
        <v>17</v>
      </c>
      <c r="D340">
        <v>170</v>
      </c>
      <c r="E340" t="s">
        <v>94</v>
      </c>
      <c r="F340" t="s">
        <v>40</v>
      </c>
      <c r="G340">
        <f t="shared" si="5"/>
        <v>1</v>
      </c>
      <c r="H340">
        <v>10</v>
      </c>
      <c r="I340">
        <v>3</v>
      </c>
      <c r="J340">
        <v>0</v>
      </c>
      <c r="K340" s="6" t="s">
        <v>65</v>
      </c>
      <c r="L340" s="6" t="s">
        <v>119</v>
      </c>
      <c r="M340">
        <v>154</v>
      </c>
      <c r="N340" s="1">
        <v>0.46700000000000003</v>
      </c>
      <c r="O340">
        <v>46</v>
      </c>
      <c r="P340" s="1">
        <v>0.39700000000000002</v>
      </c>
      <c r="Q340" s="1">
        <v>0.78700000000000003</v>
      </c>
      <c r="R340">
        <v>428</v>
      </c>
      <c r="S340">
        <v>59</v>
      </c>
      <c r="T340">
        <v>151</v>
      </c>
      <c r="U340">
        <v>91</v>
      </c>
      <c r="V340">
        <v>28</v>
      </c>
      <c r="W340">
        <v>14</v>
      </c>
      <c r="X340">
        <v>49</v>
      </c>
      <c r="Y340" s="5">
        <v>1.8571428571428572</v>
      </c>
    </row>
    <row r="341" spans="1:25" x14ac:dyDescent="0.25">
      <c r="A341">
        <v>2018</v>
      </c>
      <c r="B341" t="s">
        <v>57</v>
      </c>
      <c r="C341">
        <v>17</v>
      </c>
      <c r="D341">
        <v>170</v>
      </c>
      <c r="E341" t="s">
        <v>26</v>
      </c>
      <c r="F341" t="s">
        <v>118</v>
      </c>
      <c r="G341">
        <f t="shared" si="5"/>
        <v>0</v>
      </c>
      <c r="H341">
        <v>3</v>
      </c>
      <c r="I341">
        <v>10</v>
      </c>
      <c r="J341">
        <v>0</v>
      </c>
      <c r="K341" s="6" t="s">
        <v>106</v>
      </c>
      <c r="L341" s="6" t="s">
        <v>83</v>
      </c>
      <c r="M341">
        <v>136</v>
      </c>
      <c r="N341" s="1">
        <v>0.47599999999999998</v>
      </c>
      <c r="O341">
        <v>38</v>
      </c>
      <c r="P341" s="1">
        <v>0.35499999999999998</v>
      </c>
      <c r="Q341" s="1">
        <v>0.90500000000000003</v>
      </c>
      <c r="R341">
        <v>405</v>
      </c>
      <c r="S341">
        <v>29</v>
      </c>
      <c r="T341">
        <v>123</v>
      </c>
      <c r="U341">
        <v>85</v>
      </c>
      <c r="V341">
        <v>17</v>
      </c>
      <c r="W341">
        <v>19</v>
      </c>
      <c r="X341">
        <v>50</v>
      </c>
      <c r="Y341" s="5">
        <v>1.7</v>
      </c>
    </row>
    <row r="342" spans="1:25" x14ac:dyDescent="0.25">
      <c r="A342">
        <v>2018</v>
      </c>
      <c r="B342" t="s">
        <v>57</v>
      </c>
      <c r="C342">
        <v>18</v>
      </c>
      <c r="D342">
        <v>171</v>
      </c>
      <c r="E342" t="s">
        <v>16</v>
      </c>
      <c r="F342" t="s">
        <v>51</v>
      </c>
      <c r="G342">
        <f t="shared" si="5"/>
        <v>1</v>
      </c>
      <c r="H342">
        <v>11</v>
      </c>
      <c r="I342">
        <v>2</v>
      </c>
      <c r="J342">
        <v>0</v>
      </c>
      <c r="K342" s="6" t="s">
        <v>68</v>
      </c>
      <c r="L342" s="6" t="s">
        <v>84</v>
      </c>
      <c r="M342">
        <v>196</v>
      </c>
      <c r="N342" s="1">
        <v>0.45300000000000001</v>
      </c>
      <c r="O342">
        <v>66</v>
      </c>
      <c r="P342" s="1">
        <v>0.39300000000000002</v>
      </c>
      <c r="Q342" s="1">
        <v>0.84299999999999997</v>
      </c>
      <c r="R342">
        <v>560</v>
      </c>
      <c r="S342">
        <v>61</v>
      </c>
      <c r="T342">
        <v>194</v>
      </c>
      <c r="U342">
        <v>149</v>
      </c>
      <c r="V342">
        <v>44</v>
      </c>
      <c r="W342">
        <v>31</v>
      </c>
      <c r="X342">
        <v>73</v>
      </c>
      <c r="Y342" s="5">
        <v>2.0410958904109591</v>
      </c>
    </row>
    <row r="343" spans="1:25" x14ac:dyDescent="0.25">
      <c r="A343">
        <v>2018</v>
      </c>
      <c r="B343" t="s">
        <v>57</v>
      </c>
      <c r="C343">
        <v>18</v>
      </c>
      <c r="D343">
        <v>171</v>
      </c>
      <c r="E343" t="s">
        <v>25</v>
      </c>
      <c r="F343" t="s">
        <v>53</v>
      </c>
      <c r="G343">
        <f t="shared" si="5"/>
        <v>0</v>
      </c>
      <c r="H343">
        <v>2</v>
      </c>
      <c r="I343">
        <v>11</v>
      </c>
      <c r="J343">
        <v>0</v>
      </c>
      <c r="K343" s="6" t="s">
        <v>60</v>
      </c>
      <c r="L343" s="6" t="s">
        <v>75</v>
      </c>
      <c r="M343">
        <v>169</v>
      </c>
      <c r="N343" s="1">
        <v>0.44600000000000001</v>
      </c>
      <c r="O343">
        <v>44</v>
      </c>
      <c r="P343" s="1">
        <v>0.33100000000000002</v>
      </c>
      <c r="Q343" s="1">
        <v>0.78</v>
      </c>
      <c r="R343">
        <v>446</v>
      </c>
      <c r="S343">
        <v>26</v>
      </c>
      <c r="T343">
        <v>150</v>
      </c>
      <c r="U343">
        <v>129</v>
      </c>
      <c r="V343">
        <v>22</v>
      </c>
      <c r="W343">
        <v>10</v>
      </c>
      <c r="X343">
        <v>60</v>
      </c>
      <c r="Y343" s="5">
        <v>2.15</v>
      </c>
    </row>
    <row r="344" spans="1:25" x14ac:dyDescent="0.25">
      <c r="A344">
        <v>2018</v>
      </c>
      <c r="B344" t="s">
        <v>57</v>
      </c>
      <c r="C344">
        <v>18</v>
      </c>
      <c r="D344">
        <v>172</v>
      </c>
      <c r="E344" t="s">
        <v>20</v>
      </c>
      <c r="F344" t="s">
        <v>47</v>
      </c>
      <c r="G344">
        <f t="shared" si="5"/>
        <v>1</v>
      </c>
      <c r="H344">
        <v>9</v>
      </c>
      <c r="I344">
        <v>3</v>
      </c>
      <c r="J344">
        <v>1</v>
      </c>
      <c r="K344" s="6" t="s">
        <v>193</v>
      </c>
      <c r="L344" s="6" t="s">
        <v>117</v>
      </c>
      <c r="M344">
        <v>191</v>
      </c>
      <c r="N344" s="1">
        <v>0.45200000000000001</v>
      </c>
      <c r="O344">
        <v>33</v>
      </c>
      <c r="P344" s="1">
        <v>0.32700000000000001</v>
      </c>
      <c r="Q344" s="1">
        <v>0.7</v>
      </c>
      <c r="R344">
        <v>485</v>
      </c>
      <c r="S344">
        <v>43</v>
      </c>
      <c r="T344">
        <v>152</v>
      </c>
      <c r="U344">
        <v>108</v>
      </c>
      <c r="V344">
        <v>31</v>
      </c>
      <c r="W344">
        <v>24</v>
      </c>
      <c r="X344">
        <v>55</v>
      </c>
      <c r="Y344" s="5">
        <v>1.9636363636363636</v>
      </c>
    </row>
    <row r="345" spans="1:25" x14ac:dyDescent="0.25">
      <c r="A345">
        <v>2018</v>
      </c>
      <c r="B345" t="s">
        <v>57</v>
      </c>
      <c r="C345">
        <v>18</v>
      </c>
      <c r="D345">
        <v>172</v>
      </c>
      <c r="E345" t="s">
        <v>159</v>
      </c>
      <c r="F345" t="s">
        <v>116</v>
      </c>
      <c r="G345">
        <f t="shared" si="5"/>
        <v>0</v>
      </c>
      <c r="H345">
        <v>3</v>
      </c>
      <c r="I345">
        <v>9</v>
      </c>
      <c r="J345">
        <v>1</v>
      </c>
      <c r="K345" s="6" t="s">
        <v>62</v>
      </c>
      <c r="L345" s="6" t="s">
        <v>78</v>
      </c>
      <c r="M345">
        <v>136</v>
      </c>
      <c r="N345" s="1">
        <v>0.42899999999999999</v>
      </c>
      <c r="O345">
        <v>36</v>
      </c>
      <c r="P345" s="1">
        <v>0.31</v>
      </c>
      <c r="Q345" s="1">
        <v>0.79600000000000004</v>
      </c>
      <c r="R345">
        <v>351</v>
      </c>
      <c r="S345">
        <v>39</v>
      </c>
      <c r="T345">
        <v>114</v>
      </c>
      <c r="U345">
        <v>58</v>
      </c>
      <c r="V345">
        <v>30</v>
      </c>
      <c r="W345">
        <v>24</v>
      </c>
      <c r="X345">
        <v>51</v>
      </c>
      <c r="Y345" s="5">
        <v>1.1372549019607843</v>
      </c>
    </row>
    <row r="346" spans="1:25" x14ac:dyDescent="0.25">
      <c r="A346">
        <v>2018</v>
      </c>
      <c r="B346" t="s">
        <v>57</v>
      </c>
      <c r="C346">
        <v>18</v>
      </c>
      <c r="D346">
        <v>173</v>
      </c>
      <c r="E346" t="s">
        <v>181</v>
      </c>
      <c r="F346" t="s">
        <v>49</v>
      </c>
      <c r="G346">
        <f t="shared" si="5"/>
        <v>1</v>
      </c>
      <c r="H346">
        <v>8</v>
      </c>
      <c r="I346">
        <v>4</v>
      </c>
      <c r="J346">
        <v>1</v>
      </c>
      <c r="K346" s="6" t="s">
        <v>67</v>
      </c>
      <c r="L346" s="6" t="s">
        <v>82</v>
      </c>
      <c r="M346">
        <v>217</v>
      </c>
      <c r="N346" s="1">
        <v>0.47599999999999998</v>
      </c>
      <c r="O346">
        <v>53</v>
      </c>
      <c r="P346" s="1">
        <v>0.36809999999999998</v>
      </c>
      <c r="Q346" s="1">
        <v>0.83299999999999996</v>
      </c>
      <c r="R346">
        <v>577</v>
      </c>
      <c r="S346">
        <v>43</v>
      </c>
      <c r="T346">
        <v>154</v>
      </c>
      <c r="U346">
        <v>91</v>
      </c>
      <c r="V346">
        <v>25</v>
      </c>
      <c r="W346">
        <v>28</v>
      </c>
      <c r="X346">
        <v>44</v>
      </c>
      <c r="Y346" s="5">
        <v>2.0681818181818183</v>
      </c>
    </row>
    <row r="347" spans="1:25" x14ac:dyDescent="0.25">
      <c r="A347">
        <v>2018</v>
      </c>
      <c r="B347" t="s">
        <v>57</v>
      </c>
      <c r="C347">
        <v>18</v>
      </c>
      <c r="D347">
        <v>173</v>
      </c>
      <c r="E347" t="s">
        <v>19</v>
      </c>
      <c r="F347" t="s">
        <v>56</v>
      </c>
      <c r="G347">
        <f t="shared" si="5"/>
        <v>0</v>
      </c>
      <c r="H347">
        <v>4</v>
      </c>
      <c r="I347">
        <v>8</v>
      </c>
      <c r="J347">
        <v>1</v>
      </c>
      <c r="K347" s="6" t="s">
        <v>182</v>
      </c>
      <c r="L347" s="6" t="s">
        <v>76</v>
      </c>
      <c r="M347">
        <v>160</v>
      </c>
      <c r="N347" s="1">
        <v>0.443</v>
      </c>
      <c r="O347">
        <v>39</v>
      </c>
      <c r="P347" s="1">
        <v>0.36799999999999999</v>
      </c>
      <c r="Q347" s="1">
        <v>0.73599999999999999</v>
      </c>
      <c r="R347">
        <v>437</v>
      </c>
      <c r="S347">
        <v>45</v>
      </c>
      <c r="T347">
        <v>138</v>
      </c>
      <c r="U347">
        <v>115</v>
      </c>
      <c r="V347">
        <v>23</v>
      </c>
      <c r="W347">
        <v>28</v>
      </c>
      <c r="X347">
        <v>40</v>
      </c>
      <c r="Y347" s="5">
        <v>2.875</v>
      </c>
    </row>
    <row r="348" spans="1:25" x14ac:dyDescent="0.25">
      <c r="A348">
        <v>2018</v>
      </c>
      <c r="B348" t="s">
        <v>57</v>
      </c>
      <c r="C348">
        <v>18</v>
      </c>
      <c r="D348">
        <v>174</v>
      </c>
      <c r="E348" t="s">
        <v>18</v>
      </c>
      <c r="F348" t="s">
        <v>52</v>
      </c>
      <c r="G348">
        <f t="shared" si="5"/>
        <v>1</v>
      </c>
      <c r="H348">
        <v>8</v>
      </c>
      <c r="I348">
        <v>5</v>
      </c>
      <c r="J348">
        <v>0</v>
      </c>
      <c r="K348" s="6" t="s">
        <v>69</v>
      </c>
      <c r="L348" s="6" t="s">
        <v>86</v>
      </c>
      <c r="M348">
        <v>159</v>
      </c>
      <c r="N348" s="1">
        <v>0.45800000000000002</v>
      </c>
      <c r="O348">
        <v>35</v>
      </c>
      <c r="P348" s="1">
        <v>0.29399999999999998</v>
      </c>
      <c r="Q348" s="1">
        <v>0.78</v>
      </c>
      <c r="R348">
        <v>438</v>
      </c>
      <c r="S348">
        <v>33</v>
      </c>
      <c r="T348">
        <v>131</v>
      </c>
      <c r="U348">
        <v>92</v>
      </c>
      <c r="V348">
        <v>22</v>
      </c>
      <c r="W348">
        <v>21</v>
      </c>
      <c r="X348">
        <v>59</v>
      </c>
      <c r="Y348" s="5">
        <v>1.5593220338983051</v>
      </c>
    </row>
    <row r="349" spans="1:25" x14ac:dyDescent="0.25">
      <c r="A349">
        <v>2018</v>
      </c>
      <c r="B349" t="s">
        <v>57</v>
      </c>
      <c r="C349">
        <v>18</v>
      </c>
      <c r="D349">
        <v>174</v>
      </c>
      <c r="E349" t="s">
        <v>24</v>
      </c>
      <c r="F349" t="s">
        <v>55</v>
      </c>
      <c r="G349">
        <f t="shared" si="5"/>
        <v>0</v>
      </c>
      <c r="H349">
        <v>5</v>
      </c>
      <c r="I349">
        <v>8</v>
      </c>
      <c r="J349">
        <v>0</v>
      </c>
      <c r="K349" s="6" t="s">
        <v>59</v>
      </c>
      <c r="L349" s="6" t="s">
        <v>74</v>
      </c>
      <c r="M349">
        <v>130</v>
      </c>
      <c r="N349" s="1">
        <v>0.46899999999999997</v>
      </c>
      <c r="O349">
        <v>38</v>
      </c>
      <c r="P349" s="1">
        <v>0.376</v>
      </c>
      <c r="Q349" s="1">
        <v>0.75900000000000001</v>
      </c>
      <c r="R349">
        <v>339</v>
      </c>
      <c r="S349">
        <v>21</v>
      </c>
      <c r="T349">
        <v>104</v>
      </c>
      <c r="U349">
        <v>80</v>
      </c>
      <c r="V349">
        <v>13</v>
      </c>
      <c r="W349">
        <v>9</v>
      </c>
      <c r="X349">
        <v>45</v>
      </c>
      <c r="Y349" s="5">
        <v>1.7777777777777777</v>
      </c>
    </row>
    <row r="350" spans="1:25" x14ac:dyDescent="0.25">
      <c r="A350">
        <v>2018</v>
      </c>
      <c r="B350" t="s">
        <v>57</v>
      </c>
      <c r="C350">
        <v>18</v>
      </c>
      <c r="D350">
        <v>175</v>
      </c>
      <c r="E350" t="s">
        <v>23</v>
      </c>
      <c r="F350" t="s">
        <v>120</v>
      </c>
      <c r="G350">
        <f t="shared" si="5"/>
        <v>0</v>
      </c>
      <c r="H350">
        <v>6</v>
      </c>
      <c r="I350">
        <v>7</v>
      </c>
      <c r="J350">
        <v>0</v>
      </c>
      <c r="K350" s="6" t="s">
        <v>61</v>
      </c>
      <c r="L350" s="6" t="s">
        <v>77</v>
      </c>
      <c r="M350">
        <v>175</v>
      </c>
      <c r="N350" s="1">
        <v>0.499</v>
      </c>
      <c r="O350">
        <v>49</v>
      </c>
      <c r="P350" s="1">
        <v>0.39800000000000002</v>
      </c>
      <c r="Q350" s="1">
        <v>0.80900000000000005</v>
      </c>
      <c r="R350">
        <v>471</v>
      </c>
      <c r="S350">
        <v>44</v>
      </c>
      <c r="T350">
        <v>149</v>
      </c>
      <c r="U350">
        <v>75</v>
      </c>
      <c r="V350">
        <v>37</v>
      </c>
      <c r="W350">
        <v>21</v>
      </c>
      <c r="X350">
        <v>23</v>
      </c>
      <c r="Y350" s="5">
        <v>3.2608695652173911</v>
      </c>
    </row>
    <row r="351" spans="1:25" x14ac:dyDescent="0.25">
      <c r="A351">
        <v>2018</v>
      </c>
      <c r="B351" t="s">
        <v>57</v>
      </c>
      <c r="C351">
        <v>18</v>
      </c>
      <c r="D351">
        <v>175</v>
      </c>
      <c r="E351" t="s">
        <v>15</v>
      </c>
      <c r="F351" t="s">
        <v>48</v>
      </c>
      <c r="G351">
        <f t="shared" si="5"/>
        <v>1</v>
      </c>
      <c r="H351">
        <v>7</v>
      </c>
      <c r="I351">
        <v>6</v>
      </c>
      <c r="J351">
        <v>0</v>
      </c>
      <c r="K351" s="6" t="s">
        <v>71</v>
      </c>
      <c r="L351" s="6" t="s">
        <v>121</v>
      </c>
      <c r="M351">
        <v>215</v>
      </c>
      <c r="N351" s="1">
        <v>0.48299999999999998</v>
      </c>
      <c r="O351">
        <v>60</v>
      </c>
      <c r="P351" s="1">
        <v>0.38500000000000001</v>
      </c>
      <c r="Q351" s="1">
        <v>0.81399999999999995</v>
      </c>
      <c r="R351">
        <v>586</v>
      </c>
      <c r="S351">
        <v>36</v>
      </c>
      <c r="T351">
        <v>183</v>
      </c>
      <c r="U351">
        <v>111</v>
      </c>
      <c r="V351">
        <v>26</v>
      </c>
      <c r="W351">
        <v>25</v>
      </c>
      <c r="X351">
        <v>44</v>
      </c>
      <c r="Y351" s="5">
        <v>2.5227272727272729</v>
      </c>
    </row>
    <row r="352" spans="1:25" x14ac:dyDescent="0.25">
      <c r="A352">
        <v>2018</v>
      </c>
      <c r="B352" t="s">
        <v>57</v>
      </c>
      <c r="C352">
        <v>18</v>
      </c>
      <c r="D352">
        <v>176</v>
      </c>
      <c r="E352" t="s">
        <v>17</v>
      </c>
      <c r="F352" t="s">
        <v>43</v>
      </c>
      <c r="G352">
        <f t="shared" si="5"/>
        <v>1</v>
      </c>
      <c r="H352">
        <v>12</v>
      </c>
      <c r="I352">
        <v>1</v>
      </c>
      <c r="J352">
        <v>0</v>
      </c>
      <c r="K352" s="6" t="s">
        <v>111</v>
      </c>
      <c r="L352" s="6" t="s">
        <v>89</v>
      </c>
      <c r="M352">
        <v>207</v>
      </c>
      <c r="N352" s="1">
        <v>0.46899999999999997</v>
      </c>
      <c r="O352">
        <v>60</v>
      </c>
      <c r="P352" s="1">
        <v>0.373</v>
      </c>
      <c r="Q352" s="1">
        <v>0.72899999999999998</v>
      </c>
      <c r="R352">
        <v>536</v>
      </c>
      <c r="S352">
        <v>52</v>
      </c>
      <c r="T352">
        <v>149</v>
      </c>
      <c r="U352">
        <v>96</v>
      </c>
      <c r="V352">
        <v>45</v>
      </c>
      <c r="W352">
        <v>22</v>
      </c>
      <c r="X352">
        <v>49</v>
      </c>
      <c r="Y352" s="5">
        <v>1.9591836734693877</v>
      </c>
    </row>
    <row r="353" spans="1:25" x14ac:dyDescent="0.25">
      <c r="A353">
        <v>2018</v>
      </c>
      <c r="B353" t="s">
        <v>57</v>
      </c>
      <c r="C353">
        <v>18</v>
      </c>
      <c r="D353">
        <v>176</v>
      </c>
      <c r="E353" t="s">
        <v>97</v>
      </c>
      <c r="F353" t="s">
        <v>54</v>
      </c>
      <c r="G353">
        <f t="shared" si="5"/>
        <v>0</v>
      </c>
      <c r="H353">
        <v>1</v>
      </c>
      <c r="I353">
        <v>12</v>
      </c>
      <c r="J353">
        <v>0</v>
      </c>
      <c r="K353" s="6" t="s">
        <v>63</v>
      </c>
      <c r="L353" s="6" t="s">
        <v>79</v>
      </c>
      <c r="M353">
        <v>88</v>
      </c>
      <c r="N353" s="1">
        <v>0.46800000000000003</v>
      </c>
      <c r="O353">
        <v>16</v>
      </c>
      <c r="P353" s="1">
        <v>0.308</v>
      </c>
      <c r="Q353" s="1">
        <v>0.57799999999999996</v>
      </c>
      <c r="R353">
        <v>218</v>
      </c>
      <c r="S353">
        <v>24</v>
      </c>
      <c r="T353">
        <v>68</v>
      </c>
      <c r="U353">
        <v>39</v>
      </c>
      <c r="V353">
        <v>15</v>
      </c>
      <c r="W353">
        <v>10</v>
      </c>
      <c r="X353">
        <v>35</v>
      </c>
      <c r="Y353" s="5">
        <v>1.1142857142857143</v>
      </c>
    </row>
    <row r="354" spans="1:25" x14ac:dyDescent="0.25">
      <c r="A354">
        <v>2018</v>
      </c>
      <c r="B354" t="s">
        <v>57</v>
      </c>
      <c r="C354">
        <v>18</v>
      </c>
      <c r="D354">
        <v>177</v>
      </c>
      <c r="E354" t="s">
        <v>98</v>
      </c>
      <c r="F354" t="s">
        <v>41</v>
      </c>
      <c r="G354">
        <f t="shared" si="5"/>
        <v>1</v>
      </c>
      <c r="H354">
        <v>7</v>
      </c>
      <c r="I354">
        <v>6</v>
      </c>
      <c r="J354">
        <v>0</v>
      </c>
      <c r="K354" s="6" t="s">
        <v>64</v>
      </c>
      <c r="L354" s="6" t="s">
        <v>80</v>
      </c>
      <c r="M354">
        <v>147</v>
      </c>
      <c r="N354" s="1">
        <v>0.495</v>
      </c>
      <c r="O354">
        <v>32</v>
      </c>
      <c r="P354" s="1">
        <v>0.36</v>
      </c>
      <c r="Q354" s="1">
        <v>0.81200000000000006</v>
      </c>
      <c r="R354">
        <v>395</v>
      </c>
      <c r="S354">
        <v>38</v>
      </c>
      <c r="T354">
        <v>110</v>
      </c>
      <c r="U354">
        <v>113</v>
      </c>
      <c r="V354">
        <v>28</v>
      </c>
      <c r="W354">
        <v>21</v>
      </c>
      <c r="X354">
        <v>48</v>
      </c>
      <c r="Y354" s="5">
        <v>2.3541666666666665</v>
      </c>
    </row>
    <row r="355" spans="1:25" x14ac:dyDescent="0.25">
      <c r="A355">
        <v>2018</v>
      </c>
      <c r="B355" t="s">
        <v>57</v>
      </c>
      <c r="C355">
        <v>18</v>
      </c>
      <c r="D355">
        <v>177</v>
      </c>
      <c r="E355" t="s">
        <v>28</v>
      </c>
      <c r="F355" t="s">
        <v>46</v>
      </c>
      <c r="G355">
        <f t="shared" si="5"/>
        <v>0</v>
      </c>
      <c r="H355">
        <v>6</v>
      </c>
      <c r="I355">
        <v>7</v>
      </c>
      <c r="J355">
        <v>0</v>
      </c>
      <c r="K355" s="6" t="s">
        <v>112</v>
      </c>
      <c r="L355" s="6" t="s">
        <v>88</v>
      </c>
      <c r="M355">
        <v>149</v>
      </c>
      <c r="N355" s="1">
        <v>0.47899999999999998</v>
      </c>
      <c r="O355">
        <v>33</v>
      </c>
      <c r="P355" s="1">
        <v>0.41299999999999998</v>
      </c>
      <c r="Q355" s="1">
        <v>0.72</v>
      </c>
      <c r="R355">
        <v>390</v>
      </c>
      <c r="S355">
        <v>54</v>
      </c>
      <c r="T355">
        <v>148</v>
      </c>
      <c r="U355">
        <v>120</v>
      </c>
      <c r="V355">
        <v>24</v>
      </c>
      <c r="W355">
        <v>18</v>
      </c>
      <c r="X355">
        <v>53</v>
      </c>
      <c r="Y355" s="5">
        <v>2.2641509433962264</v>
      </c>
    </row>
    <row r="356" spans="1:25" x14ac:dyDescent="0.25">
      <c r="A356">
        <v>2018</v>
      </c>
      <c r="B356" t="s">
        <v>57</v>
      </c>
      <c r="C356">
        <v>18</v>
      </c>
      <c r="D356">
        <v>178</v>
      </c>
      <c r="E356" t="s">
        <v>21</v>
      </c>
      <c r="F356" t="s">
        <v>50</v>
      </c>
      <c r="G356">
        <f t="shared" si="5"/>
        <v>0</v>
      </c>
      <c r="H356">
        <v>5</v>
      </c>
      <c r="I356">
        <v>8</v>
      </c>
      <c r="J356">
        <v>0</v>
      </c>
      <c r="K356" s="6" t="s">
        <v>66</v>
      </c>
      <c r="L356" s="6" t="s">
        <v>81</v>
      </c>
      <c r="M356">
        <v>190</v>
      </c>
      <c r="N356" s="1">
        <v>0.52800000000000002</v>
      </c>
      <c r="O356">
        <v>29</v>
      </c>
      <c r="P356" s="1">
        <v>0.377</v>
      </c>
      <c r="Q356" s="1">
        <v>0.72699999999999998</v>
      </c>
      <c r="R356">
        <v>510</v>
      </c>
      <c r="S356">
        <v>57</v>
      </c>
      <c r="T356">
        <v>132</v>
      </c>
      <c r="U356">
        <v>135</v>
      </c>
      <c r="V356">
        <v>31</v>
      </c>
      <c r="W356">
        <v>35</v>
      </c>
      <c r="X356">
        <v>65</v>
      </c>
      <c r="Y356" s="5">
        <v>2.0769230769230771</v>
      </c>
    </row>
    <row r="357" spans="1:25" x14ac:dyDescent="0.25">
      <c r="A357">
        <v>2018</v>
      </c>
      <c r="B357" t="s">
        <v>57</v>
      </c>
      <c r="C357">
        <v>18</v>
      </c>
      <c r="D357">
        <v>178</v>
      </c>
      <c r="E357" t="s">
        <v>22</v>
      </c>
      <c r="F357" t="s">
        <v>44</v>
      </c>
      <c r="G357">
        <f t="shared" si="5"/>
        <v>1</v>
      </c>
      <c r="H357">
        <v>8</v>
      </c>
      <c r="I357">
        <v>5</v>
      </c>
      <c r="J357">
        <v>0</v>
      </c>
      <c r="K357" s="6" t="s">
        <v>70</v>
      </c>
      <c r="L357" s="6" t="s">
        <v>87</v>
      </c>
      <c r="M357">
        <v>193</v>
      </c>
      <c r="N357" s="1">
        <v>0.46100000000000002</v>
      </c>
      <c r="O357">
        <v>46</v>
      </c>
      <c r="P357" s="1">
        <v>0.34300000000000003</v>
      </c>
      <c r="Q357" s="1">
        <v>0.81299999999999994</v>
      </c>
      <c r="R357">
        <v>523</v>
      </c>
      <c r="S357">
        <v>47</v>
      </c>
      <c r="T357">
        <v>161</v>
      </c>
      <c r="U357">
        <v>137</v>
      </c>
      <c r="V357">
        <v>27</v>
      </c>
      <c r="W357">
        <v>26</v>
      </c>
      <c r="X357">
        <v>57</v>
      </c>
      <c r="Y357" s="5">
        <v>2.4035087719298245</v>
      </c>
    </row>
    <row r="358" spans="1:25" x14ac:dyDescent="0.25">
      <c r="A358">
        <v>2018</v>
      </c>
      <c r="B358" t="s">
        <v>57</v>
      </c>
      <c r="C358">
        <v>18</v>
      </c>
      <c r="D358">
        <v>179</v>
      </c>
      <c r="E358" t="s">
        <v>26</v>
      </c>
      <c r="F358" t="s">
        <v>118</v>
      </c>
      <c r="G358">
        <f t="shared" si="5"/>
        <v>1</v>
      </c>
      <c r="H358">
        <v>9</v>
      </c>
      <c r="I358">
        <v>3</v>
      </c>
      <c r="J358">
        <v>1</v>
      </c>
      <c r="K358" s="6" t="s">
        <v>72</v>
      </c>
      <c r="L358" s="6" t="s">
        <v>85</v>
      </c>
      <c r="M358">
        <v>175</v>
      </c>
      <c r="N358" s="1">
        <v>0.443</v>
      </c>
      <c r="O358">
        <v>68</v>
      </c>
      <c r="P358" s="1">
        <v>0.40699999999999997</v>
      </c>
      <c r="Q358" s="1">
        <v>0.81499999999999995</v>
      </c>
      <c r="R358">
        <v>506</v>
      </c>
      <c r="S358">
        <v>45</v>
      </c>
      <c r="T358">
        <v>156</v>
      </c>
      <c r="U358">
        <v>108</v>
      </c>
      <c r="V358">
        <v>35</v>
      </c>
      <c r="W358">
        <v>18</v>
      </c>
      <c r="X358">
        <v>71</v>
      </c>
      <c r="Y358" s="5">
        <v>1.5211267605633803</v>
      </c>
    </row>
    <row r="359" spans="1:25" x14ac:dyDescent="0.25">
      <c r="A359">
        <v>2018</v>
      </c>
      <c r="B359" t="s">
        <v>57</v>
      </c>
      <c r="C359">
        <v>18</v>
      </c>
      <c r="D359">
        <v>179</v>
      </c>
      <c r="E359" t="s">
        <v>33</v>
      </c>
      <c r="F359" t="s">
        <v>42</v>
      </c>
      <c r="G359">
        <f t="shared" si="5"/>
        <v>0</v>
      </c>
      <c r="H359">
        <v>3</v>
      </c>
      <c r="I359">
        <v>9</v>
      </c>
      <c r="J359">
        <v>1</v>
      </c>
      <c r="K359" s="6" t="s">
        <v>65</v>
      </c>
      <c r="L359" s="6" t="s">
        <v>119</v>
      </c>
      <c r="M359">
        <v>175</v>
      </c>
      <c r="N359" s="1">
        <v>0.45100000000000001</v>
      </c>
      <c r="O359">
        <v>48</v>
      </c>
      <c r="P359" s="1">
        <v>0.378</v>
      </c>
      <c r="Q359" s="1">
        <v>0.80600000000000005</v>
      </c>
      <c r="R359">
        <v>456</v>
      </c>
      <c r="S359">
        <v>22</v>
      </c>
      <c r="T359">
        <v>114</v>
      </c>
      <c r="U359">
        <v>79</v>
      </c>
      <c r="V359">
        <v>28</v>
      </c>
      <c r="W359">
        <v>20</v>
      </c>
      <c r="X359">
        <v>56</v>
      </c>
      <c r="Y359" s="5">
        <v>1.4107142857142858</v>
      </c>
    </row>
    <row r="360" spans="1:25" x14ac:dyDescent="0.25">
      <c r="A360">
        <v>2018</v>
      </c>
      <c r="B360" t="s">
        <v>57</v>
      </c>
      <c r="C360">
        <v>18</v>
      </c>
      <c r="D360">
        <v>180</v>
      </c>
      <c r="E360" t="s">
        <v>190</v>
      </c>
      <c r="F360" t="s">
        <v>103</v>
      </c>
      <c r="G360">
        <f t="shared" si="5"/>
        <v>0</v>
      </c>
      <c r="H360">
        <v>6</v>
      </c>
      <c r="I360">
        <v>6</v>
      </c>
      <c r="J360">
        <v>1</v>
      </c>
      <c r="K360" s="6" t="s">
        <v>106</v>
      </c>
      <c r="L360" s="6" t="s">
        <v>83</v>
      </c>
      <c r="M360">
        <v>261</v>
      </c>
      <c r="N360" s="1">
        <v>0.47699999999999998</v>
      </c>
      <c r="O360">
        <v>62</v>
      </c>
      <c r="P360" s="1">
        <v>0.376</v>
      </c>
      <c r="Q360" s="1">
        <v>0.75</v>
      </c>
      <c r="R360">
        <v>683</v>
      </c>
      <c r="S360">
        <v>62</v>
      </c>
      <c r="T360">
        <v>177</v>
      </c>
      <c r="U360">
        <v>141</v>
      </c>
      <c r="V360">
        <v>51</v>
      </c>
      <c r="W360">
        <v>27</v>
      </c>
      <c r="X360">
        <v>88</v>
      </c>
      <c r="Y360" s="5">
        <v>1.6022727272727273</v>
      </c>
    </row>
    <row r="361" spans="1:25" x14ac:dyDescent="0.25">
      <c r="A361">
        <v>2018</v>
      </c>
      <c r="B361" t="s">
        <v>57</v>
      </c>
      <c r="C361">
        <v>18</v>
      </c>
      <c r="D361">
        <v>180</v>
      </c>
      <c r="E361" t="s">
        <v>94</v>
      </c>
      <c r="F361" t="s">
        <v>40</v>
      </c>
      <c r="G361">
        <f t="shared" si="5"/>
        <v>0</v>
      </c>
      <c r="H361">
        <v>6</v>
      </c>
      <c r="I361">
        <v>6</v>
      </c>
      <c r="J361">
        <v>1</v>
      </c>
      <c r="K361" s="6" t="s">
        <v>191</v>
      </c>
      <c r="L361" s="6" t="s">
        <v>113</v>
      </c>
      <c r="M361">
        <v>204</v>
      </c>
      <c r="N361" s="1">
        <v>0.498</v>
      </c>
      <c r="O361">
        <v>56</v>
      </c>
      <c r="P361" s="1">
        <v>0.44400000000000001</v>
      </c>
      <c r="Q361" s="1">
        <v>0.81399999999999995</v>
      </c>
      <c r="R361">
        <v>591</v>
      </c>
      <c r="S361">
        <v>56</v>
      </c>
      <c r="T361">
        <v>196</v>
      </c>
      <c r="U361">
        <v>136</v>
      </c>
      <c r="V361">
        <v>37</v>
      </c>
      <c r="W361">
        <v>27</v>
      </c>
      <c r="X361">
        <v>58</v>
      </c>
      <c r="Y361" s="5">
        <v>2.3448275862068964</v>
      </c>
    </row>
    <row r="362" spans="1:25" x14ac:dyDescent="0.25">
      <c r="A362">
        <v>2018</v>
      </c>
      <c r="B362" t="s">
        <v>57</v>
      </c>
      <c r="C362">
        <v>19</v>
      </c>
      <c r="D362">
        <v>181</v>
      </c>
      <c r="E362" t="s">
        <v>16</v>
      </c>
      <c r="F362" t="s">
        <v>51</v>
      </c>
      <c r="G362">
        <f t="shared" si="5"/>
        <v>1</v>
      </c>
      <c r="H362">
        <v>9</v>
      </c>
      <c r="I362">
        <v>4</v>
      </c>
      <c r="J362">
        <v>0</v>
      </c>
      <c r="K362" s="6" t="s">
        <v>67</v>
      </c>
      <c r="L362" s="6" t="s">
        <v>82</v>
      </c>
      <c r="M362">
        <v>168</v>
      </c>
      <c r="N362" s="1">
        <v>0.44</v>
      </c>
      <c r="O362">
        <v>39</v>
      </c>
      <c r="P362" s="1">
        <v>0.32</v>
      </c>
      <c r="Q362" s="1">
        <v>0.79400000000000004</v>
      </c>
      <c r="R362">
        <v>456</v>
      </c>
      <c r="S362">
        <v>64</v>
      </c>
      <c r="T362">
        <v>152</v>
      </c>
      <c r="U362">
        <v>122</v>
      </c>
      <c r="V362">
        <v>51</v>
      </c>
      <c r="W362">
        <v>18</v>
      </c>
      <c r="X362">
        <v>89</v>
      </c>
      <c r="Y362" s="5">
        <v>1.3707865168539326</v>
      </c>
    </row>
    <row r="363" spans="1:25" x14ac:dyDescent="0.25">
      <c r="A363">
        <v>2018</v>
      </c>
      <c r="B363" t="s">
        <v>57</v>
      </c>
      <c r="C363">
        <v>19</v>
      </c>
      <c r="D363">
        <v>181</v>
      </c>
      <c r="E363" t="s">
        <v>19</v>
      </c>
      <c r="F363" t="s">
        <v>56</v>
      </c>
      <c r="G363">
        <f t="shared" si="5"/>
        <v>0</v>
      </c>
      <c r="H363">
        <v>4</v>
      </c>
      <c r="I363">
        <v>9</v>
      </c>
      <c r="J363">
        <v>0</v>
      </c>
      <c r="K363" s="6" t="s">
        <v>60</v>
      </c>
      <c r="L363" s="6" t="s">
        <v>75</v>
      </c>
      <c r="M363">
        <v>148</v>
      </c>
      <c r="N363" s="1">
        <v>0.45</v>
      </c>
      <c r="O363">
        <v>36</v>
      </c>
      <c r="P363" s="1">
        <v>0.31</v>
      </c>
      <c r="Q363" s="1">
        <v>0.71099999999999997</v>
      </c>
      <c r="R363">
        <v>396</v>
      </c>
      <c r="S363">
        <v>32</v>
      </c>
      <c r="T363">
        <v>128</v>
      </c>
      <c r="U363">
        <v>119</v>
      </c>
      <c r="V363">
        <v>30</v>
      </c>
      <c r="W363">
        <v>29</v>
      </c>
      <c r="X363">
        <v>56</v>
      </c>
      <c r="Y363" s="5">
        <v>2.125</v>
      </c>
    </row>
    <row r="364" spans="1:25" x14ac:dyDescent="0.25">
      <c r="A364">
        <v>2018</v>
      </c>
      <c r="B364" t="s">
        <v>57</v>
      </c>
      <c r="C364">
        <v>19</v>
      </c>
      <c r="D364">
        <v>182</v>
      </c>
      <c r="E364" t="s">
        <v>159</v>
      </c>
      <c r="F364" t="s">
        <v>116</v>
      </c>
      <c r="G364">
        <f t="shared" si="5"/>
        <v>1</v>
      </c>
      <c r="H364">
        <v>7</v>
      </c>
      <c r="I364">
        <v>6</v>
      </c>
      <c r="J364">
        <v>0</v>
      </c>
      <c r="K364" s="6" t="s">
        <v>182</v>
      </c>
      <c r="L364" s="6" t="s">
        <v>76</v>
      </c>
      <c r="M364">
        <v>150</v>
      </c>
      <c r="N364" s="1">
        <v>0.44500000000000001</v>
      </c>
      <c r="O364">
        <v>50</v>
      </c>
      <c r="P364" s="1">
        <v>0.44600000000000001</v>
      </c>
      <c r="Q364" s="1">
        <v>0.77600000000000002</v>
      </c>
      <c r="R364">
        <v>395</v>
      </c>
      <c r="S364">
        <v>31</v>
      </c>
      <c r="T364">
        <v>141</v>
      </c>
      <c r="U364">
        <v>93</v>
      </c>
      <c r="V364">
        <v>40</v>
      </c>
      <c r="W364">
        <v>25</v>
      </c>
      <c r="X364">
        <v>59</v>
      </c>
      <c r="Y364" s="5">
        <v>1.576271186440678</v>
      </c>
    </row>
    <row r="365" spans="1:25" x14ac:dyDescent="0.25">
      <c r="A365">
        <v>2018</v>
      </c>
      <c r="B365" t="s">
        <v>57</v>
      </c>
      <c r="C365">
        <v>19</v>
      </c>
      <c r="D365">
        <v>182</v>
      </c>
      <c r="E365" t="s">
        <v>181</v>
      </c>
      <c r="F365" t="s">
        <v>49</v>
      </c>
      <c r="G365">
        <f t="shared" si="5"/>
        <v>0</v>
      </c>
      <c r="H365">
        <v>6</v>
      </c>
      <c r="I365">
        <v>7</v>
      </c>
      <c r="J365">
        <v>0</v>
      </c>
      <c r="K365" s="6" t="s">
        <v>193</v>
      </c>
      <c r="L365" s="6" t="s">
        <v>117</v>
      </c>
      <c r="M365">
        <v>198</v>
      </c>
      <c r="N365" s="1">
        <v>0.49299999999999999</v>
      </c>
      <c r="O365">
        <v>45</v>
      </c>
      <c r="P365" s="1">
        <v>0.36899999999999999</v>
      </c>
      <c r="Q365" s="1">
        <v>0.85399999999999998</v>
      </c>
      <c r="R365">
        <v>523</v>
      </c>
      <c r="S365">
        <v>38</v>
      </c>
      <c r="T365">
        <v>129</v>
      </c>
      <c r="U365">
        <v>82</v>
      </c>
      <c r="V365">
        <v>29</v>
      </c>
      <c r="W365">
        <v>14</v>
      </c>
      <c r="X365">
        <v>55</v>
      </c>
      <c r="Y365" s="5">
        <v>1.490909090909091</v>
      </c>
    </row>
    <row r="366" spans="1:25" x14ac:dyDescent="0.25">
      <c r="A366">
        <v>2018</v>
      </c>
      <c r="B366" t="s">
        <v>57</v>
      </c>
      <c r="C366">
        <v>19</v>
      </c>
      <c r="D366">
        <v>183</v>
      </c>
      <c r="E366" t="s">
        <v>25</v>
      </c>
      <c r="F366" t="s">
        <v>53</v>
      </c>
      <c r="G366">
        <f t="shared" si="5"/>
        <v>0</v>
      </c>
      <c r="H366">
        <v>3</v>
      </c>
      <c r="I366">
        <v>10</v>
      </c>
      <c r="J366">
        <v>0</v>
      </c>
      <c r="K366" s="6" t="s">
        <v>59</v>
      </c>
      <c r="L366" s="6" t="s">
        <v>74</v>
      </c>
      <c r="M366">
        <v>174</v>
      </c>
      <c r="N366" s="1">
        <v>0.438</v>
      </c>
      <c r="O366">
        <v>39</v>
      </c>
      <c r="P366" s="1">
        <v>0.32800000000000001</v>
      </c>
      <c r="Q366" s="1">
        <v>0.81899999999999995</v>
      </c>
      <c r="R366">
        <v>505</v>
      </c>
      <c r="S366">
        <v>45</v>
      </c>
      <c r="T366">
        <v>148</v>
      </c>
      <c r="U366">
        <v>100</v>
      </c>
      <c r="V366">
        <v>36</v>
      </c>
      <c r="W366">
        <v>16</v>
      </c>
      <c r="X366">
        <v>65</v>
      </c>
      <c r="Y366" s="5">
        <v>1.5384615384615385</v>
      </c>
    </row>
    <row r="367" spans="1:25" x14ac:dyDescent="0.25">
      <c r="A367">
        <v>2018</v>
      </c>
      <c r="B367" t="s">
        <v>57</v>
      </c>
      <c r="C367">
        <v>19</v>
      </c>
      <c r="D367">
        <v>183</v>
      </c>
      <c r="E367" t="s">
        <v>18</v>
      </c>
      <c r="F367" t="s">
        <v>52</v>
      </c>
      <c r="G367">
        <f t="shared" si="5"/>
        <v>1</v>
      </c>
      <c r="H367">
        <v>10</v>
      </c>
      <c r="I367">
        <v>3</v>
      </c>
      <c r="J367">
        <v>0</v>
      </c>
      <c r="K367" s="6" t="s">
        <v>68</v>
      </c>
      <c r="L367" s="6" t="s">
        <v>84</v>
      </c>
      <c r="M367">
        <v>183</v>
      </c>
      <c r="N367" s="1">
        <v>0.48299999999999998</v>
      </c>
      <c r="O367">
        <v>49</v>
      </c>
      <c r="P367" s="1">
        <v>0.39500000000000002</v>
      </c>
      <c r="Q367" s="1">
        <v>0.81599999999999995</v>
      </c>
      <c r="R367">
        <v>508</v>
      </c>
      <c r="S367">
        <v>24</v>
      </c>
      <c r="T367">
        <v>151</v>
      </c>
      <c r="U367">
        <v>124</v>
      </c>
      <c r="V367">
        <v>29</v>
      </c>
      <c r="W367">
        <v>17</v>
      </c>
      <c r="X367">
        <v>61</v>
      </c>
      <c r="Y367" s="5">
        <v>2.0327868852459017</v>
      </c>
    </row>
    <row r="368" spans="1:25" x14ac:dyDescent="0.25">
      <c r="A368">
        <v>2018</v>
      </c>
      <c r="B368" t="s">
        <v>57</v>
      </c>
      <c r="C368">
        <v>19</v>
      </c>
      <c r="D368">
        <v>184</v>
      </c>
      <c r="E368" t="s">
        <v>15</v>
      </c>
      <c r="F368" t="s">
        <v>48</v>
      </c>
      <c r="G368">
        <f t="shared" si="5"/>
        <v>1</v>
      </c>
      <c r="H368">
        <v>9</v>
      </c>
      <c r="I368">
        <v>4</v>
      </c>
      <c r="J368">
        <v>0</v>
      </c>
      <c r="K368" s="6" t="s">
        <v>69</v>
      </c>
      <c r="L368" s="6" t="s">
        <v>86</v>
      </c>
      <c r="M368">
        <v>173</v>
      </c>
      <c r="N368" s="1">
        <v>0.497</v>
      </c>
      <c r="O368">
        <v>57</v>
      </c>
      <c r="P368" s="1">
        <v>0.432</v>
      </c>
      <c r="Q368" s="1">
        <v>0.65400000000000003</v>
      </c>
      <c r="R368">
        <v>454</v>
      </c>
      <c r="S368">
        <v>32</v>
      </c>
      <c r="T368">
        <v>146</v>
      </c>
      <c r="U368">
        <v>53</v>
      </c>
      <c r="V368">
        <v>36</v>
      </c>
      <c r="W368">
        <v>18</v>
      </c>
      <c r="X368">
        <v>41</v>
      </c>
      <c r="Y368" s="5">
        <v>1.2926829268292683</v>
      </c>
    </row>
    <row r="369" spans="1:25" x14ac:dyDescent="0.25">
      <c r="A369">
        <v>2018</v>
      </c>
      <c r="B369" t="s">
        <v>57</v>
      </c>
      <c r="C369">
        <v>19</v>
      </c>
      <c r="D369">
        <v>184</v>
      </c>
      <c r="E369" t="s">
        <v>24</v>
      </c>
      <c r="F369" t="s">
        <v>55</v>
      </c>
      <c r="G369">
        <f t="shared" si="5"/>
        <v>0</v>
      </c>
      <c r="H369">
        <v>4</v>
      </c>
      <c r="I369">
        <v>9</v>
      </c>
      <c r="J369">
        <v>0</v>
      </c>
      <c r="K369" s="6" t="s">
        <v>61</v>
      </c>
      <c r="L369" s="6" t="s">
        <v>77</v>
      </c>
      <c r="M369">
        <v>125</v>
      </c>
      <c r="N369" s="1">
        <v>0.48299999999999998</v>
      </c>
      <c r="O369">
        <v>43</v>
      </c>
      <c r="P369" s="1">
        <v>0.44800000000000001</v>
      </c>
      <c r="Q369" s="1">
        <v>0.81200000000000006</v>
      </c>
      <c r="R369">
        <v>349</v>
      </c>
      <c r="S369">
        <v>25</v>
      </c>
      <c r="T369">
        <v>103</v>
      </c>
      <c r="U369">
        <v>94</v>
      </c>
      <c r="V369">
        <v>27</v>
      </c>
      <c r="W369">
        <v>3</v>
      </c>
      <c r="X369">
        <v>47</v>
      </c>
      <c r="Y369" s="5">
        <v>2</v>
      </c>
    </row>
    <row r="370" spans="1:25" x14ac:dyDescent="0.25">
      <c r="A370">
        <v>2018</v>
      </c>
      <c r="B370" t="s">
        <v>57</v>
      </c>
      <c r="C370">
        <v>19</v>
      </c>
      <c r="D370">
        <v>185</v>
      </c>
      <c r="E370" t="s">
        <v>23</v>
      </c>
      <c r="F370" t="s">
        <v>120</v>
      </c>
      <c r="G370">
        <f t="shared" si="5"/>
        <v>1</v>
      </c>
      <c r="H370">
        <v>8</v>
      </c>
      <c r="I370">
        <v>5</v>
      </c>
      <c r="J370">
        <v>0</v>
      </c>
      <c r="K370" s="6" t="s">
        <v>63</v>
      </c>
      <c r="L370" s="6" t="s">
        <v>79</v>
      </c>
      <c r="M370">
        <v>174</v>
      </c>
      <c r="N370" s="1">
        <v>0.48099999999999998</v>
      </c>
      <c r="O370">
        <v>52</v>
      </c>
      <c r="P370" s="1">
        <v>0.40899999999999997</v>
      </c>
      <c r="Q370" s="1">
        <v>0.76200000000000001</v>
      </c>
      <c r="R370">
        <v>477</v>
      </c>
      <c r="S370">
        <v>38</v>
      </c>
      <c r="T370">
        <v>138</v>
      </c>
      <c r="U370">
        <v>82</v>
      </c>
      <c r="V370">
        <v>33</v>
      </c>
      <c r="W370">
        <v>18</v>
      </c>
      <c r="X370">
        <v>39</v>
      </c>
      <c r="Y370" s="5">
        <v>2.1025641025641026</v>
      </c>
    </row>
    <row r="371" spans="1:25" x14ac:dyDescent="0.25">
      <c r="A371">
        <v>2018</v>
      </c>
      <c r="B371" t="s">
        <v>57</v>
      </c>
      <c r="C371">
        <v>19</v>
      </c>
      <c r="D371">
        <v>185</v>
      </c>
      <c r="E371" t="s">
        <v>17</v>
      </c>
      <c r="F371" t="s">
        <v>43</v>
      </c>
      <c r="G371">
        <f t="shared" si="5"/>
        <v>0</v>
      </c>
      <c r="H371">
        <v>5</v>
      </c>
      <c r="I371">
        <v>8</v>
      </c>
      <c r="J371">
        <v>0</v>
      </c>
      <c r="K371" s="6" t="s">
        <v>71</v>
      </c>
      <c r="L371" s="6" t="s">
        <v>121</v>
      </c>
      <c r="M371">
        <v>169</v>
      </c>
      <c r="N371" s="1">
        <v>0.48799999999999999</v>
      </c>
      <c r="O371">
        <v>47</v>
      </c>
      <c r="P371" s="1">
        <v>0.39200000000000002</v>
      </c>
      <c r="Q371" s="1">
        <v>0.71199999999999997</v>
      </c>
      <c r="R371">
        <v>459</v>
      </c>
      <c r="S371">
        <v>44</v>
      </c>
      <c r="T371">
        <v>140</v>
      </c>
      <c r="U371">
        <v>90</v>
      </c>
      <c r="V371">
        <v>20</v>
      </c>
      <c r="W371">
        <v>20</v>
      </c>
      <c r="X371">
        <v>62</v>
      </c>
      <c r="Y371" s="5">
        <v>1.4516129032258065</v>
      </c>
    </row>
    <row r="372" spans="1:25" x14ac:dyDescent="0.25">
      <c r="A372">
        <v>2018</v>
      </c>
      <c r="B372" t="s">
        <v>57</v>
      </c>
      <c r="C372">
        <v>19</v>
      </c>
      <c r="D372">
        <v>186</v>
      </c>
      <c r="E372" t="s">
        <v>28</v>
      </c>
      <c r="F372" t="s">
        <v>46</v>
      </c>
      <c r="G372">
        <f t="shared" si="5"/>
        <v>1</v>
      </c>
      <c r="H372">
        <v>9</v>
      </c>
      <c r="I372">
        <v>4</v>
      </c>
      <c r="J372">
        <v>0</v>
      </c>
      <c r="K372" s="6" t="s">
        <v>111</v>
      </c>
      <c r="L372" s="6" t="s">
        <v>89</v>
      </c>
      <c r="M372">
        <v>141</v>
      </c>
      <c r="N372" s="1">
        <v>0.46700000000000003</v>
      </c>
      <c r="O372">
        <v>39</v>
      </c>
      <c r="P372" s="1">
        <v>0.39</v>
      </c>
      <c r="Q372" s="1">
        <v>0.70499999999999996</v>
      </c>
      <c r="R372">
        <v>383</v>
      </c>
      <c r="S372">
        <v>37</v>
      </c>
      <c r="T372">
        <v>143</v>
      </c>
      <c r="U372">
        <v>94</v>
      </c>
      <c r="V372">
        <v>39</v>
      </c>
      <c r="W372">
        <v>20</v>
      </c>
      <c r="X372">
        <v>61</v>
      </c>
      <c r="Y372" s="5">
        <v>1.540983606557377</v>
      </c>
    </row>
    <row r="373" spans="1:25" x14ac:dyDescent="0.25">
      <c r="A373">
        <v>2018</v>
      </c>
      <c r="B373" t="s">
        <v>57</v>
      </c>
      <c r="C373">
        <v>19</v>
      </c>
      <c r="D373">
        <v>186</v>
      </c>
      <c r="E373" t="s">
        <v>97</v>
      </c>
      <c r="F373" t="s">
        <v>54</v>
      </c>
      <c r="G373">
        <f t="shared" si="5"/>
        <v>0</v>
      </c>
      <c r="H373">
        <v>4</v>
      </c>
      <c r="I373">
        <v>9</v>
      </c>
      <c r="J373">
        <v>0</v>
      </c>
      <c r="K373" s="6" t="s">
        <v>64</v>
      </c>
      <c r="L373" s="6" t="s">
        <v>80</v>
      </c>
      <c r="M373">
        <v>135</v>
      </c>
      <c r="N373" s="1">
        <v>0.49099999999999999</v>
      </c>
      <c r="O373">
        <v>29</v>
      </c>
      <c r="P373" s="1">
        <v>0.53700000000000003</v>
      </c>
      <c r="Q373" s="1">
        <v>0.81499999999999995</v>
      </c>
      <c r="R373">
        <v>365</v>
      </c>
      <c r="S373">
        <v>35</v>
      </c>
      <c r="T373">
        <v>83</v>
      </c>
      <c r="U373">
        <v>55</v>
      </c>
      <c r="V373">
        <v>21</v>
      </c>
      <c r="W373">
        <v>19</v>
      </c>
      <c r="X373">
        <v>44</v>
      </c>
      <c r="Y373" s="5">
        <v>1.25</v>
      </c>
    </row>
    <row r="374" spans="1:25" x14ac:dyDescent="0.25">
      <c r="A374">
        <v>2018</v>
      </c>
      <c r="B374" t="s">
        <v>57</v>
      </c>
      <c r="C374">
        <v>19</v>
      </c>
      <c r="D374">
        <v>187</v>
      </c>
      <c r="E374" t="s">
        <v>98</v>
      </c>
      <c r="F374" t="s">
        <v>41</v>
      </c>
      <c r="G374">
        <f t="shared" si="5"/>
        <v>0</v>
      </c>
      <c r="H374">
        <v>4</v>
      </c>
      <c r="I374">
        <v>9</v>
      </c>
      <c r="J374">
        <v>0</v>
      </c>
      <c r="K374" s="6" t="s">
        <v>66</v>
      </c>
      <c r="L374" s="6" t="s">
        <v>81</v>
      </c>
      <c r="M374">
        <v>165</v>
      </c>
      <c r="N374" s="1">
        <v>0.47799999999999998</v>
      </c>
      <c r="O374">
        <v>33</v>
      </c>
      <c r="P374" s="1">
        <v>0.314</v>
      </c>
      <c r="Q374" s="1">
        <v>0.752</v>
      </c>
      <c r="R374">
        <v>454</v>
      </c>
      <c r="S374">
        <v>40</v>
      </c>
      <c r="T374">
        <v>148</v>
      </c>
      <c r="U374">
        <v>113</v>
      </c>
      <c r="V374">
        <v>39</v>
      </c>
      <c r="W374">
        <v>27</v>
      </c>
      <c r="X374">
        <v>60</v>
      </c>
      <c r="Y374" s="5">
        <v>1.8833333333333333</v>
      </c>
    </row>
    <row r="375" spans="1:25" x14ac:dyDescent="0.25">
      <c r="A375">
        <v>2018</v>
      </c>
      <c r="B375" t="s">
        <v>57</v>
      </c>
      <c r="C375">
        <v>19</v>
      </c>
      <c r="D375">
        <v>187</v>
      </c>
      <c r="E375" t="s">
        <v>22</v>
      </c>
      <c r="F375" t="s">
        <v>44</v>
      </c>
      <c r="G375">
        <f t="shared" si="5"/>
        <v>1</v>
      </c>
      <c r="H375">
        <v>9</v>
      </c>
      <c r="I375">
        <v>4</v>
      </c>
      <c r="J375">
        <v>0</v>
      </c>
      <c r="K375" s="6" t="s">
        <v>112</v>
      </c>
      <c r="L375" s="6" t="s">
        <v>88</v>
      </c>
      <c r="M375">
        <v>185</v>
      </c>
      <c r="N375" s="1">
        <v>0.45500000000000002</v>
      </c>
      <c r="O375">
        <v>40</v>
      </c>
      <c r="P375" s="1">
        <v>0.317</v>
      </c>
      <c r="Q375" s="1">
        <v>0.79200000000000004</v>
      </c>
      <c r="R375">
        <v>494</v>
      </c>
      <c r="S375">
        <v>38</v>
      </c>
      <c r="T375">
        <v>159</v>
      </c>
      <c r="U375">
        <v>114</v>
      </c>
      <c r="V375">
        <v>35</v>
      </c>
      <c r="W375">
        <v>14</v>
      </c>
      <c r="X375">
        <v>49</v>
      </c>
      <c r="Y375" s="5">
        <v>2.3265306122448979</v>
      </c>
    </row>
    <row r="376" spans="1:25" x14ac:dyDescent="0.25">
      <c r="A376">
        <v>2018</v>
      </c>
      <c r="B376" t="s">
        <v>57</v>
      </c>
      <c r="C376">
        <v>19</v>
      </c>
      <c r="D376">
        <v>188</v>
      </c>
      <c r="E376" t="s">
        <v>26</v>
      </c>
      <c r="F376" t="s">
        <v>118</v>
      </c>
      <c r="G376">
        <f t="shared" si="5"/>
        <v>0</v>
      </c>
      <c r="H376">
        <v>5</v>
      </c>
      <c r="I376">
        <v>8</v>
      </c>
      <c r="J376">
        <v>0</v>
      </c>
      <c r="K376" s="6" t="s">
        <v>70</v>
      </c>
      <c r="L376" s="6" t="s">
        <v>87</v>
      </c>
      <c r="M376">
        <v>152</v>
      </c>
      <c r="N376" s="1">
        <v>0.47899999999999998</v>
      </c>
      <c r="O376">
        <v>36</v>
      </c>
      <c r="P376" s="1">
        <v>0.38700000000000001</v>
      </c>
      <c r="Q376" s="1">
        <v>0.77300000000000002</v>
      </c>
      <c r="R376">
        <v>439</v>
      </c>
      <c r="S376">
        <v>43</v>
      </c>
      <c r="T376">
        <v>129</v>
      </c>
      <c r="U376">
        <v>89</v>
      </c>
      <c r="V376">
        <v>31</v>
      </c>
      <c r="W376">
        <v>21</v>
      </c>
      <c r="X376">
        <v>61</v>
      </c>
      <c r="Y376" s="5">
        <v>1.459016393442623</v>
      </c>
    </row>
    <row r="377" spans="1:25" x14ac:dyDescent="0.25">
      <c r="A377">
        <v>2018</v>
      </c>
      <c r="B377" t="s">
        <v>57</v>
      </c>
      <c r="C377">
        <v>19</v>
      </c>
      <c r="D377">
        <v>188</v>
      </c>
      <c r="E377" t="s">
        <v>21</v>
      </c>
      <c r="F377" t="s">
        <v>50</v>
      </c>
      <c r="G377">
        <f t="shared" si="5"/>
        <v>1</v>
      </c>
      <c r="H377">
        <v>8</v>
      </c>
      <c r="I377">
        <v>5</v>
      </c>
      <c r="J377">
        <v>0</v>
      </c>
      <c r="K377" s="6" t="s">
        <v>65</v>
      </c>
      <c r="L377" s="6" t="s">
        <v>119</v>
      </c>
      <c r="M377">
        <v>196</v>
      </c>
      <c r="N377" s="1">
        <v>0.53800000000000003</v>
      </c>
      <c r="O377">
        <v>34</v>
      </c>
      <c r="P377" s="1">
        <v>0.40500000000000003</v>
      </c>
      <c r="Q377" s="1">
        <v>0.76300000000000001</v>
      </c>
      <c r="R377">
        <v>513</v>
      </c>
      <c r="S377">
        <v>39</v>
      </c>
      <c r="T377">
        <v>149</v>
      </c>
      <c r="U377">
        <v>135</v>
      </c>
      <c r="V377">
        <v>24</v>
      </c>
      <c r="W377">
        <v>30</v>
      </c>
      <c r="X377">
        <v>74</v>
      </c>
      <c r="Y377" s="5">
        <v>1.8243243243243243</v>
      </c>
    </row>
    <row r="378" spans="1:25" x14ac:dyDescent="0.25">
      <c r="A378">
        <v>2018</v>
      </c>
      <c r="B378" t="s">
        <v>57</v>
      </c>
      <c r="C378">
        <v>19</v>
      </c>
      <c r="D378">
        <v>189</v>
      </c>
      <c r="E378" t="s">
        <v>190</v>
      </c>
      <c r="F378" t="s">
        <v>103</v>
      </c>
      <c r="G378">
        <f t="shared" si="5"/>
        <v>1</v>
      </c>
      <c r="H378">
        <v>9</v>
      </c>
      <c r="I378">
        <v>3</v>
      </c>
      <c r="J378">
        <v>1</v>
      </c>
      <c r="K378" s="6" t="s">
        <v>72</v>
      </c>
      <c r="L378" s="6" t="s">
        <v>85</v>
      </c>
      <c r="M378">
        <v>207</v>
      </c>
      <c r="N378" s="1">
        <v>0.496</v>
      </c>
      <c r="O378">
        <v>46</v>
      </c>
      <c r="P378" s="1">
        <v>0.34599999999999997</v>
      </c>
      <c r="Q378" s="1">
        <v>0.81699999999999995</v>
      </c>
      <c r="R378">
        <v>558</v>
      </c>
      <c r="S378">
        <v>54</v>
      </c>
      <c r="T378">
        <v>145</v>
      </c>
      <c r="U378">
        <v>109</v>
      </c>
      <c r="V378">
        <v>38</v>
      </c>
      <c r="W378">
        <v>14</v>
      </c>
      <c r="X378">
        <v>69</v>
      </c>
      <c r="Y378" s="5">
        <v>1.5797101449275361</v>
      </c>
    </row>
    <row r="379" spans="1:25" x14ac:dyDescent="0.25">
      <c r="A379">
        <v>2018</v>
      </c>
      <c r="B379" t="s">
        <v>57</v>
      </c>
      <c r="C379">
        <v>19</v>
      </c>
      <c r="D379">
        <v>189</v>
      </c>
      <c r="E379" t="s">
        <v>33</v>
      </c>
      <c r="F379" t="s">
        <v>42</v>
      </c>
      <c r="G379">
        <f t="shared" si="5"/>
        <v>0</v>
      </c>
      <c r="H379">
        <v>3</v>
      </c>
      <c r="I379">
        <v>9</v>
      </c>
      <c r="J379">
        <v>1</v>
      </c>
      <c r="K379" s="6" t="s">
        <v>191</v>
      </c>
      <c r="L379" s="6" t="s">
        <v>113</v>
      </c>
      <c r="M379">
        <v>147</v>
      </c>
      <c r="N379" s="1">
        <v>0.42599999999999999</v>
      </c>
      <c r="O379">
        <v>46</v>
      </c>
      <c r="P379" s="1">
        <v>0.33800000000000002</v>
      </c>
      <c r="Q379" s="1">
        <v>0.69499999999999995</v>
      </c>
      <c r="R379">
        <v>381</v>
      </c>
      <c r="S379">
        <v>26</v>
      </c>
      <c r="T379">
        <v>104</v>
      </c>
      <c r="U379">
        <v>95</v>
      </c>
      <c r="V379">
        <v>28</v>
      </c>
      <c r="W379">
        <v>19</v>
      </c>
      <c r="X379">
        <v>57</v>
      </c>
      <c r="Y379" s="5">
        <v>1.6666666666666667</v>
      </c>
    </row>
    <row r="380" spans="1:25" x14ac:dyDescent="0.25">
      <c r="A380">
        <v>2018</v>
      </c>
      <c r="B380" t="s">
        <v>57</v>
      </c>
      <c r="C380">
        <v>19</v>
      </c>
      <c r="D380">
        <v>190</v>
      </c>
      <c r="E380" t="s">
        <v>94</v>
      </c>
      <c r="F380" t="s">
        <v>40</v>
      </c>
      <c r="G380">
        <f t="shared" si="5"/>
        <v>1</v>
      </c>
      <c r="H380">
        <v>10</v>
      </c>
      <c r="I380">
        <v>3</v>
      </c>
      <c r="J380">
        <v>0</v>
      </c>
      <c r="K380" s="6" t="s">
        <v>62</v>
      </c>
      <c r="L380" s="6" t="s">
        <v>78</v>
      </c>
      <c r="M380">
        <v>185</v>
      </c>
      <c r="N380" s="1">
        <v>0.48699999999999999</v>
      </c>
      <c r="O380">
        <v>38</v>
      </c>
      <c r="P380" s="1">
        <v>0.36199999999999999</v>
      </c>
      <c r="Q380" s="1">
        <v>0.82899999999999996</v>
      </c>
      <c r="R380">
        <v>524</v>
      </c>
      <c r="S380">
        <v>69</v>
      </c>
      <c r="T380">
        <v>205</v>
      </c>
      <c r="U380">
        <v>108</v>
      </c>
      <c r="V380">
        <v>46</v>
      </c>
      <c r="W380">
        <v>27</v>
      </c>
      <c r="X380">
        <v>75</v>
      </c>
      <c r="Y380" s="5">
        <v>1.44</v>
      </c>
    </row>
    <row r="381" spans="1:25" x14ac:dyDescent="0.25">
      <c r="A381">
        <v>2018</v>
      </c>
      <c r="B381" t="s">
        <v>57</v>
      </c>
      <c r="C381">
        <v>19</v>
      </c>
      <c r="D381">
        <v>190</v>
      </c>
      <c r="E381" t="s">
        <v>20</v>
      </c>
      <c r="F381" t="s">
        <v>47</v>
      </c>
      <c r="G381">
        <f t="shared" si="5"/>
        <v>0</v>
      </c>
      <c r="H381">
        <v>3</v>
      </c>
      <c r="I381">
        <v>10</v>
      </c>
      <c r="J381">
        <v>0</v>
      </c>
      <c r="K381" s="6" t="s">
        <v>106</v>
      </c>
      <c r="L381" s="6" t="s">
        <v>83</v>
      </c>
      <c r="M381">
        <v>178</v>
      </c>
      <c r="N381" s="1">
        <v>0.442</v>
      </c>
      <c r="O381">
        <v>37</v>
      </c>
      <c r="P381" s="1">
        <v>0.34300000000000003</v>
      </c>
      <c r="Q381" s="1">
        <v>0.76500000000000001</v>
      </c>
      <c r="R381">
        <v>468</v>
      </c>
      <c r="S381">
        <v>35</v>
      </c>
      <c r="T381">
        <v>118</v>
      </c>
      <c r="U381">
        <v>115</v>
      </c>
      <c r="V381">
        <v>25</v>
      </c>
      <c r="W381">
        <v>20</v>
      </c>
      <c r="X381">
        <v>70</v>
      </c>
      <c r="Y381" s="5">
        <v>1.6428571428571428</v>
      </c>
    </row>
    <row r="382" spans="1:25" x14ac:dyDescent="0.25">
      <c r="A382">
        <v>2018</v>
      </c>
      <c r="B382" t="s">
        <v>142</v>
      </c>
      <c r="C382" t="s">
        <v>146</v>
      </c>
      <c r="D382">
        <v>191</v>
      </c>
      <c r="E382" t="s">
        <v>16</v>
      </c>
      <c r="F382" t="s">
        <v>51</v>
      </c>
      <c r="G382">
        <f t="shared" si="5"/>
        <v>0</v>
      </c>
      <c r="H382">
        <v>6</v>
      </c>
      <c r="I382">
        <v>7</v>
      </c>
      <c r="J382">
        <v>0</v>
      </c>
      <c r="K382" s="6" t="s">
        <v>66</v>
      </c>
      <c r="L382" s="6" t="s">
        <v>81</v>
      </c>
      <c r="M382">
        <v>137</v>
      </c>
      <c r="N382" s="1">
        <v>0.48199999999999998</v>
      </c>
      <c r="O382">
        <v>38</v>
      </c>
      <c r="P382" s="1">
        <v>0.41799999999999998</v>
      </c>
      <c r="Q382" s="1">
        <v>0.753</v>
      </c>
      <c r="R382">
        <v>373</v>
      </c>
      <c r="S382">
        <v>32</v>
      </c>
      <c r="T382">
        <v>134</v>
      </c>
      <c r="U382">
        <v>93</v>
      </c>
      <c r="V382">
        <v>36</v>
      </c>
      <c r="W382">
        <v>21</v>
      </c>
      <c r="X382">
        <v>43</v>
      </c>
      <c r="Y382" s="5">
        <v>2.1627906976744184</v>
      </c>
    </row>
    <row r="383" spans="1:25" x14ac:dyDescent="0.25">
      <c r="A383">
        <v>2018</v>
      </c>
      <c r="B383" t="s">
        <v>142</v>
      </c>
      <c r="C383" t="s">
        <v>146</v>
      </c>
      <c r="D383">
        <v>191</v>
      </c>
      <c r="E383" t="s">
        <v>22</v>
      </c>
      <c r="F383" t="s">
        <v>44</v>
      </c>
      <c r="G383">
        <f t="shared" si="5"/>
        <v>1</v>
      </c>
      <c r="H383">
        <v>7</v>
      </c>
      <c r="I383">
        <v>6</v>
      </c>
      <c r="J383">
        <v>0</v>
      </c>
      <c r="K383" s="6" t="s">
        <v>60</v>
      </c>
      <c r="L383" s="6" t="s">
        <v>75</v>
      </c>
      <c r="M383">
        <v>147</v>
      </c>
      <c r="N383" s="1">
        <v>0.47299999999999998</v>
      </c>
      <c r="O383">
        <v>39</v>
      </c>
      <c r="P383" s="1">
        <v>0.38600000000000001</v>
      </c>
      <c r="Q383" s="1">
        <v>0.85199999999999998</v>
      </c>
      <c r="R383">
        <v>385</v>
      </c>
      <c r="S383">
        <v>38</v>
      </c>
      <c r="T383">
        <v>129</v>
      </c>
      <c r="U383">
        <v>81</v>
      </c>
      <c r="V383">
        <v>23</v>
      </c>
      <c r="W383">
        <v>11</v>
      </c>
      <c r="X383">
        <v>37</v>
      </c>
      <c r="Y383" s="5">
        <v>2.189189189189189</v>
      </c>
    </row>
    <row r="384" spans="1:25" x14ac:dyDescent="0.25">
      <c r="A384">
        <v>2018</v>
      </c>
      <c r="B384" t="s">
        <v>142</v>
      </c>
      <c r="C384" t="s">
        <v>146</v>
      </c>
      <c r="D384">
        <v>192</v>
      </c>
      <c r="E384" t="s">
        <v>23</v>
      </c>
      <c r="F384" t="s">
        <v>120</v>
      </c>
      <c r="G384">
        <f t="shared" si="5"/>
        <v>1</v>
      </c>
      <c r="H384">
        <v>10</v>
      </c>
      <c r="I384">
        <v>3</v>
      </c>
      <c r="J384">
        <v>0</v>
      </c>
      <c r="K384" s="6" t="s">
        <v>61</v>
      </c>
      <c r="L384" s="6" t="s">
        <v>77</v>
      </c>
      <c r="M384">
        <v>171</v>
      </c>
      <c r="N384" s="1">
        <v>0.46</v>
      </c>
      <c r="O384">
        <v>60</v>
      </c>
      <c r="P384" s="1">
        <v>0.38200000000000001</v>
      </c>
      <c r="Q384" s="1">
        <v>0.83699999999999997</v>
      </c>
      <c r="R384">
        <v>474</v>
      </c>
      <c r="S384">
        <v>34</v>
      </c>
      <c r="T384">
        <v>132</v>
      </c>
      <c r="U384">
        <v>113</v>
      </c>
      <c r="V384">
        <v>53</v>
      </c>
      <c r="W384">
        <v>29</v>
      </c>
      <c r="X384">
        <v>54</v>
      </c>
      <c r="Y384" s="5">
        <v>2.0925925925925926</v>
      </c>
    </row>
    <row r="385" spans="1:25" x14ac:dyDescent="0.25">
      <c r="A385">
        <v>2018</v>
      </c>
      <c r="B385" t="s">
        <v>142</v>
      </c>
      <c r="C385" t="s">
        <v>146</v>
      </c>
      <c r="D385">
        <v>192</v>
      </c>
      <c r="E385" t="s">
        <v>15</v>
      </c>
      <c r="F385" t="s">
        <v>48</v>
      </c>
      <c r="G385">
        <f t="shared" si="5"/>
        <v>0</v>
      </c>
      <c r="H385">
        <v>3</v>
      </c>
      <c r="I385">
        <v>10</v>
      </c>
      <c r="J385">
        <v>0</v>
      </c>
      <c r="K385" s="6" t="s">
        <v>71</v>
      </c>
      <c r="L385" s="6" t="s">
        <v>121</v>
      </c>
      <c r="M385">
        <v>152</v>
      </c>
      <c r="N385" s="1">
        <v>0.43099999999999999</v>
      </c>
      <c r="O385">
        <v>48</v>
      </c>
      <c r="P385" s="1">
        <v>0.33300000000000002</v>
      </c>
      <c r="Q385" s="1">
        <v>0.76700000000000002</v>
      </c>
      <c r="R385">
        <v>421</v>
      </c>
      <c r="S385">
        <v>41</v>
      </c>
      <c r="T385">
        <v>147</v>
      </c>
      <c r="U385">
        <v>63</v>
      </c>
      <c r="V385">
        <v>27</v>
      </c>
      <c r="W385">
        <v>17</v>
      </c>
      <c r="X385">
        <v>47</v>
      </c>
      <c r="Y385" s="5">
        <v>1.3404255319148937</v>
      </c>
    </row>
    <row r="386" spans="1:25" x14ac:dyDescent="0.25">
      <c r="A386">
        <v>2018</v>
      </c>
      <c r="B386" t="s">
        <v>142</v>
      </c>
      <c r="C386" t="s">
        <v>146</v>
      </c>
      <c r="D386">
        <v>193</v>
      </c>
      <c r="E386" t="s">
        <v>190</v>
      </c>
      <c r="F386" t="s">
        <v>103</v>
      </c>
      <c r="G386">
        <f t="shared" ref="G386:G449" si="6">IF(H386+0.5*J386&gt;6.5,1,0)</f>
        <v>1</v>
      </c>
      <c r="H386">
        <v>11</v>
      </c>
      <c r="I386">
        <v>2</v>
      </c>
      <c r="J386">
        <v>0</v>
      </c>
      <c r="K386" s="6" t="s">
        <v>182</v>
      </c>
      <c r="L386" s="6" t="s">
        <v>76</v>
      </c>
      <c r="M386">
        <v>207</v>
      </c>
      <c r="N386" s="1">
        <v>0.48</v>
      </c>
      <c r="O386">
        <v>59</v>
      </c>
      <c r="P386" s="1">
        <v>0.40100000000000002</v>
      </c>
      <c r="Q386" s="1">
        <v>0.65700000000000003</v>
      </c>
      <c r="R386">
        <v>542</v>
      </c>
      <c r="S386">
        <v>38</v>
      </c>
      <c r="T386">
        <v>139</v>
      </c>
      <c r="U386">
        <v>136</v>
      </c>
      <c r="V386">
        <v>36</v>
      </c>
      <c r="W386">
        <v>33</v>
      </c>
      <c r="X386">
        <v>76</v>
      </c>
      <c r="Y386" s="5">
        <v>1.7894736842105263</v>
      </c>
    </row>
    <row r="387" spans="1:25" x14ac:dyDescent="0.25">
      <c r="A387">
        <v>2018</v>
      </c>
      <c r="B387" t="s">
        <v>142</v>
      </c>
      <c r="C387" t="s">
        <v>146</v>
      </c>
      <c r="D387">
        <v>193</v>
      </c>
      <c r="E387" t="s">
        <v>181</v>
      </c>
      <c r="F387" t="s">
        <v>49</v>
      </c>
      <c r="G387">
        <f t="shared" si="6"/>
        <v>0</v>
      </c>
      <c r="H387">
        <v>2</v>
      </c>
      <c r="I387">
        <v>11</v>
      </c>
      <c r="J387">
        <v>0</v>
      </c>
      <c r="K387" s="6" t="s">
        <v>191</v>
      </c>
      <c r="L387" s="6" t="s">
        <v>113</v>
      </c>
      <c r="M387">
        <v>168</v>
      </c>
      <c r="N387" s="1">
        <v>0.46700000000000003</v>
      </c>
      <c r="O387">
        <v>45</v>
      </c>
      <c r="P387" s="1">
        <v>0.35699999999999998</v>
      </c>
      <c r="Q387" s="1">
        <v>0.73899999999999999</v>
      </c>
      <c r="R387">
        <v>449</v>
      </c>
      <c r="S387">
        <v>31</v>
      </c>
      <c r="T387">
        <v>98</v>
      </c>
      <c r="U387">
        <v>69</v>
      </c>
      <c r="V387">
        <v>26</v>
      </c>
      <c r="W387">
        <v>10</v>
      </c>
      <c r="X387">
        <v>50</v>
      </c>
      <c r="Y387" s="5">
        <v>1.38</v>
      </c>
    </row>
    <row r="388" spans="1:25" x14ac:dyDescent="0.25">
      <c r="A388">
        <v>2018</v>
      </c>
      <c r="B388" t="s">
        <v>142</v>
      </c>
      <c r="C388" t="s">
        <v>146</v>
      </c>
      <c r="D388">
        <v>194</v>
      </c>
      <c r="E388" t="s">
        <v>94</v>
      </c>
      <c r="F388" t="s">
        <v>40</v>
      </c>
      <c r="G388">
        <f t="shared" si="6"/>
        <v>0</v>
      </c>
      <c r="H388">
        <v>5</v>
      </c>
      <c r="I388">
        <v>7</v>
      </c>
      <c r="J388">
        <v>1</v>
      </c>
      <c r="K388" s="6" t="s">
        <v>70</v>
      </c>
      <c r="L388" s="6" t="s">
        <v>87</v>
      </c>
      <c r="M388">
        <v>154</v>
      </c>
      <c r="N388" s="1">
        <v>0.47499999999999998</v>
      </c>
      <c r="O388">
        <v>46</v>
      </c>
      <c r="P388" s="1">
        <v>0.43</v>
      </c>
      <c r="Q388" s="1">
        <v>0.73699999999999999</v>
      </c>
      <c r="R388">
        <v>427</v>
      </c>
      <c r="S388">
        <v>37</v>
      </c>
      <c r="T388">
        <v>171</v>
      </c>
      <c r="U388">
        <v>100</v>
      </c>
      <c r="V388">
        <v>28</v>
      </c>
      <c r="W388">
        <v>22</v>
      </c>
      <c r="X388">
        <v>65</v>
      </c>
      <c r="Y388" s="5">
        <v>1.5384615384615385</v>
      </c>
    </row>
    <row r="389" spans="1:25" x14ac:dyDescent="0.25">
      <c r="A389">
        <v>2018</v>
      </c>
      <c r="B389" t="s">
        <v>142</v>
      </c>
      <c r="C389" t="s">
        <v>146</v>
      </c>
      <c r="D389">
        <v>194</v>
      </c>
      <c r="E389" t="s">
        <v>21</v>
      </c>
      <c r="F389" t="s">
        <v>50</v>
      </c>
      <c r="G389">
        <f t="shared" si="6"/>
        <v>1</v>
      </c>
      <c r="H389">
        <v>7</v>
      </c>
      <c r="I389">
        <v>5</v>
      </c>
      <c r="J389">
        <v>1</v>
      </c>
      <c r="K389" s="6" t="s">
        <v>106</v>
      </c>
      <c r="L389" s="6" t="s">
        <v>83</v>
      </c>
      <c r="M389">
        <v>167</v>
      </c>
      <c r="N389" s="1">
        <v>0.499</v>
      </c>
      <c r="O389">
        <v>42</v>
      </c>
      <c r="P389" s="1">
        <v>0.42399999999999999</v>
      </c>
      <c r="Q389" s="1">
        <v>0.80200000000000005</v>
      </c>
      <c r="R389">
        <v>445</v>
      </c>
      <c r="S389">
        <v>37</v>
      </c>
      <c r="T389">
        <v>129</v>
      </c>
      <c r="U389">
        <v>120</v>
      </c>
      <c r="V389">
        <v>22</v>
      </c>
      <c r="W389">
        <v>20</v>
      </c>
      <c r="X389">
        <v>55</v>
      </c>
      <c r="Y389" s="5">
        <v>2.1818181818181817</v>
      </c>
    </row>
    <row r="390" spans="1:25" x14ac:dyDescent="0.25">
      <c r="A390">
        <v>2018</v>
      </c>
      <c r="B390" t="s">
        <v>142</v>
      </c>
      <c r="C390" t="s">
        <v>147</v>
      </c>
      <c r="D390">
        <v>195</v>
      </c>
      <c r="E390" t="s">
        <v>190</v>
      </c>
      <c r="F390" t="s">
        <v>103</v>
      </c>
      <c r="G390">
        <f t="shared" si="6"/>
        <v>1</v>
      </c>
      <c r="H390">
        <v>8</v>
      </c>
      <c r="I390">
        <v>5</v>
      </c>
      <c r="J390">
        <v>0</v>
      </c>
      <c r="K390" s="6" t="s">
        <v>71</v>
      </c>
      <c r="L390" s="6" t="s">
        <v>121</v>
      </c>
      <c r="M390">
        <v>179</v>
      </c>
      <c r="N390" s="1">
        <v>0.46500000000000002</v>
      </c>
      <c r="O390">
        <v>40</v>
      </c>
      <c r="P390" s="1">
        <v>0.34200000000000003</v>
      </c>
      <c r="Q390" s="1">
        <v>0.67400000000000004</v>
      </c>
      <c r="R390">
        <v>458</v>
      </c>
      <c r="S390">
        <v>46</v>
      </c>
      <c r="T390">
        <v>121</v>
      </c>
      <c r="U390">
        <v>108</v>
      </c>
      <c r="V390">
        <v>35</v>
      </c>
      <c r="W390">
        <v>31</v>
      </c>
      <c r="X390">
        <v>59</v>
      </c>
      <c r="Y390" s="5">
        <v>1.8305084745762712</v>
      </c>
    </row>
    <row r="391" spans="1:25" x14ac:dyDescent="0.25">
      <c r="A391">
        <v>2018</v>
      </c>
      <c r="B391" t="s">
        <v>142</v>
      </c>
      <c r="C391" t="s">
        <v>147</v>
      </c>
      <c r="D391">
        <v>195</v>
      </c>
      <c r="E391" t="s">
        <v>23</v>
      </c>
      <c r="F391" t="s">
        <v>120</v>
      </c>
      <c r="G391">
        <f t="shared" si="6"/>
        <v>0</v>
      </c>
      <c r="H391">
        <v>5</v>
      </c>
      <c r="I391">
        <v>8</v>
      </c>
      <c r="J391">
        <v>0</v>
      </c>
      <c r="K391" s="6" t="s">
        <v>191</v>
      </c>
      <c r="L391" s="6" t="s">
        <v>113</v>
      </c>
      <c r="M391">
        <v>149</v>
      </c>
      <c r="N391" s="1">
        <v>0.45300000000000001</v>
      </c>
      <c r="O391">
        <v>45</v>
      </c>
      <c r="P391" s="1">
        <v>0.36599999999999999</v>
      </c>
      <c r="Q391" s="1">
        <v>0.83299999999999996</v>
      </c>
      <c r="R391">
        <v>403</v>
      </c>
      <c r="S391">
        <v>32</v>
      </c>
      <c r="T391">
        <v>152</v>
      </c>
      <c r="U391">
        <v>81</v>
      </c>
      <c r="V391">
        <v>23</v>
      </c>
      <c r="W391">
        <v>18</v>
      </c>
      <c r="X391">
        <v>47</v>
      </c>
      <c r="Y391" s="5">
        <v>1.7234042553191489</v>
      </c>
    </row>
    <row r="392" spans="1:25" x14ac:dyDescent="0.25">
      <c r="A392">
        <v>2018</v>
      </c>
      <c r="B392" t="s">
        <v>142</v>
      </c>
      <c r="C392" t="s">
        <v>147</v>
      </c>
      <c r="D392">
        <v>196</v>
      </c>
      <c r="E392" t="s">
        <v>21</v>
      </c>
      <c r="F392" t="s">
        <v>50</v>
      </c>
      <c r="G392">
        <f t="shared" si="6"/>
        <v>0</v>
      </c>
      <c r="H392">
        <v>6</v>
      </c>
      <c r="I392">
        <v>7</v>
      </c>
      <c r="J392">
        <v>0</v>
      </c>
      <c r="K392" s="6" t="s">
        <v>66</v>
      </c>
      <c r="L392" s="6" t="s">
        <v>81</v>
      </c>
      <c r="M392">
        <v>129</v>
      </c>
      <c r="N392" s="1">
        <v>0.442</v>
      </c>
      <c r="O392">
        <v>18</v>
      </c>
      <c r="P392" s="1">
        <v>0.3</v>
      </c>
      <c r="Q392" s="1">
        <v>0.69299999999999995</v>
      </c>
      <c r="R392">
        <v>328</v>
      </c>
      <c r="S392">
        <v>59</v>
      </c>
      <c r="T392">
        <v>121</v>
      </c>
      <c r="U392">
        <v>137</v>
      </c>
      <c r="V392">
        <v>33</v>
      </c>
      <c r="W392">
        <v>20</v>
      </c>
      <c r="X392">
        <v>57</v>
      </c>
      <c r="Y392" s="5">
        <v>2.4035087719298245</v>
      </c>
    </row>
    <row r="393" spans="1:25" x14ac:dyDescent="0.25">
      <c r="A393">
        <v>2018</v>
      </c>
      <c r="B393" t="s">
        <v>142</v>
      </c>
      <c r="C393" t="s">
        <v>147</v>
      </c>
      <c r="D393">
        <v>196</v>
      </c>
      <c r="E393" t="s">
        <v>22</v>
      </c>
      <c r="F393" t="s">
        <v>44</v>
      </c>
      <c r="G393">
        <f t="shared" si="6"/>
        <v>1</v>
      </c>
      <c r="H393">
        <v>7</v>
      </c>
      <c r="I393">
        <v>6</v>
      </c>
      <c r="J393">
        <v>0</v>
      </c>
      <c r="K393" s="6" t="s">
        <v>70</v>
      </c>
      <c r="L393" s="6" t="s">
        <v>87</v>
      </c>
      <c r="M393">
        <v>137</v>
      </c>
      <c r="N393" s="1">
        <v>0.495</v>
      </c>
      <c r="O393">
        <v>33</v>
      </c>
      <c r="P393" s="1">
        <v>0.5</v>
      </c>
      <c r="Q393" s="1">
        <v>0.82399999999999995</v>
      </c>
      <c r="R393">
        <v>368</v>
      </c>
      <c r="S393">
        <v>35</v>
      </c>
      <c r="T393">
        <v>106</v>
      </c>
      <c r="U393">
        <v>77</v>
      </c>
      <c r="V393">
        <v>26</v>
      </c>
      <c r="W393">
        <v>11</v>
      </c>
      <c r="X393">
        <v>47</v>
      </c>
      <c r="Y393" s="5">
        <v>1.6382978723404256</v>
      </c>
    </row>
    <row r="394" spans="1:25" x14ac:dyDescent="0.25">
      <c r="A394">
        <v>2018</v>
      </c>
      <c r="B394" t="s">
        <v>142</v>
      </c>
      <c r="C394" t="s">
        <v>30</v>
      </c>
      <c r="D394">
        <v>197</v>
      </c>
      <c r="E394" t="s">
        <v>190</v>
      </c>
      <c r="F394" t="s">
        <v>103</v>
      </c>
      <c r="G394">
        <f t="shared" si="6"/>
        <v>1</v>
      </c>
      <c r="H394">
        <v>9</v>
      </c>
      <c r="I394">
        <v>4</v>
      </c>
      <c r="J394">
        <v>0</v>
      </c>
      <c r="K394" s="6" t="s">
        <v>66</v>
      </c>
      <c r="L394" s="6" t="s">
        <v>81</v>
      </c>
      <c r="M394">
        <v>210</v>
      </c>
      <c r="N394" s="1">
        <v>0.47499999999999998</v>
      </c>
      <c r="O394">
        <v>47</v>
      </c>
      <c r="P394" s="1">
        <v>0.33300000000000002</v>
      </c>
      <c r="Q394" s="1">
        <v>0.73299999999999998</v>
      </c>
      <c r="R394">
        <v>533</v>
      </c>
      <c r="S394">
        <v>48</v>
      </c>
      <c r="T394">
        <v>149</v>
      </c>
      <c r="U394">
        <v>131</v>
      </c>
      <c r="V394">
        <v>36</v>
      </c>
      <c r="W394">
        <v>26</v>
      </c>
      <c r="X394">
        <v>63</v>
      </c>
      <c r="Y394" s="5">
        <v>2.0793650793650795</v>
      </c>
    </row>
    <row r="395" spans="1:25" x14ac:dyDescent="0.25">
      <c r="A395">
        <v>2018</v>
      </c>
      <c r="B395" t="s">
        <v>142</v>
      </c>
      <c r="C395" t="s">
        <v>30</v>
      </c>
      <c r="D395">
        <v>197</v>
      </c>
      <c r="E395" t="s">
        <v>22</v>
      </c>
      <c r="F395" t="s">
        <v>44</v>
      </c>
      <c r="G395">
        <f t="shared" si="6"/>
        <v>0</v>
      </c>
      <c r="H395">
        <v>4</v>
      </c>
      <c r="I395">
        <v>9</v>
      </c>
      <c r="J395">
        <v>0</v>
      </c>
      <c r="K395" s="6" t="s">
        <v>191</v>
      </c>
      <c r="L395" s="6" t="s">
        <v>113</v>
      </c>
      <c r="M395">
        <v>166</v>
      </c>
      <c r="N395" s="1">
        <v>0.45400000000000001</v>
      </c>
      <c r="O395">
        <v>48</v>
      </c>
      <c r="P395" s="1">
        <v>0.375</v>
      </c>
      <c r="Q395" s="1">
        <v>0.83799999999999997</v>
      </c>
      <c r="R395">
        <v>447</v>
      </c>
      <c r="S395">
        <v>32</v>
      </c>
      <c r="T395">
        <v>114</v>
      </c>
      <c r="U395">
        <v>86</v>
      </c>
      <c r="V395">
        <v>29</v>
      </c>
      <c r="W395">
        <v>15</v>
      </c>
      <c r="X395">
        <v>50</v>
      </c>
      <c r="Y395" s="5">
        <v>1.72</v>
      </c>
    </row>
    <row r="396" spans="1:25" x14ac:dyDescent="0.25">
      <c r="A396">
        <v>2018</v>
      </c>
      <c r="B396" t="s">
        <v>142</v>
      </c>
      <c r="C396" t="s">
        <v>141</v>
      </c>
      <c r="D396">
        <v>198</v>
      </c>
      <c r="E396" t="s">
        <v>21</v>
      </c>
      <c r="F396" t="s">
        <v>50</v>
      </c>
      <c r="G396">
        <f t="shared" si="6"/>
        <v>0</v>
      </c>
      <c r="H396">
        <v>5</v>
      </c>
      <c r="I396">
        <v>8</v>
      </c>
      <c r="J396">
        <v>0</v>
      </c>
      <c r="K396" s="6" t="s">
        <v>71</v>
      </c>
      <c r="L396" s="6" t="s">
        <v>121</v>
      </c>
      <c r="M396">
        <v>137</v>
      </c>
      <c r="N396" s="1">
        <v>0.50700000000000001</v>
      </c>
      <c r="O396">
        <v>23</v>
      </c>
      <c r="P396" s="1">
        <v>0.38300000000000001</v>
      </c>
      <c r="Q396" s="1">
        <v>0.64100000000000001</v>
      </c>
      <c r="R396">
        <v>347</v>
      </c>
      <c r="S396">
        <v>52</v>
      </c>
      <c r="T396">
        <v>132</v>
      </c>
      <c r="U396">
        <v>117</v>
      </c>
      <c r="V396">
        <v>40</v>
      </c>
      <c r="W396">
        <v>17</v>
      </c>
      <c r="X396">
        <v>51</v>
      </c>
      <c r="Y396" s="5">
        <v>2.2941176470588234</v>
      </c>
    </row>
    <row r="397" spans="1:25" x14ac:dyDescent="0.25">
      <c r="A397">
        <v>2018</v>
      </c>
      <c r="B397" t="s">
        <v>142</v>
      </c>
      <c r="C397" t="s">
        <v>141</v>
      </c>
      <c r="D397">
        <v>198</v>
      </c>
      <c r="E397" t="s">
        <v>23</v>
      </c>
      <c r="F397" t="s">
        <v>120</v>
      </c>
      <c r="G397">
        <f t="shared" si="6"/>
        <v>1</v>
      </c>
      <c r="H397">
        <v>8</v>
      </c>
      <c r="I397">
        <v>5</v>
      </c>
      <c r="J397">
        <v>0</v>
      </c>
      <c r="K397" s="6" t="s">
        <v>70</v>
      </c>
      <c r="L397" s="6" t="s">
        <v>87</v>
      </c>
      <c r="M397">
        <v>179</v>
      </c>
      <c r="N397" s="1">
        <v>0.48899999999999999</v>
      </c>
      <c r="O397">
        <v>71</v>
      </c>
      <c r="P397" s="1">
        <v>0.46100000000000002</v>
      </c>
      <c r="Q397" s="1">
        <v>0.81399999999999995</v>
      </c>
      <c r="R397">
        <v>499</v>
      </c>
      <c r="S397">
        <v>24</v>
      </c>
      <c r="T397">
        <v>148</v>
      </c>
      <c r="U397">
        <v>92</v>
      </c>
      <c r="V397">
        <v>25</v>
      </c>
      <c r="W397">
        <v>20</v>
      </c>
      <c r="X397">
        <v>49</v>
      </c>
      <c r="Y397" s="5">
        <v>1.8775510204081634</v>
      </c>
    </row>
    <row r="398" spans="1:25" x14ac:dyDescent="0.25">
      <c r="A398">
        <v>2019</v>
      </c>
      <c r="B398" t="s">
        <v>57</v>
      </c>
      <c r="C398">
        <v>1</v>
      </c>
      <c r="D398">
        <v>1</v>
      </c>
      <c r="E398" t="s">
        <v>16</v>
      </c>
      <c r="F398" t="s">
        <v>51</v>
      </c>
      <c r="G398">
        <f t="shared" si="6"/>
        <v>1</v>
      </c>
      <c r="H398">
        <v>9</v>
      </c>
      <c r="I398">
        <v>4</v>
      </c>
      <c r="J398">
        <v>0</v>
      </c>
      <c r="K398" s="6" t="s">
        <v>59</v>
      </c>
      <c r="L398" s="6" t="s">
        <v>74</v>
      </c>
      <c r="M398">
        <v>127</v>
      </c>
      <c r="N398" s="1">
        <v>0.50600000000000001</v>
      </c>
      <c r="O398">
        <v>48</v>
      </c>
      <c r="P398" s="1">
        <v>0.46600000000000003</v>
      </c>
      <c r="Q398" s="1">
        <v>0.76100000000000001</v>
      </c>
      <c r="R398">
        <v>337</v>
      </c>
      <c r="S398">
        <v>26</v>
      </c>
      <c r="T398">
        <v>108</v>
      </c>
      <c r="U398">
        <v>76</v>
      </c>
      <c r="V398">
        <v>23</v>
      </c>
      <c r="W398">
        <v>10</v>
      </c>
      <c r="X398">
        <v>41</v>
      </c>
      <c r="Y398" s="5">
        <v>1.8536585365853659</v>
      </c>
    </row>
    <row r="399" spans="1:25" x14ac:dyDescent="0.25">
      <c r="A399">
        <v>2019</v>
      </c>
      <c r="B399" t="s">
        <v>57</v>
      </c>
      <c r="C399">
        <v>1</v>
      </c>
      <c r="D399">
        <v>1</v>
      </c>
      <c r="E399" t="s">
        <v>18</v>
      </c>
      <c r="F399" t="s">
        <v>52</v>
      </c>
      <c r="G399">
        <f t="shared" si="6"/>
        <v>0</v>
      </c>
      <c r="H399">
        <v>4</v>
      </c>
      <c r="I399">
        <v>9</v>
      </c>
      <c r="J399">
        <v>0</v>
      </c>
      <c r="K399" s="6" t="s">
        <v>60</v>
      </c>
      <c r="L399" s="6" t="s">
        <v>75</v>
      </c>
      <c r="M399">
        <v>81</v>
      </c>
      <c r="N399" s="1">
        <v>0.438</v>
      </c>
      <c r="O399">
        <v>27</v>
      </c>
      <c r="P399" s="1">
        <v>0.40899999999999997</v>
      </c>
      <c r="Q399" s="1">
        <v>0.80400000000000005</v>
      </c>
      <c r="R399">
        <v>234</v>
      </c>
      <c r="S399">
        <v>14</v>
      </c>
      <c r="T399">
        <v>75</v>
      </c>
      <c r="U399">
        <v>60</v>
      </c>
      <c r="V399">
        <v>18</v>
      </c>
      <c r="W399">
        <v>12</v>
      </c>
      <c r="X399">
        <v>31</v>
      </c>
      <c r="Y399" s="5">
        <v>1.935483870967742</v>
      </c>
    </row>
    <row r="400" spans="1:25" x14ac:dyDescent="0.25">
      <c r="A400">
        <v>2019</v>
      </c>
      <c r="B400" t="s">
        <v>57</v>
      </c>
      <c r="C400">
        <v>1</v>
      </c>
      <c r="D400">
        <v>2</v>
      </c>
      <c r="E400" t="s">
        <v>15</v>
      </c>
      <c r="F400" t="s">
        <v>48</v>
      </c>
      <c r="G400">
        <f t="shared" si="6"/>
        <v>1</v>
      </c>
      <c r="H400">
        <v>9</v>
      </c>
      <c r="I400">
        <v>4</v>
      </c>
      <c r="J400">
        <v>0</v>
      </c>
      <c r="K400" s="6" t="s">
        <v>182</v>
      </c>
      <c r="L400" s="6" t="s">
        <v>76</v>
      </c>
      <c r="M400">
        <v>153</v>
      </c>
      <c r="N400" s="1">
        <v>0.502</v>
      </c>
      <c r="O400">
        <v>40</v>
      </c>
      <c r="P400" s="1">
        <v>0.47599999999999998</v>
      </c>
      <c r="Q400" s="1">
        <v>0.73299999999999998</v>
      </c>
      <c r="R400">
        <v>409</v>
      </c>
      <c r="S400">
        <v>43</v>
      </c>
      <c r="T400">
        <v>83</v>
      </c>
      <c r="U400">
        <v>61</v>
      </c>
      <c r="V400">
        <v>26</v>
      </c>
      <c r="W400">
        <v>12</v>
      </c>
      <c r="X400">
        <v>27</v>
      </c>
      <c r="Y400" s="5">
        <v>2.2592592592592591</v>
      </c>
    </row>
    <row r="401" spans="1:25" x14ac:dyDescent="0.25">
      <c r="A401">
        <v>2019</v>
      </c>
      <c r="B401" t="s">
        <v>57</v>
      </c>
      <c r="C401">
        <v>1</v>
      </c>
      <c r="D401">
        <v>2</v>
      </c>
      <c r="E401" t="s">
        <v>181</v>
      </c>
      <c r="F401" t="s">
        <v>49</v>
      </c>
      <c r="G401">
        <f t="shared" si="6"/>
        <v>0</v>
      </c>
      <c r="H401">
        <v>4</v>
      </c>
      <c r="I401">
        <v>9</v>
      </c>
      <c r="J401">
        <v>0</v>
      </c>
      <c r="K401" s="6" t="s">
        <v>61</v>
      </c>
      <c r="L401" s="6" t="s">
        <v>77</v>
      </c>
      <c r="M401">
        <v>125</v>
      </c>
      <c r="N401" s="1">
        <v>0.40600000000000003</v>
      </c>
      <c r="O401">
        <v>31</v>
      </c>
      <c r="P401" s="1">
        <v>0.307</v>
      </c>
      <c r="Q401" s="1">
        <v>0.877</v>
      </c>
      <c r="R401">
        <v>352</v>
      </c>
      <c r="S401">
        <v>27</v>
      </c>
      <c r="T401">
        <v>122</v>
      </c>
      <c r="U401">
        <v>72</v>
      </c>
      <c r="V401">
        <v>19</v>
      </c>
      <c r="W401">
        <v>13</v>
      </c>
      <c r="X401">
        <v>47</v>
      </c>
      <c r="Y401" s="5">
        <v>1.5319148936170213</v>
      </c>
    </row>
    <row r="402" spans="1:25" x14ac:dyDescent="0.25">
      <c r="A402">
        <v>2019</v>
      </c>
      <c r="B402" t="s">
        <v>57</v>
      </c>
      <c r="C402">
        <v>1</v>
      </c>
      <c r="D402">
        <v>3</v>
      </c>
      <c r="E402" t="s">
        <v>17</v>
      </c>
      <c r="F402" t="s">
        <v>43</v>
      </c>
      <c r="G402">
        <f t="shared" si="6"/>
        <v>1</v>
      </c>
      <c r="H402">
        <v>9</v>
      </c>
      <c r="I402">
        <v>4</v>
      </c>
      <c r="J402">
        <v>0</v>
      </c>
      <c r="K402" s="6" t="s">
        <v>62</v>
      </c>
      <c r="L402" s="6" t="s">
        <v>78</v>
      </c>
      <c r="M402">
        <v>137</v>
      </c>
      <c r="N402" s="1">
        <v>0.43099999999999999</v>
      </c>
      <c r="O402">
        <v>42</v>
      </c>
      <c r="P402" s="1">
        <v>0.35299999999999998</v>
      </c>
      <c r="Q402" s="1">
        <v>0.77200000000000002</v>
      </c>
      <c r="R402">
        <v>377</v>
      </c>
      <c r="S402">
        <v>28</v>
      </c>
      <c r="T402">
        <v>109</v>
      </c>
      <c r="U402">
        <v>78</v>
      </c>
      <c r="V402">
        <v>16</v>
      </c>
      <c r="W402">
        <v>18</v>
      </c>
      <c r="X402">
        <v>37</v>
      </c>
      <c r="Y402" s="5">
        <v>2.1081081081081079</v>
      </c>
    </row>
    <row r="403" spans="1:25" x14ac:dyDescent="0.25">
      <c r="A403">
        <v>2019</v>
      </c>
      <c r="B403" t="s">
        <v>57</v>
      </c>
      <c r="C403">
        <v>1</v>
      </c>
      <c r="D403">
        <v>3</v>
      </c>
      <c r="E403" t="s">
        <v>20</v>
      </c>
      <c r="F403" t="s">
        <v>47</v>
      </c>
      <c r="G403">
        <f t="shared" si="6"/>
        <v>0</v>
      </c>
      <c r="H403">
        <v>4</v>
      </c>
      <c r="I403">
        <v>9</v>
      </c>
      <c r="J403">
        <v>0</v>
      </c>
      <c r="K403" s="6" t="s">
        <v>63</v>
      </c>
      <c r="L403" s="6" t="s">
        <v>79</v>
      </c>
      <c r="M403">
        <v>103</v>
      </c>
      <c r="N403" s="1">
        <v>0.436</v>
      </c>
      <c r="O403">
        <v>24</v>
      </c>
      <c r="P403" s="1">
        <v>0.32900000000000001</v>
      </c>
      <c r="Q403" s="1">
        <v>0.81299999999999994</v>
      </c>
      <c r="R403">
        <v>269</v>
      </c>
      <c r="S403">
        <v>31</v>
      </c>
      <c r="T403">
        <v>80</v>
      </c>
      <c r="U403">
        <v>64</v>
      </c>
      <c r="V403">
        <v>14</v>
      </c>
      <c r="W403">
        <v>8</v>
      </c>
      <c r="X403">
        <v>31</v>
      </c>
      <c r="Y403" s="5">
        <v>2.064516129032258</v>
      </c>
    </row>
    <row r="404" spans="1:25" x14ac:dyDescent="0.25">
      <c r="A404">
        <v>2019</v>
      </c>
      <c r="B404" t="s">
        <v>57</v>
      </c>
      <c r="C404">
        <v>1</v>
      </c>
      <c r="D404">
        <v>4</v>
      </c>
      <c r="E404" t="s">
        <v>190</v>
      </c>
      <c r="F404" t="s">
        <v>103</v>
      </c>
      <c r="G404">
        <f t="shared" si="6"/>
        <v>0</v>
      </c>
      <c r="H404">
        <v>5</v>
      </c>
      <c r="I404">
        <v>8</v>
      </c>
      <c r="J404">
        <v>0</v>
      </c>
      <c r="K404" s="6" t="s">
        <v>64</v>
      </c>
      <c r="L404" s="6" t="s">
        <v>80</v>
      </c>
      <c r="M404">
        <v>161</v>
      </c>
      <c r="N404" s="1">
        <v>0.436</v>
      </c>
      <c r="O404">
        <v>37</v>
      </c>
      <c r="P404" s="1">
        <v>0.29099999999999998</v>
      </c>
      <c r="Q404" s="1">
        <v>0.75</v>
      </c>
      <c r="R404">
        <v>434</v>
      </c>
      <c r="S404">
        <v>38</v>
      </c>
      <c r="T404">
        <v>123</v>
      </c>
      <c r="U404">
        <v>70</v>
      </c>
      <c r="V404">
        <v>33</v>
      </c>
      <c r="W404">
        <v>20</v>
      </c>
      <c r="X404">
        <v>49</v>
      </c>
      <c r="Y404" s="5">
        <v>1.4285714285714286</v>
      </c>
    </row>
    <row r="405" spans="1:25" x14ac:dyDescent="0.25">
      <c r="A405">
        <v>2019</v>
      </c>
      <c r="B405" t="s">
        <v>57</v>
      </c>
      <c r="C405">
        <v>1</v>
      </c>
      <c r="D405">
        <v>4</v>
      </c>
      <c r="E405" t="s">
        <v>28</v>
      </c>
      <c r="F405" t="s">
        <v>46</v>
      </c>
      <c r="G405">
        <f t="shared" si="6"/>
        <v>1</v>
      </c>
      <c r="H405">
        <v>8</v>
      </c>
      <c r="I405">
        <v>5</v>
      </c>
      <c r="J405">
        <v>0</v>
      </c>
      <c r="K405" s="6" t="s">
        <v>191</v>
      </c>
      <c r="L405" s="6" t="s">
        <v>113</v>
      </c>
      <c r="M405">
        <v>136</v>
      </c>
      <c r="N405" s="1">
        <v>0.504</v>
      </c>
      <c r="O405">
        <v>24</v>
      </c>
      <c r="P405" s="1">
        <v>0.33300000000000002</v>
      </c>
      <c r="Q405" s="1">
        <v>0.79200000000000004</v>
      </c>
      <c r="R405">
        <v>391</v>
      </c>
      <c r="S405">
        <v>51</v>
      </c>
      <c r="T405">
        <v>124</v>
      </c>
      <c r="U405">
        <v>92</v>
      </c>
      <c r="V405">
        <v>24</v>
      </c>
      <c r="W405">
        <v>21</v>
      </c>
      <c r="X405">
        <v>52</v>
      </c>
      <c r="Y405" s="5">
        <v>1.7692307692307692</v>
      </c>
    </row>
    <row r="406" spans="1:25" x14ac:dyDescent="0.25">
      <c r="A406">
        <v>2019</v>
      </c>
      <c r="B406" t="s">
        <v>57</v>
      </c>
      <c r="C406">
        <v>1</v>
      </c>
      <c r="D406">
        <v>5</v>
      </c>
      <c r="E406" t="s">
        <v>26</v>
      </c>
      <c r="F406" t="s">
        <v>118</v>
      </c>
      <c r="G406">
        <f t="shared" si="6"/>
        <v>1</v>
      </c>
      <c r="H406">
        <v>7</v>
      </c>
      <c r="I406">
        <v>6</v>
      </c>
      <c r="J406">
        <v>0</v>
      </c>
      <c r="K406" s="6" t="s">
        <v>66</v>
      </c>
      <c r="L406" s="6" t="s">
        <v>81</v>
      </c>
      <c r="M406">
        <v>121</v>
      </c>
      <c r="N406" s="1">
        <v>0.45100000000000001</v>
      </c>
      <c r="O406">
        <v>25</v>
      </c>
      <c r="P406" s="1">
        <v>0.30099999999999999</v>
      </c>
      <c r="Q406" s="1">
        <v>0.69199999999999995</v>
      </c>
      <c r="R406">
        <v>330</v>
      </c>
      <c r="S406">
        <v>27</v>
      </c>
      <c r="T406">
        <v>127</v>
      </c>
      <c r="U406">
        <v>53</v>
      </c>
      <c r="V406">
        <v>25</v>
      </c>
      <c r="W406">
        <v>24</v>
      </c>
      <c r="X406">
        <v>56</v>
      </c>
      <c r="Y406" s="5">
        <v>0.9464285714285714</v>
      </c>
    </row>
    <row r="407" spans="1:25" x14ac:dyDescent="0.25">
      <c r="A407">
        <v>2019</v>
      </c>
      <c r="B407" t="s">
        <v>57</v>
      </c>
      <c r="C407">
        <v>1</v>
      </c>
      <c r="D407">
        <v>5</v>
      </c>
      <c r="E407" t="s">
        <v>22</v>
      </c>
      <c r="F407" t="s">
        <v>44</v>
      </c>
      <c r="G407">
        <f t="shared" si="6"/>
        <v>0</v>
      </c>
      <c r="H407">
        <v>6</v>
      </c>
      <c r="I407">
        <v>7</v>
      </c>
      <c r="J407">
        <v>0</v>
      </c>
      <c r="K407" s="6" t="s">
        <v>65</v>
      </c>
      <c r="L407" s="6" t="s">
        <v>119</v>
      </c>
      <c r="M407">
        <v>100</v>
      </c>
      <c r="N407" s="1">
        <v>0.46300000000000002</v>
      </c>
      <c r="O407">
        <v>33</v>
      </c>
      <c r="P407" s="1">
        <v>0.41799999999999998</v>
      </c>
      <c r="Q407" s="1">
        <v>0.83299999999999996</v>
      </c>
      <c r="R407">
        <v>273</v>
      </c>
      <c r="S407">
        <v>24</v>
      </c>
      <c r="T407">
        <v>85</v>
      </c>
      <c r="U407">
        <v>51</v>
      </c>
      <c r="V407">
        <v>13</v>
      </c>
      <c r="W407">
        <v>16</v>
      </c>
      <c r="X407">
        <v>39</v>
      </c>
      <c r="Y407" s="5">
        <v>1.3076923076923077</v>
      </c>
    </row>
    <row r="408" spans="1:25" x14ac:dyDescent="0.25">
      <c r="A408">
        <v>2019</v>
      </c>
      <c r="B408" t="s">
        <v>57</v>
      </c>
      <c r="C408">
        <v>1</v>
      </c>
      <c r="D408">
        <v>6</v>
      </c>
      <c r="E408" t="s">
        <v>159</v>
      </c>
      <c r="F408" t="s">
        <v>116</v>
      </c>
      <c r="G408">
        <f t="shared" si="6"/>
        <v>1</v>
      </c>
      <c r="H408">
        <v>9</v>
      </c>
      <c r="I408">
        <v>4</v>
      </c>
      <c r="J408">
        <v>0</v>
      </c>
      <c r="K408" s="6" t="s">
        <v>67</v>
      </c>
      <c r="L408" s="6" t="s">
        <v>82</v>
      </c>
      <c r="M408">
        <v>148</v>
      </c>
      <c r="N408" s="1">
        <v>0.52100000000000002</v>
      </c>
      <c r="O408">
        <v>34</v>
      </c>
      <c r="P408" s="1">
        <v>0.374</v>
      </c>
      <c r="Q408" s="1">
        <v>0.82699999999999996</v>
      </c>
      <c r="R408">
        <v>392</v>
      </c>
      <c r="S408">
        <v>24</v>
      </c>
      <c r="T408">
        <v>129</v>
      </c>
      <c r="U408">
        <v>54</v>
      </c>
      <c r="V408">
        <v>17</v>
      </c>
      <c r="W408">
        <v>21</v>
      </c>
      <c r="X408">
        <v>57</v>
      </c>
      <c r="Y408" s="5">
        <v>0.94736842105263153</v>
      </c>
    </row>
    <row r="409" spans="1:25" x14ac:dyDescent="0.25">
      <c r="A409">
        <v>2019</v>
      </c>
      <c r="B409" t="s">
        <v>57</v>
      </c>
      <c r="C409">
        <v>1</v>
      </c>
      <c r="D409">
        <v>6</v>
      </c>
      <c r="E409" t="s">
        <v>19</v>
      </c>
      <c r="F409" t="s">
        <v>56</v>
      </c>
      <c r="G409">
        <f t="shared" si="6"/>
        <v>0</v>
      </c>
      <c r="H409">
        <v>4</v>
      </c>
      <c r="I409">
        <v>9</v>
      </c>
      <c r="J409">
        <v>0</v>
      </c>
      <c r="K409" s="6" t="s">
        <v>193</v>
      </c>
      <c r="L409" s="6" t="s">
        <v>117</v>
      </c>
      <c r="M409">
        <v>116</v>
      </c>
      <c r="N409" s="1">
        <v>0.42499999999999999</v>
      </c>
      <c r="O409">
        <v>26</v>
      </c>
      <c r="P409" s="1">
        <v>0.30199999999999999</v>
      </c>
      <c r="Q409" s="1">
        <v>0.77</v>
      </c>
      <c r="R409">
        <v>325</v>
      </c>
      <c r="S409">
        <v>46</v>
      </c>
      <c r="T409">
        <v>111</v>
      </c>
      <c r="U409">
        <v>95</v>
      </c>
      <c r="V409">
        <v>14</v>
      </c>
      <c r="W409">
        <v>9</v>
      </c>
      <c r="X409">
        <v>55</v>
      </c>
      <c r="Y409" s="5">
        <v>1.7272727272727273</v>
      </c>
    </row>
    <row r="410" spans="1:25" x14ac:dyDescent="0.25">
      <c r="A410">
        <v>2019</v>
      </c>
      <c r="B410" t="s">
        <v>57</v>
      </c>
      <c r="C410">
        <v>1</v>
      </c>
      <c r="D410">
        <v>7</v>
      </c>
      <c r="E410" t="s">
        <v>94</v>
      </c>
      <c r="F410" t="s">
        <v>40</v>
      </c>
      <c r="G410">
        <f t="shared" si="6"/>
        <v>1</v>
      </c>
      <c r="H410">
        <v>11</v>
      </c>
      <c r="I410">
        <v>2</v>
      </c>
      <c r="J410">
        <v>0</v>
      </c>
      <c r="K410" s="6" t="s">
        <v>68</v>
      </c>
      <c r="L410" s="6" t="s">
        <v>84</v>
      </c>
      <c r="M410">
        <v>149</v>
      </c>
      <c r="N410" s="1">
        <v>0.45300000000000001</v>
      </c>
      <c r="O410">
        <v>48</v>
      </c>
      <c r="P410" s="1">
        <v>0.375</v>
      </c>
      <c r="Q410" s="1">
        <v>0.82499999999999996</v>
      </c>
      <c r="R410">
        <v>440</v>
      </c>
      <c r="S410">
        <v>42</v>
      </c>
      <c r="T410">
        <v>119</v>
      </c>
      <c r="U410">
        <v>95</v>
      </c>
      <c r="V410">
        <v>22</v>
      </c>
      <c r="W410">
        <v>25</v>
      </c>
      <c r="X410">
        <v>48</v>
      </c>
      <c r="Y410" s="5">
        <v>1.9791666666666667</v>
      </c>
    </row>
    <row r="411" spans="1:25" x14ac:dyDescent="0.25">
      <c r="A411">
        <v>2019</v>
      </c>
      <c r="B411" t="s">
        <v>57</v>
      </c>
      <c r="C411">
        <v>1</v>
      </c>
      <c r="D411">
        <v>7</v>
      </c>
      <c r="E411" t="s">
        <v>25</v>
      </c>
      <c r="F411" t="s">
        <v>53</v>
      </c>
      <c r="G411">
        <f t="shared" si="6"/>
        <v>0</v>
      </c>
      <c r="H411">
        <v>2</v>
      </c>
      <c r="I411">
        <v>11</v>
      </c>
      <c r="J411">
        <v>0</v>
      </c>
      <c r="K411" s="6" t="s">
        <v>106</v>
      </c>
      <c r="L411" s="6" t="s">
        <v>83</v>
      </c>
      <c r="M411">
        <v>102</v>
      </c>
      <c r="N411" s="1">
        <v>0.47699999999999998</v>
      </c>
      <c r="O411">
        <v>14</v>
      </c>
      <c r="P411" s="1">
        <v>0.32600000000000001</v>
      </c>
      <c r="Q411" s="1">
        <v>0.69199999999999995</v>
      </c>
      <c r="R411">
        <v>254</v>
      </c>
      <c r="S411">
        <v>13</v>
      </c>
      <c r="T411">
        <v>63</v>
      </c>
      <c r="U411">
        <v>42</v>
      </c>
      <c r="V411">
        <v>8</v>
      </c>
      <c r="W411">
        <v>5</v>
      </c>
      <c r="X411">
        <v>30</v>
      </c>
      <c r="Y411" s="5">
        <v>1.4</v>
      </c>
    </row>
    <row r="412" spans="1:25" x14ac:dyDescent="0.25">
      <c r="A412">
        <v>2019</v>
      </c>
      <c r="B412" t="s">
        <v>57</v>
      </c>
      <c r="C412">
        <v>1</v>
      </c>
      <c r="D412">
        <v>8</v>
      </c>
      <c r="E412" t="s">
        <v>24</v>
      </c>
      <c r="F412" t="s">
        <v>55</v>
      </c>
      <c r="G412">
        <f t="shared" si="6"/>
        <v>0</v>
      </c>
      <c r="H412">
        <v>6</v>
      </c>
      <c r="I412">
        <v>7</v>
      </c>
      <c r="J412">
        <v>0</v>
      </c>
      <c r="K412" s="6" t="s">
        <v>72</v>
      </c>
      <c r="L412" s="6" t="s">
        <v>85</v>
      </c>
      <c r="M412">
        <v>123</v>
      </c>
      <c r="N412" s="1">
        <v>0.46899999999999997</v>
      </c>
      <c r="O412">
        <v>26</v>
      </c>
      <c r="P412" s="1">
        <v>0.31</v>
      </c>
      <c r="Q412" s="1">
        <v>0.77800000000000002</v>
      </c>
      <c r="R412">
        <v>342</v>
      </c>
      <c r="S412">
        <v>31</v>
      </c>
      <c r="T412">
        <v>93</v>
      </c>
      <c r="U412">
        <v>77</v>
      </c>
      <c r="V412">
        <v>28</v>
      </c>
      <c r="W412">
        <v>14</v>
      </c>
      <c r="X412">
        <v>48</v>
      </c>
      <c r="Y412" s="5">
        <v>1.6041666666666667</v>
      </c>
    </row>
    <row r="413" spans="1:25" x14ac:dyDescent="0.25">
      <c r="A413">
        <v>2019</v>
      </c>
      <c r="B413" t="s">
        <v>57</v>
      </c>
      <c r="C413">
        <v>1</v>
      </c>
      <c r="D413">
        <v>8</v>
      </c>
      <c r="E413" t="s">
        <v>33</v>
      </c>
      <c r="F413" t="s">
        <v>42</v>
      </c>
      <c r="G413">
        <f t="shared" si="6"/>
        <v>1</v>
      </c>
      <c r="H413">
        <v>7</v>
      </c>
      <c r="I413">
        <v>6</v>
      </c>
      <c r="J413">
        <v>0</v>
      </c>
      <c r="K413" s="6" t="s">
        <v>69</v>
      </c>
      <c r="L413" s="6" t="s">
        <v>86</v>
      </c>
      <c r="M413">
        <v>110</v>
      </c>
      <c r="N413" s="1">
        <v>0.47</v>
      </c>
      <c r="O413">
        <v>35</v>
      </c>
      <c r="P413" s="1">
        <v>0.42199999999999999</v>
      </c>
      <c r="Q413" s="1">
        <v>0.67700000000000005</v>
      </c>
      <c r="R413">
        <v>297</v>
      </c>
      <c r="S413">
        <v>35</v>
      </c>
      <c r="T413">
        <v>96</v>
      </c>
      <c r="U413">
        <v>57</v>
      </c>
      <c r="V413">
        <v>25</v>
      </c>
      <c r="W413">
        <v>10</v>
      </c>
      <c r="X413">
        <v>35</v>
      </c>
      <c r="Y413" s="5">
        <v>1.6285714285714286</v>
      </c>
    </row>
    <row r="414" spans="1:25" x14ac:dyDescent="0.25">
      <c r="A414">
        <v>2019</v>
      </c>
      <c r="B414" t="s">
        <v>57</v>
      </c>
      <c r="C414">
        <v>1</v>
      </c>
      <c r="D414">
        <v>9</v>
      </c>
      <c r="E414" t="s">
        <v>21</v>
      </c>
      <c r="F414" t="s">
        <v>50</v>
      </c>
      <c r="G414">
        <f t="shared" si="6"/>
        <v>1</v>
      </c>
      <c r="H414">
        <v>7</v>
      </c>
      <c r="I414">
        <v>5</v>
      </c>
      <c r="J414">
        <v>1</v>
      </c>
      <c r="K414" s="6" t="s">
        <v>71</v>
      </c>
      <c r="L414" s="6" t="s">
        <v>121</v>
      </c>
      <c r="M414">
        <v>133</v>
      </c>
      <c r="N414" s="1">
        <v>0.45900000000000002</v>
      </c>
      <c r="O414">
        <v>19</v>
      </c>
      <c r="P414" s="1">
        <v>0.35199999999999998</v>
      </c>
      <c r="Q414" s="1">
        <v>0.79</v>
      </c>
      <c r="R414">
        <v>349</v>
      </c>
      <c r="S414">
        <v>45</v>
      </c>
      <c r="T414">
        <v>121</v>
      </c>
      <c r="U414">
        <v>81</v>
      </c>
      <c r="V414">
        <v>19</v>
      </c>
      <c r="W414">
        <v>11</v>
      </c>
      <c r="X414">
        <v>39</v>
      </c>
      <c r="Y414" s="5">
        <v>2.0769230769230771</v>
      </c>
    </row>
    <row r="415" spans="1:25" x14ac:dyDescent="0.25">
      <c r="A415">
        <v>2019</v>
      </c>
      <c r="B415" t="s">
        <v>57</v>
      </c>
      <c r="C415">
        <v>1</v>
      </c>
      <c r="D415">
        <v>9</v>
      </c>
      <c r="E415" t="s">
        <v>23</v>
      </c>
      <c r="F415" t="s">
        <v>120</v>
      </c>
      <c r="G415">
        <f t="shared" si="6"/>
        <v>0</v>
      </c>
      <c r="H415">
        <v>5</v>
      </c>
      <c r="I415">
        <v>7</v>
      </c>
      <c r="J415">
        <v>1</v>
      </c>
      <c r="K415" s="6" t="s">
        <v>70</v>
      </c>
      <c r="L415" s="6" t="s">
        <v>87</v>
      </c>
      <c r="M415">
        <v>115</v>
      </c>
      <c r="N415" s="1">
        <v>0.47299999999999998</v>
      </c>
      <c r="O415">
        <v>21</v>
      </c>
      <c r="P415" s="1">
        <v>0.3</v>
      </c>
      <c r="Q415" s="1">
        <v>0.69899999999999995</v>
      </c>
      <c r="R415">
        <v>302</v>
      </c>
      <c r="S415">
        <v>32</v>
      </c>
      <c r="T415">
        <v>87</v>
      </c>
      <c r="U415">
        <v>74</v>
      </c>
      <c r="V415">
        <v>19</v>
      </c>
      <c r="W415">
        <v>21</v>
      </c>
      <c r="X415">
        <v>30</v>
      </c>
      <c r="Y415" s="5">
        <v>2.4666666666666668</v>
      </c>
    </row>
    <row r="416" spans="1:25" x14ac:dyDescent="0.25">
      <c r="A416">
        <v>2019</v>
      </c>
      <c r="B416" t="s">
        <v>57</v>
      </c>
      <c r="C416">
        <v>1</v>
      </c>
      <c r="D416">
        <v>10</v>
      </c>
      <c r="E416" t="s">
        <v>98</v>
      </c>
      <c r="F416" t="s">
        <v>41</v>
      </c>
      <c r="G416">
        <f t="shared" si="6"/>
        <v>1</v>
      </c>
      <c r="H416">
        <v>8</v>
      </c>
      <c r="I416">
        <v>4</v>
      </c>
      <c r="J416">
        <v>1</v>
      </c>
      <c r="K416" s="6" t="s">
        <v>111</v>
      </c>
      <c r="L416" s="6" t="s">
        <v>89</v>
      </c>
      <c r="M416">
        <v>110</v>
      </c>
      <c r="N416" s="1">
        <v>0.44400000000000001</v>
      </c>
      <c r="O416">
        <v>39</v>
      </c>
      <c r="P416" s="1">
        <v>0.42899999999999999</v>
      </c>
      <c r="Q416" s="1">
        <v>0.71399999999999997</v>
      </c>
      <c r="R416">
        <v>314</v>
      </c>
      <c r="S416">
        <v>31</v>
      </c>
      <c r="T416">
        <v>101</v>
      </c>
      <c r="U416">
        <v>84</v>
      </c>
      <c r="V416">
        <v>22</v>
      </c>
      <c r="W416">
        <v>20</v>
      </c>
      <c r="X416">
        <v>41</v>
      </c>
      <c r="Y416" s="5">
        <v>2.0487804878048781</v>
      </c>
    </row>
    <row r="417" spans="1:25" x14ac:dyDescent="0.25">
      <c r="A417">
        <v>2019</v>
      </c>
      <c r="B417" t="s">
        <v>57</v>
      </c>
      <c r="C417">
        <v>1</v>
      </c>
      <c r="D417">
        <v>10</v>
      </c>
      <c r="E417" t="s">
        <v>97</v>
      </c>
      <c r="F417" t="s">
        <v>54</v>
      </c>
      <c r="G417">
        <f t="shared" si="6"/>
        <v>0</v>
      </c>
      <c r="H417">
        <v>4</v>
      </c>
      <c r="I417">
        <v>8</v>
      </c>
      <c r="J417">
        <v>1</v>
      </c>
      <c r="K417" s="6" t="s">
        <v>112</v>
      </c>
      <c r="L417" s="6" t="s">
        <v>88</v>
      </c>
      <c r="M417">
        <v>124</v>
      </c>
      <c r="N417" s="1">
        <v>0.45900000000000002</v>
      </c>
      <c r="O417">
        <v>39</v>
      </c>
      <c r="P417" s="1">
        <v>0.375</v>
      </c>
      <c r="Q417" s="1">
        <v>0.70499999999999996</v>
      </c>
      <c r="R417">
        <v>330</v>
      </c>
      <c r="S417">
        <v>19</v>
      </c>
      <c r="T417">
        <v>90</v>
      </c>
      <c r="U417">
        <v>62</v>
      </c>
      <c r="V417">
        <v>21</v>
      </c>
      <c r="W417">
        <v>15</v>
      </c>
      <c r="X417">
        <v>40</v>
      </c>
      <c r="Y417" s="5">
        <v>1.55</v>
      </c>
    </row>
    <row r="418" spans="1:25" x14ac:dyDescent="0.25">
      <c r="A418">
        <v>2019</v>
      </c>
      <c r="B418" t="s">
        <v>57</v>
      </c>
      <c r="C418">
        <v>2</v>
      </c>
      <c r="D418">
        <v>11</v>
      </c>
      <c r="E418" t="s">
        <v>16</v>
      </c>
      <c r="F418" t="s">
        <v>51</v>
      </c>
      <c r="G418">
        <f t="shared" si="6"/>
        <v>1</v>
      </c>
      <c r="H418">
        <v>10</v>
      </c>
      <c r="I418">
        <v>2</v>
      </c>
      <c r="J418">
        <v>1</v>
      </c>
      <c r="K418" s="6" t="s">
        <v>61</v>
      </c>
      <c r="L418" s="6" t="s">
        <v>77</v>
      </c>
      <c r="M418">
        <v>184</v>
      </c>
      <c r="N418" s="1">
        <v>0.48799999999999999</v>
      </c>
      <c r="O418">
        <v>77</v>
      </c>
      <c r="P418" s="1">
        <v>0.46400000000000002</v>
      </c>
      <c r="Q418" s="1">
        <v>0.82699999999999996</v>
      </c>
      <c r="R418">
        <v>536</v>
      </c>
      <c r="S418">
        <v>47</v>
      </c>
      <c r="T418">
        <v>182</v>
      </c>
      <c r="U418">
        <v>81</v>
      </c>
      <c r="V418">
        <v>31</v>
      </c>
      <c r="W418">
        <v>21</v>
      </c>
      <c r="X418">
        <v>70</v>
      </c>
      <c r="Y418" s="5">
        <v>1.1571428571428573</v>
      </c>
    </row>
    <row r="419" spans="1:25" x14ac:dyDescent="0.25">
      <c r="A419">
        <v>2019</v>
      </c>
      <c r="B419" t="s">
        <v>57</v>
      </c>
      <c r="C419">
        <v>2</v>
      </c>
      <c r="D419">
        <v>11</v>
      </c>
      <c r="E419" t="s">
        <v>15</v>
      </c>
      <c r="F419" t="s">
        <v>48</v>
      </c>
      <c r="G419">
        <f t="shared" si="6"/>
        <v>0</v>
      </c>
      <c r="H419">
        <v>2</v>
      </c>
      <c r="I419">
        <v>10</v>
      </c>
      <c r="J419">
        <v>1</v>
      </c>
      <c r="K419" s="6" t="s">
        <v>60</v>
      </c>
      <c r="L419" s="6" t="s">
        <v>75</v>
      </c>
      <c r="M419">
        <v>154</v>
      </c>
      <c r="N419" s="1">
        <v>0.434</v>
      </c>
      <c r="O419">
        <v>39</v>
      </c>
      <c r="P419" s="1">
        <v>0.315</v>
      </c>
      <c r="Q419" s="1">
        <v>0.77900000000000003</v>
      </c>
      <c r="R419">
        <v>435</v>
      </c>
      <c r="S419">
        <v>39</v>
      </c>
      <c r="T419">
        <v>101</v>
      </c>
      <c r="U419">
        <v>81</v>
      </c>
      <c r="V419">
        <v>25</v>
      </c>
      <c r="W419">
        <v>16</v>
      </c>
      <c r="X419">
        <v>42</v>
      </c>
      <c r="Y419" s="5">
        <v>1.9285714285714286</v>
      </c>
    </row>
    <row r="420" spans="1:25" x14ac:dyDescent="0.25">
      <c r="A420">
        <v>2019</v>
      </c>
      <c r="B420" t="s">
        <v>57</v>
      </c>
      <c r="C420">
        <v>2</v>
      </c>
      <c r="D420">
        <v>12</v>
      </c>
      <c r="E420" t="s">
        <v>17</v>
      </c>
      <c r="F420" t="s">
        <v>43</v>
      </c>
      <c r="G420">
        <f t="shared" si="6"/>
        <v>1</v>
      </c>
      <c r="H420">
        <v>8</v>
      </c>
      <c r="I420">
        <v>5</v>
      </c>
      <c r="J420">
        <v>0</v>
      </c>
      <c r="K420" s="6" t="s">
        <v>59</v>
      </c>
      <c r="L420" s="6" t="s">
        <v>74</v>
      </c>
      <c r="M420">
        <v>165</v>
      </c>
      <c r="N420" s="1">
        <v>0.42899999999999999</v>
      </c>
      <c r="O420">
        <v>41</v>
      </c>
      <c r="P420" s="1">
        <v>0.29899999999999999</v>
      </c>
      <c r="Q420" s="1">
        <v>0.77100000000000002</v>
      </c>
      <c r="R420">
        <v>452</v>
      </c>
      <c r="S420">
        <v>34</v>
      </c>
      <c r="T420">
        <v>141</v>
      </c>
      <c r="U420">
        <v>101</v>
      </c>
      <c r="V420">
        <v>20</v>
      </c>
      <c r="W420">
        <v>23</v>
      </c>
      <c r="X420">
        <v>61</v>
      </c>
      <c r="Y420" s="5">
        <v>1.6557377049180328</v>
      </c>
    </row>
    <row r="421" spans="1:25" x14ac:dyDescent="0.25">
      <c r="A421">
        <v>2019</v>
      </c>
      <c r="B421" t="s">
        <v>57</v>
      </c>
      <c r="C421">
        <v>2</v>
      </c>
      <c r="D421">
        <v>12</v>
      </c>
      <c r="E421" t="s">
        <v>18</v>
      </c>
      <c r="F421" t="s">
        <v>52</v>
      </c>
      <c r="G421">
        <f t="shared" si="6"/>
        <v>0</v>
      </c>
      <c r="H421">
        <v>5</v>
      </c>
      <c r="I421">
        <v>8</v>
      </c>
      <c r="J421">
        <v>0</v>
      </c>
      <c r="K421" s="6" t="s">
        <v>63</v>
      </c>
      <c r="L421" s="6" t="s">
        <v>79</v>
      </c>
      <c r="M421">
        <v>119</v>
      </c>
      <c r="N421" s="1">
        <v>0.434</v>
      </c>
      <c r="O421">
        <v>34</v>
      </c>
      <c r="P421" s="1">
        <v>0.32100000000000001</v>
      </c>
      <c r="Q421" s="1">
        <v>0.745</v>
      </c>
      <c r="R421">
        <v>310</v>
      </c>
      <c r="S421">
        <v>29</v>
      </c>
      <c r="T421">
        <v>116</v>
      </c>
      <c r="U421">
        <v>84</v>
      </c>
      <c r="V421">
        <v>15</v>
      </c>
      <c r="W421">
        <v>25</v>
      </c>
      <c r="X421">
        <v>42</v>
      </c>
      <c r="Y421" s="5">
        <v>2</v>
      </c>
    </row>
    <row r="422" spans="1:25" x14ac:dyDescent="0.25">
      <c r="A422">
        <v>2019</v>
      </c>
      <c r="B422" t="s">
        <v>57</v>
      </c>
      <c r="C422">
        <v>2</v>
      </c>
      <c r="D422">
        <v>13</v>
      </c>
      <c r="E422" t="s">
        <v>181</v>
      </c>
      <c r="F422" t="s">
        <v>49</v>
      </c>
      <c r="G422">
        <f t="shared" si="6"/>
        <v>1</v>
      </c>
      <c r="H422">
        <v>8</v>
      </c>
      <c r="I422">
        <v>5</v>
      </c>
      <c r="J422">
        <v>0</v>
      </c>
      <c r="K422" s="6" t="s">
        <v>64</v>
      </c>
      <c r="L422" s="6" t="s">
        <v>80</v>
      </c>
      <c r="M422">
        <v>172</v>
      </c>
      <c r="N422" s="1">
        <v>0.53300000000000003</v>
      </c>
      <c r="O422">
        <v>39</v>
      </c>
      <c r="P422" s="1">
        <v>0.45300000000000001</v>
      </c>
      <c r="Q422" s="1">
        <v>0.82899999999999996</v>
      </c>
      <c r="R422">
        <v>446</v>
      </c>
      <c r="S422">
        <v>32</v>
      </c>
      <c r="T422">
        <v>128</v>
      </c>
      <c r="U422">
        <v>82</v>
      </c>
      <c r="V422">
        <v>27</v>
      </c>
      <c r="W422">
        <v>17</v>
      </c>
      <c r="X422">
        <v>53</v>
      </c>
      <c r="Y422" s="5">
        <v>1.5471698113207548</v>
      </c>
    </row>
    <row r="423" spans="1:25" x14ac:dyDescent="0.25">
      <c r="A423">
        <v>2019</v>
      </c>
      <c r="B423" t="s">
        <v>57</v>
      </c>
      <c r="C423">
        <v>2</v>
      </c>
      <c r="D423">
        <v>13</v>
      </c>
      <c r="E423" t="s">
        <v>28</v>
      </c>
      <c r="F423" t="s">
        <v>46</v>
      </c>
      <c r="G423">
        <f t="shared" si="6"/>
        <v>0</v>
      </c>
      <c r="H423">
        <v>5</v>
      </c>
      <c r="I423">
        <v>8</v>
      </c>
      <c r="J423">
        <v>0</v>
      </c>
      <c r="K423" s="6" t="s">
        <v>182</v>
      </c>
      <c r="L423" s="6" t="s">
        <v>76</v>
      </c>
      <c r="M423">
        <v>150</v>
      </c>
      <c r="N423" s="1">
        <v>0.44800000000000001</v>
      </c>
      <c r="O423">
        <v>45</v>
      </c>
      <c r="P423" s="1">
        <v>0.378</v>
      </c>
      <c r="Q423" s="1">
        <v>0.72</v>
      </c>
      <c r="R423">
        <v>412</v>
      </c>
      <c r="S423">
        <v>46</v>
      </c>
      <c r="T423">
        <v>107</v>
      </c>
      <c r="U423">
        <v>83</v>
      </c>
      <c r="V423">
        <v>19</v>
      </c>
      <c r="W423">
        <v>15</v>
      </c>
      <c r="X423">
        <v>47</v>
      </c>
      <c r="Y423" s="5">
        <v>1.7659574468085106</v>
      </c>
    </row>
    <row r="424" spans="1:25" x14ac:dyDescent="0.25">
      <c r="A424">
        <v>2019</v>
      </c>
      <c r="B424" t="s">
        <v>57</v>
      </c>
      <c r="C424">
        <v>2</v>
      </c>
      <c r="D424">
        <v>14</v>
      </c>
      <c r="E424" t="s">
        <v>20</v>
      </c>
      <c r="F424" t="s">
        <v>47</v>
      </c>
      <c r="G424">
        <f t="shared" si="6"/>
        <v>1</v>
      </c>
      <c r="H424">
        <v>8</v>
      </c>
      <c r="I424">
        <v>5</v>
      </c>
      <c r="J424">
        <v>0</v>
      </c>
      <c r="K424" s="6" t="s">
        <v>66</v>
      </c>
      <c r="L424" s="6" t="s">
        <v>81</v>
      </c>
      <c r="M424">
        <v>127</v>
      </c>
      <c r="N424" s="1">
        <v>0.432</v>
      </c>
      <c r="O424">
        <v>38</v>
      </c>
      <c r="P424" s="1">
        <v>0.33600000000000002</v>
      </c>
      <c r="Q424" s="1">
        <v>0.76200000000000001</v>
      </c>
      <c r="R424">
        <v>324</v>
      </c>
      <c r="S424">
        <v>32</v>
      </c>
      <c r="T424">
        <v>90</v>
      </c>
      <c r="U424">
        <v>77</v>
      </c>
      <c r="V424">
        <v>23</v>
      </c>
      <c r="W424">
        <v>17</v>
      </c>
      <c r="X424">
        <v>42</v>
      </c>
      <c r="Y424" s="5">
        <v>1.8333333333333333</v>
      </c>
    </row>
    <row r="425" spans="1:25" x14ac:dyDescent="0.25">
      <c r="A425">
        <v>2019</v>
      </c>
      <c r="B425" t="s">
        <v>57</v>
      </c>
      <c r="C425">
        <v>2</v>
      </c>
      <c r="D425">
        <v>14</v>
      </c>
      <c r="E425" t="s">
        <v>22</v>
      </c>
      <c r="F425" t="s">
        <v>44</v>
      </c>
      <c r="G425">
        <f t="shared" si="6"/>
        <v>0</v>
      </c>
      <c r="H425">
        <v>5</v>
      </c>
      <c r="I425">
        <v>8</v>
      </c>
      <c r="J425">
        <v>0</v>
      </c>
      <c r="K425" s="6" t="s">
        <v>62</v>
      </c>
      <c r="L425" s="6" t="s">
        <v>78</v>
      </c>
      <c r="M425">
        <v>119</v>
      </c>
      <c r="N425" s="1">
        <v>0.41299999999999998</v>
      </c>
      <c r="O425">
        <v>34</v>
      </c>
      <c r="P425" s="1">
        <v>0.30099999999999999</v>
      </c>
      <c r="Q425" s="1">
        <v>0.81</v>
      </c>
      <c r="R425">
        <v>319</v>
      </c>
      <c r="S425">
        <v>40</v>
      </c>
      <c r="T425">
        <v>123</v>
      </c>
      <c r="U425">
        <v>83</v>
      </c>
      <c r="V425">
        <v>18</v>
      </c>
      <c r="W425">
        <v>18</v>
      </c>
      <c r="X425">
        <v>46</v>
      </c>
      <c r="Y425" s="5">
        <v>1.8043478260869565</v>
      </c>
    </row>
    <row r="426" spans="1:25" x14ac:dyDescent="0.25">
      <c r="A426">
        <v>2019</v>
      </c>
      <c r="B426" t="s">
        <v>57</v>
      </c>
      <c r="C426">
        <v>2</v>
      </c>
      <c r="D426">
        <v>15</v>
      </c>
      <c r="E426" t="s">
        <v>26</v>
      </c>
      <c r="F426" t="s">
        <v>118</v>
      </c>
      <c r="G426">
        <f t="shared" si="6"/>
        <v>1</v>
      </c>
      <c r="H426">
        <v>8</v>
      </c>
      <c r="I426">
        <v>5</v>
      </c>
      <c r="J426">
        <v>0</v>
      </c>
      <c r="K426" s="6" t="s">
        <v>191</v>
      </c>
      <c r="L426" s="6" t="s">
        <v>113</v>
      </c>
      <c r="M426">
        <v>170</v>
      </c>
      <c r="N426" s="1">
        <v>0.52300000000000002</v>
      </c>
      <c r="O426">
        <v>35</v>
      </c>
      <c r="P426" s="1">
        <v>0.35</v>
      </c>
      <c r="Q426" s="1">
        <v>0.72499999999999998</v>
      </c>
      <c r="R426">
        <v>449</v>
      </c>
      <c r="S426">
        <v>34</v>
      </c>
      <c r="T426">
        <v>139</v>
      </c>
      <c r="U426">
        <v>106</v>
      </c>
      <c r="V426">
        <v>35</v>
      </c>
      <c r="W426">
        <v>30</v>
      </c>
      <c r="X426">
        <v>69</v>
      </c>
      <c r="Y426" s="5">
        <v>1.536231884057971</v>
      </c>
    </row>
    <row r="427" spans="1:25" x14ac:dyDescent="0.25">
      <c r="A427">
        <v>2019</v>
      </c>
      <c r="B427" t="s">
        <v>57</v>
      </c>
      <c r="C427">
        <v>2</v>
      </c>
      <c r="D427">
        <v>15</v>
      </c>
      <c r="E427" t="s">
        <v>190</v>
      </c>
      <c r="F427" t="s">
        <v>103</v>
      </c>
      <c r="G427">
        <f t="shared" si="6"/>
        <v>0</v>
      </c>
      <c r="H427">
        <v>5</v>
      </c>
      <c r="I427">
        <v>8</v>
      </c>
      <c r="J427">
        <v>0</v>
      </c>
      <c r="K427" s="6" t="s">
        <v>65</v>
      </c>
      <c r="L427" s="6" t="s">
        <v>119</v>
      </c>
      <c r="M427">
        <v>161</v>
      </c>
      <c r="N427" s="1">
        <v>0.44</v>
      </c>
      <c r="O427">
        <v>33</v>
      </c>
      <c r="P427" s="1">
        <v>0.28699999999999998</v>
      </c>
      <c r="Q427" s="1">
        <v>0.753</v>
      </c>
      <c r="R427">
        <v>416</v>
      </c>
      <c r="S427">
        <v>45</v>
      </c>
      <c r="T427">
        <v>113</v>
      </c>
      <c r="U427">
        <v>109</v>
      </c>
      <c r="V427">
        <v>29</v>
      </c>
      <c r="W427">
        <v>17</v>
      </c>
      <c r="X427">
        <v>46</v>
      </c>
      <c r="Y427" s="5">
        <v>2.3695652173913042</v>
      </c>
    </row>
    <row r="428" spans="1:25" x14ac:dyDescent="0.25">
      <c r="A428">
        <v>2019</v>
      </c>
      <c r="B428" t="s">
        <v>57</v>
      </c>
      <c r="C428">
        <v>2</v>
      </c>
      <c r="D428">
        <v>16</v>
      </c>
      <c r="E428" t="s">
        <v>159</v>
      </c>
      <c r="F428" t="s">
        <v>116</v>
      </c>
      <c r="G428">
        <f t="shared" si="6"/>
        <v>1</v>
      </c>
      <c r="H428">
        <v>10</v>
      </c>
      <c r="I428">
        <v>3</v>
      </c>
      <c r="J428">
        <v>0</v>
      </c>
      <c r="K428" s="6" t="s">
        <v>68</v>
      </c>
      <c r="L428" s="6" t="s">
        <v>84</v>
      </c>
      <c r="M428">
        <v>198</v>
      </c>
      <c r="N428" s="1">
        <v>0.49399999999999999</v>
      </c>
      <c r="O428">
        <v>45</v>
      </c>
      <c r="P428" s="1">
        <v>0.375</v>
      </c>
      <c r="Q428" s="1">
        <v>0.77500000000000002</v>
      </c>
      <c r="R428">
        <v>496</v>
      </c>
      <c r="S428">
        <v>35</v>
      </c>
      <c r="T428">
        <v>151</v>
      </c>
      <c r="U428">
        <v>103</v>
      </c>
      <c r="V428">
        <v>25</v>
      </c>
      <c r="W428">
        <v>16</v>
      </c>
      <c r="X428">
        <v>54</v>
      </c>
      <c r="Y428" s="5">
        <v>1.9074074074074074</v>
      </c>
    </row>
    <row r="429" spans="1:25" x14ac:dyDescent="0.25">
      <c r="A429">
        <v>2019</v>
      </c>
      <c r="B429" t="s">
        <v>57</v>
      </c>
      <c r="C429">
        <v>2</v>
      </c>
      <c r="D429">
        <v>16</v>
      </c>
      <c r="E429" t="s">
        <v>25</v>
      </c>
      <c r="F429" t="s">
        <v>53</v>
      </c>
      <c r="G429">
        <f t="shared" si="6"/>
        <v>0</v>
      </c>
      <c r="H429">
        <v>3</v>
      </c>
      <c r="I429">
        <v>10</v>
      </c>
      <c r="J429">
        <v>0</v>
      </c>
      <c r="K429" s="6" t="s">
        <v>193</v>
      </c>
      <c r="L429" s="6" t="s">
        <v>117</v>
      </c>
      <c r="M429">
        <v>109</v>
      </c>
      <c r="N429" s="1">
        <v>0.41799999999999998</v>
      </c>
      <c r="O429">
        <v>21</v>
      </c>
      <c r="P429" s="1">
        <v>0.32300000000000001</v>
      </c>
      <c r="Q429" s="1">
        <v>0.8</v>
      </c>
      <c r="R429">
        <v>291</v>
      </c>
      <c r="S429">
        <v>21</v>
      </c>
      <c r="T429">
        <v>99</v>
      </c>
      <c r="U429">
        <v>81</v>
      </c>
      <c r="V429">
        <v>18</v>
      </c>
      <c r="W429">
        <v>12</v>
      </c>
      <c r="X429">
        <v>42</v>
      </c>
      <c r="Y429" s="5">
        <v>1.9285714285714286</v>
      </c>
    </row>
    <row r="430" spans="1:25" x14ac:dyDescent="0.25">
      <c r="A430">
        <v>2019</v>
      </c>
      <c r="B430" t="s">
        <v>57</v>
      </c>
      <c r="C430">
        <v>2</v>
      </c>
      <c r="D430">
        <v>17</v>
      </c>
      <c r="E430" t="s">
        <v>24</v>
      </c>
      <c r="F430" t="s">
        <v>55</v>
      </c>
      <c r="G430">
        <f t="shared" si="6"/>
        <v>1</v>
      </c>
      <c r="H430">
        <v>7</v>
      </c>
      <c r="I430">
        <v>6</v>
      </c>
      <c r="J430">
        <v>0</v>
      </c>
      <c r="K430" s="6" t="s">
        <v>67</v>
      </c>
      <c r="L430" s="6" t="s">
        <v>82</v>
      </c>
      <c r="M430">
        <v>160</v>
      </c>
      <c r="N430" s="1">
        <v>0.47499999999999998</v>
      </c>
      <c r="O430">
        <v>40</v>
      </c>
      <c r="P430" s="1">
        <v>0.36</v>
      </c>
      <c r="Q430" s="1">
        <v>0.72499999999999998</v>
      </c>
      <c r="R430">
        <v>439</v>
      </c>
      <c r="S430">
        <v>29</v>
      </c>
      <c r="T430">
        <v>131</v>
      </c>
      <c r="U430">
        <v>118</v>
      </c>
      <c r="V430">
        <v>27</v>
      </c>
      <c r="W430">
        <v>16</v>
      </c>
      <c r="X430">
        <v>60</v>
      </c>
      <c r="Y430" s="5">
        <v>1.9666666666666666</v>
      </c>
    </row>
    <row r="431" spans="1:25" x14ac:dyDescent="0.25">
      <c r="A431">
        <v>2019</v>
      </c>
      <c r="B431" t="s">
        <v>57</v>
      </c>
      <c r="C431">
        <v>2</v>
      </c>
      <c r="D431">
        <v>17</v>
      </c>
      <c r="E431" t="s">
        <v>19</v>
      </c>
      <c r="F431" t="s">
        <v>56</v>
      </c>
      <c r="G431">
        <f t="shared" si="6"/>
        <v>0</v>
      </c>
      <c r="H431">
        <v>6</v>
      </c>
      <c r="I431">
        <v>7</v>
      </c>
      <c r="J431">
        <v>0</v>
      </c>
      <c r="K431" s="6" t="s">
        <v>69</v>
      </c>
      <c r="L431" s="6" t="s">
        <v>86</v>
      </c>
      <c r="M431">
        <v>146</v>
      </c>
      <c r="N431" s="1">
        <v>0.48799999999999999</v>
      </c>
      <c r="O431">
        <v>39</v>
      </c>
      <c r="P431" s="1">
        <v>0.41099999999999998</v>
      </c>
      <c r="Q431" s="1">
        <v>0.80800000000000005</v>
      </c>
      <c r="R431">
        <v>390</v>
      </c>
      <c r="S431">
        <v>38</v>
      </c>
      <c r="T431">
        <v>120</v>
      </c>
      <c r="U431">
        <v>66</v>
      </c>
      <c r="V431">
        <v>20</v>
      </c>
      <c r="W431">
        <v>17</v>
      </c>
      <c r="X431">
        <v>46</v>
      </c>
      <c r="Y431" s="5">
        <v>1.4347826086956521</v>
      </c>
    </row>
    <row r="432" spans="1:25" x14ac:dyDescent="0.25">
      <c r="A432">
        <v>2019</v>
      </c>
      <c r="B432" t="s">
        <v>57</v>
      </c>
      <c r="C432">
        <v>2</v>
      </c>
      <c r="D432">
        <v>18</v>
      </c>
      <c r="E432" t="s">
        <v>23</v>
      </c>
      <c r="F432" t="s">
        <v>120</v>
      </c>
      <c r="G432">
        <f t="shared" si="6"/>
        <v>0</v>
      </c>
      <c r="H432">
        <v>6</v>
      </c>
      <c r="I432">
        <v>6</v>
      </c>
      <c r="J432">
        <v>1</v>
      </c>
      <c r="K432" s="6" t="s">
        <v>106</v>
      </c>
      <c r="L432" s="6" t="s">
        <v>83</v>
      </c>
      <c r="M432">
        <v>133</v>
      </c>
      <c r="N432" s="1">
        <v>0.45700000000000002</v>
      </c>
      <c r="O432">
        <v>29</v>
      </c>
      <c r="P432" s="1">
        <v>0.34899999999999998</v>
      </c>
      <c r="Q432" s="1">
        <v>0.73399999999999999</v>
      </c>
      <c r="R432">
        <v>364</v>
      </c>
      <c r="S432">
        <v>29</v>
      </c>
      <c r="T432">
        <v>106</v>
      </c>
      <c r="U432">
        <v>60</v>
      </c>
      <c r="V432">
        <v>26</v>
      </c>
      <c r="W432">
        <v>20</v>
      </c>
      <c r="X432">
        <v>28</v>
      </c>
      <c r="Y432" s="5">
        <v>2.1428571428571428</v>
      </c>
    </row>
    <row r="433" spans="1:25" x14ac:dyDescent="0.25">
      <c r="A433">
        <v>2019</v>
      </c>
      <c r="B433" t="s">
        <v>57</v>
      </c>
      <c r="C433">
        <v>2</v>
      </c>
      <c r="D433">
        <v>18</v>
      </c>
      <c r="E433" t="s">
        <v>94</v>
      </c>
      <c r="F433" t="s">
        <v>40</v>
      </c>
      <c r="G433">
        <f t="shared" si="6"/>
        <v>0</v>
      </c>
      <c r="H433">
        <v>6</v>
      </c>
      <c r="I433">
        <v>6</v>
      </c>
      <c r="J433">
        <v>1</v>
      </c>
      <c r="K433" s="6" t="s">
        <v>71</v>
      </c>
      <c r="L433" s="6" t="s">
        <v>121</v>
      </c>
      <c r="M433">
        <v>141</v>
      </c>
      <c r="N433" s="1">
        <v>0.42599999999999999</v>
      </c>
      <c r="O433">
        <v>29</v>
      </c>
      <c r="P433" s="1">
        <v>0.25900000000000001</v>
      </c>
      <c r="Q433" s="1">
        <v>0.83</v>
      </c>
      <c r="R433">
        <v>394</v>
      </c>
      <c r="S433">
        <v>46</v>
      </c>
      <c r="T433">
        <v>155</v>
      </c>
      <c r="U433">
        <v>101</v>
      </c>
      <c r="V433">
        <v>13</v>
      </c>
      <c r="W433">
        <v>15</v>
      </c>
      <c r="X433">
        <v>65</v>
      </c>
      <c r="Y433" s="5">
        <v>1.5538461538461539</v>
      </c>
    </row>
    <row r="434" spans="1:25" x14ac:dyDescent="0.25">
      <c r="A434">
        <v>2019</v>
      </c>
      <c r="B434" t="s">
        <v>57</v>
      </c>
      <c r="C434">
        <v>2</v>
      </c>
      <c r="D434">
        <v>19</v>
      </c>
      <c r="E434" t="s">
        <v>33</v>
      </c>
      <c r="F434" t="s">
        <v>42</v>
      </c>
      <c r="G434">
        <f t="shared" si="6"/>
        <v>1</v>
      </c>
      <c r="H434">
        <v>9</v>
      </c>
      <c r="I434">
        <v>4</v>
      </c>
      <c r="J434">
        <v>0</v>
      </c>
      <c r="K434" s="6" t="s">
        <v>111</v>
      </c>
      <c r="L434" s="6" t="s">
        <v>89</v>
      </c>
      <c r="M434">
        <v>170</v>
      </c>
      <c r="N434" s="1">
        <v>0.437</v>
      </c>
      <c r="O434">
        <v>40</v>
      </c>
      <c r="P434" s="1">
        <v>0.313</v>
      </c>
      <c r="Q434" s="1">
        <v>0.72399999999999998</v>
      </c>
      <c r="R434">
        <v>443</v>
      </c>
      <c r="S434">
        <v>53</v>
      </c>
      <c r="T434">
        <v>127</v>
      </c>
      <c r="U434">
        <v>70</v>
      </c>
      <c r="V434">
        <v>24</v>
      </c>
      <c r="W434">
        <v>34</v>
      </c>
      <c r="X434">
        <v>55</v>
      </c>
      <c r="Y434" s="5">
        <v>1.2727272727272727</v>
      </c>
    </row>
    <row r="435" spans="1:25" x14ac:dyDescent="0.25">
      <c r="A435">
        <v>2019</v>
      </c>
      <c r="B435" t="s">
        <v>57</v>
      </c>
      <c r="C435">
        <v>2</v>
      </c>
      <c r="D435">
        <v>19</v>
      </c>
      <c r="E435" t="s">
        <v>97</v>
      </c>
      <c r="F435" t="s">
        <v>54</v>
      </c>
      <c r="G435">
        <f t="shared" si="6"/>
        <v>0</v>
      </c>
      <c r="H435">
        <v>4</v>
      </c>
      <c r="I435">
        <v>9</v>
      </c>
      <c r="J435">
        <v>0</v>
      </c>
      <c r="K435" s="6" t="s">
        <v>72</v>
      </c>
      <c r="L435" s="6" t="s">
        <v>85</v>
      </c>
      <c r="M435">
        <v>102</v>
      </c>
      <c r="N435" s="1">
        <v>0.42899999999999999</v>
      </c>
      <c r="O435">
        <v>28</v>
      </c>
      <c r="P435" s="1">
        <v>0.33300000000000002</v>
      </c>
      <c r="Q435" s="1">
        <v>0.81599999999999995</v>
      </c>
      <c r="R435">
        <v>303</v>
      </c>
      <c r="S435">
        <v>27</v>
      </c>
      <c r="T435">
        <v>97</v>
      </c>
      <c r="U435">
        <v>68</v>
      </c>
      <c r="V435">
        <v>22</v>
      </c>
      <c r="W435">
        <v>20</v>
      </c>
      <c r="X435">
        <v>52</v>
      </c>
      <c r="Y435" s="5">
        <v>1.3076923076923077</v>
      </c>
    </row>
    <row r="436" spans="1:25" x14ac:dyDescent="0.25">
      <c r="A436">
        <v>2019</v>
      </c>
      <c r="B436" t="s">
        <v>57</v>
      </c>
      <c r="C436">
        <v>2</v>
      </c>
      <c r="D436">
        <v>20</v>
      </c>
      <c r="E436" t="s">
        <v>98</v>
      </c>
      <c r="F436" t="s">
        <v>41</v>
      </c>
      <c r="G436">
        <f t="shared" si="6"/>
        <v>1</v>
      </c>
      <c r="H436">
        <v>8</v>
      </c>
      <c r="I436">
        <v>5</v>
      </c>
      <c r="J436">
        <v>0</v>
      </c>
      <c r="K436" s="6" t="s">
        <v>70</v>
      </c>
      <c r="L436" s="6" t="s">
        <v>87</v>
      </c>
      <c r="M436">
        <v>143</v>
      </c>
      <c r="N436" s="1">
        <v>0.45</v>
      </c>
      <c r="O436">
        <v>38</v>
      </c>
      <c r="P436" s="1">
        <v>0.34499999999999997</v>
      </c>
      <c r="Q436" s="1">
        <v>0.85199999999999998</v>
      </c>
      <c r="R436">
        <v>376</v>
      </c>
      <c r="S436">
        <v>28</v>
      </c>
      <c r="T436">
        <v>131</v>
      </c>
      <c r="U436">
        <v>95</v>
      </c>
      <c r="V436">
        <v>31</v>
      </c>
      <c r="W436">
        <v>18</v>
      </c>
      <c r="X436">
        <v>40</v>
      </c>
      <c r="Y436" s="5">
        <v>2.375</v>
      </c>
    </row>
    <row r="437" spans="1:25" x14ac:dyDescent="0.25">
      <c r="A437">
        <v>2019</v>
      </c>
      <c r="B437" t="s">
        <v>57</v>
      </c>
      <c r="C437">
        <v>2</v>
      </c>
      <c r="D437">
        <v>20</v>
      </c>
      <c r="E437" t="s">
        <v>21</v>
      </c>
      <c r="F437" t="s">
        <v>50</v>
      </c>
      <c r="G437">
        <f t="shared" si="6"/>
        <v>0</v>
      </c>
      <c r="H437">
        <v>5</v>
      </c>
      <c r="I437">
        <v>8</v>
      </c>
      <c r="J437">
        <v>0</v>
      </c>
      <c r="K437" s="6" t="s">
        <v>112</v>
      </c>
      <c r="L437" s="6" t="s">
        <v>88</v>
      </c>
      <c r="M437">
        <v>177</v>
      </c>
      <c r="N437" s="1">
        <v>0.51200000000000001</v>
      </c>
      <c r="O437">
        <v>40</v>
      </c>
      <c r="P437" s="1">
        <v>0.38500000000000001</v>
      </c>
      <c r="Q437" s="1">
        <v>0.83099999999999996</v>
      </c>
      <c r="R437">
        <v>458</v>
      </c>
      <c r="S437">
        <v>24</v>
      </c>
      <c r="T437">
        <v>102</v>
      </c>
      <c r="U437">
        <v>76</v>
      </c>
      <c r="V437">
        <v>25</v>
      </c>
      <c r="W437">
        <v>13</v>
      </c>
      <c r="X437">
        <v>57</v>
      </c>
      <c r="Y437" s="5">
        <v>1.3333333333333333</v>
      </c>
    </row>
    <row r="438" spans="1:25" x14ac:dyDescent="0.25">
      <c r="A438">
        <v>2019</v>
      </c>
      <c r="B438" t="s">
        <v>57</v>
      </c>
      <c r="C438">
        <v>3</v>
      </c>
      <c r="D438">
        <v>21</v>
      </c>
      <c r="E438" t="s">
        <v>16</v>
      </c>
      <c r="F438" t="s">
        <v>51</v>
      </c>
      <c r="G438">
        <f t="shared" si="6"/>
        <v>0</v>
      </c>
      <c r="H438">
        <v>5</v>
      </c>
      <c r="I438">
        <v>8</v>
      </c>
      <c r="J438">
        <v>0</v>
      </c>
      <c r="K438" s="6" t="s">
        <v>63</v>
      </c>
      <c r="L438" s="6" t="s">
        <v>79</v>
      </c>
      <c r="M438">
        <v>143</v>
      </c>
      <c r="N438" s="1">
        <v>0.46700000000000003</v>
      </c>
      <c r="O438">
        <v>59</v>
      </c>
      <c r="P438" s="1">
        <v>0.40699999999999997</v>
      </c>
      <c r="Q438" s="1">
        <v>0.71799999999999997</v>
      </c>
      <c r="R438">
        <v>401</v>
      </c>
      <c r="S438">
        <v>41</v>
      </c>
      <c r="T438">
        <v>137</v>
      </c>
      <c r="U438">
        <v>76</v>
      </c>
      <c r="V438">
        <v>39</v>
      </c>
      <c r="W438">
        <v>21</v>
      </c>
      <c r="X438">
        <v>59</v>
      </c>
      <c r="Y438" s="5">
        <v>1.2881355932203389</v>
      </c>
    </row>
    <row r="439" spans="1:25" x14ac:dyDescent="0.25">
      <c r="A439">
        <v>2019</v>
      </c>
      <c r="B439" t="s">
        <v>57</v>
      </c>
      <c r="C439">
        <v>3</v>
      </c>
      <c r="D439">
        <v>21</v>
      </c>
      <c r="E439" t="s">
        <v>17</v>
      </c>
      <c r="F439" t="s">
        <v>43</v>
      </c>
      <c r="G439">
        <f t="shared" si="6"/>
        <v>1</v>
      </c>
      <c r="H439">
        <v>8</v>
      </c>
      <c r="I439">
        <v>5</v>
      </c>
      <c r="J439">
        <v>0</v>
      </c>
      <c r="K439" s="6" t="s">
        <v>60</v>
      </c>
      <c r="L439" s="6" t="s">
        <v>75</v>
      </c>
      <c r="M439">
        <v>189</v>
      </c>
      <c r="N439" s="1">
        <v>0.45900000000000002</v>
      </c>
      <c r="O439">
        <v>62</v>
      </c>
      <c r="P439" s="1">
        <v>0.36</v>
      </c>
      <c r="Q439" s="1">
        <v>0.83099999999999996</v>
      </c>
      <c r="R439">
        <v>563</v>
      </c>
      <c r="S439">
        <v>47</v>
      </c>
      <c r="T439">
        <v>195</v>
      </c>
      <c r="U439">
        <v>93</v>
      </c>
      <c r="V439">
        <v>26</v>
      </c>
      <c r="W439">
        <v>23</v>
      </c>
      <c r="X439">
        <v>89</v>
      </c>
      <c r="Y439" s="5">
        <v>1.0449438202247192</v>
      </c>
    </row>
    <row r="440" spans="1:25" x14ac:dyDescent="0.25">
      <c r="A440">
        <v>2019</v>
      </c>
      <c r="B440" t="s">
        <v>57</v>
      </c>
      <c r="C440">
        <v>3</v>
      </c>
      <c r="D440">
        <v>22</v>
      </c>
      <c r="E440" t="s">
        <v>28</v>
      </c>
      <c r="F440" t="s">
        <v>46</v>
      </c>
      <c r="G440">
        <f t="shared" si="6"/>
        <v>1</v>
      </c>
      <c r="H440">
        <v>8</v>
      </c>
      <c r="I440">
        <v>5</v>
      </c>
      <c r="J440">
        <v>0</v>
      </c>
      <c r="K440" s="6" t="s">
        <v>61</v>
      </c>
      <c r="L440" s="6" t="s">
        <v>77</v>
      </c>
      <c r="M440">
        <v>166</v>
      </c>
      <c r="N440" s="1">
        <v>0.45500000000000002</v>
      </c>
      <c r="O440">
        <v>40</v>
      </c>
      <c r="P440" s="1">
        <v>0.34200000000000003</v>
      </c>
      <c r="Q440" s="1">
        <v>0.73599999999999999</v>
      </c>
      <c r="R440">
        <v>436</v>
      </c>
      <c r="S440">
        <v>45</v>
      </c>
      <c r="T440">
        <v>117</v>
      </c>
      <c r="U440">
        <v>118</v>
      </c>
      <c r="V440">
        <v>34</v>
      </c>
      <c r="W440">
        <v>20</v>
      </c>
      <c r="X440">
        <v>62</v>
      </c>
      <c r="Y440" s="5">
        <v>1.903225806451613</v>
      </c>
    </row>
    <row r="441" spans="1:25" x14ac:dyDescent="0.25">
      <c r="A441">
        <v>2019</v>
      </c>
      <c r="B441" t="s">
        <v>57</v>
      </c>
      <c r="C441">
        <v>3</v>
      </c>
      <c r="D441">
        <v>22</v>
      </c>
      <c r="E441" t="s">
        <v>15</v>
      </c>
      <c r="F441" t="s">
        <v>48</v>
      </c>
      <c r="G441">
        <f t="shared" si="6"/>
        <v>0</v>
      </c>
      <c r="H441">
        <v>5</v>
      </c>
      <c r="I441">
        <v>8</v>
      </c>
      <c r="J441">
        <v>0</v>
      </c>
      <c r="K441" s="6" t="s">
        <v>64</v>
      </c>
      <c r="L441" s="6" t="s">
        <v>80</v>
      </c>
      <c r="M441">
        <v>168</v>
      </c>
      <c r="N441" s="1">
        <v>0.46700000000000003</v>
      </c>
      <c r="O441">
        <v>31</v>
      </c>
      <c r="P441" s="1">
        <v>0.28699999999999998</v>
      </c>
      <c r="Q441" s="1">
        <v>0.79</v>
      </c>
      <c r="R441">
        <v>431</v>
      </c>
      <c r="S441">
        <v>40</v>
      </c>
      <c r="T441">
        <v>138</v>
      </c>
      <c r="U441">
        <v>65</v>
      </c>
      <c r="V441">
        <v>24</v>
      </c>
      <c r="W441">
        <v>19</v>
      </c>
      <c r="X441">
        <v>44</v>
      </c>
      <c r="Y441" s="5">
        <v>1.4772727272727273</v>
      </c>
    </row>
    <row r="442" spans="1:25" x14ac:dyDescent="0.25">
      <c r="A442">
        <v>2019</v>
      </c>
      <c r="B442" t="s">
        <v>57</v>
      </c>
      <c r="C442">
        <v>3</v>
      </c>
      <c r="D442">
        <v>23</v>
      </c>
      <c r="E442" t="s">
        <v>18</v>
      </c>
      <c r="F442" t="s">
        <v>52</v>
      </c>
      <c r="G442">
        <f t="shared" si="6"/>
        <v>0</v>
      </c>
      <c r="H442">
        <v>5</v>
      </c>
      <c r="I442">
        <v>8</v>
      </c>
      <c r="J442">
        <v>0</v>
      </c>
      <c r="K442" s="6" t="s">
        <v>66</v>
      </c>
      <c r="L442" s="6" t="s">
        <v>81</v>
      </c>
      <c r="M442">
        <v>150</v>
      </c>
      <c r="N442" s="1">
        <v>0.46600000000000003</v>
      </c>
      <c r="O442">
        <v>35</v>
      </c>
      <c r="P442" s="1">
        <v>0.318</v>
      </c>
      <c r="Q442" s="1">
        <v>0.74399999999999999</v>
      </c>
      <c r="R442">
        <v>396</v>
      </c>
      <c r="S442">
        <v>41</v>
      </c>
      <c r="T442">
        <v>123</v>
      </c>
      <c r="U442">
        <v>102</v>
      </c>
      <c r="V442">
        <v>30</v>
      </c>
      <c r="W442">
        <v>17</v>
      </c>
      <c r="X442">
        <v>61</v>
      </c>
      <c r="Y442" s="5">
        <v>1.6721311475409837</v>
      </c>
    </row>
    <row r="443" spans="1:25" x14ac:dyDescent="0.25">
      <c r="A443">
        <v>2019</v>
      </c>
      <c r="B443" t="s">
        <v>57</v>
      </c>
      <c r="C443">
        <v>3</v>
      </c>
      <c r="D443">
        <v>23</v>
      </c>
      <c r="E443" t="s">
        <v>22</v>
      </c>
      <c r="F443" t="s">
        <v>44</v>
      </c>
      <c r="G443">
        <f t="shared" si="6"/>
        <v>1</v>
      </c>
      <c r="H443">
        <v>8</v>
      </c>
      <c r="I443">
        <v>5</v>
      </c>
      <c r="J443">
        <v>0</v>
      </c>
      <c r="K443" s="6" t="s">
        <v>59</v>
      </c>
      <c r="L443" s="6" t="s">
        <v>74</v>
      </c>
      <c r="M443">
        <v>162</v>
      </c>
      <c r="N443" s="1">
        <v>0.46</v>
      </c>
      <c r="O443">
        <v>56</v>
      </c>
      <c r="P443" s="1">
        <v>0.42099999999999999</v>
      </c>
      <c r="Q443" s="1">
        <v>0.81799999999999995</v>
      </c>
      <c r="R443">
        <v>479</v>
      </c>
      <c r="S443">
        <v>29</v>
      </c>
      <c r="T443">
        <v>139</v>
      </c>
      <c r="U443">
        <v>74</v>
      </c>
      <c r="V443">
        <v>25</v>
      </c>
      <c r="W443">
        <v>24</v>
      </c>
      <c r="X443">
        <v>60</v>
      </c>
      <c r="Y443" s="5">
        <v>1.2333333333333334</v>
      </c>
    </row>
    <row r="444" spans="1:25" x14ac:dyDescent="0.25">
      <c r="A444">
        <v>2019</v>
      </c>
      <c r="B444" t="s">
        <v>57</v>
      </c>
      <c r="C444">
        <v>3</v>
      </c>
      <c r="D444">
        <v>24</v>
      </c>
      <c r="E444" t="s">
        <v>26</v>
      </c>
      <c r="F444" t="s">
        <v>118</v>
      </c>
      <c r="G444">
        <f t="shared" si="6"/>
        <v>1</v>
      </c>
      <c r="H444">
        <v>8</v>
      </c>
      <c r="I444">
        <v>5</v>
      </c>
      <c r="J444">
        <v>0</v>
      </c>
      <c r="K444" s="6" t="s">
        <v>182</v>
      </c>
      <c r="L444" s="6" t="s">
        <v>76</v>
      </c>
      <c r="M444">
        <v>185</v>
      </c>
      <c r="N444" s="1">
        <v>0.432</v>
      </c>
      <c r="O444">
        <v>36</v>
      </c>
      <c r="P444" s="1">
        <v>0.27100000000000002</v>
      </c>
      <c r="Q444" s="1">
        <v>0.78200000000000003</v>
      </c>
      <c r="R444">
        <v>499</v>
      </c>
      <c r="S444">
        <v>43</v>
      </c>
      <c r="T444">
        <v>182</v>
      </c>
      <c r="U444">
        <v>133</v>
      </c>
      <c r="V444">
        <v>30</v>
      </c>
      <c r="W444">
        <v>36</v>
      </c>
      <c r="X444">
        <v>66</v>
      </c>
      <c r="Y444" s="5">
        <v>2.0151515151515151</v>
      </c>
    </row>
    <row r="445" spans="1:25" x14ac:dyDescent="0.25">
      <c r="A445">
        <v>2019</v>
      </c>
      <c r="B445" t="s">
        <v>57</v>
      </c>
      <c r="C445">
        <v>3</v>
      </c>
      <c r="D445">
        <v>24</v>
      </c>
      <c r="E445" t="s">
        <v>181</v>
      </c>
      <c r="F445" t="s">
        <v>49</v>
      </c>
      <c r="G445">
        <f t="shared" si="6"/>
        <v>0</v>
      </c>
      <c r="H445">
        <v>5</v>
      </c>
      <c r="I445">
        <v>8</v>
      </c>
      <c r="J445">
        <v>0</v>
      </c>
      <c r="K445" s="6" t="s">
        <v>65</v>
      </c>
      <c r="L445" s="6" t="s">
        <v>119</v>
      </c>
      <c r="M445">
        <v>174</v>
      </c>
      <c r="N445" s="1">
        <v>0.47699999999999998</v>
      </c>
      <c r="O445">
        <v>52</v>
      </c>
      <c r="P445" s="1">
        <v>0.441</v>
      </c>
      <c r="Q445" s="1">
        <v>0.78400000000000003</v>
      </c>
      <c r="R445">
        <v>491</v>
      </c>
      <c r="S445">
        <v>34</v>
      </c>
      <c r="T445">
        <v>125</v>
      </c>
      <c r="U445">
        <v>77</v>
      </c>
      <c r="V445">
        <v>28</v>
      </c>
      <c r="W445">
        <v>13</v>
      </c>
      <c r="X445">
        <v>53</v>
      </c>
      <c r="Y445" s="5">
        <v>1.4528301886792452</v>
      </c>
    </row>
    <row r="446" spans="1:25" x14ac:dyDescent="0.25">
      <c r="A446">
        <v>2019</v>
      </c>
      <c r="B446" t="s">
        <v>57</v>
      </c>
      <c r="C446">
        <v>3</v>
      </c>
      <c r="D446">
        <v>25</v>
      </c>
      <c r="E446" t="s">
        <v>190</v>
      </c>
      <c r="F446" t="s">
        <v>103</v>
      </c>
      <c r="G446">
        <f t="shared" si="6"/>
        <v>1</v>
      </c>
      <c r="H446">
        <v>9</v>
      </c>
      <c r="I446">
        <v>3</v>
      </c>
      <c r="J446">
        <v>1</v>
      </c>
      <c r="K446" s="6" t="s">
        <v>62</v>
      </c>
      <c r="L446" s="6" t="s">
        <v>78</v>
      </c>
      <c r="M446">
        <v>198</v>
      </c>
      <c r="N446" s="1">
        <v>0.46600000000000003</v>
      </c>
      <c r="O446">
        <v>47</v>
      </c>
      <c r="P446" s="1">
        <v>0.36699999999999999</v>
      </c>
      <c r="Q446" s="1">
        <v>0.72899999999999998</v>
      </c>
      <c r="R446">
        <v>545</v>
      </c>
      <c r="S446">
        <v>48</v>
      </c>
      <c r="T446">
        <v>154</v>
      </c>
      <c r="U446">
        <v>100</v>
      </c>
      <c r="V446">
        <v>39</v>
      </c>
      <c r="W446">
        <v>37</v>
      </c>
      <c r="X446">
        <v>65</v>
      </c>
      <c r="Y446" s="5">
        <v>1.5384615384615385</v>
      </c>
    </row>
    <row r="447" spans="1:25" x14ac:dyDescent="0.25">
      <c r="A447">
        <v>2019</v>
      </c>
      <c r="B447" t="s">
        <v>57</v>
      </c>
      <c r="C447">
        <v>3</v>
      </c>
      <c r="D447">
        <v>25</v>
      </c>
      <c r="E447" t="s">
        <v>20</v>
      </c>
      <c r="F447" t="s">
        <v>47</v>
      </c>
      <c r="G447">
        <f t="shared" si="6"/>
        <v>0</v>
      </c>
      <c r="H447">
        <v>3</v>
      </c>
      <c r="I447">
        <v>9</v>
      </c>
      <c r="J447">
        <v>1</v>
      </c>
      <c r="K447" s="6" t="s">
        <v>191</v>
      </c>
      <c r="L447" s="6" t="s">
        <v>113</v>
      </c>
      <c r="M447">
        <v>145</v>
      </c>
      <c r="N447" s="1">
        <v>0.48499999999999999</v>
      </c>
      <c r="O447">
        <v>42</v>
      </c>
      <c r="P447" s="1">
        <v>0.38500000000000001</v>
      </c>
      <c r="Q447" s="1">
        <v>0.74</v>
      </c>
      <c r="R447">
        <v>403</v>
      </c>
      <c r="S447">
        <v>20</v>
      </c>
      <c r="T447">
        <v>90</v>
      </c>
      <c r="U447">
        <v>81</v>
      </c>
      <c r="V447">
        <v>27</v>
      </c>
      <c r="W447">
        <v>15</v>
      </c>
      <c r="X447">
        <v>65</v>
      </c>
      <c r="Y447" s="5">
        <v>1.2461538461538462</v>
      </c>
    </row>
    <row r="448" spans="1:25" x14ac:dyDescent="0.25">
      <c r="A448">
        <v>2019</v>
      </c>
      <c r="B448" t="s">
        <v>57</v>
      </c>
      <c r="C448">
        <v>3</v>
      </c>
      <c r="D448">
        <v>26</v>
      </c>
      <c r="E448" t="s">
        <v>159</v>
      </c>
      <c r="F448" t="s">
        <v>116</v>
      </c>
      <c r="G448">
        <f t="shared" si="6"/>
        <v>0</v>
      </c>
      <c r="H448">
        <v>6</v>
      </c>
      <c r="I448">
        <v>7</v>
      </c>
      <c r="J448">
        <v>0</v>
      </c>
      <c r="K448" s="6" t="s">
        <v>69</v>
      </c>
      <c r="L448" s="6" t="s">
        <v>86</v>
      </c>
      <c r="M448">
        <v>206</v>
      </c>
      <c r="N448" s="1">
        <v>0.48899999999999999</v>
      </c>
      <c r="O448">
        <v>45</v>
      </c>
      <c r="P448" s="1">
        <v>0.32400000000000001</v>
      </c>
      <c r="Q448" s="1">
        <v>0.72199999999999998</v>
      </c>
      <c r="R448">
        <v>535</v>
      </c>
      <c r="S448">
        <v>50</v>
      </c>
      <c r="T448">
        <v>188</v>
      </c>
      <c r="U448">
        <v>107</v>
      </c>
      <c r="V448">
        <v>41</v>
      </c>
      <c r="W448">
        <v>17</v>
      </c>
      <c r="X448">
        <v>72</v>
      </c>
      <c r="Y448" s="5">
        <v>1.4861111111111112</v>
      </c>
    </row>
    <row r="449" spans="1:25" x14ac:dyDescent="0.25">
      <c r="A449">
        <v>2019</v>
      </c>
      <c r="B449" t="s">
        <v>57</v>
      </c>
      <c r="C449">
        <v>3</v>
      </c>
      <c r="D449">
        <v>26</v>
      </c>
      <c r="E449" t="s">
        <v>24</v>
      </c>
      <c r="F449" t="s">
        <v>55</v>
      </c>
      <c r="G449">
        <f t="shared" si="6"/>
        <v>1</v>
      </c>
      <c r="H449">
        <v>7</v>
      </c>
      <c r="I449">
        <v>6</v>
      </c>
      <c r="J449">
        <v>0</v>
      </c>
      <c r="K449" s="6" t="s">
        <v>193</v>
      </c>
      <c r="L449" s="6" t="s">
        <v>117</v>
      </c>
      <c r="M449">
        <v>192</v>
      </c>
      <c r="N449" s="1">
        <v>0.49399999999999999</v>
      </c>
      <c r="O449">
        <v>64</v>
      </c>
      <c r="P449" s="1">
        <v>0.47399999999999998</v>
      </c>
      <c r="Q449" s="1">
        <v>0.748</v>
      </c>
      <c r="R449">
        <v>531</v>
      </c>
      <c r="S449">
        <v>53</v>
      </c>
      <c r="T449">
        <v>126</v>
      </c>
      <c r="U449">
        <v>115</v>
      </c>
      <c r="V449">
        <v>36</v>
      </c>
      <c r="W449">
        <v>20</v>
      </c>
      <c r="X449">
        <v>84</v>
      </c>
      <c r="Y449" s="5">
        <v>1.3690476190476191</v>
      </c>
    </row>
    <row r="450" spans="1:25" x14ac:dyDescent="0.25">
      <c r="A450">
        <v>2019</v>
      </c>
      <c r="B450" t="s">
        <v>57</v>
      </c>
      <c r="C450">
        <v>3</v>
      </c>
      <c r="D450">
        <v>27</v>
      </c>
      <c r="E450" t="s">
        <v>23</v>
      </c>
      <c r="F450" t="s">
        <v>120</v>
      </c>
      <c r="G450">
        <f t="shared" ref="G450:G513" si="7">IF(H450+0.5*J450&gt;6.5,1,0)</f>
        <v>1</v>
      </c>
      <c r="H450">
        <v>8</v>
      </c>
      <c r="I450">
        <v>4</v>
      </c>
      <c r="J450">
        <v>1</v>
      </c>
      <c r="K450" s="6" t="s">
        <v>68</v>
      </c>
      <c r="L450" s="6" t="s">
        <v>84</v>
      </c>
      <c r="M450">
        <v>130</v>
      </c>
      <c r="N450" s="1">
        <v>0.42899999999999999</v>
      </c>
      <c r="O450">
        <v>40</v>
      </c>
      <c r="P450" s="1">
        <v>0.374</v>
      </c>
      <c r="Q450" s="1">
        <v>0.81799999999999995</v>
      </c>
      <c r="R450">
        <v>381</v>
      </c>
      <c r="S450">
        <v>27</v>
      </c>
      <c r="T450">
        <v>106</v>
      </c>
      <c r="U450">
        <v>91</v>
      </c>
      <c r="V450">
        <v>42</v>
      </c>
      <c r="W450">
        <v>17</v>
      </c>
      <c r="X450">
        <v>37</v>
      </c>
      <c r="Y450" s="5">
        <v>2.4594594594594597</v>
      </c>
    </row>
    <row r="451" spans="1:25" x14ac:dyDescent="0.25">
      <c r="A451">
        <v>2019</v>
      </c>
      <c r="B451" t="s">
        <v>57</v>
      </c>
      <c r="C451">
        <v>3</v>
      </c>
      <c r="D451">
        <v>27</v>
      </c>
      <c r="E451" t="s">
        <v>25</v>
      </c>
      <c r="F451" t="s">
        <v>53</v>
      </c>
      <c r="G451">
        <f t="shared" si="7"/>
        <v>0</v>
      </c>
      <c r="H451">
        <v>4</v>
      </c>
      <c r="I451">
        <v>8</v>
      </c>
      <c r="J451">
        <v>1</v>
      </c>
      <c r="K451" s="6" t="s">
        <v>71</v>
      </c>
      <c r="L451" s="6" t="s">
        <v>121</v>
      </c>
      <c r="M451">
        <v>181</v>
      </c>
      <c r="N451" s="1">
        <v>0.5</v>
      </c>
      <c r="O451">
        <v>28</v>
      </c>
      <c r="P451" s="1">
        <v>0.36399999999999999</v>
      </c>
      <c r="Q451" s="1">
        <v>0.83</v>
      </c>
      <c r="R451">
        <v>463</v>
      </c>
      <c r="S451">
        <v>27</v>
      </c>
      <c r="T451">
        <v>92</v>
      </c>
      <c r="U451">
        <v>90</v>
      </c>
      <c r="V451">
        <v>34</v>
      </c>
      <c r="W451">
        <v>14</v>
      </c>
      <c r="X451">
        <v>45</v>
      </c>
      <c r="Y451" s="5">
        <v>2</v>
      </c>
    </row>
    <row r="452" spans="1:25" x14ac:dyDescent="0.25">
      <c r="A452">
        <v>2019</v>
      </c>
      <c r="B452" t="s">
        <v>57</v>
      </c>
      <c r="C452">
        <v>3</v>
      </c>
      <c r="D452">
        <v>28</v>
      </c>
      <c r="E452" t="s">
        <v>97</v>
      </c>
      <c r="F452" t="s">
        <v>54</v>
      </c>
      <c r="G452">
        <f t="shared" si="7"/>
        <v>1</v>
      </c>
      <c r="H452">
        <v>9</v>
      </c>
      <c r="I452">
        <v>4</v>
      </c>
      <c r="J452">
        <v>0</v>
      </c>
      <c r="K452" s="6" t="s">
        <v>67</v>
      </c>
      <c r="L452" s="6" t="s">
        <v>82</v>
      </c>
      <c r="M452">
        <v>187</v>
      </c>
      <c r="N452" s="1">
        <v>0.46899999999999997</v>
      </c>
      <c r="O452">
        <v>44</v>
      </c>
      <c r="P452" s="1">
        <v>0.34899999999999998</v>
      </c>
      <c r="Q452" s="1">
        <v>0.74299999999999999</v>
      </c>
      <c r="R452">
        <v>502</v>
      </c>
      <c r="S452">
        <v>34</v>
      </c>
      <c r="T452">
        <v>107</v>
      </c>
      <c r="U452">
        <v>135</v>
      </c>
      <c r="V452">
        <v>26</v>
      </c>
      <c r="W452">
        <v>24</v>
      </c>
      <c r="X452">
        <v>75</v>
      </c>
      <c r="Y452" s="5">
        <v>1.8</v>
      </c>
    </row>
    <row r="453" spans="1:25" x14ac:dyDescent="0.25">
      <c r="A453">
        <v>2019</v>
      </c>
      <c r="B453" t="s">
        <v>57</v>
      </c>
      <c r="C453">
        <v>3</v>
      </c>
      <c r="D453">
        <v>28</v>
      </c>
      <c r="E453" t="s">
        <v>19</v>
      </c>
      <c r="F453" t="s">
        <v>56</v>
      </c>
      <c r="G453">
        <f t="shared" si="7"/>
        <v>0</v>
      </c>
      <c r="H453">
        <v>4</v>
      </c>
      <c r="I453">
        <v>9</v>
      </c>
      <c r="J453">
        <v>0</v>
      </c>
      <c r="K453" s="6" t="s">
        <v>111</v>
      </c>
      <c r="L453" s="6" t="s">
        <v>89</v>
      </c>
      <c r="M453">
        <v>136</v>
      </c>
      <c r="N453" s="1">
        <v>0.46910000000000002</v>
      </c>
      <c r="O453">
        <v>36</v>
      </c>
      <c r="P453" s="1">
        <v>0.32100000000000001</v>
      </c>
      <c r="Q453" s="1">
        <v>0.72399999999999998</v>
      </c>
      <c r="R453">
        <v>379</v>
      </c>
      <c r="S453">
        <v>21</v>
      </c>
      <c r="T453">
        <v>118</v>
      </c>
      <c r="U453">
        <v>100</v>
      </c>
      <c r="V453">
        <v>16</v>
      </c>
      <c r="W453">
        <v>19</v>
      </c>
      <c r="X453">
        <v>48</v>
      </c>
      <c r="Y453" s="5">
        <v>2.0833333333333335</v>
      </c>
    </row>
    <row r="454" spans="1:25" x14ac:dyDescent="0.25">
      <c r="A454">
        <v>2019</v>
      </c>
      <c r="B454" t="s">
        <v>57</v>
      </c>
      <c r="C454">
        <v>3</v>
      </c>
      <c r="D454">
        <v>29</v>
      </c>
      <c r="E454" t="s">
        <v>98</v>
      </c>
      <c r="F454" t="s">
        <v>41</v>
      </c>
      <c r="G454">
        <f t="shared" si="7"/>
        <v>1</v>
      </c>
      <c r="H454">
        <v>9</v>
      </c>
      <c r="I454">
        <v>4</v>
      </c>
      <c r="J454">
        <v>0</v>
      </c>
      <c r="K454" s="6" t="s">
        <v>106</v>
      </c>
      <c r="L454" s="6" t="s">
        <v>83</v>
      </c>
      <c r="M454">
        <v>156</v>
      </c>
      <c r="N454" s="1">
        <v>0.45900000000000002</v>
      </c>
      <c r="O454">
        <v>46</v>
      </c>
      <c r="P454" s="1">
        <v>0.36199999999999999</v>
      </c>
      <c r="Q454" s="1">
        <v>0.72499999999999998</v>
      </c>
      <c r="R454">
        <v>416</v>
      </c>
      <c r="S454">
        <v>30</v>
      </c>
      <c r="T454">
        <v>125</v>
      </c>
      <c r="U454">
        <v>119</v>
      </c>
      <c r="V454">
        <v>37</v>
      </c>
      <c r="W454">
        <v>14</v>
      </c>
      <c r="X454">
        <v>58</v>
      </c>
      <c r="Y454" s="5">
        <v>2.0517241379310347</v>
      </c>
    </row>
    <row r="455" spans="1:25" x14ac:dyDescent="0.25">
      <c r="A455">
        <v>2019</v>
      </c>
      <c r="B455" t="s">
        <v>57</v>
      </c>
      <c r="C455">
        <v>3</v>
      </c>
      <c r="D455">
        <v>29</v>
      </c>
      <c r="E455" t="s">
        <v>94</v>
      </c>
      <c r="F455" t="s">
        <v>40</v>
      </c>
      <c r="G455">
        <f t="shared" si="7"/>
        <v>0</v>
      </c>
      <c r="H455">
        <v>4</v>
      </c>
      <c r="I455">
        <v>9</v>
      </c>
      <c r="J455">
        <v>0</v>
      </c>
      <c r="K455" s="6" t="s">
        <v>112</v>
      </c>
      <c r="L455" s="6" t="s">
        <v>88</v>
      </c>
      <c r="M455">
        <v>138</v>
      </c>
      <c r="N455" s="1">
        <v>0.44400000000000001</v>
      </c>
      <c r="O455">
        <v>30</v>
      </c>
      <c r="P455" s="1">
        <v>0.28299999999999997</v>
      </c>
      <c r="Q455" s="1">
        <v>0.82399999999999995</v>
      </c>
      <c r="R455">
        <v>390</v>
      </c>
      <c r="S455">
        <v>36</v>
      </c>
      <c r="T455">
        <v>140</v>
      </c>
      <c r="U455">
        <v>70</v>
      </c>
      <c r="V455">
        <v>26</v>
      </c>
      <c r="W455">
        <v>12</v>
      </c>
      <c r="X455">
        <v>48</v>
      </c>
      <c r="Y455" s="5">
        <v>1.4583333333333333</v>
      </c>
    </row>
    <row r="456" spans="1:25" x14ac:dyDescent="0.25">
      <c r="A456">
        <v>2019</v>
      </c>
      <c r="B456" t="s">
        <v>57</v>
      </c>
      <c r="C456">
        <v>3</v>
      </c>
      <c r="D456">
        <v>30</v>
      </c>
      <c r="E456" t="s">
        <v>33</v>
      </c>
      <c r="F456" t="s">
        <v>42</v>
      </c>
      <c r="G456">
        <f t="shared" si="7"/>
        <v>1</v>
      </c>
      <c r="H456">
        <v>10</v>
      </c>
      <c r="I456">
        <v>3</v>
      </c>
      <c r="J456">
        <v>0</v>
      </c>
      <c r="K456" s="6" t="s">
        <v>70</v>
      </c>
      <c r="L456" s="6" t="s">
        <v>87</v>
      </c>
      <c r="M456">
        <v>164</v>
      </c>
      <c r="N456" s="1">
        <v>0.47399999999999998</v>
      </c>
      <c r="O456">
        <v>34</v>
      </c>
      <c r="P456" s="1">
        <v>0.29799999999999999</v>
      </c>
      <c r="Q456" s="1">
        <v>0.755</v>
      </c>
      <c r="R456">
        <v>439</v>
      </c>
      <c r="S456">
        <v>60</v>
      </c>
      <c r="T456">
        <v>155</v>
      </c>
      <c r="U456">
        <v>116</v>
      </c>
      <c r="V456">
        <v>35</v>
      </c>
      <c r="W456">
        <v>42</v>
      </c>
      <c r="X456">
        <v>74</v>
      </c>
      <c r="Y456" s="5">
        <v>1.5675675675675675</v>
      </c>
    </row>
    <row r="457" spans="1:25" x14ac:dyDescent="0.25">
      <c r="A457">
        <v>2019</v>
      </c>
      <c r="B457" t="s">
        <v>57</v>
      </c>
      <c r="C457">
        <v>3</v>
      </c>
      <c r="D457">
        <v>30</v>
      </c>
      <c r="E457" t="s">
        <v>21</v>
      </c>
      <c r="F457" t="s">
        <v>50</v>
      </c>
      <c r="G457">
        <f t="shared" si="7"/>
        <v>0</v>
      </c>
      <c r="H457">
        <v>3</v>
      </c>
      <c r="I457">
        <v>10</v>
      </c>
      <c r="J457">
        <v>0</v>
      </c>
      <c r="K457" s="6" t="s">
        <v>72</v>
      </c>
      <c r="L457" s="6" t="s">
        <v>85</v>
      </c>
      <c r="M457">
        <v>132</v>
      </c>
      <c r="N457" s="1">
        <v>0.45800000000000002</v>
      </c>
      <c r="O457">
        <v>24</v>
      </c>
      <c r="P457" s="1">
        <v>0.312</v>
      </c>
      <c r="Q457" s="1">
        <v>0.753</v>
      </c>
      <c r="R457">
        <v>355</v>
      </c>
      <c r="S457">
        <v>30</v>
      </c>
      <c r="T457">
        <v>110</v>
      </c>
      <c r="U457">
        <v>84</v>
      </c>
      <c r="V457">
        <v>27</v>
      </c>
      <c r="W457">
        <v>15</v>
      </c>
      <c r="X457">
        <v>52</v>
      </c>
      <c r="Y457" s="5">
        <v>1.6153846153846154</v>
      </c>
    </row>
    <row r="458" spans="1:25" x14ac:dyDescent="0.25">
      <c r="A458">
        <v>2019</v>
      </c>
      <c r="B458" t="s">
        <v>57</v>
      </c>
      <c r="C458">
        <v>4</v>
      </c>
      <c r="D458">
        <v>31</v>
      </c>
      <c r="E458" t="s">
        <v>16</v>
      </c>
      <c r="F458" t="s">
        <v>51</v>
      </c>
      <c r="G458">
        <f t="shared" si="7"/>
        <v>0</v>
      </c>
      <c r="H458">
        <v>6</v>
      </c>
      <c r="I458">
        <v>7</v>
      </c>
      <c r="J458">
        <v>0</v>
      </c>
      <c r="K458" s="6" t="s">
        <v>64</v>
      </c>
      <c r="L458" s="6" t="s">
        <v>80</v>
      </c>
      <c r="M458">
        <v>146</v>
      </c>
      <c r="N458" s="1">
        <v>0.47699999999999998</v>
      </c>
      <c r="O458">
        <v>43</v>
      </c>
      <c r="P458" s="1">
        <v>0.35199999999999998</v>
      </c>
      <c r="Q458" s="1">
        <v>0.59599999999999997</v>
      </c>
      <c r="R458">
        <v>369</v>
      </c>
      <c r="S458">
        <v>66</v>
      </c>
      <c r="T458">
        <v>132</v>
      </c>
      <c r="U458">
        <v>67</v>
      </c>
      <c r="V458">
        <v>34</v>
      </c>
      <c r="W458">
        <v>36</v>
      </c>
      <c r="X458">
        <v>50</v>
      </c>
      <c r="Y458" s="5">
        <v>1.34</v>
      </c>
    </row>
    <row r="459" spans="1:25" x14ac:dyDescent="0.25">
      <c r="A459">
        <v>2019</v>
      </c>
      <c r="B459" t="s">
        <v>57</v>
      </c>
      <c r="C459">
        <v>4</v>
      </c>
      <c r="D459">
        <v>31</v>
      </c>
      <c r="E459" t="s">
        <v>28</v>
      </c>
      <c r="F459" t="s">
        <v>46</v>
      </c>
      <c r="G459">
        <f t="shared" si="7"/>
        <v>1</v>
      </c>
      <c r="H459">
        <v>7</v>
      </c>
      <c r="I459">
        <v>6</v>
      </c>
      <c r="J459">
        <v>0</v>
      </c>
      <c r="K459" s="6" t="s">
        <v>60</v>
      </c>
      <c r="L459" s="6" t="s">
        <v>75</v>
      </c>
      <c r="M459">
        <v>176</v>
      </c>
      <c r="N459" s="1">
        <v>0.46</v>
      </c>
      <c r="O459">
        <v>38</v>
      </c>
      <c r="P459" s="1">
        <v>0.35499999999999998</v>
      </c>
      <c r="Q459" s="1">
        <v>0.74299999999999999</v>
      </c>
      <c r="R459">
        <v>474</v>
      </c>
      <c r="S459">
        <v>59</v>
      </c>
      <c r="T459">
        <v>139</v>
      </c>
      <c r="U459">
        <v>122</v>
      </c>
      <c r="V459">
        <v>31</v>
      </c>
      <c r="W459">
        <v>28</v>
      </c>
      <c r="X459">
        <v>70</v>
      </c>
      <c r="Y459" s="5">
        <v>1.7428571428571429</v>
      </c>
    </row>
    <row r="460" spans="1:25" x14ac:dyDescent="0.25">
      <c r="A460">
        <v>2019</v>
      </c>
      <c r="B460" t="s">
        <v>57</v>
      </c>
      <c r="C460">
        <v>4</v>
      </c>
      <c r="D460">
        <v>32</v>
      </c>
      <c r="E460" t="s">
        <v>17</v>
      </c>
      <c r="F460" t="s">
        <v>43</v>
      </c>
      <c r="G460">
        <f t="shared" si="7"/>
        <v>1</v>
      </c>
      <c r="H460">
        <v>9</v>
      </c>
      <c r="I460">
        <v>4</v>
      </c>
      <c r="J460">
        <v>0</v>
      </c>
      <c r="K460" s="6" t="s">
        <v>66</v>
      </c>
      <c r="L460" s="6" t="s">
        <v>81</v>
      </c>
      <c r="M460">
        <v>144</v>
      </c>
      <c r="N460" s="1">
        <v>0.435</v>
      </c>
      <c r="O460">
        <v>45</v>
      </c>
      <c r="P460" s="1">
        <v>0.32400000000000001</v>
      </c>
      <c r="Q460" s="1">
        <v>0.76</v>
      </c>
      <c r="R460">
        <v>425</v>
      </c>
      <c r="S460">
        <v>31</v>
      </c>
      <c r="T460">
        <v>168</v>
      </c>
      <c r="U460">
        <v>105</v>
      </c>
      <c r="V460">
        <v>28</v>
      </c>
      <c r="W460">
        <v>25</v>
      </c>
      <c r="X460">
        <v>67</v>
      </c>
      <c r="Y460" s="5">
        <v>1.5671641791044777</v>
      </c>
    </row>
    <row r="461" spans="1:25" x14ac:dyDescent="0.25">
      <c r="A461">
        <v>2019</v>
      </c>
      <c r="B461" t="s">
        <v>57</v>
      </c>
      <c r="C461">
        <v>4</v>
      </c>
      <c r="D461">
        <v>32</v>
      </c>
      <c r="E461" t="s">
        <v>22</v>
      </c>
      <c r="F461" t="s">
        <v>44</v>
      </c>
      <c r="G461">
        <f t="shared" si="7"/>
        <v>0</v>
      </c>
      <c r="H461">
        <v>4</v>
      </c>
      <c r="I461">
        <v>9</v>
      </c>
      <c r="J461">
        <v>0</v>
      </c>
      <c r="K461" s="6" t="s">
        <v>63</v>
      </c>
      <c r="L461" s="6" t="s">
        <v>79</v>
      </c>
      <c r="M461">
        <v>142</v>
      </c>
      <c r="N461" s="1">
        <v>0.43</v>
      </c>
      <c r="O461">
        <v>39</v>
      </c>
      <c r="P461" s="1">
        <v>0.32500000000000001</v>
      </c>
      <c r="Q461" s="1">
        <v>0.81399999999999995</v>
      </c>
      <c r="R461">
        <v>371</v>
      </c>
      <c r="S461">
        <v>41</v>
      </c>
      <c r="T461">
        <v>130</v>
      </c>
      <c r="U461">
        <v>67</v>
      </c>
      <c r="V461">
        <v>26</v>
      </c>
      <c r="W461">
        <v>19</v>
      </c>
      <c r="X461">
        <v>50</v>
      </c>
      <c r="Y461" s="5">
        <v>1.34</v>
      </c>
    </row>
    <row r="462" spans="1:25" x14ac:dyDescent="0.25">
      <c r="A462">
        <v>2019</v>
      </c>
      <c r="B462" t="s">
        <v>57</v>
      </c>
      <c r="C462">
        <v>4</v>
      </c>
      <c r="D462">
        <v>33</v>
      </c>
      <c r="E462" t="s">
        <v>15</v>
      </c>
      <c r="F462" t="s">
        <v>48</v>
      </c>
      <c r="G462">
        <f t="shared" si="7"/>
        <v>0</v>
      </c>
      <c r="H462">
        <v>4</v>
      </c>
      <c r="I462">
        <v>9</v>
      </c>
      <c r="J462">
        <v>0</v>
      </c>
      <c r="K462" s="6" t="s">
        <v>65</v>
      </c>
      <c r="L462" s="6" t="s">
        <v>119</v>
      </c>
      <c r="M462">
        <v>156</v>
      </c>
      <c r="N462" s="1">
        <v>0.432</v>
      </c>
      <c r="O462">
        <v>31</v>
      </c>
      <c r="P462" s="1">
        <v>0.313</v>
      </c>
      <c r="Q462" s="1">
        <v>0.77800000000000002</v>
      </c>
      <c r="R462">
        <v>441</v>
      </c>
      <c r="S462">
        <v>42</v>
      </c>
      <c r="T462">
        <v>151</v>
      </c>
      <c r="U462">
        <v>82</v>
      </c>
      <c r="V462">
        <v>29</v>
      </c>
      <c r="W462">
        <v>17</v>
      </c>
      <c r="X462">
        <v>58</v>
      </c>
      <c r="Y462" s="5">
        <v>1.4137931034482758</v>
      </c>
    </row>
    <row r="463" spans="1:25" x14ac:dyDescent="0.25">
      <c r="A463">
        <v>2019</v>
      </c>
      <c r="B463" t="s">
        <v>57</v>
      </c>
      <c r="C463">
        <v>4</v>
      </c>
      <c r="D463">
        <v>33</v>
      </c>
      <c r="E463" t="s">
        <v>26</v>
      </c>
      <c r="F463" t="s">
        <v>118</v>
      </c>
      <c r="G463">
        <f t="shared" si="7"/>
        <v>1</v>
      </c>
      <c r="H463">
        <v>9</v>
      </c>
      <c r="I463">
        <v>4</v>
      </c>
      <c r="J463">
        <v>0</v>
      </c>
      <c r="K463" s="6" t="s">
        <v>61</v>
      </c>
      <c r="L463" s="6" t="s">
        <v>77</v>
      </c>
      <c r="M463">
        <v>182</v>
      </c>
      <c r="N463" s="1">
        <v>0.443</v>
      </c>
      <c r="O463">
        <v>38</v>
      </c>
      <c r="P463" s="1">
        <v>0.29699999999999999</v>
      </c>
      <c r="Q463" s="1">
        <v>0.79400000000000004</v>
      </c>
      <c r="R463">
        <v>483</v>
      </c>
      <c r="S463">
        <v>24</v>
      </c>
      <c r="T463">
        <v>143</v>
      </c>
      <c r="U463">
        <v>94</v>
      </c>
      <c r="V463">
        <v>27</v>
      </c>
      <c r="W463">
        <v>29</v>
      </c>
      <c r="X463">
        <v>52</v>
      </c>
      <c r="Y463" s="5">
        <v>1.8076923076923077</v>
      </c>
    </row>
    <row r="464" spans="1:25" x14ac:dyDescent="0.25">
      <c r="A464">
        <v>2019</v>
      </c>
      <c r="B464" t="s">
        <v>57</v>
      </c>
      <c r="C464">
        <v>4</v>
      </c>
      <c r="D464">
        <v>34</v>
      </c>
      <c r="E464" t="s">
        <v>190</v>
      </c>
      <c r="F464" t="s">
        <v>103</v>
      </c>
      <c r="G464">
        <f t="shared" si="7"/>
        <v>1</v>
      </c>
      <c r="H464">
        <v>10</v>
      </c>
      <c r="I464">
        <v>3</v>
      </c>
      <c r="J464">
        <v>0</v>
      </c>
      <c r="K464" s="6" t="s">
        <v>59</v>
      </c>
      <c r="L464" s="6" t="s">
        <v>74</v>
      </c>
      <c r="M464">
        <v>186</v>
      </c>
      <c r="N464" s="1">
        <v>0.442</v>
      </c>
      <c r="O464">
        <v>46</v>
      </c>
      <c r="P464" s="1">
        <v>0.33100000000000002</v>
      </c>
      <c r="Q464" s="1">
        <v>0.71299999999999997</v>
      </c>
      <c r="R464">
        <v>515</v>
      </c>
      <c r="S464">
        <v>63</v>
      </c>
      <c r="T464">
        <v>137</v>
      </c>
      <c r="U464">
        <v>127</v>
      </c>
      <c r="V464">
        <v>46</v>
      </c>
      <c r="W464">
        <v>23</v>
      </c>
      <c r="X464">
        <v>73</v>
      </c>
      <c r="Y464" s="5">
        <v>1.7397260273972603</v>
      </c>
    </row>
    <row r="465" spans="1:25" x14ac:dyDescent="0.25">
      <c r="A465">
        <v>2019</v>
      </c>
      <c r="B465" t="s">
        <v>57</v>
      </c>
      <c r="C465">
        <v>4</v>
      </c>
      <c r="D465">
        <v>34</v>
      </c>
      <c r="E465" t="s">
        <v>18</v>
      </c>
      <c r="F465" t="s">
        <v>52</v>
      </c>
      <c r="G465">
        <f t="shared" si="7"/>
        <v>0</v>
      </c>
      <c r="H465">
        <v>3</v>
      </c>
      <c r="I465">
        <v>10</v>
      </c>
      <c r="J465">
        <v>0</v>
      </c>
      <c r="K465" s="6" t="s">
        <v>191</v>
      </c>
      <c r="L465" s="6" t="s">
        <v>113</v>
      </c>
      <c r="M465">
        <v>131</v>
      </c>
      <c r="N465" s="1">
        <v>0.432</v>
      </c>
      <c r="O465">
        <v>25</v>
      </c>
      <c r="P465" s="1">
        <v>0.24</v>
      </c>
      <c r="Q465" s="1">
        <v>0.77800000000000002</v>
      </c>
      <c r="R465">
        <v>343</v>
      </c>
      <c r="S465">
        <v>31</v>
      </c>
      <c r="T465">
        <v>109</v>
      </c>
      <c r="U465">
        <v>85</v>
      </c>
      <c r="V465">
        <v>27</v>
      </c>
      <c r="W465">
        <v>12</v>
      </c>
      <c r="X465">
        <v>40</v>
      </c>
      <c r="Y465" s="5">
        <v>2.125</v>
      </c>
    </row>
    <row r="466" spans="1:25" x14ac:dyDescent="0.25">
      <c r="A466">
        <v>2019</v>
      </c>
      <c r="B466" t="s">
        <v>57</v>
      </c>
      <c r="C466">
        <v>4</v>
      </c>
      <c r="D466">
        <v>35</v>
      </c>
      <c r="E466" t="s">
        <v>181</v>
      </c>
      <c r="F466" t="s">
        <v>49</v>
      </c>
      <c r="G466">
        <f t="shared" si="7"/>
        <v>0</v>
      </c>
      <c r="H466">
        <v>6</v>
      </c>
      <c r="I466">
        <v>6</v>
      </c>
      <c r="J466">
        <v>1</v>
      </c>
      <c r="K466" s="6" t="s">
        <v>62</v>
      </c>
      <c r="L466" s="6" t="s">
        <v>78</v>
      </c>
      <c r="M466">
        <v>184</v>
      </c>
      <c r="N466" s="1">
        <v>0.46600000000000003</v>
      </c>
      <c r="O466">
        <v>44</v>
      </c>
      <c r="P466" s="1">
        <v>0.37</v>
      </c>
      <c r="Q466" s="1">
        <v>0.82399999999999995</v>
      </c>
      <c r="R466">
        <v>520</v>
      </c>
      <c r="S466">
        <v>58</v>
      </c>
      <c r="T466">
        <v>116</v>
      </c>
      <c r="U466">
        <v>98</v>
      </c>
      <c r="V466">
        <v>37</v>
      </c>
      <c r="W466">
        <v>13</v>
      </c>
      <c r="X466">
        <v>61</v>
      </c>
      <c r="Y466" s="5">
        <v>1.6065573770491803</v>
      </c>
    </row>
    <row r="467" spans="1:25" x14ac:dyDescent="0.25">
      <c r="A467">
        <v>2019</v>
      </c>
      <c r="B467" t="s">
        <v>57</v>
      </c>
      <c r="C467">
        <v>4</v>
      </c>
      <c r="D467">
        <v>35</v>
      </c>
      <c r="E467" t="s">
        <v>20</v>
      </c>
      <c r="F467" t="s">
        <v>47</v>
      </c>
      <c r="G467">
        <f t="shared" si="7"/>
        <v>0</v>
      </c>
      <c r="H467">
        <v>6</v>
      </c>
      <c r="I467">
        <v>6</v>
      </c>
      <c r="J467">
        <v>1</v>
      </c>
      <c r="K467" s="6" t="s">
        <v>182</v>
      </c>
      <c r="L467" s="6" t="s">
        <v>76</v>
      </c>
      <c r="M467">
        <v>187</v>
      </c>
      <c r="N467" s="1">
        <v>0.48399999999999999</v>
      </c>
      <c r="O467">
        <v>55</v>
      </c>
      <c r="P467" s="1">
        <v>0.379</v>
      </c>
      <c r="Q467" s="1">
        <v>0.75900000000000001</v>
      </c>
      <c r="R467">
        <v>492</v>
      </c>
      <c r="S467">
        <v>31</v>
      </c>
      <c r="T467">
        <v>136</v>
      </c>
      <c r="U467">
        <v>76</v>
      </c>
      <c r="V467">
        <v>37</v>
      </c>
      <c r="W467">
        <v>21</v>
      </c>
      <c r="X467">
        <v>73</v>
      </c>
      <c r="Y467" s="5">
        <v>1.0410958904109588</v>
      </c>
    </row>
    <row r="468" spans="1:25" x14ac:dyDescent="0.25">
      <c r="A468">
        <v>2019</v>
      </c>
      <c r="B468" t="s">
        <v>57</v>
      </c>
      <c r="C468">
        <v>4</v>
      </c>
      <c r="D468">
        <v>36</v>
      </c>
      <c r="E468" t="s">
        <v>159</v>
      </c>
      <c r="F468" t="s">
        <v>116</v>
      </c>
      <c r="G468">
        <f t="shared" si="7"/>
        <v>1</v>
      </c>
      <c r="H468">
        <v>8</v>
      </c>
      <c r="I468">
        <v>5</v>
      </c>
      <c r="J468">
        <v>0</v>
      </c>
      <c r="K468" s="6" t="s">
        <v>71</v>
      </c>
      <c r="L468" s="6" t="s">
        <v>121</v>
      </c>
      <c r="M468">
        <v>163</v>
      </c>
      <c r="N468" s="1">
        <v>0.46</v>
      </c>
      <c r="O468">
        <v>40</v>
      </c>
      <c r="P468" s="1">
        <v>0.33900000000000002</v>
      </c>
      <c r="Q468" s="1">
        <v>0.79200000000000004</v>
      </c>
      <c r="R468">
        <v>442</v>
      </c>
      <c r="S468">
        <v>46</v>
      </c>
      <c r="T468">
        <v>124</v>
      </c>
      <c r="U468">
        <v>74</v>
      </c>
      <c r="V468">
        <v>33</v>
      </c>
      <c r="W468">
        <v>17</v>
      </c>
      <c r="X468">
        <v>53</v>
      </c>
      <c r="Y468" s="5">
        <v>1.3962264150943395</v>
      </c>
    </row>
    <row r="469" spans="1:25" x14ac:dyDescent="0.25">
      <c r="A469">
        <v>2019</v>
      </c>
      <c r="B469" t="s">
        <v>57</v>
      </c>
      <c r="C469">
        <v>4</v>
      </c>
      <c r="D469">
        <v>36</v>
      </c>
      <c r="E469" t="s">
        <v>23</v>
      </c>
      <c r="F469" t="s">
        <v>120</v>
      </c>
      <c r="G469">
        <f t="shared" si="7"/>
        <v>0</v>
      </c>
      <c r="H469">
        <v>5</v>
      </c>
      <c r="I469">
        <v>8</v>
      </c>
      <c r="J469">
        <v>0</v>
      </c>
      <c r="K469" s="6" t="s">
        <v>193</v>
      </c>
      <c r="L469" s="6" t="s">
        <v>117</v>
      </c>
      <c r="M469">
        <v>137</v>
      </c>
      <c r="N469" s="1">
        <v>0.436</v>
      </c>
      <c r="O469">
        <v>39</v>
      </c>
      <c r="P469" s="1">
        <v>0.38200000000000001</v>
      </c>
      <c r="Q469" s="1">
        <v>0.83699999999999997</v>
      </c>
      <c r="R469">
        <v>385</v>
      </c>
      <c r="S469">
        <v>36</v>
      </c>
      <c r="T469">
        <v>114</v>
      </c>
      <c r="U469">
        <v>76</v>
      </c>
      <c r="V469">
        <v>26</v>
      </c>
      <c r="W469">
        <v>15</v>
      </c>
      <c r="X469">
        <v>51</v>
      </c>
      <c r="Y469" s="5">
        <v>1.4901960784313726</v>
      </c>
    </row>
    <row r="470" spans="1:25" x14ac:dyDescent="0.25">
      <c r="A470">
        <v>2019</v>
      </c>
      <c r="B470" t="s">
        <v>57</v>
      </c>
      <c r="C470">
        <v>4</v>
      </c>
      <c r="D470">
        <v>37</v>
      </c>
      <c r="E470" t="s">
        <v>24</v>
      </c>
      <c r="F470" t="s">
        <v>55</v>
      </c>
      <c r="G470">
        <f t="shared" si="7"/>
        <v>1</v>
      </c>
      <c r="H470">
        <v>8</v>
      </c>
      <c r="I470">
        <v>5</v>
      </c>
      <c r="J470">
        <v>0</v>
      </c>
      <c r="K470" s="6" t="s">
        <v>111</v>
      </c>
      <c r="L470" s="6" t="s">
        <v>89</v>
      </c>
      <c r="M470">
        <v>155</v>
      </c>
      <c r="N470" s="1">
        <v>0.48299999999999998</v>
      </c>
      <c r="O470">
        <v>44</v>
      </c>
      <c r="P470" s="1">
        <v>0.39300000000000002</v>
      </c>
      <c r="Q470" s="1">
        <v>0.73399999999999999</v>
      </c>
      <c r="R470">
        <v>423</v>
      </c>
      <c r="S470">
        <v>21</v>
      </c>
      <c r="T470">
        <v>96</v>
      </c>
      <c r="U470">
        <v>90</v>
      </c>
      <c r="V470">
        <v>35</v>
      </c>
      <c r="W470">
        <v>17</v>
      </c>
      <c r="X470">
        <v>58</v>
      </c>
      <c r="Y470" s="5">
        <v>1.5517241379310345</v>
      </c>
    </row>
    <row r="471" spans="1:25" x14ac:dyDescent="0.25">
      <c r="A471">
        <v>2019</v>
      </c>
      <c r="B471" t="s">
        <v>57</v>
      </c>
      <c r="C471">
        <v>4</v>
      </c>
      <c r="D471">
        <v>37</v>
      </c>
      <c r="E471" t="s">
        <v>97</v>
      </c>
      <c r="F471" t="s">
        <v>54</v>
      </c>
      <c r="G471">
        <f t="shared" si="7"/>
        <v>0</v>
      </c>
      <c r="H471">
        <v>5</v>
      </c>
      <c r="I471">
        <v>8</v>
      </c>
      <c r="J471">
        <v>0</v>
      </c>
      <c r="K471" s="6" t="s">
        <v>69</v>
      </c>
      <c r="L471" s="6" t="s">
        <v>86</v>
      </c>
      <c r="M471">
        <v>149</v>
      </c>
      <c r="N471" s="1">
        <v>0.46600000000000003</v>
      </c>
      <c r="O471">
        <v>38</v>
      </c>
      <c r="P471" s="1">
        <v>0.33</v>
      </c>
      <c r="Q471" s="1">
        <v>0.83299999999999996</v>
      </c>
      <c r="R471">
        <v>406</v>
      </c>
      <c r="S471">
        <v>46</v>
      </c>
      <c r="T471">
        <v>119</v>
      </c>
      <c r="U471">
        <v>103</v>
      </c>
      <c r="V471">
        <v>24</v>
      </c>
      <c r="W471">
        <v>21</v>
      </c>
      <c r="X471">
        <v>72</v>
      </c>
      <c r="Y471" s="5">
        <v>1.4305555555555556</v>
      </c>
    </row>
    <row r="472" spans="1:25" x14ac:dyDescent="0.25">
      <c r="A472">
        <v>2019</v>
      </c>
      <c r="B472" t="s">
        <v>57</v>
      </c>
      <c r="C472">
        <v>4</v>
      </c>
      <c r="D472">
        <v>38</v>
      </c>
      <c r="E472" t="s">
        <v>98</v>
      </c>
      <c r="F472" t="s">
        <v>41</v>
      </c>
      <c r="G472">
        <f t="shared" si="7"/>
        <v>1</v>
      </c>
      <c r="H472">
        <v>11</v>
      </c>
      <c r="I472">
        <v>1</v>
      </c>
      <c r="J472">
        <v>1</v>
      </c>
      <c r="K472" s="6" t="s">
        <v>68</v>
      </c>
      <c r="L472" s="6" t="s">
        <v>84</v>
      </c>
      <c r="M472">
        <v>143</v>
      </c>
      <c r="N472" s="1">
        <v>0.45100000000000001</v>
      </c>
      <c r="O472">
        <v>44</v>
      </c>
      <c r="P472" s="1">
        <v>0.40699999999999997</v>
      </c>
      <c r="Q472" s="1">
        <v>0.80600000000000005</v>
      </c>
      <c r="R472">
        <v>405</v>
      </c>
      <c r="S472">
        <v>46</v>
      </c>
      <c r="T472">
        <v>128</v>
      </c>
      <c r="U472">
        <v>108</v>
      </c>
      <c r="V472">
        <v>33</v>
      </c>
      <c r="W472">
        <v>22</v>
      </c>
      <c r="X472">
        <v>52</v>
      </c>
      <c r="Y472" s="5">
        <v>2.0769230769230771</v>
      </c>
    </row>
    <row r="473" spans="1:25" x14ac:dyDescent="0.25">
      <c r="A473">
        <v>2019</v>
      </c>
      <c r="B473" t="s">
        <v>57</v>
      </c>
      <c r="C473">
        <v>4</v>
      </c>
      <c r="D473">
        <v>38</v>
      </c>
      <c r="E473" t="s">
        <v>25</v>
      </c>
      <c r="F473" t="s">
        <v>53</v>
      </c>
      <c r="G473">
        <f t="shared" si="7"/>
        <v>0</v>
      </c>
      <c r="H473">
        <v>1</v>
      </c>
      <c r="I473">
        <v>11</v>
      </c>
      <c r="J473">
        <v>1</v>
      </c>
      <c r="K473" s="6" t="s">
        <v>112</v>
      </c>
      <c r="L473" s="6" t="s">
        <v>88</v>
      </c>
      <c r="M473">
        <v>111</v>
      </c>
      <c r="N473" s="1">
        <v>0.42</v>
      </c>
      <c r="O473">
        <v>29</v>
      </c>
      <c r="P473" s="1">
        <v>0.38700000000000001</v>
      </c>
      <c r="Q473" s="1">
        <v>0.82399999999999995</v>
      </c>
      <c r="R473">
        <v>293</v>
      </c>
      <c r="S473">
        <v>21</v>
      </c>
      <c r="T473">
        <v>88</v>
      </c>
      <c r="U473">
        <v>71</v>
      </c>
      <c r="V473">
        <v>15</v>
      </c>
      <c r="W473">
        <v>11</v>
      </c>
      <c r="X473">
        <v>52</v>
      </c>
      <c r="Y473" s="5">
        <v>1.3653846153846154</v>
      </c>
    </row>
    <row r="474" spans="1:25" x14ac:dyDescent="0.25">
      <c r="A474">
        <v>2019</v>
      </c>
      <c r="B474" t="s">
        <v>57</v>
      </c>
      <c r="C474">
        <v>4</v>
      </c>
      <c r="D474">
        <v>39</v>
      </c>
      <c r="E474" t="s">
        <v>19</v>
      </c>
      <c r="F474" t="s">
        <v>56</v>
      </c>
      <c r="G474">
        <f t="shared" si="7"/>
        <v>0</v>
      </c>
      <c r="H474">
        <v>6</v>
      </c>
      <c r="I474">
        <v>7</v>
      </c>
      <c r="J474">
        <v>0</v>
      </c>
      <c r="K474" s="6" t="s">
        <v>70</v>
      </c>
      <c r="L474" s="6" t="s">
        <v>87</v>
      </c>
      <c r="M474">
        <v>147</v>
      </c>
      <c r="N474" s="1">
        <v>0.495</v>
      </c>
      <c r="O474">
        <v>29</v>
      </c>
      <c r="P474" s="1">
        <v>0.34499999999999997</v>
      </c>
      <c r="Q474" s="1">
        <v>0.64300000000000002</v>
      </c>
      <c r="R474">
        <v>377</v>
      </c>
      <c r="S474">
        <v>33</v>
      </c>
      <c r="T474">
        <v>122</v>
      </c>
      <c r="U474">
        <v>79</v>
      </c>
      <c r="V474">
        <v>25</v>
      </c>
      <c r="W474">
        <v>24</v>
      </c>
      <c r="X474">
        <v>56</v>
      </c>
      <c r="Y474" s="5">
        <v>1.4107142857142858</v>
      </c>
    </row>
    <row r="475" spans="1:25" x14ac:dyDescent="0.25">
      <c r="A475">
        <v>2019</v>
      </c>
      <c r="B475" t="s">
        <v>57</v>
      </c>
      <c r="C475">
        <v>4</v>
      </c>
      <c r="D475">
        <v>39</v>
      </c>
      <c r="E475" t="s">
        <v>21</v>
      </c>
      <c r="F475" t="s">
        <v>50</v>
      </c>
      <c r="G475">
        <f t="shared" si="7"/>
        <v>1</v>
      </c>
      <c r="H475">
        <v>7</v>
      </c>
      <c r="I475">
        <v>6</v>
      </c>
      <c r="J475">
        <v>0</v>
      </c>
      <c r="K475" s="6" t="s">
        <v>67</v>
      </c>
      <c r="L475" s="6" t="s">
        <v>82</v>
      </c>
      <c r="M475">
        <v>119</v>
      </c>
      <c r="N475" s="1">
        <v>0.502</v>
      </c>
      <c r="O475">
        <v>18</v>
      </c>
      <c r="P475" s="1">
        <v>0.375</v>
      </c>
      <c r="Q475" s="1">
        <v>0.76</v>
      </c>
      <c r="R475">
        <v>335</v>
      </c>
      <c r="S475">
        <v>43</v>
      </c>
      <c r="T475">
        <v>116</v>
      </c>
      <c r="U475">
        <v>90</v>
      </c>
      <c r="V475">
        <v>18</v>
      </c>
      <c r="W475">
        <v>11</v>
      </c>
      <c r="X475">
        <v>43</v>
      </c>
      <c r="Y475" s="5">
        <v>2.0930232558139537</v>
      </c>
    </row>
    <row r="476" spans="1:25" x14ac:dyDescent="0.25">
      <c r="A476">
        <v>2019</v>
      </c>
      <c r="B476" t="s">
        <v>57</v>
      </c>
      <c r="C476">
        <v>4</v>
      </c>
      <c r="D476">
        <v>40</v>
      </c>
      <c r="E476" t="s">
        <v>33</v>
      </c>
      <c r="F476" t="s">
        <v>42</v>
      </c>
      <c r="G476">
        <f t="shared" si="7"/>
        <v>1</v>
      </c>
      <c r="H476">
        <v>11</v>
      </c>
      <c r="I476">
        <v>1</v>
      </c>
      <c r="J476">
        <v>1</v>
      </c>
      <c r="K476" s="6" t="s">
        <v>106</v>
      </c>
      <c r="L476" s="6" t="s">
        <v>83</v>
      </c>
      <c r="M476">
        <v>187</v>
      </c>
      <c r="N476" s="1">
        <v>0.46800000000000003</v>
      </c>
      <c r="O476">
        <v>62</v>
      </c>
      <c r="P476" s="1">
        <v>0.40500000000000003</v>
      </c>
      <c r="Q476" s="1">
        <v>0.74099999999999999</v>
      </c>
      <c r="R476">
        <v>496</v>
      </c>
      <c r="S476">
        <v>52</v>
      </c>
      <c r="T476">
        <v>171</v>
      </c>
      <c r="U476">
        <v>104</v>
      </c>
      <c r="V476">
        <v>35</v>
      </c>
      <c r="W476">
        <v>32</v>
      </c>
      <c r="X476">
        <v>58</v>
      </c>
      <c r="Y476" s="5">
        <v>1.7931034482758621</v>
      </c>
    </row>
    <row r="477" spans="1:25" x14ac:dyDescent="0.25">
      <c r="A477">
        <v>2019</v>
      </c>
      <c r="B477" t="s">
        <v>57</v>
      </c>
      <c r="C477">
        <v>4</v>
      </c>
      <c r="D477">
        <v>40</v>
      </c>
      <c r="E477" t="s">
        <v>94</v>
      </c>
      <c r="F477" t="s">
        <v>40</v>
      </c>
      <c r="G477">
        <f t="shared" si="7"/>
        <v>0</v>
      </c>
      <c r="H477">
        <v>1</v>
      </c>
      <c r="I477">
        <v>11</v>
      </c>
      <c r="J477">
        <v>1</v>
      </c>
      <c r="K477" s="6" t="s">
        <v>72</v>
      </c>
      <c r="L477" s="6" t="s">
        <v>85</v>
      </c>
      <c r="M477">
        <v>147</v>
      </c>
      <c r="N477" s="1">
        <v>0.438</v>
      </c>
      <c r="O477">
        <v>61</v>
      </c>
      <c r="P477" s="1">
        <v>0.36499999999999999</v>
      </c>
      <c r="Q477" s="1">
        <v>0.81699999999999995</v>
      </c>
      <c r="R477">
        <v>422</v>
      </c>
      <c r="S477">
        <v>15</v>
      </c>
      <c r="T477">
        <v>171</v>
      </c>
      <c r="U477">
        <v>76</v>
      </c>
      <c r="V477">
        <v>20</v>
      </c>
      <c r="W477">
        <v>23</v>
      </c>
      <c r="X477">
        <v>61</v>
      </c>
      <c r="Y477" s="5">
        <v>1.2459016393442623</v>
      </c>
    </row>
    <row r="478" spans="1:25" x14ac:dyDescent="0.25">
      <c r="A478">
        <v>2019</v>
      </c>
      <c r="B478" t="s">
        <v>57</v>
      </c>
      <c r="C478">
        <v>5</v>
      </c>
      <c r="D478">
        <v>41</v>
      </c>
      <c r="E478" t="s">
        <v>16</v>
      </c>
      <c r="F478" t="s">
        <v>51</v>
      </c>
      <c r="G478">
        <f t="shared" si="7"/>
        <v>0</v>
      </c>
      <c r="H478">
        <v>6</v>
      </c>
      <c r="I478">
        <v>7</v>
      </c>
      <c r="J478">
        <v>0</v>
      </c>
      <c r="K478" s="6" t="s">
        <v>66</v>
      </c>
      <c r="L478" s="6" t="s">
        <v>81</v>
      </c>
      <c r="M478">
        <v>97</v>
      </c>
      <c r="N478" s="1">
        <v>0.47499999999999998</v>
      </c>
      <c r="O478">
        <v>36</v>
      </c>
      <c r="P478" s="1">
        <v>0.40899999999999997</v>
      </c>
      <c r="Q478" s="1">
        <v>0.75</v>
      </c>
      <c r="R478">
        <v>260</v>
      </c>
      <c r="S478">
        <v>38</v>
      </c>
      <c r="T478">
        <v>90</v>
      </c>
      <c r="U478">
        <v>53</v>
      </c>
      <c r="V478">
        <v>25</v>
      </c>
      <c r="W478">
        <v>11</v>
      </c>
      <c r="X478">
        <v>30</v>
      </c>
      <c r="Y478" s="5">
        <v>1.7666666666666666</v>
      </c>
    </row>
    <row r="479" spans="1:25" x14ac:dyDescent="0.25">
      <c r="A479">
        <v>2019</v>
      </c>
      <c r="B479" t="s">
        <v>57</v>
      </c>
      <c r="C479">
        <v>5</v>
      </c>
      <c r="D479">
        <v>41</v>
      </c>
      <c r="E479" t="s">
        <v>22</v>
      </c>
      <c r="F479" t="s">
        <v>44</v>
      </c>
      <c r="G479">
        <f t="shared" si="7"/>
        <v>1</v>
      </c>
      <c r="H479">
        <v>7</v>
      </c>
      <c r="I479">
        <v>6</v>
      </c>
      <c r="J479">
        <v>0</v>
      </c>
      <c r="K479" s="6" t="s">
        <v>60</v>
      </c>
      <c r="L479" s="6" t="s">
        <v>75</v>
      </c>
      <c r="M479">
        <v>121</v>
      </c>
      <c r="N479" s="1">
        <v>0.48</v>
      </c>
      <c r="O479">
        <v>25</v>
      </c>
      <c r="P479" s="1">
        <v>0.32500000000000001</v>
      </c>
      <c r="Q479" s="1">
        <v>0.83299999999999996</v>
      </c>
      <c r="R479">
        <v>307</v>
      </c>
      <c r="S479">
        <v>30</v>
      </c>
      <c r="T479">
        <v>136</v>
      </c>
      <c r="U479">
        <v>68</v>
      </c>
      <c r="V479">
        <v>24</v>
      </c>
      <c r="W479">
        <v>14</v>
      </c>
      <c r="X479">
        <v>48</v>
      </c>
      <c r="Y479" s="5">
        <v>1.4166666666666667</v>
      </c>
    </row>
    <row r="480" spans="1:25" x14ac:dyDescent="0.25">
      <c r="A480">
        <v>2019</v>
      </c>
      <c r="B480" t="s">
        <v>57</v>
      </c>
      <c r="C480">
        <v>5</v>
      </c>
      <c r="D480">
        <v>42</v>
      </c>
      <c r="E480" t="s">
        <v>28</v>
      </c>
      <c r="F480" t="s">
        <v>46</v>
      </c>
      <c r="G480">
        <f t="shared" si="7"/>
        <v>1</v>
      </c>
      <c r="H480">
        <v>11</v>
      </c>
      <c r="I480">
        <v>2</v>
      </c>
      <c r="J480">
        <v>0</v>
      </c>
      <c r="K480" s="6" t="s">
        <v>65</v>
      </c>
      <c r="L480" s="6" t="s">
        <v>119</v>
      </c>
      <c r="M480">
        <v>210</v>
      </c>
      <c r="N480" s="1">
        <v>0.51600000000000001</v>
      </c>
      <c r="O480">
        <v>48</v>
      </c>
      <c r="P480" s="1">
        <v>0.40300000000000002</v>
      </c>
      <c r="Q480" s="1">
        <v>0.67400000000000004</v>
      </c>
      <c r="R480">
        <v>532</v>
      </c>
      <c r="S480">
        <v>48</v>
      </c>
      <c r="T480">
        <v>149</v>
      </c>
      <c r="U480">
        <v>128</v>
      </c>
      <c r="V480">
        <v>43</v>
      </c>
      <c r="W480">
        <v>26</v>
      </c>
      <c r="X480">
        <v>69</v>
      </c>
      <c r="Y480" s="5">
        <v>1.855072463768116</v>
      </c>
    </row>
    <row r="481" spans="1:25" x14ac:dyDescent="0.25">
      <c r="A481">
        <v>2019</v>
      </c>
      <c r="B481" t="s">
        <v>57</v>
      </c>
      <c r="C481">
        <v>5</v>
      </c>
      <c r="D481">
        <v>42</v>
      </c>
      <c r="E481" t="s">
        <v>26</v>
      </c>
      <c r="F481" t="s">
        <v>118</v>
      </c>
      <c r="G481">
        <f t="shared" si="7"/>
        <v>0</v>
      </c>
      <c r="H481">
        <v>2</v>
      </c>
      <c r="I481">
        <v>11</v>
      </c>
      <c r="J481">
        <v>0</v>
      </c>
      <c r="K481" s="6" t="s">
        <v>64</v>
      </c>
      <c r="L481" s="6" t="s">
        <v>80</v>
      </c>
      <c r="M481">
        <v>110</v>
      </c>
      <c r="N481" s="1">
        <v>0.40600000000000003</v>
      </c>
      <c r="O481">
        <v>33</v>
      </c>
      <c r="P481" s="1">
        <v>0.317</v>
      </c>
      <c r="Q481" s="1">
        <v>0.72699999999999998</v>
      </c>
      <c r="R481">
        <v>309</v>
      </c>
      <c r="S481">
        <v>29</v>
      </c>
      <c r="T481">
        <v>128</v>
      </c>
      <c r="U481">
        <v>81</v>
      </c>
      <c r="V481">
        <v>35</v>
      </c>
      <c r="W481">
        <v>16</v>
      </c>
      <c r="X481">
        <v>62</v>
      </c>
      <c r="Y481" s="5">
        <v>1.3064516129032258</v>
      </c>
    </row>
    <row r="482" spans="1:25" x14ac:dyDescent="0.25">
      <c r="A482">
        <v>2019</v>
      </c>
      <c r="B482" t="s">
        <v>57</v>
      </c>
      <c r="C482">
        <v>5</v>
      </c>
      <c r="D482">
        <v>43</v>
      </c>
      <c r="E482" t="s">
        <v>190</v>
      </c>
      <c r="F482" t="s">
        <v>103</v>
      </c>
      <c r="G482">
        <f t="shared" si="7"/>
        <v>1</v>
      </c>
      <c r="H482">
        <v>11</v>
      </c>
      <c r="I482">
        <v>1</v>
      </c>
      <c r="J482">
        <v>1</v>
      </c>
      <c r="K482" s="6" t="s">
        <v>63</v>
      </c>
      <c r="L482" s="6" t="s">
        <v>79</v>
      </c>
      <c r="M482">
        <v>234</v>
      </c>
      <c r="N482" s="1">
        <v>0.48799999999999999</v>
      </c>
      <c r="O482">
        <v>65</v>
      </c>
      <c r="P482" s="1">
        <v>0.38900000000000001</v>
      </c>
      <c r="Q482" s="1">
        <v>0.77700000000000002</v>
      </c>
      <c r="R482">
        <v>620</v>
      </c>
      <c r="S482">
        <v>45</v>
      </c>
      <c r="T482">
        <v>157</v>
      </c>
      <c r="U482">
        <v>111</v>
      </c>
      <c r="V482">
        <v>34</v>
      </c>
      <c r="W482">
        <v>35</v>
      </c>
      <c r="X482">
        <v>64</v>
      </c>
      <c r="Y482" s="5">
        <v>1.734375</v>
      </c>
    </row>
    <row r="483" spans="1:25" x14ac:dyDescent="0.25">
      <c r="A483">
        <v>2019</v>
      </c>
      <c r="B483" t="s">
        <v>57</v>
      </c>
      <c r="C483">
        <v>5</v>
      </c>
      <c r="D483">
        <v>43</v>
      </c>
      <c r="E483" t="s">
        <v>17</v>
      </c>
      <c r="F483" t="s">
        <v>43</v>
      </c>
      <c r="G483">
        <f t="shared" si="7"/>
        <v>0</v>
      </c>
      <c r="H483">
        <v>1</v>
      </c>
      <c r="I483">
        <v>11</v>
      </c>
      <c r="J483">
        <v>1</v>
      </c>
      <c r="K483" s="6" t="s">
        <v>191</v>
      </c>
      <c r="L483" s="6" t="s">
        <v>113</v>
      </c>
      <c r="M483">
        <v>168</v>
      </c>
      <c r="N483" s="1">
        <v>0.441</v>
      </c>
      <c r="O483">
        <v>54</v>
      </c>
      <c r="P483" s="1">
        <v>0.36</v>
      </c>
      <c r="Q483" s="1">
        <v>0.83699999999999997</v>
      </c>
      <c r="R483">
        <v>467</v>
      </c>
      <c r="S483">
        <v>37</v>
      </c>
      <c r="T483">
        <v>138</v>
      </c>
      <c r="U483">
        <v>85</v>
      </c>
      <c r="V483">
        <v>22</v>
      </c>
      <c r="W483">
        <v>28</v>
      </c>
      <c r="X483">
        <v>64</v>
      </c>
      <c r="Y483" s="5">
        <v>1.328125</v>
      </c>
    </row>
    <row r="484" spans="1:25" x14ac:dyDescent="0.25">
      <c r="A484">
        <v>2019</v>
      </c>
      <c r="B484" t="s">
        <v>57</v>
      </c>
      <c r="C484">
        <v>5</v>
      </c>
      <c r="D484">
        <v>44</v>
      </c>
      <c r="E484" t="s">
        <v>20</v>
      </c>
      <c r="F484" t="s">
        <v>47</v>
      </c>
      <c r="G484">
        <f t="shared" si="7"/>
        <v>1</v>
      </c>
      <c r="H484">
        <v>8</v>
      </c>
      <c r="I484">
        <v>5</v>
      </c>
      <c r="J484">
        <v>0</v>
      </c>
      <c r="K484" s="6" t="s">
        <v>61</v>
      </c>
      <c r="L484" s="6" t="s">
        <v>77</v>
      </c>
      <c r="M484">
        <v>163</v>
      </c>
      <c r="N484" s="1">
        <v>0.47199999999999998</v>
      </c>
      <c r="O484">
        <v>61</v>
      </c>
      <c r="P484" s="1">
        <v>0.40400000000000003</v>
      </c>
      <c r="Q484" s="1">
        <v>0.71199999999999997</v>
      </c>
      <c r="R484">
        <v>434</v>
      </c>
      <c r="S484">
        <v>24</v>
      </c>
      <c r="T484">
        <v>131</v>
      </c>
      <c r="U484">
        <v>102</v>
      </c>
      <c r="V484">
        <v>36</v>
      </c>
      <c r="W484">
        <v>14</v>
      </c>
      <c r="X484">
        <v>51</v>
      </c>
      <c r="Y484" s="5">
        <v>2</v>
      </c>
    </row>
    <row r="485" spans="1:25" x14ac:dyDescent="0.25">
      <c r="A485">
        <v>2019</v>
      </c>
      <c r="B485" t="s">
        <v>57</v>
      </c>
      <c r="C485">
        <v>5</v>
      </c>
      <c r="D485">
        <v>44</v>
      </c>
      <c r="E485" t="s">
        <v>15</v>
      </c>
      <c r="F485" t="s">
        <v>48</v>
      </c>
      <c r="G485">
        <f t="shared" si="7"/>
        <v>0</v>
      </c>
      <c r="H485">
        <v>5</v>
      </c>
      <c r="I485">
        <v>8</v>
      </c>
      <c r="J485">
        <v>0</v>
      </c>
      <c r="K485" s="6" t="s">
        <v>62</v>
      </c>
      <c r="L485" s="6" t="s">
        <v>78</v>
      </c>
      <c r="M485">
        <v>162</v>
      </c>
      <c r="N485" s="1">
        <v>0.47099999999999997</v>
      </c>
      <c r="O485">
        <v>38</v>
      </c>
      <c r="P485" s="1">
        <v>0.4</v>
      </c>
      <c r="Q485" s="1">
        <v>0.79800000000000004</v>
      </c>
      <c r="R485">
        <v>445</v>
      </c>
      <c r="S485">
        <v>53</v>
      </c>
      <c r="T485">
        <v>173</v>
      </c>
      <c r="U485">
        <v>61</v>
      </c>
      <c r="V485">
        <v>35</v>
      </c>
      <c r="W485">
        <v>21</v>
      </c>
      <c r="X485">
        <v>61</v>
      </c>
      <c r="Y485" s="5">
        <v>1</v>
      </c>
    </row>
    <row r="486" spans="1:25" x14ac:dyDescent="0.25">
      <c r="A486">
        <v>2019</v>
      </c>
      <c r="B486" t="s">
        <v>57</v>
      </c>
      <c r="C486">
        <v>5</v>
      </c>
      <c r="D486">
        <v>45</v>
      </c>
      <c r="E486" t="s">
        <v>18</v>
      </c>
      <c r="F486" t="s">
        <v>52</v>
      </c>
      <c r="G486">
        <f t="shared" si="7"/>
        <v>0</v>
      </c>
      <c r="H486">
        <v>6</v>
      </c>
      <c r="I486">
        <v>7</v>
      </c>
      <c r="J486">
        <v>0</v>
      </c>
      <c r="K486" s="6" t="s">
        <v>182</v>
      </c>
      <c r="L486" s="6" t="s">
        <v>76</v>
      </c>
      <c r="M486">
        <v>128</v>
      </c>
      <c r="N486" s="1">
        <v>0.41699999999999998</v>
      </c>
      <c r="O486">
        <v>34</v>
      </c>
      <c r="P486" s="1">
        <v>0.33</v>
      </c>
      <c r="Q486" s="1">
        <v>0.80800000000000005</v>
      </c>
      <c r="R486">
        <v>374</v>
      </c>
      <c r="S486">
        <v>40</v>
      </c>
      <c r="T486">
        <v>117</v>
      </c>
      <c r="U486">
        <v>79</v>
      </c>
      <c r="V486">
        <v>29</v>
      </c>
      <c r="W486">
        <v>11</v>
      </c>
      <c r="X486">
        <v>47</v>
      </c>
      <c r="Y486" s="5">
        <v>1.6808510638297873</v>
      </c>
    </row>
    <row r="487" spans="1:25" x14ac:dyDescent="0.25">
      <c r="A487">
        <v>2019</v>
      </c>
      <c r="B487" t="s">
        <v>57</v>
      </c>
      <c r="C487">
        <v>5</v>
      </c>
      <c r="D487">
        <v>45</v>
      </c>
      <c r="E487" t="s">
        <v>181</v>
      </c>
      <c r="F487" t="s">
        <v>49</v>
      </c>
      <c r="G487">
        <f t="shared" si="7"/>
        <v>1</v>
      </c>
      <c r="H487">
        <v>7</v>
      </c>
      <c r="I487">
        <v>6</v>
      </c>
      <c r="J487">
        <v>0</v>
      </c>
      <c r="K487" s="6" t="s">
        <v>59</v>
      </c>
      <c r="L487" s="6" t="s">
        <v>74</v>
      </c>
      <c r="M487">
        <v>168</v>
      </c>
      <c r="N487" s="1">
        <v>0.49</v>
      </c>
      <c r="O487">
        <v>37</v>
      </c>
      <c r="P487" s="1">
        <v>0.42499999999999999</v>
      </c>
      <c r="Q487" s="1">
        <v>0.83</v>
      </c>
      <c r="R487">
        <v>466</v>
      </c>
      <c r="S487">
        <v>36</v>
      </c>
      <c r="T487">
        <v>99</v>
      </c>
      <c r="U487">
        <v>83</v>
      </c>
      <c r="V487">
        <v>27</v>
      </c>
      <c r="W487">
        <v>10</v>
      </c>
      <c r="X487">
        <v>58</v>
      </c>
      <c r="Y487" s="5">
        <v>1.4310344827586208</v>
      </c>
    </row>
    <row r="488" spans="1:25" x14ac:dyDescent="0.25">
      <c r="A488">
        <v>2019</v>
      </c>
      <c r="B488" t="s">
        <v>57</v>
      </c>
      <c r="C488">
        <v>5</v>
      </c>
      <c r="D488">
        <v>46</v>
      </c>
      <c r="E488" t="s">
        <v>97</v>
      </c>
      <c r="F488" t="s">
        <v>54</v>
      </c>
      <c r="G488">
        <f t="shared" si="7"/>
        <v>0</v>
      </c>
      <c r="H488">
        <v>2</v>
      </c>
      <c r="I488">
        <v>10</v>
      </c>
      <c r="J488">
        <v>1</v>
      </c>
      <c r="K488" s="6" t="s">
        <v>193</v>
      </c>
      <c r="L488" s="6" t="s">
        <v>117</v>
      </c>
      <c r="M488">
        <v>116</v>
      </c>
      <c r="N488" s="1">
        <v>0.372</v>
      </c>
      <c r="O488">
        <v>22</v>
      </c>
      <c r="P488" s="1">
        <v>0.20799999999999999</v>
      </c>
      <c r="Q488" s="1">
        <v>0.69</v>
      </c>
      <c r="R488">
        <v>303</v>
      </c>
      <c r="S488">
        <v>31</v>
      </c>
      <c r="T488">
        <v>111</v>
      </c>
      <c r="U488">
        <v>73</v>
      </c>
      <c r="V488">
        <v>31</v>
      </c>
      <c r="W488">
        <v>14</v>
      </c>
      <c r="X488">
        <v>61</v>
      </c>
      <c r="Y488" s="5">
        <v>1.1967213114754098</v>
      </c>
    </row>
    <row r="489" spans="1:25" x14ac:dyDescent="0.25">
      <c r="A489">
        <v>2019</v>
      </c>
      <c r="B489" t="s">
        <v>57</v>
      </c>
      <c r="C489">
        <v>5</v>
      </c>
      <c r="D489">
        <v>46</v>
      </c>
      <c r="E489" t="s">
        <v>159</v>
      </c>
      <c r="F489" t="s">
        <v>116</v>
      </c>
      <c r="G489">
        <f t="shared" si="7"/>
        <v>1</v>
      </c>
      <c r="H489">
        <v>10</v>
      </c>
      <c r="I489">
        <v>2</v>
      </c>
      <c r="J489">
        <v>1</v>
      </c>
      <c r="K489" s="6" t="s">
        <v>111</v>
      </c>
      <c r="L489" s="6" t="s">
        <v>89</v>
      </c>
      <c r="M489">
        <v>150</v>
      </c>
      <c r="N489" s="1">
        <v>0.48399999999999999</v>
      </c>
      <c r="O489">
        <v>38</v>
      </c>
      <c r="P489" s="1">
        <v>0.40400000000000003</v>
      </c>
      <c r="Q489" s="1">
        <v>0.78600000000000003</v>
      </c>
      <c r="R489">
        <v>382</v>
      </c>
      <c r="S489">
        <v>40</v>
      </c>
      <c r="T489">
        <v>112</v>
      </c>
      <c r="U489">
        <v>63</v>
      </c>
      <c r="V489">
        <v>22</v>
      </c>
      <c r="W489">
        <v>14</v>
      </c>
      <c r="X489">
        <v>44</v>
      </c>
      <c r="Y489" s="5">
        <v>1.4318181818181819</v>
      </c>
    </row>
    <row r="490" spans="1:25" x14ac:dyDescent="0.25">
      <c r="A490">
        <v>2019</v>
      </c>
      <c r="B490" t="s">
        <v>57</v>
      </c>
      <c r="C490">
        <v>5</v>
      </c>
      <c r="D490">
        <v>47</v>
      </c>
      <c r="E490" t="s">
        <v>98</v>
      </c>
      <c r="F490" t="s">
        <v>41</v>
      </c>
      <c r="G490">
        <f t="shared" si="7"/>
        <v>0</v>
      </c>
      <c r="H490">
        <v>3</v>
      </c>
      <c r="I490">
        <v>10</v>
      </c>
      <c r="J490">
        <v>0</v>
      </c>
      <c r="K490" s="6" t="s">
        <v>71</v>
      </c>
      <c r="L490" s="6" t="s">
        <v>121</v>
      </c>
      <c r="M490">
        <v>162</v>
      </c>
      <c r="N490" s="1">
        <v>0.46300000000000002</v>
      </c>
      <c r="O490">
        <v>46</v>
      </c>
      <c r="P490" s="1">
        <v>0.315</v>
      </c>
      <c r="Q490" s="1">
        <v>0.71199999999999997</v>
      </c>
      <c r="R490">
        <v>449</v>
      </c>
      <c r="S490">
        <v>28</v>
      </c>
      <c r="T490">
        <v>129</v>
      </c>
      <c r="U490">
        <v>98</v>
      </c>
      <c r="V490">
        <v>34</v>
      </c>
      <c r="W490">
        <v>24</v>
      </c>
      <c r="X490">
        <v>61</v>
      </c>
      <c r="Y490" s="5">
        <v>1.6065573770491803</v>
      </c>
    </row>
    <row r="491" spans="1:25" x14ac:dyDescent="0.25">
      <c r="A491">
        <v>2019</v>
      </c>
      <c r="B491" t="s">
        <v>57</v>
      </c>
      <c r="C491">
        <v>5</v>
      </c>
      <c r="D491">
        <v>47</v>
      </c>
      <c r="E491" t="s">
        <v>23</v>
      </c>
      <c r="F491" t="s">
        <v>120</v>
      </c>
      <c r="G491">
        <f t="shared" si="7"/>
        <v>1</v>
      </c>
      <c r="H491">
        <v>10</v>
      </c>
      <c r="I491">
        <v>3</v>
      </c>
      <c r="J491">
        <v>0</v>
      </c>
      <c r="K491" s="6" t="s">
        <v>112</v>
      </c>
      <c r="L491" s="6" t="s">
        <v>88</v>
      </c>
      <c r="M491">
        <v>173</v>
      </c>
      <c r="N491" s="1">
        <v>0.45800000000000002</v>
      </c>
      <c r="O491">
        <v>47</v>
      </c>
      <c r="P491" s="1">
        <v>0.376</v>
      </c>
      <c r="Q491" s="1">
        <v>0.79300000000000004</v>
      </c>
      <c r="R491">
        <v>489</v>
      </c>
      <c r="S491">
        <v>54</v>
      </c>
      <c r="T491">
        <v>138</v>
      </c>
      <c r="U491">
        <v>100</v>
      </c>
      <c r="V491">
        <v>25</v>
      </c>
      <c r="W491">
        <v>20</v>
      </c>
      <c r="X491">
        <v>44</v>
      </c>
      <c r="Y491" s="5">
        <v>2.2727272727272729</v>
      </c>
    </row>
    <row r="492" spans="1:25" x14ac:dyDescent="0.25">
      <c r="A492">
        <v>2019</v>
      </c>
      <c r="B492" t="s">
        <v>57</v>
      </c>
      <c r="C492">
        <v>5</v>
      </c>
      <c r="D492">
        <v>48</v>
      </c>
      <c r="E492" t="s">
        <v>21</v>
      </c>
      <c r="F492" t="s">
        <v>50</v>
      </c>
      <c r="G492">
        <f t="shared" si="7"/>
        <v>1</v>
      </c>
      <c r="H492">
        <v>7</v>
      </c>
      <c r="I492">
        <v>6</v>
      </c>
      <c r="J492">
        <v>0</v>
      </c>
      <c r="K492" s="6" t="s">
        <v>69</v>
      </c>
      <c r="L492" s="6" t="s">
        <v>86</v>
      </c>
      <c r="M492">
        <v>187</v>
      </c>
      <c r="N492" s="1">
        <v>0.432</v>
      </c>
      <c r="O492">
        <v>25</v>
      </c>
      <c r="P492" s="1">
        <v>0.23799999999999999</v>
      </c>
      <c r="Q492" s="1">
        <v>0.81299999999999994</v>
      </c>
      <c r="R492">
        <v>499</v>
      </c>
      <c r="S492">
        <v>31</v>
      </c>
      <c r="T492">
        <v>146</v>
      </c>
      <c r="U492">
        <v>110</v>
      </c>
      <c r="V492">
        <v>30</v>
      </c>
      <c r="W492">
        <v>15</v>
      </c>
      <c r="X492">
        <v>71</v>
      </c>
      <c r="Y492" s="5">
        <v>1.5492957746478873</v>
      </c>
    </row>
    <row r="493" spans="1:25" x14ac:dyDescent="0.25">
      <c r="A493">
        <v>2019</v>
      </c>
      <c r="B493" t="s">
        <v>57</v>
      </c>
      <c r="C493">
        <v>5</v>
      </c>
      <c r="D493">
        <v>48</v>
      </c>
      <c r="E493" t="s">
        <v>24</v>
      </c>
      <c r="F493" t="s">
        <v>55</v>
      </c>
      <c r="G493">
        <f t="shared" si="7"/>
        <v>0</v>
      </c>
      <c r="H493">
        <v>6</v>
      </c>
      <c r="I493">
        <v>7</v>
      </c>
      <c r="J493">
        <v>0</v>
      </c>
      <c r="K493" s="6" t="s">
        <v>70</v>
      </c>
      <c r="L493" s="6" t="s">
        <v>87</v>
      </c>
      <c r="M493">
        <v>162</v>
      </c>
      <c r="N493" s="1">
        <v>0.46</v>
      </c>
      <c r="O493">
        <v>49</v>
      </c>
      <c r="P493" s="1">
        <v>0.41199999999999998</v>
      </c>
      <c r="Q493" s="1">
        <v>0.71199999999999997</v>
      </c>
      <c r="R493">
        <v>452</v>
      </c>
      <c r="S493">
        <v>29</v>
      </c>
      <c r="T493">
        <v>111</v>
      </c>
      <c r="U493">
        <v>108</v>
      </c>
      <c r="V493">
        <v>20</v>
      </c>
      <c r="W493">
        <v>17</v>
      </c>
      <c r="X493">
        <v>50</v>
      </c>
      <c r="Y493" s="5">
        <v>2.16</v>
      </c>
    </row>
    <row r="494" spans="1:25" x14ac:dyDescent="0.25">
      <c r="A494">
        <v>2019</v>
      </c>
      <c r="B494" t="s">
        <v>57</v>
      </c>
      <c r="C494">
        <v>5</v>
      </c>
      <c r="D494">
        <v>49</v>
      </c>
      <c r="E494" t="s">
        <v>33</v>
      </c>
      <c r="F494" t="s">
        <v>42</v>
      </c>
      <c r="G494">
        <f t="shared" si="7"/>
        <v>1</v>
      </c>
      <c r="H494">
        <v>10</v>
      </c>
      <c r="I494">
        <v>3</v>
      </c>
      <c r="J494">
        <v>0</v>
      </c>
      <c r="K494" s="6" t="s">
        <v>68</v>
      </c>
      <c r="L494" s="6" t="s">
        <v>84</v>
      </c>
      <c r="M494">
        <v>149</v>
      </c>
      <c r="N494" s="1">
        <v>0.498</v>
      </c>
      <c r="O494">
        <v>39</v>
      </c>
      <c r="P494" s="1">
        <v>0.379</v>
      </c>
      <c r="Q494" s="1">
        <v>0.78300000000000003</v>
      </c>
      <c r="R494">
        <v>409</v>
      </c>
      <c r="S494">
        <v>48</v>
      </c>
      <c r="T494">
        <v>155</v>
      </c>
      <c r="U494">
        <v>107</v>
      </c>
      <c r="V494">
        <v>31</v>
      </c>
      <c r="W494">
        <v>19</v>
      </c>
      <c r="X494">
        <v>56</v>
      </c>
      <c r="Y494" s="5">
        <v>1.9107142857142858</v>
      </c>
    </row>
    <row r="495" spans="1:25" x14ac:dyDescent="0.25">
      <c r="A495">
        <v>2019</v>
      </c>
      <c r="B495" t="s">
        <v>57</v>
      </c>
      <c r="C495">
        <v>5</v>
      </c>
      <c r="D495">
        <v>49</v>
      </c>
      <c r="E495" t="s">
        <v>25</v>
      </c>
      <c r="F495" t="s">
        <v>53</v>
      </c>
      <c r="G495">
        <f t="shared" si="7"/>
        <v>0</v>
      </c>
      <c r="H495">
        <v>3</v>
      </c>
      <c r="I495">
        <v>10</v>
      </c>
      <c r="J495">
        <v>0</v>
      </c>
      <c r="K495" s="6" t="s">
        <v>72</v>
      </c>
      <c r="L495" s="6" t="s">
        <v>85</v>
      </c>
      <c r="M495">
        <v>112</v>
      </c>
      <c r="N495" s="1">
        <v>0.46500000000000002</v>
      </c>
      <c r="O495">
        <v>20</v>
      </c>
      <c r="P495" s="1">
        <v>0.40799999999999997</v>
      </c>
      <c r="Q495" s="1">
        <v>0.90100000000000002</v>
      </c>
      <c r="R495">
        <v>308</v>
      </c>
      <c r="S495">
        <v>8</v>
      </c>
      <c r="T495">
        <v>74</v>
      </c>
      <c r="U495">
        <v>66</v>
      </c>
      <c r="V495">
        <v>10</v>
      </c>
      <c r="W495">
        <v>6</v>
      </c>
      <c r="X495">
        <v>43</v>
      </c>
      <c r="Y495" s="5">
        <v>1.5348837209302326</v>
      </c>
    </row>
    <row r="496" spans="1:25" x14ac:dyDescent="0.25">
      <c r="A496">
        <v>2019</v>
      </c>
      <c r="B496" t="s">
        <v>57</v>
      </c>
      <c r="C496">
        <v>5</v>
      </c>
      <c r="D496">
        <v>50</v>
      </c>
      <c r="E496" t="s">
        <v>19</v>
      </c>
      <c r="F496" t="s">
        <v>56</v>
      </c>
      <c r="G496">
        <f t="shared" si="7"/>
        <v>1</v>
      </c>
      <c r="H496">
        <v>7</v>
      </c>
      <c r="I496">
        <v>6</v>
      </c>
      <c r="J496">
        <v>0</v>
      </c>
      <c r="K496" s="6" t="s">
        <v>106</v>
      </c>
      <c r="L496" s="6" t="s">
        <v>83</v>
      </c>
      <c r="M496">
        <v>145</v>
      </c>
      <c r="N496" s="1">
        <v>0.495</v>
      </c>
      <c r="O496">
        <v>35</v>
      </c>
      <c r="P496" s="1">
        <v>0.35699999999999998</v>
      </c>
      <c r="Q496" s="1">
        <v>0.82</v>
      </c>
      <c r="R496">
        <v>398</v>
      </c>
      <c r="S496">
        <v>45</v>
      </c>
      <c r="T496">
        <v>111</v>
      </c>
      <c r="U496">
        <v>78</v>
      </c>
      <c r="V496">
        <v>26</v>
      </c>
      <c r="W496">
        <v>18</v>
      </c>
      <c r="X496">
        <v>52</v>
      </c>
      <c r="Y496" s="5">
        <v>1.5</v>
      </c>
    </row>
    <row r="497" spans="1:25" x14ac:dyDescent="0.25">
      <c r="A497">
        <v>2019</v>
      </c>
      <c r="B497" t="s">
        <v>57</v>
      </c>
      <c r="C497">
        <v>5</v>
      </c>
      <c r="D497">
        <v>50</v>
      </c>
      <c r="E497" t="s">
        <v>94</v>
      </c>
      <c r="F497" t="s">
        <v>40</v>
      </c>
      <c r="G497">
        <f t="shared" si="7"/>
        <v>0</v>
      </c>
      <c r="H497">
        <v>6</v>
      </c>
      <c r="I497">
        <v>7</v>
      </c>
      <c r="J497">
        <v>0</v>
      </c>
      <c r="K497" s="6" t="s">
        <v>67</v>
      </c>
      <c r="L497" s="6" t="s">
        <v>82</v>
      </c>
      <c r="M497">
        <v>147</v>
      </c>
      <c r="N497" s="1">
        <v>0.46200000000000002</v>
      </c>
      <c r="O497">
        <v>44</v>
      </c>
      <c r="P497" s="1">
        <v>0.34100000000000003</v>
      </c>
      <c r="Q497" s="1">
        <v>0.80600000000000005</v>
      </c>
      <c r="R497">
        <v>421</v>
      </c>
      <c r="S497">
        <v>34</v>
      </c>
      <c r="T497">
        <v>113</v>
      </c>
      <c r="U497">
        <v>91</v>
      </c>
      <c r="V497">
        <v>24</v>
      </c>
      <c r="W497">
        <v>16</v>
      </c>
      <c r="X497">
        <v>56</v>
      </c>
      <c r="Y497" s="5">
        <v>1.625</v>
      </c>
    </row>
    <row r="498" spans="1:25" x14ac:dyDescent="0.25">
      <c r="A498">
        <v>2019</v>
      </c>
      <c r="B498" t="s">
        <v>57</v>
      </c>
      <c r="C498">
        <v>6</v>
      </c>
      <c r="D498">
        <v>51</v>
      </c>
      <c r="E498" t="s">
        <v>16</v>
      </c>
      <c r="F498" t="s">
        <v>51</v>
      </c>
      <c r="G498">
        <f t="shared" si="7"/>
        <v>1</v>
      </c>
      <c r="H498">
        <v>7</v>
      </c>
      <c r="I498">
        <v>6</v>
      </c>
      <c r="J498">
        <v>0</v>
      </c>
      <c r="K498" s="6" t="s">
        <v>65</v>
      </c>
      <c r="L498" s="6" t="s">
        <v>119</v>
      </c>
      <c r="M498">
        <v>150</v>
      </c>
      <c r="N498" s="1">
        <v>0.46</v>
      </c>
      <c r="O498">
        <v>33</v>
      </c>
      <c r="P498" s="1">
        <v>0.27700000000000002</v>
      </c>
      <c r="Q498" s="1">
        <v>0.628</v>
      </c>
      <c r="R498">
        <v>382</v>
      </c>
      <c r="S498">
        <v>56</v>
      </c>
      <c r="T498">
        <v>130</v>
      </c>
      <c r="U498">
        <v>98</v>
      </c>
      <c r="V498">
        <v>42</v>
      </c>
      <c r="W498">
        <v>26</v>
      </c>
      <c r="X498">
        <v>46</v>
      </c>
      <c r="Y498" s="5">
        <v>2.1304347826086958</v>
      </c>
    </row>
    <row r="499" spans="1:25" x14ac:dyDescent="0.25">
      <c r="A499">
        <v>2019</v>
      </c>
      <c r="B499" t="s">
        <v>57</v>
      </c>
      <c r="C499">
        <v>6</v>
      </c>
      <c r="D499">
        <v>51</v>
      </c>
      <c r="E499" t="s">
        <v>26</v>
      </c>
      <c r="F499" t="s">
        <v>118</v>
      </c>
      <c r="G499">
        <f t="shared" si="7"/>
        <v>0</v>
      </c>
      <c r="H499">
        <v>6</v>
      </c>
      <c r="I499">
        <v>7</v>
      </c>
      <c r="J499">
        <v>0</v>
      </c>
      <c r="K499" s="6" t="s">
        <v>60</v>
      </c>
      <c r="L499" s="6" t="s">
        <v>75</v>
      </c>
      <c r="M499">
        <v>145</v>
      </c>
      <c r="N499" s="1">
        <v>0.47199999999999998</v>
      </c>
      <c r="O499">
        <v>34</v>
      </c>
      <c r="P499" s="1">
        <v>0.30399999999999999</v>
      </c>
      <c r="Q499" s="1">
        <v>0.77800000000000002</v>
      </c>
      <c r="R499">
        <v>387</v>
      </c>
      <c r="S499">
        <v>33</v>
      </c>
      <c r="T499">
        <v>124</v>
      </c>
      <c r="U499">
        <v>82</v>
      </c>
      <c r="V499">
        <v>22</v>
      </c>
      <c r="W499">
        <v>22</v>
      </c>
      <c r="X499">
        <v>42</v>
      </c>
      <c r="Y499" s="5">
        <v>1.9523809523809523</v>
      </c>
    </row>
    <row r="500" spans="1:25" x14ac:dyDescent="0.25">
      <c r="A500">
        <v>2019</v>
      </c>
      <c r="B500" t="s">
        <v>57</v>
      </c>
      <c r="C500">
        <v>6</v>
      </c>
      <c r="D500">
        <v>52</v>
      </c>
      <c r="E500" t="s">
        <v>190</v>
      </c>
      <c r="F500" t="s">
        <v>103</v>
      </c>
      <c r="G500">
        <f t="shared" si="7"/>
        <v>1</v>
      </c>
      <c r="H500">
        <v>8</v>
      </c>
      <c r="I500">
        <v>5</v>
      </c>
      <c r="J500">
        <v>0</v>
      </c>
      <c r="K500" s="6" t="s">
        <v>66</v>
      </c>
      <c r="L500" s="6" t="s">
        <v>81</v>
      </c>
      <c r="M500">
        <v>221</v>
      </c>
      <c r="N500" s="1">
        <v>0.46300000000000002</v>
      </c>
      <c r="O500">
        <v>38</v>
      </c>
      <c r="P500" s="1">
        <v>0.28799999999999998</v>
      </c>
      <c r="Q500" s="1">
        <v>0.7</v>
      </c>
      <c r="R500">
        <v>557</v>
      </c>
      <c r="S500">
        <v>83</v>
      </c>
      <c r="T500">
        <v>161</v>
      </c>
      <c r="U500">
        <v>115</v>
      </c>
      <c r="V500">
        <v>41</v>
      </c>
      <c r="W500">
        <v>39</v>
      </c>
      <c r="X500">
        <v>72</v>
      </c>
      <c r="Y500" s="5">
        <v>1.5972222222222223</v>
      </c>
    </row>
    <row r="501" spans="1:25" x14ac:dyDescent="0.25">
      <c r="A501">
        <v>2019</v>
      </c>
      <c r="B501" t="s">
        <v>57</v>
      </c>
      <c r="C501">
        <v>6</v>
      </c>
      <c r="D501">
        <v>52</v>
      </c>
      <c r="E501" t="s">
        <v>22</v>
      </c>
      <c r="F501" t="s">
        <v>44</v>
      </c>
      <c r="G501">
        <f t="shared" si="7"/>
        <v>0</v>
      </c>
      <c r="H501">
        <v>5</v>
      </c>
      <c r="I501">
        <v>8</v>
      </c>
      <c r="J501">
        <v>0</v>
      </c>
      <c r="K501" s="6" t="s">
        <v>191</v>
      </c>
      <c r="L501" s="6" t="s">
        <v>113</v>
      </c>
      <c r="M501">
        <v>181</v>
      </c>
      <c r="N501" s="1">
        <v>0.50800000000000001</v>
      </c>
      <c r="O501">
        <v>51</v>
      </c>
      <c r="P501" s="1">
        <v>0.38100000000000001</v>
      </c>
      <c r="Q501" s="1">
        <v>0.72099999999999997</v>
      </c>
      <c r="R501">
        <v>493</v>
      </c>
      <c r="S501">
        <v>38</v>
      </c>
      <c r="T501">
        <v>130</v>
      </c>
      <c r="U501">
        <v>98</v>
      </c>
      <c r="V501">
        <v>28</v>
      </c>
      <c r="W501">
        <v>9</v>
      </c>
      <c r="X501">
        <v>64</v>
      </c>
      <c r="Y501" s="5">
        <v>1.53125</v>
      </c>
    </row>
    <row r="502" spans="1:25" x14ac:dyDescent="0.25">
      <c r="A502">
        <v>2019</v>
      </c>
      <c r="B502" t="s">
        <v>57</v>
      </c>
      <c r="C502">
        <v>6</v>
      </c>
      <c r="D502">
        <v>53</v>
      </c>
      <c r="E502" t="s">
        <v>28</v>
      </c>
      <c r="F502" t="s">
        <v>46</v>
      </c>
      <c r="G502">
        <f t="shared" si="7"/>
        <v>0</v>
      </c>
      <c r="H502">
        <v>6</v>
      </c>
      <c r="I502">
        <v>6</v>
      </c>
      <c r="J502">
        <v>1</v>
      </c>
      <c r="K502" s="6" t="s">
        <v>62</v>
      </c>
      <c r="L502" s="6" t="s">
        <v>78</v>
      </c>
      <c r="M502">
        <v>177</v>
      </c>
      <c r="N502" s="1">
        <v>0.45300000000000001</v>
      </c>
      <c r="O502">
        <v>42</v>
      </c>
      <c r="P502" s="1">
        <v>0.32800000000000001</v>
      </c>
      <c r="Q502" s="1">
        <v>0.66</v>
      </c>
      <c r="R502">
        <v>458</v>
      </c>
      <c r="S502">
        <v>35</v>
      </c>
      <c r="T502">
        <v>163</v>
      </c>
      <c r="U502">
        <v>153</v>
      </c>
      <c r="V502">
        <v>37</v>
      </c>
      <c r="W502">
        <v>24</v>
      </c>
      <c r="X502">
        <v>74</v>
      </c>
      <c r="Y502" s="5">
        <v>2.0675675675675675</v>
      </c>
    </row>
    <row r="503" spans="1:25" x14ac:dyDescent="0.25">
      <c r="A503">
        <v>2019</v>
      </c>
      <c r="B503" t="s">
        <v>57</v>
      </c>
      <c r="C503">
        <v>6</v>
      </c>
      <c r="D503">
        <v>53</v>
      </c>
      <c r="E503" t="s">
        <v>20</v>
      </c>
      <c r="F503" t="s">
        <v>47</v>
      </c>
      <c r="G503">
        <f t="shared" si="7"/>
        <v>0</v>
      </c>
      <c r="H503">
        <v>6</v>
      </c>
      <c r="I503">
        <v>6</v>
      </c>
      <c r="J503">
        <v>1</v>
      </c>
      <c r="K503" s="6" t="s">
        <v>64</v>
      </c>
      <c r="L503" s="6" t="s">
        <v>80</v>
      </c>
      <c r="M503">
        <v>176</v>
      </c>
      <c r="N503" s="1">
        <v>0.44800000000000001</v>
      </c>
      <c r="O503">
        <v>51</v>
      </c>
      <c r="P503" s="1">
        <v>0.35699999999999998</v>
      </c>
      <c r="Q503" s="1">
        <v>0.77</v>
      </c>
      <c r="R503">
        <v>470</v>
      </c>
      <c r="S503">
        <v>58</v>
      </c>
      <c r="T503">
        <v>135</v>
      </c>
      <c r="U503">
        <v>76</v>
      </c>
      <c r="V503">
        <v>37</v>
      </c>
      <c r="W503">
        <v>12</v>
      </c>
      <c r="X503">
        <v>57</v>
      </c>
      <c r="Y503" s="5">
        <v>1.3333333333333333</v>
      </c>
    </row>
    <row r="504" spans="1:25" x14ac:dyDescent="0.25">
      <c r="A504">
        <v>2019</v>
      </c>
      <c r="B504" t="s">
        <v>57</v>
      </c>
      <c r="C504">
        <v>6</v>
      </c>
      <c r="D504">
        <v>54</v>
      </c>
      <c r="E504" t="s">
        <v>181</v>
      </c>
      <c r="F504" t="s">
        <v>49</v>
      </c>
      <c r="G504">
        <f t="shared" si="7"/>
        <v>1</v>
      </c>
      <c r="H504">
        <v>10</v>
      </c>
      <c r="I504">
        <v>3</v>
      </c>
      <c r="J504">
        <v>0</v>
      </c>
      <c r="K504" s="6" t="s">
        <v>63</v>
      </c>
      <c r="L504" s="6" t="s">
        <v>79</v>
      </c>
      <c r="M504">
        <v>228</v>
      </c>
      <c r="N504" s="1">
        <v>0.47399999999999998</v>
      </c>
      <c r="O504">
        <v>53</v>
      </c>
      <c r="P504" s="1">
        <v>0.376</v>
      </c>
      <c r="Q504" s="1">
        <v>0.81699999999999995</v>
      </c>
      <c r="R504">
        <v>616</v>
      </c>
      <c r="S504">
        <v>65</v>
      </c>
      <c r="T504">
        <v>145</v>
      </c>
      <c r="U504">
        <v>134</v>
      </c>
      <c r="V504">
        <v>33</v>
      </c>
      <c r="W504">
        <v>17</v>
      </c>
      <c r="X504">
        <v>54</v>
      </c>
      <c r="Y504" s="5">
        <v>2.4814814814814814</v>
      </c>
    </row>
    <row r="505" spans="1:25" x14ac:dyDescent="0.25">
      <c r="A505">
        <v>2019</v>
      </c>
      <c r="B505" t="s">
        <v>57</v>
      </c>
      <c r="C505">
        <v>6</v>
      </c>
      <c r="D505">
        <v>54</v>
      </c>
      <c r="E505" t="s">
        <v>17</v>
      </c>
      <c r="F505" t="s">
        <v>43</v>
      </c>
      <c r="G505">
        <f t="shared" si="7"/>
        <v>0</v>
      </c>
      <c r="H505">
        <v>3</v>
      </c>
      <c r="I505">
        <v>10</v>
      </c>
      <c r="J505">
        <v>0</v>
      </c>
      <c r="K505" s="6" t="s">
        <v>182</v>
      </c>
      <c r="L505" s="6" t="s">
        <v>76</v>
      </c>
      <c r="M505">
        <v>207</v>
      </c>
      <c r="N505" s="1">
        <v>0.46400000000000002</v>
      </c>
      <c r="O505">
        <v>62</v>
      </c>
      <c r="P505" s="1">
        <v>0.36699999999999999</v>
      </c>
      <c r="Q505" s="1">
        <v>0.83299999999999996</v>
      </c>
      <c r="R505">
        <v>601</v>
      </c>
      <c r="S505">
        <v>43</v>
      </c>
      <c r="T505">
        <v>172</v>
      </c>
      <c r="U505">
        <v>121</v>
      </c>
      <c r="V505">
        <v>28</v>
      </c>
      <c r="W505">
        <v>14</v>
      </c>
      <c r="X505">
        <v>80</v>
      </c>
      <c r="Y505" s="5">
        <v>1.5125</v>
      </c>
    </row>
    <row r="506" spans="1:25" x14ac:dyDescent="0.25">
      <c r="A506">
        <v>2019</v>
      </c>
      <c r="B506" t="s">
        <v>57</v>
      </c>
      <c r="C506">
        <v>6</v>
      </c>
      <c r="D506">
        <v>55</v>
      </c>
      <c r="E506" t="s">
        <v>15</v>
      </c>
      <c r="F506" t="s">
        <v>48</v>
      </c>
      <c r="G506">
        <f t="shared" si="7"/>
        <v>1</v>
      </c>
      <c r="H506">
        <v>7</v>
      </c>
      <c r="I506">
        <v>5</v>
      </c>
      <c r="J506">
        <v>1</v>
      </c>
      <c r="K506" s="6" t="s">
        <v>59</v>
      </c>
      <c r="L506" s="6" t="s">
        <v>74</v>
      </c>
      <c r="M506">
        <v>194</v>
      </c>
      <c r="N506" s="1">
        <v>0.439</v>
      </c>
      <c r="O506">
        <v>56</v>
      </c>
      <c r="P506" s="1">
        <v>0.41199999999999998</v>
      </c>
      <c r="Q506" s="1">
        <v>0.82499999999999996</v>
      </c>
      <c r="R506">
        <v>543</v>
      </c>
      <c r="S506">
        <v>62</v>
      </c>
      <c r="T506">
        <v>155</v>
      </c>
      <c r="U506">
        <v>98</v>
      </c>
      <c r="V506">
        <v>40</v>
      </c>
      <c r="W506">
        <v>21</v>
      </c>
      <c r="X506">
        <v>51</v>
      </c>
      <c r="Y506" s="5">
        <v>1.9215686274509804</v>
      </c>
    </row>
    <row r="507" spans="1:25" x14ac:dyDescent="0.25">
      <c r="A507">
        <v>2019</v>
      </c>
      <c r="B507" t="s">
        <v>57</v>
      </c>
      <c r="C507">
        <v>6</v>
      </c>
      <c r="D507">
        <v>55</v>
      </c>
      <c r="E507" t="s">
        <v>18</v>
      </c>
      <c r="F507" t="s">
        <v>52</v>
      </c>
      <c r="G507">
        <f t="shared" si="7"/>
        <v>0</v>
      </c>
      <c r="H507">
        <v>5</v>
      </c>
      <c r="I507">
        <v>7</v>
      </c>
      <c r="J507">
        <v>1</v>
      </c>
      <c r="K507" s="6" t="s">
        <v>61</v>
      </c>
      <c r="L507" s="6" t="s">
        <v>77</v>
      </c>
      <c r="M507">
        <v>183</v>
      </c>
      <c r="N507" s="1">
        <v>0.45500000000000002</v>
      </c>
      <c r="O507">
        <v>57</v>
      </c>
      <c r="P507" s="1">
        <v>0.41599999999999998</v>
      </c>
      <c r="Q507" s="1">
        <v>0.85899999999999999</v>
      </c>
      <c r="R507">
        <v>490</v>
      </c>
      <c r="S507">
        <v>33</v>
      </c>
      <c r="T507">
        <v>121</v>
      </c>
      <c r="U507">
        <v>100</v>
      </c>
      <c r="V507">
        <v>31</v>
      </c>
      <c r="W507">
        <v>21</v>
      </c>
      <c r="X507">
        <v>53</v>
      </c>
      <c r="Y507" s="5">
        <v>1.8867924528301887</v>
      </c>
    </row>
    <row r="508" spans="1:25" x14ac:dyDescent="0.25">
      <c r="A508">
        <v>2019</v>
      </c>
      <c r="B508" t="s">
        <v>57</v>
      </c>
      <c r="C508">
        <v>6</v>
      </c>
      <c r="D508">
        <v>56</v>
      </c>
      <c r="E508" t="s">
        <v>98</v>
      </c>
      <c r="F508" t="s">
        <v>41</v>
      </c>
      <c r="G508">
        <f t="shared" si="7"/>
        <v>1</v>
      </c>
      <c r="H508">
        <v>8</v>
      </c>
      <c r="I508">
        <v>5</v>
      </c>
      <c r="J508">
        <v>0</v>
      </c>
      <c r="K508" s="6" t="s">
        <v>193</v>
      </c>
      <c r="L508" s="6" t="s">
        <v>117</v>
      </c>
      <c r="M508">
        <v>199</v>
      </c>
      <c r="N508" s="1">
        <v>0.495</v>
      </c>
      <c r="O508">
        <v>61</v>
      </c>
      <c r="P508" s="1">
        <v>0.38900000000000001</v>
      </c>
      <c r="Q508" s="1">
        <v>0.81299999999999994</v>
      </c>
      <c r="R508">
        <v>546</v>
      </c>
      <c r="S508">
        <v>27</v>
      </c>
      <c r="T508">
        <v>182</v>
      </c>
      <c r="U508">
        <v>124</v>
      </c>
      <c r="V508">
        <v>32</v>
      </c>
      <c r="W508">
        <v>29</v>
      </c>
      <c r="X508">
        <v>34</v>
      </c>
      <c r="Y508" s="5">
        <v>3.6470588235294117</v>
      </c>
    </row>
    <row r="509" spans="1:25" x14ac:dyDescent="0.25">
      <c r="A509">
        <v>2019</v>
      </c>
      <c r="B509" t="s">
        <v>57</v>
      </c>
      <c r="C509">
        <v>6</v>
      </c>
      <c r="D509">
        <v>56</v>
      </c>
      <c r="E509" t="s">
        <v>159</v>
      </c>
      <c r="F509" t="s">
        <v>116</v>
      </c>
      <c r="G509">
        <f t="shared" si="7"/>
        <v>0</v>
      </c>
      <c r="H509">
        <v>5</v>
      </c>
      <c r="I509">
        <v>8</v>
      </c>
      <c r="J509">
        <v>0</v>
      </c>
      <c r="K509" s="6" t="s">
        <v>112</v>
      </c>
      <c r="L509" s="6" t="s">
        <v>88</v>
      </c>
      <c r="M509">
        <v>221</v>
      </c>
      <c r="N509" s="1">
        <v>0.52500000000000002</v>
      </c>
      <c r="O509">
        <v>53</v>
      </c>
      <c r="P509" s="1">
        <v>0.39300000000000002</v>
      </c>
      <c r="Q509" s="1">
        <v>0.73299999999999998</v>
      </c>
      <c r="R509">
        <v>558</v>
      </c>
      <c r="S509">
        <v>43</v>
      </c>
      <c r="T509">
        <v>173</v>
      </c>
      <c r="U509">
        <v>69</v>
      </c>
      <c r="V509">
        <v>28</v>
      </c>
      <c r="W509">
        <v>20</v>
      </c>
      <c r="X509">
        <v>56</v>
      </c>
      <c r="Y509" s="5">
        <v>1.2321428571428572</v>
      </c>
    </row>
    <row r="510" spans="1:25" x14ac:dyDescent="0.25">
      <c r="A510">
        <v>2019</v>
      </c>
      <c r="B510" t="s">
        <v>57</v>
      </c>
      <c r="C510">
        <v>6</v>
      </c>
      <c r="D510">
        <v>57</v>
      </c>
      <c r="E510" t="s">
        <v>21</v>
      </c>
      <c r="F510" t="s">
        <v>50</v>
      </c>
      <c r="G510">
        <f t="shared" si="7"/>
        <v>1</v>
      </c>
      <c r="H510">
        <v>10</v>
      </c>
      <c r="I510">
        <v>3</v>
      </c>
      <c r="J510">
        <v>0</v>
      </c>
      <c r="K510" s="6" t="s">
        <v>111</v>
      </c>
      <c r="L510" s="6" t="s">
        <v>89</v>
      </c>
      <c r="M510">
        <v>213</v>
      </c>
      <c r="N510" s="1">
        <v>0.497</v>
      </c>
      <c r="O510">
        <v>41</v>
      </c>
      <c r="P510" s="1">
        <v>0.36</v>
      </c>
      <c r="Q510" s="1">
        <v>0.77800000000000002</v>
      </c>
      <c r="R510">
        <v>579</v>
      </c>
      <c r="S510">
        <v>59</v>
      </c>
      <c r="T510">
        <v>172</v>
      </c>
      <c r="U510">
        <v>97</v>
      </c>
      <c r="V510">
        <v>33</v>
      </c>
      <c r="W510">
        <v>22</v>
      </c>
      <c r="X510">
        <v>69</v>
      </c>
      <c r="Y510" s="5">
        <v>1.4057971014492754</v>
      </c>
    </row>
    <row r="511" spans="1:25" x14ac:dyDescent="0.25">
      <c r="A511">
        <v>2019</v>
      </c>
      <c r="B511" t="s">
        <v>57</v>
      </c>
      <c r="C511">
        <v>6</v>
      </c>
      <c r="D511">
        <v>57</v>
      </c>
      <c r="E511" t="s">
        <v>97</v>
      </c>
      <c r="F511" t="s">
        <v>54</v>
      </c>
      <c r="G511">
        <f t="shared" si="7"/>
        <v>0</v>
      </c>
      <c r="H511">
        <v>3</v>
      </c>
      <c r="I511">
        <v>10</v>
      </c>
      <c r="J511">
        <v>0</v>
      </c>
      <c r="K511" s="6" t="s">
        <v>70</v>
      </c>
      <c r="L511" s="6" t="s">
        <v>87</v>
      </c>
      <c r="M511">
        <v>130</v>
      </c>
      <c r="N511" s="1">
        <v>0.42099999999999999</v>
      </c>
      <c r="O511">
        <v>38</v>
      </c>
      <c r="P511" s="1">
        <v>0.35499999999999998</v>
      </c>
      <c r="Q511" s="1">
        <v>0.85499999999999998</v>
      </c>
      <c r="R511">
        <v>369</v>
      </c>
      <c r="S511">
        <v>35</v>
      </c>
      <c r="T511">
        <v>109</v>
      </c>
      <c r="U511">
        <v>93</v>
      </c>
      <c r="V511">
        <v>20</v>
      </c>
      <c r="W511">
        <v>15</v>
      </c>
      <c r="X511">
        <v>52</v>
      </c>
      <c r="Y511" s="5">
        <v>1.7884615384615385</v>
      </c>
    </row>
    <row r="512" spans="1:25" x14ac:dyDescent="0.25">
      <c r="A512">
        <v>2019</v>
      </c>
      <c r="B512" t="s">
        <v>57</v>
      </c>
      <c r="C512">
        <v>6</v>
      </c>
      <c r="D512">
        <v>58</v>
      </c>
      <c r="E512" t="s">
        <v>33</v>
      </c>
      <c r="F512" t="s">
        <v>42</v>
      </c>
      <c r="G512">
        <f t="shared" si="7"/>
        <v>1</v>
      </c>
      <c r="H512">
        <v>8</v>
      </c>
      <c r="I512">
        <v>5</v>
      </c>
      <c r="J512">
        <v>0</v>
      </c>
      <c r="K512" s="6" t="s">
        <v>71</v>
      </c>
      <c r="L512" s="6" t="s">
        <v>121</v>
      </c>
      <c r="M512">
        <v>177</v>
      </c>
      <c r="N512" s="1">
        <v>0.49399999999999999</v>
      </c>
      <c r="O512">
        <v>14</v>
      </c>
      <c r="P512" s="1">
        <v>0.17100000000000001</v>
      </c>
      <c r="Q512" s="1">
        <v>0.64600000000000002</v>
      </c>
      <c r="R512">
        <v>441</v>
      </c>
      <c r="S512">
        <v>44</v>
      </c>
      <c r="T512">
        <v>129</v>
      </c>
      <c r="U512">
        <v>112</v>
      </c>
      <c r="V512">
        <v>31</v>
      </c>
      <c r="W512">
        <v>42</v>
      </c>
      <c r="X512">
        <v>58</v>
      </c>
      <c r="Y512" s="5">
        <v>1.9310344827586208</v>
      </c>
    </row>
    <row r="513" spans="1:25" x14ac:dyDescent="0.25">
      <c r="A513">
        <v>2019</v>
      </c>
      <c r="B513" t="s">
        <v>57</v>
      </c>
      <c r="C513">
        <v>6</v>
      </c>
      <c r="D513">
        <v>58</v>
      </c>
      <c r="E513" t="s">
        <v>23</v>
      </c>
      <c r="F513" t="s">
        <v>120</v>
      </c>
      <c r="G513">
        <f t="shared" si="7"/>
        <v>0</v>
      </c>
      <c r="H513">
        <v>5</v>
      </c>
      <c r="I513">
        <v>8</v>
      </c>
      <c r="J513">
        <v>0</v>
      </c>
      <c r="K513" s="6" t="s">
        <v>72</v>
      </c>
      <c r="L513" s="6" t="s">
        <v>85</v>
      </c>
      <c r="M513">
        <v>148</v>
      </c>
      <c r="N513" s="1">
        <v>0.433</v>
      </c>
      <c r="O513">
        <v>40</v>
      </c>
      <c r="P513" s="1">
        <v>0.34799999999999998</v>
      </c>
      <c r="Q513" s="1">
        <v>0.74199999999999999</v>
      </c>
      <c r="R513">
        <v>402</v>
      </c>
      <c r="S513">
        <v>37</v>
      </c>
      <c r="T513">
        <v>132</v>
      </c>
      <c r="U513">
        <v>89</v>
      </c>
      <c r="V513">
        <v>26</v>
      </c>
      <c r="W513">
        <v>23</v>
      </c>
      <c r="X513">
        <v>47</v>
      </c>
      <c r="Y513" s="5">
        <v>1.8936170212765957</v>
      </c>
    </row>
    <row r="514" spans="1:25" x14ac:dyDescent="0.25">
      <c r="A514">
        <v>2019</v>
      </c>
      <c r="B514" t="s">
        <v>57</v>
      </c>
      <c r="C514">
        <v>6</v>
      </c>
      <c r="D514">
        <v>59</v>
      </c>
      <c r="E514" t="s">
        <v>94</v>
      </c>
      <c r="F514" t="s">
        <v>40</v>
      </c>
      <c r="G514">
        <f t="shared" ref="G514:G577" si="8">IF(H514+0.5*J514&gt;6.5,1,0)</f>
        <v>1</v>
      </c>
      <c r="H514">
        <v>10</v>
      </c>
      <c r="I514">
        <v>3</v>
      </c>
      <c r="J514">
        <v>0</v>
      </c>
      <c r="K514" s="6" t="s">
        <v>69</v>
      </c>
      <c r="L514" s="6" t="s">
        <v>86</v>
      </c>
      <c r="M514">
        <v>205</v>
      </c>
      <c r="N514" s="1">
        <v>0.48799999999999999</v>
      </c>
      <c r="O514">
        <v>62</v>
      </c>
      <c r="P514" s="1">
        <v>0.38300000000000001</v>
      </c>
      <c r="Q514" s="1">
        <v>0.83699999999999997</v>
      </c>
      <c r="R514">
        <v>585</v>
      </c>
      <c r="S514">
        <v>44</v>
      </c>
      <c r="T514">
        <v>169</v>
      </c>
      <c r="U514">
        <v>138</v>
      </c>
      <c r="V514">
        <v>32</v>
      </c>
      <c r="W514">
        <v>14</v>
      </c>
      <c r="X514">
        <v>74</v>
      </c>
      <c r="Y514" s="5">
        <v>1.8648648648648649</v>
      </c>
    </row>
    <row r="515" spans="1:25" x14ac:dyDescent="0.25">
      <c r="A515">
        <v>2019</v>
      </c>
      <c r="B515" t="s">
        <v>57</v>
      </c>
      <c r="C515">
        <v>6</v>
      </c>
      <c r="D515">
        <v>59</v>
      </c>
      <c r="E515" t="s">
        <v>24</v>
      </c>
      <c r="F515" t="s">
        <v>55</v>
      </c>
      <c r="G515">
        <f t="shared" si="8"/>
        <v>0</v>
      </c>
      <c r="H515">
        <v>3</v>
      </c>
      <c r="I515">
        <v>10</v>
      </c>
      <c r="J515">
        <v>0</v>
      </c>
      <c r="K515" s="6" t="s">
        <v>106</v>
      </c>
      <c r="L515" s="6" t="s">
        <v>83</v>
      </c>
      <c r="M515">
        <v>142</v>
      </c>
      <c r="N515" s="1">
        <v>0.44400000000000001</v>
      </c>
      <c r="O515">
        <v>36</v>
      </c>
      <c r="P515" s="1">
        <v>0.28299999999999997</v>
      </c>
      <c r="Q515" s="1">
        <v>0.69099999999999995</v>
      </c>
      <c r="R515">
        <v>396</v>
      </c>
      <c r="S515">
        <v>34</v>
      </c>
      <c r="T515">
        <v>139</v>
      </c>
      <c r="U515">
        <v>107</v>
      </c>
      <c r="V515">
        <v>20</v>
      </c>
      <c r="W515">
        <v>27</v>
      </c>
      <c r="X515">
        <v>54</v>
      </c>
      <c r="Y515" s="5">
        <v>1.9814814814814814</v>
      </c>
    </row>
    <row r="516" spans="1:25" x14ac:dyDescent="0.25">
      <c r="A516">
        <v>2019</v>
      </c>
      <c r="B516" t="s">
        <v>57</v>
      </c>
      <c r="C516">
        <v>6</v>
      </c>
      <c r="D516">
        <v>60</v>
      </c>
      <c r="E516" t="s">
        <v>25</v>
      </c>
      <c r="F516" t="s">
        <v>53</v>
      </c>
      <c r="G516">
        <f t="shared" si="8"/>
        <v>1</v>
      </c>
      <c r="H516">
        <v>9</v>
      </c>
      <c r="I516">
        <v>4</v>
      </c>
      <c r="J516">
        <v>0</v>
      </c>
      <c r="K516" s="6" t="s">
        <v>67</v>
      </c>
      <c r="L516" s="6" t="s">
        <v>82</v>
      </c>
      <c r="M516">
        <v>187</v>
      </c>
      <c r="N516" s="1">
        <v>0.45500000000000002</v>
      </c>
      <c r="O516">
        <v>35</v>
      </c>
      <c r="P516" s="1">
        <v>0.318</v>
      </c>
      <c r="Q516" s="1">
        <v>0.79500000000000004</v>
      </c>
      <c r="R516">
        <v>475</v>
      </c>
      <c r="S516">
        <v>51</v>
      </c>
      <c r="T516">
        <v>154</v>
      </c>
      <c r="U516">
        <v>105</v>
      </c>
      <c r="V516">
        <v>32</v>
      </c>
      <c r="W516">
        <v>18</v>
      </c>
      <c r="X516">
        <v>59</v>
      </c>
      <c r="Y516" s="5">
        <v>1.7796610169491525</v>
      </c>
    </row>
    <row r="517" spans="1:25" x14ac:dyDescent="0.25">
      <c r="A517">
        <v>2019</v>
      </c>
      <c r="B517" t="s">
        <v>57</v>
      </c>
      <c r="C517">
        <v>6</v>
      </c>
      <c r="D517">
        <v>60</v>
      </c>
      <c r="E517" t="s">
        <v>19</v>
      </c>
      <c r="F517" t="s">
        <v>56</v>
      </c>
      <c r="G517">
        <f t="shared" si="8"/>
        <v>0</v>
      </c>
      <c r="H517">
        <v>4</v>
      </c>
      <c r="I517">
        <v>9</v>
      </c>
      <c r="J517">
        <v>0</v>
      </c>
      <c r="K517" s="6" t="s">
        <v>68</v>
      </c>
      <c r="L517" s="6" t="s">
        <v>84</v>
      </c>
      <c r="M517">
        <v>159</v>
      </c>
      <c r="N517" s="1">
        <v>0.52800000000000002</v>
      </c>
      <c r="O517">
        <v>31</v>
      </c>
      <c r="P517" s="1">
        <v>0.30399999999999999</v>
      </c>
      <c r="Q517" s="1">
        <v>0.81200000000000006</v>
      </c>
      <c r="R517">
        <v>444</v>
      </c>
      <c r="S517">
        <v>35</v>
      </c>
      <c r="T517">
        <v>132</v>
      </c>
      <c r="U517">
        <v>97</v>
      </c>
      <c r="V517">
        <v>25</v>
      </c>
      <c r="W517">
        <v>13</v>
      </c>
      <c r="X517">
        <v>49</v>
      </c>
      <c r="Y517" s="5">
        <v>1.9795918367346939</v>
      </c>
    </row>
    <row r="518" spans="1:25" x14ac:dyDescent="0.25">
      <c r="A518">
        <v>2019</v>
      </c>
      <c r="B518" t="s">
        <v>57</v>
      </c>
      <c r="C518">
        <v>7</v>
      </c>
      <c r="D518">
        <v>61</v>
      </c>
      <c r="E518" t="s">
        <v>16</v>
      </c>
      <c r="F518" t="s">
        <v>51</v>
      </c>
      <c r="G518">
        <f t="shared" si="8"/>
        <v>0</v>
      </c>
      <c r="H518">
        <v>5</v>
      </c>
      <c r="I518">
        <v>8</v>
      </c>
      <c r="J518">
        <v>0</v>
      </c>
      <c r="K518" s="6" t="s">
        <v>191</v>
      </c>
      <c r="L518" s="6" t="s">
        <v>113</v>
      </c>
      <c r="M518">
        <v>140</v>
      </c>
      <c r="N518" s="1">
        <v>0.44400000000000001</v>
      </c>
      <c r="O518">
        <v>50</v>
      </c>
      <c r="P518" s="1">
        <v>0.37</v>
      </c>
      <c r="Q518" s="1">
        <v>0.72199999999999998</v>
      </c>
      <c r="R518">
        <v>387</v>
      </c>
      <c r="S518">
        <v>50</v>
      </c>
      <c r="T518">
        <v>165</v>
      </c>
      <c r="U518">
        <v>90</v>
      </c>
      <c r="V518">
        <v>57</v>
      </c>
      <c r="W518">
        <v>23</v>
      </c>
      <c r="X518">
        <v>54</v>
      </c>
      <c r="Y518" s="5">
        <v>1.6666666666666667</v>
      </c>
    </row>
    <row r="519" spans="1:25" x14ac:dyDescent="0.25">
      <c r="A519">
        <v>2019</v>
      </c>
      <c r="B519" t="s">
        <v>57</v>
      </c>
      <c r="C519">
        <v>7</v>
      </c>
      <c r="D519">
        <v>61</v>
      </c>
      <c r="E519" t="s">
        <v>190</v>
      </c>
      <c r="F519" t="s">
        <v>103</v>
      </c>
      <c r="G519">
        <f t="shared" si="8"/>
        <v>1</v>
      </c>
      <c r="H519">
        <v>8</v>
      </c>
      <c r="I519">
        <v>5</v>
      </c>
      <c r="J519">
        <v>0</v>
      </c>
      <c r="K519" s="6" t="s">
        <v>60</v>
      </c>
      <c r="L519" s="6" t="s">
        <v>75</v>
      </c>
      <c r="M519">
        <v>195</v>
      </c>
      <c r="N519" s="1">
        <v>0.51900000000000002</v>
      </c>
      <c r="O519">
        <v>44</v>
      </c>
      <c r="P519" s="1">
        <v>0.4</v>
      </c>
      <c r="Q519" s="1">
        <v>0.67300000000000004</v>
      </c>
      <c r="R519">
        <v>504</v>
      </c>
      <c r="S519">
        <v>65</v>
      </c>
      <c r="T519">
        <v>163</v>
      </c>
      <c r="U519">
        <v>110</v>
      </c>
      <c r="V519">
        <v>28</v>
      </c>
      <c r="W519">
        <v>33</v>
      </c>
      <c r="X519">
        <v>63</v>
      </c>
      <c r="Y519" s="5">
        <v>1.746031746031746</v>
      </c>
    </row>
    <row r="520" spans="1:25" x14ac:dyDescent="0.25">
      <c r="A520">
        <v>2019</v>
      </c>
      <c r="B520" t="s">
        <v>57</v>
      </c>
      <c r="C520">
        <v>7</v>
      </c>
      <c r="D520">
        <v>62</v>
      </c>
      <c r="E520" t="s">
        <v>20</v>
      </c>
      <c r="F520" t="s">
        <v>47</v>
      </c>
      <c r="G520">
        <f t="shared" si="8"/>
        <v>0</v>
      </c>
      <c r="H520">
        <v>6</v>
      </c>
      <c r="I520">
        <v>6</v>
      </c>
      <c r="J520">
        <v>1</v>
      </c>
      <c r="K520" s="6" t="s">
        <v>65</v>
      </c>
      <c r="L520" s="6" t="s">
        <v>119</v>
      </c>
      <c r="M520">
        <v>139</v>
      </c>
      <c r="N520" s="1">
        <v>0.45400000000000001</v>
      </c>
      <c r="O520">
        <v>44</v>
      </c>
      <c r="P520" s="1">
        <v>0.376</v>
      </c>
      <c r="Q520" s="1">
        <v>0.79400000000000004</v>
      </c>
      <c r="R520">
        <v>372</v>
      </c>
      <c r="S520">
        <v>32</v>
      </c>
      <c r="T520">
        <v>102</v>
      </c>
      <c r="U520">
        <v>67</v>
      </c>
      <c r="V520">
        <v>35</v>
      </c>
      <c r="W520">
        <v>18</v>
      </c>
      <c r="X520">
        <v>42</v>
      </c>
      <c r="Y520" s="5">
        <v>1.5952380952380953</v>
      </c>
    </row>
    <row r="521" spans="1:25" x14ac:dyDescent="0.25">
      <c r="A521">
        <v>2019</v>
      </c>
      <c r="B521" t="s">
        <v>57</v>
      </c>
      <c r="C521">
        <v>7</v>
      </c>
      <c r="D521">
        <v>62</v>
      </c>
      <c r="E521" t="s">
        <v>26</v>
      </c>
      <c r="F521" t="s">
        <v>118</v>
      </c>
      <c r="G521">
        <f t="shared" si="8"/>
        <v>0</v>
      </c>
      <c r="H521">
        <v>6</v>
      </c>
      <c r="I521">
        <v>6</v>
      </c>
      <c r="J521">
        <v>1</v>
      </c>
      <c r="K521" s="6" t="s">
        <v>62</v>
      </c>
      <c r="L521" s="6" t="s">
        <v>78</v>
      </c>
      <c r="M521">
        <v>137</v>
      </c>
      <c r="N521" s="1">
        <v>0.46600000000000003</v>
      </c>
      <c r="O521">
        <v>38</v>
      </c>
      <c r="P521" s="1">
        <v>0.40400000000000003</v>
      </c>
      <c r="Q521" s="1">
        <v>0.71299999999999997</v>
      </c>
      <c r="R521">
        <v>369</v>
      </c>
      <c r="S521">
        <v>32</v>
      </c>
      <c r="T521">
        <v>157</v>
      </c>
      <c r="U521">
        <v>83</v>
      </c>
      <c r="V521">
        <v>21</v>
      </c>
      <c r="W521">
        <v>30</v>
      </c>
      <c r="X521">
        <v>47</v>
      </c>
      <c r="Y521" s="5">
        <v>1.7659574468085106</v>
      </c>
    </row>
    <row r="522" spans="1:25" x14ac:dyDescent="0.25">
      <c r="A522">
        <v>2019</v>
      </c>
      <c r="B522" t="s">
        <v>57</v>
      </c>
      <c r="C522">
        <v>7</v>
      </c>
      <c r="D522">
        <v>63</v>
      </c>
      <c r="E522" t="s">
        <v>181</v>
      </c>
      <c r="F522" t="s">
        <v>49</v>
      </c>
      <c r="G522">
        <f t="shared" si="8"/>
        <v>1</v>
      </c>
      <c r="H522">
        <v>8</v>
      </c>
      <c r="I522">
        <v>5</v>
      </c>
      <c r="J522">
        <v>0</v>
      </c>
      <c r="K522" s="6" t="s">
        <v>66</v>
      </c>
      <c r="L522" s="6" t="s">
        <v>81</v>
      </c>
      <c r="M522">
        <v>198</v>
      </c>
      <c r="N522" s="1">
        <v>0.52200000000000002</v>
      </c>
      <c r="O522">
        <v>48</v>
      </c>
      <c r="P522" s="1">
        <v>0.45700000000000002</v>
      </c>
      <c r="Q522" s="1">
        <v>0.748</v>
      </c>
      <c r="R522">
        <v>533</v>
      </c>
      <c r="S522">
        <v>45</v>
      </c>
      <c r="T522">
        <v>97</v>
      </c>
      <c r="U522">
        <v>80</v>
      </c>
      <c r="V522">
        <v>28</v>
      </c>
      <c r="W522">
        <v>16</v>
      </c>
      <c r="X522">
        <v>50</v>
      </c>
      <c r="Y522" s="5">
        <v>1.6</v>
      </c>
    </row>
    <row r="523" spans="1:25" x14ac:dyDescent="0.25">
      <c r="A523">
        <v>2019</v>
      </c>
      <c r="B523" t="s">
        <v>57</v>
      </c>
      <c r="C523">
        <v>7</v>
      </c>
      <c r="D523">
        <v>63</v>
      </c>
      <c r="E523" t="s">
        <v>22</v>
      </c>
      <c r="F523" t="s">
        <v>44</v>
      </c>
      <c r="G523">
        <f t="shared" si="8"/>
        <v>0</v>
      </c>
      <c r="H523">
        <v>5</v>
      </c>
      <c r="I523">
        <v>8</v>
      </c>
      <c r="J523">
        <v>0</v>
      </c>
      <c r="K523" s="6" t="s">
        <v>182</v>
      </c>
      <c r="L523" s="6" t="s">
        <v>76</v>
      </c>
      <c r="M523">
        <v>146</v>
      </c>
      <c r="N523" s="1">
        <v>0.46200000000000002</v>
      </c>
      <c r="O523">
        <v>44</v>
      </c>
      <c r="P523" s="1">
        <v>0.34399999999999997</v>
      </c>
      <c r="Q523" s="1">
        <v>0.77900000000000003</v>
      </c>
      <c r="R523">
        <v>389</v>
      </c>
      <c r="S523">
        <v>20</v>
      </c>
      <c r="T523">
        <v>104</v>
      </c>
      <c r="U523">
        <v>85</v>
      </c>
      <c r="V523">
        <v>22</v>
      </c>
      <c r="W523">
        <v>10</v>
      </c>
      <c r="X523">
        <v>49</v>
      </c>
      <c r="Y523" s="5">
        <v>1.7346938775510203</v>
      </c>
    </row>
    <row r="524" spans="1:25" x14ac:dyDescent="0.25">
      <c r="A524">
        <v>2019</v>
      </c>
      <c r="B524" t="s">
        <v>57</v>
      </c>
      <c r="C524">
        <v>7</v>
      </c>
      <c r="D524">
        <v>64</v>
      </c>
      <c r="E524" t="s">
        <v>28</v>
      </c>
      <c r="F524" t="s">
        <v>46</v>
      </c>
      <c r="G524">
        <f t="shared" si="8"/>
        <v>0</v>
      </c>
      <c r="H524">
        <v>6</v>
      </c>
      <c r="I524">
        <v>7</v>
      </c>
      <c r="J524">
        <v>0</v>
      </c>
      <c r="K524" s="6" t="s">
        <v>59</v>
      </c>
      <c r="L524" s="6" t="s">
        <v>74</v>
      </c>
      <c r="M524">
        <v>141</v>
      </c>
      <c r="N524" s="1">
        <v>0.46400000000000002</v>
      </c>
      <c r="O524">
        <v>27</v>
      </c>
      <c r="P524" s="1">
        <v>0.35499999999999998</v>
      </c>
      <c r="Q524" s="1">
        <v>0.878</v>
      </c>
      <c r="R524">
        <v>374</v>
      </c>
      <c r="S524">
        <v>36</v>
      </c>
      <c r="T524">
        <v>128</v>
      </c>
      <c r="U524">
        <v>88</v>
      </c>
      <c r="V524">
        <v>28</v>
      </c>
      <c r="W524">
        <v>19</v>
      </c>
      <c r="X524">
        <v>62</v>
      </c>
      <c r="Y524" s="5">
        <v>1.4193548387096775</v>
      </c>
    </row>
    <row r="525" spans="1:25" x14ac:dyDescent="0.25">
      <c r="A525">
        <v>2019</v>
      </c>
      <c r="B525" t="s">
        <v>57</v>
      </c>
      <c r="C525">
        <v>7</v>
      </c>
      <c r="D525">
        <v>64</v>
      </c>
      <c r="E525" t="s">
        <v>18</v>
      </c>
      <c r="F525" t="s">
        <v>52</v>
      </c>
      <c r="G525">
        <f t="shared" si="8"/>
        <v>1</v>
      </c>
      <c r="H525">
        <v>7</v>
      </c>
      <c r="I525">
        <v>6</v>
      </c>
      <c r="J525">
        <v>0</v>
      </c>
      <c r="K525" s="6" t="s">
        <v>64</v>
      </c>
      <c r="L525" s="6" t="s">
        <v>80</v>
      </c>
      <c r="M525">
        <v>150</v>
      </c>
      <c r="N525" s="1">
        <v>0.48899999999999999</v>
      </c>
      <c r="O525">
        <v>31</v>
      </c>
      <c r="P525" s="1">
        <v>0.316</v>
      </c>
      <c r="Q525" s="1">
        <v>0.68100000000000005</v>
      </c>
      <c r="R525">
        <v>378</v>
      </c>
      <c r="S525">
        <v>45</v>
      </c>
      <c r="T525">
        <v>121</v>
      </c>
      <c r="U525">
        <v>81</v>
      </c>
      <c r="V525">
        <v>22</v>
      </c>
      <c r="W525">
        <v>16</v>
      </c>
      <c r="X525">
        <v>51</v>
      </c>
      <c r="Y525" s="5">
        <v>1.588235294117647</v>
      </c>
    </row>
    <row r="526" spans="1:25" x14ac:dyDescent="0.25">
      <c r="A526">
        <v>2019</v>
      </c>
      <c r="B526" t="s">
        <v>57</v>
      </c>
      <c r="C526">
        <v>7</v>
      </c>
      <c r="D526">
        <v>65</v>
      </c>
      <c r="E526" t="s">
        <v>15</v>
      </c>
      <c r="F526" t="s">
        <v>48</v>
      </c>
      <c r="G526">
        <f t="shared" si="8"/>
        <v>1</v>
      </c>
      <c r="H526">
        <v>7</v>
      </c>
      <c r="I526">
        <v>6</v>
      </c>
      <c r="J526">
        <v>0</v>
      </c>
      <c r="K526" s="6" t="s">
        <v>63</v>
      </c>
      <c r="L526" s="6" t="s">
        <v>79</v>
      </c>
      <c r="M526">
        <v>175</v>
      </c>
      <c r="N526" s="1">
        <v>0.443</v>
      </c>
      <c r="O526">
        <v>43</v>
      </c>
      <c r="P526" s="1">
        <v>0.33600000000000002</v>
      </c>
      <c r="Q526" s="1">
        <v>0.75600000000000001</v>
      </c>
      <c r="R526">
        <v>492</v>
      </c>
      <c r="S526">
        <v>37</v>
      </c>
      <c r="T526">
        <v>138</v>
      </c>
      <c r="U526">
        <v>78</v>
      </c>
      <c r="V526">
        <v>37</v>
      </c>
      <c r="W526">
        <v>11</v>
      </c>
      <c r="X526">
        <v>75</v>
      </c>
      <c r="Y526" s="5">
        <v>1.04</v>
      </c>
    </row>
    <row r="527" spans="1:25" x14ac:dyDescent="0.25">
      <c r="A527">
        <v>2019</v>
      </c>
      <c r="B527" t="s">
        <v>57</v>
      </c>
      <c r="C527">
        <v>7</v>
      </c>
      <c r="D527">
        <v>65</v>
      </c>
      <c r="E527" t="s">
        <v>17</v>
      </c>
      <c r="F527" t="s">
        <v>43</v>
      </c>
      <c r="G527">
        <f t="shared" si="8"/>
        <v>0</v>
      </c>
      <c r="H527">
        <v>6</v>
      </c>
      <c r="I527">
        <v>7</v>
      </c>
      <c r="J527">
        <v>0</v>
      </c>
      <c r="K527" s="6" t="s">
        <v>61</v>
      </c>
      <c r="L527" s="6" t="s">
        <v>77</v>
      </c>
      <c r="M527">
        <v>152</v>
      </c>
      <c r="N527" s="1">
        <v>0.48699999999999999</v>
      </c>
      <c r="O527">
        <v>41</v>
      </c>
      <c r="P527" s="1">
        <v>0.373</v>
      </c>
      <c r="Q527" s="1">
        <v>0.79600000000000004</v>
      </c>
      <c r="R527">
        <v>419</v>
      </c>
      <c r="S527">
        <v>24</v>
      </c>
      <c r="T527">
        <v>131</v>
      </c>
      <c r="U527">
        <v>62</v>
      </c>
      <c r="V527">
        <v>22</v>
      </c>
      <c r="W527">
        <v>17</v>
      </c>
      <c r="X527">
        <v>32</v>
      </c>
      <c r="Y527" s="5">
        <v>1.9375</v>
      </c>
    </row>
    <row r="528" spans="1:25" x14ac:dyDescent="0.25">
      <c r="A528">
        <v>2019</v>
      </c>
      <c r="B528" t="s">
        <v>57</v>
      </c>
      <c r="C528">
        <v>7</v>
      </c>
      <c r="D528">
        <v>66</v>
      </c>
      <c r="E528" t="s">
        <v>21</v>
      </c>
      <c r="F528" t="s">
        <v>50</v>
      </c>
      <c r="G528">
        <f t="shared" si="8"/>
        <v>1</v>
      </c>
      <c r="H528">
        <v>10</v>
      </c>
      <c r="I528">
        <v>3</v>
      </c>
      <c r="J528">
        <v>0</v>
      </c>
      <c r="K528" s="6" t="s">
        <v>193</v>
      </c>
      <c r="L528" s="6" t="s">
        <v>117</v>
      </c>
      <c r="M528">
        <v>176</v>
      </c>
      <c r="N528" s="1">
        <v>0.48799999999999999</v>
      </c>
      <c r="O528">
        <v>36</v>
      </c>
      <c r="P528" s="1">
        <v>0.34</v>
      </c>
      <c r="Q528" s="1">
        <v>0.82299999999999995</v>
      </c>
      <c r="R528">
        <v>467</v>
      </c>
      <c r="S528">
        <v>38</v>
      </c>
      <c r="T528">
        <v>129</v>
      </c>
      <c r="U528">
        <v>86</v>
      </c>
      <c r="V528">
        <v>26</v>
      </c>
      <c r="W528">
        <v>21</v>
      </c>
      <c r="X528">
        <v>55</v>
      </c>
      <c r="Y528" s="5">
        <v>1.5636363636363637</v>
      </c>
    </row>
    <row r="529" spans="1:25" x14ac:dyDescent="0.25">
      <c r="A529">
        <v>2019</v>
      </c>
      <c r="B529" t="s">
        <v>57</v>
      </c>
      <c r="C529">
        <v>7</v>
      </c>
      <c r="D529">
        <v>66</v>
      </c>
      <c r="E529" t="s">
        <v>159</v>
      </c>
      <c r="F529" t="s">
        <v>116</v>
      </c>
      <c r="G529">
        <f t="shared" si="8"/>
        <v>0</v>
      </c>
      <c r="H529">
        <v>3</v>
      </c>
      <c r="I529">
        <v>10</v>
      </c>
      <c r="J529">
        <v>0</v>
      </c>
      <c r="K529" s="6" t="s">
        <v>70</v>
      </c>
      <c r="L529" s="6" t="s">
        <v>87</v>
      </c>
      <c r="M529">
        <v>161</v>
      </c>
      <c r="N529" s="1">
        <v>0.48199999999999998</v>
      </c>
      <c r="O529">
        <v>41</v>
      </c>
      <c r="P529" s="1">
        <v>0.32</v>
      </c>
      <c r="Q529" s="1">
        <v>0.78200000000000003</v>
      </c>
      <c r="R529">
        <v>442</v>
      </c>
      <c r="S529">
        <v>42</v>
      </c>
      <c r="T529">
        <v>153</v>
      </c>
      <c r="U529">
        <v>77</v>
      </c>
      <c r="V529">
        <v>22</v>
      </c>
      <c r="W529">
        <v>19</v>
      </c>
      <c r="X529">
        <v>58</v>
      </c>
      <c r="Y529" s="5">
        <v>1.3275862068965518</v>
      </c>
    </row>
    <row r="530" spans="1:25" x14ac:dyDescent="0.25">
      <c r="A530">
        <v>2019</v>
      </c>
      <c r="B530" t="s">
        <v>57</v>
      </c>
      <c r="C530">
        <v>7</v>
      </c>
      <c r="D530">
        <v>67</v>
      </c>
      <c r="E530" t="s">
        <v>98</v>
      </c>
      <c r="F530" t="s">
        <v>41</v>
      </c>
      <c r="G530">
        <f t="shared" si="8"/>
        <v>1</v>
      </c>
      <c r="H530">
        <v>8</v>
      </c>
      <c r="I530">
        <v>5</v>
      </c>
      <c r="J530">
        <v>0</v>
      </c>
      <c r="K530" s="6" t="s">
        <v>72</v>
      </c>
      <c r="L530" s="6" t="s">
        <v>85</v>
      </c>
      <c r="M530">
        <v>172</v>
      </c>
      <c r="N530" s="1">
        <v>0.47</v>
      </c>
      <c r="O530">
        <v>62</v>
      </c>
      <c r="P530" s="1">
        <v>0.45600000000000002</v>
      </c>
      <c r="Q530" s="1">
        <v>0.80800000000000005</v>
      </c>
      <c r="R530">
        <v>465</v>
      </c>
      <c r="S530">
        <v>29</v>
      </c>
      <c r="T530">
        <v>135</v>
      </c>
      <c r="U530">
        <v>85</v>
      </c>
      <c r="V530">
        <v>39</v>
      </c>
      <c r="W530">
        <v>16</v>
      </c>
      <c r="X530">
        <v>43</v>
      </c>
      <c r="Y530" s="5">
        <v>1.9767441860465116</v>
      </c>
    </row>
    <row r="531" spans="1:25" x14ac:dyDescent="0.25">
      <c r="A531">
        <v>2019</v>
      </c>
      <c r="B531" t="s">
        <v>57</v>
      </c>
      <c r="C531">
        <v>7</v>
      </c>
      <c r="D531">
        <v>67</v>
      </c>
      <c r="E531" t="s">
        <v>33</v>
      </c>
      <c r="F531" t="s">
        <v>42</v>
      </c>
      <c r="G531">
        <f t="shared" si="8"/>
        <v>0</v>
      </c>
      <c r="H531">
        <v>5</v>
      </c>
      <c r="I531">
        <v>8</v>
      </c>
      <c r="J531">
        <v>0</v>
      </c>
      <c r="K531" s="6" t="s">
        <v>112</v>
      </c>
      <c r="L531" s="6" t="s">
        <v>88</v>
      </c>
      <c r="M531">
        <v>142</v>
      </c>
      <c r="N531" s="1">
        <v>0.5</v>
      </c>
      <c r="O531">
        <v>33</v>
      </c>
      <c r="P531" s="1">
        <v>0.33700000000000002</v>
      </c>
      <c r="Q531" s="1">
        <v>0.74299999999999999</v>
      </c>
      <c r="R531">
        <v>369</v>
      </c>
      <c r="S531">
        <v>39</v>
      </c>
      <c r="T531">
        <v>142</v>
      </c>
      <c r="U531">
        <v>106</v>
      </c>
      <c r="V531">
        <v>31</v>
      </c>
      <c r="W531">
        <v>28</v>
      </c>
      <c r="X531">
        <v>55</v>
      </c>
      <c r="Y531" s="5">
        <v>1.9272727272727272</v>
      </c>
    </row>
    <row r="532" spans="1:25" x14ac:dyDescent="0.25">
      <c r="A532">
        <v>2019</v>
      </c>
      <c r="B532" t="s">
        <v>57</v>
      </c>
      <c r="C532">
        <v>7</v>
      </c>
      <c r="D532">
        <v>68</v>
      </c>
      <c r="E532" t="s">
        <v>94</v>
      </c>
      <c r="F532" t="s">
        <v>40</v>
      </c>
      <c r="G532">
        <f t="shared" si="8"/>
        <v>1</v>
      </c>
      <c r="H532">
        <v>11</v>
      </c>
      <c r="I532">
        <v>2</v>
      </c>
      <c r="J532">
        <v>0</v>
      </c>
      <c r="K532" s="6" t="s">
        <v>111</v>
      </c>
      <c r="L532" s="6" t="s">
        <v>89</v>
      </c>
      <c r="M532">
        <v>201</v>
      </c>
      <c r="N532" s="1">
        <v>0.47399999999999998</v>
      </c>
      <c r="O532">
        <v>69</v>
      </c>
      <c r="P532" s="1">
        <v>0.38300000000000001</v>
      </c>
      <c r="Q532" s="1">
        <v>0.78600000000000003</v>
      </c>
      <c r="R532">
        <v>570</v>
      </c>
      <c r="S532">
        <v>39</v>
      </c>
      <c r="T532">
        <v>154</v>
      </c>
      <c r="U532">
        <v>132</v>
      </c>
      <c r="V532">
        <v>33</v>
      </c>
      <c r="W532">
        <v>21</v>
      </c>
      <c r="X532">
        <v>83</v>
      </c>
      <c r="Y532" s="5">
        <v>1.5903614457831325</v>
      </c>
    </row>
    <row r="533" spans="1:25" x14ac:dyDescent="0.25">
      <c r="A533">
        <v>2019</v>
      </c>
      <c r="B533" t="s">
        <v>57</v>
      </c>
      <c r="C533">
        <v>7</v>
      </c>
      <c r="D533">
        <v>68</v>
      </c>
      <c r="E533" t="s">
        <v>97</v>
      </c>
      <c r="F533" t="s">
        <v>54</v>
      </c>
      <c r="G533">
        <f t="shared" si="8"/>
        <v>0</v>
      </c>
      <c r="H533">
        <v>2</v>
      </c>
      <c r="I533">
        <v>11</v>
      </c>
      <c r="J533">
        <v>0</v>
      </c>
      <c r="K533" s="6" t="s">
        <v>106</v>
      </c>
      <c r="L533" s="6" t="s">
        <v>83</v>
      </c>
      <c r="M533">
        <v>100</v>
      </c>
      <c r="N533" s="1">
        <v>0.38500000000000001</v>
      </c>
      <c r="O533">
        <v>17</v>
      </c>
      <c r="P533" s="1">
        <v>0.224</v>
      </c>
      <c r="Q533" s="1">
        <v>0.78900000000000003</v>
      </c>
      <c r="R533">
        <v>277</v>
      </c>
      <c r="S533">
        <v>34</v>
      </c>
      <c r="T533">
        <v>97</v>
      </c>
      <c r="U533">
        <v>58</v>
      </c>
      <c r="V533">
        <v>17</v>
      </c>
      <c r="W533">
        <v>16</v>
      </c>
      <c r="X533">
        <v>53</v>
      </c>
      <c r="Y533" s="5">
        <v>1.0943396226415094</v>
      </c>
    </row>
    <row r="534" spans="1:25" x14ac:dyDescent="0.25">
      <c r="A534">
        <v>2019</v>
      </c>
      <c r="B534" t="s">
        <v>57</v>
      </c>
      <c r="C534">
        <v>7</v>
      </c>
      <c r="D534">
        <v>69</v>
      </c>
      <c r="E534" t="s">
        <v>23</v>
      </c>
      <c r="F534" t="s">
        <v>120</v>
      </c>
      <c r="G534">
        <f t="shared" si="8"/>
        <v>1</v>
      </c>
      <c r="H534">
        <v>9</v>
      </c>
      <c r="I534">
        <v>3</v>
      </c>
      <c r="J534">
        <v>1</v>
      </c>
      <c r="K534" s="6" t="s">
        <v>67</v>
      </c>
      <c r="L534" s="6" t="s">
        <v>82</v>
      </c>
      <c r="M534">
        <v>177</v>
      </c>
      <c r="N534" s="1">
        <v>0.5</v>
      </c>
      <c r="O534">
        <v>37</v>
      </c>
      <c r="P534" s="1">
        <v>0.378</v>
      </c>
      <c r="Q534" s="1">
        <v>0.81499999999999995</v>
      </c>
      <c r="R534">
        <v>488</v>
      </c>
      <c r="S534">
        <v>43</v>
      </c>
      <c r="T534">
        <v>138</v>
      </c>
      <c r="U534">
        <v>93</v>
      </c>
      <c r="V534">
        <v>38</v>
      </c>
      <c r="W534">
        <v>21</v>
      </c>
      <c r="X534">
        <v>55</v>
      </c>
      <c r="Y534" s="5">
        <v>1.6909090909090909</v>
      </c>
    </row>
    <row r="535" spans="1:25" x14ac:dyDescent="0.25">
      <c r="A535">
        <v>2019</v>
      </c>
      <c r="B535" t="s">
        <v>57</v>
      </c>
      <c r="C535">
        <v>7</v>
      </c>
      <c r="D535">
        <v>69</v>
      </c>
      <c r="E535" t="s">
        <v>19</v>
      </c>
      <c r="F535" t="s">
        <v>56</v>
      </c>
      <c r="G535">
        <f t="shared" si="8"/>
        <v>0</v>
      </c>
      <c r="H535">
        <v>3</v>
      </c>
      <c r="I535">
        <v>9</v>
      </c>
      <c r="J535">
        <v>1</v>
      </c>
      <c r="K535" s="6" t="s">
        <v>71</v>
      </c>
      <c r="L535" s="6" t="s">
        <v>121</v>
      </c>
      <c r="M535">
        <v>134</v>
      </c>
      <c r="N535" s="1">
        <v>0.49299999999999999</v>
      </c>
      <c r="O535">
        <v>28</v>
      </c>
      <c r="P535" s="1">
        <v>0.36399999999999999</v>
      </c>
      <c r="Q535" s="1">
        <v>0.77200000000000002</v>
      </c>
      <c r="R535">
        <v>374</v>
      </c>
      <c r="S535">
        <v>30</v>
      </c>
      <c r="T535">
        <v>120</v>
      </c>
      <c r="U535">
        <v>98</v>
      </c>
      <c r="V535">
        <v>18</v>
      </c>
      <c r="W535">
        <v>21</v>
      </c>
      <c r="X535">
        <v>44</v>
      </c>
      <c r="Y535" s="5">
        <v>2.2272727272727271</v>
      </c>
    </row>
    <row r="536" spans="1:25" x14ac:dyDescent="0.25">
      <c r="A536">
        <v>2019</v>
      </c>
      <c r="B536" t="s">
        <v>57</v>
      </c>
      <c r="C536">
        <v>7</v>
      </c>
      <c r="D536">
        <v>70</v>
      </c>
      <c r="E536" t="s">
        <v>25</v>
      </c>
      <c r="F536" t="s">
        <v>53</v>
      </c>
      <c r="G536">
        <f t="shared" si="8"/>
        <v>0</v>
      </c>
      <c r="H536">
        <v>2</v>
      </c>
      <c r="I536">
        <v>11</v>
      </c>
      <c r="J536">
        <v>0</v>
      </c>
      <c r="K536" s="6" t="s">
        <v>69</v>
      </c>
      <c r="L536" s="6" t="s">
        <v>86</v>
      </c>
      <c r="M536">
        <v>122</v>
      </c>
      <c r="N536" s="1">
        <v>0.40899999999999997</v>
      </c>
      <c r="O536">
        <v>20</v>
      </c>
      <c r="P536" s="1">
        <v>0.26700000000000002</v>
      </c>
      <c r="Q536" s="1">
        <v>0.84899999999999998</v>
      </c>
      <c r="R536">
        <v>309</v>
      </c>
      <c r="S536">
        <v>23</v>
      </c>
      <c r="T536">
        <v>92</v>
      </c>
      <c r="U536">
        <v>78</v>
      </c>
      <c r="V536">
        <v>31</v>
      </c>
      <c r="W536">
        <v>11</v>
      </c>
      <c r="X536">
        <v>66</v>
      </c>
      <c r="Y536" s="5">
        <v>1.1818181818181819</v>
      </c>
    </row>
    <row r="537" spans="1:25" x14ac:dyDescent="0.25">
      <c r="A537">
        <v>2019</v>
      </c>
      <c r="B537" t="s">
        <v>57</v>
      </c>
      <c r="C537">
        <v>7</v>
      </c>
      <c r="D537">
        <v>70</v>
      </c>
      <c r="E537" t="s">
        <v>24</v>
      </c>
      <c r="F537" t="s">
        <v>55</v>
      </c>
      <c r="G537">
        <f t="shared" si="8"/>
        <v>1</v>
      </c>
      <c r="H537">
        <v>11</v>
      </c>
      <c r="I537">
        <v>2</v>
      </c>
      <c r="J537">
        <v>0</v>
      </c>
      <c r="K537" s="6" t="s">
        <v>68</v>
      </c>
      <c r="L537" s="6" t="s">
        <v>84</v>
      </c>
      <c r="M537">
        <v>138</v>
      </c>
      <c r="N537" s="1">
        <v>0.45200000000000001</v>
      </c>
      <c r="O537">
        <v>37</v>
      </c>
      <c r="P537" s="1">
        <v>0.32700000000000001</v>
      </c>
      <c r="Q537" s="1">
        <v>0.77200000000000002</v>
      </c>
      <c r="R537">
        <v>384</v>
      </c>
      <c r="S537">
        <v>25</v>
      </c>
      <c r="T537">
        <v>110</v>
      </c>
      <c r="U537">
        <v>102</v>
      </c>
      <c r="V537">
        <v>27</v>
      </c>
      <c r="W537">
        <v>16</v>
      </c>
      <c r="X537">
        <v>50</v>
      </c>
      <c r="Y537" s="5">
        <v>2.04</v>
      </c>
    </row>
    <row r="538" spans="1:25" x14ac:dyDescent="0.25">
      <c r="A538">
        <v>2019</v>
      </c>
      <c r="B538" t="s">
        <v>57</v>
      </c>
      <c r="C538">
        <v>8</v>
      </c>
      <c r="D538">
        <v>71</v>
      </c>
      <c r="E538" t="s">
        <v>16</v>
      </c>
      <c r="F538" t="s">
        <v>51</v>
      </c>
      <c r="G538">
        <f t="shared" si="8"/>
        <v>1</v>
      </c>
      <c r="H538">
        <v>10</v>
      </c>
      <c r="I538">
        <v>3</v>
      </c>
      <c r="J538">
        <v>0</v>
      </c>
      <c r="K538" s="6" t="s">
        <v>62</v>
      </c>
      <c r="L538" s="6" t="s">
        <v>78</v>
      </c>
      <c r="M538">
        <v>157</v>
      </c>
      <c r="N538" s="1">
        <v>0.49099999999999999</v>
      </c>
      <c r="O538">
        <v>48</v>
      </c>
      <c r="P538" s="1">
        <v>0.42499999999999999</v>
      </c>
      <c r="Q538" s="1">
        <v>0.76300000000000001</v>
      </c>
      <c r="R538">
        <v>423</v>
      </c>
      <c r="S538">
        <v>49</v>
      </c>
      <c r="T538">
        <v>174</v>
      </c>
      <c r="U538">
        <v>88</v>
      </c>
      <c r="V538">
        <v>29</v>
      </c>
      <c r="W538">
        <v>14</v>
      </c>
      <c r="X538">
        <v>53</v>
      </c>
      <c r="Y538" s="5">
        <v>1.6603773584905661</v>
      </c>
    </row>
    <row r="539" spans="1:25" x14ac:dyDescent="0.25">
      <c r="A539">
        <v>2019</v>
      </c>
      <c r="B539" t="s">
        <v>57</v>
      </c>
      <c r="C539">
        <v>8</v>
      </c>
      <c r="D539">
        <v>71</v>
      </c>
      <c r="E539" t="s">
        <v>20</v>
      </c>
      <c r="F539" t="s">
        <v>47</v>
      </c>
      <c r="G539">
        <f t="shared" si="8"/>
        <v>0</v>
      </c>
      <c r="H539">
        <v>3</v>
      </c>
      <c r="I539">
        <v>10</v>
      </c>
      <c r="J539">
        <v>0</v>
      </c>
      <c r="K539" s="6" t="s">
        <v>60</v>
      </c>
      <c r="L539" s="6" t="s">
        <v>75</v>
      </c>
      <c r="M539">
        <v>140</v>
      </c>
      <c r="N539" s="1">
        <v>0.47</v>
      </c>
      <c r="O539">
        <v>40</v>
      </c>
      <c r="P539" s="1">
        <v>0.35699999999999998</v>
      </c>
      <c r="Q539" s="1">
        <v>0.76700000000000002</v>
      </c>
      <c r="R539">
        <v>353</v>
      </c>
      <c r="S539">
        <v>37</v>
      </c>
      <c r="T539">
        <v>110</v>
      </c>
      <c r="U539">
        <v>77</v>
      </c>
      <c r="V539">
        <v>21</v>
      </c>
      <c r="W539">
        <v>11</v>
      </c>
      <c r="X539">
        <v>35</v>
      </c>
      <c r="Y539" s="5">
        <v>2.2000000000000002</v>
      </c>
    </row>
    <row r="540" spans="1:25" x14ac:dyDescent="0.25">
      <c r="A540">
        <v>2019</v>
      </c>
      <c r="B540" t="s">
        <v>57</v>
      </c>
      <c r="C540">
        <v>8</v>
      </c>
      <c r="D540">
        <v>72</v>
      </c>
      <c r="E540" t="s">
        <v>190</v>
      </c>
      <c r="F540" t="s">
        <v>103</v>
      </c>
      <c r="G540">
        <f t="shared" si="8"/>
        <v>1</v>
      </c>
      <c r="H540">
        <v>8</v>
      </c>
      <c r="I540">
        <v>5</v>
      </c>
      <c r="J540">
        <v>0</v>
      </c>
      <c r="K540" s="6" t="s">
        <v>182</v>
      </c>
      <c r="L540" s="6" t="s">
        <v>76</v>
      </c>
      <c r="M540">
        <v>167</v>
      </c>
      <c r="N540" s="1">
        <v>0.5</v>
      </c>
      <c r="O540">
        <v>41</v>
      </c>
      <c r="P540" s="1">
        <v>0.373</v>
      </c>
      <c r="Q540" s="1">
        <v>0.82199999999999995</v>
      </c>
      <c r="R540">
        <v>449</v>
      </c>
      <c r="S540">
        <v>48</v>
      </c>
      <c r="T540">
        <v>122</v>
      </c>
      <c r="U540">
        <v>94</v>
      </c>
      <c r="V540">
        <v>37</v>
      </c>
      <c r="W540">
        <v>20</v>
      </c>
      <c r="X540">
        <v>48</v>
      </c>
      <c r="Y540" s="5">
        <v>1.9583333333333333</v>
      </c>
    </row>
    <row r="541" spans="1:25" x14ac:dyDescent="0.25">
      <c r="A541">
        <v>2019</v>
      </c>
      <c r="B541" t="s">
        <v>57</v>
      </c>
      <c r="C541">
        <v>8</v>
      </c>
      <c r="D541">
        <v>72</v>
      </c>
      <c r="E541" t="s">
        <v>181</v>
      </c>
      <c r="F541" t="s">
        <v>49</v>
      </c>
      <c r="G541">
        <f t="shared" si="8"/>
        <v>0</v>
      </c>
      <c r="H541">
        <v>5</v>
      </c>
      <c r="I541">
        <v>8</v>
      </c>
      <c r="J541">
        <v>0</v>
      </c>
      <c r="K541" s="6" t="s">
        <v>191</v>
      </c>
      <c r="L541" s="6" t="s">
        <v>113</v>
      </c>
      <c r="M541">
        <v>184</v>
      </c>
      <c r="N541" s="1">
        <v>0.48799999999999999</v>
      </c>
      <c r="O541">
        <v>35</v>
      </c>
      <c r="P541" s="1">
        <v>0.36099999999999999</v>
      </c>
      <c r="Q541" s="1">
        <v>0.72399999999999998</v>
      </c>
      <c r="R541">
        <v>479</v>
      </c>
      <c r="S541">
        <v>51</v>
      </c>
      <c r="T541">
        <v>128</v>
      </c>
      <c r="U541">
        <v>91</v>
      </c>
      <c r="V541">
        <v>15</v>
      </c>
      <c r="W541">
        <v>12</v>
      </c>
      <c r="X541">
        <v>47</v>
      </c>
      <c r="Y541" s="5">
        <v>1.94</v>
      </c>
    </row>
    <row r="542" spans="1:25" x14ac:dyDescent="0.25">
      <c r="A542">
        <v>2019</v>
      </c>
      <c r="B542" t="s">
        <v>57</v>
      </c>
      <c r="C542">
        <v>8</v>
      </c>
      <c r="D542">
        <v>73</v>
      </c>
      <c r="E542" t="s">
        <v>18</v>
      </c>
      <c r="F542" t="s">
        <v>52</v>
      </c>
      <c r="G542">
        <f t="shared" si="8"/>
        <v>1</v>
      </c>
      <c r="H542">
        <v>11</v>
      </c>
      <c r="I542">
        <v>2</v>
      </c>
      <c r="J542">
        <v>0</v>
      </c>
      <c r="K542" s="6" t="s">
        <v>65</v>
      </c>
      <c r="L542" s="6" t="s">
        <v>119</v>
      </c>
      <c r="M542">
        <v>140</v>
      </c>
      <c r="N542" s="1">
        <v>0.42299999999999999</v>
      </c>
      <c r="O542">
        <v>43</v>
      </c>
      <c r="P542" s="1">
        <v>0.33600000000000002</v>
      </c>
      <c r="Q542" s="1">
        <v>0.76700000000000002</v>
      </c>
      <c r="R542">
        <v>369</v>
      </c>
      <c r="S542">
        <v>34</v>
      </c>
      <c r="T542">
        <v>104</v>
      </c>
      <c r="U542">
        <v>77</v>
      </c>
      <c r="V542">
        <v>27</v>
      </c>
      <c r="W542">
        <v>17</v>
      </c>
      <c r="X542">
        <v>42</v>
      </c>
      <c r="Y542" s="5">
        <v>1.8333333333333333</v>
      </c>
    </row>
    <row r="543" spans="1:25" x14ac:dyDescent="0.25">
      <c r="A543">
        <v>2019</v>
      </c>
      <c r="B543" t="s">
        <v>57</v>
      </c>
      <c r="C543">
        <v>8</v>
      </c>
      <c r="D543">
        <v>73</v>
      </c>
      <c r="E543" t="s">
        <v>26</v>
      </c>
      <c r="F543" t="s">
        <v>118</v>
      </c>
      <c r="G543">
        <f t="shared" si="8"/>
        <v>0</v>
      </c>
      <c r="H543">
        <v>2</v>
      </c>
      <c r="I543">
        <v>11</v>
      </c>
      <c r="J543">
        <v>0</v>
      </c>
      <c r="K543" s="6" t="s">
        <v>59</v>
      </c>
      <c r="L543" s="6" t="s">
        <v>74</v>
      </c>
      <c r="M543">
        <v>121</v>
      </c>
      <c r="N543" s="1">
        <v>0.432</v>
      </c>
      <c r="O543">
        <v>23</v>
      </c>
      <c r="P543" s="1">
        <v>0.29099999999999998</v>
      </c>
      <c r="Q543" s="1">
        <v>0.73599999999999999</v>
      </c>
      <c r="R543">
        <v>318</v>
      </c>
      <c r="S543">
        <v>31</v>
      </c>
      <c r="T543">
        <v>93</v>
      </c>
      <c r="U543">
        <v>108</v>
      </c>
      <c r="V543">
        <v>25</v>
      </c>
      <c r="W543">
        <v>14</v>
      </c>
      <c r="X543">
        <v>62</v>
      </c>
      <c r="Y543" s="5">
        <v>1.7419354838709677</v>
      </c>
    </row>
    <row r="544" spans="1:25" x14ac:dyDescent="0.25">
      <c r="A544">
        <v>2019</v>
      </c>
      <c r="B544" t="s">
        <v>57</v>
      </c>
      <c r="C544">
        <v>8</v>
      </c>
      <c r="D544">
        <v>74</v>
      </c>
      <c r="E544" t="s">
        <v>15</v>
      </c>
      <c r="F544" t="s">
        <v>48</v>
      </c>
      <c r="G544">
        <f t="shared" si="8"/>
        <v>1</v>
      </c>
      <c r="H544">
        <v>10</v>
      </c>
      <c r="I544">
        <v>3</v>
      </c>
      <c r="J544">
        <v>0</v>
      </c>
      <c r="K544" s="6" t="s">
        <v>66</v>
      </c>
      <c r="L544" s="6" t="s">
        <v>81</v>
      </c>
      <c r="M544">
        <v>167</v>
      </c>
      <c r="N544" s="1">
        <v>0.45800000000000002</v>
      </c>
      <c r="O544">
        <v>31</v>
      </c>
      <c r="P544" s="1">
        <v>0.28699999999999998</v>
      </c>
      <c r="Q544" s="1">
        <v>0.85699999999999998</v>
      </c>
      <c r="R544">
        <v>455</v>
      </c>
      <c r="S544">
        <v>39</v>
      </c>
      <c r="T544">
        <v>110</v>
      </c>
      <c r="U544">
        <v>79</v>
      </c>
      <c r="V544">
        <v>29</v>
      </c>
      <c r="W544">
        <v>15</v>
      </c>
      <c r="X544">
        <v>61</v>
      </c>
      <c r="Y544" s="5">
        <v>1.2950819672131149</v>
      </c>
    </row>
    <row r="545" spans="1:25" x14ac:dyDescent="0.25">
      <c r="A545">
        <v>2019</v>
      </c>
      <c r="B545" t="s">
        <v>57</v>
      </c>
      <c r="C545">
        <v>8</v>
      </c>
      <c r="D545">
        <v>74</v>
      </c>
      <c r="E545" t="s">
        <v>22</v>
      </c>
      <c r="F545" t="s">
        <v>44</v>
      </c>
      <c r="G545">
        <f t="shared" si="8"/>
        <v>0</v>
      </c>
      <c r="H545">
        <v>3</v>
      </c>
      <c r="I545">
        <v>10</v>
      </c>
      <c r="J545">
        <v>0</v>
      </c>
      <c r="K545" s="6" t="s">
        <v>61</v>
      </c>
      <c r="L545" s="6" t="s">
        <v>77</v>
      </c>
      <c r="M545">
        <v>110</v>
      </c>
      <c r="N545" s="1">
        <v>0.43</v>
      </c>
      <c r="O545">
        <v>28</v>
      </c>
      <c r="P545" s="1">
        <v>0.33300000000000002</v>
      </c>
      <c r="Q545" s="1">
        <v>0.76100000000000001</v>
      </c>
      <c r="R545">
        <v>302</v>
      </c>
      <c r="S545">
        <v>30</v>
      </c>
      <c r="T545">
        <v>101</v>
      </c>
      <c r="U545">
        <v>44</v>
      </c>
      <c r="V545">
        <v>17</v>
      </c>
      <c r="W545">
        <v>26</v>
      </c>
      <c r="X545">
        <v>36</v>
      </c>
      <c r="Y545" s="5">
        <v>1.2222222222222223</v>
      </c>
    </row>
    <row r="546" spans="1:25" x14ac:dyDescent="0.25">
      <c r="A546">
        <v>2019</v>
      </c>
      <c r="B546" t="s">
        <v>57</v>
      </c>
      <c r="C546">
        <v>8</v>
      </c>
      <c r="D546">
        <v>75</v>
      </c>
      <c r="E546" t="s">
        <v>28</v>
      </c>
      <c r="F546" t="s">
        <v>46</v>
      </c>
      <c r="G546">
        <f t="shared" si="8"/>
        <v>1</v>
      </c>
      <c r="H546">
        <v>11</v>
      </c>
      <c r="I546">
        <v>1</v>
      </c>
      <c r="J546">
        <v>1</v>
      </c>
      <c r="K546" s="6" t="s">
        <v>63</v>
      </c>
      <c r="L546" s="6" t="s">
        <v>79</v>
      </c>
      <c r="M546">
        <v>174</v>
      </c>
      <c r="N546" s="1">
        <v>0.46800000000000003</v>
      </c>
      <c r="O546">
        <v>42</v>
      </c>
      <c r="P546" s="1">
        <v>0.35</v>
      </c>
      <c r="Q546" s="1">
        <v>0.77700000000000002</v>
      </c>
      <c r="R546">
        <v>463</v>
      </c>
      <c r="S546">
        <v>44</v>
      </c>
      <c r="T546">
        <v>150</v>
      </c>
      <c r="U546">
        <v>137</v>
      </c>
      <c r="V546">
        <v>42</v>
      </c>
      <c r="W546">
        <v>22</v>
      </c>
      <c r="X546">
        <v>59</v>
      </c>
      <c r="Y546" s="5">
        <v>2.3220338983050848</v>
      </c>
    </row>
    <row r="547" spans="1:25" x14ac:dyDescent="0.25">
      <c r="A547">
        <v>2019</v>
      </c>
      <c r="B547" t="s">
        <v>57</v>
      </c>
      <c r="C547">
        <v>8</v>
      </c>
      <c r="D547">
        <v>75</v>
      </c>
      <c r="E547" t="s">
        <v>17</v>
      </c>
      <c r="F547" t="s">
        <v>43</v>
      </c>
      <c r="G547">
        <f t="shared" si="8"/>
        <v>0</v>
      </c>
      <c r="H547">
        <v>1</v>
      </c>
      <c r="I547">
        <v>11</v>
      </c>
      <c r="J547">
        <v>1</v>
      </c>
      <c r="K547" s="6" t="s">
        <v>64</v>
      </c>
      <c r="L547" s="6" t="s">
        <v>80</v>
      </c>
      <c r="M547">
        <v>144</v>
      </c>
      <c r="N547" s="1">
        <v>0.42899999999999999</v>
      </c>
      <c r="O547">
        <v>44</v>
      </c>
      <c r="P547" s="1">
        <v>0.34899999999999998</v>
      </c>
      <c r="Q547" s="1">
        <v>0.73</v>
      </c>
      <c r="R547">
        <v>413</v>
      </c>
      <c r="S547">
        <v>32</v>
      </c>
      <c r="T547">
        <v>150</v>
      </c>
      <c r="U547">
        <v>102</v>
      </c>
      <c r="V547">
        <v>30</v>
      </c>
      <c r="W547">
        <v>16</v>
      </c>
      <c r="X547">
        <v>66</v>
      </c>
      <c r="Y547" s="5">
        <v>1.5454545454545454</v>
      </c>
    </row>
    <row r="548" spans="1:25" x14ac:dyDescent="0.25">
      <c r="A548">
        <v>2019</v>
      </c>
      <c r="B548" t="s">
        <v>57</v>
      </c>
      <c r="C548">
        <v>8</v>
      </c>
      <c r="D548">
        <v>76</v>
      </c>
      <c r="E548" t="s">
        <v>33</v>
      </c>
      <c r="F548" t="s">
        <v>42</v>
      </c>
      <c r="G548">
        <f t="shared" si="8"/>
        <v>0</v>
      </c>
      <c r="H548">
        <v>4</v>
      </c>
      <c r="I548">
        <v>9</v>
      </c>
      <c r="J548">
        <v>0</v>
      </c>
      <c r="K548" s="6" t="s">
        <v>193</v>
      </c>
      <c r="L548" s="6" t="s">
        <v>117</v>
      </c>
      <c r="M548">
        <v>151</v>
      </c>
      <c r="N548" s="1">
        <v>0.47199999999999998</v>
      </c>
      <c r="O548">
        <v>34</v>
      </c>
      <c r="P548" s="1">
        <v>0.30599999999999999</v>
      </c>
      <c r="Q548" s="1">
        <v>0.82499999999999996</v>
      </c>
      <c r="R548">
        <v>383</v>
      </c>
      <c r="S548">
        <v>39</v>
      </c>
      <c r="T548">
        <v>137</v>
      </c>
      <c r="U548">
        <v>88</v>
      </c>
      <c r="V548">
        <v>32</v>
      </c>
      <c r="W548">
        <v>16</v>
      </c>
      <c r="X548">
        <v>65</v>
      </c>
      <c r="Y548" s="5">
        <v>1.3538461538461539</v>
      </c>
    </row>
    <row r="549" spans="1:25" x14ac:dyDescent="0.25">
      <c r="A549">
        <v>2019</v>
      </c>
      <c r="B549" t="s">
        <v>57</v>
      </c>
      <c r="C549">
        <v>8</v>
      </c>
      <c r="D549">
        <v>76</v>
      </c>
      <c r="E549" t="s">
        <v>159</v>
      </c>
      <c r="F549" t="s">
        <v>116</v>
      </c>
      <c r="G549">
        <f t="shared" si="8"/>
        <v>1</v>
      </c>
      <c r="H549">
        <v>9</v>
      </c>
      <c r="I549">
        <v>4</v>
      </c>
      <c r="J549">
        <v>0</v>
      </c>
      <c r="K549" s="6" t="s">
        <v>72</v>
      </c>
      <c r="L549" s="6" t="s">
        <v>85</v>
      </c>
      <c r="M549">
        <v>164</v>
      </c>
      <c r="N549" s="1">
        <v>0.47399999999999998</v>
      </c>
      <c r="O549">
        <v>44</v>
      </c>
      <c r="P549" s="1">
        <v>0.35499999999999998</v>
      </c>
      <c r="Q549" s="1">
        <v>0.81399999999999995</v>
      </c>
      <c r="R549">
        <v>407</v>
      </c>
      <c r="S549">
        <v>44</v>
      </c>
      <c r="T549">
        <v>123</v>
      </c>
      <c r="U549">
        <v>81</v>
      </c>
      <c r="V549">
        <v>23</v>
      </c>
      <c r="W549">
        <v>17</v>
      </c>
      <c r="X549">
        <v>45</v>
      </c>
      <c r="Y549" s="5">
        <v>1.8</v>
      </c>
    </row>
    <row r="550" spans="1:25" x14ac:dyDescent="0.25">
      <c r="A550">
        <v>2019</v>
      </c>
      <c r="B550" t="s">
        <v>57</v>
      </c>
      <c r="C550">
        <v>8</v>
      </c>
      <c r="D550">
        <v>77</v>
      </c>
      <c r="E550" t="s">
        <v>21</v>
      </c>
      <c r="F550" t="s">
        <v>50</v>
      </c>
      <c r="G550">
        <f t="shared" si="8"/>
        <v>1</v>
      </c>
      <c r="H550">
        <v>8</v>
      </c>
      <c r="I550">
        <v>5</v>
      </c>
      <c r="J550">
        <v>0</v>
      </c>
      <c r="K550" s="6" t="s">
        <v>106</v>
      </c>
      <c r="L550" s="6" t="s">
        <v>83</v>
      </c>
      <c r="M550">
        <v>179</v>
      </c>
      <c r="N550" s="1">
        <v>0.52200000000000002</v>
      </c>
      <c r="O550">
        <v>39</v>
      </c>
      <c r="P550" s="1">
        <v>0.42899999999999999</v>
      </c>
      <c r="Q550" s="1">
        <v>0.83499999999999996</v>
      </c>
      <c r="R550">
        <v>473</v>
      </c>
      <c r="S550">
        <v>52</v>
      </c>
      <c r="T550">
        <v>143</v>
      </c>
      <c r="U550">
        <v>76</v>
      </c>
      <c r="V550">
        <v>34</v>
      </c>
      <c r="W550">
        <v>23</v>
      </c>
      <c r="X550">
        <v>58</v>
      </c>
      <c r="Y550" s="5">
        <v>1.3103448275862069</v>
      </c>
    </row>
    <row r="551" spans="1:25" x14ac:dyDescent="0.25">
      <c r="A551">
        <v>2019</v>
      </c>
      <c r="B551" t="s">
        <v>57</v>
      </c>
      <c r="C551">
        <v>8</v>
      </c>
      <c r="D551">
        <v>77</v>
      </c>
      <c r="E551" t="s">
        <v>94</v>
      </c>
      <c r="F551" t="s">
        <v>40</v>
      </c>
      <c r="G551">
        <f t="shared" si="8"/>
        <v>0</v>
      </c>
      <c r="H551">
        <v>5</v>
      </c>
      <c r="I551">
        <v>8</v>
      </c>
      <c r="J551">
        <v>0</v>
      </c>
      <c r="K551" s="6" t="s">
        <v>70</v>
      </c>
      <c r="L551" s="6" t="s">
        <v>87</v>
      </c>
      <c r="M551">
        <v>142</v>
      </c>
      <c r="N551" s="1">
        <v>0.438</v>
      </c>
      <c r="O551">
        <v>41</v>
      </c>
      <c r="P551" s="1">
        <v>0.32300000000000001</v>
      </c>
      <c r="Q551" s="1">
        <v>0.82399999999999995</v>
      </c>
      <c r="R551">
        <v>400</v>
      </c>
      <c r="S551">
        <v>41</v>
      </c>
      <c r="T551">
        <v>144</v>
      </c>
      <c r="U551">
        <v>110</v>
      </c>
      <c r="V551">
        <v>32</v>
      </c>
      <c r="W551">
        <v>29</v>
      </c>
      <c r="X551">
        <v>70</v>
      </c>
      <c r="Y551" s="5">
        <v>1.5714285714285714</v>
      </c>
    </row>
    <row r="552" spans="1:25" x14ac:dyDescent="0.25">
      <c r="A552">
        <v>2019</v>
      </c>
      <c r="B552" t="s">
        <v>57</v>
      </c>
      <c r="C552">
        <v>8</v>
      </c>
      <c r="D552">
        <v>78</v>
      </c>
      <c r="E552" t="s">
        <v>98</v>
      </c>
      <c r="F552" t="s">
        <v>41</v>
      </c>
      <c r="G552">
        <f t="shared" si="8"/>
        <v>1</v>
      </c>
      <c r="H552">
        <v>8</v>
      </c>
      <c r="I552">
        <v>5</v>
      </c>
      <c r="J552">
        <v>0</v>
      </c>
      <c r="K552" s="6" t="s">
        <v>67</v>
      </c>
      <c r="L552" s="6" t="s">
        <v>82</v>
      </c>
      <c r="M552">
        <v>144</v>
      </c>
      <c r="N552" s="1">
        <v>0.40799999999999997</v>
      </c>
      <c r="O552">
        <v>44</v>
      </c>
      <c r="P552" s="1">
        <v>0.314</v>
      </c>
      <c r="Q552" s="1">
        <v>0.79</v>
      </c>
      <c r="R552">
        <v>396</v>
      </c>
      <c r="S552">
        <v>30</v>
      </c>
      <c r="T552">
        <v>157</v>
      </c>
      <c r="U552">
        <v>96</v>
      </c>
      <c r="V552">
        <v>26</v>
      </c>
      <c r="W552">
        <v>22</v>
      </c>
      <c r="X552">
        <v>59</v>
      </c>
      <c r="Y552" s="5">
        <v>1.6271186440677967</v>
      </c>
    </row>
    <row r="553" spans="1:25" x14ac:dyDescent="0.25">
      <c r="A553">
        <v>2019</v>
      </c>
      <c r="B553" t="s">
        <v>57</v>
      </c>
      <c r="C553">
        <v>8</v>
      </c>
      <c r="D553">
        <v>78</v>
      </c>
      <c r="E553" t="s">
        <v>19</v>
      </c>
      <c r="F553" t="s">
        <v>56</v>
      </c>
      <c r="G553">
        <f t="shared" si="8"/>
        <v>0</v>
      </c>
      <c r="H553">
        <v>5</v>
      </c>
      <c r="I553">
        <v>8</v>
      </c>
      <c r="J553">
        <v>0</v>
      </c>
      <c r="K553" s="6" t="s">
        <v>112</v>
      </c>
      <c r="L553" s="6" t="s">
        <v>88</v>
      </c>
      <c r="M553">
        <v>129</v>
      </c>
      <c r="N553" s="1">
        <v>0.47399999999999998</v>
      </c>
      <c r="O553">
        <v>33</v>
      </c>
      <c r="P553" s="1">
        <v>0.35099999999999998</v>
      </c>
      <c r="Q553" s="1">
        <v>0.66200000000000003</v>
      </c>
      <c r="R553">
        <v>342</v>
      </c>
      <c r="S553">
        <v>31</v>
      </c>
      <c r="T553">
        <v>96</v>
      </c>
      <c r="U553">
        <v>81</v>
      </c>
      <c r="V553">
        <v>21</v>
      </c>
      <c r="W553">
        <v>13</v>
      </c>
      <c r="X553">
        <v>39</v>
      </c>
      <c r="Y553" s="5">
        <v>2.0769230769230771</v>
      </c>
    </row>
    <row r="554" spans="1:25" x14ac:dyDescent="0.25">
      <c r="A554">
        <v>2019</v>
      </c>
      <c r="B554" t="s">
        <v>57</v>
      </c>
      <c r="C554">
        <v>8</v>
      </c>
      <c r="D554">
        <v>79</v>
      </c>
      <c r="E554" t="s">
        <v>25</v>
      </c>
      <c r="F554" t="s">
        <v>53</v>
      </c>
      <c r="G554">
        <f t="shared" si="8"/>
        <v>1</v>
      </c>
      <c r="H554">
        <v>8</v>
      </c>
      <c r="I554">
        <v>5</v>
      </c>
      <c r="J554">
        <v>0</v>
      </c>
      <c r="K554" s="6" t="s">
        <v>111</v>
      </c>
      <c r="L554" s="6" t="s">
        <v>89</v>
      </c>
      <c r="M554">
        <v>137</v>
      </c>
      <c r="N554" s="1">
        <v>0.44900000000000001</v>
      </c>
      <c r="O554">
        <v>35</v>
      </c>
      <c r="P554" s="1">
        <v>0.40200000000000002</v>
      </c>
      <c r="Q554" s="1">
        <v>0.79700000000000004</v>
      </c>
      <c r="R554">
        <v>368</v>
      </c>
      <c r="S554">
        <v>28</v>
      </c>
      <c r="T554">
        <v>109</v>
      </c>
      <c r="U554">
        <v>96</v>
      </c>
      <c r="V554">
        <v>18</v>
      </c>
      <c r="W554">
        <v>12</v>
      </c>
      <c r="X554">
        <v>44</v>
      </c>
      <c r="Y554" s="5">
        <v>2.1818181818181817</v>
      </c>
    </row>
    <row r="555" spans="1:25" x14ac:dyDescent="0.25">
      <c r="A555">
        <v>2019</v>
      </c>
      <c r="B555" t="s">
        <v>57</v>
      </c>
      <c r="C555">
        <v>8</v>
      </c>
      <c r="D555">
        <v>79</v>
      </c>
      <c r="E555" t="s">
        <v>97</v>
      </c>
      <c r="F555" t="s">
        <v>54</v>
      </c>
      <c r="G555">
        <f t="shared" si="8"/>
        <v>0</v>
      </c>
      <c r="H555">
        <v>5</v>
      </c>
      <c r="I555">
        <v>8</v>
      </c>
      <c r="J555">
        <v>0</v>
      </c>
      <c r="K555" s="6" t="s">
        <v>68</v>
      </c>
      <c r="L555" s="6" t="s">
        <v>84</v>
      </c>
      <c r="M555">
        <v>147</v>
      </c>
      <c r="N555" s="1">
        <v>0.47599999999999998</v>
      </c>
      <c r="O555">
        <v>32</v>
      </c>
      <c r="P555" s="1">
        <v>0.36399999999999999</v>
      </c>
      <c r="Q555" s="1">
        <v>0.66700000000000004</v>
      </c>
      <c r="R555">
        <v>392</v>
      </c>
      <c r="S555">
        <v>33</v>
      </c>
      <c r="T555">
        <v>100</v>
      </c>
      <c r="U555">
        <v>57</v>
      </c>
      <c r="V555">
        <v>17</v>
      </c>
      <c r="W555">
        <v>15</v>
      </c>
      <c r="X555">
        <v>52</v>
      </c>
      <c r="Y555" s="5">
        <v>1.0961538461538463</v>
      </c>
    </row>
    <row r="556" spans="1:25" x14ac:dyDescent="0.25">
      <c r="A556">
        <v>2019</v>
      </c>
      <c r="B556" t="s">
        <v>57</v>
      </c>
      <c r="C556">
        <v>8</v>
      </c>
      <c r="D556">
        <v>80</v>
      </c>
      <c r="E556" t="s">
        <v>23</v>
      </c>
      <c r="F556" t="s">
        <v>120</v>
      </c>
      <c r="G556">
        <f t="shared" si="8"/>
        <v>1</v>
      </c>
      <c r="H556">
        <v>12</v>
      </c>
      <c r="I556">
        <v>1</v>
      </c>
      <c r="J556">
        <v>0</v>
      </c>
      <c r="K556" s="6" t="s">
        <v>69</v>
      </c>
      <c r="L556" s="6" t="s">
        <v>86</v>
      </c>
      <c r="M556">
        <v>151</v>
      </c>
      <c r="N556" s="1">
        <v>0.46200000000000002</v>
      </c>
      <c r="O556">
        <v>38</v>
      </c>
      <c r="P556" s="1">
        <v>0.33300000000000002</v>
      </c>
      <c r="Q556" s="1">
        <v>0.79</v>
      </c>
      <c r="R556">
        <v>419</v>
      </c>
      <c r="S556">
        <v>30</v>
      </c>
      <c r="T556">
        <v>127</v>
      </c>
      <c r="U556">
        <v>126</v>
      </c>
      <c r="V556">
        <v>34</v>
      </c>
      <c r="W556">
        <v>32</v>
      </c>
      <c r="X556">
        <v>58</v>
      </c>
      <c r="Y556" s="5">
        <v>2.1724137931034484</v>
      </c>
    </row>
    <row r="557" spans="1:25" x14ac:dyDescent="0.25">
      <c r="A557">
        <v>2019</v>
      </c>
      <c r="B557" t="s">
        <v>57</v>
      </c>
      <c r="C557">
        <v>8</v>
      </c>
      <c r="D557">
        <v>80</v>
      </c>
      <c r="E557" t="s">
        <v>24</v>
      </c>
      <c r="F557" t="s">
        <v>55</v>
      </c>
      <c r="G557">
        <f t="shared" si="8"/>
        <v>0</v>
      </c>
      <c r="H557">
        <v>1</v>
      </c>
      <c r="I557">
        <v>12</v>
      </c>
      <c r="J557">
        <v>0</v>
      </c>
      <c r="K557" s="6" t="s">
        <v>71</v>
      </c>
      <c r="L557" s="6" t="s">
        <v>121</v>
      </c>
      <c r="M557">
        <v>114</v>
      </c>
      <c r="N557" s="1">
        <v>0.44</v>
      </c>
      <c r="O557">
        <v>35</v>
      </c>
      <c r="P557" s="1">
        <v>0.31</v>
      </c>
      <c r="Q557" s="1">
        <v>0.76800000000000002</v>
      </c>
      <c r="R557">
        <v>306</v>
      </c>
      <c r="S557">
        <v>15</v>
      </c>
      <c r="T557">
        <v>83</v>
      </c>
      <c r="U557">
        <v>93</v>
      </c>
      <c r="V557">
        <v>20</v>
      </c>
      <c r="W557">
        <v>14</v>
      </c>
      <c r="X557">
        <v>46</v>
      </c>
      <c r="Y557" s="5">
        <v>2.0217391304347827</v>
      </c>
    </row>
    <row r="558" spans="1:25" x14ac:dyDescent="0.25">
      <c r="A558">
        <v>2019</v>
      </c>
      <c r="B558" t="s">
        <v>57</v>
      </c>
      <c r="C558">
        <v>9</v>
      </c>
      <c r="D558">
        <v>81</v>
      </c>
      <c r="E558" t="s">
        <v>16</v>
      </c>
      <c r="F558" t="s">
        <v>51</v>
      </c>
      <c r="G558">
        <f t="shared" si="8"/>
        <v>1</v>
      </c>
      <c r="H558">
        <v>7</v>
      </c>
      <c r="I558">
        <v>6</v>
      </c>
      <c r="J558">
        <v>0</v>
      </c>
      <c r="K558" s="6" t="s">
        <v>182</v>
      </c>
      <c r="L558" s="6" t="s">
        <v>76</v>
      </c>
      <c r="M558">
        <v>138</v>
      </c>
      <c r="N558" s="1">
        <v>0.438</v>
      </c>
      <c r="O558">
        <v>37</v>
      </c>
      <c r="P558" s="1">
        <v>0.32500000000000001</v>
      </c>
      <c r="Q558" s="1">
        <v>0.747</v>
      </c>
      <c r="R558">
        <v>384</v>
      </c>
      <c r="S558">
        <v>51</v>
      </c>
      <c r="T558">
        <v>144</v>
      </c>
      <c r="U558">
        <v>104</v>
      </c>
      <c r="V558">
        <v>30</v>
      </c>
      <c r="W558">
        <v>24</v>
      </c>
      <c r="X558">
        <v>55</v>
      </c>
      <c r="Y558" s="5">
        <v>1.89</v>
      </c>
    </row>
    <row r="559" spans="1:25" x14ac:dyDescent="0.25">
      <c r="A559">
        <v>2019</v>
      </c>
      <c r="B559" t="s">
        <v>57</v>
      </c>
      <c r="C559">
        <v>9</v>
      </c>
      <c r="D559">
        <v>81</v>
      </c>
      <c r="E559" t="s">
        <v>181</v>
      </c>
      <c r="F559" t="s">
        <v>49</v>
      </c>
      <c r="G559">
        <f t="shared" si="8"/>
        <v>0</v>
      </c>
      <c r="H559">
        <v>6</v>
      </c>
      <c r="I559">
        <v>7</v>
      </c>
      <c r="J559">
        <v>0</v>
      </c>
      <c r="K559" s="6" t="s">
        <v>60</v>
      </c>
      <c r="L559" s="6" t="s">
        <v>75</v>
      </c>
      <c r="M559">
        <v>201</v>
      </c>
      <c r="N559" s="1">
        <v>0.51300000000000001</v>
      </c>
      <c r="O559">
        <v>47</v>
      </c>
      <c r="P559" s="1">
        <v>0.41599999999999998</v>
      </c>
      <c r="Q559" s="1">
        <v>0.84099999999999997</v>
      </c>
      <c r="R559">
        <v>555</v>
      </c>
      <c r="S559">
        <v>41</v>
      </c>
      <c r="T559">
        <v>128</v>
      </c>
      <c r="U559">
        <v>81</v>
      </c>
      <c r="V559">
        <v>27</v>
      </c>
      <c r="W559">
        <v>15</v>
      </c>
      <c r="X559">
        <v>66</v>
      </c>
      <c r="Y559" s="5">
        <v>1.23</v>
      </c>
    </row>
    <row r="560" spans="1:25" x14ac:dyDescent="0.25">
      <c r="A560">
        <v>2019</v>
      </c>
      <c r="B560" t="s">
        <v>57</v>
      </c>
      <c r="C560">
        <v>9</v>
      </c>
      <c r="D560">
        <v>82</v>
      </c>
      <c r="E560" t="s">
        <v>20</v>
      </c>
      <c r="F560" t="s">
        <v>47</v>
      </c>
      <c r="G560">
        <f t="shared" si="8"/>
        <v>0</v>
      </c>
      <c r="H560">
        <v>4</v>
      </c>
      <c r="I560">
        <v>9</v>
      </c>
      <c r="J560">
        <v>0</v>
      </c>
      <c r="K560" s="6" t="s">
        <v>59</v>
      </c>
      <c r="L560" s="6" t="s">
        <v>74</v>
      </c>
      <c r="M560">
        <v>104</v>
      </c>
      <c r="N560" s="1">
        <v>0.40799999999999997</v>
      </c>
      <c r="O560">
        <v>29</v>
      </c>
      <c r="P560" s="1">
        <v>0.28199999999999997</v>
      </c>
      <c r="Q560" s="1">
        <v>0.77300000000000002</v>
      </c>
      <c r="R560">
        <v>295</v>
      </c>
      <c r="S560">
        <v>23</v>
      </c>
      <c r="T560">
        <v>96</v>
      </c>
      <c r="U560">
        <v>58</v>
      </c>
      <c r="V560">
        <v>26</v>
      </c>
      <c r="W560">
        <v>10</v>
      </c>
      <c r="X560">
        <v>49</v>
      </c>
      <c r="Y560" s="5">
        <v>1.18</v>
      </c>
    </row>
    <row r="561" spans="1:25" x14ac:dyDescent="0.25">
      <c r="A561">
        <v>2019</v>
      </c>
      <c r="B561" t="s">
        <v>57</v>
      </c>
      <c r="C561">
        <v>9</v>
      </c>
      <c r="D561">
        <v>82</v>
      </c>
      <c r="E561" t="s">
        <v>18</v>
      </c>
      <c r="F561" t="s">
        <v>52</v>
      </c>
      <c r="G561">
        <f t="shared" si="8"/>
        <v>1</v>
      </c>
      <c r="H561">
        <v>9</v>
      </c>
      <c r="I561">
        <v>4</v>
      </c>
      <c r="J561">
        <v>0</v>
      </c>
      <c r="K561" s="6" t="s">
        <v>62</v>
      </c>
      <c r="L561" s="6" t="s">
        <v>78</v>
      </c>
      <c r="M561">
        <v>133</v>
      </c>
      <c r="N561" s="1">
        <v>0.433</v>
      </c>
      <c r="O561">
        <v>24</v>
      </c>
      <c r="P561" s="1">
        <v>0.25800000000000001</v>
      </c>
      <c r="Q561" s="1">
        <v>0.82199999999999995</v>
      </c>
      <c r="R561">
        <v>350</v>
      </c>
      <c r="S561">
        <v>22</v>
      </c>
      <c r="T561">
        <v>107</v>
      </c>
      <c r="U561">
        <v>80</v>
      </c>
      <c r="V561">
        <v>23</v>
      </c>
      <c r="W561">
        <v>17</v>
      </c>
      <c r="X561">
        <v>47</v>
      </c>
      <c r="Y561" s="5">
        <v>1.7</v>
      </c>
    </row>
    <row r="562" spans="1:25" x14ac:dyDescent="0.25">
      <c r="A562">
        <v>2019</v>
      </c>
      <c r="B562" t="s">
        <v>57</v>
      </c>
      <c r="C562">
        <v>9</v>
      </c>
      <c r="D562">
        <v>83</v>
      </c>
      <c r="E562" t="s">
        <v>190</v>
      </c>
      <c r="F562" t="s">
        <v>103</v>
      </c>
      <c r="G562">
        <f t="shared" si="8"/>
        <v>1</v>
      </c>
      <c r="H562">
        <v>11</v>
      </c>
      <c r="I562">
        <v>2</v>
      </c>
      <c r="J562">
        <v>0</v>
      </c>
      <c r="K562" s="6" t="s">
        <v>61</v>
      </c>
      <c r="L562" s="6" t="s">
        <v>77</v>
      </c>
      <c r="M562">
        <v>188</v>
      </c>
      <c r="N562" s="1">
        <v>0.48699999999999999</v>
      </c>
      <c r="O562">
        <v>46</v>
      </c>
      <c r="P562" s="1">
        <v>0.39</v>
      </c>
      <c r="Q562" s="1">
        <v>0.80400000000000005</v>
      </c>
      <c r="R562">
        <v>496</v>
      </c>
      <c r="S562">
        <v>46</v>
      </c>
      <c r="T562">
        <v>121</v>
      </c>
      <c r="U562">
        <v>109</v>
      </c>
      <c r="V562">
        <v>43</v>
      </c>
      <c r="W562">
        <v>20</v>
      </c>
      <c r="X562">
        <v>65</v>
      </c>
      <c r="Y562" s="5">
        <v>1.68</v>
      </c>
    </row>
    <row r="563" spans="1:25" x14ac:dyDescent="0.25">
      <c r="A563">
        <v>2019</v>
      </c>
      <c r="B563" t="s">
        <v>57</v>
      </c>
      <c r="C563">
        <v>9</v>
      </c>
      <c r="D563">
        <v>83</v>
      </c>
      <c r="E563" t="s">
        <v>15</v>
      </c>
      <c r="F563" t="s">
        <v>48</v>
      </c>
      <c r="G563">
        <f t="shared" si="8"/>
        <v>0</v>
      </c>
      <c r="H563">
        <v>2</v>
      </c>
      <c r="I563">
        <v>11</v>
      </c>
      <c r="J563">
        <v>0</v>
      </c>
      <c r="K563" s="6" t="s">
        <v>191</v>
      </c>
      <c r="L563" s="6" t="s">
        <v>113</v>
      </c>
      <c r="M563">
        <v>149</v>
      </c>
      <c r="N563" s="1">
        <v>0.46400000000000002</v>
      </c>
      <c r="O563">
        <v>29</v>
      </c>
      <c r="P563" s="1">
        <v>0.32200000000000001</v>
      </c>
      <c r="Q563" s="1">
        <v>0.75</v>
      </c>
      <c r="R563">
        <v>411</v>
      </c>
      <c r="S563">
        <v>33</v>
      </c>
      <c r="T563">
        <v>118</v>
      </c>
      <c r="U563">
        <v>78</v>
      </c>
      <c r="V563">
        <v>27</v>
      </c>
      <c r="W563">
        <v>13</v>
      </c>
      <c r="X563">
        <v>37</v>
      </c>
      <c r="Y563" s="5">
        <v>2.11</v>
      </c>
    </row>
    <row r="564" spans="1:25" x14ac:dyDescent="0.25">
      <c r="A564">
        <v>2019</v>
      </c>
      <c r="B564" t="s">
        <v>57</v>
      </c>
      <c r="C564">
        <v>9</v>
      </c>
      <c r="D564">
        <v>84</v>
      </c>
      <c r="E564" t="s">
        <v>17</v>
      </c>
      <c r="F564" t="s">
        <v>43</v>
      </c>
      <c r="G564">
        <f t="shared" si="8"/>
        <v>1</v>
      </c>
      <c r="H564">
        <v>9</v>
      </c>
      <c r="I564">
        <v>4</v>
      </c>
      <c r="J564">
        <v>0</v>
      </c>
      <c r="K564" s="6" t="s">
        <v>65</v>
      </c>
      <c r="L564" s="6" t="s">
        <v>119</v>
      </c>
      <c r="M564">
        <v>179</v>
      </c>
      <c r="N564" s="1">
        <v>0.44900000000000001</v>
      </c>
      <c r="O564">
        <v>58</v>
      </c>
      <c r="P564" s="1">
        <v>0.35199999999999998</v>
      </c>
      <c r="Q564" s="1">
        <v>0.78200000000000003</v>
      </c>
      <c r="R564">
        <v>520</v>
      </c>
      <c r="S564">
        <v>45</v>
      </c>
      <c r="T564">
        <v>159</v>
      </c>
      <c r="U564">
        <v>108</v>
      </c>
      <c r="V564">
        <v>35</v>
      </c>
      <c r="W564">
        <v>14</v>
      </c>
      <c r="X564">
        <v>62</v>
      </c>
      <c r="Y564" s="5">
        <v>1.74</v>
      </c>
    </row>
    <row r="565" spans="1:25" x14ac:dyDescent="0.25">
      <c r="A565">
        <v>2019</v>
      </c>
      <c r="B565" t="s">
        <v>57</v>
      </c>
      <c r="C565">
        <v>9</v>
      </c>
      <c r="D565">
        <v>84</v>
      </c>
      <c r="E565" t="s">
        <v>26</v>
      </c>
      <c r="F565" t="s">
        <v>118</v>
      </c>
      <c r="G565">
        <f t="shared" si="8"/>
        <v>0</v>
      </c>
      <c r="H565">
        <v>4</v>
      </c>
      <c r="I565">
        <v>9</v>
      </c>
      <c r="J565">
        <v>0</v>
      </c>
      <c r="K565" s="6" t="s">
        <v>63</v>
      </c>
      <c r="L565" s="6" t="s">
        <v>79</v>
      </c>
      <c r="M565">
        <v>122</v>
      </c>
      <c r="N565" s="1">
        <v>0.46600000000000003</v>
      </c>
      <c r="O565">
        <v>28</v>
      </c>
      <c r="P565" s="1">
        <v>0.318</v>
      </c>
      <c r="Q565" s="1">
        <v>0.79500000000000004</v>
      </c>
      <c r="R565">
        <v>307</v>
      </c>
      <c r="S565">
        <v>38</v>
      </c>
      <c r="T565">
        <v>124</v>
      </c>
      <c r="U565">
        <v>86</v>
      </c>
      <c r="V565">
        <v>30</v>
      </c>
      <c r="W565">
        <v>24</v>
      </c>
      <c r="X565">
        <v>52</v>
      </c>
      <c r="Y565" s="5">
        <v>1.65</v>
      </c>
    </row>
    <row r="566" spans="1:25" x14ac:dyDescent="0.25">
      <c r="A566">
        <v>2019</v>
      </c>
      <c r="B566" t="s">
        <v>57</v>
      </c>
      <c r="C566">
        <v>9</v>
      </c>
      <c r="D566">
        <v>85</v>
      </c>
      <c r="E566" t="s">
        <v>28</v>
      </c>
      <c r="F566" t="s">
        <v>46</v>
      </c>
      <c r="G566">
        <f t="shared" si="8"/>
        <v>1</v>
      </c>
      <c r="H566">
        <v>10</v>
      </c>
      <c r="I566">
        <v>3</v>
      </c>
      <c r="J566">
        <v>0</v>
      </c>
      <c r="K566" s="6" t="s">
        <v>66</v>
      </c>
      <c r="L566" s="6" t="s">
        <v>81</v>
      </c>
      <c r="M566">
        <v>196</v>
      </c>
      <c r="N566" s="1">
        <v>0.47</v>
      </c>
      <c r="O566">
        <v>45</v>
      </c>
      <c r="P566" s="1">
        <v>0.375</v>
      </c>
      <c r="Q566" s="1">
        <v>0.72099999999999997</v>
      </c>
      <c r="R566">
        <v>517</v>
      </c>
      <c r="S566">
        <v>55</v>
      </c>
      <c r="T566">
        <v>164</v>
      </c>
      <c r="U566">
        <v>121</v>
      </c>
      <c r="V566">
        <v>57</v>
      </c>
      <c r="W566">
        <v>23</v>
      </c>
      <c r="X566">
        <v>91</v>
      </c>
      <c r="Y566" s="5">
        <v>1.33</v>
      </c>
    </row>
    <row r="567" spans="1:25" x14ac:dyDescent="0.25">
      <c r="A567">
        <v>2019</v>
      </c>
      <c r="B567" t="s">
        <v>57</v>
      </c>
      <c r="C567">
        <v>9</v>
      </c>
      <c r="D567">
        <v>85</v>
      </c>
      <c r="E567" t="s">
        <v>22</v>
      </c>
      <c r="F567" t="s">
        <v>44</v>
      </c>
      <c r="G567">
        <f t="shared" si="8"/>
        <v>0</v>
      </c>
      <c r="H567">
        <v>3</v>
      </c>
      <c r="I567">
        <v>10</v>
      </c>
      <c r="J567">
        <v>0</v>
      </c>
      <c r="K567" s="6" t="s">
        <v>64</v>
      </c>
      <c r="L567" s="6" t="s">
        <v>80</v>
      </c>
      <c r="M567">
        <v>129</v>
      </c>
      <c r="N567" s="1">
        <v>0.46600000000000003</v>
      </c>
      <c r="O567">
        <v>42</v>
      </c>
      <c r="P567" s="1">
        <v>0.372</v>
      </c>
      <c r="Q567" s="1">
        <v>0.76300000000000001</v>
      </c>
      <c r="R567">
        <v>358</v>
      </c>
      <c r="S567">
        <v>32</v>
      </c>
      <c r="T567">
        <v>114</v>
      </c>
      <c r="U567">
        <v>50</v>
      </c>
      <c r="V567">
        <v>15</v>
      </c>
      <c r="W567">
        <v>22</v>
      </c>
      <c r="X567">
        <v>30</v>
      </c>
      <c r="Y567" s="5">
        <v>1.67</v>
      </c>
    </row>
    <row r="568" spans="1:25" x14ac:dyDescent="0.25">
      <c r="A568">
        <v>2019</v>
      </c>
      <c r="B568" t="s">
        <v>57</v>
      </c>
      <c r="C568">
        <v>9</v>
      </c>
      <c r="D568">
        <v>86</v>
      </c>
      <c r="E568" t="s">
        <v>159</v>
      </c>
      <c r="F568" t="s">
        <v>116</v>
      </c>
      <c r="G568">
        <f t="shared" si="8"/>
        <v>1</v>
      </c>
      <c r="H568">
        <v>8</v>
      </c>
      <c r="I568">
        <v>5</v>
      </c>
      <c r="J568">
        <v>0</v>
      </c>
      <c r="K568" s="6" t="s">
        <v>106</v>
      </c>
      <c r="L568" s="6" t="s">
        <v>83</v>
      </c>
      <c r="M568">
        <v>208</v>
      </c>
      <c r="N568" s="1">
        <v>0.52700000000000002</v>
      </c>
      <c r="O568">
        <v>39</v>
      </c>
      <c r="P568" s="1">
        <v>0.32500000000000001</v>
      </c>
      <c r="Q568" s="1">
        <v>0.85699999999999998</v>
      </c>
      <c r="R568">
        <v>515</v>
      </c>
      <c r="S568">
        <v>48</v>
      </c>
      <c r="T568">
        <v>148</v>
      </c>
      <c r="U568">
        <v>93</v>
      </c>
      <c r="V568">
        <v>31</v>
      </c>
      <c r="W568">
        <v>31</v>
      </c>
      <c r="X568">
        <v>60</v>
      </c>
      <c r="Y568" s="5">
        <v>1.55</v>
      </c>
    </row>
    <row r="569" spans="1:25" x14ac:dyDescent="0.25">
      <c r="A569">
        <v>2019</v>
      </c>
      <c r="B569" t="s">
        <v>57</v>
      </c>
      <c r="C569">
        <v>9</v>
      </c>
      <c r="D569">
        <v>86</v>
      </c>
      <c r="E569" t="s">
        <v>94</v>
      </c>
      <c r="F569" t="s">
        <v>40</v>
      </c>
      <c r="G569">
        <f t="shared" si="8"/>
        <v>0</v>
      </c>
      <c r="H569">
        <v>5</v>
      </c>
      <c r="I569">
        <v>8</v>
      </c>
      <c r="J569">
        <v>0</v>
      </c>
      <c r="K569" s="6" t="s">
        <v>193</v>
      </c>
      <c r="L569" s="6" t="s">
        <v>117</v>
      </c>
      <c r="M569">
        <v>142</v>
      </c>
      <c r="N569" s="1">
        <v>0.45800000000000002</v>
      </c>
      <c r="O569">
        <v>32</v>
      </c>
      <c r="P569" s="1">
        <v>0.32700000000000001</v>
      </c>
      <c r="Q569" s="1">
        <v>0.83599999999999997</v>
      </c>
      <c r="R569">
        <v>423</v>
      </c>
      <c r="S569">
        <v>46</v>
      </c>
      <c r="T569">
        <v>152</v>
      </c>
      <c r="U569">
        <v>133</v>
      </c>
      <c r="V569">
        <v>29</v>
      </c>
      <c r="W569">
        <v>18</v>
      </c>
      <c r="X569">
        <v>49</v>
      </c>
      <c r="Y569" s="5">
        <v>2.71</v>
      </c>
    </row>
    <row r="570" spans="1:25" x14ac:dyDescent="0.25">
      <c r="A570">
        <v>2019</v>
      </c>
      <c r="B570" t="s">
        <v>57</v>
      </c>
      <c r="C570">
        <v>9</v>
      </c>
      <c r="D570">
        <v>87</v>
      </c>
      <c r="E570" t="s">
        <v>33</v>
      </c>
      <c r="F570" t="s">
        <v>42</v>
      </c>
      <c r="G570">
        <f t="shared" si="8"/>
        <v>1</v>
      </c>
      <c r="H570">
        <v>9</v>
      </c>
      <c r="I570">
        <v>4</v>
      </c>
      <c r="J570">
        <v>0</v>
      </c>
      <c r="K570" s="6" t="s">
        <v>67</v>
      </c>
      <c r="L570" s="6" t="s">
        <v>82</v>
      </c>
      <c r="M570">
        <v>195</v>
      </c>
      <c r="N570" s="1">
        <v>0.45700000000000002</v>
      </c>
      <c r="O570">
        <v>45</v>
      </c>
      <c r="P570" s="1">
        <v>0.35699999999999998</v>
      </c>
      <c r="Q570" s="1">
        <v>0.72499999999999998</v>
      </c>
      <c r="R570">
        <v>514</v>
      </c>
      <c r="S570">
        <v>58</v>
      </c>
      <c r="T570">
        <v>150</v>
      </c>
      <c r="U570">
        <v>140</v>
      </c>
      <c r="V570">
        <v>42</v>
      </c>
      <c r="W570">
        <v>34</v>
      </c>
      <c r="X570">
        <v>79</v>
      </c>
      <c r="Y570" s="5">
        <v>1.77</v>
      </c>
    </row>
    <row r="571" spans="1:25" x14ac:dyDescent="0.25">
      <c r="A571">
        <v>2019</v>
      </c>
      <c r="B571" t="s">
        <v>57</v>
      </c>
      <c r="C571">
        <v>9</v>
      </c>
      <c r="D571">
        <v>87</v>
      </c>
      <c r="E571" t="s">
        <v>19</v>
      </c>
      <c r="F571" t="s">
        <v>56</v>
      </c>
      <c r="G571">
        <f t="shared" si="8"/>
        <v>0</v>
      </c>
      <c r="H571">
        <v>4</v>
      </c>
      <c r="I571">
        <v>9</v>
      </c>
      <c r="J571">
        <v>0</v>
      </c>
      <c r="K571" s="6" t="s">
        <v>72</v>
      </c>
      <c r="L571" s="6" t="s">
        <v>85</v>
      </c>
      <c r="M571">
        <v>142</v>
      </c>
      <c r="N571" s="1">
        <v>0.44400000000000001</v>
      </c>
      <c r="O571">
        <v>46</v>
      </c>
      <c r="P571" s="1">
        <v>0.374</v>
      </c>
      <c r="Q571" s="1">
        <v>0.78200000000000003</v>
      </c>
      <c r="R571">
        <v>409</v>
      </c>
      <c r="S571">
        <v>36</v>
      </c>
      <c r="T571">
        <v>117</v>
      </c>
      <c r="U571">
        <v>109</v>
      </c>
      <c r="V571">
        <v>24</v>
      </c>
      <c r="W571">
        <v>15</v>
      </c>
      <c r="X571">
        <v>66</v>
      </c>
      <c r="Y571" s="5">
        <v>1.65</v>
      </c>
    </row>
    <row r="572" spans="1:25" x14ac:dyDescent="0.25">
      <c r="A572">
        <v>2019</v>
      </c>
      <c r="B572" t="s">
        <v>57</v>
      </c>
      <c r="C572">
        <v>9</v>
      </c>
      <c r="D572">
        <v>88</v>
      </c>
      <c r="E572" t="s">
        <v>21</v>
      </c>
      <c r="F572" t="s">
        <v>50</v>
      </c>
      <c r="G572">
        <f t="shared" si="8"/>
        <v>1</v>
      </c>
      <c r="H572">
        <v>7</v>
      </c>
      <c r="I572">
        <v>5</v>
      </c>
      <c r="J572">
        <v>1</v>
      </c>
      <c r="K572" s="6" t="s">
        <v>68</v>
      </c>
      <c r="L572" s="6" t="s">
        <v>84</v>
      </c>
      <c r="M572">
        <v>133</v>
      </c>
      <c r="N572" s="1">
        <v>0.47</v>
      </c>
      <c r="O572">
        <v>29</v>
      </c>
      <c r="P572" s="1">
        <v>0.35399999999999998</v>
      </c>
      <c r="Q572" s="1">
        <v>0.73599999999999999</v>
      </c>
      <c r="R572">
        <v>359</v>
      </c>
      <c r="S572">
        <v>57</v>
      </c>
      <c r="T572">
        <v>117</v>
      </c>
      <c r="U572">
        <v>89</v>
      </c>
      <c r="V572">
        <v>22</v>
      </c>
      <c r="W572">
        <v>17</v>
      </c>
      <c r="X572">
        <v>61</v>
      </c>
      <c r="Y572" s="5">
        <v>1.46</v>
      </c>
    </row>
    <row r="573" spans="1:25" x14ac:dyDescent="0.25">
      <c r="A573">
        <v>2019</v>
      </c>
      <c r="B573" t="s">
        <v>57</v>
      </c>
      <c r="C573">
        <v>9</v>
      </c>
      <c r="D573">
        <v>88</v>
      </c>
      <c r="E573" t="s">
        <v>25</v>
      </c>
      <c r="F573" t="s">
        <v>53</v>
      </c>
      <c r="G573">
        <f t="shared" si="8"/>
        <v>0</v>
      </c>
      <c r="H573">
        <v>5</v>
      </c>
      <c r="I573">
        <v>7</v>
      </c>
      <c r="J573">
        <v>1</v>
      </c>
      <c r="K573" s="6" t="s">
        <v>70</v>
      </c>
      <c r="L573" s="6" t="s">
        <v>87</v>
      </c>
      <c r="M573">
        <v>120</v>
      </c>
      <c r="N573" s="1">
        <v>0.41799999999999998</v>
      </c>
      <c r="O573">
        <v>40</v>
      </c>
      <c r="P573" s="1">
        <v>0.40400000000000003</v>
      </c>
      <c r="Q573" s="1">
        <v>0.75</v>
      </c>
      <c r="R573">
        <v>313</v>
      </c>
      <c r="S573">
        <v>23</v>
      </c>
      <c r="T573">
        <v>89</v>
      </c>
      <c r="U573">
        <v>89</v>
      </c>
      <c r="V573">
        <v>19</v>
      </c>
      <c r="W573">
        <v>11</v>
      </c>
      <c r="X573">
        <v>47</v>
      </c>
      <c r="Y573" s="5">
        <v>1.89</v>
      </c>
    </row>
    <row r="574" spans="1:25" x14ac:dyDescent="0.25">
      <c r="A574">
        <v>2019</v>
      </c>
      <c r="B574" t="s">
        <v>57</v>
      </c>
      <c r="C574">
        <v>9</v>
      </c>
      <c r="D574">
        <v>89</v>
      </c>
      <c r="E574" t="s">
        <v>24</v>
      </c>
      <c r="F574" t="s">
        <v>55</v>
      </c>
      <c r="G574">
        <f t="shared" si="8"/>
        <v>1</v>
      </c>
      <c r="H574">
        <v>10</v>
      </c>
      <c r="I574">
        <v>3</v>
      </c>
      <c r="J574">
        <v>0</v>
      </c>
      <c r="K574" s="6" t="s">
        <v>112</v>
      </c>
      <c r="L574" s="6" t="s">
        <v>88</v>
      </c>
      <c r="M574">
        <v>175</v>
      </c>
      <c r="N574" s="1">
        <v>0.51800000000000002</v>
      </c>
      <c r="O574">
        <v>53</v>
      </c>
      <c r="P574" s="1">
        <v>0.42099999999999999</v>
      </c>
      <c r="Q574" s="1">
        <v>0.72399999999999998</v>
      </c>
      <c r="R574">
        <v>487</v>
      </c>
      <c r="S574">
        <v>18</v>
      </c>
      <c r="T574">
        <v>125</v>
      </c>
      <c r="U574">
        <v>125</v>
      </c>
      <c r="V574">
        <v>29</v>
      </c>
      <c r="W574">
        <v>13</v>
      </c>
      <c r="X574">
        <v>55</v>
      </c>
      <c r="Y574" s="5">
        <v>2.27</v>
      </c>
    </row>
    <row r="575" spans="1:25" x14ac:dyDescent="0.25">
      <c r="A575">
        <v>2019</v>
      </c>
      <c r="B575" t="s">
        <v>57</v>
      </c>
      <c r="C575">
        <v>9</v>
      </c>
      <c r="D575">
        <v>89</v>
      </c>
      <c r="E575" t="s">
        <v>98</v>
      </c>
      <c r="F575" t="s">
        <v>41</v>
      </c>
      <c r="G575">
        <f t="shared" si="8"/>
        <v>0</v>
      </c>
      <c r="H575">
        <v>3</v>
      </c>
      <c r="I575">
        <v>10</v>
      </c>
      <c r="J575">
        <v>0</v>
      </c>
      <c r="K575" s="6" t="s">
        <v>69</v>
      </c>
      <c r="L575" s="6" t="s">
        <v>86</v>
      </c>
      <c r="M575">
        <v>119</v>
      </c>
      <c r="N575" s="1">
        <v>0.39700000000000002</v>
      </c>
      <c r="O575">
        <v>42</v>
      </c>
      <c r="P575" s="1">
        <v>0.35</v>
      </c>
      <c r="Q575" s="1">
        <v>0.77800000000000002</v>
      </c>
      <c r="R575">
        <v>315</v>
      </c>
      <c r="S575">
        <v>16</v>
      </c>
      <c r="T575">
        <v>96</v>
      </c>
      <c r="U575">
        <v>68</v>
      </c>
      <c r="V575">
        <v>16</v>
      </c>
      <c r="W575">
        <v>14</v>
      </c>
      <c r="X575">
        <v>41</v>
      </c>
      <c r="Y575" s="5">
        <v>1.66</v>
      </c>
    </row>
    <row r="576" spans="1:25" x14ac:dyDescent="0.25">
      <c r="A576">
        <v>2019</v>
      </c>
      <c r="B576" t="s">
        <v>57</v>
      </c>
      <c r="C576">
        <v>9</v>
      </c>
      <c r="D576">
        <v>90</v>
      </c>
      <c r="E576" t="s">
        <v>23</v>
      </c>
      <c r="F576" t="s">
        <v>120</v>
      </c>
      <c r="G576">
        <f t="shared" si="8"/>
        <v>1</v>
      </c>
      <c r="H576">
        <v>13</v>
      </c>
      <c r="I576">
        <v>0</v>
      </c>
      <c r="J576">
        <v>0</v>
      </c>
      <c r="K576" s="6" t="s">
        <v>111</v>
      </c>
      <c r="L576" s="6" t="s">
        <v>89</v>
      </c>
      <c r="M576">
        <v>179</v>
      </c>
      <c r="N576" s="1">
        <v>0.48</v>
      </c>
      <c r="O576">
        <v>34</v>
      </c>
      <c r="P576" s="1">
        <v>0.39100000000000001</v>
      </c>
      <c r="Q576" s="1">
        <v>0.76</v>
      </c>
      <c r="R576">
        <v>471</v>
      </c>
      <c r="S576">
        <v>59</v>
      </c>
      <c r="T576">
        <v>138</v>
      </c>
      <c r="U576">
        <v>99</v>
      </c>
      <c r="V576">
        <v>41</v>
      </c>
      <c r="W576">
        <v>22</v>
      </c>
      <c r="X576">
        <v>44</v>
      </c>
      <c r="Y576" s="5">
        <v>2.25</v>
      </c>
    </row>
    <row r="577" spans="1:25" x14ac:dyDescent="0.25">
      <c r="A577">
        <v>2019</v>
      </c>
      <c r="B577" t="s">
        <v>57</v>
      </c>
      <c r="C577">
        <v>9</v>
      </c>
      <c r="D577">
        <v>90</v>
      </c>
      <c r="E577" t="s">
        <v>97</v>
      </c>
      <c r="F577" t="s">
        <v>54</v>
      </c>
      <c r="G577">
        <f t="shared" si="8"/>
        <v>0</v>
      </c>
      <c r="H577">
        <v>0</v>
      </c>
      <c r="I577">
        <v>13</v>
      </c>
      <c r="J577">
        <v>0</v>
      </c>
      <c r="K577" s="6" t="s">
        <v>71</v>
      </c>
      <c r="L577" s="6" t="s">
        <v>121</v>
      </c>
      <c r="M577">
        <v>149</v>
      </c>
      <c r="N577" s="1">
        <v>0.46400000000000002</v>
      </c>
      <c r="O577">
        <v>30</v>
      </c>
      <c r="P577" s="1">
        <v>0.29099999999999998</v>
      </c>
      <c r="Q577" s="1">
        <v>0.68300000000000005</v>
      </c>
      <c r="R577">
        <v>412</v>
      </c>
      <c r="S577">
        <v>31</v>
      </c>
      <c r="T577">
        <v>112</v>
      </c>
      <c r="U577">
        <v>97</v>
      </c>
      <c r="V577">
        <v>22</v>
      </c>
      <c r="W577">
        <v>15</v>
      </c>
      <c r="X577">
        <v>65</v>
      </c>
      <c r="Y577" s="5">
        <v>1.49</v>
      </c>
    </row>
    <row r="578" spans="1:25" x14ac:dyDescent="0.25">
      <c r="A578">
        <v>2019</v>
      </c>
      <c r="B578" t="s">
        <v>57</v>
      </c>
      <c r="C578">
        <v>10</v>
      </c>
      <c r="D578">
        <v>91</v>
      </c>
      <c r="E578" t="s">
        <v>16</v>
      </c>
      <c r="F578" t="s">
        <v>51</v>
      </c>
      <c r="G578">
        <f t="shared" ref="G578:G641" si="9">IF(H578+0.5*J578&gt;6.5,1,0)</f>
        <v>0</v>
      </c>
      <c r="H578">
        <v>6</v>
      </c>
      <c r="I578">
        <v>7</v>
      </c>
      <c r="J578">
        <v>0</v>
      </c>
      <c r="K578" s="6" t="s">
        <v>193</v>
      </c>
      <c r="L578" s="6" t="s">
        <v>117</v>
      </c>
      <c r="M578">
        <v>187</v>
      </c>
      <c r="N578" s="1">
        <v>0.45700000000000002</v>
      </c>
      <c r="O578">
        <v>71</v>
      </c>
      <c r="P578" s="1">
        <v>0.372</v>
      </c>
      <c r="Q578" s="1">
        <v>0.67</v>
      </c>
      <c r="R578">
        <v>516</v>
      </c>
      <c r="S578">
        <v>64</v>
      </c>
      <c r="T578">
        <v>194</v>
      </c>
      <c r="U578">
        <v>97</v>
      </c>
      <c r="V578">
        <v>50</v>
      </c>
      <c r="W578">
        <v>17</v>
      </c>
      <c r="X578">
        <v>63</v>
      </c>
      <c r="Y578" s="5">
        <v>1.54</v>
      </c>
    </row>
    <row r="579" spans="1:25" x14ac:dyDescent="0.25">
      <c r="A579">
        <v>2019</v>
      </c>
      <c r="B579" t="s">
        <v>57</v>
      </c>
      <c r="C579">
        <v>10</v>
      </c>
      <c r="D579">
        <v>91</v>
      </c>
      <c r="E579" t="s">
        <v>159</v>
      </c>
      <c r="F579" t="s">
        <v>116</v>
      </c>
      <c r="G579">
        <f t="shared" si="9"/>
        <v>1</v>
      </c>
      <c r="H579">
        <v>7</v>
      </c>
      <c r="I579">
        <v>6</v>
      </c>
      <c r="J579">
        <v>0</v>
      </c>
      <c r="K579" s="6" t="s">
        <v>60</v>
      </c>
      <c r="L579" s="6" t="s">
        <v>75</v>
      </c>
      <c r="M579">
        <v>198</v>
      </c>
      <c r="N579" s="1">
        <v>0.495</v>
      </c>
      <c r="O579">
        <v>58</v>
      </c>
      <c r="P579" s="1">
        <v>0.377</v>
      </c>
      <c r="Q579" s="1">
        <v>0.78800000000000003</v>
      </c>
      <c r="R579">
        <v>521</v>
      </c>
      <c r="S579">
        <v>47</v>
      </c>
      <c r="T579">
        <v>167</v>
      </c>
      <c r="U579">
        <v>69</v>
      </c>
      <c r="V579">
        <v>32</v>
      </c>
      <c r="W579">
        <v>18</v>
      </c>
      <c r="X579">
        <v>47</v>
      </c>
      <c r="Y579" s="5">
        <v>1.47</v>
      </c>
    </row>
    <row r="580" spans="1:25" x14ac:dyDescent="0.25">
      <c r="A580">
        <v>2019</v>
      </c>
      <c r="B580" t="s">
        <v>57</v>
      </c>
      <c r="C580">
        <v>10</v>
      </c>
      <c r="D580">
        <v>92</v>
      </c>
      <c r="E580" t="s">
        <v>18</v>
      </c>
      <c r="F580" t="s">
        <v>52</v>
      </c>
      <c r="G580">
        <f t="shared" si="9"/>
        <v>1</v>
      </c>
      <c r="H580">
        <v>7</v>
      </c>
      <c r="I580">
        <v>6</v>
      </c>
      <c r="J580">
        <v>0</v>
      </c>
      <c r="K580" s="6" t="s">
        <v>67</v>
      </c>
      <c r="L580" s="6" t="s">
        <v>82</v>
      </c>
      <c r="M580">
        <v>158</v>
      </c>
      <c r="N580" s="1">
        <v>0.47199999999999998</v>
      </c>
      <c r="O580">
        <v>27</v>
      </c>
      <c r="P580" s="1">
        <v>0.30299999999999999</v>
      </c>
      <c r="Q580" s="1">
        <v>0.70799999999999996</v>
      </c>
      <c r="R580">
        <v>411</v>
      </c>
      <c r="S580">
        <v>40</v>
      </c>
      <c r="T580">
        <v>121</v>
      </c>
      <c r="U580">
        <v>107</v>
      </c>
      <c r="V580">
        <v>27</v>
      </c>
      <c r="W580">
        <v>20</v>
      </c>
      <c r="X580">
        <v>66</v>
      </c>
      <c r="Y580" s="5">
        <v>1.62</v>
      </c>
    </row>
    <row r="581" spans="1:25" x14ac:dyDescent="0.25">
      <c r="A581">
        <v>2019</v>
      </c>
      <c r="B581" t="s">
        <v>57</v>
      </c>
      <c r="C581">
        <v>10</v>
      </c>
      <c r="D581">
        <v>92</v>
      </c>
      <c r="E581" t="s">
        <v>19</v>
      </c>
      <c r="F581" t="s">
        <v>56</v>
      </c>
      <c r="G581">
        <f t="shared" si="9"/>
        <v>0</v>
      </c>
      <c r="H581">
        <v>6</v>
      </c>
      <c r="I581">
        <v>7</v>
      </c>
      <c r="J581">
        <v>0</v>
      </c>
      <c r="K581" s="6" t="s">
        <v>59</v>
      </c>
      <c r="L581" s="6" t="s">
        <v>74</v>
      </c>
      <c r="M581">
        <v>146</v>
      </c>
      <c r="N581" s="1">
        <v>0.46200000000000002</v>
      </c>
      <c r="O581">
        <v>45</v>
      </c>
      <c r="P581" s="1">
        <v>0.38100000000000001</v>
      </c>
      <c r="Q581" s="1">
        <v>0.78200000000000003</v>
      </c>
      <c r="R581">
        <v>430</v>
      </c>
      <c r="S581">
        <v>25</v>
      </c>
      <c r="T581">
        <v>100</v>
      </c>
      <c r="U581">
        <v>96</v>
      </c>
      <c r="V581">
        <v>15</v>
      </c>
      <c r="W581">
        <v>19</v>
      </c>
      <c r="X581">
        <v>59</v>
      </c>
      <c r="Y581" s="5">
        <v>1.63</v>
      </c>
    </row>
    <row r="582" spans="1:25" x14ac:dyDescent="0.25">
      <c r="A582">
        <v>2019</v>
      </c>
      <c r="B582" t="s">
        <v>57</v>
      </c>
      <c r="C582">
        <v>10</v>
      </c>
      <c r="D582">
        <v>93</v>
      </c>
      <c r="E582" t="s">
        <v>15</v>
      </c>
      <c r="F582" t="s">
        <v>48</v>
      </c>
      <c r="G582">
        <f t="shared" si="9"/>
        <v>1</v>
      </c>
      <c r="H582">
        <v>8</v>
      </c>
      <c r="I582">
        <v>5</v>
      </c>
      <c r="J582">
        <v>0</v>
      </c>
      <c r="K582" s="6" t="s">
        <v>68</v>
      </c>
      <c r="L582" s="6" t="s">
        <v>84</v>
      </c>
      <c r="M582">
        <v>153</v>
      </c>
      <c r="N582" s="1">
        <v>0.48899999999999999</v>
      </c>
      <c r="O582">
        <v>28</v>
      </c>
      <c r="P582" s="1">
        <v>0.308</v>
      </c>
      <c r="Q582" s="1">
        <v>0.79500000000000004</v>
      </c>
      <c r="R582">
        <v>404</v>
      </c>
      <c r="S582">
        <v>27</v>
      </c>
      <c r="T582">
        <v>118</v>
      </c>
      <c r="U582">
        <v>78</v>
      </c>
      <c r="V582">
        <v>31</v>
      </c>
      <c r="W582">
        <v>15</v>
      </c>
      <c r="X582">
        <v>34</v>
      </c>
      <c r="Y582" s="5">
        <v>2.2909999999999999</v>
      </c>
    </row>
    <row r="583" spans="1:25" x14ac:dyDescent="0.25">
      <c r="A583">
        <v>2019</v>
      </c>
      <c r="B583" t="s">
        <v>57</v>
      </c>
      <c r="C583">
        <v>10</v>
      </c>
      <c r="D583">
        <v>93</v>
      </c>
      <c r="E583" t="s">
        <v>25</v>
      </c>
      <c r="F583" t="s">
        <v>53</v>
      </c>
      <c r="G583">
        <f t="shared" si="9"/>
        <v>0</v>
      </c>
      <c r="H583">
        <v>5</v>
      </c>
      <c r="I583">
        <v>8</v>
      </c>
      <c r="J583">
        <v>0</v>
      </c>
      <c r="K583" s="6" t="s">
        <v>61</v>
      </c>
      <c r="L583" s="6" t="s">
        <v>77</v>
      </c>
      <c r="M583">
        <v>147</v>
      </c>
      <c r="N583" s="1">
        <v>0.42499999999999999</v>
      </c>
      <c r="O583">
        <v>35</v>
      </c>
      <c r="P583" s="1">
        <v>0.376</v>
      </c>
      <c r="Q583" s="1">
        <v>0.73399999999999999</v>
      </c>
      <c r="R583">
        <v>387</v>
      </c>
      <c r="S583">
        <v>37</v>
      </c>
      <c r="T583">
        <v>135</v>
      </c>
      <c r="U583">
        <v>119</v>
      </c>
      <c r="V583">
        <v>13</v>
      </c>
      <c r="W583">
        <v>12</v>
      </c>
      <c r="X583">
        <v>52</v>
      </c>
      <c r="Y583" s="5">
        <v>2.29</v>
      </c>
    </row>
    <row r="584" spans="1:25" x14ac:dyDescent="0.25">
      <c r="A584">
        <v>2019</v>
      </c>
      <c r="B584" t="s">
        <v>57</v>
      </c>
      <c r="C584">
        <v>10</v>
      </c>
      <c r="D584">
        <v>94</v>
      </c>
      <c r="E584" t="s">
        <v>17</v>
      </c>
      <c r="F584" t="s">
        <v>43</v>
      </c>
      <c r="G584">
        <f t="shared" si="9"/>
        <v>1</v>
      </c>
      <c r="H584">
        <v>7</v>
      </c>
      <c r="I584">
        <v>5</v>
      </c>
      <c r="J584">
        <v>1</v>
      </c>
      <c r="K584" s="6" t="s">
        <v>69</v>
      </c>
      <c r="L584" s="6" t="s">
        <v>86</v>
      </c>
      <c r="M584">
        <v>148</v>
      </c>
      <c r="N584" s="1">
        <v>0.435</v>
      </c>
      <c r="O584">
        <v>38</v>
      </c>
      <c r="P584" s="1">
        <v>0.28999999999999998</v>
      </c>
      <c r="Q584" s="1">
        <v>0.75900000000000001</v>
      </c>
      <c r="R584">
        <v>419</v>
      </c>
      <c r="S584">
        <v>33</v>
      </c>
      <c r="T584">
        <v>156</v>
      </c>
      <c r="U584">
        <v>102</v>
      </c>
      <c r="V584">
        <v>32</v>
      </c>
      <c r="W584">
        <v>13</v>
      </c>
      <c r="X584">
        <v>60</v>
      </c>
      <c r="Y584" s="5">
        <v>1.7</v>
      </c>
    </row>
    <row r="585" spans="1:25" x14ac:dyDescent="0.25">
      <c r="A585">
        <v>2019</v>
      </c>
      <c r="B585" t="s">
        <v>57</v>
      </c>
      <c r="C585">
        <v>10</v>
      </c>
      <c r="D585">
        <v>94</v>
      </c>
      <c r="E585" t="s">
        <v>24</v>
      </c>
      <c r="F585" t="s">
        <v>55</v>
      </c>
      <c r="G585">
        <f t="shared" si="9"/>
        <v>0</v>
      </c>
      <c r="H585">
        <v>5</v>
      </c>
      <c r="I585">
        <v>7</v>
      </c>
      <c r="J585">
        <v>1</v>
      </c>
      <c r="K585" s="6" t="s">
        <v>63</v>
      </c>
      <c r="L585" s="6" t="s">
        <v>79</v>
      </c>
      <c r="M585">
        <v>134</v>
      </c>
      <c r="N585" s="1">
        <v>0.45300000000000001</v>
      </c>
      <c r="O585">
        <v>55</v>
      </c>
      <c r="P585" s="1">
        <v>0.39900000000000002</v>
      </c>
      <c r="Q585" s="1">
        <v>0.82899999999999996</v>
      </c>
      <c r="R585">
        <v>381</v>
      </c>
      <c r="S585">
        <v>20</v>
      </c>
      <c r="T585">
        <v>119</v>
      </c>
      <c r="U585">
        <v>85</v>
      </c>
      <c r="V585">
        <v>18</v>
      </c>
      <c r="W585">
        <v>13</v>
      </c>
      <c r="X585">
        <v>55</v>
      </c>
      <c r="Y585" s="5">
        <v>1.55</v>
      </c>
    </row>
    <row r="586" spans="1:25" x14ac:dyDescent="0.25">
      <c r="A586">
        <v>2019</v>
      </c>
      <c r="B586" t="s">
        <v>57</v>
      </c>
      <c r="C586">
        <v>10</v>
      </c>
      <c r="D586">
        <v>95</v>
      </c>
      <c r="E586" t="s">
        <v>28</v>
      </c>
      <c r="F586" t="s">
        <v>46</v>
      </c>
      <c r="G586">
        <f t="shared" si="9"/>
        <v>1</v>
      </c>
      <c r="H586">
        <v>7</v>
      </c>
      <c r="I586">
        <v>6</v>
      </c>
      <c r="J586">
        <v>0</v>
      </c>
      <c r="K586" s="6" t="s">
        <v>71</v>
      </c>
      <c r="L586" s="6" t="s">
        <v>121</v>
      </c>
      <c r="M586">
        <v>189</v>
      </c>
      <c r="N586" s="1">
        <v>0.46700000000000003</v>
      </c>
      <c r="O586">
        <v>51</v>
      </c>
      <c r="P586" s="1">
        <v>0.44700000000000001</v>
      </c>
      <c r="Q586" s="1">
        <v>0.74299999999999999</v>
      </c>
      <c r="R586">
        <v>510</v>
      </c>
      <c r="S586">
        <v>53</v>
      </c>
      <c r="T586">
        <v>157</v>
      </c>
      <c r="U586">
        <v>127</v>
      </c>
      <c r="V586">
        <v>42</v>
      </c>
      <c r="W586">
        <v>30</v>
      </c>
      <c r="X586">
        <v>78</v>
      </c>
      <c r="Y586" s="5">
        <v>1.63</v>
      </c>
    </row>
    <row r="587" spans="1:25" x14ac:dyDescent="0.25">
      <c r="A587">
        <v>2019</v>
      </c>
      <c r="B587" t="s">
        <v>57</v>
      </c>
      <c r="C587">
        <v>10</v>
      </c>
      <c r="D587">
        <v>95</v>
      </c>
      <c r="E587" t="s">
        <v>23</v>
      </c>
      <c r="F587" t="s">
        <v>120</v>
      </c>
      <c r="G587">
        <f t="shared" si="9"/>
        <v>0</v>
      </c>
      <c r="H587">
        <v>6</v>
      </c>
      <c r="I587">
        <v>7</v>
      </c>
      <c r="J587">
        <v>0</v>
      </c>
      <c r="K587" s="6" t="s">
        <v>64</v>
      </c>
      <c r="L587" s="6" t="s">
        <v>80</v>
      </c>
      <c r="M587">
        <v>194</v>
      </c>
      <c r="N587" s="1">
        <v>0.497</v>
      </c>
      <c r="O587">
        <v>43</v>
      </c>
      <c r="P587" s="1">
        <v>0.40600000000000003</v>
      </c>
      <c r="Q587" s="1">
        <v>0.754</v>
      </c>
      <c r="R587">
        <v>529</v>
      </c>
      <c r="S587">
        <v>50</v>
      </c>
      <c r="T587">
        <v>145</v>
      </c>
      <c r="U587">
        <v>82</v>
      </c>
      <c r="V587">
        <v>31</v>
      </c>
      <c r="W587">
        <v>28</v>
      </c>
      <c r="X587">
        <v>48</v>
      </c>
      <c r="Y587" s="5">
        <v>1.71</v>
      </c>
    </row>
    <row r="588" spans="1:25" x14ac:dyDescent="0.25">
      <c r="A588">
        <v>2019</v>
      </c>
      <c r="B588" t="s">
        <v>57</v>
      </c>
      <c r="C588">
        <v>10</v>
      </c>
      <c r="D588">
        <v>96</v>
      </c>
      <c r="E588" t="s">
        <v>97</v>
      </c>
      <c r="F588" t="s">
        <v>54</v>
      </c>
      <c r="G588">
        <f t="shared" si="9"/>
        <v>0</v>
      </c>
      <c r="H588">
        <v>4</v>
      </c>
      <c r="I588">
        <v>8</v>
      </c>
      <c r="J588">
        <v>1</v>
      </c>
      <c r="K588" s="6" t="s">
        <v>66</v>
      </c>
      <c r="L588" s="6" t="s">
        <v>81</v>
      </c>
      <c r="M588">
        <v>143</v>
      </c>
      <c r="N588" s="1">
        <v>0.42399999999999999</v>
      </c>
      <c r="O588">
        <v>34</v>
      </c>
      <c r="P588" s="1">
        <v>0.34699999999999998</v>
      </c>
      <c r="Q588" s="1">
        <v>0.752</v>
      </c>
      <c r="R588">
        <v>408</v>
      </c>
      <c r="S588">
        <v>35</v>
      </c>
      <c r="T588">
        <v>120</v>
      </c>
      <c r="U588">
        <v>84</v>
      </c>
      <c r="V588">
        <v>23</v>
      </c>
      <c r="W588">
        <v>10</v>
      </c>
      <c r="X588">
        <v>55</v>
      </c>
      <c r="Y588" s="5">
        <v>1.53</v>
      </c>
    </row>
    <row r="589" spans="1:25" x14ac:dyDescent="0.25">
      <c r="A589">
        <v>2019</v>
      </c>
      <c r="B589" t="s">
        <v>57</v>
      </c>
      <c r="C589">
        <v>10</v>
      </c>
      <c r="D589">
        <v>96</v>
      </c>
      <c r="E589" t="s">
        <v>22</v>
      </c>
      <c r="F589" t="s">
        <v>44</v>
      </c>
      <c r="G589">
        <f t="shared" si="9"/>
        <v>1</v>
      </c>
      <c r="H589">
        <v>8</v>
      </c>
      <c r="I589">
        <v>4</v>
      </c>
      <c r="J589">
        <v>1</v>
      </c>
      <c r="K589" s="6" t="s">
        <v>111</v>
      </c>
      <c r="L589" s="6" t="s">
        <v>89</v>
      </c>
      <c r="M589">
        <v>127</v>
      </c>
      <c r="N589" s="1">
        <v>0.47</v>
      </c>
      <c r="O589">
        <v>46</v>
      </c>
      <c r="P589" s="1">
        <v>0.42199999999999999</v>
      </c>
      <c r="Q589" s="1">
        <v>0.82</v>
      </c>
      <c r="R589">
        <v>341</v>
      </c>
      <c r="S589">
        <v>22</v>
      </c>
      <c r="T589">
        <v>133</v>
      </c>
      <c r="U589">
        <v>58</v>
      </c>
      <c r="V589">
        <v>23</v>
      </c>
      <c r="W589">
        <v>35</v>
      </c>
      <c r="X589">
        <v>34</v>
      </c>
      <c r="Y589" s="5">
        <v>1.71</v>
      </c>
    </row>
    <row r="590" spans="1:25" x14ac:dyDescent="0.25">
      <c r="A590">
        <v>2019</v>
      </c>
      <c r="B590" t="s">
        <v>57</v>
      </c>
      <c r="C590">
        <v>10</v>
      </c>
      <c r="D590">
        <v>97</v>
      </c>
      <c r="E590" t="s">
        <v>26</v>
      </c>
      <c r="F590" t="s">
        <v>118</v>
      </c>
      <c r="G590">
        <f t="shared" si="9"/>
        <v>1</v>
      </c>
      <c r="H590">
        <v>9</v>
      </c>
      <c r="I590">
        <v>4</v>
      </c>
      <c r="J590">
        <v>0</v>
      </c>
      <c r="K590" s="6" t="s">
        <v>112</v>
      </c>
      <c r="L590" s="6" t="s">
        <v>88</v>
      </c>
      <c r="M590">
        <v>153</v>
      </c>
      <c r="N590" s="1">
        <v>0.44</v>
      </c>
      <c r="O590">
        <v>34</v>
      </c>
      <c r="P590" s="1">
        <v>0.32700000000000001</v>
      </c>
      <c r="Q590" s="1">
        <v>0.78200000000000003</v>
      </c>
      <c r="R590">
        <v>419</v>
      </c>
      <c r="S590">
        <v>31</v>
      </c>
      <c r="T590">
        <v>164</v>
      </c>
      <c r="U590">
        <v>118</v>
      </c>
      <c r="V590">
        <v>31</v>
      </c>
      <c r="W590">
        <v>22</v>
      </c>
      <c r="X590">
        <v>52</v>
      </c>
      <c r="Y590" s="5">
        <v>2.27</v>
      </c>
    </row>
    <row r="591" spans="1:25" x14ac:dyDescent="0.25">
      <c r="A591">
        <v>2019</v>
      </c>
      <c r="B591" t="s">
        <v>57</v>
      </c>
      <c r="C591">
        <v>10</v>
      </c>
      <c r="D591">
        <v>97</v>
      </c>
      <c r="E591" t="s">
        <v>98</v>
      </c>
      <c r="F591" t="s">
        <v>41</v>
      </c>
      <c r="G591">
        <f t="shared" si="9"/>
        <v>0</v>
      </c>
      <c r="H591">
        <v>4</v>
      </c>
      <c r="I591">
        <v>9</v>
      </c>
      <c r="J591">
        <v>0</v>
      </c>
      <c r="K591" s="6" t="s">
        <v>65</v>
      </c>
      <c r="L591" s="6" t="s">
        <v>119</v>
      </c>
      <c r="M591">
        <v>140</v>
      </c>
      <c r="N591" s="1">
        <v>0.43099999999999999</v>
      </c>
      <c r="O591">
        <v>44</v>
      </c>
      <c r="P591" s="1">
        <v>0.35799999999999998</v>
      </c>
      <c r="Q591" s="1">
        <v>0.79100000000000004</v>
      </c>
      <c r="R591">
        <v>396</v>
      </c>
      <c r="S591">
        <v>20</v>
      </c>
      <c r="T591">
        <v>115</v>
      </c>
      <c r="U591">
        <v>75</v>
      </c>
      <c r="V591">
        <v>16</v>
      </c>
      <c r="W591">
        <v>13</v>
      </c>
      <c r="X591">
        <v>39</v>
      </c>
      <c r="Y591" s="5">
        <v>1.92</v>
      </c>
    </row>
    <row r="592" spans="1:25" x14ac:dyDescent="0.25">
      <c r="A592">
        <v>2019</v>
      </c>
      <c r="B592" t="s">
        <v>57</v>
      </c>
      <c r="C592">
        <v>10</v>
      </c>
      <c r="D592">
        <v>98</v>
      </c>
      <c r="E592" t="s">
        <v>190</v>
      </c>
      <c r="F592" t="s">
        <v>103</v>
      </c>
      <c r="G592">
        <f t="shared" si="9"/>
        <v>1</v>
      </c>
      <c r="H592">
        <v>9</v>
      </c>
      <c r="I592">
        <v>4</v>
      </c>
      <c r="J592">
        <v>0</v>
      </c>
      <c r="K592" s="6" t="s">
        <v>70</v>
      </c>
      <c r="L592" s="6" t="s">
        <v>87</v>
      </c>
      <c r="M592">
        <v>243</v>
      </c>
      <c r="N592" s="1">
        <v>0.47599999999999998</v>
      </c>
      <c r="O592">
        <v>48</v>
      </c>
      <c r="P592" s="1">
        <v>0.33300000000000002</v>
      </c>
      <c r="Q592" s="1">
        <v>0.68100000000000005</v>
      </c>
      <c r="R592">
        <v>630</v>
      </c>
      <c r="S592">
        <v>77</v>
      </c>
      <c r="T592">
        <v>242</v>
      </c>
      <c r="U592">
        <v>154</v>
      </c>
      <c r="V592">
        <v>44</v>
      </c>
      <c r="W592">
        <v>30</v>
      </c>
      <c r="X592">
        <v>84</v>
      </c>
      <c r="Y592" s="5">
        <v>1.83</v>
      </c>
    </row>
    <row r="593" spans="1:25" x14ac:dyDescent="0.25">
      <c r="A593">
        <v>2019</v>
      </c>
      <c r="B593" t="s">
        <v>57</v>
      </c>
      <c r="C593">
        <v>10</v>
      </c>
      <c r="D593">
        <v>98</v>
      </c>
      <c r="E593" t="s">
        <v>21</v>
      </c>
      <c r="F593" t="s">
        <v>50</v>
      </c>
      <c r="G593">
        <f t="shared" si="9"/>
        <v>0</v>
      </c>
      <c r="H593">
        <v>4</v>
      </c>
      <c r="I593">
        <v>9</v>
      </c>
      <c r="J593">
        <v>0</v>
      </c>
      <c r="K593" s="6" t="s">
        <v>191</v>
      </c>
      <c r="L593" s="6" t="s">
        <v>113</v>
      </c>
      <c r="M593">
        <v>182</v>
      </c>
      <c r="N593" s="1">
        <v>0.48299999999999998</v>
      </c>
      <c r="O593">
        <v>30</v>
      </c>
      <c r="P593" s="1">
        <v>0.316</v>
      </c>
      <c r="Q593" s="1">
        <v>0.80300000000000005</v>
      </c>
      <c r="R593">
        <v>504</v>
      </c>
      <c r="S593">
        <v>56</v>
      </c>
      <c r="T593">
        <v>129</v>
      </c>
      <c r="U593">
        <v>105</v>
      </c>
      <c r="V593">
        <v>25</v>
      </c>
      <c r="W593">
        <v>25</v>
      </c>
      <c r="X593">
        <v>56</v>
      </c>
      <c r="Y593" s="5">
        <v>1.88</v>
      </c>
    </row>
    <row r="594" spans="1:25" x14ac:dyDescent="0.25">
      <c r="A594">
        <v>2019</v>
      </c>
      <c r="B594" t="s">
        <v>57</v>
      </c>
      <c r="C594">
        <v>10</v>
      </c>
      <c r="D594">
        <v>99</v>
      </c>
      <c r="E594" t="s">
        <v>33</v>
      </c>
      <c r="F594" t="s">
        <v>42</v>
      </c>
      <c r="G594">
        <f t="shared" si="9"/>
        <v>1</v>
      </c>
      <c r="H594">
        <v>11</v>
      </c>
      <c r="I594">
        <v>2</v>
      </c>
      <c r="J594">
        <v>0</v>
      </c>
      <c r="K594" s="6" t="s">
        <v>62</v>
      </c>
      <c r="L594" s="6" t="s">
        <v>78</v>
      </c>
      <c r="M594">
        <v>156</v>
      </c>
      <c r="N594" s="1">
        <v>0.48799999999999999</v>
      </c>
      <c r="O594">
        <v>40</v>
      </c>
      <c r="P594" s="1">
        <v>0.35399999999999998</v>
      </c>
      <c r="Q594" s="1">
        <v>0.79700000000000004</v>
      </c>
      <c r="R594">
        <v>411</v>
      </c>
      <c r="S594">
        <v>30</v>
      </c>
      <c r="T594">
        <v>136</v>
      </c>
      <c r="U594">
        <v>122</v>
      </c>
      <c r="V594">
        <v>34</v>
      </c>
      <c r="W594">
        <v>19</v>
      </c>
      <c r="X594">
        <v>52</v>
      </c>
      <c r="Y594" s="5">
        <v>2.35</v>
      </c>
    </row>
    <row r="595" spans="1:25" x14ac:dyDescent="0.25">
      <c r="A595">
        <v>2019</v>
      </c>
      <c r="B595" t="s">
        <v>57</v>
      </c>
      <c r="C595">
        <v>10</v>
      </c>
      <c r="D595">
        <v>99</v>
      </c>
      <c r="E595" t="s">
        <v>20</v>
      </c>
      <c r="F595" t="s">
        <v>47</v>
      </c>
      <c r="G595">
        <f t="shared" si="9"/>
        <v>0</v>
      </c>
      <c r="H595">
        <v>2</v>
      </c>
      <c r="I595">
        <v>11</v>
      </c>
      <c r="J595">
        <v>0</v>
      </c>
      <c r="K595" s="6" t="s">
        <v>72</v>
      </c>
      <c r="L595" s="6" t="s">
        <v>85</v>
      </c>
      <c r="M595">
        <v>128</v>
      </c>
      <c r="N595" s="1">
        <v>0.39600000000000002</v>
      </c>
      <c r="O595">
        <v>41</v>
      </c>
      <c r="P595" s="1">
        <v>0.35</v>
      </c>
      <c r="Q595" s="1">
        <v>0.77600000000000002</v>
      </c>
      <c r="R595">
        <v>363</v>
      </c>
      <c r="S595">
        <v>38</v>
      </c>
      <c r="T595">
        <v>102</v>
      </c>
      <c r="U595">
        <v>66</v>
      </c>
      <c r="V595">
        <v>22</v>
      </c>
      <c r="W595">
        <v>16</v>
      </c>
      <c r="X595">
        <v>54</v>
      </c>
      <c r="Y595" s="5">
        <v>1.22</v>
      </c>
    </row>
    <row r="596" spans="1:25" x14ac:dyDescent="0.25">
      <c r="A596">
        <v>2019</v>
      </c>
      <c r="B596" t="s">
        <v>57</v>
      </c>
      <c r="C596">
        <v>10</v>
      </c>
      <c r="D596">
        <v>100</v>
      </c>
      <c r="E596" t="s">
        <v>94</v>
      </c>
      <c r="F596" t="s">
        <v>40</v>
      </c>
      <c r="G596">
        <f t="shared" si="9"/>
        <v>0</v>
      </c>
      <c r="H596">
        <v>6</v>
      </c>
      <c r="I596">
        <v>7</v>
      </c>
      <c r="J596">
        <v>0</v>
      </c>
      <c r="K596" s="6" t="s">
        <v>182</v>
      </c>
      <c r="L596" s="6" t="s">
        <v>76</v>
      </c>
      <c r="M596">
        <v>186</v>
      </c>
      <c r="N596" s="1">
        <v>0.45400000000000001</v>
      </c>
      <c r="O596">
        <v>75</v>
      </c>
      <c r="P596" s="1">
        <v>0.39900000000000002</v>
      </c>
      <c r="Q596" s="1">
        <v>0.78</v>
      </c>
      <c r="R596">
        <v>543</v>
      </c>
      <c r="S596">
        <v>45</v>
      </c>
      <c r="T596">
        <v>170</v>
      </c>
      <c r="U596">
        <v>129</v>
      </c>
      <c r="V596">
        <v>41</v>
      </c>
      <c r="W596">
        <v>11</v>
      </c>
      <c r="X596">
        <v>61</v>
      </c>
      <c r="Y596" s="5">
        <v>2.11</v>
      </c>
    </row>
    <row r="597" spans="1:25" x14ac:dyDescent="0.25">
      <c r="A597">
        <v>2019</v>
      </c>
      <c r="B597" t="s">
        <v>57</v>
      </c>
      <c r="C597">
        <v>10</v>
      </c>
      <c r="D597">
        <v>100</v>
      </c>
      <c r="E597" t="s">
        <v>181</v>
      </c>
      <c r="F597" t="s">
        <v>49</v>
      </c>
      <c r="G597">
        <f t="shared" si="9"/>
        <v>1</v>
      </c>
      <c r="H597">
        <v>7</v>
      </c>
      <c r="I597">
        <v>6</v>
      </c>
      <c r="J597">
        <v>0</v>
      </c>
      <c r="K597" s="6" t="s">
        <v>106</v>
      </c>
      <c r="L597" s="6" t="s">
        <v>83</v>
      </c>
      <c r="M597">
        <v>200</v>
      </c>
      <c r="N597" s="1">
        <v>0.50900000000000001</v>
      </c>
      <c r="O597">
        <v>50</v>
      </c>
      <c r="P597" s="1">
        <v>0.43099999999999999</v>
      </c>
      <c r="Q597" s="1">
        <v>0.86</v>
      </c>
      <c r="R597">
        <v>536</v>
      </c>
      <c r="S597">
        <v>43</v>
      </c>
      <c r="T597">
        <v>117</v>
      </c>
      <c r="U597">
        <v>94</v>
      </c>
      <c r="V597">
        <v>21</v>
      </c>
      <c r="W597">
        <v>15</v>
      </c>
      <c r="X597">
        <v>40</v>
      </c>
      <c r="Y597" s="5">
        <v>2.35</v>
      </c>
    </row>
    <row r="598" spans="1:25" x14ac:dyDescent="0.25">
      <c r="A598">
        <v>2019</v>
      </c>
      <c r="B598" t="s">
        <v>57</v>
      </c>
      <c r="C598">
        <v>11</v>
      </c>
      <c r="D598">
        <v>101</v>
      </c>
      <c r="E598" t="s">
        <v>16</v>
      </c>
      <c r="F598" t="s">
        <v>51</v>
      </c>
      <c r="G598">
        <f t="shared" si="9"/>
        <v>0</v>
      </c>
      <c r="H598">
        <v>5</v>
      </c>
      <c r="I598">
        <v>8</v>
      </c>
      <c r="J598">
        <v>0</v>
      </c>
      <c r="K598" s="6" t="s">
        <v>106</v>
      </c>
      <c r="L598" s="6" t="s">
        <v>83</v>
      </c>
      <c r="M598">
        <v>146</v>
      </c>
      <c r="N598" s="1">
        <v>0.45300000000000001</v>
      </c>
      <c r="O598">
        <v>39</v>
      </c>
      <c r="P598" s="1">
        <v>0.31</v>
      </c>
      <c r="Q598" s="1">
        <v>0.73699999999999999</v>
      </c>
      <c r="R598">
        <v>387</v>
      </c>
      <c r="S598">
        <v>62</v>
      </c>
      <c r="T598">
        <v>139</v>
      </c>
      <c r="U598">
        <v>73</v>
      </c>
      <c r="V598">
        <v>33</v>
      </c>
      <c r="W598">
        <v>24</v>
      </c>
      <c r="X598">
        <v>49</v>
      </c>
      <c r="Y598" s="5">
        <v>1.49</v>
      </c>
    </row>
    <row r="599" spans="1:25" x14ac:dyDescent="0.25">
      <c r="A599">
        <v>2019</v>
      </c>
      <c r="B599" t="s">
        <v>57</v>
      </c>
      <c r="C599">
        <v>11</v>
      </c>
      <c r="D599">
        <v>101</v>
      </c>
      <c r="E599" t="s">
        <v>94</v>
      </c>
      <c r="F599" t="s">
        <v>40</v>
      </c>
      <c r="G599">
        <f t="shared" si="9"/>
        <v>1</v>
      </c>
      <c r="H599">
        <v>8</v>
      </c>
      <c r="I599">
        <v>5</v>
      </c>
      <c r="J599">
        <v>0</v>
      </c>
      <c r="K599" s="6" t="s">
        <v>60</v>
      </c>
      <c r="L599" s="6" t="s">
        <v>75</v>
      </c>
      <c r="M599">
        <v>167</v>
      </c>
      <c r="N599" s="1">
        <v>0.45500000000000002</v>
      </c>
      <c r="O599">
        <v>51</v>
      </c>
      <c r="P599" s="1">
        <v>0.34899999999999998</v>
      </c>
      <c r="Q599" s="1">
        <v>0.83299999999999996</v>
      </c>
      <c r="R599">
        <v>485</v>
      </c>
      <c r="S599">
        <v>41</v>
      </c>
      <c r="T599">
        <v>142</v>
      </c>
      <c r="U599">
        <v>91</v>
      </c>
      <c r="V599">
        <v>28</v>
      </c>
      <c r="W599">
        <v>22</v>
      </c>
      <c r="X599">
        <v>77</v>
      </c>
      <c r="Y599" s="5">
        <v>1.18</v>
      </c>
    </row>
    <row r="600" spans="1:25" x14ac:dyDescent="0.25">
      <c r="A600">
        <v>2019</v>
      </c>
      <c r="B600" t="s">
        <v>57</v>
      </c>
      <c r="C600">
        <v>11</v>
      </c>
      <c r="D600">
        <v>102</v>
      </c>
      <c r="E600" t="s">
        <v>159</v>
      </c>
      <c r="F600" t="s">
        <v>116</v>
      </c>
      <c r="G600">
        <f t="shared" si="9"/>
        <v>1</v>
      </c>
      <c r="H600">
        <v>10</v>
      </c>
      <c r="I600">
        <v>3</v>
      </c>
      <c r="J600">
        <v>0</v>
      </c>
      <c r="K600" s="6" t="s">
        <v>59</v>
      </c>
      <c r="L600" s="6" t="s">
        <v>74</v>
      </c>
      <c r="M600">
        <v>148</v>
      </c>
      <c r="N600" s="1">
        <v>0.438</v>
      </c>
      <c r="O600">
        <v>28</v>
      </c>
      <c r="P600" s="1">
        <v>0.26700000000000002</v>
      </c>
      <c r="Q600" s="1">
        <v>0.73899999999999999</v>
      </c>
      <c r="R600">
        <v>392</v>
      </c>
      <c r="S600">
        <v>48</v>
      </c>
      <c r="T600">
        <v>155</v>
      </c>
      <c r="U600">
        <v>83</v>
      </c>
      <c r="V600">
        <v>32</v>
      </c>
      <c r="W600">
        <v>19</v>
      </c>
      <c r="X600">
        <v>66</v>
      </c>
      <c r="Y600" s="5">
        <v>1.26</v>
      </c>
    </row>
    <row r="601" spans="1:25" x14ac:dyDescent="0.25">
      <c r="A601">
        <v>2019</v>
      </c>
      <c r="B601" t="s">
        <v>57</v>
      </c>
      <c r="C601">
        <v>11</v>
      </c>
      <c r="D601">
        <v>102</v>
      </c>
      <c r="E601" t="s">
        <v>18</v>
      </c>
      <c r="F601" t="s">
        <v>52</v>
      </c>
      <c r="G601">
        <f t="shared" si="9"/>
        <v>0</v>
      </c>
      <c r="H601">
        <v>3</v>
      </c>
      <c r="I601">
        <v>10</v>
      </c>
      <c r="J601">
        <v>0</v>
      </c>
      <c r="K601" s="6" t="s">
        <v>193</v>
      </c>
      <c r="L601" s="6" t="s">
        <v>117</v>
      </c>
      <c r="M601">
        <v>120</v>
      </c>
      <c r="N601" s="1">
        <v>0.42899999999999999</v>
      </c>
      <c r="O601">
        <v>24</v>
      </c>
      <c r="P601" s="1">
        <v>0.32</v>
      </c>
      <c r="Q601" s="1">
        <v>0.8</v>
      </c>
      <c r="R601">
        <v>316</v>
      </c>
      <c r="S601">
        <v>30</v>
      </c>
      <c r="T601">
        <v>89</v>
      </c>
      <c r="U601">
        <v>55</v>
      </c>
      <c r="V601">
        <v>20</v>
      </c>
      <c r="W601">
        <v>12</v>
      </c>
      <c r="X601">
        <v>57</v>
      </c>
      <c r="Y601" s="5">
        <v>0.96</v>
      </c>
    </row>
    <row r="602" spans="1:25" x14ac:dyDescent="0.25">
      <c r="A602">
        <v>2019</v>
      </c>
      <c r="B602" t="s">
        <v>57</v>
      </c>
      <c r="C602">
        <v>11</v>
      </c>
      <c r="D602">
        <v>103</v>
      </c>
      <c r="E602" t="s">
        <v>19</v>
      </c>
      <c r="F602" t="s">
        <v>56</v>
      </c>
      <c r="G602">
        <f t="shared" si="9"/>
        <v>0</v>
      </c>
      <c r="H602">
        <v>6</v>
      </c>
      <c r="I602">
        <v>7</v>
      </c>
      <c r="J602">
        <v>0</v>
      </c>
      <c r="K602" s="6" t="s">
        <v>61</v>
      </c>
      <c r="L602" s="6" t="s">
        <v>77</v>
      </c>
      <c r="M602">
        <v>152</v>
      </c>
      <c r="N602" s="1">
        <v>0.49199999999999999</v>
      </c>
      <c r="O602">
        <v>37</v>
      </c>
      <c r="P602" s="1">
        <v>0.378</v>
      </c>
      <c r="Q602" s="1">
        <v>0.70699999999999996</v>
      </c>
      <c r="R602">
        <v>394</v>
      </c>
      <c r="S602">
        <v>24</v>
      </c>
      <c r="T602">
        <v>122</v>
      </c>
      <c r="U602">
        <v>100</v>
      </c>
      <c r="V602">
        <v>33</v>
      </c>
      <c r="W602">
        <v>18</v>
      </c>
      <c r="X602">
        <v>46</v>
      </c>
      <c r="Y602" s="5">
        <v>2.17</v>
      </c>
    </row>
    <row r="603" spans="1:25" x14ac:dyDescent="0.25">
      <c r="A603">
        <v>2019</v>
      </c>
      <c r="B603" t="s">
        <v>57</v>
      </c>
      <c r="C603">
        <v>11</v>
      </c>
      <c r="D603">
        <v>103</v>
      </c>
      <c r="E603" t="s">
        <v>15</v>
      </c>
      <c r="F603" t="s">
        <v>48</v>
      </c>
      <c r="G603">
        <f t="shared" si="9"/>
        <v>1</v>
      </c>
      <c r="H603">
        <v>7</v>
      </c>
      <c r="I603">
        <v>6</v>
      </c>
      <c r="J603">
        <v>0</v>
      </c>
      <c r="K603" s="6" t="s">
        <v>67</v>
      </c>
      <c r="L603" s="6" t="s">
        <v>82</v>
      </c>
      <c r="M603">
        <v>171</v>
      </c>
      <c r="N603" s="1">
        <v>0.48599999999999999</v>
      </c>
      <c r="O603">
        <v>36</v>
      </c>
      <c r="P603" s="1">
        <v>0.38700000000000001</v>
      </c>
      <c r="Q603" s="1">
        <v>0.81200000000000006</v>
      </c>
      <c r="R603">
        <v>434</v>
      </c>
      <c r="S603">
        <v>25</v>
      </c>
      <c r="T603">
        <v>102</v>
      </c>
      <c r="U603">
        <v>75</v>
      </c>
      <c r="V603">
        <v>25</v>
      </c>
      <c r="W603">
        <v>17</v>
      </c>
      <c r="X603">
        <v>30</v>
      </c>
      <c r="Y603" s="5">
        <v>2.5</v>
      </c>
    </row>
    <row r="604" spans="1:25" x14ac:dyDescent="0.25">
      <c r="A604">
        <v>2019</v>
      </c>
      <c r="B604" t="s">
        <v>57</v>
      </c>
      <c r="C604">
        <v>11</v>
      </c>
      <c r="D604">
        <v>104</v>
      </c>
      <c r="E604" t="s">
        <v>17</v>
      </c>
      <c r="F604" t="s">
        <v>43</v>
      </c>
      <c r="G604">
        <f t="shared" si="9"/>
        <v>1</v>
      </c>
      <c r="H604">
        <v>10</v>
      </c>
      <c r="I604">
        <v>3</v>
      </c>
      <c r="J604">
        <v>0</v>
      </c>
      <c r="K604" s="6" t="s">
        <v>68</v>
      </c>
      <c r="L604" s="6" t="s">
        <v>84</v>
      </c>
      <c r="M604">
        <v>136</v>
      </c>
      <c r="N604" s="1">
        <v>0.44</v>
      </c>
      <c r="O604">
        <v>58</v>
      </c>
      <c r="P604" s="1">
        <v>0.42599999999999999</v>
      </c>
      <c r="Q604" s="1">
        <v>0.84399999999999997</v>
      </c>
      <c r="R604">
        <v>406</v>
      </c>
      <c r="S604">
        <v>31</v>
      </c>
      <c r="T604">
        <v>152</v>
      </c>
      <c r="U604">
        <v>84</v>
      </c>
      <c r="V604">
        <v>37</v>
      </c>
      <c r="W604">
        <v>18</v>
      </c>
      <c r="X604">
        <v>53</v>
      </c>
      <c r="Y604" s="5">
        <v>1.58</v>
      </c>
    </row>
    <row r="605" spans="1:25" x14ac:dyDescent="0.25">
      <c r="A605">
        <v>2019</v>
      </c>
      <c r="B605" t="s">
        <v>57</v>
      </c>
      <c r="C605">
        <v>11</v>
      </c>
      <c r="D605">
        <v>104</v>
      </c>
      <c r="E605" t="s">
        <v>25</v>
      </c>
      <c r="F605" t="s">
        <v>53</v>
      </c>
      <c r="G605">
        <f t="shared" si="9"/>
        <v>0</v>
      </c>
      <c r="H605">
        <v>3</v>
      </c>
      <c r="I605">
        <v>10</v>
      </c>
      <c r="J605">
        <v>0</v>
      </c>
      <c r="K605" s="6" t="s">
        <v>63</v>
      </c>
      <c r="L605" s="6" t="s">
        <v>79</v>
      </c>
      <c r="M605">
        <v>121</v>
      </c>
      <c r="N605" s="1">
        <v>0.45500000000000002</v>
      </c>
      <c r="O605">
        <v>30</v>
      </c>
      <c r="P605" s="1">
        <v>0.34499999999999997</v>
      </c>
      <c r="Q605" s="1">
        <v>0.79</v>
      </c>
      <c r="R605">
        <v>336</v>
      </c>
      <c r="S605">
        <v>24</v>
      </c>
      <c r="T605">
        <v>116</v>
      </c>
      <c r="U605">
        <v>70</v>
      </c>
      <c r="V605">
        <v>19</v>
      </c>
      <c r="W605">
        <v>16</v>
      </c>
      <c r="X605">
        <v>39</v>
      </c>
      <c r="Y605" s="5">
        <v>1.79</v>
      </c>
    </row>
    <row r="606" spans="1:25" x14ac:dyDescent="0.25">
      <c r="A606">
        <v>2019</v>
      </c>
      <c r="B606" t="s">
        <v>57</v>
      </c>
      <c r="C606">
        <v>11</v>
      </c>
      <c r="D606">
        <v>105</v>
      </c>
      <c r="E606" t="s">
        <v>28</v>
      </c>
      <c r="F606" t="s">
        <v>46</v>
      </c>
      <c r="G606">
        <f t="shared" si="9"/>
        <v>1</v>
      </c>
      <c r="H606">
        <v>7</v>
      </c>
      <c r="I606">
        <v>6</v>
      </c>
      <c r="J606">
        <v>0</v>
      </c>
      <c r="K606" s="6" t="s">
        <v>69</v>
      </c>
      <c r="L606" s="6" t="s">
        <v>86</v>
      </c>
      <c r="M606">
        <v>145</v>
      </c>
      <c r="N606" s="1">
        <v>0.44800000000000001</v>
      </c>
      <c r="O606">
        <v>25</v>
      </c>
      <c r="P606" s="1">
        <v>0.26900000000000002</v>
      </c>
      <c r="Q606" s="1">
        <v>0.68899999999999995</v>
      </c>
      <c r="R606">
        <v>366</v>
      </c>
      <c r="S606">
        <v>26</v>
      </c>
      <c r="T606">
        <v>140</v>
      </c>
      <c r="U606">
        <v>111</v>
      </c>
      <c r="V606">
        <v>39</v>
      </c>
      <c r="W606">
        <v>19</v>
      </c>
      <c r="X606">
        <v>73</v>
      </c>
      <c r="Y606" s="5">
        <v>1.52</v>
      </c>
    </row>
    <row r="607" spans="1:25" x14ac:dyDescent="0.25">
      <c r="A607">
        <v>2019</v>
      </c>
      <c r="B607" t="s">
        <v>57</v>
      </c>
      <c r="C607">
        <v>11</v>
      </c>
      <c r="D607">
        <v>105</v>
      </c>
      <c r="E607" t="s">
        <v>24</v>
      </c>
      <c r="F607" t="s">
        <v>55</v>
      </c>
      <c r="G607">
        <f t="shared" si="9"/>
        <v>0</v>
      </c>
      <c r="H607">
        <v>6</v>
      </c>
      <c r="I607">
        <v>7</v>
      </c>
      <c r="J607">
        <v>0</v>
      </c>
      <c r="K607" s="6" t="s">
        <v>64</v>
      </c>
      <c r="L607" s="6" t="s">
        <v>80</v>
      </c>
      <c r="M607">
        <v>116</v>
      </c>
      <c r="N607" s="1">
        <v>0.47899999999999998</v>
      </c>
      <c r="O607">
        <v>50</v>
      </c>
      <c r="P607" s="1">
        <v>0.4</v>
      </c>
      <c r="Q607" s="1">
        <v>0.81799999999999995</v>
      </c>
      <c r="R607">
        <v>336</v>
      </c>
      <c r="S607">
        <v>17</v>
      </c>
      <c r="T607">
        <v>77</v>
      </c>
      <c r="U607">
        <v>59</v>
      </c>
      <c r="V607">
        <v>19</v>
      </c>
      <c r="W607">
        <v>9</v>
      </c>
      <c r="X607">
        <v>32</v>
      </c>
      <c r="Y607" s="5">
        <v>1.84</v>
      </c>
    </row>
    <row r="608" spans="1:25" x14ac:dyDescent="0.25">
      <c r="A608">
        <v>2019</v>
      </c>
      <c r="B608" t="s">
        <v>57</v>
      </c>
      <c r="C608">
        <v>11</v>
      </c>
      <c r="D608">
        <v>106</v>
      </c>
      <c r="E608" t="s">
        <v>23</v>
      </c>
      <c r="F608" t="s">
        <v>120</v>
      </c>
      <c r="G608">
        <f t="shared" si="9"/>
        <v>1</v>
      </c>
      <c r="H608">
        <v>12</v>
      </c>
      <c r="I608">
        <v>1</v>
      </c>
      <c r="J608">
        <v>0</v>
      </c>
      <c r="K608" s="6" t="s">
        <v>66</v>
      </c>
      <c r="L608" s="6" t="s">
        <v>81</v>
      </c>
      <c r="M608">
        <v>194</v>
      </c>
      <c r="N608" s="1">
        <v>0.49399999999999999</v>
      </c>
      <c r="O608">
        <v>45</v>
      </c>
      <c r="P608" s="1">
        <v>0.38100000000000001</v>
      </c>
      <c r="Q608" s="1">
        <v>0.74299999999999999</v>
      </c>
      <c r="R608">
        <v>488</v>
      </c>
      <c r="S608">
        <v>35</v>
      </c>
      <c r="T608">
        <v>140</v>
      </c>
      <c r="U608">
        <v>94</v>
      </c>
      <c r="V608">
        <v>39</v>
      </c>
      <c r="W608">
        <v>21</v>
      </c>
      <c r="X608">
        <v>46</v>
      </c>
      <c r="Y608" s="5">
        <v>2.04</v>
      </c>
    </row>
    <row r="609" spans="1:25" x14ac:dyDescent="0.25">
      <c r="A609">
        <v>2019</v>
      </c>
      <c r="B609" t="s">
        <v>57</v>
      </c>
      <c r="C609">
        <v>11</v>
      </c>
      <c r="D609">
        <v>106</v>
      </c>
      <c r="E609" t="s">
        <v>22</v>
      </c>
      <c r="F609" t="s">
        <v>44</v>
      </c>
      <c r="G609">
        <f t="shared" si="9"/>
        <v>0</v>
      </c>
      <c r="H609">
        <v>1</v>
      </c>
      <c r="I609">
        <v>12</v>
      </c>
      <c r="J609">
        <v>0</v>
      </c>
      <c r="K609" s="6" t="s">
        <v>71</v>
      </c>
      <c r="L609" s="6" t="s">
        <v>121</v>
      </c>
      <c r="M609">
        <v>106</v>
      </c>
      <c r="N609" s="1">
        <v>0.46700000000000003</v>
      </c>
      <c r="O609">
        <v>29</v>
      </c>
      <c r="P609" s="1">
        <v>0.34100000000000003</v>
      </c>
      <c r="Q609" s="1">
        <v>0.69499999999999995</v>
      </c>
      <c r="R609">
        <v>298</v>
      </c>
      <c r="S609">
        <v>31</v>
      </c>
      <c r="T609">
        <v>103</v>
      </c>
      <c r="U609">
        <v>55</v>
      </c>
      <c r="V609">
        <v>12</v>
      </c>
      <c r="W609">
        <v>20</v>
      </c>
      <c r="X609">
        <v>43</v>
      </c>
      <c r="Y609" s="5">
        <v>1.28</v>
      </c>
    </row>
    <row r="610" spans="1:25" x14ac:dyDescent="0.25">
      <c r="A610">
        <v>2019</v>
      </c>
      <c r="B610" t="s">
        <v>57</v>
      </c>
      <c r="C610">
        <v>11</v>
      </c>
      <c r="D610">
        <v>107</v>
      </c>
      <c r="E610" t="s">
        <v>26</v>
      </c>
      <c r="F610" t="s">
        <v>118</v>
      </c>
      <c r="G610">
        <f t="shared" si="9"/>
        <v>0</v>
      </c>
      <c r="H610">
        <v>6</v>
      </c>
      <c r="I610">
        <v>7</v>
      </c>
      <c r="J610">
        <v>0</v>
      </c>
      <c r="K610" s="6" t="s">
        <v>111</v>
      </c>
      <c r="L610" s="6" t="s">
        <v>89</v>
      </c>
      <c r="M610">
        <v>127</v>
      </c>
      <c r="N610" s="1">
        <v>0.45800000000000002</v>
      </c>
      <c r="O610">
        <v>30</v>
      </c>
      <c r="P610" s="1">
        <v>0.32600000000000001</v>
      </c>
      <c r="Q610" s="1">
        <v>0.68100000000000005</v>
      </c>
      <c r="R610">
        <v>333</v>
      </c>
      <c r="S610">
        <v>49</v>
      </c>
      <c r="T610">
        <v>148</v>
      </c>
      <c r="U610">
        <v>103</v>
      </c>
      <c r="V610">
        <v>30</v>
      </c>
      <c r="W610">
        <v>19</v>
      </c>
      <c r="X610">
        <v>60</v>
      </c>
      <c r="Y610" s="5">
        <v>1.72</v>
      </c>
    </row>
    <row r="611" spans="1:25" x14ac:dyDescent="0.25">
      <c r="A611">
        <v>2019</v>
      </c>
      <c r="B611" t="s">
        <v>57</v>
      </c>
      <c r="C611">
        <v>11</v>
      </c>
      <c r="D611">
        <v>107</v>
      </c>
      <c r="E611" t="s">
        <v>97</v>
      </c>
      <c r="F611" t="s">
        <v>54</v>
      </c>
      <c r="G611">
        <f t="shared" si="9"/>
        <v>1</v>
      </c>
      <c r="H611">
        <v>7</v>
      </c>
      <c r="I611">
        <v>6</v>
      </c>
      <c r="J611">
        <v>0</v>
      </c>
      <c r="K611" s="6" t="s">
        <v>65</v>
      </c>
      <c r="L611" s="6" t="s">
        <v>119</v>
      </c>
      <c r="M611">
        <v>131</v>
      </c>
      <c r="N611" s="1">
        <v>0.45500000000000002</v>
      </c>
      <c r="O611">
        <v>33</v>
      </c>
      <c r="P611" s="1">
        <v>0.38400000000000001</v>
      </c>
      <c r="Q611" s="1">
        <v>0.68200000000000005</v>
      </c>
      <c r="R611">
        <v>370</v>
      </c>
      <c r="S611">
        <v>37</v>
      </c>
      <c r="T611">
        <v>110</v>
      </c>
      <c r="U611">
        <v>87</v>
      </c>
      <c r="V611">
        <v>19</v>
      </c>
      <c r="W611">
        <v>12</v>
      </c>
      <c r="X611">
        <v>45</v>
      </c>
      <c r="Y611" s="5">
        <v>1.93</v>
      </c>
    </row>
    <row r="612" spans="1:25" x14ac:dyDescent="0.25">
      <c r="A612">
        <v>2019</v>
      </c>
      <c r="B612" t="s">
        <v>57</v>
      </c>
      <c r="C612">
        <v>11</v>
      </c>
      <c r="D612">
        <v>108</v>
      </c>
      <c r="E612" t="s">
        <v>190</v>
      </c>
      <c r="F612" t="s">
        <v>103</v>
      </c>
      <c r="G612">
        <f t="shared" si="9"/>
        <v>1</v>
      </c>
      <c r="H612">
        <v>9</v>
      </c>
      <c r="I612">
        <v>4</v>
      </c>
      <c r="J612">
        <v>0</v>
      </c>
      <c r="K612" s="6" t="s">
        <v>112</v>
      </c>
      <c r="L612" s="6" t="s">
        <v>88</v>
      </c>
      <c r="M612">
        <v>164</v>
      </c>
      <c r="N612" s="1">
        <v>0.45300000000000001</v>
      </c>
      <c r="O612">
        <v>35</v>
      </c>
      <c r="P612" s="1">
        <v>0.315</v>
      </c>
      <c r="Q612" s="1">
        <v>0.74399999999999999</v>
      </c>
      <c r="R612">
        <v>430</v>
      </c>
      <c r="S612">
        <v>67</v>
      </c>
      <c r="T612">
        <v>144</v>
      </c>
      <c r="U612">
        <v>102</v>
      </c>
      <c r="V612">
        <v>34</v>
      </c>
      <c r="W612">
        <v>24</v>
      </c>
      <c r="X612">
        <v>57</v>
      </c>
      <c r="Y612" s="5">
        <v>1.79</v>
      </c>
    </row>
    <row r="613" spans="1:25" x14ac:dyDescent="0.25">
      <c r="A613">
        <v>2019</v>
      </c>
      <c r="B613" t="s">
        <v>57</v>
      </c>
      <c r="C613">
        <v>11</v>
      </c>
      <c r="D613">
        <v>108</v>
      </c>
      <c r="E613" t="s">
        <v>98</v>
      </c>
      <c r="F613" t="s">
        <v>41</v>
      </c>
      <c r="G613">
        <f t="shared" si="9"/>
        <v>0</v>
      </c>
      <c r="H613">
        <v>4</v>
      </c>
      <c r="I613">
        <v>9</v>
      </c>
      <c r="J613">
        <v>0</v>
      </c>
      <c r="K613" s="6" t="s">
        <v>191</v>
      </c>
      <c r="L613" s="6" t="s">
        <v>113</v>
      </c>
      <c r="M613">
        <v>124</v>
      </c>
      <c r="N613" s="1">
        <v>0.438</v>
      </c>
      <c r="O613">
        <v>38</v>
      </c>
      <c r="P613" s="1">
        <v>0.39600000000000002</v>
      </c>
      <c r="Q613" s="1">
        <v>0.84799999999999998</v>
      </c>
      <c r="R613">
        <v>342</v>
      </c>
      <c r="S613">
        <v>27</v>
      </c>
      <c r="T613">
        <v>88</v>
      </c>
      <c r="U613">
        <v>71</v>
      </c>
      <c r="V613">
        <v>20</v>
      </c>
      <c r="W613">
        <v>8</v>
      </c>
      <c r="X613">
        <v>45</v>
      </c>
      <c r="Y613" s="5">
        <v>1.58</v>
      </c>
    </row>
    <row r="614" spans="1:25" x14ac:dyDescent="0.25">
      <c r="A614">
        <v>2019</v>
      </c>
      <c r="B614" t="s">
        <v>57</v>
      </c>
      <c r="C614">
        <v>11</v>
      </c>
      <c r="D614">
        <v>109</v>
      </c>
      <c r="E614" t="s">
        <v>20</v>
      </c>
      <c r="F614" t="s">
        <v>47</v>
      </c>
      <c r="G614">
        <f t="shared" si="9"/>
        <v>0</v>
      </c>
      <c r="H614">
        <v>4</v>
      </c>
      <c r="I614">
        <v>9</v>
      </c>
      <c r="J614">
        <v>0</v>
      </c>
      <c r="K614" s="6" t="s">
        <v>70</v>
      </c>
      <c r="L614" s="6" t="s">
        <v>87</v>
      </c>
      <c r="M614">
        <v>109</v>
      </c>
      <c r="N614" s="1">
        <v>0.42099999999999999</v>
      </c>
      <c r="O614">
        <v>39</v>
      </c>
      <c r="P614" s="1">
        <v>0.33600000000000002</v>
      </c>
      <c r="Q614" s="1">
        <v>0.84799999999999998</v>
      </c>
      <c r="R614">
        <v>285</v>
      </c>
      <c r="S614">
        <v>23</v>
      </c>
      <c r="T614">
        <v>68</v>
      </c>
      <c r="U614">
        <v>64</v>
      </c>
      <c r="V614">
        <v>29</v>
      </c>
      <c r="W614">
        <v>15</v>
      </c>
      <c r="X614">
        <v>42</v>
      </c>
      <c r="Y614" s="5">
        <v>1.52</v>
      </c>
    </row>
    <row r="615" spans="1:25" x14ac:dyDescent="0.25">
      <c r="A615">
        <v>2019</v>
      </c>
      <c r="B615" t="s">
        <v>57</v>
      </c>
      <c r="C615">
        <v>11</v>
      </c>
      <c r="D615">
        <v>109</v>
      </c>
      <c r="E615" t="s">
        <v>21</v>
      </c>
      <c r="F615" t="s">
        <v>50</v>
      </c>
      <c r="G615">
        <f t="shared" si="9"/>
        <v>1</v>
      </c>
      <c r="H615">
        <v>9</v>
      </c>
      <c r="I615">
        <v>4</v>
      </c>
      <c r="J615">
        <v>0</v>
      </c>
      <c r="K615" s="6" t="s">
        <v>62</v>
      </c>
      <c r="L615" s="6" t="s">
        <v>78</v>
      </c>
      <c r="M615">
        <v>143</v>
      </c>
      <c r="N615" s="1">
        <v>0.47399999999999998</v>
      </c>
      <c r="O615">
        <v>29</v>
      </c>
      <c r="P615" s="1">
        <v>0.33</v>
      </c>
      <c r="Q615" s="1">
        <v>0.85199999999999998</v>
      </c>
      <c r="R615">
        <v>384</v>
      </c>
      <c r="S615">
        <v>31</v>
      </c>
      <c r="T615">
        <v>106</v>
      </c>
      <c r="U615">
        <v>92</v>
      </c>
      <c r="V615">
        <v>21</v>
      </c>
      <c r="W615">
        <v>5</v>
      </c>
      <c r="X615">
        <v>34</v>
      </c>
      <c r="Y615" s="5">
        <v>2.71</v>
      </c>
    </row>
    <row r="616" spans="1:25" x14ac:dyDescent="0.25">
      <c r="A616">
        <v>2019</v>
      </c>
      <c r="B616" t="s">
        <v>57</v>
      </c>
      <c r="C616">
        <v>11</v>
      </c>
      <c r="D616">
        <v>110</v>
      </c>
      <c r="E616" t="s">
        <v>181</v>
      </c>
      <c r="F616" t="s">
        <v>49</v>
      </c>
      <c r="G616">
        <f t="shared" si="9"/>
        <v>1</v>
      </c>
      <c r="H616">
        <v>11</v>
      </c>
      <c r="I616">
        <v>2</v>
      </c>
      <c r="J616">
        <v>0</v>
      </c>
      <c r="K616" s="6" t="s">
        <v>72</v>
      </c>
      <c r="L616" s="6" t="s">
        <v>85</v>
      </c>
      <c r="M616">
        <v>172</v>
      </c>
      <c r="N616" s="1">
        <v>0.501</v>
      </c>
      <c r="O616">
        <v>42</v>
      </c>
      <c r="P616" s="1">
        <v>0.442</v>
      </c>
      <c r="Q616" s="1">
        <v>0.90400000000000003</v>
      </c>
      <c r="R616">
        <v>490</v>
      </c>
      <c r="S616">
        <v>40</v>
      </c>
      <c r="T616">
        <v>112</v>
      </c>
      <c r="U616">
        <v>92</v>
      </c>
      <c r="V616">
        <v>33</v>
      </c>
      <c r="W616">
        <v>11</v>
      </c>
      <c r="X616">
        <v>41</v>
      </c>
      <c r="Y616" s="5">
        <v>2.2400000000000002</v>
      </c>
    </row>
    <row r="617" spans="1:25" x14ac:dyDescent="0.25">
      <c r="A617">
        <v>2019</v>
      </c>
      <c r="B617" t="s">
        <v>57</v>
      </c>
      <c r="C617">
        <v>11</v>
      </c>
      <c r="D617">
        <v>110</v>
      </c>
      <c r="E617" t="s">
        <v>33</v>
      </c>
      <c r="F617" t="s">
        <v>42</v>
      </c>
      <c r="G617">
        <f t="shared" si="9"/>
        <v>0</v>
      </c>
      <c r="H617">
        <v>2</v>
      </c>
      <c r="I617">
        <v>11</v>
      </c>
      <c r="J617">
        <v>0</v>
      </c>
      <c r="K617" s="6" t="s">
        <v>182</v>
      </c>
      <c r="L617" s="6" t="s">
        <v>76</v>
      </c>
      <c r="M617">
        <v>141</v>
      </c>
      <c r="N617" s="1">
        <v>0.45900000000000002</v>
      </c>
      <c r="O617">
        <v>34</v>
      </c>
      <c r="P617" s="1">
        <v>0.33700000000000002</v>
      </c>
      <c r="Q617" s="1">
        <v>0.72199999999999998</v>
      </c>
      <c r="R617">
        <v>373</v>
      </c>
      <c r="S617">
        <v>32</v>
      </c>
      <c r="T617">
        <v>143</v>
      </c>
      <c r="U617">
        <v>79</v>
      </c>
      <c r="V617">
        <v>29</v>
      </c>
      <c r="W617">
        <v>20</v>
      </c>
      <c r="X617">
        <v>55</v>
      </c>
      <c r="Y617" s="5">
        <v>1.44</v>
      </c>
    </row>
    <row r="618" spans="1:25" x14ac:dyDescent="0.25">
      <c r="A618">
        <v>2019</v>
      </c>
      <c r="B618" t="s">
        <v>57</v>
      </c>
      <c r="C618">
        <v>12</v>
      </c>
      <c r="D618">
        <v>111</v>
      </c>
      <c r="E618" t="s">
        <v>16</v>
      </c>
      <c r="F618" t="s">
        <v>51</v>
      </c>
      <c r="G618">
        <f t="shared" si="9"/>
        <v>1</v>
      </c>
      <c r="H618">
        <v>10</v>
      </c>
      <c r="I618">
        <v>3</v>
      </c>
      <c r="J618">
        <v>0</v>
      </c>
      <c r="K618" s="6" t="s">
        <v>72</v>
      </c>
      <c r="L618" s="6" t="s">
        <v>85</v>
      </c>
      <c r="M618">
        <v>165</v>
      </c>
      <c r="N618" s="1">
        <v>0.53400000000000003</v>
      </c>
      <c r="O618">
        <v>54</v>
      </c>
      <c r="P618" s="1">
        <v>0.435</v>
      </c>
      <c r="Q618" s="1">
        <v>0.67100000000000004</v>
      </c>
      <c r="R618">
        <v>435</v>
      </c>
      <c r="S618">
        <v>38</v>
      </c>
      <c r="T618">
        <v>160</v>
      </c>
      <c r="U618">
        <v>84</v>
      </c>
      <c r="V618">
        <v>35</v>
      </c>
      <c r="W618">
        <v>9</v>
      </c>
      <c r="X618">
        <v>53</v>
      </c>
      <c r="Y618" s="5">
        <v>1.58</v>
      </c>
    </row>
    <row r="619" spans="1:25" x14ac:dyDescent="0.25">
      <c r="A619">
        <v>2019</v>
      </c>
      <c r="B619" t="s">
        <v>57</v>
      </c>
      <c r="C619">
        <v>12</v>
      </c>
      <c r="D619">
        <v>111</v>
      </c>
      <c r="E619" t="s">
        <v>33</v>
      </c>
      <c r="F619" t="s">
        <v>42</v>
      </c>
      <c r="G619">
        <f t="shared" si="9"/>
        <v>0</v>
      </c>
      <c r="H619">
        <v>3</v>
      </c>
      <c r="I619">
        <v>10</v>
      </c>
      <c r="J619">
        <v>0</v>
      </c>
      <c r="K619" s="6" t="s">
        <v>60</v>
      </c>
      <c r="L619" s="6" t="s">
        <v>75</v>
      </c>
      <c r="M619">
        <v>148</v>
      </c>
      <c r="N619" s="1">
        <v>0.46300000000000002</v>
      </c>
      <c r="O619">
        <v>37</v>
      </c>
      <c r="P619" s="1">
        <v>0.37</v>
      </c>
      <c r="Q619" s="1">
        <v>0.745</v>
      </c>
      <c r="R619">
        <v>415</v>
      </c>
      <c r="S619">
        <v>26</v>
      </c>
      <c r="T619">
        <v>125</v>
      </c>
      <c r="U619">
        <v>73</v>
      </c>
      <c r="V619">
        <v>27</v>
      </c>
      <c r="W619">
        <v>19</v>
      </c>
      <c r="X619">
        <v>47</v>
      </c>
      <c r="Y619" s="5">
        <v>1.55</v>
      </c>
    </row>
    <row r="620" spans="1:25" x14ac:dyDescent="0.25">
      <c r="A620">
        <v>2019</v>
      </c>
      <c r="B620" t="s">
        <v>57</v>
      </c>
      <c r="C620">
        <v>12</v>
      </c>
      <c r="D620">
        <v>112</v>
      </c>
      <c r="E620" t="s">
        <v>159</v>
      </c>
      <c r="F620" t="s">
        <v>116</v>
      </c>
      <c r="G620">
        <f t="shared" si="9"/>
        <v>1</v>
      </c>
      <c r="H620">
        <v>10</v>
      </c>
      <c r="I620">
        <v>3</v>
      </c>
      <c r="J620">
        <v>0</v>
      </c>
      <c r="K620" s="6" t="s">
        <v>61</v>
      </c>
      <c r="L620" s="6" t="s">
        <v>77</v>
      </c>
      <c r="M620">
        <v>172</v>
      </c>
      <c r="N620" s="1">
        <v>0.51300000000000001</v>
      </c>
      <c r="O620">
        <v>48</v>
      </c>
      <c r="P620" s="1">
        <v>0.44400000000000001</v>
      </c>
      <c r="Q620" s="1">
        <v>0.79100000000000004</v>
      </c>
      <c r="R620">
        <v>460</v>
      </c>
      <c r="S620">
        <v>48</v>
      </c>
      <c r="T620">
        <v>142</v>
      </c>
      <c r="U620">
        <v>71</v>
      </c>
      <c r="V620">
        <v>19</v>
      </c>
      <c r="W620">
        <v>26</v>
      </c>
      <c r="X620">
        <v>49</v>
      </c>
      <c r="Y620" s="5">
        <v>1.45</v>
      </c>
    </row>
    <row r="621" spans="1:25" x14ac:dyDescent="0.25">
      <c r="A621">
        <v>2019</v>
      </c>
      <c r="B621" t="s">
        <v>57</v>
      </c>
      <c r="C621">
        <v>12</v>
      </c>
      <c r="D621">
        <v>112</v>
      </c>
      <c r="E621" t="s">
        <v>15</v>
      </c>
      <c r="F621" t="s">
        <v>48</v>
      </c>
      <c r="G621">
        <f t="shared" si="9"/>
        <v>0</v>
      </c>
      <c r="H621">
        <v>3</v>
      </c>
      <c r="I621">
        <v>10</v>
      </c>
      <c r="J621">
        <v>0</v>
      </c>
      <c r="K621" s="6" t="s">
        <v>193</v>
      </c>
      <c r="L621" s="6" t="s">
        <v>117</v>
      </c>
      <c r="M621">
        <v>159</v>
      </c>
      <c r="N621" s="1">
        <v>0.44400000000000001</v>
      </c>
      <c r="O621">
        <v>30</v>
      </c>
      <c r="P621" s="1">
        <v>0.32300000000000001</v>
      </c>
      <c r="Q621" s="1">
        <v>0.77200000000000002</v>
      </c>
      <c r="R621">
        <v>446</v>
      </c>
      <c r="S621">
        <v>40</v>
      </c>
      <c r="T621">
        <v>130</v>
      </c>
      <c r="U621">
        <v>98</v>
      </c>
      <c r="V621">
        <v>18</v>
      </c>
      <c r="W621">
        <v>7</v>
      </c>
      <c r="X621">
        <v>48</v>
      </c>
      <c r="Y621" s="5">
        <v>2.04</v>
      </c>
    </row>
    <row r="622" spans="1:25" x14ac:dyDescent="0.25">
      <c r="A622">
        <v>2019</v>
      </c>
      <c r="B622" t="s">
        <v>57</v>
      </c>
      <c r="C622">
        <v>12</v>
      </c>
      <c r="D622">
        <v>113</v>
      </c>
      <c r="E622" t="s">
        <v>17</v>
      </c>
      <c r="F622" t="s">
        <v>43</v>
      </c>
      <c r="G622">
        <f t="shared" si="9"/>
        <v>1</v>
      </c>
      <c r="H622">
        <v>9</v>
      </c>
      <c r="I622">
        <v>4</v>
      </c>
      <c r="J622">
        <v>0</v>
      </c>
      <c r="K622" s="6" t="s">
        <v>67</v>
      </c>
      <c r="L622" s="6" t="s">
        <v>82</v>
      </c>
      <c r="M622">
        <v>157</v>
      </c>
      <c r="N622" s="1">
        <v>0.47899999999999998</v>
      </c>
      <c r="O622">
        <v>60</v>
      </c>
      <c r="P622" s="1">
        <v>0.438</v>
      </c>
      <c r="Q622" s="1">
        <v>0.81200000000000006</v>
      </c>
      <c r="R622">
        <v>456</v>
      </c>
      <c r="S622">
        <v>51</v>
      </c>
      <c r="T622">
        <v>149</v>
      </c>
      <c r="U622">
        <v>86</v>
      </c>
      <c r="V622">
        <v>35</v>
      </c>
      <c r="W622">
        <v>15</v>
      </c>
      <c r="X622">
        <v>48</v>
      </c>
      <c r="Y622" s="5">
        <v>1.79</v>
      </c>
    </row>
    <row r="623" spans="1:25" x14ac:dyDescent="0.25">
      <c r="A623">
        <v>2019</v>
      </c>
      <c r="B623" t="s">
        <v>57</v>
      </c>
      <c r="C623">
        <v>12</v>
      </c>
      <c r="D623">
        <v>113</v>
      </c>
      <c r="E623" t="s">
        <v>19</v>
      </c>
      <c r="F623" t="s">
        <v>56</v>
      </c>
      <c r="G623">
        <f t="shared" si="9"/>
        <v>0</v>
      </c>
      <c r="H623">
        <v>4</v>
      </c>
      <c r="I623">
        <v>9</v>
      </c>
      <c r="J623">
        <v>0</v>
      </c>
      <c r="K623" s="6" t="s">
        <v>63</v>
      </c>
      <c r="L623" s="6" t="s">
        <v>79</v>
      </c>
      <c r="M623">
        <v>123</v>
      </c>
      <c r="N623" s="1">
        <v>0.47699999999999998</v>
      </c>
      <c r="O623">
        <v>24</v>
      </c>
      <c r="P623" s="1">
        <v>0.3</v>
      </c>
      <c r="Q623" s="1">
        <v>0.70399999999999996</v>
      </c>
      <c r="R623">
        <v>320</v>
      </c>
      <c r="S623">
        <v>20</v>
      </c>
      <c r="T623">
        <v>112</v>
      </c>
      <c r="U623">
        <v>96</v>
      </c>
      <c r="V623">
        <v>30</v>
      </c>
      <c r="W623">
        <v>20</v>
      </c>
      <c r="X623">
        <v>44</v>
      </c>
      <c r="Y623" s="5">
        <v>2.1800000000000002</v>
      </c>
    </row>
    <row r="624" spans="1:25" x14ac:dyDescent="0.25">
      <c r="A624">
        <v>2019</v>
      </c>
      <c r="B624" t="s">
        <v>57</v>
      </c>
      <c r="C624">
        <v>12</v>
      </c>
      <c r="D624">
        <v>114</v>
      </c>
      <c r="E624" t="s">
        <v>28</v>
      </c>
      <c r="F624" t="s">
        <v>46</v>
      </c>
      <c r="G624">
        <f t="shared" si="9"/>
        <v>1</v>
      </c>
      <c r="H624">
        <v>9</v>
      </c>
      <c r="I624">
        <v>4</v>
      </c>
      <c r="J624">
        <v>0</v>
      </c>
      <c r="K624" s="6" t="s">
        <v>68</v>
      </c>
      <c r="L624" s="6" t="s">
        <v>84</v>
      </c>
      <c r="M624">
        <v>218</v>
      </c>
      <c r="N624" s="1">
        <v>0.46899999999999997</v>
      </c>
      <c r="O624">
        <v>37</v>
      </c>
      <c r="P624" s="1">
        <v>0.32500000000000001</v>
      </c>
      <c r="Q624" s="1">
        <v>0.75900000000000001</v>
      </c>
      <c r="R624">
        <v>558</v>
      </c>
      <c r="S624">
        <v>54</v>
      </c>
      <c r="T624">
        <v>164</v>
      </c>
      <c r="U624">
        <v>139</v>
      </c>
      <c r="V624">
        <v>37</v>
      </c>
      <c r="W624">
        <v>20</v>
      </c>
      <c r="X624">
        <v>79</v>
      </c>
      <c r="Y624" s="5">
        <v>1.76</v>
      </c>
    </row>
    <row r="625" spans="1:25" x14ac:dyDescent="0.25">
      <c r="A625">
        <v>2019</v>
      </c>
      <c r="B625" t="s">
        <v>57</v>
      </c>
      <c r="C625">
        <v>12</v>
      </c>
      <c r="D625">
        <v>114</v>
      </c>
      <c r="E625" t="s">
        <v>25</v>
      </c>
      <c r="F625" t="s">
        <v>53</v>
      </c>
      <c r="G625">
        <f t="shared" si="9"/>
        <v>0</v>
      </c>
      <c r="H625">
        <v>4</v>
      </c>
      <c r="I625">
        <v>9</v>
      </c>
      <c r="J625">
        <v>0</v>
      </c>
      <c r="K625" s="6" t="s">
        <v>64</v>
      </c>
      <c r="L625" s="6" t="s">
        <v>80</v>
      </c>
      <c r="M625">
        <v>130</v>
      </c>
      <c r="N625" s="1">
        <v>0.41899999999999998</v>
      </c>
      <c r="O625">
        <v>46</v>
      </c>
      <c r="P625" s="1">
        <v>0.377</v>
      </c>
      <c r="Q625" s="1">
        <v>0.73299999999999998</v>
      </c>
      <c r="R625">
        <v>361</v>
      </c>
      <c r="S625">
        <v>33</v>
      </c>
      <c r="T625">
        <v>119</v>
      </c>
      <c r="U625">
        <v>107</v>
      </c>
      <c r="V625">
        <v>22</v>
      </c>
      <c r="W625">
        <v>13</v>
      </c>
      <c r="X625">
        <v>48</v>
      </c>
      <c r="Y625" s="5">
        <v>2.23</v>
      </c>
    </row>
    <row r="626" spans="1:25" x14ac:dyDescent="0.25">
      <c r="A626">
        <v>2019</v>
      </c>
      <c r="B626" t="s">
        <v>57</v>
      </c>
      <c r="C626">
        <v>12</v>
      </c>
      <c r="D626">
        <v>115</v>
      </c>
      <c r="E626" t="s">
        <v>22</v>
      </c>
      <c r="F626" t="s">
        <v>44</v>
      </c>
      <c r="G626">
        <f t="shared" si="9"/>
        <v>1</v>
      </c>
      <c r="H626">
        <v>9</v>
      </c>
      <c r="I626">
        <v>3</v>
      </c>
      <c r="J626">
        <v>1</v>
      </c>
      <c r="K626" s="6" t="s">
        <v>69</v>
      </c>
      <c r="L626" s="6" t="s">
        <v>86</v>
      </c>
      <c r="M626">
        <v>151</v>
      </c>
      <c r="N626" s="1">
        <v>0.45900000000000002</v>
      </c>
      <c r="O626">
        <v>31</v>
      </c>
      <c r="P626" s="1">
        <v>0.33300000000000002</v>
      </c>
      <c r="Q626" s="1">
        <v>0.80500000000000005</v>
      </c>
      <c r="R626">
        <v>395</v>
      </c>
      <c r="S626">
        <v>35</v>
      </c>
      <c r="T626">
        <v>130</v>
      </c>
      <c r="U626">
        <v>97</v>
      </c>
      <c r="V626">
        <v>23</v>
      </c>
      <c r="W626">
        <v>21</v>
      </c>
      <c r="X626">
        <v>51</v>
      </c>
      <c r="Y626" s="5">
        <v>1.9</v>
      </c>
    </row>
    <row r="627" spans="1:25" x14ac:dyDescent="0.25">
      <c r="A627">
        <v>2019</v>
      </c>
      <c r="B627" t="s">
        <v>57</v>
      </c>
      <c r="C627">
        <v>12</v>
      </c>
      <c r="D627">
        <v>115</v>
      </c>
      <c r="E627" t="s">
        <v>24</v>
      </c>
      <c r="F627" t="s">
        <v>55</v>
      </c>
      <c r="G627">
        <f t="shared" si="9"/>
        <v>0</v>
      </c>
      <c r="H627">
        <v>3</v>
      </c>
      <c r="I627">
        <v>9</v>
      </c>
      <c r="J627">
        <v>1</v>
      </c>
      <c r="K627" s="6" t="s">
        <v>66</v>
      </c>
      <c r="L627" s="6" t="s">
        <v>81</v>
      </c>
      <c r="M627">
        <v>82</v>
      </c>
      <c r="N627" s="1">
        <v>0.5</v>
      </c>
      <c r="O627">
        <v>31</v>
      </c>
      <c r="P627" s="1">
        <v>0.36899999999999999</v>
      </c>
      <c r="Q627" s="1">
        <v>0.77800000000000002</v>
      </c>
      <c r="R627">
        <v>216</v>
      </c>
      <c r="S627">
        <v>16</v>
      </c>
      <c r="T627">
        <v>59</v>
      </c>
      <c r="U627">
        <v>41</v>
      </c>
      <c r="V627">
        <v>13</v>
      </c>
      <c r="W627">
        <v>7</v>
      </c>
      <c r="X627">
        <v>24</v>
      </c>
      <c r="Y627" s="5">
        <v>1.71</v>
      </c>
    </row>
    <row r="628" spans="1:25" x14ac:dyDescent="0.25">
      <c r="A628">
        <v>2019</v>
      </c>
      <c r="B628" t="s">
        <v>57</v>
      </c>
      <c r="C628">
        <v>12</v>
      </c>
      <c r="D628">
        <v>116</v>
      </c>
      <c r="E628" t="s">
        <v>26</v>
      </c>
      <c r="F628" t="s">
        <v>118</v>
      </c>
      <c r="G628">
        <f t="shared" si="9"/>
        <v>1</v>
      </c>
      <c r="H628">
        <v>10</v>
      </c>
      <c r="I628">
        <v>3</v>
      </c>
      <c r="J628">
        <v>0</v>
      </c>
      <c r="K628" s="6" t="s">
        <v>71</v>
      </c>
      <c r="L628" s="6" t="s">
        <v>121</v>
      </c>
      <c r="M628">
        <v>181</v>
      </c>
      <c r="N628" s="1">
        <v>0.51700000000000002</v>
      </c>
      <c r="O628">
        <v>40</v>
      </c>
      <c r="P628" s="1">
        <v>0.38100000000000001</v>
      </c>
      <c r="Q628" s="1">
        <v>0.77100000000000002</v>
      </c>
      <c r="R628">
        <v>466</v>
      </c>
      <c r="S628">
        <v>41</v>
      </c>
      <c r="T628">
        <v>124</v>
      </c>
      <c r="U628">
        <v>133</v>
      </c>
      <c r="V628">
        <v>40</v>
      </c>
      <c r="W628">
        <v>23</v>
      </c>
      <c r="X628">
        <v>50</v>
      </c>
      <c r="Y628" s="5">
        <v>2.66</v>
      </c>
    </row>
    <row r="629" spans="1:25" x14ac:dyDescent="0.25">
      <c r="A629">
        <v>2019</v>
      </c>
      <c r="B629" t="s">
        <v>57</v>
      </c>
      <c r="C629">
        <v>12</v>
      </c>
      <c r="D629">
        <v>116</v>
      </c>
      <c r="E629" t="s">
        <v>23</v>
      </c>
      <c r="F629" t="s">
        <v>120</v>
      </c>
      <c r="G629">
        <f t="shared" si="9"/>
        <v>0</v>
      </c>
      <c r="H629">
        <v>3</v>
      </c>
      <c r="I629">
        <v>10</v>
      </c>
      <c r="J629">
        <v>0</v>
      </c>
      <c r="K629" s="6" t="s">
        <v>65</v>
      </c>
      <c r="L629" s="6" t="s">
        <v>119</v>
      </c>
      <c r="M629">
        <v>138</v>
      </c>
      <c r="N629" s="1">
        <v>0.46899999999999997</v>
      </c>
      <c r="O629">
        <v>39</v>
      </c>
      <c r="P629" s="1">
        <v>0.32800000000000001</v>
      </c>
      <c r="Q629" s="1">
        <v>0.78500000000000003</v>
      </c>
      <c r="R629">
        <v>388</v>
      </c>
      <c r="S629">
        <v>35</v>
      </c>
      <c r="T629">
        <v>130</v>
      </c>
      <c r="U629">
        <v>90</v>
      </c>
      <c r="V629">
        <v>29</v>
      </c>
      <c r="W629">
        <v>18</v>
      </c>
      <c r="X629">
        <v>37</v>
      </c>
      <c r="Y629" s="5">
        <v>2.4300000000000002</v>
      </c>
    </row>
    <row r="630" spans="1:25" x14ac:dyDescent="0.25">
      <c r="A630">
        <v>2019</v>
      </c>
      <c r="B630" t="s">
        <v>57</v>
      </c>
      <c r="C630">
        <v>12</v>
      </c>
      <c r="D630">
        <v>117</v>
      </c>
      <c r="E630" t="s">
        <v>190</v>
      </c>
      <c r="F630" t="s">
        <v>103</v>
      </c>
      <c r="G630">
        <f t="shared" si="9"/>
        <v>1</v>
      </c>
      <c r="H630">
        <v>10</v>
      </c>
      <c r="I630">
        <v>3</v>
      </c>
      <c r="J630">
        <v>0</v>
      </c>
      <c r="K630" s="6" t="s">
        <v>111</v>
      </c>
      <c r="L630" s="6" t="s">
        <v>89</v>
      </c>
      <c r="M630">
        <v>185</v>
      </c>
      <c r="N630" s="1">
        <v>0.47399999999999998</v>
      </c>
      <c r="O630">
        <v>37</v>
      </c>
      <c r="P630" s="1">
        <v>0.35199999999999998</v>
      </c>
      <c r="Q630" s="1">
        <v>0.78900000000000003</v>
      </c>
      <c r="R630">
        <v>497</v>
      </c>
      <c r="S630">
        <v>58</v>
      </c>
      <c r="T630">
        <v>149</v>
      </c>
      <c r="U630">
        <v>86</v>
      </c>
      <c r="V630">
        <v>36</v>
      </c>
      <c r="W630">
        <v>20</v>
      </c>
      <c r="X630">
        <v>44</v>
      </c>
      <c r="Y630" s="5">
        <v>1.95</v>
      </c>
    </row>
    <row r="631" spans="1:25" x14ac:dyDescent="0.25">
      <c r="A631">
        <v>2019</v>
      </c>
      <c r="B631" t="s">
        <v>57</v>
      </c>
      <c r="C631">
        <v>12</v>
      </c>
      <c r="D631">
        <v>117</v>
      </c>
      <c r="E631" t="s">
        <v>97</v>
      </c>
      <c r="F631" t="s">
        <v>54</v>
      </c>
      <c r="G631">
        <f t="shared" si="9"/>
        <v>0</v>
      </c>
      <c r="H631">
        <v>3</v>
      </c>
      <c r="I631">
        <v>10</v>
      </c>
      <c r="J631">
        <v>0</v>
      </c>
      <c r="K631" s="6" t="s">
        <v>191</v>
      </c>
      <c r="L631" s="6" t="s">
        <v>113</v>
      </c>
      <c r="M631">
        <v>148</v>
      </c>
      <c r="N631" s="1">
        <v>0.42299999999999999</v>
      </c>
      <c r="O631">
        <v>45</v>
      </c>
      <c r="P631" s="1">
        <v>0.36299999999999999</v>
      </c>
      <c r="Q631" s="1">
        <v>0.73499999999999999</v>
      </c>
      <c r="R631">
        <v>413</v>
      </c>
      <c r="S631">
        <v>28</v>
      </c>
      <c r="T631">
        <v>123</v>
      </c>
      <c r="U631">
        <v>95</v>
      </c>
      <c r="V631">
        <v>23</v>
      </c>
      <c r="W631">
        <v>10</v>
      </c>
      <c r="X631">
        <v>51</v>
      </c>
      <c r="Y631" s="5">
        <v>1.86</v>
      </c>
    </row>
    <row r="632" spans="1:25" x14ac:dyDescent="0.25">
      <c r="A632">
        <v>2019</v>
      </c>
      <c r="B632" t="s">
        <v>57</v>
      </c>
      <c r="C632">
        <v>12</v>
      </c>
      <c r="D632">
        <v>118</v>
      </c>
      <c r="E632" t="s">
        <v>20</v>
      </c>
      <c r="F632" t="s">
        <v>47</v>
      </c>
      <c r="G632">
        <f t="shared" si="9"/>
        <v>1</v>
      </c>
      <c r="H632">
        <v>7</v>
      </c>
      <c r="I632">
        <v>6</v>
      </c>
      <c r="J632">
        <v>0</v>
      </c>
      <c r="K632" s="6" t="s">
        <v>112</v>
      </c>
      <c r="L632" s="6" t="s">
        <v>88</v>
      </c>
      <c r="M632">
        <v>166</v>
      </c>
      <c r="N632" s="1">
        <v>0.42899999999999999</v>
      </c>
      <c r="O632">
        <v>47</v>
      </c>
      <c r="P632" s="1">
        <v>0.34100000000000003</v>
      </c>
      <c r="Q632" s="1">
        <v>0.69699999999999995</v>
      </c>
      <c r="R632">
        <v>432</v>
      </c>
      <c r="S632">
        <v>46</v>
      </c>
      <c r="T632">
        <v>115</v>
      </c>
      <c r="U632">
        <v>101</v>
      </c>
      <c r="V632">
        <v>31</v>
      </c>
      <c r="W632">
        <v>14</v>
      </c>
      <c r="X632">
        <v>60</v>
      </c>
      <c r="Y632" s="5">
        <v>1.68</v>
      </c>
    </row>
    <row r="633" spans="1:25" x14ac:dyDescent="0.25">
      <c r="A633">
        <v>2019</v>
      </c>
      <c r="B633" t="s">
        <v>57</v>
      </c>
      <c r="C633">
        <v>12</v>
      </c>
      <c r="D633">
        <v>118</v>
      </c>
      <c r="E633" t="s">
        <v>98</v>
      </c>
      <c r="F633" t="s">
        <v>41</v>
      </c>
      <c r="G633">
        <f t="shared" si="9"/>
        <v>0</v>
      </c>
      <c r="H633">
        <v>6</v>
      </c>
      <c r="I633">
        <v>7</v>
      </c>
      <c r="J633">
        <v>0</v>
      </c>
      <c r="K633" s="6" t="s">
        <v>62</v>
      </c>
      <c r="L633" s="6" t="s">
        <v>78</v>
      </c>
      <c r="M633">
        <v>127</v>
      </c>
      <c r="N633" s="1">
        <v>0.47699999999999998</v>
      </c>
      <c r="O633">
        <v>38</v>
      </c>
      <c r="P633" s="1">
        <v>0.38400000000000001</v>
      </c>
      <c r="Q633" s="1">
        <v>0.79700000000000004</v>
      </c>
      <c r="R633">
        <v>343</v>
      </c>
      <c r="S633">
        <v>22</v>
      </c>
      <c r="T633">
        <v>108</v>
      </c>
      <c r="U633">
        <v>86</v>
      </c>
      <c r="V633">
        <v>23</v>
      </c>
      <c r="W633">
        <v>15</v>
      </c>
      <c r="X633">
        <v>31</v>
      </c>
      <c r="Y633" s="5">
        <v>2.77</v>
      </c>
    </row>
    <row r="634" spans="1:25" x14ac:dyDescent="0.25">
      <c r="A634">
        <v>2019</v>
      </c>
      <c r="B634" t="s">
        <v>57</v>
      </c>
      <c r="C634">
        <v>12</v>
      </c>
      <c r="D634">
        <v>119</v>
      </c>
      <c r="E634" t="s">
        <v>181</v>
      </c>
      <c r="F634" t="s">
        <v>49</v>
      </c>
      <c r="G634">
        <f t="shared" si="9"/>
        <v>0</v>
      </c>
      <c r="H634">
        <v>4</v>
      </c>
      <c r="I634">
        <v>9</v>
      </c>
      <c r="J634">
        <v>0</v>
      </c>
      <c r="K634" s="6" t="s">
        <v>70</v>
      </c>
      <c r="L634" s="6" t="s">
        <v>87</v>
      </c>
      <c r="M634">
        <v>126</v>
      </c>
      <c r="N634" s="1">
        <v>0.46</v>
      </c>
      <c r="O634">
        <v>25</v>
      </c>
      <c r="P634" s="1">
        <v>0.29799999999999999</v>
      </c>
      <c r="Q634" s="1">
        <v>0.78500000000000003</v>
      </c>
      <c r="R634">
        <v>361</v>
      </c>
      <c r="S634">
        <v>23</v>
      </c>
      <c r="T634">
        <v>82</v>
      </c>
      <c r="U634">
        <v>78</v>
      </c>
      <c r="V634">
        <v>25</v>
      </c>
      <c r="W634">
        <v>11</v>
      </c>
      <c r="X634">
        <v>33</v>
      </c>
      <c r="Y634" s="5">
        <v>2.36</v>
      </c>
    </row>
    <row r="635" spans="1:25" x14ac:dyDescent="0.25">
      <c r="A635">
        <v>2019</v>
      </c>
      <c r="B635" t="s">
        <v>57</v>
      </c>
      <c r="C635">
        <v>12</v>
      </c>
      <c r="D635">
        <v>119</v>
      </c>
      <c r="E635" t="s">
        <v>21</v>
      </c>
      <c r="F635" t="s">
        <v>50</v>
      </c>
      <c r="G635">
        <f t="shared" si="9"/>
        <v>1</v>
      </c>
      <c r="H635">
        <v>9</v>
      </c>
      <c r="I635">
        <v>4</v>
      </c>
      <c r="J635">
        <v>0</v>
      </c>
      <c r="K635" s="6" t="s">
        <v>182</v>
      </c>
      <c r="L635" s="6" t="s">
        <v>76</v>
      </c>
      <c r="M635">
        <v>156</v>
      </c>
      <c r="N635" s="1">
        <v>0.50600000000000001</v>
      </c>
      <c r="O635">
        <v>26</v>
      </c>
      <c r="P635" s="1">
        <v>0.35099999999999998</v>
      </c>
      <c r="Q635" s="1">
        <v>0.746</v>
      </c>
      <c r="R635">
        <v>429</v>
      </c>
      <c r="S635">
        <v>33</v>
      </c>
      <c r="T635">
        <v>100</v>
      </c>
      <c r="U635">
        <v>98</v>
      </c>
      <c r="V635">
        <v>21</v>
      </c>
      <c r="W635">
        <v>13</v>
      </c>
      <c r="X635">
        <v>43</v>
      </c>
      <c r="Y635" s="5">
        <v>2.2799999999999998</v>
      </c>
    </row>
    <row r="636" spans="1:25" x14ac:dyDescent="0.25">
      <c r="A636">
        <v>2019</v>
      </c>
      <c r="B636" t="s">
        <v>57</v>
      </c>
      <c r="C636">
        <v>12</v>
      </c>
      <c r="D636">
        <v>120</v>
      </c>
      <c r="E636" t="s">
        <v>94</v>
      </c>
      <c r="F636" t="s">
        <v>40</v>
      </c>
      <c r="G636">
        <f t="shared" si="9"/>
        <v>1</v>
      </c>
      <c r="H636">
        <v>8</v>
      </c>
      <c r="I636">
        <v>5</v>
      </c>
      <c r="J636">
        <v>0</v>
      </c>
      <c r="K636" s="6" t="s">
        <v>59</v>
      </c>
      <c r="L636" s="6" t="s">
        <v>74</v>
      </c>
      <c r="M636">
        <v>148</v>
      </c>
      <c r="N636" s="1">
        <v>0.434</v>
      </c>
      <c r="O636">
        <v>46</v>
      </c>
      <c r="P636" s="1">
        <v>0.35899999999999999</v>
      </c>
      <c r="Q636" s="1">
        <v>0.80500000000000005</v>
      </c>
      <c r="R636">
        <v>441</v>
      </c>
      <c r="S636">
        <v>38</v>
      </c>
      <c r="T636">
        <v>148</v>
      </c>
      <c r="U636">
        <v>106</v>
      </c>
      <c r="V636">
        <v>31</v>
      </c>
      <c r="W636">
        <v>18</v>
      </c>
      <c r="X636">
        <v>58</v>
      </c>
      <c r="Y636" s="5">
        <v>1.83</v>
      </c>
    </row>
    <row r="637" spans="1:25" x14ac:dyDescent="0.25">
      <c r="A637">
        <v>2019</v>
      </c>
      <c r="B637" t="s">
        <v>57</v>
      </c>
      <c r="C637">
        <v>12</v>
      </c>
      <c r="D637">
        <v>120</v>
      </c>
      <c r="E637" t="s">
        <v>18</v>
      </c>
      <c r="F637" t="s">
        <v>52</v>
      </c>
      <c r="G637">
        <f t="shared" si="9"/>
        <v>0</v>
      </c>
      <c r="H637">
        <v>5</v>
      </c>
      <c r="I637">
        <v>8</v>
      </c>
      <c r="J637">
        <v>0</v>
      </c>
      <c r="K637" s="6" t="s">
        <v>106</v>
      </c>
      <c r="L637" s="6" t="s">
        <v>83</v>
      </c>
      <c r="M637">
        <v>160</v>
      </c>
      <c r="N637" s="1">
        <v>0.50600000000000001</v>
      </c>
      <c r="O637">
        <v>34</v>
      </c>
      <c r="P637" s="1">
        <v>0.32700000000000001</v>
      </c>
      <c r="Q637" s="1">
        <v>0.69299999999999995</v>
      </c>
      <c r="R637">
        <v>406</v>
      </c>
      <c r="S637">
        <v>33</v>
      </c>
      <c r="T637">
        <v>122</v>
      </c>
      <c r="U637">
        <v>91</v>
      </c>
      <c r="V637">
        <v>19</v>
      </c>
      <c r="W637">
        <v>20</v>
      </c>
      <c r="X637">
        <v>46</v>
      </c>
      <c r="Y637" s="5">
        <v>1.98</v>
      </c>
    </row>
    <row r="638" spans="1:25" x14ac:dyDescent="0.25">
      <c r="A638">
        <v>2019</v>
      </c>
      <c r="B638" t="s">
        <v>57</v>
      </c>
      <c r="C638">
        <v>13</v>
      </c>
      <c r="D638">
        <v>121</v>
      </c>
      <c r="E638" t="s">
        <v>16</v>
      </c>
      <c r="F638" t="s">
        <v>51</v>
      </c>
      <c r="G638">
        <f t="shared" si="9"/>
        <v>1</v>
      </c>
      <c r="H638">
        <v>8</v>
      </c>
      <c r="I638">
        <v>5</v>
      </c>
      <c r="J638">
        <v>0</v>
      </c>
      <c r="K638" s="6" t="s">
        <v>70</v>
      </c>
      <c r="L638" s="6" t="s">
        <v>87</v>
      </c>
      <c r="M638">
        <v>179</v>
      </c>
      <c r="N638" s="1">
        <v>0.47399999999999998</v>
      </c>
      <c r="O638">
        <v>40</v>
      </c>
      <c r="P638" s="1">
        <v>0.377</v>
      </c>
      <c r="Q638" s="1">
        <v>0.73799999999999999</v>
      </c>
      <c r="R638">
        <v>474</v>
      </c>
      <c r="S638">
        <v>70</v>
      </c>
      <c r="T638">
        <v>179</v>
      </c>
      <c r="U638">
        <v>142</v>
      </c>
      <c r="V638">
        <v>47</v>
      </c>
      <c r="W638">
        <v>14</v>
      </c>
      <c r="X638">
        <v>73</v>
      </c>
      <c r="Y638" s="5">
        <v>1.95</v>
      </c>
    </row>
    <row r="639" spans="1:25" x14ac:dyDescent="0.25">
      <c r="A639">
        <v>2019</v>
      </c>
      <c r="B639" t="s">
        <v>57</v>
      </c>
      <c r="C639">
        <v>13</v>
      </c>
      <c r="D639">
        <v>121</v>
      </c>
      <c r="E639" t="s">
        <v>21</v>
      </c>
      <c r="F639" t="s">
        <v>50</v>
      </c>
      <c r="G639">
        <f t="shared" si="9"/>
        <v>0</v>
      </c>
      <c r="H639">
        <v>5</v>
      </c>
      <c r="I639">
        <v>8</v>
      </c>
      <c r="J639">
        <v>0</v>
      </c>
      <c r="K639" s="6" t="s">
        <v>60</v>
      </c>
      <c r="L639" s="6" t="s">
        <v>75</v>
      </c>
      <c r="M639">
        <v>156</v>
      </c>
      <c r="N639" s="1">
        <v>0.53100000000000003</v>
      </c>
      <c r="O639">
        <v>38</v>
      </c>
      <c r="P639" s="1">
        <v>0.40899999999999997</v>
      </c>
      <c r="Q639" s="1">
        <v>0.77900000000000003</v>
      </c>
      <c r="R639">
        <v>417</v>
      </c>
      <c r="S639">
        <v>46</v>
      </c>
      <c r="T639">
        <v>104</v>
      </c>
      <c r="U639">
        <v>83</v>
      </c>
      <c r="V639">
        <v>35</v>
      </c>
      <c r="W639">
        <v>20</v>
      </c>
      <c r="X639">
        <v>46</v>
      </c>
      <c r="Y639" s="5">
        <v>1.8</v>
      </c>
    </row>
    <row r="640" spans="1:25" x14ac:dyDescent="0.25">
      <c r="A640">
        <v>2019</v>
      </c>
      <c r="B640" t="s">
        <v>57</v>
      </c>
      <c r="C640">
        <v>13</v>
      </c>
      <c r="D640">
        <v>122</v>
      </c>
      <c r="E640" t="s">
        <v>17</v>
      </c>
      <c r="F640" t="s">
        <v>43</v>
      </c>
      <c r="G640">
        <f t="shared" si="9"/>
        <v>1</v>
      </c>
      <c r="H640">
        <v>10</v>
      </c>
      <c r="I640">
        <v>3</v>
      </c>
      <c r="J640">
        <v>0</v>
      </c>
      <c r="K640" s="6" t="s">
        <v>193</v>
      </c>
      <c r="L640" s="6" t="s">
        <v>117</v>
      </c>
      <c r="M640">
        <v>188</v>
      </c>
      <c r="N640" s="1">
        <v>0.48799999999999999</v>
      </c>
      <c r="O640">
        <v>66</v>
      </c>
      <c r="P640" s="1">
        <v>0.375</v>
      </c>
      <c r="Q640" s="1">
        <v>0.84699999999999998</v>
      </c>
      <c r="R640">
        <v>536</v>
      </c>
      <c r="S640">
        <v>29</v>
      </c>
      <c r="T640">
        <v>130</v>
      </c>
      <c r="U640">
        <v>89</v>
      </c>
      <c r="V640">
        <v>30</v>
      </c>
      <c r="W640">
        <v>25</v>
      </c>
      <c r="X640">
        <v>55</v>
      </c>
      <c r="Y640" s="5">
        <v>1.62</v>
      </c>
    </row>
    <row r="641" spans="1:25" x14ac:dyDescent="0.25">
      <c r="A641">
        <v>2019</v>
      </c>
      <c r="B641" t="s">
        <v>57</v>
      </c>
      <c r="C641">
        <v>13</v>
      </c>
      <c r="D641">
        <v>122</v>
      </c>
      <c r="E641" t="s">
        <v>159</v>
      </c>
      <c r="F641" t="s">
        <v>116</v>
      </c>
      <c r="G641">
        <f t="shared" si="9"/>
        <v>0</v>
      </c>
      <c r="H641">
        <v>3</v>
      </c>
      <c r="I641">
        <v>10</v>
      </c>
      <c r="J641">
        <v>0</v>
      </c>
      <c r="K641" s="6" t="s">
        <v>63</v>
      </c>
      <c r="L641" s="6" t="s">
        <v>79</v>
      </c>
      <c r="M641">
        <v>184</v>
      </c>
      <c r="N641" s="1">
        <v>0.44700000000000001</v>
      </c>
      <c r="O641">
        <v>55</v>
      </c>
      <c r="P641" s="1">
        <v>0.36699999999999999</v>
      </c>
      <c r="Q641" s="1">
        <v>0.74</v>
      </c>
      <c r="R641">
        <v>497</v>
      </c>
      <c r="S641">
        <v>53</v>
      </c>
      <c r="T641">
        <v>171</v>
      </c>
      <c r="U641">
        <v>81</v>
      </c>
      <c r="V641">
        <v>28</v>
      </c>
      <c r="W641">
        <v>26</v>
      </c>
      <c r="X641">
        <v>56</v>
      </c>
      <c r="Y641" s="5">
        <v>1.45</v>
      </c>
    </row>
    <row r="642" spans="1:25" x14ac:dyDescent="0.25">
      <c r="A642">
        <v>2019</v>
      </c>
      <c r="B642" t="s">
        <v>57</v>
      </c>
      <c r="C642">
        <v>13</v>
      </c>
      <c r="D642">
        <v>123</v>
      </c>
      <c r="E642" t="s">
        <v>28</v>
      </c>
      <c r="F642" t="s">
        <v>46</v>
      </c>
      <c r="G642">
        <f t="shared" ref="G642:G705" si="10">IF(H642+0.5*J642&gt;6.5,1,0)</f>
        <v>1</v>
      </c>
      <c r="H642">
        <v>12</v>
      </c>
      <c r="I642">
        <v>1</v>
      </c>
      <c r="J642">
        <v>0</v>
      </c>
      <c r="K642" s="6" t="s">
        <v>67</v>
      </c>
      <c r="L642" s="6" t="s">
        <v>82</v>
      </c>
      <c r="M642">
        <v>230</v>
      </c>
      <c r="N642" s="1">
        <v>0.51900000000000002</v>
      </c>
      <c r="O642">
        <v>38</v>
      </c>
      <c r="P642" s="1">
        <v>0.33900000000000002</v>
      </c>
      <c r="Q642" s="1">
        <v>0.79800000000000004</v>
      </c>
      <c r="R642">
        <v>589</v>
      </c>
      <c r="S642">
        <v>46</v>
      </c>
      <c r="T642">
        <v>163</v>
      </c>
      <c r="U642">
        <v>153</v>
      </c>
      <c r="V642">
        <v>40</v>
      </c>
      <c r="W642">
        <v>22</v>
      </c>
      <c r="X642">
        <v>70</v>
      </c>
      <c r="Y642" s="5">
        <v>2.19</v>
      </c>
    </row>
    <row r="643" spans="1:25" x14ac:dyDescent="0.25">
      <c r="A643">
        <v>2019</v>
      </c>
      <c r="B643" t="s">
        <v>57</v>
      </c>
      <c r="C643">
        <v>13</v>
      </c>
      <c r="D643">
        <v>123</v>
      </c>
      <c r="E643" t="s">
        <v>19</v>
      </c>
      <c r="F643" t="s">
        <v>56</v>
      </c>
      <c r="G643">
        <f t="shared" si="10"/>
        <v>0</v>
      </c>
      <c r="H643">
        <v>1</v>
      </c>
      <c r="I643">
        <v>12</v>
      </c>
      <c r="J643">
        <v>0</v>
      </c>
      <c r="K643" s="6" t="s">
        <v>64</v>
      </c>
      <c r="L643" s="6" t="s">
        <v>80</v>
      </c>
      <c r="M643">
        <v>137</v>
      </c>
      <c r="N643" s="1">
        <v>0.42399999999999999</v>
      </c>
      <c r="O643">
        <v>35</v>
      </c>
      <c r="P643" s="1">
        <v>0.33300000000000002</v>
      </c>
      <c r="Q643" s="1">
        <v>0.73699999999999999</v>
      </c>
      <c r="R643">
        <v>382</v>
      </c>
      <c r="S643">
        <v>27</v>
      </c>
      <c r="T643">
        <v>114</v>
      </c>
      <c r="U643">
        <v>95</v>
      </c>
      <c r="V643">
        <v>32</v>
      </c>
      <c r="W643">
        <v>14</v>
      </c>
      <c r="X643">
        <v>48</v>
      </c>
      <c r="Y643" s="5">
        <v>1.98</v>
      </c>
    </row>
    <row r="644" spans="1:25" x14ac:dyDescent="0.25">
      <c r="A644">
        <v>2019</v>
      </c>
      <c r="B644" t="s">
        <v>57</v>
      </c>
      <c r="C644">
        <v>13</v>
      </c>
      <c r="D644">
        <v>124</v>
      </c>
      <c r="E644" t="s">
        <v>25</v>
      </c>
      <c r="F644" t="s">
        <v>53</v>
      </c>
      <c r="G644">
        <f t="shared" si="10"/>
        <v>0</v>
      </c>
      <c r="H644">
        <v>4</v>
      </c>
      <c r="I644">
        <v>9</v>
      </c>
      <c r="J644">
        <v>0</v>
      </c>
      <c r="K644" s="6" t="s">
        <v>66</v>
      </c>
      <c r="L644" s="6" t="s">
        <v>81</v>
      </c>
      <c r="M644">
        <v>158</v>
      </c>
      <c r="N644" s="1">
        <v>0.44500000000000001</v>
      </c>
      <c r="O644">
        <v>35</v>
      </c>
      <c r="P644" s="1">
        <v>0.36799999999999999</v>
      </c>
      <c r="Q644" s="1">
        <v>0.85499999999999998</v>
      </c>
      <c r="R644">
        <v>422</v>
      </c>
      <c r="S644">
        <v>32</v>
      </c>
      <c r="T644">
        <v>132</v>
      </c>
      <c r="U644">
        <v>111</v>
      </c>
      <c r="V644">
        <v>34</v>
      </c>
      <c r="W644">
        <v>16</v>
      </c>
      <c r="X644">
        <v>65</v>
      </c>
      <c r="Y644" s="5">
        <v>1.71</v>
      </c>
    </row>
    <row r="645" spans="1:25" x14ac:dyDescent="0.25">
      <c r="A645">
        <v>2019</v>
      </c>
      <c r="B645" t="s">
        <v>57</v>
      </c>
      <c r="C645">
        <v>13</v>
      </c>
      <c r="D645">
        <v>124</v>
      </c>
      <c r="E645" t="s">
        <v>22</v>
      </c>
      <c r="F645" t="s">
        <v>44</v>
      </c>
      <c r="G645">
        <f t="shared" si="10"/>
        <v>1</v>
      </c>
      <c r="H645">
        <v>9</v>
      </c>
      <c r="I645">
        <v>4</v>
      </c>
      <c r="J645">
        <v>0</v>
      </c>
      <c r="K645" s="6" t="s">
        <v>68</v>
      </c>
      <c r="L645" s="6" t="s">
        <v>84</v>
      </c>
      <c r="M645">
        <v>169</v>
      </c>
      <c r="N645" s="1">
        <v>0.47299999999999998</v>
      </c>
      <c r="O645">
        <v>45</v>
      </c>
      <c r="P645" s="1">
        <v>0.38100000000000001</v>
      </c>
      <c r="Q645" s="1">
        <v>0.70599999999999996</v>
      </c>
      <c r="R645">
        <v>431</v>
      </c>
      <c r="S645">
        <v>44</v>
      </c>
      <c r="T645">
        <v>128</v>
      </c>
      <c r="U645">
        <v>87</v>
      </c>
      <c r="V645">
        <v>33</v>
      </c>
      <c r="W645">
        <v>22</v>
      </c>
      <c r="X645">
        <v>43</v>
      </c>
      <c r="Y645" s="5">
        <v>2.02</v>
      </c>
    </row>
    <row r="646" spans="1:25" x14ac:dyDescent="0.25">
      <c r="A646">
        <v>2019</v>
      </c>
      <c r="B646" t="s">
        <v>57</v>
      </c>
      <c r="C646">
        <v>13</v>
      </c>
      <c r="D646">
        <v>125</v>
      </c>
      <c r="E646" t="s">
        <v>26</v>
      </c>
      <c r="F646" t="s">
        <v>118</v>
      </c>
      <c r="G646">
        <f t="shared" si="10"/>
        <v>1</v>
      </c>
      <c r="H646">
        <v>9</v>
      </c>
      <c r="I646">
        <v>4</v>
      </c>
      <c r="J646">
        <v>0</v>
      </c>
      <c r="K646" s="6" t="s">
        <v>69</v>
      </c>
      <c r="L646" s="6" t="s">
        <v>86</v>
      </c>
      <c r="M646">
        <v>178</v>
      </c>
      <c r="N646" s="1">
        <v>0.46200000000000002</v>
      </c>
      <c r="O646">
        <v>35</v>
      </c>
      <c r="P646" s="1">
        <v>0.313</v>
      </c>
      <c r="Q646" s="1">
        <v>0.68400000000000005</v>
      </c>
      <c r="R646">
        <v>471</v>
      </c>
      <c r="S646">
        <v>53</v>
      </c>
      <c r="T646">
        <v>166</v>
      </c>
      <c r="U646">
        <v>155</v>
      </c>
      <c r="V646">
        <v>40</v>
      </c>
      <c r="W646">
        <v>22</v>
      </c>
      <c r="X646">
        <v>79</v>
      </c>
      <c r="Y646" s="5">
        <v>1.96</v>
      </c>
    </row>
    <row r="647" spans="1:25" x14ac:dyDescent="0.25">
      <c r="A647">
        <v>2019</v>
      </c>
      <c r="B647" t="s">
        <v>57</v>
      </c>
      <c r="C647">
        <v>13</v>
      </c>
      <c r="D647">
        <v>125</v>
      </c>
      <c r="E647" t="s">
        <v>24</v>
      </c>
      <c r="F647" t="s">
        <v>55</v>
      </c>
      <c r="G647">
        <f t="shared" si="10"/>
        <v>0</v>
      </c>
      <c r="H647">
        <v>4</v>
      </c>
      <c r="I647">
        <v>9</v>
      </c>
      <c r="J647">
        <v>0</v>
      </c>
      <c r="K647" s="6" t="s">
        <v>65</v>
      </c>
      <c r="L647" s="6" t="s">
        <v>119</v>
      </c>
      <c r="M647">
        <v>95</v>
      </c>
      <c r="N647" s="1">
        <v>0.438</v>
      </c>
      <c r="O647">
        <v>48</v>
      </c>
      <c r="P647" s="1">
        <v>0.41399999999999998</v>
      </c>
      <c r="Q647" s="1">
        <v>0.83099999999999996</v>
      </c>
      <c r="R647">
        <v>287</v>
      </c>
      <c r="S647">
        <v>24</v>
      </c>
      <c r="T647">
        <v>89</v>
      </c>
      <c r="U647">
        <v>41</v>
      </c>
      <c r="V647">
        <v>20</v>
      </c>
      <c r="W647">
        <v>13</v>
      </c>
      <c r="X647">
        <v>35</v>
      </c>
      <c r="Y647" s="5">
        <v>1.17</v>
      </c>
    </row>
    <row r="648" spans="1:25" x14ac:dyDescent="0.25">
      <c r="A648">
        <v>2019</v>
      </c>
      <c r="B648" t="s">
        <v>57</v>
      </c>
      <c r="C648">
        <v>13</v>
      </c>
      <c r="D648">
        <v>126</v>
      </c>
      <c r="E648" t="s">
        <v>23</v>
      </c>
      <c r="F648" t="s">
        <v>120</v>
      </c>
      <c r="G648">
        <f t="shared" si="10"/>
        <v>0</v>
      </c>
      <c r="H648">
        <v>5</v>
      </c>
      <c r="I648">
        <v>8</v>
      </c>
      <c r="J648">
        <v>0</v>
      </c>
      <c r="K648" s="6" t="s">
        <v>191</v>
      </c>
      <c r="L648" s="6" t="s">
        <v>113</v>
      </c>
      <c r="M648">
        <v>163</v>
      </c>
      <c r="N648" s="1">
        <v>0.45500000000000002</v>
      </c>
      <c r="O648">
        <v>47</v>
      </c>
      <c r="P648" s="1">
        <v>0.33300000000000002</v>
      </c>
      <c r="Q648" s="1">
        <v>0.85</v>
      </c>
      <c r="R648">
        <v>469</v>
      </c>
      <c r="S648">
        <v>37</v>
      </c>
      <c r="T648">
        <v>135</v>
      </c>
      <c r="U648">
        <v>89</v>
      </c>
      <c r="V648">
        <v>33</v>
      </c>
      <c r="W648">
        <v>28</v>
      </c>
      <c r="X648">
        <v>51</v>
      </c>
      <c r="Y648" s="5">
        <v>1.75</v>
      </c>
    </row>
    <row r="649" spans="1:25" x14ac:dyDescent="0.25">
      <c r="A649">
        <v>2019</v>
      </c>
      <c r="B649" t="s">
        <v>57</v>
      </c>
      <c r="C649">
        <v>13</v>
      </c>
      <c r="D649">
        <v>126</v>
      </c>
      <c r="E649" t="s">
        <v>190</v>
      </c>
      <c r="F649" t="s">
        <v>103</v>
      </c>
      <c r="G649">
        <f t="shared" si="10"/>
        <v>1</v>
      </c>
      <c r="H649">
        <v>8</v>
      </c>
      <c r="I649">
        <v>5</v>
      </c>
      <c r="J649">
        <v>0</v>
      </c>
      <c r="K649" s="6" t="s">
        <v>71</v>
      </c>
      <c r="L649" s="6" t="s">
        <v>121</v>
      </c>
      <c r="M649">
        <v>187</v>
      </c>
      <c r="N649" s="1">
        <v>0.47299999999999998</v>
      </c>
      <c r="O649">
        <v>40</v>
      </c>
      <c r="P649" s="1">
        <v>0.35399999999999998</v>
      </c>
      <c r="Q649" s="1">
        <v>0.74299999999999999</v>
      </c>
      <c r="R649">
        <v>498</v>
      </c>
      <c r="S649">
        <v>45</v>
      </c>
      <c r="T649">
        <v>131</v>
      </c>
      <c r="U649">
        <v>95</v>
      </c>
      <c r="V649">
        <v>25</v>
      </c>
      <c r="W649">
        <v>19</v>
      </c>
      <c r="X649">
        <v>41</v>
      </c>
      <c r="Y649" s="5">
        <v>2.3199999999999998</v>
      </c>
    </row>
    <row r="650" spans="1:25" x14ac:dyDescent="0.25">
      <c r="A650">
        <v>2019</v>
      </c>
      <c r="B650" t="s">
        <v>57</v>
      </c>
      <c r="C650">
        <v>13</v>
      </c>
      <c r="D650">
        <v>127</v>
      </c>
      <c r="E650" t="s">
        <v>97</v>
      </c>
      <c r="F650" t="s">
        <v>54</v>
      </c>
      <c r="G650">
        <f t="shared" si="10"/>
        <v>1</v>
      </c>
      <c r="H650">
        <v>11</v>
      </c>
      <c r="I650">
        <v>2</v>
      </c>
      <c r="J650">
        <v>0</v>
      </c>
      <c r="K650" s="6" t="s">
        <v>62</v>
      </c>
      <c r="L650" s="6" t="s">
        <v>78</v>
      </c>
      <c r="M650">
        <v>175</v>
      </c>
      <c r="N650" s="1">
        <v>0.46400000000000002</v>
      </c>
      <c r="O650">
        <v>54</v>
      </c>
      <c r="P650" s="1">
        <v>0.38800000000000001</v>
      </c>
      <c r="Q650" s="1">
        <v>0.8</v>
      </c>
      <c r="R650">
        <v>528</v>
      </c>
      <c r="S650">
        <v>37</v>
      </c>
      <c r="T650">
        <v>129</v>
      </c>
      <c r="U650">
        <v>89</v>
      </c>
      <c r="V650">
        <v>28</v>
      </c>
      <c r="W650">
        <v>15</v>
      </c>
      <c r="X650">
        <v>62</v>
      </c>
      <c r="Y650" s="5">
        <v>1.44</v>
      </c>
    </row>
    <row r="651" spans="1:25" x14ac:dyDescent="0.25">
      <c r="A651">
        <v>2019</v>
      </c>
      <c r="B651" t="s">
        <v>57</v>
      </c>
      <c r="C651">
        <v>13</v>
      </c>
      <c r="D651">
        <v>127</v>
      </c>
      <c r="E651" t="s">
        <v>20</v>
      </c>
      <c r="F651" t="s">
        <v>47</v>
      </c>
      <c r="G651">
        <f t="shared" si="10"/>
        <v>0</v>
      </c>
      <c r="H651">
        <v>2</v>
      </c>
      <c r="I651">
        <v>11</v>
      </c>
      <c r="J651">
        <v>0</v>
      </c>
      <c r="K651" s="6" t="s">
        <v>111</v>
      </c>
      <c r="L651" s="6" t="s">
        <v>89</v>
      </c>
      <c r="M651">
        <v>147</v>
      </c>
      <c r="N651" s="1">
        <v>0.42099999999999999</v>
      </c>
      <c r="O651">
        <v>39</v>
      </c>
      <c r="P651" s="1">
        <v>0.32800000000000001</v>
      </c>
      <c r="Q651" s="1">
        <v>0.77600000000000002</v>
      </c>
      <c r="R651">
        <v>385</v>
      </c>
      <c r="S651">
        <v>36</v>
      </c>
      <c r="T651">
        <v>103</v>
      </c>
      <c r="U651">
        <v>66</v>
      </c>
      <c r="V651">
        <v>21</v>
      </c>
      <c r="W651">
        <v>13</v>
      </c>
      <c r="X651">
        <v>40</v>
      </c>
      <c r="Y651" s="5">
        <v>1.65</v>
      </c>
    </row>
    <row r="652" spans="1:25" x14ac:dyDescent="0.25">
      <c r="A652">
        <v>2019</v>
      </c>
      <c r="B652" t="s">
        <v>57</v>
      </c>
      <c r="C652">
        <v>13</v>
      </c>
      <c r="D652">
        <v>128</v>
      </c>
      <c r="E652" t="s">
        <v>98</v>
      </c>
      <c r="F652" t="s">
        <v>41</v>
      </c>
      <c r="G652">
        <f t="shared" si="10"/>
        <v>1</v>
      </c>
      <c r="H652">
        <v>9</v>
      </c>
      <c r="I652">
        <v>4</v>
      </c>
      <c r="J652">
        <v>0</v>
      </c>
      <c r="K652" s="6" t="s">
        <v>182</v>
      </c>
      <c r="L652" s="6" t="s">
        <v>76</v>
      </c>
      <c r="M652">
        <v>187</v>
      </c>
      <c r="N652" s="1">
        <v>0.45500000000000002</v>
      </c>
      <c r="O652">
        <v>51</v>
      </c>
      <c r="P652" s="1">
        <v>0.34499999999999997</v>
      </c>
      <c r="Q652" s="1">
        <v>0.84799999999999998</v>
      </c>
      <c r="R652">
        <v>537</v>
      </c>
      <c r="S652">
        <v>42</v>
      </c>
      <c r="T652">
        <v>172</v>
      </c>
      <c r="U652">
        <v>111</v>
      </c>
      <c r="V652">
        <v>43</v>
      </c>
      <c r="W652">
        <v>19</v>
      </c>
      <c r="X652">
        <v>59</v>
      </c>
      <c r="Y652" s="5">
        <v>1.88</v>
      </c>
    </row>
    <row r="653" spans="1:25" x14ac:dyDescent="0.25">
      <c r="A653">
        <v>2019</v>
      </c>
      <c r="B653" t="s">
        <v>57</v>
      </c>
      <c r="C653">
        <v>13</v>
      </c>
      <c r="D653">
        <v>128</v>
      </c>
      <c r="E653" t="s">
        <v>181</v>
      </c>
      <c r="F653" t="s">
        <v>49</v>
      </c>
      <c r="G653">
        <f t="shared" si="10"/>
        <v>0</v>
      </c>
      <c r="H653">
        <v>4</v>
      </c>
      <c r="I653">
        <v>9</v>
      </c>
      <c r="J653">
        <v>0</v>
      </c>
      <c r="K653" s="6" t="s">
        <v>112</v>
      </c>
      <c r="L653" s="6" t="s">
        <v>88</v>
      </c>
      <c r="M653">
        <v>182</v>
      </c>
      <c r="N653" s="1">
        <v>0.48499999999999999</v>
      </c>
      <c r="O653">
        <v>43</v>
      </c>
      <c r="P653" s="1">
        <v>0.35</v>
      </c>
      <c r="Q653" s="1">
        <v>0.8</v>
      </c>
      <c r="R653">
        <v>479</v>
      </c>
      <c r="S653">
        <v>43</v>
      </c>
      <c r="T653">
        <v>125</v>
      </c>
      <c r="U653">
        <v>96</v>
      </c>
      <c r="V653">
        <v>28</v>
      </c>
      <c r="W653">
        <v>17</v>
      </c>
      <c r="X653">
        <v>53</v>
      </c>
      <c r="Y653" s="5">
        <v>1.81</v>
      </c>
    </row>
    <row r="654" spans="1:25" x14ac:dyDescent="0.25">
      <c r="A654">
        <v>2019</v>
      </c>
      <c r="B654" t="s">
        <v>57</v>
      </c>
      <c r="C654">
        <v>13</v>
      </c>
      <c r="D654">
        <v>129</v>
      </c>
      <c r="E654" t="s">
        <v>33</v>
      </c>
      <c r="F654" t="s">
        <v>42</v>
      </c>
      <c r="G654">
        <f t="shared" si="10"/>
        <v>1</v>
      </c>
      <c r="H654">
        <v>10</v>
      </c>
      <c r="I654">
        <v>3</v>
      </c>
      <c r="J654">
        <v>0</v>
      </c>
      <c r="K654" s="6" t="s">
        <v>59</v>
      </c>
      <c r="L654" s="6" t="s">
        <v>74</v>
      </c>
      <c r="M654">
        <v>229</v>
      </c>
      <c r="N654" s="1">
        <v>0.53400000000000003</v>
      </c>
      <c r="O654">
        <v>67</v>
      </c>
      <c r="P654" s="1">
        <v>0.48199999999999998</v>
      </c>
      <c r="Q654" s="1">
        <v>0.69</v>
      </c>
      <c r="R654">
        <v>583</v>
      </c>
      <c r="S654">
        <v>47</v>
      </c>
      <c r="T654">
        <v>174</v>
      </c>
      <c r="U654">
        <v>129</v>
      </c>
      <c r="V654">
        <v>36</v>
      </c>
      <c r="W654">
        <v>32</v>
      </c>
      <c r="X654">
        <v>74</v>
      </c>
      <c r="Y654" s="5">
        <v>1.74</v>
      </c>
    </row>
    <row r="655" spans="1:25" x14ac:dyDescent="0.25">
      <c r="A655">
        <v>2019</v>
      </c>
      <c r="B655" t="s">
        <v>57</v>
      </c>
      <c r="C655">
        <v>13</v>
      </c>
      <c r="D655">
        <v>129</v>
      </c>
      <c r="E655" t="s">
        <v>18</v>
      </c>
      <c r="F655" t="s">
        <v>52</v>
      </c>
      <c r="G655">
        <f t="shared" si="10"/>
        <v>0</v>
      </c>
      <c r="H655">
        <v>3</v>
      </c>
      <c r="I655">
        <v>10</v>
      </c>
      <c r="J655">
        <v>0</v>
      </c>
      <c r="K655" s="6" t="s">
        <v>72</v>
      </c>
      <c r="L655" s="6" t="s">
        <v>85</v>
      </c>
      <c r="M655">
        <v>116</v>
      </c>
      <c r="N655" s="1">
        <v>0.46</v>
      </c>
      <c r="O655">
        <v>35</v>
      </c>
      <c r="P655" s="1">
        <v>0.38500000000000001</v>
      </c>
      <c r="Q655" s="1">
        <v>0.76900000000000002</v>
      </c>
      <c r="R655">
        <v>297</v>
      </c>
      <c r="S655">
        <v>24</v>
      </c>
      <c r="T655">
        <v>90</v>
      </c>
      <c r="U655">
        <v>62</v>
      </c>
      <c r="V655">
        <v>16</v>
      </c>
      <c r="W655">
        <v>9</v>
      </c>
      <c r="X655">
        <v>33</v>
      </c>
      <c r="Y655" s="5">
        <v>1.88</v>
      </c>
    </row>
    <row r="656" spans="1:25" x14ac:dyDescent="0.25">
      <c r="A656">
        <v>2019</v>
      </c>
      <c r="B656" t="s">
        <v>57</v>
      </c>
      <c r="C656">
        <v>13</v>
      </c>
      <c r="D656">
        <v>130</v>
      </c>
      <c r="E656" t="s">
        <v>94</v>
      </c>
      <c r="F656" t="s">
        <v>40</v>
      </c>
      <c r="G656">
        <f t="shared" si="10"/>
        <v>1</v>
      </c>
      <c r="H656">
        <v>10</v>
      </c>
      <c r="I656">
        <v>3</v>
      </c>
      <c r="J656">
        <v>0</v>
      </c>
      <c r="K656" s="6" t="s">
        <v>61</v>
      </c>
      <c r="L656" s="6" t="s">
        <v>77</v>
      </c>
      <c r="M656">
        <v>172</v>
      </c>
      <c r="N656" s="1">
        <v>0.44600000000000001</v>
      </c>
      <c r="O656">
        <v>50</v>
      </c>
      <c r="P656" s="1">
        <v>0.32700000000000001</v>
      </c>
      <c r="Q656" s="1">
        <v>0.78200000000000003</v>
      </c>
      <c r="R656">
        <v>509</v>
      </c>
      <c r="S656">
        <v>60</v>
      </c>
      <c r="T656">
        <v>168</v>
      </c>
      <c r="U656">
        <v>136</v>
      </c>
      <c r="V656">
        <v>43</v>
      </c>
      <c r="W656">
        <v>26</v>
      </c>
      <c r="X656">
        <v>80</v>
      </c>
      <c r="Y656" s="5">
        <v>1.7</v>
      </c>
    </row>
    <row r="657" spans="1:25" x14ac:dyDescent="0.25">
      <c r="A657">
        <v>2019</v>
      </c>
      <c r="B657" t="s">
        <v>57</v>
      </c>
      <c r="C657">
        <v>13</v>
      </c>
      <c r="D657">
        <v>130</v>
      </c>
      <c r="E657" t="s">
        <v>15</v>
      </c>
      <c r="F657" t="s">
        <v>48</v>
      </c>
      <c r="G657">
        <f t="shared" si="10"/>
        <v>0</v>
      </c>
      <c r="H657">
        <v>3</v>
      </c>
      <c r="I657">
        <v>10</v>
      </c>
      <c r="J657">
        <v>0</v>
      </c>
      <c r="K657" s="6" t="s">
        <v>106</v>
      </c>
      <c r="L657" s="6" t="s">
        <v>83</v>
      </c>
      <c r="M657">
        <v>199</v>
      </c>
      <c r="N657" s="1">
        <v>0.44400000000000001</v>
      </c>
      <c r="O657">
        <v>36</v>
      </c>
      <c r="P657" s="1">
        <v>0.32400000000000001</v>
      </c>
      <c r="Q657" s="1">
        <v>0.76600000000000001</v>
      </c>
      <c r="R657">
        <v>542</v>
      </c>
      <c r="S657">
        <v>53</v>
      </c>
      <c r="T657">
        <v>138</v>
      </c>
      <c r="U657">
        <v>107</v>
      </c>
      <c r="V657">
        <v>27</v>
      </c>
      <c r="W657">
        <v>16</v>
      </c>
      <c r="X657">
        <v>71</v>
      </c>
      <c r="Y657" s="5">
        <v>1.51</v>
      </c>
    </row>
    <row r="658" spans="1:25" x14ac:dyDescent="0.25">
      <c r="A658">
        <v>2019</v>
      </c>
      <c r="B658" t="s">
        <v>57</v>
      </c>
      <c r="C658">
        <v>14</v>
      </c>
      <c r="D658">
        <v>131</v>
      </c>
      <c r="E658" t="s">
        <v>16</v>
      </c>
      <c r="F658" t="s">
        <v>51</v>
      </c>
      <c r="G658">
        <f t="shared" si="10"/>
        <v>1</v>
      </c>
      <c r="H658">
        <v>10</v>
      </c>
      <c r="I658">
        <v>3</v>
      </c>
      <c r="J658">
        <v>0</v>
      </c>
      <c r="K658" s="6" t="s">
        <v>112</v>
      </c>
      <c r="L658" s="6" t="s">
        <v>88</v>
      </c>
      <c r="M658">
        <v>156</v>
      </c>
      <c r="N658" s="1">
        <v>0.50600000000000001</v>
      </c>
      <c r="O658">
        <v>53</v>
      </c>
      <c r="P658" s="1">
        <v>0.46100000000000002</v>
      </c>
      <c r="Q658" s="1">
        <v>0.80600000000000005</v>
      </c>
      <c r="R658">
        <v>423</v>
      </c>
      <c r="S658">
        <v>39</v>
      </c>
      <c r="T658">
        <v>135</v>
      </c>
      <c r="U658">
        <v>118</v>
      </c>
      <c r="V658">
        <v>27</v>
      </c>
      <c r="W658">
        <v>8</v>
      </c>
      <c r="X658">
        <v>54</v>
      </c>
      <c r="Y658" s="5">
        <v>2.19</v>
      </c>
    </row>
    <row r="659" spans="1:25" x14ac:dyDescent="0.25">
      <c r="A659">
        <v>2019</v>
      </c>
      <c r="B659" t="s">
        <v>57</v>
      </c>
      <c r="C659">
        <v>14</v>
      </c>
      <c r="D659">
        <v>131</v>
      </c>
      <c r="E659" t="s">
        <v>98</v>
      </c>
      <c r="F659" t="s">
        <v>41</v>
      </c>
      <c r="G659">
        <f t="shared" si="10"/>
        <v>0</v>
      </c>
      <c r="H659">
        <v>3</v>
      </c>
      <c r="I659">
        <v>10</v>
      </c>
      <c r="J659">
        <v>0</v>
      </c>
      <c r="K659" s="6" t="s">
        <v>60</v>
      </c>
      <c r="L659" s="6" t="s">
        <v>75</v>
      </c>
      <c r="M659">
        <v>133</v>
      </c>
      <c r="N659" s="1">
        <v>0.44900000000000001</v>
      </c>
      <c r="O659">
        <v>36</v>
      </c>
      <c r="P659" s="1">
        <v>0.34599999999999997</v>
      </c>
      <c r="Q659" s="1">
        <v>0.80500000000000005</v>
      </c>
      <c r="R659">
        <v>364</v>
      </c>
      <c r="S659">
        <v>31</v>
      </c>
      <c r="T659">
        <v>119</v>
      </c>
      <c r="U659">
        <v>93</v>
      </c>
      <c r="V659">
        <v>15</v>
      </c>
      <c r="W659">
        <v>12</v>
      </c>
      <c r="X659">
        <v>42</v>
      </c>
      <c r="Y659" s="5">
        <v>2.21</v>
      </c>
    </row>
    <row r="660" spans="1:25" x14ac:dyDescent="0.25">
      <c r="A660">
        <v>2019</v>
      </c>
      <c r="B660" t="s">
        <v>57</v>
      </c>
      <c r="C660">
        <v>14</v>
      </c>
      <c r="D660">
        <v>132</v>
      </c>
      <c r="E660" t="s">
        <v>28</v>
      </c>
      <c r="F660" t="s">
        <v>46</v>
      </c>
      <c r="G660">
        <f t="shared" si="10"/>
        <v>0</v>
      </c>
      <c r="H660">
        <v>5</v>
      </c>
      <c r="I660">
        <v>7</v>
      </c>
      <c r="J660">
        <v>1</v>
      </c>
      <c r="K660" s="6" t="s">
        <v>193</v>
      </c>
      <c r="L660" s="6" t="s">
        <v>117</v>
      </c>
      <c r="M660">
        <v>188</v>
      </c>
      <c r="N660" s="1">
        <v>0.45100000000000001</v>
      </c>
      <c r="O660">
        <v>59</v>
      </c>
      <c r="P660" s="1">
        <v>0.39300000000000002</v>
      </c>
      <c r="Q660" s="1">
        <v>0.74099999999999999</v>
      </c>
      <c r="R660">
        <v>544</v>
      </c>
      <c r="S660">
        <v>62</v>
      </c>
      <c r="T660">
        <v>148</v>
      </c>
      <c r="U660">
        <v>127</v>
      </c>
      <c r="V660">
        <v>31</v>
      </c>
      <c r="W660">
        <v>22</v>
      </c>
      <c r="X660">
        <v>55</v>
      </c>
      <c r="Y660" s="5">
        <v>2.31</v>
      </c>
    </row>
    <row r="661" spans="1:25" x14ac:dyDescent="0.25">
      <c r="A661">
        <v>2019</v>
      </c>
      <c r="B661" t="s">
        <v>57</v>
      </c>
      <c r="C661">
        <v>14</v>
      </c>
      <c r="D661">
        <v>132</v>
      </c>
      <c r="E661" t="s">
        <v>159</v>
      </c>
      <c r="F661" t="s">
        <v>116</v>
      </c>
      <c r="G661">
        <f t="shared" si="10"/>
        <v>1</v>
      </c>
      <c r="H661">
        <v>7</v>
      </c>
      <c r="I661">
        <v>5</v>
      </c>
      <c r="J661">
        <v>1</v>
      </c>
      <c r="K661" s="6" t="s">
        <v>64</v>
      </c>
      <c r="L661" s="6" t="s">
        <v>80</v>
      </c>
      <c r="M661">
        <v>199</v>
      </c>
      <c r="N661" s="1">
        <v>0.52600000000000002</v>
      </c>
      <c r="O661">
        <v>52</v>
      </c>
      <c r="P661" s="1">
        <v>0.441</v>
      </c>
      <c r="Q661" s="1">
        <v>0.76400000000000001</v>
      </c>
      <c r="R661">
        <v>505</v>
      </c>
      <c r="S661">
        <v>62</v>
      </c>
      <c r="T661">
        <v>168</v>
      </c>
      <c r="U661">
        <v>78</v>
      </c>
      <c r="V661">
        <v>24</v>
      </c>
      <c r="W661">
        <v>34</v>
      </c>
      <c r="X661">
        <v>46</v>
      </c>
      <c r="Y661" s="5">
        <v>1.7</v>
      </c>
    </row>
    <row r="662" spans="1:25" x14ac:dyDescent="0.25">
      <c r="A662">
        <v>2019</v>
      </c>
      <c r="B662" t="s">
        <v>57</v>
      </c>
      <c r="C662">
        <v>14</v>
      </c>
      <c r="D662">
        <v>133</v>
      </c>
      <c r="E662" t="s">
        <v>22</v>
      </c>
      <c r="F662" t="s">
        <v>44</v>
      </c>
      <c r="G662">
        <f t="shared" si="10"/>
        <v>0</v>
      </c>
      <c r="H662">
        <v>4</v>
      </c>
      <c r="I662">
        <v>8</v>
      </c>
      <c r="J662">
        <v>1</v>
      </c>
      <c r="K662" s="6" t="s">
        <v>67</v>
      </c>
      <c r="L662" s="6" t="s">
        <v>82</v>
      </c>
      <c r="M662">
        <v>116</v>
      </c>
      <c r="N662" s="1">
        <v>0.41299999999999998</v>
      </c>
      <c r="O662">
        <v>35</v>
      </c>
      <c r="P662" s="1">
        <v>0.313</v>
      </c>
      <c r="Q662" s="1">
        <v>0.83099999999999996</v>
      </c>
      <c r="R662">
        <v>321</v>
      </c>
      <c r="S662">
        <v>29</v>
      </c>
      <c r="T662">
        <v>85</v>
      </c>
      <c r="U662">
        <v>87</v>
      </c>
      <c r="V662">
        <v>23</v>
      </c>
      <c r="W662">
        <v>16</v>
      </c>
      <c r="X662">
        <v>50</v>
      </c>
      <c r="Y662" s="5">
        <v>1.74</v>
      </c>
    </row>
    <row r="663" spans="1:25" x14ac:dyDescent="0.25">
      <c r="A663">
        <v>2019</v>
      </c>
      <c r="B663" t="s">
        <v>57</v>
      </c>
      <c r="C663">
        <v>14</v>
      </c>
      <c r="D663">
        <v>133</v>
      </c>
      <c r="E663" t="s">
        <v>19</v>
      </c>
      <c r="F663" t="s">
        <v>56</v>
      </c>
      <c r="G663">
        <f t="shared" si="10"/>
        <v>1</v>
      </c>
      <c r="H663">
        <v>8</v>
      </c>
      <c r="I663">
        <v>4</v>
      </c>
      <c r="J663">
        <v>1</v>
      </c>
      <c r="K663" s="6" t="s">
        <v>66</v>
      </c>
      <c r="L663" s="6" t="s">
        <v>81</v>
      </c>
      <c r="M663">
        <v>150</v>
      </c>
      <c r="N663" s="1">
        <v>0.48699999999999999</v>
      </c>
      <c r="O663">
        <v>42</v>
      </c>
      <c r="P663" s="1">
        <v>0.40400000000000003</v>
      </c>
      <c r="Q663" s="1">
        <v>0.746</v>
      </c>
      <c r="R663">
        <v>392</v>
      </c>
      <c r="S663">
        <v>29</v>
      </c>
      <c r="T663">
        <v>119</v>
      </c>
      <c r="U663">
        <v>101</v>
      </c>
      <c r="V663">
        <v>14</v>
      </c>
      <c r="W663">
        <v>14</v>
      </c>
      <c r="X663">
        <v>58</v>
      </c>
      <c r="Y663" s="5">
        <v>1.7410000000000001</v>
      </c>
    </row>
    <row r="664" spans="1:25" x14ac:dyDescent="0.25">
      <c r="A664">
        <v>2019</v>
      </c>
      <c r="B664" t="s">
        <v>57</v>
      </c>
      <c r="C664">
        <v>14</v>
      </c>
      <c r="D664">
        <v>134</v>
      </c>
      <c r="E664" t="s">
        <v>26</v>
      </c>
      <c r="F664" t="s">
        <v>118</v>
      </c>
      <c r="G664">
        <f t="shared" si="10"/>
        <v>1</v>
      </c>
      <c r="H664">
        <v>11</v>
      </c>
      <c r="I664">
        <v>2</v>
      </c>
      <c r="J664">
        <v>0</v>
      </c>
      <c r="K664" s="6" t="s">
        <v>68</v>
      </c>
      <c r="L664" s="6" t="s">
        <v>84</v>
      </c>
      <c r="M664">
        <v>155</v>
      </c>
      <c r="N664" s="1">
        <v>0.45710000000000001</v>
      </c>
      <c r="O664">
        <v>50</v>
      </c>
      <c r="P664" s="1">
        <v>0.38500000000000001</v>
      </c>
      <c r="Q664" s="1">
        <v>0.78900000000000003</v>
      </c>
      <c r="R664">
        <v>431</v>
      </c>
      <c r="S664">
        <v>31</v>
      </c>
      <c r="T664">
        <v>157</v>
      </c>
      <c r="U664">
        <v>164</v>
      </c>
      <c r="V664">
        <v>34</v>
      </c>
      <c r="W664">
        <v>19</v>
      </c>
      <c r="X664">
        <v>38</v>
      </c>
      <c r="Y664" s="5">
        <v>4.32</v>
      </c>
    </row>
    <row r="665" spans="1:25" x14ac:dyDescent="0.25">
      <c r="A665">
        <v>2019</v>
      </c>
      <c r="B665" t="s">
        <v>57</v>
      </c>
      <c r="C665">
        <v>14</v>
      </c>
      <c r="D665">
        <v>134</v>
      </c>
      <c r="E665" t="s">
        <v>25</v>
      </c>
      <c r="F665" t="s">
        <v>53</v>
      </c>
      <c r="G665">
        <f t="shared" si="10"/>
        <v>0</v>
      </c>
      <c r="H665">
        <v>2</v>
      </c>
      <c r="I665">
        <v>11</v>
      </c>
      <c r="J665">
        <v>0</v>
      </c>
      <c r="K665" s="6" t="s">
        <v>65</v>
      </c>
      <c r="L665" s="6" t="s">
        <v>119</v>
      </c>
      <c r="M665">
        <v>117</v>
      </c>
      <c r="N665" s="1">
        <v>0.45700000000000002</v>
      </c>
      <c r="O665">
        <v>30</v>
      </c>
      <c r="P665" s="1">
        <v>0.41099999999999998</v>
      </c>
      <c r="Q665" s="1">
        <v>0.67400000000000004</v>
      </c>
      <c r="R665">
        <v>293</v>
      </c>
      <c r="S665">
        <v>38</v>
      </c>
      <c r="T665">
        <v>137</v>
      </c>
      <c r="U665">
        <v>91</v>
      </c>
      <c r="V665">
        <v>15</v>
      </c>
      <c r="W665">
        <v>13</v>
      </c>
      <c r="X665">
        <v>45</v>
      </c>
      <c r="Y665" s="5">
        <v>2.02</v>
      </c>
    </row>
    <row r="666" spans="1:25" x14ac:dyDescent="0.25">
      <c r="A666">
        <v>2019</v>
      </c>
      <c r="B666" t="s">
        <v>57</v>
      </c>
      <c r="C666">
        <v>14</v>
      </c>
      <c r="D666">
        <v>135</v>
      </c>
      <c r="E666" t="s">
        <v>190</v>
      </c>
      <c r="F666" t="s">
        <v>103</v>
      </c>
      <c r="G666">
        <f t="shared" si="10"/>
        <v>1</v>
      </c>
      <c r="H666">
        <v>8</v>
      </c>
      <c r="I666">
        <v>5</v>
      </c>
      <c r="J666">
        <v>0</v>
      </c>
      <c r="K666" s="6" t="s">
        <v>69</v>
      </c>
      <c r="L666" s="6" t="s">
        <v>86</v>
      </c>
      <c r="M666">
        <v>147</v>
      </c>
      <c r="N666" s="1">
        <v>0.44500000000000001</v>
      </c>
      <c r="O666">
        <v>44</v>
      </c>
      <c r="P666" s="1">
        <v>0.33600000000000002</v>
      </c>
      <c r="Q666" s="1">
        <v>0.69699999999999995</v>
      </c>
      <c r="R666">
        <v>414</v>
      </c>
      <c r="S666">
        <v>32</v>
      </c>
      <c r="T666">
        <v>102</v>
      </c>
      <c r="U666">
        <v>85</v>
      </c>
      <c r="V666">
        <v>30</v>
      </c>
      <c r="W666">
        <v>15</v>
      </c>
      <c r="X666">
        <v>45</v>
      </c>
      <c r="Y666" s="5">
        <v>1.89</v>
      </c>
    </row>
    <row r="667" spans="1:25" x14ac:dyDescent="0.25">
      <c r="A667">
        <v>2019</v>
      </c>
      <c r="B667" t="s">
        <v>57</v>
      </c>
      <c r="C667">
        <v>14</v>
      </c>
      <c r="D667">
        <v>135</v>
      </c>
      <c r="E667" t="s">
        <v>24</v>
      </c>
      <c r="F667" t="s">
        <v>55</v>
      </c>
      <c r="G667">
        <f t="shared" si="10"/>
        <v>0</v>
      </c>
      <c r="H667">
        <v>5</v>
      </c>
      <c r="I667">
        <v>8</v>
      </c>
      <c r="J667">
        <v>0</v>
      </c>
      <c r="K667" s="6" t="s">
        <v>191</v>
      </c>
      <c r="L667" s="6" t="s">
        <v>113</v>
      </c>
      <c r="M667">
        <v>111</v>
      </c>
      <c r="N667" s="1">
        <v>0.46600000000000003</v>
      </c>
      <c r="O667">
        <v>35</v>
      </c>
      <c r="P667" s="1">
        <v>0.35399999999999998</v>
      </c>
      <c r="Q667" s="1">
        <v>0.70199999999999996</v>
      </c>
      <c r="R667">
        <v>290</v>
      </c>
      <c r="S667">
        <v>23</v>
      </c>
      <c r="T667">
        <v>103</v>
      </c>
      <c r="U667">
        <v>45</v>
      </c>
      <c r="V667">
        <v>11</v>
      </c>
      <c r="W667">
        <v>12</v>
      </c>
      <c r="X667">
        <v>30</v>
      </c>
      <c r="Y667" s="5">
        <v>1.5</v>
      </c>
    </row>
    <row r="668" spans="1:25" x14ac:dyDescent="0.25">
      <c r="A668">
        <v>2019</v>
      </c>
      <c r="B668" t="s">
        <v>57</v>
      </c>
      <c r="C668">
        <v>14</v>
      </c>
      <c r="D668">
        <v>136</v>
      </c>
      <c r="E668" t="s">
        <v>23</v>
      </c>
      <c r="F668" t="s">
        <v>120</v>
      </c>
      <c r="G668">
        <f t="shared" si="10"/>
        <v>1</v>
      </c>
      <c r="H668">
        <v>12</v>
      </c>
      <c r="I668">
        <v>1</v>
      </c>
      <c r="J668">
        <v>0</v>
      </c>
      <c r="K668" s="6" t="s">
        <v>62</v>
      </c>
      <c r="L668" s="6" t="s">
        <v>78</v>
      </c>
      <c r="M668">
        <v>171</v>
      </c>
      <c r="N668" s="1">
        <v>0.44600000000000001</v>
      </c>
      <c r="O668">
        <v>45</v>
      </c>
      <c r="P668" s="1">
        <v>0.33100000000000002</v>
      </c>
      <c r="Q668" s="1">
        <v>0.86</v>
      </c>
      <c r="R668">
        <v>485</v>
      </c>
      <c r="S668">
        <v>44</v>
      </c>
      <c r="T668">
        <v>140</v>
      </c>
      <c r="U668">
        <v>86</v>
      </c>
      <c r="V668">
        <v>42</v>
      </c>
      <c r="W668">
        <v>29</v>
      </c>
      <c r="X668">
        <v>34</v>
      </c>
      <c r="Y668" s="5">
        <v>2.5299999999999998</v>
      </c>
    </row>
    <row r="669" spans="1:25" x14ac:dyDescent="0.25">
      <c r="A669">
        <v>2019</v>
      </c>
      <c r="B669" t="s">
        <v>57</v>
      </c>
      <c r="C669">
        <v>14</v>
      </c>
      <c r="D669">
        <v>136</v>
      </c>
      <c r="E669" t="s">
        <v>20</v>
      </c>
      <c r="F669" t="s">
        <v>47</v>
      </c>
      <c r="G669">
        <f t="shared" si="10"/>
        <v>0</v>
      </c>
      <c r="H669">
        <v>1</v>
      </c>
      <c r="I669">
        <v>12</v>
      </c>
      <c r="J669">
        <v>0</v>
      </c>
      <c r="K669" s="6" t="s">
        <v>71</v>
      </c>
      <c r="L669" s="6" t="s">
        <v>121</v>
      </c>
      <c r="M669">
        <v>128</v>
      </c>
      <c r="N669" s="1">
        <v>0.437</v>
      </c>
      <c r="O669">
        <v>38</v>
      </c>
      <c r="P669" s="1">
        <v>0.36499999999999999</v>
      </c>
      <c r="Q669" s="1">
        <v>0.79700000000000004</v>
      </c>
      <c r="R669">
        <v>345</v>
      </c>
      <c r="S669">
        <v>17</v>
      </c>
      <c r="T669">
        <v>95</v>
      </c>
      <c r="U669">
        <v>68</v>
      </c>
      <c r="V669">
        <v>34</v>
      </c>
      <c r="W669">
        <v>13</v>
      </c>
      <c r="X669">
        <v>39</v>
      </c>
      <c r="Y669" s="5">
        <v>1.74</v>
      </c>
    </row>
    <row r="670" spans="1:25" x14ac:dyDescent="0.25">
      <c r="A670">
        <v>2019</v>
      </c>
      <c r="B670" t="s">
        <v>57</v>
      </c>
      <c r="C670">
        <v>14</v>
      </c>
      <c r="D670">
        <v>137</v>
      </c>
      <c r="E670" t="s">
        <v>181</v>
      </c>
      <c r="F670" t="s">
        <v>49</v>
      </c>
      <c r="G670">
        <f t="shared" si="10"/>
        <v>1</v>
      </c>
      <c r="H670">
        <v>13</v>
      </c>
      <c r="I670">
        <v>0</v>
      </c>
      <c r="J670">
        <v>0</v>
      </c>
      <c r="K670" s="6" t="s">
        <v>111</v>
      </c>
      <c r="L670" s="6" t="s">
        <v>89</v>
      </c>
      <c r="M670">
        <v>177</v>
      </c>
      <c r="N670" s="1">
        <v>0.48599999999999999</v>
      </c>
      <c r="O670">
        <v>43</v>
      </c>
      <c r="P670" s="1">
        <v>0.39800000000000002</v>
      </c>
      <c r="Q670" s="1">
        <v>0.82799999999999996</v>
      </c>
      <c r="R670">
        <v>474</v>
      </c>
      <c r="S670">
        <v>27</v>
      </c>
      <c r="T670">
        <v>97</v>
      </c>
      <c r="U670">
        <v>95</v>
      </c>
      <c r="V670">
        <v>23</v>
      </c>
      <c r="W670">
        <v>9</v>
      </c>
      <c r="X670">
        <v>42</v>
      </c>
      <c r="Y670" s="5">
        <v>2.2599999999999998</v>
      </c>
    </row>
    <row r="671" spans="1:25" x14ac:dyDescent="0.25">
      <c r="A671">
        <v>2019</v>
      </c>
      <c r="B671" t="s">
        <v>57</v>
      </c>
      <c r="C671">
        <v>14</v>
      </c>
      <c r="D671">
        <v>137</v>
      </c>
      <c r="E671" t="s">
        <v>97</v>
      </c>
      <c r="F671" t="s">
        <v>54</v>
      </c>
      <c r="G671">
        <f t="shared" si="10"/>
        <v>0</v>
      </c>
      <c r="H671">
        <v>0</v>
      </c>
      <c r="I671">
        <v>13</v>
      </c>
      <c r="J671">
        <v>0</v>
      </c>
      <c r="K671" s="6" t="s">
        <v>182</v>
      </c>
      <c r="L671" s="6" t="s">
        <v>76</v>
      </c>
      <c r="M671">
        <v>118</v>
      </c>
      <c r="N671" s="1">
        <v>0.45200000000000001</v>
      </c>
      <c r="O671">
        <v>36</v>
      </c>
      <c r="P671" s="1">
        <v>0.39100000000000001</v>
      </c>
      <c r="Q671" s="1">
        <v>0.71</v>
      </c>
      <c r="R671">
        <v>316</v>
      </c>
      <c r="S671">
        <v>17</v>
      </c>
      <c r="T671">
        <v>85</v>
      </c>
      <c r="U671">
        <v>72</v>
      </c>
      <c r="V671">
        <v>16</v>
      </c>
      <c r="W671">
        <v>7</v>
      </c>
      <c r="X671">
        <v>49</v>
      </c>
      <c r="Y671" s="5">
        <v>1.47</v>
      </c>
    </row>
    <row r="672" spans="1:25" x14ac:dyDescent="0.25">
      <c r="A672">
        <v>2019</v>
      </c>
      <c r="B672" t="s">
        <v>57</v>
      </c>
      <c r="C672">
        <v>14</v>
      </c>
      <c r="D672">
        <v>138</v>
      </c>
      <c r="E672" t="s">
        <v>21</v>
      </c>
      <c r="F672" t="s">
        <v>50</v>
      </c>
      <c r="G672">
        <f t="shared" si="10"/>
        <v>1</v>
      </c>
      <c r="H672">
        <v>11</v>
      </c>
      <c r="I672">
        <v>2</v>
      </c>
      <c r="J672">
        <v>0</v>
      </c>
      <c r="K672" s="6" t="s">
        <v>59</v>
      </c>
      <c r="L672" s="6" t="s">
        <v>74</v>
      </c>
      <c r="M672">
        <v>149</v>
      </c>
      <c r="N672" s="1">
        <v>0.52300000000000002</v>
      </c>
      <c r="O672">
        <v>40</v>
      </c>
      <c r="P672" s="1">
        <v>0.377</v>
      </c>
      <c r="Q672" s="1">
        <v>0.76</v>
      </c>
      <c r="R672">
        <v>395</v>
      </c>
      <c r="S672">
        <v>42</v>
      </c>
      <c r="T672">
        <v>103</v>
      </c>
      <c r="U672">
        <v>83</v>
      </c>
      <c r="V672">
        <v>28</v>
      </c>
      <c r="W672">
        <v>13</v>
      </c>
      <c r="X672">
        <v>51</v>
      </c>
      <c r="Y672" s="5">
        <v>1.63</v>
      </c>
    </row>
    <row r="673" spans="1:25" x14ac:dyDescent="0.25">
      <c r="A673">
        <v>2019</v>
      </c>
      <c r="B673" t="s">
        <v>57</v>
      </c>
      <c r="C673">
        <v>14</v>
      </c>
      <c r="D673">
        <v>138</v>
      </c>
      <c r="E673" t="s">
        <v>18</v>
      </c>
      <c r="F673" t="s">
        <v>52</v>
      </c>
      <c r="G673">
        <f t="shared" si="10"/>
        <v>0</v>
      </c>
      <c r="H673">
        <v>2</v>
      </c>
      <c r="I673">
        <v>11</v>
      </c>
      <c r="J673">
        <v>0</v>
      </c>
      <c r="K673" s="6" t="s">
        <v>70</v>
      </c>
      <c r="L673" s="6" t="s">
        <v>87</v>
      </c>
      <c r="M673">
        <v>107</v>
      </c>
      <c r="N673" s="1">
        <v>0.49099999999999999</v>
      </c>
      <c r="O673">
        <v>20</v>
      </c>
      <c r="P673" s="1">
        <v>0.34499999999999997</v>
      </c>
      <c r="Q673" s="1">
        <v>0.73799999999999999</v>
      </c>
      <c r="R673">
        <v>279</v>
      </c>
      <c r="S673">
        <v>28</v>
      </c>
      <c r="T673">
        <v>98</v>
      </c>
      <c r="U673">
        <v>49</v>
      </c>
      <c r="V673">
        <v>16</v>
      </c>
      <c r="W673">
        <v>11</v>
      </c>
      <c r="X673">
        <v>26</v>
      </c>
      <c r="Y673" s="5">
        <v>1.88</v>
      </c>
    </row>
    <row r="674" spans="1:25" x14ac:dyDescent="0.25">
      <c r="A674">
        <v>2019</v>
      </c>
      <c r="B674" t="s">
        <v>57</v>
      </c>
      <c r="C674">
        <v>14</v>
      </c>
      <c r="D674">
        <v>139</v>
      </c>
      <c r="E674" t="s">
        <v>15</v>
      </c>
      <c r="F674" t="s">
        <v>48</v>
      </c>
      <c r="G674">
        <f t="shared" si="10"/>
        <v>1</v>
      </c>
      <c r="H674">
        <v>8</v>
      </c>
      <c r="I674">
        <v>5</v>
      </c>
      <c r="J674">
        <v>0</v>
      </c>
      <c r="K674" s="6" t="s">
        <v>72</v>
      </c>
      <c r="L674" s="6" t="s">
        <v>85</v>
      </c>
      <c r="M674">
        <v>199</v>
      </c>
      <c r="N674" s="1">
        <v>0.48699999999999999</v>
      </c>
      <c r="O674">
        <v>51</v>
      </c>
      <c r="P674" s="1">
        <v>0.40799999999999997</v>
      </c>
      <c r="Q674" s="1">
        <v>0.80800000000000005</v>
      </c>
      <c r="R674">
        <v>533</v>
      </c>
      <c r="S674">
        <v>51</v>
      </c>
      <c r="T674">
        <v>114</v>
      </c>
      <c r="U674">
        <v>96</v>
      </c>
      <c r="V674">
        <v>35</v>
      </c>
      <c r="W674">
        <v>23</v>
      </c>
      <c r="X674">
        <v>61</v>
      </c>
      <c r="Y674" s="5">
        <v>1.57</v>
      </c>
    </row>
    <row r="675" spans="1:25" x14ac:dyDescent="0.25">
      <c r="A675">
        <v>2019</v>
      </c>
      <c r="B675" t="s">
        <v>57</v>
      </c>
      <c r="C675">
        <v>14</v>
      </c>
      <c r="D675">
        <v>139</v>
      </c>
      <c r="E675" t="s">
        <v>33</v>
      </c>
      <c r="F675" t="s">
        <v>42</v>
      </c>
      <c r="G675">
        <f t="shared" si="10"/>
        <v>0</v>
      </c>
      <c r="H675">
        <v>5</v>
      </c>
      <c r="I675">
        <v>8</v>
      </c>
      <c r="J675">
        <v>0</v>
      </c>
      <c r="K675" s="6" t="s">
        <v>61</v>
      </c>
      <c r="L675" s="6" t="s">
        <v>77</v>
      </c>
      <c r="M675">
        <v>141</v>
      </c>
      <c r="N675" s="1">
        <v>0.45600000000000002</v>
      </c>
      <c r="O675">
        <v>48</v>
      </c>
      <c r="P675" s="1">
        <v>0.38400000000000001</v>
      </c>
      <c r="Q675" s="1">
        <v>0.75900000000000001</v>
      </c>
      <c r="R675">
        <v>393</v>
      </c>
      <c r="S675">
        <v>31</v>
      </c>
      <c r="T675">
        <v>144</v>
      </c>
      <c r="U675">
        <v>102</v>
      </c>
      <c r="V675">
        <v>29</v>
      </c>
      <c r="W675">
        <v>35</v>
      </c>
      <c r="X675">
        <v>49</v>
      </c>
      <c r="Y675" s="5">
        <v>2.08</v>
      </c>
    </row>
    <row r="676" spans="1:25" x14ac:dyDescent="0.25">
      <c r="A676">
        <v>2019</v>
      </c>
      <c r="B676" t="s">
        <v>57</v>
      </c>
      <c r="C676">
        <v>14</v>
      </c>
      <c r="D676">
        <v>140</v>
      </c>
      <c r="E676" t="s">
        <v>17</v>
      </c>
      <c r="F676" t="s">
        <v>43</v>
      </c>
      <c r="G676">
        <f t="shared" si="10"/>
        <v>1</v>
      </c>
      <c r="H676">
        <v>7</v>
      </c>
      <c r="I676">
        <v>6</v>
      </c>
      <c r="J676">
        <v>0</v>
      </c>
      <c r="K676" s="6" t="s">
        <v>106</v>
      </c>
      <c r="L676" s="6" t="s">
        <v>83</v>
      </c>
      <c r="M676">
        <v>169</v>
      </c>
      <c r="N676" s="1">
        <v>0.48599999999999999</v>
      </c>
      <c r="O676">
        <v>52</v>
      </c>
      <c r="P676" s="1">
        <v>0.39400000000000002</v>
      </c>
      <c r="Q676" s="1">
        <v>0.77400000000000002</v>
      </c>
      <c r="R676">
        <v>479</v>
      </c>
      <c r="S676">
        <v>27</v>
      </c>
      <c r="T676">
        <v>139</v>
      </c>
      <c r="U676">
        <v>99</v>
      </c>
      <c r="V676">
        <v>36</v>
      </c>
      <c r="W676">
        <v>16</v>
      </c>
      <c r="X676">
        <v>67</v>
      </c>
      <c r="Y676" s="5">
        <v>1.48</v>
      </c>
    </row>
    <row r="677" spans="1:25" x14ac:dyDescent="0.25">
      <c r="A677">
        <v>2019</v>
      </c>
      <c r="B677" t="s">
        <v>57</v>
      </c>
      <c r="C677">
        <v>14</v>
      </c>
      <c r="D677">
        <v>140</v>
      </c>
      <c r="E677" t="s">
        <v>94</v>
      </c>
      <c r="F677" t="s">
        <v>40</v>
      </c>
      <c r="G677">
        <f t="shared" si="10"/>
        <v>0</v>
      </c>
      <c r="H677">
        <v>6</v>
      </c>
      <c r="I677">
        <v>7</v>
      </c>
      <c r="J677">
        <v>0</v>
      </c>
      <c r="K677" s="6" t="s">
        <v>63</v>
      </c>
      <c r="L677" s="6" t="s">
        <v>79</v>
      </c>
      <c r="M677">
        <v>131</v>
      </c>
      <c r="N677" s="1">
        <v>0.49399999999999999</v>
      </c>
      <c r="O677">
        <v>33</v>
      </c>
      <c r="P677" s="1">
        <v>0.33300000000000002</v>
      </c>
      <c r="Q677" s="1">
        <v>0.82599999999999996</v>
      </c>
      <c r="R677">
        <v>385</v>
      </c>
      <c r="S677">
        <v>36</v>
      </c>
      <c r="T677">
        <v>113</v>
      </c>
      <c r="U677">
        <v>83</v>
      </c>
      <c r="V677">
        <v>23</v>
      </c>
      <c r="W677">
        <v>17</v>
      </c>
      <c r="X677">
        <v>44</v>
      </c>
      <c r="Y677" s="5">
        <v>1.89</v>
      </c>
    </row>
    <row r="678" spans="1:25" x14ac:dyDescent="0.25">
      <c r="A678">
        <v>2019</v>
      </c>
      <c r="B678" t="s">
        <v>57</v>
      </c>
      <c r="C678">
        <v>15</v>
      </c>
      <c r="D678">
        <v>141</v>
      </c>
      <c r="E678" t="s">
        <v>16</v>
      </c>
      <c r="F678" t="s">
        <v>51</v>
      </c>
      <c r="G678">
        <f t="shared" si="10"/>
        <v>1</v>
      </c>
      <c r="H678">
        <v>12</v>
      </c>
      <c r="I678">
        <v>1</v>
      </c>
      <c r="J678">
        <v>0</v>
      </c>
      <c r="K678" s="6" t="s">
        <v>111</v>
      </c>
      <c r="L678" s="6" t="s">
        <v>89</v>
      </c>
      <c r="M678">
        <v>169</v>
      </c>
      <c r="N678" s="1">
        <v>0.51200000000000001</v>
      </c>
      <c r="O678">
        <v>49</v>
      </c>
      <c r="P678" s="1">
        <v>0.377</v>
      </c>
      <c r="Q678" s="1">
        <v>0.77100000000000002</v>
      </c>
      <c r="R678">
        <v>451</v>
      </c>
      <c r="S678">
        <v>45</v>
      </c>
      <c r="T678">
        <v>131</v>
      </c>
      <c r="U678">
        <v>137</v>
      </c>
      <c r="V678">
        <v>38</v>
      </c>
      <c r="W678">
        <v>25</v>
      </c>
      <c r="X678">
        <v>46</v>
      </c>
      <c r="Y678" s="5">
        <v>2.98</v>
      </c>
    </row>
    <row r="679" spans="1:25" x14ac:dyDescent="0.25">
      <c r="A679">
        <v>2019</v>
      </c>
      <c r="B679" t="s">
        <v>57</v>
      </c>
      <c r="C679">
        <v>15</v>
      </c>
      <c r="D679">
        <v>141</v>
      </c>
      <c r="E679" t="s">
        <v>97</v>
      </c>
      <c r="F679" t="s">
        <v>54</v>
      </c>
      <c r="G679">
        <f t="shared" si="10"/>
        <v>0</v>
      </c>
      <c r="H679">
        <v>1</v>
      </c>
      <c r="I679">
        <v>12</v>
      </c>
      <c r="J679">
        <v>0</v>
      </c>
      <c r="K679" s="6" t="s">
        <v>60</v>
      </c>
      <c r="L679" s="6" t="s">
        <v>75</v>
      </c>
      <c r="M679">
        <v>146</v>
      </c>
      <c r="N679" s="1">
        <v>0.433</v>
      </c>
      <c r="O679">
        <v>30</v>
      </c>
      <c r="P679" s="1">
        <v>0.28299999999999997</v>
      </c>
      <c r="Q679" s="1">
        <v>0.75</v>
      </c>
      <c r="R679">
        <v>397</v>
      </c>
      <c r="S679">
        <v>34</v>
      </c>
      <c r="T679">
        <v>142</v>
      </c>
      <c r="U679">
        <v>120</v>
      </c>
      <c r="V679">
        <v>31</v>
      </c>
      <c r="W679">
        <v>14</v>
      </c>
      <c r="X679">
        <v>68</v>
      </c>
      <c r="Y679" s="5">
        <v>1.76</v>
      </c>
    </row>
    <row r="680" spans="1:25" x14ac:dyDescent="0.25">
      <c r="A680">
        <v>2019</v>
      </c>
      <c r="B680" t="s">
        <v>57</v>
      </c>
      <c r="C680">
        <v>15</v>
      </c>
      <c r="D680">
        <v>142</v>
      </c>
      <c r="E680" t="s">
        <v>22</v>
      </c>
      <c r="F680" t="s">
        <v>44</v>
      </c>
      <c r="G680">
        <f t="shared" si="10"/>
        <v>1</v>
      </c>
      <c r="H680">
        <v>8</v>
      </c>
      <c r="I680">
        <v>5</v>
      </c>
      <c r="J680">
        <v>0</v>
      </c>
      <c r="K680" s="6" t="s">
        <v>193</v>
      </c>
      <c r="L680" s="6" t="s">
        <v>117</v>
      </c>
      <c r="M680">
        <v>149</v>
      </c>
      <c r="N680" s="1">
        <v>0.49299999999999999</v>
      </c>
      <c r="O680">
        <v>41</v>
      </c>
      <c r="P680" s="1">
        <v>0.38700000000000001</v>
      </c>
      <c r="Q680" s="1">
        <v>0.77200000000000002</v>
      </c>
      <c r="R680">
        <v>400</v>
      </c>
      <c r="S680">
        <v>38</v>
      </c>
      <c r="T680">
        <v>112</v>
      </c>
      <c r="U680">
        <v>103</v>
      </c>
      <c r="V680">
        <v>36</v>
      </c>
      <c r="W680">
        <v>20</v>
      </c>
      <c r="X680">
        <v>43</v>
      </c>
      <c r="Y680" s="5">
        <v>2.4</v>
      </c>
    </row>
    <row r="681" spans="1:25" x14ac:dyDescent="0.25">
      <c r="A681">
        <v>2019</v>
      </c>
      <c r="B681" t="s">
        <v>57</v>
      </c>
      <c r="C681">
        <v>15</v>
      </c>
      <c r="D681">
        <v>142</v>
      </c>
      <c r="E681" t="s">
        <v>159</v>
      </c>
      <c r="F681" t="s">
        <v>116</v>
      </c>
      <c r="G681">
        <f t="shared" si="10"/>
        <v>0</v>
      </c>
      <c r="H681">
        <v>5</v>
      </c>
      <c r="I681">
        <v>8</v>
      </c>
      <c r="J681">
        <v>0</v>
      </c>
      <c r="K681" s="6" t="s">
        <v>66</v>
      </c>
      <c r="L681" s="6" t="s">
        <v>81</v>
      </c>
      <c r="M681">
        <v>159</v>
      </c>
      <c r="N681" s="1">
        <v>0.47199999999999998</v>
      </c>
      <c r="O681">
        <v>29</v>
      </c>
      <c r="P681" s="1">
        <v>0.35399999999999998</v>
      </c>
      <c r="Q681" s="1">
        <v>0.84499999999999997</v>
      </c>
      <c r="R681">
        <v>429</v>
      </c>
      <c r="S681">
        <v>48</v>
      </c>
      <c r="T681">
        <v>138</v>
      </c>
      <c r="U681">
        <v>62</v>
      </c>
      <c r="V681">
        <v>19</v>
      </c>
      <c r="W681">
        <v>16</v>
      </c>
      <c r="X681">
        <v>50</v>
      </c>
      <c r="Y681" s="5">
        <v>1.24</v>
      </c>
    </row>
    <row r="682" spans="1:25" x14ac:dyDescent="0.25">
      <c r="A682">
        <v>2019</v>
      </c>
      <c r="B682" t="s">
        <v>57</v>
      </c>
      <c r="C682">
        <v>15</v>
      </c>
      <c r="D682">
        <v>143</v>
      </c>
      <c r="E682" t="s">
        <v>26</v>
      </c>
      <c r="F682" t="s">
        <v>118</v>
      </c>
      <c r="G682">
        <f t="shared" si="10"/>
        <v>0</v>
      </c>
      <c r="H682">
        <v>6</v>
      </c>
      <c r="I682">
        <v>7</v>
      </c>
      <c r="J682">
        <v>0</v>
      </c>
      <c r="K682" s="6" t="s">
        <v>67</v>
      </c>
      <c r="L682" s="6" t="s">
        <v>82</v>
      </c>
      <c r="M682">
        <v>127</v>
      </c>
      <c r="N682" s="1">
        <v>0.45700000000000002</v>
      </c>
      <c r="O682">
        <v>28</v>
      </c>
      <c r="P682" s="1">
        <v>0.28599999999999998</v>
      </c>
      <c r="Q682" s="1">
        <v>0.78600000000000003</v>
      </c>
      <c r="R682">
        <v>359</v>
      </c>
      <c r="S682">
        <v>41</v>
      </c>
      <c r="T682">
        <v>126</v>
      </c>
      <c r="U682">
        <v>92</v>
      </c>
      <c r="V682">
        <v>28</v>
      </c>
      <c r="W682">
        <v>23</v>
      </c>
      <c r="X682">
        <v>60</v>
      </c>
      <c r="Y682" s="5">
        <v>1.53</v>
      </c>
    </row>
    <row r="683" spans="1:25" x14ac:dyDescent="0.25">
      <c r="A683">
        <v>2019</v>
      </c>
      <c r="B683" t="s">
        <v>57</v>
      </c>
      <c r="C683">
        <v>15</v>
      </c>
      <c r="D683">
        <v>143</v>
      </c>
      <c r="E683" t="s">
        <v>19</v>
      </c>
      <c r="F683" t="s">
        <v>56</v>
      </c>
      <c r="G683">
        <f t="shared" si="10"/>
        <v>1</v>
      </c>
      <c r="H683">
        <v>7</v>
      </c>
      <c r="I683">
        <v>6</v>
      </c>
      <c r="J683">
        <v>0</v>
      </c>
      <c r="K683" s="6" t="s">
        <v>65</v>
      </c>
      <c r="L683" s="6" t="s">
        <v>119</v>
      </c>
      <c r="M683">
        <v>166</v>
      </c>
      <c r="N683" s="1">
        <v>0.44400000000000001</v>
      </c>
      <c r="O683">
        <v>31</v>
      </c>
      <c r="P683" s="1">
        <v>0.27200000000000002</v>
      </c>
      <c r="Q683" s="1">
        <v>0.76500000000000001</v>
      </c>
      <c r="R683">
        <v>441</v>
      </c>
      <c r="S683">
        <v>35</v>
      </c>
      <c r="T683">
        <v>138</v>
      </c>
      <c r="U683">
        <v>101</v>
      </c>
      <c r="V683">
        <v>26</v>
      </c>
      <c r="W683">
        <v>19</v>
      </c>
      <c r="X683">
        <v>57</v>
      </c>
      <c r="Y683" s="5">
        <v>1.77</v>
      </c>
    </row>
    <row r="684" spans="1:25" x14ac:dyDescent="0.25">
      <c r="A684">
        <v>2019</v>
      </c>
      <c r="B684" t="s">
        <v>57</v>
      </c>
      <c r="C684">
        <v>15</v>
      </c>
      <c r="D684">
        <v>144</v>
      </c>
      <c r="E684" t="s">
        <v>190</v>
      </c>
      <c r="F684" t="s">
        <v>103</v>
      </c>
      <c r="G684">
        <f t="shared" si="10"/>
        <v>1</v>
      </c>
      <c r="H684">
        <v>12</v>
      </c>
      <c r="I684">
        <v>1</v>
      </c>
      <c r="J684">
        <v>0</v>
      </c>
      <c r="K684" s="6" t="s">
        <v>68</v>
      </c>
      <c r="L684" s="6" t="s">
        <v>84</v>
      </c>
      <c r="M684">
        <v>228</v>
      </c>
      <c r="N684" s="1">
        <v>0.49399999999999999</v>
      </c>
      <c r="O684">
        <v>67</v>
      </c>
      <c r="P684" s="1">
        <v>0.41099999999999998</v>
      </c>
      <c r="Q684" s="1">
        <v>0.73799999999999999</v>
      </c>
      <c r="R684">
        <v>633</v>
      </c>
      <c r="S684">
        <v>54</v>
      </c>
      <c r="T684">
        <v>183</v>
      </c>
      <c r="U684">
        <v>118</v>
      </c>
      <c r="V684">
        <v>34</v>
      </c>
      <c r="W684">
        <v>24</v>
      </c>
      <c r="X684">
        <v>61</v>
      </c>
      <c r="Y684" s="5">
        <v>1.93</v>
      </c>
    </row>
    <row r="685" spans="1:25" x14ac:dyDescent="0.25">
      <c r="A685">
        <v>2019</v>
      </c>
      <c r="B685" t="s">
        <v>57</v>
      </c>
      <c r="C685">
        <v>15</v>
      </c>
      <c r="D685">
        <v>144</v>
      </c>
      <c r="E685" t="s">
        <v>25</v>
      </c>
      <c r="F685" t="s">
        <v>53</v>
      </c>
      <c r="G685">
        <f t="shared" si="10"/>
        <v>0</v>
      </c>
      <c r="H685">
        <v>1</v>
      </c>
      <c r="I685">
        <v>12</v>
      </c>
      <c r="J685">
        <v>0</v>
      </c>
      <c r="K685" s="6" t="s">
        <v>191</v>
      </c>
      <c r="L685" s="6" t="s">
        <v>113</v>
      </c>
      <c r="M685">
        <v>128</v>
      </c>
      <c r="N685" s="1">
        <v>0.46700000000000003</v>
      </c>
      <c r="O685">
        <v>35</v>
      </c>
      <c r="P685" s="1">
        <v>0.36799999999999999</v>
      </c>
      <c r="Q685" s="1">
        <v>0.68</v>
      </c>
      <c r="R685">
        <v>325</v>
      </c>
      <c r="S685">
        <v>39</v>
      </c>
      <c r="T685">
        <v>120</v>
      </c>
      <c r="U685">
        <v>68</v>
      </c>
      <c r="V685">
        <v>15</v>
      </c>
      <c r="W685">
        <v>16</v>
      </c>
      <c r="X685">
        <v>37</v>
      </c>
      <c r="Y685" s="5">
        <v>1.84</v>
      </c>
    </row>
    <row r="686" spans="1:25" x14ac:dyDescent="0.25">
      <c r="A686">
        <v>2019</v>
      </c>
      <c r="B686" t="s">
        <v>57</v>
      </c>
      <c r="C686">
        <v>15</v>
      </c>
      <c r="D686">
        <v>145</v>
      </c>
      <c r="E686" t="s">
        <v>20</v>
      </c>
      <c r="F686" t="s">
        <v>47</v>
      </c>
      <c r="G686">
        <f t="shared" si="10"/>
        <v>1</v>
      </c>
      <c r="H686">
        <v>7</v>
      </c>
      <c r="I686">
        <v>6</v>
      </c>
      <c r="J686">
        <v>0</v>
      </c>
      <c r="K686" s="6" t="s">
        <v>69</v>
      </c>
      <c r="L686" s="6" t="s">
        <v>86</v>
      </c>
      <c r="M686">
        <v>118</v>
      </c>
      <c r="N686" s="1">
        <v>0.40300000000000002</v>
      </c>
      <c r="O686">
        <v>45</v>
      </c>
      <c r="P686" s="1">
        <v>0.33800000000000002</v>
      </c>
      <c r="Q686" s="1">
        <v>0.8</v>
      </c>
      <c r="R686">
        <v>313</v>
      </c>
      <c r="S686">
        <v>14</v>
      </c>
      <c r="T686">
        <v>94</v>
      </c>
      <c r="U686">
        <v>86</v>
      </c>
      <c r="V686">
        <v>21</v>
      </c>
      <c r="W686">
        <v>9</v>
      </c>
      <c r="X686">
        <v>34</v>
      </c>
      <c r="Y686" s="5">
        <v>2.5299999999999998</v>
      </c>
    </row>
    <row r="687" spans="1:25" x14ac:dyDescent="0.25">
      <c r="A687">
        <v>2019</v>
      </c>
      <c r="B687" t="s">
        <v>57</v>
      </c>
      <c r="C687">
        <v>15</v>
      </c>
      <c r="D687">
        <v>145</v>
      </c>
      <c r="E687" t="s">
        <v>24</v>
      </c>
      <c r="F687" t="s">
        <v>55</v>
      </c>
      <c r="G687">
        <f t="shared" si="10"/>
        <v>0</v>
      </c>
      <c r="H687">
        <v>6</v>
      </c>
      <c r="I687">
        <v>7</v>
      </c>
      <c r="J687">
        <v>0</v>
      </c>
      <c r="K687" s="6" t="s">
        <v>62</v>
      </c>
      <c r="L687" s="6" t="s">
        <v>78</v>
      </c>
      <c r="M687">
        <v>126</v>
      </c>
      <c r="N687" s="1">
        <v>0.43</v>
      </c>
      <c r="O687">
        <v>33</v>
      </c>
      <c r="P687" s="1">
        <v>0.32400000000000001</v>
      </c>
      <c r="Q687" s="1">
        <v>0.77500000000000002</v>
      </c>
      <c r="R687">
        <v>347</v>
      </c>
      <c r="S687">
        <v>50</v>
      </c>
      <c r="T687">
        <v>126</v>
      </c>
      <c r="U687">
        <v>61</v>
      </c>
      <c r="V687">
        <v>18</v>
      </c>
      <c r="W687">
        <v>15</v>
      </c>
      <c r="X687">
        <v>41</v>
      </c>
      <c r="Y687" s="5">
        <v>1.49</v>
      </c>
    </row>
    <row r="688" spans="1:25" x14ac:dyDescent="0.25">
      <c r="A688">
        <v>2019</v>
      </c>
      <c r="B688" t="s">
        <v>57</v>
      </c>
      <c r="C688">
        <v>15</v>
      </c>
      <c r="D688">
        <v>146</v>
      </c>
      <c r="E688" t="s">
        <v>23</v>
      </c>
      <c r="F688" t="s">
        <v>120</v>
      </c>
      <c r="G688">
        <f t="shared" si="10"/>
        <v>1</v>
      </c>
      <c r="H688">
        <v>9</v>
      </c>
      <c r="I688">
        <v>4</v>
      </c>
      <c r="J688">
        <v>0</v>
      </c>
      <c r="K688" s="6" t="s">
        <v>182</v>
      </c>
      <c r="L688" s="6" t="s">
        <v>76</v>
      </c>
      <c r="M688">
        <v>144</v>
      </c>
      <c r="N688" s="1">
        <v>0.45100000000000001</v>
      </c>
      <c r="O688">
        <v>50</v>
      </c>
      <c r="P688" s="1">
        <v>0.38500000000000001</v>
      </c>
      <c r="Q688" s="1">
        <v>0.85099999999999998</v>
      </c>
      <c r="R688">
        <v>395</v>
      </c>
      <c r="S688">
        <v>22</v>
      </c>
      <c r="T688">
        <v>107</v>
      </c>
      <c r="U688">
        <v>92</v>
      </c>
      <c r="V688">
        <v>34</v>
      </c>
      <c r="W688">
        <v>25</v>
      </c>
      <c r="X688">
        <v>37</v>
      </c>
      <c r="Y688" s="5">
        <v>2.4900000000000002</v>
      </c>
    </row>
    <row r="689" spans="1:25" x14ac:dyDescent="0.25">
      <c r="A689">
        <v>2019</v>
      </c>
      <c r="B689" t="s">
        <v>57</v>
      </c>
      <c r="C689">
        <v>15</v>
      </c>
      <c r="D689">
        <v>146</v>
      </c>
      <c r="E689" t="s">
        <v>181</v>
      </c>
      <c r="F689" t="s">
        <v>49</v>
      </c>
      <c r="G689">
        <f t="shared" si="10"/>
        <v>0</v>
      </c>
      <c r="H689">
        <v>4</v>
      </c>
      <c r="I689">
        <v>9</v>
      </c>
      <c r="J689">
        <v>0</v>
      </c>
      <c r="K689" s="6" t="s">
        <v>71</v>
      </c>
      <c r="L689" s="6" t="s">
        <v>121</v>
      </c>
      <c r="M689">
        <v>145</v>
      </c>
      <c r="N689" s="1">
        <v>0.45900000000000002</v>
      </c>
      <c r="O689">
        <v>32</v>
      </c>
      <c r="P689" s="1">
        <v>0.28799999999999998</v>
      </c>
      <c r="Q689" s="1">
        <v>0.76900000000000002</v>
      </c>
      <c r="R689">
        <v>392</v>
      </c>
      <c r="S689">
        <v>32</v>
      </c>
      <c r="T689">
        <v>106</v>
      </c>
      <c r="U689">
        <v>99</v>
      </c>
      <c r="V689">
        <v>23</v>
      </c>
      <c r="W689">
        <v>12</v>
      </c>
      <c r="X689">
        <v>50</v>
      </c>
      <c r="Y689" s="5">
        <v>1.98</v>
      </c>
    </row>
    <row r="690" spans="1:25" x14ac:dyDescent="0.25">
      <c r="A690">
        <v>2019</v>
      </c>
      <c r="B690" t="s">
        <v>57</v>
      </c>
      <c r="C690">
        <v>15</v>
      </c>
      <c r="D690">
        <v>147</v>
      </c>
      <c r="E690" t="s">
        <v>98</v>
      </c>
      <c r="F690" t="s">
        <v>41</v>
      </c>
      <c r="G690">
        <f t="shared" si="10"/>
        <v>1</v>
      </c>
      <c r="H690">
        <v>10</v>
      </c>
      <c r="I690">
        <v>3</v>
      </c>
      <c r="J690">
        <v>0</v>
      </c>
      <c r="K690" s="6" t="s">
        <v>59</v>
      </c>
      <c r="L690" s="6" t="s">
        <v>74</v>
      </c>
      <c r="M690">
        <v>164</v>
      </c>
      <c r="N690" s="1">
        <v>0.42199999999999999</v>
      </c>
      <c r="O690">
        <v>52</v>
      </c>
      <c r="P690" s="1">
        <v>0.35599999999999998</v>
      </c>
      <c r="Q690" s="1">
        <v>0.78800000000000003</v>
      </c>
      <c r="R690">
        <v>458</v>
      </c>
      <c r="S690">
        <v>45</v>
      </c>
      <c r="T690">
        <v>165</v>
      </c>
      <c r="U690">
        <v>106</v>
      </c>
      <c r="V690">
        <v>32</v>
      </c>
      <c r="W690">
        <v>19</v>
      </c>
      <c r="X690">
        <v>63</v>
      </c>
      <c r="Y690" s="5">
        <v>1.68</v>
      </c>
    </row>
    <row r="691" spans="1:25" x14ac:dyDescent="0.25">
      <c r="A691">
        <v>2019</v>
      </c>
      <c r="B691" t="s">
        <v>57</v>
      </c>
      <c r="C691">
        <v>15</v>
      </c>
      <c r="D691">
        <v>147</v>
      </c>
      <c r="E691" t="s">
        <v>18</v>
      </c>
      <c r="F691" t="s">
        <v>52</v>
      </c>
      <c r="G691">
        <f t="shared" si="10"/>
        <v>0</v>
      </c>
      <c r="H691">
        <v>3</v>
      </c>
      <c r="I691">
        <v>10</v>
      </c>
      <c r="J691">
        <v>0</v>
      </c>
      <c r="K691" s="6" t="s">
        <v>112</v>
      </c>
      <c r="L691" s="6" t="s">
        <v>88</v>
      </c>
      <c r="M691">
        <v>142</v>
      </c>
      <c r="N691" s="1">
        <v>0.44</v>
      </c>
      <c r="O691">
        <v>36</v>
      </c>
      <c r="P691" s="1">
        <v>0.34300000000000003</v>
      </c>
      <c r="Q691" s="1">
        <v>0.755</v>
      </c>
      <c r="R691">
        <v>400</v>
      </c>
      <c r="S691">
        <v>50</v>
      </c>
      <c r="T691">
        <v>104</v>
      </c>
      <c r="U691">
        <v>80</v>
      </c>
      <c r="V691">
        <v>19</v>
      </c>
      <c r="W691">
        <v>17</v>
      </c>
      <c r="X691">
        <v>51</v>
      </c>
      <c r="Y691" s="5">
        <v>1.57</v>
      </c>
    </row>
    <row r="692" spans="1:25" x14ac:dyDescent="0.25">
      <c r="A692">
        <v>2019</v>
      </c>
      <c r="B692" t="s">
        <v>57</v>
      </c>
      <c r="C692">
        <v>15</v>
      </c>
      <c r="D692">
        <v>148</v>
      </c>
      <c r="E692" t="s">
        <v>15</v>
      </c>
      <c r="F692" t="s">
        <v>48</v>
      </c>
      <c r="G692">
        <f t="shared" si="10"/>
        <v>1</v>
      </c>
      <c r="H692">
        <v>7</v>
      </c>
      <c r="I692">
        <v>6</v>
      </c>
      <c r="J692">
        <v>0</v>
      </c>
      <c r="K692" s="6" t="s">
        <v>70</v>
      </c>
      <c r="L692" s="6" t="s">
        <v>87</v>
      </c>
      <c r="M692">
        <v>142</v>
      </c>
      <c r="N692" s="1">
        <v>0.44900000000000001</v>
      </c>
      <c r="O692">
        <v>43</v>
      </c>
      <c r="P692" s="1">
        <v>0.38100000000000001</v>
      </c>
      <c r="Q692" s="1">
        <v>0.81699999999999995</v>
      </c>
      <c r="R692">
        <v>385</v>
      </c>
      <c r="S692">
        <v>32</v>
      </c>
      <c r="T692">
        <v>103</v>
      </c>
      <c r="U692">
        <v>71</v>
      </c>
      <c r="V692">
        <v>25</v>
      </c>
      <c r="W692">
        <v>15</v>
      </c>
      <c r="X692">
        <v>44</v>
      </c>
      <c r="Y692" s="5">
        <v>1.61</v>
      </c>
    </row>
    <row r="693" spans="1:25" x14ac:dyDescent="0.25">
      <c r="A693">
        <v>2019</v>
      </c>
      <c r="B693" t="s">
        <v>57</v>
      </c>
      <c r="C693">
        <v>15</v>
      </c>
      <c r="D693">
        <v>148</v>
      </c>
      <c r="E693" t="s">
        <v>21</v>
      </c>
      <c r="F693" t="s">
        <v>50</v>
      </c>
      <c r="G693">
        <f t="shared" si="10"/>
        <v>0</v>
      </c>
      <c r="H693">
        <v>6</v>
      </c>
      <c r="I693">
        <v>7</v>
      </c>
      <c r="J693">
        <v>0</v>
      </c>
      <c r="K693" s="6" t="s">
        <v>61</v>
      </c>
      <c r="L693" s="6" t="s">
        <v>77</v>
      </c>
      <c r="M693">
        <v>182</v>
      </c>
      <c r="N693" s="1">
        <v>0.53500000000000003</v>
      </c>
      <c r="O693">
        <v>33</v>
      </c>
      <c r="P693" s="1">
        <v>0.375</v>
      </c>
      <c r="Q693" s="1">
        <v>0.90600000000000003</v>
      </c>
      <c r="R693">
        <v>484</v>
      </c>
      <c r="S693">
        <v>31</v>
      </c>
      <c r="T693">
        <v>113</v>
      </c>
      <c r="U693">
        <v>73</v>
      </c>
      <c r="V693">
        <v>20</v>
      </c>
      <c r="W693">
        <v>13</v>
      </c>
      <c r="X693">
        <v>62</v>
      </c>
      <c r="Y693" s="5">
        <v>1.18</v>
      </c>
    </row>
    <row r="694" spans="1:25" x14ac:dyDescent="0.25">
      <c r="A694">
        <v>2019</v>
      </c>
      <c r="B694" t="s">
        <v>57</v>
      </c>
      <c r="C694">
        <v>15</v>
      </c>
      <c r="D694">
        <v>149</v>
      </c>
      <c r="E694" t="s">
        <v>33</v>
      </c>
      <c r="F694" t="s">
        <v>42</v>
      </c>
      <c r="G694">
        <f t="shared" si="10"/>
        <v>0</v>
      </c>
      <c r="H694">
        <v>4</v>
      </c>
      <c r="I694">
        <v>8</v>
      </c>
      <c r="J694">
        <v>1</v>
      </c>
      <c r="K694" s="6" t="s">
        <v>63</v>
      </c>
      <c r="L694" s="6" t="s">
        <v>79</v>
      </c>
      <c r="M694">
        <v>178</v>
      </c>
      <c r="N694" s="1">
        <v>0.48</v>
      </c>
      <c r="O694">
        <v>49</v>
      </c>
      <c r="P694" s="1">
        <v>0.377</v>
      </c>
      <c r="Q694" s="1">
        <v>0.75</v>
      </c>
      <c r="R694">
        <v>480</v>
      </c>
      <c r="S694">
        <v>31</v>
      </c>
      <c r="T694">
        <v>163</v>
      </c>
      <c r="U694">
        <v>101</v>
      </c>
      <c r="V694">
        <v>20</v>
      </c>
      <c r="W694">
        <v>25</v>
      </c>
      <c r="X694">
        <v>55</v>
      </c>
      <c r="Y694" s="5">
        <v>1.84</v>
      </c>
    </row>
    <row r="695" spans="1:25" x14ac:dyDescent="0.25">
      <c r="A695">
        <v>2019</v>
      </c>
      <c r="B695" t="s">
        <v>57</v>
      </c>
      <c r="C695">
        <v>15</v>
      </c>
      <c r="D695">
        <v>149</v>
      </c>
      <c r="E695" t="s">
        <v>17</v>
      </c>
      <c r="F695" t="s">
        <v>43</v>
      </c>
      <c r="G695">
        <f t="shared" si="10"/>
        <v>1</v>
      </c>
      <c r="H695">
        <v>8</v>
      </c>
      <c r="I695">
        <v>4</v>
      </c>
      <c r="J695">
        <v>1</v>
      </c>
      <c r="K695" s="6" t="s">
        <v>72</v>
      </c>
      <c r="L695" s="6" t="s">
        <v>85</v>
      </c>
      <c r="M695">
        <v>209</v>
      </c>
      <c r="N695" s="1">
        <v>0.54300000000000004</v>
      </c>
      <c r="O695">
        <v>59</v>
      </c>
      <c r="P695" s="1">
        <v>0.434</v>
      </c>
      <c r="Q695" s="1">
        <v>0.72699999999999998</v>
      </c>
      <c r="R695">
        <v>557</v>
      </c>
      <c r="S695">
        <v>41</v>
      </c>
      <c r="T695">
        <v>177</v>
      </c>
      <c r="U695">
        <v>82</v>
      </c>
      <c r="V695">
        <v>14</v>
      </c>
      <c r="W695">
        <v>26</v>
      </c>
      <c r="X695">
        <v>55</v>
      </c>
      <c r="Y695" s="5">
        <v>1.49</v>
      </c>
    </row>
    <row r="696" spans="1:25" x14ac:dyDescent="0.25">
      <c r="A696">
        <v>2019</v>
      </c>
      <c r="B696" t="s">
        <v>57</v>
      </c>
      <c r="C696">
        <v>15</v>
      </c>
      <c r="D696">
        <v>150</v>
      </c>
      <c r="E696" t="s">
        <v>94</v>
      </c>
      <c r="F696" t="s">
        <v>40</v>
      </c>
      <c r="G696">
        <f t="shared" si="10"/>
        <v>1</v>
      </c>
      <c r="H696">
        <v>9</v>
      </c>
      <c r="I696">
        <v>4</v>
      </c>
      <c r="J696">
        <v>0</v>
      </c>
      <c r="K696" s="6" t="s">
        <v>64</v>
      </c>
      <c r="L696" s="6" t="s">
        <v>80</v>
      </c>
      <c r="M696">
        <v>207</v>
      </c>
      <c r="N696" s="1">
        <v>0.45100000000000001</v>
      </c>
      <c r="O696">
        <v>56</v>
      </c>
      <c r="P696" s="1">
        <v>0.318</v>
      </c>
      <c r="Q696" s="1">
        <v>0.82399999999999995</v>
      </c>
      <c r="R696">
        <v>610</v>
      </c>
      <c r="S696">
        <v>60</v>
      </c>
      <c r="T696">
        <v>180</v>
      </c>
      <c r="U696">
        <v>97</v>
      </c>
      <c r="V696">
        <v>37</v>
      </c>
      <c r="W696">
        <v>30</v>
      </c>
      <c r="X696">
        <v>65</v>
      </c>
      <c r="Y696" s="5">
        <v>1.49</v>
      </c>
    </row>
    <row r="697" spans="1:25" x14ac:dyDescent="0.25">
      <c r="A697">
        <v>2019</v>
      </c>
      <c r="B697" t="s">
        <v>57</v>
      </c>
      <c r="C697">
        <v>15</v>
      </c>
      <c r="D697">
        <v>150</v>
      </c>
      <c r="E697" t="s">
        <v>28</v>
      </c>
      <c r="F697" t="s">
        <v>46</v>
      </c>
      <c r="G697">
        <f t="shared" si="10"/>
        <v>0</v>
      </c>
      <c r="H697">
        <v>4</v>
      </c>
      <c r="I697">
        <v>9</v>
      </c>
      <c r="J697">
        <v>0</v>
      </c>
      <c r="K697" s="6" t="s">
        <v>106</v>
      </c>
      <c r="L697" s="6" t="s">
        <v>83</v>
      </c>
      <c r="M697">
        <v>172</v>
      </c>
      <c r="N697" s="1">
        <v>0.43</v>
      </c>
      <c r="O697">
        <v>43</v>
      </c>
      <c r="P697" s="1">
        <v>0.34699999999999998</v>
      </c>
      <c r="Q697" s="1">
        <v>0.80300000000000005</v>
      </c>
      <c r="R697">
        <v>485</v>
      </c>
      <c r="S697">
        <v>48</v>
      </c>
      <c r="T697">
        <v>162</v>
      </c>
      <c r="U697">
        <v>111</v>
      </c>
      <c r="V697">
        <v>26</v>
      </c>
      <c r="W697">
        <v>24</v>
      </c>
      <c r="X697">
        <v>58</v>
      </c>
      <c r="Y697" s="5">
        <v>1.91</v>
      </c>
    </row>
    <row r="698" spans="1:25" x14ac:dyDescent="0.25">
      <c r="A698">
        <v>2019</v>
      </c>
      <c r="B698" t="s">
        <v>57</v>
      </c>
      <c r="C698">
        <v>16</v>
      </c>
      <c r="D698">
        <v>151</v>
      </c>
      <c r="E698" t="s">
        <v>23</v>
      </c>
      <c r="F698" t="s">
        <v>120</v>
      </c>
      <c r="G698">
        <f t="shared" si="10"/>
        <v>0</v>
      </c>
      <c r="H698">
        <v>4</v>
      </c>
      <c r="I698">
        <v>9</v>
      </c>
      <c r="J698">
        <v>0</v>
      </c>
      <c r="K698" s="6" t="s">
        <v>60</v>
      </c>
      <c r="L698" s="6" t="s">
        <v>75</v>
      </c>
      <c r="M698">
        <v>141</v>
      </c>
      <c r="N698" s="1">
        <v>0.45200000000000001</v>
      </c>
      <c r="O698">
        <v>38</v>
      </c>
      <c r="P698" s="1">
        <v>0.35799999999999998</v>
      </c>
      <c r="Q698" s="1">
        <v>0.77400000000000002</v>
      </c>
      <c r="R698">
        <v>361</v>
      </c>
      <c r="S698">
        <v>44</v>
      </c>
      <c r="T698">
        <v>128</v>
      </c>
      <c r="U698">
        <v>73</v>
      </c>
      <c r="V698">
        <v>37</v>
      </c>
      <c r="W698">
        <v>17</v>
      </c>
      <c r="X698">
        <v>39</v>
      </c>
      <c r="Y698" s="5">
        <v>1.87</v>
      </c>
    </row>
    <row r="699" spans="1:25" x14ac:dyDescent="0.25">
      <c r="A699">
        <v>2019</v>
      </c>
      <c r="B699" t="s">
        <v>57</v>
      </c>
      <c r="C699">
        <v>16</v>
      </c>
      <c r="D699">
        <v>151</v>
      </c>
      <c r="E699" t="s">
        <v>16</v>
      </c>
      <c r="F699" t="s">
        <v>51</v>
      </c>
      <c r="G699">
        <f t="shared" si="10"/>
        <v>1</v>
      </c>
      <c r="H699">
        <v>9</v>
      </c>
      <c r="I699">
        <v>4</v>
      </c>
      <c r="J699">
        <v>0</v>
      </c>
      <c r="K699" s="6" t="s">
        <v>71</v>
      </c>
      <c r="L699" s="6" t="s">
        <v>121</v>
      </c>
      <c r="M699">
        <v>187</v>
      </c>
      <c r="N699" s="1">
        <v>0.54</v>
      </c>
      <c r="O699">
        <v>47</v>
      </c>
      <c r="P699" s="1">
        <v>0.45200000000000001</v>
      </c>
      <c r="Q699" s="1">
        <v>0.747</v>
      </c>
      <c r="R699">
        <v>492</v>
      </c>
      <c r="S699">
        <v>61</v>
      </c>
      <c r="T699">
        <v>155</v>
      </c>
      <c r="U699">
        <v>113</v>
      </c>
      <c r="V699">
        <v>26</v>
      </c>
      <c r="W699">
        <v>22</v>
      </c>
      <c r="X699">
        <v>62</v>
      </c>
      <c r="Y699" s="5">
        <v>1.82</v>
      </c>
    </row>
    <row r="700" spans="1:25" x14ac:dyDescent="0.25">
      <c r="A700">
        <v>2019</v>
      </c>
      <c r="B700" t="s">
        <v>57</v>
      </c>
      <c r="C700">
        <v>16</v>
      </c>
      <c r="D700">
        <v>152</v>
      </c>
      <c r="E700" t="s">
        <v>26</v>
      </c>
      <c r="F700" t="s">
        <v>118</v>
      </c>
      <c r="G700">
        <f t="shared" si="10"/>
        <v>1</v>
      </c>
      <c r="H700">
        <v>9</v>
      </c>
      <c r="I700">
        <v>3</v>
      </c>
      <c r="J700">
        <v>1</v>
      </c>
      <c r="K700" s="6" t="s">
        <v>193</v>
      </c>
      <c r="L700" s="6" t="s">
        <v>117</v>
      </c>
      <c r="M700">
        <v>110</v>
      </c>
      <c r="N700" s="1">
        <v>0.48199999999999998</v>
      </c>
      <c r="O700">
        <v>29</v>
      </c>
      <c r="P700" s="1">
        <v>0.35399999999999998</v>
      </c>
      <c r="Q700" s="1">
        <v>0.76300000000000001</v>
      </c>
      <c r="R700">
        <v>294</v>
      </c>
      <c r="S700">
        <v>32</v>
      </c>
      <c r="T700">
        <v>107</v>
      </c>
      <c r="U700">
        <v>81</v>
      </c>
      <c r="V700">
        <v>29</v>
      </c>
      <c r="W700">
        <v>23</v>
      </c>
      <c r="X700">
        <v>34</v>
      </c>
      <c r="Y700" s="5">
        <v>2.38</v>
      </c>
    </row>
    <row r="701" spans="1:25" x14ac:dyDescent="0.25">
      <c r="A701">
        <v>2019</v>
      </c>
      <c r="B701" t="s">
        <v>57</v>
      </c>
      <c r="C701">
        <v>16</v>
      </c>
      <c r="D701">
        <v>152</v>
      </c>
      <c r="E701" t="s">
        <v>159</v>
      </c>
      <c r="F701" t="s">
        <v>116</v>
      </c>
      <c r="G701">
        <f t="shared" si="10"/>
        <v>0</v>
      </c>
      <c r="H701">
        <v>3</v>
      </c>
      <c r="I701">
        <v>9</v>
      </c>
      <c r="J701">
        <v>1</v>
      </c>
      <c r="K701" s="6" t="s">
        <v>65</v>
      </c>
      <c r="L701" s="6" t="s">
        <v>119</v>
      </c>
      <c r="M701">
        <v>110</v>
      </c>
      <c r="N701" s="1">
        <v>0.44</v>
      </c>
      <c r="O701">
        <v>23</v>
      </c>
      <c r="P701" s="1">
        <v>0.31900000000000001</v>
      </c>
      <c r="Q701" s="1">
        <v>0.81299999999999994</v>
      </c>
      <c r="R701">
        <v>304</v>
      </c>
      <c r="S701">
        <v>34</v>
      </c>
      <c r="T701">
        <v>104</v>
      </c>
      <c r="U701">
        <v>64</v>
      </c>
      <c r="V701">
        <v>21</v>
      </c>
      <c r="W701">
        <v>16</v>
      </c>
      <c r="X701">
        <v>46</v>
      </c>
      <c r="Y701" s="5">
        <v>1.39</v>
      </c>
    </row>
    <row r="702" spans="1:25" x14ac:dyDescent="0.25">
      <c r="A702">
        <v>2019</v>
      </c>
      <c r="B702" t="s">
        <v>57</v>
      </c>
      <c r="C702">
        <v>16</v>
      </c>
      <c r="D702">
        <v>153</v>
      </c>
      <c r="E702" t="s">
        <v>19</v>
      </c>
      <c r="F702" t="s">
        <v>56</v>
      </c>
      <c r="G702">
        <f t="shared" si="10"/>
        <v>0</v>
      </c>
      <c r="H702">
        <v>4</v>
      </c>
      <c r="I702">
        <v>9</v>
      </c>
      <c r="J702">
        <v>0</v>
      </c>
      <c r="K702" s="6" t="s">
        <v>191</v>
      </c>
      <c r="L702" s="6" t="s">
        <v>113</v>
      </c>
      <c r="M702">
        <v>133</v>
      </c>
      <c r="N702" s="1">
        <v>0.44900000000000001</v>
      </c>
      <c r="O702">
        <v>32</v>
      </c>
      <c r="P702" s="1">
        <v>0.28799999999999998</v>
      </c>
      <c r="Q702" s="1">
        <v>0.82799999999999996</v>
      </c>
      <c r="R702">
        <v>346</v>
      </c>
      <c r="S702">
        <v>26</v>
      </c>
      <c r="T702">
        <v>99</v>
      </c>
      <c r="U702">
        <v>85</v>
      </c>
      <c r="V702">
        <v>32</v>
      </c>
      <c r="W702">
        <v>21</v>
      </c>
      <c r="X702">
        <v>41</v>
      </c>
      <c r="Y702" s="5">
        <v>2.0699999999999998</v>
      </c>
    </row>
    <row r="703" spans="1:25" x14ac:dyDescent="0.25">
      <c r="A703">
        <v>2019</v>
      </c>
      <c r="B703" t="s">
        <v>57</v>
      </c>
      <c r="C703">
        <v>16</v>
      </c>
      <c r="D703">
        <v>153</v>
      </c>
      <c r="E703" t="s">
        <v>190</v>
      </c>
      <c r="F703" t="s">
        <v>103</v>
      </c>
      <c r="G703">
        <f t="shared" si="10"/>
        <v>1</v>
      </c>
      <c r="H703">
        <v>9</v>
      </c>
      <c r="I703">
        <v>4</v>
      </c>
      <c r="J703">
        <v>0</v>
      </c>
      <c r="K703" s="6" t="s">
        <v>67</v>
      </c>
      <c r="L703" s="6" t="s">
        <v>82</v>
      </c>
      <c r="M703">
        <v>186</v>
      </c>
      <c r="N703" s="1">
        <v>0.45100000000000001</v>
      </c>
      <c r="O703">
        <v>52</v>
      </c>
      <c r="P703" s="1">
        <v>0.34</v>
      </c>
      <c r="Q703" s="1">
        <v>0.76500000000000001</v>
      </c>
      <c r="R703">
        <v>502</v>
      </c>
      <c r="S703">
        <v>44</v>
      </c>
      <c r="T703">
        <v>122</v>
      </c>
      <c r="U703">
        <v>94</v>
      </c>
      <c r="V703">
        <v>31</v>
      </c>
      <c r="W703">
        <v>22</v>
      </c>
      <c r="X703">
        <v>61</v>
      </c>
      <c r="Y703" s="5">
        <v>1.54</v>
      </c>
    </row>
    <row r="704" spans="1:25" x14ac:dyDescent="0.25">
      <c r="A704">
        <v>2019</v>
      </c>
      <c r="B704" t="s">
        <v>57</v>
      </c>
      <c r="C704">
        <v>16</v>
      </c>
      <c r="D704">
        <v>154</v>
      </c>
      <c r="E704" t="s">
        <v>25</v>
      </c>
      <c r="F704" t="s">
        <v>53</v>
      </c>
      <c r="G704">
        <f t="shared" si="10"/>
        <v>1</v>
      </c>
      <c r="H704">
        <v>9</v>
      </c>
      <c r="I704">
        <v>4</v>
      </c>
      <c r="J704">
        <v>0</v>
      </c>
      <c r="K704" s="6" t="s">
        <v>62</v>
      </c>
      <c r="L704" s="6" t="s">
        <v>78</v>
      </c>
      <c r="M704">
        <v>149</v>
      </c>
      <c r="N704" s="1">
        <v>0.45</v>
      </c>
      <c r="O704">
        <v>45</v>
      </c>
      <c r="P704" s="1">
        <v>0.36599999999999999</v>
      </c>
      <c r="Q704" s="1">
        <v>0.82299999999999995</v>
      </c>
      <c r="R704">
        <v>408</v>
      </c>
      <c r="S704">
        <v>40</v>
      </c>
      <c r="T704">
        <v>105</v>
      </c>
      <c r="U704">
        <v>90</v>
      </c>
      <c r="V704">
        <v>25</v>
      </c>
      <c r="W704">
        <v>13</v>
      </c>
      <c r="X704">
        <v>45</v>
      </c>
      <c r="Y704" s="5">
        <v>2</v>
      </c>
    </row>
    <row r="705" spans="1:25" x14ac:dyDescent="0.25">
      <c r="A705">
        <v>2019</v>
      </c>
      <c r="B705" t="s">
        <v>57</v>
      </c>
      <c r="C705">
        <v>16</v>
      </c>
      <c r="D705">
        <v>154</v>
      </c>
      <c r="E705" t="s">
        <v>20</v>
      </c>
      <c r="F705" t="s">
        <v>47</v>
      </c>
      <c r="G705">
        <f t="shared" si="10"/>
        <v>0</v>
      </c>
      <c r="H705">
        <v>4</v>
      </c>
      <c r="I705">
        <v>9</v>
      </c>
      <c r="J705">
        <v>0</v>
      </c>
      <c r="K705" s="6" t="s">
        <v>68</v>
      </c>
      <c r="L705" s="6" t="s">
        <v>84</v>
      </c>
      <c r="M705">
        <v>152</v>
      </c>
      <c r="N705" s="1">
        <v>0.47499999999999998</v>
      </c>
      <c r="O705">
        <v>52</v>
      </c>
      <c r="P705" s="1">
        <v>0.40600000000000003</v>
      </c>
      <c r="Q705" s="1">
        <v>0.80400000000000005</v>
      </c>
      <c r="R705">
        <v>393</v>
      </c>
      <c r="S705">
        <v>26</v>
      </c>
      <c r="T705">
        <v>97</v>
      </c>
      <c r="U705">
        <v>88</v>
      </c>
      <c r="V705">
        <v>24</v>
      </c>
      <c r="W705">
        <v>8</v>
      </c>
      <c r="X705">
        <v>54</v>
      </c>
      <c r="Y705" s="5">
        <v>1.63</v>
      </c>
    </row>
    <row r="706" spans="1:25" x14ac:dyDescent="0.25">
      <c r="A706">
        <v>2019</v>
      </c>
      <c r="B706" t="s">
        <v>57</v>
      </c>
      <c r="C706">
        <v>16</v>
      </c>
      <c r="D706">
        <v>155</v>
      </c>
      <c r="E706" t="s">
        <v>181</v>
      </c>
      <c r="F706" t="s">
        <v>49</v>
      </c>
      <c r="G706">
        <f t="shared" ref="G706:G769" si="11">IF(H706+0.5*J706&gt;6.5,1,0)</f>
        <v>0</v>
      </c>
      <c r="H706">
        <v>6</v>
      </c>
      <c r="I706">
        <v>7</v>
      </c>
      <c r="J706">
        <v>0</v>
      </c>
      <c r="K706" s="6" t="s">
        <v>69</v>
      </c>
      <c r="L706" s="6" t="s">
        <v>86</v>
      </c>
      <c r="M706">
        <v>159</v>
      </c>
      <c r="N706" s="1">
        <v>0.49099999999999999</v>
      </c>
      <c r="O706">
        <v>32</v>
      </c>
      <c r="P706" s="1">
        <v>0.34</v>
      </c>
      <c r="Q706" s="1">
        <v>0.81299999999999994</v>
      </c>
      <c r="R706">
        <v>424</v>
      </c>
      <c r="S706">
        <v>22</v>
      </c>
      <c r="T706">
        <v>87</v>
      </c>
      <c r="U706">
        <v>83</v>
      </c>
      <c r="V706">
        <v>26</v>
      </c>
      <c r="W706">
        <v>19</v>
      </c>
      <c r="X706">
        <v>45</v>
      </c>
      <c r="Y706" s="5">
        <v>1.84</v>
      </c>
    </row>
    <row r="707" spans="1:25" x14ac:dyDescent="0.25">
      <c r="A707">
        <v>2019</v>
      </c>
      <c r="B707" t="s">
        <v>57</v>
      </c>
      <c r="C707">
        <v>16</v>
      </c>
      <c r="D707">
        <v>155</v>
      </c>
      <c r="E707" t="s">
        <v>24</v>
      </c>
      <c r="F707" t="s">
        <v>55</v>
      </c>
      <c r="G707">
        <f t="shared" si="11"/>
        <v>1</v>
      </c>
      <c r="H707">
        <v>7</v>
      </c>
      <c r="I707">
        <v>6</v>
      </c>
      <c r="J707">
        <v>0</v>
      </c>
      <c r="K707" s="6" t="s">
        <v>182</v>
      </c>
      <c r="L707" s="6" t="s">
        <v>76</v>
      </c>
      <c r="M707">
        <v>143</v>
      </c>
      <c r="N707" s="1">
        <v>0.47399999999999998</v>
      </c>
      <c r="O707">
        <v>40</v>
      </c>
      <c r="P707" s="1">
        <v>0.34200000000000003</v>
      </c>
      <c r="Q707" s="1">
        <v>0.88</v>
      </c>
      <c r="R707">
        <v>392</v>
      </c>
      <c r="S707">
        <v>37</v>
      </c>
      <c r="T707">
        <v>119</v>
      </c>
      <c r="U707">
        <v>79</v>
      </c>
      <c r="V707">
        <v>23</v>
      </c>
      <c r="W707">
        <v>14</v>
      </c>
      <c r="X707">
        <v>40</v>
      </c>
      <c r="Y707" s="5">
        <v>1.98</v>
      </c>
    </row>
    <row r="708" spans="1:25" x14ac:dyDescent="0.25">
      <c r="A708">
        <v>2019</v>
      </c>
      <c r="B708" t="s">
        <v>57</v>
      </c>
      <c r="C708">
        <v>16</v>
      </c>
      <c r="D708">
        <v>156</v>
      </c>
      <c r="E708" t="s">
        <v>18</v>
      </c>
      <c r="F708" t="s">
        <v>52</v>
      </c>
      <c r="G708">
        <f t="shared" si="11"/>
        <v>0</v>
      </c>
      <c r="H708">
        <v>3</v>
      </c>
      <c r="I708">
        <v>10</v>
      </c>
      <c r="J708">
        <v>0</v>
      </c>
      <c r="K708" s="6" t="s">
        <v>111</v>
      </c>
      <c r="L708" s="6" t="s">
        <v>89</v>
      </c>
      <c r="M708">
        <v>82</v>
      </c>
      <c r="N708" s="1">
        <v>0.41799999999999998</v>
      </c>
      <c r="O708">
        <v>23</v>
      </c>
      <c r="P708" s="1">
        <v>0.30299999999999999</v>
      </c>
      <c r="Q708" s="1">
        <v>0.78300000000000003</v>
      </c>
      <c r="R708">
        <v>234</v>
      </c>
      <c r="S708">
        <v>17</v>
      </c>
      <c r="T708">
        <v>76</v>
      </c>
      <c r="U708">
        <v>51</v>
      </c>
      <c r="V708">
        <v>25</v>
      </c>
      <c r="W708">
        <v>11</v>
      </c>
      <c r="X708">
        <v>30</v>
      </c>
      <c r="Y708" s="5">
        <v>1.7</v>
      </c>
    </row>
    <row r="709" spans="1:25" x14ac:dyDescent="0.25">
      <c r="A709">
        <v>2019</v>
      </c>
      <c r="B709" t="s">
        <v>57</v>
      </c>
      <c r="C709">
        <v>16</v>
      </c>
      <c r="D709">
        <v>156</v>
      </c>
      <c r="E709" t="s">
        <v>97</v>
      </c>
      <c r="F709" t="s">
        <v>54</v>
      </c>
      <c r="G709">
        <f t="shared" si="11"/>
        <v>1</v>
      </c>
      <c r="H709">
        <v>10</v>
      </c>
      <c r="I709">
        <v>3</v>
      </c>
      <c r="J709">
        <v>0</v>
      </c>
      <c r="K709" s="6" t="s">
        <v>59</v>
      </c>
      <c r="L709" s="6" t="s">
        <v>74</v>
      </c>
      <c r="M709">
        <v>131</v>
      </c>
      <c r="N709" s="1">
        <v>0.44400000000000001</v>
      </c>
      <c r="O709">
        <v>48</v>
      </c>
      <c r="P709" s="1">
        <v>0.35799999999999998</v>
      </c>
      <c r="Q709" s="1">
        <v>0.79400000000000004</v>
      </c>
      <c r="R709">
        <v>360</v>
      </c>
      <c r="S709">
        <v>24</v>
      </c>
      <c r="T709">
        <v>83</v>
      </c>
      <c r="U709">
        <v>81</v>
      </c>
      <c r="V709">
        <v>11</v>
      </c>
      <c r="W709">
        <v>10</v>
      </c>
      <c r="X709">
        <v>42</v>
      </c>
      <c r="Y709" s="5">
        <v>1.93</v>
      </c>
    </row>
    <row r="710" spans="1:25" x14ac:dyDescent="0.25">
      <c r="A710">
        <v>2019</v>
      </c>
      <c r="B710" t="s">
        <v>57</v>
      </c>
      <c r="C710">
        <v>16</v>
      </c>
      <c r="D710">
        <v>157</v>
      </c>
      <c r="E710" t="s">
        <v>98</v>
      </c>
      <c r="F710" t="s">
        <v>41</v>
      </c>
      <c r="G710">
        <f t="shared" si="11"/>
        <v>1</v>
      </c>
      <c r="H710">
        <v>10</v>
      </c>
      <c r="I710">
        <v>3</v>
      </c>
      <c r="J710">
        <v>0</v>
      </c>
      <c r="K710" s="6" t="s">
        <v>61</v>
      </c>
      <c r="L710" s="6" t="s">
        <v>77</v>
      </c>
      <c r="M710">
        <v>179</v>
      </c>
      <c r="N710" s="1">
        <v>0.46100000000000002</v>
      </c>
      <c r="O710">
        <v>40</v>
      </c>
      <c r="P710" s="1">
        <v>0.313</v>
      </c>
      <c r="Q710" s="1">
        <v>0.81399999999999995</v>
      </c>
      <c r="R710">
        <v>468</v>
      </c>
      <c r="S710">
        <v>51</v>
      </c>
      <c r="T710">
        <v>138</v>
      </c>
      <c r="U710">
        <v>102</v>
      </c>
      <c r="V710">
        <v>25</v>
      </c>
      <c r="W710">
        <v>23</v>
      </c>
      <c r="X710">
        <v>54</v>
      </c>
      <c r="Y710" s="5">
        <v>1.89</v>
      </c>
    </row>
    <row r="711" spans="1:25" x14ac:dyDescent="0.25">
      <c r="A711">
        <v>2019</v>
      </c>
      <c r="B711" t="s">
        <v>57</v>
      </c>
      <c r="C711">
        <v>16</v>
      </c>
      <c r="D711">
        <v>157</v>
      </c>
      <c r="E711" t="s">
        <v>15</v>
      </c>
      <c r="F711" t="s">
        <v>48</v>
      </c>
      <c r="G711">
        <f t="shared" si="11"/>
        <v>0</v>
      </c>
      <c r="H711">
        <v>3</v>
      </c>
      <c r="I711">
        <v>10</v>
      </c>
      <c r="J711">
        <v>0</v>
      </c>
      <c r="K711" s="6" t="s">
        <v>112</v>
      </c>
      <c r="L711" s="6" t="s">
        <v>88</v>
      </c>
      <c r="M711">
        <v>130</v>
      </c>
      <c r="N711" s="1">
        <v>0.44400000000000001</v>
      </c>
      <c r="O711">
        <v>29</v>
      </c>
      <c r="P711" s="1">
        <v>0.32600000000000001</v>
      </c>
      <c r="Q711" s="1">
        <v>0.82599999999999996</v>
      </c>
      <c r="R711">
        <v>365</v>
      </c>
      <c r="S711">
        <v>40</v>
      </c>
      <c r="T711">
        <v>97</v>
      </c>
      <c r="U711">
        <v>71</v>
      </c>
      <c r="V711">
        <v>16</v>
      </c>
      <c r="W711">
        <v>10</v>
      </c>
      <c r="X711">
        <v>43</v>
      </c>
      <c r="Y711" s="5">
        <v>1.65</v>
      </c>
    </row>
    <row r="712" spans="1:25" x14ac:dyDescent="0.25">
      <c r="A712">
        <v>2019</v>
      </c>
      <c r="B712" t="s">
        <v>57</v>
      </c>
      <c r="C712">
        <v>16</v>
      </c>
      <c r="D712">
        <v>158</v>
      </c>
      <c r="E712" t="s">
        <v>21</v>
      </c>
      <c r="F712" t="s">
        <v>50</v>
      </c>
      <c r="G712">
        <f t="shared" si="11"/>
        <v>0</v>
      </c>
      <c r="H712">
        <v>6</v>
      </c>
      <c r="I712">
        <v>7</v>
      </c>
      <c r="J712">
        <v>0</v>
      </c>
      <c r="K712" s="6" t="s">
        <v>63</v>
      </c>
      <c r="L712" s="6" t="s">
        <v>79</v>
      </c>
      <c r="M712">
        <v>179</v>
      </c>
      <c r="N712" s="1">
        <v>0.47699999999999998</v>
      </c>
      <c r="O712">
        <v>43</v>
      </c>
      <c r="P712" s="1">
        <v>0.36099999999999999</v>
      </c>
      <c r="Q712" s="1">
        <v>0.76600000000000001</v>
      </c>
      <c r="R712">
        <v>450</v>
      </c>
      <c r="S712">
        <v>33</v>
      </c>
      <c r="T712">
        <v>145</v>
      </c>
      <c r="U712">
        <v>122</v>
      </c>
      <c r="V712">
        <v>37</v>
      </c>
      <c r="W712">
        <v>9</v>
      </c>
      <c r="X712">
        <v>52</v>
      </c>
      <c r="Y712" s="5">
        <v>2.35</v>
      </c>
    </row>
    <row r="713" spans="1:25" x14ac:dyDescent="0.25">
      <c r="A713">
        <v>2019</v>
      </c>
      <c r="B713" t="s">
        <v>57</v>
      </c>
      <c r="C713">
        <v>16</v>
      </c>
      <c r="D713">
        <v>158</v>
      </c>
      <c r="E713" t="s">
        <v>17</v>
      </c>
      <c r="F713" t="s">
        <v>43</v>
      </c>
      <c r="G713">
        <f t="shared" si="11"/>
        <v>1</v>
      </c>
      <c r="H713">
        <v>7</v>
      </c>
      <c r="I713">
        <v>6</v>
      </c>
      <c r="J713">
        <v>0</v>
      </c>
      <c r="K713" s="6" t="s">
        <v>70</v>
      </c>
      <c r="L713" s="6" t="s">
        <v>87</v>
      </c>
      <c r="M713">
        <v>173</v>
      </c>
      <c r="N713" s="1">
        <v>0.442</v>
      </c>
      <c r="O713">
        <v>49</v>
      </c>
      <c r="P713" s="1">
        <v>0.33600000000000002</v>
      </c>
      <c r="Q713" s="1">
        <v>0.80600000000000005</v>
      </c>
      <c r="R713">
        <v>470</v>
      </c>
      <c r="S713">
        <v>50</v>
      </c>
      <c r="T713">
        <v>166</v>
      </c>
      <c r="U713">
        <v>134</v>
      </c>
      <c r="V713">
        <v>31</v>
      </c>
      <c r="W713">
        <v>23</v>
      </c>
      <c r="X713">
        <v>69</v>
      </c>
      <c r="Y713" s="5">
        <v>1.94</v>
      </c>
    </row>
    <row r="714" spans="1:25" x14ac:dyDescent="0.25">
      <c r="A714">
        <v>2019</v>
      </c>
      <c r="B714" t="s">
        <v>57</v>
      </c>
      <c r="C714">
        <v>16</v>
      </c>
      <c r="D714">
        <v>159</v>
      </c>
      <c r="E714" t="s">
        <v>28</v>
      </c>
      <c r="F714" t="s">
        <v>46</v>
      </c>
      <c r="G714">
        <f t="shared" si="11"/>
        <v>0</v>
      </c>
      <c r="H714">
        <v>5</v>
      </c>
      <c r="I714">
        <v>8</v>
      </c>
      <c r="J714">
        <v>0</v>
      </c>
      <c r="K714" s="6" t="s">
        <v>72</v>
      </c>
      <c r="L714" s="6" t="s">
        <v>85</v>
      </c>
      <c r="M714">
        <v>145</v>
      </c>
      <c r="N714" s="1">
        <v>0.433</v>
      </c>
      <c r="O714">
        <v>30</v>
      </c>
      <c r="P714" s="1">
        <v>0.29099999999999998</v>
      </c>
      <c r="Q714" s="1">
        <v>0.75700000000000001</v>
      </c>
      <c r="R714">
        <v>404</v>
      </c>
      <c r="S714">
        <v>52</v>
      </c>
      <c r="T714">
        <v>174</v>
      </c>
      <c r="U714">
        <v>137</v>
      </c>
      <c r="V714">
        <v>31</v>
      </c>
      <c r="W714">
        <v>20</v>
      </c>
      <c r="X714">
        <v>64</v>
      </c>
      <c r="Y714" s="5">
        <v>2.14</v>
      </c>
    </row>
    <row r="715" spans="1:25" x14ac:dyDescent="0.25">
      <c r="A715">
        <v>2019</v>
      </c>
      <c r="B715" t="s">
        <v>57</v>
      </c>
      <c r="C715">
        <v>16</v>
      </c>
      <c r="D715">
        <v>159</v>
      </c>
      <c r="E715" t="s">
        <v>33</v>
      </c>
      <c r="F715" t="s">
        <v>42</v>
      </c>
      <c r="G715">
        <f t="shared" si="11"/>
        <v>1</v>
      </c>
      <c r="H715">
        <v>8</v>
      </c>
      <c r="I715">
        <v>5</v>
      </c>
      <c r="J715">
        <v>0</v>
      </c>
      <c r="K715" s="6" t="s">
        <v>64</v>
      </c>
      <c r="L715" s="6" t="s">
        <v>80</v>
      </c>
      <c r="M715">
        <v>190</v>
      </c>
      <c r="N715" s="1">
        <v>0.50900000000000001</v>
      </c>
      <c r="O715">
        <v>45</v>
      </c>
      <c r="P715" s="1">
        <v>0.34399999999999997</v>
      </c>
      <c r="Q715" s="1">
        <v>0.8</v>
      </c>
      <c r="R715">
        <v>493</v>
      </c>
      <c r="S715">
        <v>32</v>
      </c>
      <c r="T715">
        <v>134</v>
      </c>
      <c r="U715">
        <v>91</v>
      </c>
      <c r="V715">
        <v>24</v>
      </c>
      <c r="W715">
        <v>22</v>
      </c>
      <c r="X715">
        <v>45</v>
      </c>
      <c r="Y715" s="5">
        <v>2.02</v>
      </c>
    </row>
    <row r="716" spans="1:25" x14ac:dyDescent="0.25">
      <c r="A716">
        <v>2019</v>
      </c>
      <c r="B716" t="s">
        <v>57</v>
      </c>
      <c r="C716">
        <v>16</v>
      </c>
      <c r="D716">
        <v>160</v>
      </c>
      <c r="E716" t="s">
        <v>94</v>
      </c>
      <c r="F716" t="s">
        <v>40</v>
      </c>
      <c r="G716">
        <f t="shared" si="11"/>
        <v>1</v>
      </c>
      <c r="H716">
        <v>7</v>
      </c>
      <c r="I716">
        <v>5</v>
      </c>
      <c r="J716">
        <v>1</v>
      </c>
      <c r="K716" s="6" t="s">
        <v>66</v>
      </c>
      <c r="L716" s="6" t="s">
        <v>81</v>
      </c>
      <c r="M716">
        <v>134</v>
      </c>
      <c r="N716" s="1">
        <v>0.44700000000000001</v>
      </c>
      <c r="O716">
        <v>51</v>
      </c>
      <c r="P716" s="1">
        <v>0.32500000000000001</v>
      </c>
      <c r="Q716" s="1">
        <v>0.79</v>
      </c>
      <c r="R716">
        <v>398</v>
      </c>
      <c r="S716">
        <v>20</v>
      </c>
      <c r="T716">
        <v>132</v>
      </c>
      <c r="U716">
        <v>81</v>
      </c>
      <c r="V716">
        <v>32</v>
      </c>
      <c r="W716">
        <v>21</v>
      </c>
      <c r="X716">
        <v>49</v>
      </c>
      <c r="Y716" s="5">
        <v>1.65</v>
      </c>
    </row>
    <row r="717" spans="1:25" x14ac:dyDescent="0.25">
      <c r="A717">
        <v>2019</v>
      </c>
      <c r="B717" t="s">
        <v>57</v>
      </c>
      <c r="C717">
        <v>16</v>
      </c>
      <c r="D717">
        <v>160</v>
      </c>
      <c r="E717" t="s">
        <v>22</v>
      </c>
      <c r="F717" t="s">
        <v>44</v>
      </c>
      <c r="G717">
        <f t="shared" si="11"/>
        <v>0</v>
      </c>
      <c r="H717">
        <v>5</v>
      </c>
      <c r="I717">
        <v>7</v>
      </c>
      <c r="J717">
        <v>1</v>
      </c>
      <c r="K717" s="6" t="s">
        <v>106</v>
      </c>
      <c r="L717" s="6" t="s">
        <v>83</v>
      </c>
      <c r="M717">
        <v>134</v>
      </c>
      <c r="N717" s="1">
        <v>0.52300000000000002</v>
      </c>
      <c r="O717">
        <v>24</v>
      </c>
      <c r="P717" s="1">
        <v>0.34799999999999998</v>
      </c>
      <c r="Q717" s="1">
        <v>0.63</v>
      </c>
      <c r="R717">
        <v>326</v>
      </c>
      <c r="S717">
        <v>25</v>
      </c>
      <c r="T717">
        <v>89</v>
      </c>
      <c r="U717">
        <v>68</v>
      </c>
      <c r="V717">
        <v>20</v>
      </c>
      <c r="W717">
        <v>14</v>
      </c>
      <c r="X717">
        <v>39</v>
      </c>
      <c r="Y717" s="5">
        <v>1.74</v>
      </c>
    </row>
    <row r="718" spans="1:25" x14ac:dyDescent="0.25">
      <c r="A718">
        <v>2019</v>
      </c>
      <c r="B718" t="s">
        <v>57</v>
      </c>
      <c r="C718">
        <v>17</v>
      </c>
      <c r="D718">
        <v>161</v>
      </c>
      <c r="E718" t="s">
        <v>24</v>
      </c>
      <c r="F718" t="s">
        <v>55</v>
      </c>
      <c r="G718">
        <f t="shared" si="11"/>
        <v>0</v>
      </c>
      <c r="H718">
        <v>3</v>
      </c>
      <c r="I718">
        <v>10</v>
      </c>
      <c r="J718">
        <v>0</v>
      </c>
      <c r="K718" s="6" t="s">
        <v>60</v>
      </c>
      <c r="L718" s="6" t="s">
        <v>75</v>
      </c>
      <c r="M718">
        <v>122</v>
      </c>
      <c r="N718" s="1">
        <v>0.49</v>
      </c>
      <c r="O718">
        <v>21</v>
      </c>
      <c r="P718" s="1">
        <v>0.28799999999999998</v>
      </c>
      <c r="Q718" s="1">
        <v>0.83699999999999997</v>
      </c>
      <c r="R718">
        <v>352</v>
      </c>
      <c r="S718">
        <v>29</v>
      </c>
      <c r="T718">
        <v>98</v>
      </c>
      <c r="U718">
        <v>69</v>
      </c>
      <c r="V718">
        <v>24</v>
      </c>
      <c r="W718">
        <v>18</v>
      </c>
      <c r="X718">
        <v>25</v>
      </c>
      <c r="Y718" s="5">
        <v>2.76</v>
      </c>
    </row>
    <row r="719" spans="1:25" x14ac:dyDescent="0.25">
      <c r="A719">
        <v>2019</v>
      </c>
      <c r="B719" t="s">
        <v>57</v>
      </c>
      <c r="C719">
        <v>17</v>
      </c>
      <c r="D719">
        <v>161</v>
      </c>
      <c r="E719" t="s">
        <v>16</v>
      </c>
      <c r="F719" t="s">
        <v>51</v>
      </c>
      <c r="G719">
        <f t="shared" si="11"/>
        <v>1</v>
      </c>
      <c r="H719">
        <v>10</v>
      </c>
      <c r="I719">
        <v>3</v>
      </c>
      <c r="J719">
        <v>0</v>
      </c>
      <c r="K719" s="6" t="s">
        <v>69</v>
      </c>
      <c r="L719" s="6" t="s">
        <v>86</v>
      </c>
      <c r="M719">
        <v>173</v>
      </c>
      <c r="N719" s="1">
        <v>0.52100000000000002</v>
      </c>
      <c r="O719">
        <v>39</v>
      </c>
      <c r="P719" s="1">
        <v>0.38200000000000001</v>
      </c>
      <c r="Q719" s="1">
        <v>0.79600000000000004</v>
      </c>
      <c r="R719">
        <v>467</v>
      </c>
      <c r="S719">
        <v>65</v>
      </c>
      <c r="T719">
        <v>172</v>
      </c>
      <c r="U719">
        <v>119</v>
      </c>
      <c r="V719">
        <v>22</v>
      </c>
      <c r="W719">
        <v>36</v>
      </c>
      <c r="X719">
        <v>39</v>
      </c>
      <c r="Y719" s="5">
        <v>3.05</v>
      </c>
    </row>
    <row r="720" spans="1:25" x14ac:dyDescent="0.25">
      <c r="A720">
        <v>2019</v>
      </c>
      <c r="B720" t="s">
        <v>57</v>
      </c>
      <c r="C720">
        <v>17</v>
      </c>
      <c r="D720">
        <v>162</v>
      </c>
      <c r="E720" t="s">
        <v>190</v>
      </c>
      <c r="F720" t="s">
        <v>103</v>
      </c>
      <c r="G720">
        <f t="shared" si="11"/>
        <v>0</v>
      </c>
      <c r="H720">
        <v>6</v>
      </c>
      <c r="I720">
        <v>6</v>
      </c>
      <c r="J720">
        <v>1</v>
      </c>
      <c r="K720" s="6" t="s">
        <v>193</v>
      </c>
      <c r="L720" s="6" t="s">
        <v>117</v>
      </c>
      <c r="M720">
        <v>193</v>
      </c>
      <c r="N720" s="1">
        <v>0.45300000000000001</v>
      </c>
      <c r="O720">
        <v>56</v>
      </c>
      <c r="P720" s="1">
        <v>0.373</v>
      </c>
      <c r="Q720" s="1">
        <v>0.82499999999999996</v>
      </c>
      <c r="R720">
        <v>536</v>
      </c>
      <c r="S720">
        <v>56</v>
      </c>
      <c r="T720">
        <v>149</v>
      </c>
      <c r="U720">
        <v>109</v>
      </c>
      <c r="V720">
        <v>38</v>
      </c>
      <c r="W720">
        <v>19</v>
      </c>
      <c r="X720">
        <v>54</v>
      </c>
      <c r="Y720" s="5">
        <v>2.02</v>
      </c>
    </row>
    <row r="721" spans="1:25" x14ac:dyDescent="0.25">
      <c r="A721">
        <v>2019</v>
      </c>
      <c r="B721" t="s">
        <v>57</v>
      </c>
      <c r="C721">
        <v>17</v>
      </c>
      <c r="D721">
        <v>162</v>
      </c>
      <c r="E721" t="s">
        <v>159</v>
      </c>
      <c r="F721" t="s">
        <v>116</v>
      </c>
      <c r="G721">
        <f t="shared" si="11"/>
        <v>0</v>
      </c>
      <c r="H721">
        <v>6</v>
      </c>
      <c r="I721">
        <v>6</v>
      </c>
      <c r="J721">
        <v>1</v>
      </c>
      <c r="K721" s="6" t="s">
        <v>191</v>
      </c>
      <c r="L721" s="6" t="s">
        <v>113</v>
      </c>
      <c r="M721">
        <v>207</v>
      </c>
      <c r="N721" s="1">
        <v>0.5</v>
      </c>
      <c r="O721">
        <v>46</v>
      </c>
      <c r="P721" s="1">
        <v>0.374</v>
      </c>
      <c r="Q721" s="1">
        <v>0.752</v>
      </c>
      <c r="R721">
        <v>536</v>
      </c>
      <c r="S721">
        <v>49</v>
      </c>
      <c r="T721">
        <v>179</v>
      </c>
      <c r="U721">
        <v>99</v>
      </c>
      <c r="V721">
        <v>22</v>
      </c>
      <c r="W721">
        <v>13</v>
      </c>
      <c r="X721">
        <v>47</v>
      </c>
      <c r="Y721" s="5">
        <v>2.11</v>
      </c>
    </row>
    <row r="722" spans="1:25" x14ac:dyDescent="0.25">
      <c r="A722">
        <v>2019</v>
      </c>
      <c r="B722" t="s">
        <v>57</v>
      </c>
      <c r="C722">
        <v>17</v>
      </c>
      <c r="D722">
        <v>163</v>
      </c>
      <c r="E722" t="s">
        <v>20</v>
      </c>
      <c r="F722" t="s">
        <v>47</v>
      </c>
      <c r="G722">
        <f t="shared" si="11"/>
        <v>1</v>
      </c>
      <c r="H722">
        <v>7</v>
      </c>
      <c r="I722">
        <v>6</v>
      </c>
      <c r="J722">
        <v>0</v>
      </c>
      <c r="K722" s="6" t="s">
        <v>67</v>
      </c>
      <c r="L722" s="6" t="s">
        <v>82</v>
      </c>
      <c r="M722">
        <v>164</v>
      </c>
      <c r="N722" s="1">
        <v>0.44800000000000001</v>
      </c>
      <c r="O722">
        <v>53</v>
      </c>
      <c r="P722" s="1">
        <v>0.35299999999999998</v>
      </c>
      <c r="Q722" s="1">
        <v>0.755</v>
      </c>
      <c r="R722">
        <v>461</v>
      </c>
      <c r="S722">
        <v>25</v>
      </c>
      <c r="T722">
        <v>88</v>
      </c>
      <c r="U722">
        <v>106</v>
      </c>
      <c r="V722">
        <v>32</v>
      </c>
      <c r="W722">
        <v>9</v>
      </c>
      <c r="X722">
        <v>52</v>
      </c>
      <c r="Y722" s="5">
        <v>2.04</v>
      </c>
    </row>
    <row r="723" spans="1:25" x14ac:dyDescent="0.25">
      <c r="A723">
        <v>2019</v>
      </c>
      <c r="B723" t="s">
        <v>57</v>
      </c>
      <c r="C723">
        <v>17</v>
      </c>
      <c r="D723">
        <v>163</v>
      </c>
      <c r="E723" t="s">
        <v>19</v>
      </c>
      <c r="F723" t="s">
        <v>56</v>
      </c>
      <c r="G723">
        <f t="shared" si="11"/>
        <v>0</v>
      </c>
      <c r="H723">
        <v>6</v>
      </c>
      <c r="I723">
        <v>7</v>
      </c>
      <c r="J723">
        <v>0</v>
      </c>
      <c r="K723" s="6" t="s">
        <v>62</v>
      </c>
      <c r="L723" s="6" t="s">
        <v>78</v>
      </c>
      <c r="M723">
        <v>138</v>
      </c>
      <c r="N723" s="1">
        <v>0.48599999999999999</v>
      </c>
      <c r="O723">
        <v>32</v>
      </c>
      <c r="P723" s="1">
        <v>0.39500000000000002</v>
      </c>
      <c r="Q723" s="1">
        <v>0.73199999999999998</v>
      </c>
      <c r="R723">
        <v>349</v>
      </c>
      <c r="S723">
        <v>34</v>
      </c>
      <c r="T723">
        <v>106</v>
      </c>
      <c r="U723">
        <v>88</v>
      </c>
      <c r="V723">
        <v>15</v>
      </c>
      <c r="W723">
        <v>16</v>
      </c>
      <c r="X723">
        <v>49</v>
      </c>
      <c r="Y723" s="5">
        <v>1.8</v>
      </c>
    </row>
    <row r="724" spans="1:25" x14ac:dyDescent="0.25">
      <c r="A724">
        <v>2019</v>
      </c>
      <c r="B724" t="s">
        <v>57</v>
      </c>
      <c r="C724">
        <v>17</v>
      </c>
      <c r="D724">
        <v>164</v>
      </c>
      <c r="E724" t="s">
        <v>25</v>
      </c>
      <c r="F724" t="s">
        <v>53</v>
      </c>
      <c r="G724">
        <f t="shared" si="11"/>
        <v>1</v>
      </c>
      <c r="H724">
        <v>7</v>
      </c>
      <c r="I724">
        <v>6</v>
      </c>
      <c r="J724">
        <v>0</v>
      </c>
      <c r="K724" s="6" t="s">
        <v>182</v>
      </c>
      <c r="L724" s="6" t="s">
        <v>76</v>
      </c>
      <c r="M724">
        <v>136</v>
      </c>
      <c r="N724" s="1">
        <v>0.5</v>
      </c>
      <c r="O724">
        <v>26</v>
      </c>
      <c r="P724" s="1">
        <v>0.38800000000000001</v>
      </c>
      <c r="Q724" s="1">
        <v>0.81299999999999994</v>
      </c>
      <c r="R724">
        <v>359</v>
      </c>
      <c r="S724">
        <v>28</v>
      </c>
      <c r="T724">
        <v>109</v>
      </c>
      <c r="U724">
        <v>68</v>
      </c>
      <c r="V724">
        <v>18</v>
      </c>
      <c r="W724">
        <v>16</v>
      </c>
      <c r="X724">
        <v>52</v>
      </c>
      <c r="Y724" s="5">
        <v>1.31</v>
      </c>
    </row>
    <row r="725" spans="1:25" x14ac:dyDescent="0.25">
      <c r="A725">
        <v>2019</v>
      </c>
      <c r="B725" t="s">
        <v>57</v>
      </c>
      <c r="C725">
        <v>17</v>
      </c>
      <c r="D725">
        <v>164</v>
      </c>
      <c r="E725" t="s">
        <v>181</v>
      </c>
      <c r="F725" t="s">
        <v>49</v>
      </c>
      <c r="G725">
        <f t="shared" si="11"/>
        <v>0</v>
      </c>
      <c r="H725">
        <v>6</v>
      </c>
      <c r="I725">
        <v>7</v>
      </c>
      <c r="J725">
        <v>0</v>
      </c>
      <c r="K725" s="6" t="s">
        <v>68</v>
      </c>
      <c r="L725" s="6" t="s">
        <v>84</v>
      </c>
      <c r="M725">
        <v>151</v>
      </c>
      <c r="N725" s="1">
        <v>0.45200000000000001</v>
      </c>
      <c r="O725">
        <v>44</v>
      </c>
      <c r="P725" s="1">
        <v>0.38300000000000001</v>
      </c>
      <c r="Q725" s="1">
        <v>0.8</v>
      </c>
      <c r="R725">
        <v>422</v>
      </c>
      <c r="S725">
        <v>26</v>
      </c>
      <c r="T725">
        <v>71</v>
      </c>
      <c r="U725">
        <v>86</v>
      </c>
      <c r="V725">
        <v>16</v>
      </c>
      <c r="W725">
        <v>10</v>
      </c>
      <c r="X725">
        <v>42</v>
      </c>
      <c r="Y725" s="5">
        <v>2.0499999999999998</v>
      </c>
    </row>
    <row r="726" spans="1:25" x14ac:dyDescent="0.25">
      <c r="A726">
        <v>2019</v>
      </c>
      <c r="B726" t="s">
        <v>57</v>
      </c>
      <c r="C726">
        <v>17</v>
      </c>
      <c r="D726">
        <v>165</v>
      </c>
      <c r="E726" t="s">
        <v>23</v>
      </c>
      <c r="F726" t="s">
        <v>120</v>
      </c>
      <c r="G726">
        <f t="shared" si="11"/>
        <v>1</v>
      </c>
      <c r="H726">
        <v>10</v>
      </c>
      <c r="I726">
        <v>3</v>
      </c>
      <c r="J726">
        <v>0</v>
      </c>
      <c r="K726" s="6" t="s">
        <v>59</v>
      </c>
      <c r="L726" s="6" t="s">
        <v>74</v>
      </c>
      <c r="M726">
        <v>158</v>
      </c>
      <c r="N726" s="1">
        <v>0.48499999999999999</v>
      </c>
      <c r="O726">
        <v>52</v>
      </c>
      <c r="P726" s="1">
        <v>0.39100000000000001</v>
      </c>
      <c r="Q726" s="1">
        <v>0.71399999999999997</v>
      </c>
      <c r="R726">
        <v>408</v>
      </c>
      <c r="S726">
        <v>36</v>
      </c>
      <c r="T726">
        <v>121</v>
      </c>
      <c r="U726">
        <v>79</v>
      </c>
      <c r="V726">
        <v>40</v>
      </c>
      <c r="W726">
        <v>25</v>
      </c>
      <c r="X726">
        <v>45</v>
      </c>
      <c r="Y726" s="5">
        <v>1.76</v>
      </c>
    </row>
    <row r="727" spans="1:25" x14ac:dyDescent="0.25">
      <c r="A727">
        <v>2019</v>
      </c>
      <c r="B727" t="s">
        <v>57</v>
      </c>
      <c r="C727">
        <v>17</v>
      </c>
      <c r="D727">
        <v>165</v>
      </c>
      <c r="E727" t="s">
        <v>18</v>
      </c>
      <c r="F727" t="s">
        <v>52</v>
      </c>
      <c r="G727">
        <f t="shared" si="11"/>
        <v>0</v>
      </c>
      <c r="H727">
        <v>3</v>
      </c>
      <c r="I727">
        <v>10</v>
      </c>
      <c r="J727">
        <v>0</v>
      </c>
      <c r="K727" s="6" t="s">
        <v>71</v>
      </c>
      <c r="L727" s="6" t="s">
        <v>121</v>
      </c>
      <c r="M727">
        <v>124</v>
      </c>
      <c r="N727" s="1">
        <v>0.45100000000000001</v>
      </c>
      <c r="O727">
        <v>27</v>
      </c>
      <c r="P727" s="1">
        <v>0.307</v>
      </c>
      <c r="Q727" s="1">
        <v>0.73799999999999999</v>
      </c>
      <c r="R727">
        <v>323</v>
      </c>
      <c r="S727">
        <v>24</v>
      </c>
      <c r="T727">
        <v>96</v>
      </c>
      <c r="U727">
        <v>72</v>
      </c>
      <c r="V727">
        <v>27</v>
      </c>
      <c r="W727">
        <v>12</v>
      </c>
      <c r="X727">
        <v>37</v>
      </c>
      <c r="Y727" s="5">
        <v>1.95</v>
      </c>
    </row>
    <row r="728" spans="1:25" x14ac:dyDescent="0.25">
      <c r="A728">
        <v>2019</v>
      </c>
      <c r="B728" t="s">
        <v>57</v>
      </c>
      <c r="C728">
        <v>17</v>
      </c>
      <c r="D728">
        <v>166</v>
      </c>
      <c r="E728" t="s">
        <v>97</v>
      </c>
      <c r="F728" t="s">
        <v>54</v>
      </c>
      <c r="G728">
        <f t="shared" si="11"/>
        <v>1</v>
      </c>
      <c r="H728">
        <v>7</v>
      </c>
      <c r="I728">
        <v>6</v>
      </c>
      <c r="J728">
        <v>0</v>
      </c>
      <c r="K728" s="6" t="s">
        <v>61</v>
      </c>
      <c r="L728" s="6" t="s">
        <v>77</v>
      </c>
      <c r="M728">
        <v>138</v>
      </c>
      <c r="N728" s="1">
        <v>0.39700000000000002</v>
      </c>
      <c r="O728">
        <v>41</v>
      </c>
      <c r="P728" s="1">
        <v>0.311</v>
      </c>
      <c r="Q728" s="1">
        <v>0.64600000000000002</v>
      </c>
      <c r="R728">
        <v>381</v>
      </c>
      <c r="S728">
        <v>40</v>
      </c>
      <c r="T728">
        <v>121</v>
      </c>
      <c r="U728">
        <v>108</v>
      </c>
      <c r="V728">
        <v>21</v>
      </c>
      <c r="W728">
        <v>17</v>
      </c>
      <c r="X728">
        <v>60</v>
      </c>
      <c r="Y728" s="5">
        <v>1.8</v>
      </c>
    </row>
    <row r="729" spans="1:25" x14ac:dyDescent="0.25">
      <c r="A729">
        <v>2019</v>
      </c>
      <c r="B729" t="s">
        <v>57</v>
      </c>
      <c r="C729">
        <v>17</v>
      </c>
      <c r="D729">
        <v>166</v>
      </c>
      <c r="E729" t="s">
        <v>15</v>
      </c>
      <c r="F729" t="s">
        <v>48</v>
      </c>
      <c r="G729">
        <f t="shared" si="11"/>
        <v>0</v>
      </c>
      <c r="H729">
        <v>6</v>
      </c>
      <c r="I729">
        <v>7</v>
      </c>
      <c r="J729">
        <v>0</v>
      </c>
      <c r="K729" s="6" t="s">
        <v>111</v>
      </c>
      <c r="L729" s="6" t="s">
        <v>89</v>
      </c>
      <c r="M729">
        <v>125</v>
      </c>
      <c r="N729" s="1">
        <v>0.443</v>
      </c>
      <c r="O729">
        <v>42</v>
      </c>
      <c r="P729" s="1">
        <v>0.40799999999999997</v>
      </c>
      <c r="Q729" s="1">
        <v>0.69099999999999995</v>
      </c>
      <c r="R729">
        <v>330</v>
      </c>
      <c r="S729">
        <v>18</v>
      </c>
      <c r="T729">
        <v>88</v>
      </c>
      <c r="U729">
        <v>85</v>
      </c>
      <c r="V729">
        <v>19</v>
      </c>
      <c r="W729">
        <v>12</v>
      </c>
      <c r="X729">
        <v>34</v>
      </c>
      <c r="Y729" s="5">
        <v>2.5</v>
      </c>
    </row>
    <row r="730" spans="1:25" x14ac:dyDescent="0.25">
      <c r="A730">
        <v>2019</v>
      </c>
      <c r="B730" t="s">
        <v>57</v>
      </c>
      <c r="C730">
        <v>17</v>
      </c>
      <c r="D730">
        <v>167</v>
      </c>
      <c r="E730" t="s">
        <v>98</v>
      </c>
      <c r="F730" t="s">
        <v>41</v>
      </c>
      <c r="G730">
        <f t="shared" si="11"/>
        <v>0</v>
      </c>
      <c r="H730">
        <v>3</v>
      </c>
      <c r="I730">
        <v>9</v>
      </c>
      <c r="J730">
        <v>1</v>
      </c>
      <c r="K730" s="6" t="s">
        <v>63</v>
      </c>
      <c r="L730" s="6" t="s">
        <v>79</v>
      </c>
      <c r="M730">
        <v>144</v>
      </c>
      <c r="N730" s="1">
        <v>0.439</v>
      </c>
      <c r="O730">
        <v>36</v>
      </c>
      <c r="P730" s="1">
        <v>0.316</v>
      </c>
      <c r="Q730" s="1">
        <v>0.78500000000000003</v>
      </c>
      <c r="R730">
        <v>386</v>
      </c>
      <c r="S730">
        <v>45</v>
      </c>
      <c r="T730">
        <v>129</v>
      </c>
      <c r="U730">
        <v>76</v>
      </c>
      <c r="V730">
        <v>29</v>
      </c>
      <c r="W730">
        <v>19</v>
      </c>
      <c r="X730">
        <v>43</v>
      </c>
      <c r="Y730" s="5">
        <v>1.77</v>
      </c>
    </row>
    <row r="731" spans="1:25" x14ac:dyDescent="0.25">
      <c r="A731">
        <v>2019</v>
      </c>
      <c r="B731" t="s">
        <v>57</v>
      </c>
      <c r="C731">
        <v>17</v>
      </c>
      <c r="D731">
        <v>167</v>
      </c>
      <c r="E731" t="s">
        <v>17</v>
      </c>
      <c r="F731" t="s">
        <v>43</v>
      </c>
      <c r="G731">
        <f t="shared" si="11"/>
        <v>1</v>
      </c>
      <c r="H731">
        <v>9</v>
      </c>
      <c r="I731">
        <v>3</v>
      </c>
      <c r="J731">
        <v>1</v>
      </c>
      <c r="K731" s="6" t="s">
        <v>112</v>
      </c>
      <c r="L731" s="6" t="s">
        <v>88</v>
      </c>
      <c r="M731">
        <v>162</v>
      </c>
      <c r="N731" s="1">
        <v>0.50800000000000001</v>
      </c>
      <c r="O731">
        <v>47</v>
      </c>
      <c r="P731" s="1">
        <v>0.39200000000000002</v>
      </c>
      <c r="Q731" s="1">
        <v>0.80900000000000005</v>
      </c>
      <c r="R731">
        <v>447</v>
      </c>
      <c r="S731">
        <v>29</v>
      </c>
      <c r="T731">
        <v>132</v>
      </c>
      <c r="U731">
        <v>92</v>
      </c>
      <c r="V731">
        <v>18</v>
      </c>
      <c r="W731">
        <v>19</v>
      </c>
      <c r="X731">
        <v>47</v>
      </c>
      <c r="Y731" s="5">
        <v>1.96</v>
      </c>
    </row>
    <row r="732" spans="1:25" x14ac:dyDescent="0.25">
      <c r="A732">
        <v>2019</v>
      </c>
      <c r="B732" t="s">
        <v>57</v>
      </c>
      <c r="C732">
        <v>17</v>
      </c>
      <c r="D732">
        <v>168</v>
      </c>
      <c r="E732" t="s">
        <v>28</v>
      </c>
      <c r="F732" t="s">
        <v>46</v>
      </c>
      <c r="G732">
        <f t="shared" si="11"/>
        <v>1</v>
      </c>
      <c r="H732">
        <v>9</v>
      </c>
      <c r="I732">
        <v>4</v>
      </c>
      <c r="J732">
        <v>0</v>
      </c>
      <c r="K732" s="6" t="s">
        <v>70</v>
      </c>
      <c r="L732" s="6" t="s">
        <v>87</v>
      </c>
      <c r="M732">
        <v>210</v>
      </c>
      <c r="N732" s="1">
        <v>0.52200000000000002</v>
      </c>
      <c r="O732">
        <v>49</v>
      </c>
      <c r="P732" s="1">
        <v>0.42199999999999999</v>
      </c>
      <c r="Q732" s="1">
        <v>0.75600000000000001</v>
      </c>
      <c r="R732">
        <v>562</v>
      </c>
      <c r="S732">
        <v>36</v>
      </c>
      <c r="T732">
        <v>192</v>
      </c>
      <c r="U732">
        <v>145</v>
      </c>
      <c r="V732">
        <v>44</v>
      </c>
      <c r="W732">
        <v>12</v>
      </c>
      <c r="X732">
        <v>77</v>
      </c>
      <c r="Y732" s="5">
        <v>1.88</v>
      </c>
    </row>
    <row r="733" spans="1:25" x14ac:dyDescent="0.25">
      <c r="A733">
        <v>2019</v>
      </c>
      <c r="B733" t="s">
        <v>57</v>
      </c>
      <c r="C733">
        <v>17</v>
      </c>
      <c r="D733">
        <v>168</v>
      </c>
      <c r="E733" t="s">
        <v>21</v>
      </c>
      <c r="F733" t="s">
        <v>50</v>
      </c>
      <c r="G733">
        <f t="shared" si="11"/>
        <v>0</v>
      </c>
      <c r="H733">
        <v>4</v>
      </c>
      <c r="I733">
        <v>9</v>
      </c>
      <c r="J733">
        <v>0</v>
      </c>
      <c r="K733" s="6" t="s">
        <v>64</v>
      </c>
      <c r="L733" s="6" t="s">
        <v>80</v>
      </c>
      <c r="M733">
        <v>141</v>
      </c>
      <c r="N733" s="1">
        <v>0.505</v>
      </c>
      <c r="O733">
        <v>36</v>
      </c>
      <c r="P733" s="1">
        <v>0.38300000000000001</v>
      </c>
      <c r="Q733" s="1">
        <v>0.80500000000000005</v>
      </c>
      <c r="R733">
        <v>380</v>
      </c>
      <c r="S733">
        <v>33</v>
      </c>
      <c r="T733">
        <v>113</v>
      </c>
      <c r="U733">
        <v>98</v>
      </c>
      <c r="V733">
        <v>24</v>
      </c>
      <c r="W733">
        <v>16</v>
      </c>
      <c r="X733">
        <v>49</v>
      </c>
      <c r="Y733" s="5">
        <v>2</v>
      </c>
    </row>
    <row r="734" spans="1:25" x14ac:dyDescent="0.25">
      <c r="A734">
        <v>2019</v>
      </c>
      <c r="B734" t="s">
        <v>57</v>
      </c>
      <c r="C734">
        <v>17</v>
      </c>
      <c r="D734">
        <v>169</v>
      </c>
      <c r="E734" t="s">
        <v>33</v>
      </c>
      <c r="F734" t="s">
        <v>42</v>
      </c>
      <c r="G734">
        <f t="shared" si="11"/>
        <v>1</v>
      </c>
      <c r="H734">
        <v>9</v>
      </c>
      <c r="I734">
        <v>4</v>
      </c>
      <c r="J734">
        <v>0</v>
      </c>
      <c r="K734" s="6" t="s">
        <v>66</v>
      </c>
      <c r="L734" s="6" t="s">
        <v>81</v>
      </c>
      <c r="M734">
        <v>211</v>
      </c>
      <c r="N734" s="1">
        <v>0.5</v>
      </c>
      <c r="O734">
        <v>42</v>
      </c>
      <c r="P734" s="1">
        <v>0.33900000000000002</v>
      </c>
      <c r="Q734" s="1">
        <v>0.84099999999999997</v>
      </c>
      <c r="R734">
        <v>538</v>
      </c>
      <c r="S734">
        <v>46</v>
      </c>
      <c r="T734">
        <v>134</v>
      </c>
      <c r="U734">
        <v>112</v>
      </c>
      <c r="V734">
        <v>39</v>
      </c>
      <c r="W734">
        <v>19</v>
      </c>
      <c r="X734">
        <v>72</v>
      </c>
      <c r="Y734" s="5">
        <v>1.56</v>
      </c>
    </row>
    <row r="735" spans="1:25" x14ac:dyDescent="0.25">
      <c r="A735">
        <v>2019</v>
      </c>
      <c r="B735" t="s">
        <v>57</v>
      </c>
      <c r="C735">
        <v>17</v>
      </c>
      <c r="D735">
        <v>169</v>
      </c>
      <c r="E735" t="s">
        <v>22</v>
      </c>
      <c r="F735" t="s">
        <v>44</v>
      </c>
      <c r="G735">
        <f t="shared" si="11"/>
        <v>0</v>
      </c>
      <c r="H735">
        <v>4</v>
      </c>
      <c r="I735">
        <v>9</v>
      </c>
      <c r="J735">
        <v>0</v>
      </c>
      <c r="K735" s="6" t="s">
        <v>72</v>
      </c>
      <c r="L735" s="6" t="s">
        <v>85</v>
      </c>
      <c r="M735">
        <v>124</v>
      </c>
      <c r="N735" s="1">
        <v>0.502</v>
      </c>
      <c r="O735">
        <v>28</v>
      </c>
      <c r="P735" s="1">
        <v>0.35399999999999998</v>
      </c>
      <c r="Q735" s="1">
        <v>0.80600000000000005</v>
      </c>
      <c r="R735">
        <v>330</v>
      </c>
      <c r="S735">
        <v>40</v>
      </c>
      <c r="T735">
        <v>89</v>
      </c>
      <c r="U735">
        <v>82</v>
      </c>
      <c r="V735">
        <v>22</v>
      </c>
      <c r="W735">
        <v>14</v>
      </c>
      <c r="X735">
        <v>43</v>
      </c>
      <c r="Y735" s="5">
        <v>1.91</v>
      </c>
    </row>
    <row r="736" spans="1:25" x14ac:dyDescent="0.25">
      <c r="A736">
        <v>2019</v>
      </c>
      <c r="B736" t="s">
        <v>57</v>
      </c>
      <c r="C736">
        <v>17</v>
      </c>
      <c r="D736">
        <v>170</v>
      </c>
      <c r="E736" t="s">
        <v>26</v>
      </c>
      <c r="F736" t="s">
        <v>118</v>
      </c>
      <c r="G736">
        <f t="shared" si="11"/>
        <v>1</v>
      </c>
      <c r="H736">
        <v>7</v>
      </c>
      <c r="I736">
        <v>6</v>
      </c>
      <c r="J736">
        <v>0</v>
      </c>
      <c r="K736" s="6" t="s">
        <v>106</v>
      </c>
      <c r="L736" s="6" t="s">
        <v>83</v>
      </c>
      <c r="M736">
        <v>194</v>
      </c>
      <c r="N736" s="1">
        <v>0.52700000000000002</v>
      </c>
      <c r="O736">
        <v>45</v>
      </c>
      <c r="P736" s="1">
        <v>0.378</v>
      </c>
      <c r="Q736" s="1">
        <v>0.74099999999999999</v>
      </c>
      <c r="R736">
        <v>519</v>
      </c>
      <c r="S736">
        <v>46</v>
      </c>
      <c r="T736">
        <v>163</v>
      </c>
      <c r="U736">
        <v>156</v>
      </c>
      <c r="V736">
        <v>32</v>
      </c>
      <c r="W736">
        <v>23</v>
      </c>
      <c r="X736">
        <v>64</v>
      </c>
      <c r="Y736" s="5">
        <v>2.44</v>
      </c>
    </row>
    <row r="737" spans="1:25" x14ac:dyDescent="0.25">
      <c r="A737">
        <v>2019</v>
      </c>
      <c r="B737" t="s">
        <v>57</v>
      </c>
      <c r="C737">
        <v>17</v>
      </c>
      <c r="D737">
        <v>170</v>
      </c>
      <c r="E737" t="s">
        <v>94</v>
      </c>
      <c r="F737" t="s">
        <v>40</v>
      </c>
      <c r="G737">
        <f t="shared" si="11"/>
        <v>0</v>
      </c>
      <c r="H737">
        <v>6</v>
      </c>
      <c r="I737">
        <v>7</v>
      </c>
      <c r="J737">
        <v>0</v>
      </c>
      <c r="K737" s="6" t="s">
        <v>65</v>
      </c>
      <c r="L737" s="6" t="s">
        <v>119</v>
      </c>
      <c r="M737">
        <v>186</v>
      </c>
      <c r="N737" s="1">
        <v>0.503</v>
      </c>
      <c r="O737">
        <v>70</v>
      </c>
      <c r="P737" s="1">
        <v>0.41399999999999998</v>
      </c>
      <c r="Q737" s="1">
        <v>0.84899999999999998</v>
      </c>
      <c r="R737">
        <v>521</v>
      </c>
      <c r="S737">
        <v>44</v>
      </c>
      <c r="T737">
        <v>102</v>
      </c>
      <c r="U737">
        <v>96</v>
      </c>
      <c r="V737">
        <v>31</v>
      </c>
      <c r="W737">
        <v>26</v>
      </c>
      <c r="X737">
        <v>53</v>
      </c>
      <c r="Y737" s="5">
        <v>1.81</v>
      </c>
    </row>
    <row r="738" spans="1:25" x14ac:dyDescent="0.25">
      <c r="A738">
        <v>2019</v>
      </c>
      <c r="B738" t="s">
        <v>57</v>
      </c>
      <c r="C738">
        <v>18</v>
      </c>
      <c r="D738">
        <v>171</v>
      </c>
      <c r="E738" t="s">
        <v>16</v>
      </c>
      <c r="F738" t="s">
        <v>51</v>
      </c>
      <c r="G738">
        <f t="shared" si="11"/>
        <v>1</v>
      </c>
      <c r="H738">
        <v>12</v>
      </c>
      <c r="I738">
        <v>1</v>
      </c>
      <c r="J738">
        <v>0</v>
      </c>
      <c r="K738" s="6" t="s">
        <v>68</v>
      </c>
      <c r="L738" s="6" t="s">
        <v>84</v>
      </c>
      <c r="M738">
        <v>205</v>
      </c>
      <c r="N738" s="1">
        <v>0.496</v>
      </c>
      <c r="O738">
        <v>64</v>
      </c>
      <c r="P738" s="1">
        <v>0.42099999999999999</v>
      </c>
      <c r="Q738" s="1">
        <v>0.78900000000000003</v>
      </c>
      <c r="R738">
        <v>575</v>
      </c>
      <c r="S738">
        <v>71</v>
      </c>
      <c r="T738">
        <v>236</v>
      </c>
      <c r="U738">
        <v>107</v>
      </c>
      <c r="V738">
        <v>45</v>
      </c>
      <c r="W738">
        <v>35</v>
      </c>
      <c r="X738">
        <v>58</v>
      </c>
      <c r="Y738" s="5">
        <v>1.84</v>
      </c>
    </row>
    <row r="739" spans="1:25" x14ac:dyDescent="0.25">
      <c r="A739">
        <v>2019</v>
      </c>
      <c r="B739" t="s">
        <v>57</v>
      </c>
      <c r="C739">
        <v>18</v>
      </c>
      <c r="D739">
        <v>171</v>
      </c>
      <c r="E739" t="s">
        <v>25</v>
      </c>
      <c r="F739" t="s">
        <v>53</v>
      </c>
      <c r="G739">
        <f t="shared" si="11"/>
        <v>0</v>
      </c>
      <c r="H739">
        <v>1</v>
      </c>
      <c r="I739">
        <v>12</v>
      </c>
      <c r="J739">
        <v>0</v>
      </c>
      <c r="K739" s="6" t="s">
        <v>60</v>
      </c>
      <c r="L739" s="6" t="s">
        <v>75</v>
      </c>
      <c r="M739">
        <v>104</v>
      </c>
      <c r="N739" s="1">
        <v>0.432</v>
      </c>
      <c r="O739">
        <v>19</v>
      </c>
      <c r="P739" s="1">
        <v>0.34499999999999997</v>
      </c>
      <c r="Q739" s="1">
        <v>0.78</v>
      </c>
      <c r="R739">
        <v>291</v>
      </c>
      <c r="S739">
        <v>27</v>
      </c>
      <c r="T739">
        <v>108</v>
      </c>
      <c r="U739">
        <v>68</v>
      </c>
      <c r="V739">
        <v>18</v>
      </c>
      <c r="W739">
        <v>13</v>
      </c>
      <c r="X739">
        <v>39</v>
      </c>
      <c r="Y739" s="5">
        <v>1.74</v>
      </c>
    </row>
    <row r="740" spans="1:25" x14ac:dyDescent="0.25">
      <c r="A740">
        <v>2019</v>
      </c>
      <c r="B740" t="s">
        <v>57</v>
      </c>
      <c r="C740">
        <v>18</v>
      </c>
      <c r="D740">
        <v>172</v>
      </c>
      <c r="E740" t="s">
        <v>20</v>
      </c>
      <c r="F740" t="s">
        <v>47</v>
      </c>
      <c r="G740">
        <f t="shared" si="11"/>
        <v>0</v>
      </c>
      <c r="H740">
        <v>5</v>
      </c>
      <c r="I740">
        <v>8</v>
      </c>
      <c r="J740">
        <v>0</v>
      </c>
      <c r="K740" s="6" t="s">
        <v>193</v>
      </c>
      <c r="L740" s="6" t="s">
        <v>117</v>
      </c>
      <c r="M740">
        <v>158</v>
      </c>
      <c r="N740" s="1">
        <v>0.45</v>
      </c>
      <c r="O740">
        <v>51</v>
      </c>
      <c r="P740" s="1">
        <v>0.36199999999999999</v>
      </c>
      <c r="Q740" s="1">
        <v>0.747</v>
      </c>
      <c r="R740">
        <v>435</v>
      </c>
      <c r="S740">
        <v>24</v>
      </c>
      <c r="T740">
        <v>106</v>
      </c>
      <c r="U740">
        <v>118</v>
      </c>
      <c r="V740">
        <v>32</v>
      </c>
      <c r="W740">
        <v>14</v>
      </c>
      <c r="X740">
        <v>63</v>
      </c>
      <c r="Y740" s="5">
        <v>1.87</v>
      </c>
    </row>
    <row r="741" spans="1:25" x14ac:dyDescent="0.25">
      <c r="A741">
        <v>2019</v>
      </c>
      <c r="B741" t="s">
        <v>57</v>
      </c>
      <c r="C741">
        <v>18</v>
      </c>
      <c r="D741">
        <v>172</v>
      </c>
      <c r="E741" t="s">
        <v>159</v>
      </c>
      <c r="F741" t="s">
        <v>116</v>
      </c>
      <c r="G741">
        <f t="shared" si="11"/>
        <v>1</v>
      </c>
      <c r="H741">
        <v>8</v>
      </c>
      <c r="I741">
        <v>5</v>
      </c>
      <c r="J741">
        <v>0</v>
      </c>
      <c r="K741" s="6" t="s">
        <v>62</v>
      </c>
      <c r="L741" s="6" t="s">
        <v>78</v>
      </c>
      <c r="M741">
        <v>229</v>
      </c>
      <c r="N741" s="1">
        <v>0.46500000000000002</v>
      </c>
      <c r="O741">
        <v>50</v>
      </c>
      <c r="P741" s="1">
        <v>0.35499999999999998</v>
      </c>
      <c r="Q741" s="1">
        <v>0.80500000000000005</v>
      </c>
      <c r="R741">
        <v>599</v>
      </c>
      <c r="S741">
        <v>50</v>
      </c>
      <c r="T741">
        <v>170</v>
      </c>
      <c r="U741">
        <v>126</v>
      </c>
      <c r="V741">
        <v>29</v>
      </c>
      <c r="W741">
        <v>23</v>
      </c>
      <c r="X741">
        <v>75</v>
      </c>
      <c r="Y741" s="5">
        <v>1.68</v>
      </c>
    </row>
    <row r="742" spans="1:25" x14ac:dyDescent="0.25">
      <c r="A742">
        <v>2019</v>
      </c>
      <c r="B742" t="s">
        <v>57</v>
      </c>
      <c r="C742">
        <v>18</v>
      </c>
      <c r="D742">
        <v>173</v>
      </c>
      <c r="E742" t="s">
        <v>19</v>
      </c>
      <c r="F742" t="s">
        <v>56</v>
      </c>
      <c r="G742">
        <f t="shared" si="11"/>
        <v>1</v>
      </c>
      <c r="H742">
        <v>9</v>
      </c>
      <c r="I742">
        <v>3</v>
      </c>
      <c r="J742">
        <v>1</v>
      </c>
      <c r="K742" s="6" t="s">
        <v>182</v>
      </c>
      <c r="L742" s="6" t="s">
        <v>76</v>
      </c>
      <c r="M742">
        <v>203</v>
      </c>
      <c r="N742" s="1">
        <v>0.48899999999999999</v>
      </c>
      <c r="O742">
        <v>58</v>
      </c>
      <c r="P742" s="1">
        <v>0.40600000000000003</v>
      </c>
      <c r="Q742" s="1">
        <v>0.748</v>
      </c>
      <c r="R742">
        <v>562</v>
      </c>
      <c r="S742">
        <v>44</v>
      </c>
      <c r="T742">
        <v>185</v>
      </c>
      <c r="U742">
        <v>118</v>
      </c>
      <c r="V742">
        <v>38</v>
      </c>
      <c r="W742">
        <v>22</v>
      </c>
      <c r="X742">
        <v>65</v>
      </c>
      <c r="Y742" s="5">
        <v>1.82</v>
      </c>
    </row>
    <row r="743" spans="1:25" x14ac:dyDescent="0.25">
      <c r="A743">
        <v>2019</v>
      </c>
      <c r="B743" t="s">
        <v>57</v>
      </c>
      <c r="C743">
        <v>18</v>
      </c>
      <c r="D743">
        <v>173</v>
      </c>
      <c r="E743" t="s">
        <v>181</v>
      </c>
      <c r="F743" t="s">
        <v>49</v>
      </c>
      <c r="G743">
        <f t="shared" si="11"/>
        <v>0</v>
      </c>
      <c r="H743">
        <v>3</v>
      </c>
      <c r="I743">
        <v>9</v>
      </c>
      <c r="J743">
        <v>1</v>
      </c>
      <c r="K743" s="6" t="s">
        <v>67</v>
      </c>
      <c r="L743" s="6" t="s">
        <v>82</v>
      </c>
      <c r="M743">
        <v>207</v>
      </c>
      <c r="N743" s="1">
        <v>0.47199999999999998</v>
      </c>
      <c r="O743">
        <v>41</v>
      </c>
      <c r="P743" s="1">
        <v>0.313</v>
      </c>
      <c r="Q743" s="1">
        <v>0.85599999999999998</v>
      </c>
      <c r="R743">
        <v>586</v>
      </c>
      <c r="S743">
        <v>25</v>
      </c>
      <c r="T743">
        <v>100</v>
      </c>
      <c r="U743">
        <v>110</v>
      </c>
      <c r="V743">
        <v>23</v>
      </c>
      <c r="W743">
        <v>17</v>
      </c>
      <c r="X743">
        <v>65</v>
      </c>
      <c r="Y743" s="5">
        <v>1.69</v>
      </c>
    </row>
    <row r="744" spans="1:25" x14ac:dyDescent="0.25">
      <c r="A744">
        <v>2019</v>
      </c>
      <c r="B744" t="s">
        <v>57</v>
      </c>
      <c r="C744">
        <v>18</v>
      </c>
      <c r="D744">
        <v>174</v>
      </c>
      <c r="E744" t="s">
        <v>24</v>
      </c>
      <c r="F744" t="s">
        <v>55</v>
      </c>
      <c r="G744">
        <f t="shared" si="11"/>
        <v>1</v>
      </c>
      <c r="H744">
        <v>8</v>
      </c>
      <c r="I744">
        <v>4</v>
      </c>
      <c r="J744">
        <v>1</v>
      </c>
      <c r="K744" s="6" t="s">
        <v>59</v>
      </c>
      <c r="L744" s="6" t="s">
        <v>74</v>
      </c>
      <c r="M744">
        <v>158</v>
      </c>
      <c r="N744" s="1">
        <v>0.45700000000000002</v>
      </c>
      <c r="O744">
        <v>50</v>
      </c>
      <c r="P744" s="1">
        <v>0.42699999999999999</v>
      </c>
      <c r="Q744" s="1">
        <v>0.77500000000000002</v>
      </c>
      <c r="R744">
        <v>452</v>
      </c>
      <c r="S744">
        <v>37</v>
      </c>
      <c r="T744">
        <v>154</v>
      </c>
      <c r="U744">
        <v>86</v>
      </c>
      <c r="V744">
        <v>25</v>
      </c>
      <c r="W744">
        <v>22</v>
      </c>
      <c r="X744">
        <v>48</v>
      </c>
      <c r="Y744" s="5">
        <v>1.79</v>
      </c>
    </row>
    <row r="745" spans="1:25" x14ac:dyDescent="0.25">
      <c r="A745">
        <v>2019</v>
      </c>
      <c r="B745" t="s">
        <v>57</v>
      </c>
      <c r="C745">
        <v>18</v>
      </c>
      <c r="D745">
        <v>174</v>
      </c>
      <c r="E745" t="s">
        <v>18</v>
      </c>
      <c r="F745" t="s">
        <v>52</v>
      </c>
      <c r="G745">
        <f t="shared" si="11"/>
        <v>0</v>
      </c>
      <c r="H745">
        <v>4</v>
      </c>
      <c r="I745">
        <v>8</v>
      </c>
      <c r="J745">
        <v>1</v>
      </c>
      <c r="K745" s="6" t="s">
        <v>69</v>
      </c>
      <c r="L745" s="6" t="s">
        <v>86</v>
      </c>
      <c r="M745">
        <v>145</v>
      </c>
      <c r="N745" s="1">
        <v>0.45200000000000001</v>
      </c>
      <c r="O745">
        <v>21</v>
      </c>
      <c r="P745" s="1">
        <v>0.253</v>
      </c>
      <c r="Q745" s="1">
        <v>0.91300000000000003</v>
      </c>
      <c r="R745">
        <v>374</v>
      </c>
      <c r="S745">
        <v>47</v>
      </c>
      <c r="T745">
        <v>98</v>
      </c>
      <c r="U745">
        <v>77</v>
      </c>
      <c r="V745">
        <v>25</v>
      </c>
      <c r="W745">
        <v>16</v>
      </c>
      <c r="X745">
        <v>34</v>
      </c>
      <c r="Y745" s="5">
        <v>2.2599999999999998</v>
      </c>
    </row>
    <row r="746" spans="1:25" x14ac:dyDescent="0.25">
      <c r="A746">
        <v>2019</v>
      </c>
      <c r="B746" t="s">
        <v>57</v>
      </c>
      <c r="C746">
        <v>18</v>
      </c>
      <c r="D746">
        <v>175</v>
      </c>
      <c r="E746" t="s">
        <v>23</v>
      </c>
      <c r="F746" t="s">
        <v>120</v>
      </c>
      <c r="G746">
        <f t="shared" si="11"/>
        <v>1</v>
      </c>
      <c r="H746">
        <v>9</v>
      </c>
      <c r="I746">
        <v>4</v>
      </c>
      <c r="J746">
        <v>0</v>
      </c>
      <c r="K746" s="6" t="s">
        <v>61</v>
      </c>
      <c r="L746" s="6" t="s">
        <v>77</v>
      </c>
      <c r="M746">
        <v>141</v>
      </c>
      <c r="N746" s="1">
        <v>0.435</v>
      </c>
      <c r="O746">
        <v>42</v>
      </c>
      <c r="P746" s="1">
        <v>0.33300000000000002</v>
      </c>
      <c r="Q746" s="1">
        <v>0.88100000000000001</v>
      </c>
      <c r="R746">
        <v>398</v>
      </c>
      <c r="S746">
        <v>44</v>
      </c>
      <c r="T746">
        <v>137</v>
      </c>
      <c r="U746">
        <v>88</v>
      </c>
      <c r="V746">
        <v>43</v>
      </c>
      <c r="W746">
        <v>35</v>
      </c>
      <c r="X746">
        <v>44</v>
      </c>
      <c r="Y746" s="5">
        <v>1.96</v>
      </c>
    </row>
    <row r="747" spans="1:25" x14ac:dyDescent="0.25">
      <c r="A747">
        <v>2019</v>
      </c>
      <c r="B747" t="s">
        <v>57</v>
      </c>
      <c r="C747">
        <v>18</v>
      </c>
      <c r="D747">
        <v>175</v>
      </c>
      <c r="E747" t="s">
        <v>15</v>
      </c>
      <c r="F747" t="s">
        <v>48</v>
      </c>
      <c r="G747">
        <f t="shared" si="11"/>
        <v>0</v>
      </c>
      <c r="H747">
        <v>4</v>
      </c>
      <c r="I747">
        <v>9</v>
      </c>
      <c r="J747">
        <v>0</v>
      </c>
      <c r="K747" s="6" t="s">
        <v>71</v>
      </c>
      <c r="L747" s="6" t="s">
        <v>121</v>
      </c>
      <c r="M747">
        <v>166</v>
      </c>
      <c r="N747" s="1">
        <v>0.41599999999999998</v>
      </c>
      <c r="O747">
        <v>71</v>
      </c>
      <c r="P747" s="1">
        <v>0.38400000000000001</v>
      </c>
      <c r="Q747" s="1">
        <v>0.76800000000000002</v>
      </c>
      <c r="R747">
        <v>466</v>
      </c>
      <c r="S747">
        <v>25</v>
      </c>
      <c r="T747">
        <v>109</v>
      </c>
      <c r="U747">
        <v>84</v>
      </c>
      <c r="V747">
        <v>40</v>
      </c>
      <c r="W747">
        <v>13</v>
      </c>
      <c r="X747">
        <v>45</v>
      </c>
      <c r="Y747" s="5">
        <v>1.87</v>
      </c>
    </row>
    <row r="748" spans="1:25" x14ac:dyDescent="0.25">
      <c r="A748">
        <v>2019</v>
      </c>
      <c r="B748" t="s">
        <v>57</v>
      </c>
      <c r="C748">
        <v>18</v>
      </c>
      <c r="D748">
        <v>176</v>
      </c>
      <c r="E748" t="s">
        <v>17</v>
      </c>
      <c r="F748" t="s">
        <v>43</v>
      </c>
      <c r="G748">
        <f t="shared" si="11"/>
        <v>1</v>
      </c>
      <c r="H748">
        <v>10</v>
      </c>
      <c r="I748">
        <v>3</v>
      </c>
      <c r="J748">
        <v>0</v>
      </c>
      <c r="K748" s="6" t="s">
        <v>111</v>
      </c>
      <c r="L748" s="6" t="s">
        <v>89</v>
      </c>
      <c r="M748">
        <v>184</v>
      </c>
      <c r="N748" s="1">
        <v>0.443</v>
      </c>
      <c r="O748">
        <v>57</v>
      </c>
      <c r="P748" s="1">
        <v>0.34799999999999998</v>
      </c>
      <c r="Q748" s="1">
        <v>0.77200000000000002</v>
      </c>
      <c r="R748">
        <v>503</v>
      </c>
      <c r="S748">
        <v>48</v>
      </c>
      <c r="T748">
        <v>182</v>
      </c>
      <c r="U748">
        <v>125</v>
      </c>
      <c r="V748">
        <v>30</v>
      </c>
      <c r="W748">
        <v>14</v>
      </c>
      <c r="X748">
        <v>54</v>
      </c>
      <c r="Y748" s="5">
        <v>2.31</v>
      </c>
    </row>
    <row r="749" spans="1:25" x14ac:dyDescent="0.25">
      <c r="A749">
        <v>2019</v>
      </c>
      <c r="B749" t="s">
        <v>57</v>
      </c>
      <c r="C749">
        <v>18</v>
      </c>
      <c r="D749">
        <v>176</v>
      </c>
      <c r="E749" t="s">
        <v>97</v>
      </c>
      <c r="F749" t="s">
        <v>54</v>
      </c>
      <c r="G749">
        <f t="shared" si="11"/>
        <v>0</v>
      </c>
      <c r="H749">
        <v>3</v>
      </c>
      <c r="I749">
        <v>10</v>
      </c>
      <c r="J749">
        <v>0</v>
      </c>
      <c r="K749" s="6" t="s">
        <v>63</v>
      </c>
      <c r="L749" s="6" t="s">
        <v>79</v>
      </c>
      <c r="M749">
        <v>128</v>
      </c>
      <c r="N749" s="1">
        <v>0.45600000000000002</v>
      </c>
      <c r="O749">
        <v>53</v>
      </c>
      <c r="P749" s="1">
        <v>0.434</v>
      </c>
      <c r="Q749" s="1">
        <v>0.77900000000000003</v>
      </c>
      <c r="R749">
        <v>376</v>
      </c>
      <c r="S749">
        <v>19</v>
      </c>
      <c r="T749">
        <v>93</v>
      </c>
      <c r="U749">
        <v>99</v>
      </c>
      <c r="V749">
        <v>17</v>
      </c>
      <c r="W749">
        <v>8</v>
      </c>
      <c r="X749">
        <v>59</v>
      </c>
      <c r="Y749" s="5">
        <v>1.68</v>
      </c>
    </row>
    <row r="750" spans="1:25" x14ac:dyDescent="0.25">
      <c r="A750">
        <v>2019</v>
      </c>
      <c r="B750" t="s">
        <v>57</v>
      </c>
      <c r="C750">
        <v>18</v>
      </c>
      <c r="D750">
        <v>177</v>
      </c>
      <c r="E750" t="s">
        <v>28</v>
      </c>
      <c r="F750" t="s">
        <v>46</v>
      </c>
      <c r="G750">
        <f t="shared" si="11"/>
        <v>0</v>
      </c>
      <c r="H750">
        <v>5</v>
      </c>
      <c r="I750">
        <v>7</v>
      </c>
      <c r="J750">
        <v>1</v>
      </c>
      <c r="K750" s="6" t="s">
        <v>112</v>
      </c>
      <c r="L750" s="6" t="s">
        <v>88</v>
      </c>
      <c r="M750">
        <v>217</v>
      </c>
      <c r="N750" s="1">
        <v>0.45600000000000002</v>
      </c>
      <c r="O750">
        <v>58</v>
      </c>
      <c r="P750" s="1">
        <v>0.372</v>
      </c>
      <c r="Q750" s="1">
        <v>0.78700000000000003</v>
      </c>
      <c r="R750">
        <v>614</v>
      </c>
      <c r="S750">
        <v>54</v>
      </c>
      <c r="T750">
        <v>228</v>
      </c>
      <c r="U750">
        <v>134</v>
      </c>
      <c r="V750">
        <v>38</v>
      </c>
      <c r="W750">
        <v>21</v>
      </c>
      <c r="X750">
        <v>88</v>
      </c>
      <c r="Y750" s="5">
        <v>1.52</v>
      </c>
    </row>
    <row r="751" spans="1:25" x14ac:dyDescent="0.25">
      <c r="A751">
        <v>2019</v>
      </c>
      <c r="B751" t="s">
        <v>57</v>
      </c>
      <c r="C751">
        <v>18</v>
      </c>
      <c r="D751">
        <v>177</v>
      </c>
      <c r="E751" t="s">
        <v>98</v>
      </c>
      <c r="F751" t="s">
        <v>41</v>
      </c>
      <c r="G751">
        <f t="shared" si="11"/>
        <v>1</v>
      </c>
      <c r="H751">
        <v>7</v>
      </c>
      <c r="I751">
        <v>5</v>
      </c>
      <c r="J751">
        <v>1</v>
      </c>
      <c r="K751" s="6" t="s">
        <v>64</v>
      </c>
      <c r="L751" s="6" t="s">
        <v>80</v>
      </c>
      <c r="M751">
        <v>217</v>
      </c>
      <c r="N751" s="1">
        <v>0.47499999999999998</v>
      </c>
      <c r="O751">
        <v>59</v>
      </c>
      <c r="P751" s="1">
        <v>0.38300000000000001</v>
      </c>
      <c r="Q751" s="1">
        <v>0.84499999999999997</v>
      </c>
      <c r="R751">
        <v>580</v>
      </c>
      <c r="S751">
        <v>71</v>
      </c>
      <c r="T751">
        <v>180</v>
      </c>
      <c r="U751">
        <v>127</v>
      </c>
      <c r="V751">
        <v>33</v>
      </c>
      <c r="W751">
        <v>12</v>
      </c>
      <c r="X751">
        <v>43</v>
      </c>
      <c r="Y751" s="5">
        <v>2.95</v>
      </c>
    </row>
    <row r="752" spans="1:25" x14ac:dyDescent="0.25">
      <c r="A752">
        <v>2019</v>
      </c>
      <c r="B752" t="s">
        <v>57</v>
      </c>
      <c r="C752">
        <v>18</v>
      </c>
      <c r="D752">
        <v>178</v>
      </c>
      <c r="E752" t="s">
        <v>21</v>
      </c>
      <c r="F752" t="s">
        <v>50</v>
      </c>
      <c r="G752">
        <f t="shared" si="11"/>
        <v>1</v>
      </c>
      <c r="H752">
        <v>8</v>
      </c>
      <c r="I752">
        <v>5</v>
      </c>
      <c r="J752">
        <v>0</v>
      </c>
      <c r="K752" s="6" t="s">
        <v>66</v>
      </c>
      <c r="L752" s="6" t="s">
        <v>81</v>
      </c>
      <c r="M752">
        <v>186</v>
      </c>
      <c r="N752" s="1">
        <v>0.47199999999999998</v>
      </c>
      <c r="O752">
        <v>43</v>
      </c>
      <c r="P752" s="1">
        <v>0.32800000000000001</v>
      </c>
      <c r="Q752" s="1">
        <v>0.77600000000000002</v>
      </c>
      <c r="R752">
        <v>519</v>
      </c>
      <c r="S752">
        <v>43</v>
      </c>
      <c r="T752">
        <v>118</v>
      </c>
      <c r="U752">
        <v>98</v>
      </c>
      <c r="V752">
        <v>29</v>
      </c>
      <c r="W752">
        <v>31</v>
      </c>
      <c r="X752">
        <v>71</v>
      </c>
      <c r="Y752" s="5">
        <v>1.38</v>
      </c>
    </row>
    <row r="753" spans="1:25" x14ac:dyDescent="0.25">
      <c r="A753">
        <v>2019</v>
      </c>
      <c r="B753" t="s">
        <v>57</v>
      </c>
      <c r="C753">
        <v>18</v>
      </c>
      <c r="D753">
        <v>178</v>
      </c>
      <c r="E753" t="s">
        <v>22</v>
      </c>
      <c r="F753" t="s">
        <v>44</v>
      </c>
      <c r="G753">
        <f t="shared" si="11"/>
        <v>0</v>
      </c>
      <c r="H753">
        <v>5</v>
      </c>
      <c r="I753">
        <v>8</v>
      </c>
      <c r="J753">
        <v>0</v>
      </c>
      <c r="K753" s="6" t="s">
        <v>70</v>
      </c>
      <c r="L753" s="6" t="s">
        <v>87</v>
      </c>
      <c r="M753">
        <v>140</v>
      </c>
      <c r="N753" s="1">
        <v>0.48599999999999999</v>
      </c>
      <c r="O753">
        <v>32</v>
      </c>
      <c r="P753" s="1">
        <v>0.39</v>
      </c>
      <c r="Q753" s="1">
        <v>0.77900000000000003</v>
      </c>
      <c r="R753">
        <v>372</v>
      </c>
      <c r="S753">
        <v>34</v>
      </c>
      <c r="T753">
        <v>101</v>
      </c>
      <c r="U753">
        <v>80</v>
      </c>
      <c r="V753">
        <v>11</v>
      </c>
      <c r="W753">
        <v>10</v>
      </c>
      <c r="X753">
        <v>48</v>
      </c>
      <c r="Y753" s="5">
        <v>1.67</v>
      </c>
    </row>
    <row r="754" spans="1:25" x14ac:dyDescent="0.25">
      <c r="A754">
        <v>2019</v>
      </c>
      <c r="B754" t="s">
        <v>57</v>
      </c>
      <c r="C754">
        <v>18</v>
      </c>
      <c r="D754">
        <v>179</v>
      </c>
      <c r="E754" t="s">
        <v>33</v>
      </c>
      <c r="F754" t="s">
        <v>42</v>
      </c>
      <c r="G754">
        <f t="shared" si="11"/>
        <v>1</v>
      </c>
      <c r="H754">
        <v>9</v>
      </c>
      <c r="I754">
        <v>4</v>
      </c>
      <c r="J754">
        <v>0</v>
      </c>
      <c r="K754" s="6" t="s">
        <v>65</v>
      </c>
      <c r="L754" s="6" t="s">
        <v>119</v>
      </c>
      <c r="M754">
        <v>232</v>
      </c>
      <c r="N754" s="1">
        <v>0.5</v>
      </c>
      <c r="O754">
        <v>66</v>
      </c>
      <c r="P754" s="1">
        <v>0.35899999999999999</v>
      </c>
      <c r="Q754" s="1">
        <v>0.77500000000000002</v>
      </c>
      <c r="R754">
        <v>664</v>
      </c>
      <c r="S754">
        <v>44</v>
      </c>
      <c r="T754">
        <v>192</v>
      </c>
      <c r="U754">
        <v>142</v>
      </c>
      <c r="V754">
        <v>31</v>
      </c>
      <c r="W754">
        <v>36</v>
      </c>
      <c r="X754">
        <v>62</v>
      </c>
      <c r="Y754" s="5">
        <v>2.29</v>
      </c>
    </row>
    <row r="755" spans="1:25" x14ac:dyDescent="0.25">
      <c r="A755">
        <v>2019</v>
      </c>
      <c r="B755" t="s">
        <v>57</v>
      </c>
      <c r="C755">
        <v>18</v>
      </c>
      <c r="D755">
        <v>179</v>
      </c>
      <c r="E755" t="s">
        <v>26</v>
      </c>
      <c r="F755" t="s">
        <v>118</v>
      </c>
      <c r="G755">
        <f t="shared" si="11"/>
        <v>0</v>
      </c>
      <c r="H755">
        <v>4</v>
      </c>
      <c r="I755">
        <v>9</v>
      </c>
      <c r="J755">
        <v>0</v>
      </c>
      <c r="K755" s="6" t="s">
        <v>72</v>
      </c>
      <c r="L755" s="6" t="s">
        <v>85</v>
      </c>
      <c r="M755">
        <v>186</v>
      </c>
      <c r="N755" s="1">
        <v>0.505</v>
      </c>
      <c r="O755">
        <v>48</v>
      </c>
      <c r="P755" s="1">
        <v>0.36599999999999999</v>
      </c>
      <c r="Q755" s="1">
        <v>0.76700000000000002</v>
      </c>
      <c r="R755">
        <v>535</v>
      </c>
      <c r="S755">
        <v>61</v>
      </c>
      <c r="T755">
        <v>181</v>
      </c>
      <c r="U755">
        <v>148</v>
      </c>
      <c r="V755">
        <v>27</v>
      </c>
      <c r="W755">
        <v>33</v>
      </c>
      <c r="X755">
        <v>79</v>
      </c>
      <c r="Y755" s="5">
        <v>1.87</v>
      </c>
    </row>
    <row r="756" spans="1:25" x14ac:dyDescent="0.25">
      <c r="A756">
        <v>2019</v>
      </c>
      <c r="B756" t="s">
        <v>57</v>
      </c>
      <c r="C756">
        <v>18</v>
      </c>
      <c r="D756">
        <v>180</v>
      </c>
      <c r="E756" t="s">
        <v>94</v>
      </c>
      <c r="F756" t="s">
        <v>40</v>
      </c>
      <c r="G756">
        <f t="shared" si="11"/>
        <v>0</v>
      </c>
      <c r="H756">
        <v>5</v>
      </c>
      <c r="I756">
        <v>8</v>
      </c>
      <c r="J756">
        <v>0</v>
      </c>
      <c r="K756" s="6" t="s">
        <v>191</v>
      </c>
      <c r="L756" s="6" t="s">
        <v>113</v>
      </c>
      <c r="M756">
        <v>209</v>
      </c>
      <c r="N756" s="1">
        <v>0.442</v>
      </c>
      <c r="O756">
        <v>71</v>
      </c>
      <c r="P756" s="1">
        <v>0.33200000000000002</v>
      </c>
      <c r="Q756" s="1">
        <v>0.81100000000000005</v>
      </c>
      <c r="R756">
        <v>609</v>
      </c>
      <c r="S756">
        <v>59</v>
      </c>
      <c r="T756">
        <v>197</v>
      </c>
      <c r="U756">
        <v>108</v>
      </c>
      <c r="V756">
        <v>38</v>
      </c>
      <c r="W756">
        <v>27</v>
      </c>
      <c r="X756">
        <v>67</v>
      </c>
      <c r="Y756" s="5">
        <v>1.61</v>
      </c>
    </row>
    <row r="757" spans="1:25" x14ac:dyDescent="0.25">
      <c r="A757">
        <v>2019</v>
      </c>
      <c r="B757" t="s">
        <v>57</v>
      </c>
      <c r="C757">
        <v>18</v>
      </c>
      <c r="D757">
        <v>180</v>
      </c>
      <c r="E757" t="s">
        <v>190</v>
      </c>
      <c r="F757" t="s">
        <v>103</v>
      </c>
      <c r="G757">
        <f t="shared" si="11"/>
        <v>1</v>
      </c>
      <c r="H757">
        <v>8</v>
      </c>
      <c r="I757">
        <v>5</v>
      </c>
      <c r="J757">
        <v>0</v>
      </c>
      <c r="K757" s="6" t="s">
        <v>106</v>
      </c>
      <c r="L757" s="6" t="s">
        <v>83</v>
      </c>
      <c r="M757">
        <v>235</v>
      </c>
      <c r="N757" s="1">
        <v>0.45600000000000002</v>
      </c>
      <c r="O757">
        <v>67</v>
      </c>
      <c r="P757" s="1">
        <v>0.34499999999999997</v>
      </c>
      <c r="Q757" s="1">
        <v>0.79800000000000004</v>
      </c>
      <c r="R757">
        <v>624</v>
      </c>
      <c r="S757">
        <v>53</v>
      </c>
      <c r="T757">
        <v>187</v>
      </c>
      <c r="U757">
        <v>139</v>
      </c>
      <c r="V757">
        <v>33</v>
      </c>
      <c r="W757">
        <v>29</v>
      </c>
      <c r="X757">
        <v>65</v>
      </c>
      <c r="Y757" s="5">
        <v>2.14</v>
      </c>
    </row>
    <row r="758" spans="1:25" x14ac:dyDescent="0.25">
      <c r="A758">
        <v>2019</v>
      </c>
      <c r="B758" t="s">
        <v>57</v>
      </c>
      <c r="C758">
        <v>19</v>
      </c>
      <c r="D758">
        <v>181</v>
      </c>
      <c r="E758" t="s">
        <v>16</v>
      </c>
      <c r="F758" t="s">
        <v>51</v>
      </c>
      <c r="G758">
        <f t="shared" si="11"/>
        <v>1</v>
      </c>
      <c r="H758">
        <v>9</v>
      </c>
      <c r="I758">
        <v>4</v>
      </c>
      <c r="J758">
        <v>0</v>
      </c>
      <c r="K758" s="6" t="s">
        <v>67</v>
      </c>
      <c r="L758" s="6" t="s">
        <v>82</v>
      </c>
      <c r="M758">
        <v>195</v>
      </c>
      <c r="N758" s="1">
        <v>0.47599999999999998</v>
      </c>
      <c r="O758">
        <v>47</v>
      </c>
      <c r="P758" s="1">
        <v>0.35099999999999998</v>
      </c>
      <c r="Q758" s="1">
        <v>0.81200000000000006</v>
      </c>
      <c r="R758">
        <v>545</v>
      </c>
      <c r="S758">
        <v>69</v>
      </c>
      <c r="T758">
        <v>184</v>
      </c>
      <c r="U758">
        <v>133</v>
      </c>
      <c r="V758">
        <v>44</v>
      </c>
      <c r="W758">
        <v>23</v>
      </c>
      <c r="X758">
        <v>63</v>
      </c>
      <c r="Y758" s="5">
        <v>2.11</v>
      </c>
    </row>
    <row r="759" spans="1:25" x14ac:dyDescent="0.25">
      <c r="A759">
        <v>2019</v>
      </c>
      <c r="B759" t="s">
        <v>57</v>
      </c>
      <c r="C759">
        <v>19</v>
      </c>
      <c r="D759">
        <v>181</v>
      </c>
      <c r="E759" t="s">
        <v>19</v>
      </c>
      <c r="F759" t="s">
        <v>56</v>
      </c>
      <c r="G759">
        <f t="shared" si="11"/>
        <v>0</v>
      </c>
      <c r="H759">
        <v>4</v>
      </c>
      <c r="I759">
        <v>9</v>
      </c>
      <c r="J759">
        <v>0</v>
      </c>
      <c r="K759" s="6" t="s">
        <v>60</v>
      </c>
      <c r="L759" s="6" t="s">
        <v>75</v>
      </c>
      <c r="M759">
        <v>165</v>
      </c>
      <c r="N759" s="1">
        <v>0.45</v>
      </c>
      <c r="O759">
        <v>53</v>
      </c>
      <c r="P759" s="1">
        <v>0.38400000000000001</v>
      </c>
      <c r="Q759" s="1">
        <v>0.78200000000000003</v>
      </c>
      <c r="R759">
        <v>469</v>
      </c>
      <c r="S759">
        <v>40</v>
      </c>
      <c r="T759">
        <v>156</v>
      </c>
      <c r="U759">
        <v>104</v>
      </c>
      <c r="V759">
        <v>29</v>
      </c>
      <c r="W759">
        <v>25</v>
      </c>
      <c r="X759">
        <v>57</v>
      </c>
      <c r="Y759" s="5">
        <v>1.82</v>
      </c>
    </row>
    <row r="760" spans="1:25" x14ac:dyDescent="0.25">
      <c r="A760">
        <v>2019</v>
      </c>
      <c r="B760" t="s">
        <v>57</v>
      </c>
      <c r="C760">
        <v>19</v>
      </c>
      <c r="D760">
        <v>182</v>
      </c>
      <c r="E760" t="s">
        <v>181</v>
      </c>
      <c r="F760" t="s">
        <v>49</v>
      </c>
      <c r="G760">
        <f t="shared" si="11"/>
        <v>1</v>
      </c>
      <c r="H760">
        <v>7</v>
      </c>
      <c r="I760">
        <v>6</v>
      </c>
      <c r="J760">
        <v>0</v>
      </c>
      <c r="K760" s="6" t="s">
        <v>193</v>
      </c>
      <c r="L760" s="6" t="s">
        <v>117</v>
      </c>
      <c r="M760">
        <v>228</v>
      </c>
      <c r="N760" s="1">
        <v>0.49399999999999999</v>
      </c>
      <c r="O760">
        <v>46</v>
      </c>
      <c r="P760" s="1">
        <v>0.33100000000000002</v>
      </c>
      <c r="Q760" s="1">
        <v>0.82899999999999996</v>
      </c>
      <c r="R760">
        <v>618</v>
      </c>
      <c r="S760">
        <v>42</v>
      </c>
      <c r="T760">
        <v>133</v>
      </c>
      <c r="U760">
        <v>78</v>
      </c>
      <c r="V760">
        <v>31</v>
      </c>
      <c r="W760">
        <v>12</v>
      </c>
      <c r="X760">
        <v>53</v>
      </c>
      <c r="Y760" s="5">
        <v>1.47</v>
      </c>
    </row>
    <row r="761" spans="1:25" x14ac:dyDescent="0.25">
      <c r="A761">
        <v>2019</v>
      </c>
      <c r="B761" t="s">
        <v>57</v>
      </c>
      <c r="C761">
        <v>19</v>
      </c>
      <c r="D761">
        <v>182</v>
      </c>
      <c r="E761" t="s">
        <v>159</v>
      </c>
      <c r="F761" t="s">
        <v>116</v>
      </c>
      <c r="G761">
        <f t="shared" si="11"/>
        <v>0</v>
      </c>
      <c r="H761">
        <v>6</v>
      </c>
      <c r="I761">
        <v>7</v>
      </c>
      <c r="J761">
        <v>0</v>
      </c>
      <c r="K761" s="6" t="s">
        <v>182</v>
      </c>
      <c r="L761" s="6" t="s">
        <v>76</v>
      </c>
      <c r="M761">
        <v>178</v>
      </c>
      <c r="N761" s="1">
        <v>0.45200000000000001</v>
      </c>
      <c r="O761">
        <v>41</v>
      </c>
      <c r="P761" s="1">
        <v>0.32500000000000001</v>
      </c>
      <c r="Q761" s="1">
        <v>0.78900000000000003</v>
      </c>
      <c r="R761">
        <v>472</v>
      </c>
      <c r="S761">
        <v>44</v>
      </c>
      <c r="T761">
        <v>139</v>
      </c>
      <c r="U761">
        <v>97</v>
      </c>
      <c r="V761">
        <v>30</v>
      </c>
      <c r="W761">
        <v>14</v>
      </c>
      <c r="X761">
        <v>52</v>
      </c>
      <c r="Y761" s="5">
        <v>1.87</v>
      </c>
    </row>
    <row r="762" spans="1:25" x14ac:dyDescent="0.25">
      <c r="A762">
        <v>2019</v>
      </c>
      <c r="B762" t="s">
        <v>57</v>
      </c>
      <c r="C762">
        <v>19</v>
      </c>
      <c r="D762">
        <v>183</v>
      </c>
      <c r="E762" t="s">
        <v>25</v>
      </c>
      <c r="F762" t="s">
        <v>53</v>
      </c>
      <c r="G762">
        <f t="shared" si="11"/>
        <v>0</v>
      </c>
      <c r="H762">
        <v>5</v>
      </c>
      <c r="I762">
        <v>8</v>
      </c>
      <c r="J762">
        <v>0</v>
      </c>
      <c r="K762" s="6" t="s">
        <v>59</v>
      </c>
      <c r="L762" s="6" t="s">
        <v>74</v>
      </c>
      <c r="M762">
        <v>148</v>
      </c>
      <c r="N762" s="1">
        <v>0.46100000000000002</v>
      </c>
      <c r="O762">
        <v>17</v>
      </c>
      <c r="P762" s="1">
        <v>0.28799999999999998</v>
      </c>
      <c r="Q762" s="1">
        <v>0.7</v>
      </c>
      <c r="R762">
        <v>369</v>
      </c>
      <c r="S762">
        <v>51</v>
      </c>
      <c r="T762">
        <v>164</v>
      </c>
      <c r="U762">
        <v>114</v>
      </c>
      <c r="V762">
        <v>23</v>
      </c>
      <c r="W762">
        <v>14</v>
      </c>
      <c r="X762">
        <v>58</v>
      </c>
      <c r="Y762" s="5">
        <v>1.97</v>
      </c>
    </row>
    <row r="763" spans="1:25" x14ac:dyDescent="0.25">
      <c r="A763">
        <v>2019</v>
      </c>
      <c r="B763" t="s">
        <v>57</v>
      </c>
      <c r="C763">
        <v>19</v>
      </c>
      <c r="D763">
        <v>183</v>
      </c>
      <c r="E763" t="s">
        <v>18</v>
      </c>
      <c r="F763" t="s">
        <v>52</v>
      </c>
      <c r="G763">
        <f t="shared" si="11"/>
        <v>1</v>
      </c>
      <c r="H763">
        <v>8</v>
      </c>
      <c r="I763">
        <v>5</v>
      </c>
      <c r="J763">
        <v>0</v>
      </c>
      <c r="K763" s="6" t="s">
        <v>68</v>
      </c>
      <c r="L763" s="6" t="s">
        <v>84</v>
      </c>
      <c r="M763">
        <v>156</v>
      </c>
      <c r="N763" s="1">
        <v>0.48099999999999998</v>
      </c>
      <c r="O763">
        <v>52</v>
      </c>
      <c r="P763" s="1">
        <v>0.42299999999999999</v>
      </c>
      <c r="Q763" s="1">
        <v>0.70199999999999996</v>
      </c>
      <c r="R763">
        <v>423</v>
      </c>
      <c r="S763">
        <v>38</v>
      </c>
      <c r="T763">
        <v>129</v>
      </c>
      <c r="U763">
        <v>66</v>
      </c>
      <c r="V763">
        <v>14</v>
      </c>
      <c r="W763">
        <v>21</v>
      </c>
      <c r="X763">
        <v>37</v>
      </c>
      <c r="Y763" s="5">
        <v>1.78</v>
      </c>
    </row>
    <row r="764" spans="1:25" x14ac:dyDescent="0.25">
      <c r="A764">
        <v>2019</v>
      </c>
      <c r="B764" t="s">
        <v>57</v>
      </c>
      <c r="C764">
        <v>19</v>
      </c>
      <c r="D764">
        <v>184</v>
      </c>
      <c r="E764" t="s">
        <v>15</v>
      </c>
      <c r="F764" t="s">
        <v>48</v>
      </c>
      <c r="G764">
        <f t="shared" si="11"/>
        <v>1</v>
      </c>
      <c r="H764">
        <v>10</v>
      </c>
      <c r="I764">
        <v>3</v>
      </c>
      <c r="J764">
        <v>0</v>
      </c>
      <c r="K764" s="6" t="s">
        <v>69</v>
      </c>
      <c r="L764" s="6" t="s">
        <v>86</v>
      </c>
      <c r="M764">
        <v>155</v>
      </c>
      <c r="N764" s="1">
        <v>0.41799999999999998</v>
      </c>
      <c r="O764">
        <v>50</v>
      </c>
      <c r="P764" s="1">
        <v>0.33800000000000002</v>
      </c>
      <c r="Q764" s="1">
        <v>0.77200000000000002</v>
      </c>
      <c r="R764">
        <v>431</v>
      </c>
      <c r="S764">
        <v>29</v>
      </c>
      <c r="T764">
        <v>107</v>
      </c>
      <c r="U764">
        <v>78</v>
      </c>
      <c r="V764">
        <v>25</v>
      </c>
      <c r="W764">
        <v>10</v>
      </c>
      <c r="X764">
        <v>44</v>
      </c>
      <c r="Y764" s="5">
        <v>1.77</v>
      </c>
    </row>
    <row r="765" spans="1:25" x14ac:dyDescent="0.25">
      <c r="A765">
        <v>2019</v>
      </c>
      <c r="B765" t="s">
        <v>57</v>
      </c>
      <c r="C765">
        <v>19</v>
      </c>
      <c r="D765">
        <v>184</v>
      </c>
      <c r="E765" t="s">
        <v>24</v>
      </c>
      <c r="F765" t="s">
        <v>55</v>
      </c>
      <c r="G765">
        <f t="shared" si="11"/>
        <v>0</v>
      </c>
      <c r="H765">
        <v>3</v>
      </c>
      <c r="I765">
        <v>10</v>
      </c>
      <c r="J765">
        <v>0</v>
      </c>
      <c r="K765" s="6" t="s">
        <v>61</v>
      </c>
      <c r="L765" s="6" t="s">
        <v>77</v>
      </c>
      <c r="M765">
        <v>141</v>
      </c>
      <c r="N765" s="1">
        <v>0.40200000000000002</v>
      </c>
      <c r="O765">
        <v>36</v>
      </c>
      <c r="P765" s="1">
        <v>0.28999999999999998</v>
      </c>
      <c r="Q765" s="1">
        <v>0.73399999999999999</v>
      </c>
      <c r="R765">
        <v>387</v>
      </c>
      <c r="S765">
        <v>43</v>
      </c>
      <c r="T765">
        <v>111</v>
      </c>
      <c r="U765">
        <v>75</v>
      </c>
      <c r="V765">
        <v>24</v>
      </c>
      <c r="W765">
        <v>20</v>
      </c>
      <c r="X765">
        <v>54</v>
      </c>
      <c r="Y765" s="5">
        <v>1.39</v>
      </c>
    </row>
    <row r="766" spans="1:25" x14ac:dyDescent="0.25">
      <c r="A766">
        <v>2019</v>
      </c>
      <c r="B766" t="s">
        <v>57</v>
      </c>
      <c r="C766">
        <v>19</v>
      </c>
      <c r="D766">
        <v>185</v>
      </c>
      <c r="E766" t="s">
        <v>23</v>
      </c>
      <c r="F766" t="s">
        <v>120</v>
      </c>
      <c r="G766">
        <f t="shared" si="11"/>
        <v>1</v>
      </c>
      <c r="H766">
        <v>9</v>
      </c>
      <c r="I766">
        <v>4</v>
      </c>
      <c r="J766">
        <v>0</v>
      </c>
      <c r="K766" s="6" t="s">
        <v>63</v>
      </c>
      <c r="L766" s="6" t="s">
        <v>79</v>
      </c>
      <c r="M766">
        <v>185</v>
      </c>
      <c r="N766" s="1">
        <v>0.49199999999999999</v>
      </c>
      <c r="O766">
        <v>61</v>
      </c>
      <c r="P766" s="1">
        <v>0.40100000000000002</v>
      </c>
      <c r="Q766" s="1">
        <v>0.71599999999999997</v>
      </c>
      <c r="R766">
        <v>484</v>
      </c>
      <c r="S766">
        <v>51</v>
      </c>
      <c r="T766">
        <v>165</v>
      </c>
      <c r="U766">
        <v>107</v>
      </c>
      <c r="V766">
        <v>40</v>
      </c>
      <c r="W766">
        <v>39</v>
      </c>
      <c r="X766">
        <v>49</v>
      </c>
      <c r="Y766" s="5">
        <v>2.1800000000000002</v>
      </c>
    </row>
    <row r="767" spans="1:25" x14ac:dyDescent="0.25">
      <c r="A767">
        <v>2019</v>
      </c>
      <c r="B767" t="s">
        <v>57</v>
      </c>
      <c r="C767">
        <v>19</v>
      </c>
      <c r="D767">
        <v>185</v>
      </c>
      <c r="E767" t="s">
        <v>17</v>
      </c>
      <c r="F767" t="s">
        <v>43</v>
      </c>
      <c r="G767">
        <f t="shared" si="11"/>
        <v>0</v>
      </c>
      <c r="H767">
        <v>4</v>
      </c>
      <c r="I767">
        <v>9</v>
      </c>
      <c r="J767">
        <v>0</v>
      </c>
      <c r="K767" s="6" t="s">
        <v>71</v>
      </c>
      <c r="L767" s="6" t="s">
        <v>121</v>
      </c>
      <c r="M767">
        <v>148</v>
      </c>
      <c r="N767" s="1">
        <v>0.46</v>
      </c>
      <c r="O767">
        <v>53</v>
      </c>
      <c r="P767" s="1">
        <v>0.42699999999999999</v>
      </c>
      <c r="Q767" s="1">
        <v>0.71899999999999997</v>
      </c>
      <c r="R767">
        <v>395</v>
      </c>
      <c r="S767">
        <v>40</v>
      </c>
      <c r="T767">
        <v>114</v>
      </c>
      <c r="U767">
        <v>97</v>
      </c>
      <c r="V767">
        <v>27</v>
      </c>
      <c r="W767">
        <v>18</v>
      </c>
      <c r="X767">
        <v>44</v>
      </c>
      <c r="Y767" s="5">
        <v>2.2000000000000002</v>
      </c>
    </row>
    <row r="768" spans="1:25" x14ac:dyDescent="0.25">
      <c r="A768">
        <v>2019</v>
      </c>
      <c r="B768" t="s">
        <v>57</v>
      </c>
      <c r="C768">
        <v>19</v>
      </c>
      <c r="D768">
        <v>186</v>
      </c>
      <c r="E768" t="s">
        <v>28</v>
      </c>
      <c r="F768" t="s">
        <v>46</v>
      </c>
      <c r="G768">
        <f t="shared" si="11"/>
        <v>1</v>
      </c>
      <c r="H768">
        <v>8</v>
      </c>
      <c r="I768">
        <v>5</v>
      </c>
      <c r="J768">
        <v>0</v>
      </c>
      <c r="K768" s="6" t="s">
        <v>111</v>
      </c>
      <c r="L768" s="6" t="s">
        <v>89</v>
      </c>
      <c r="M768">
        <v>182</v>
      </c>
      <c r="N768" s="1">
        <v>0.42799999999999999</v>
      </c>
      <c r="O768">
        <v>43</v>
      </c>
      <c r="P768" s="1">
        <v>0.30099999999999999</v>
      </c>
      <c r="Q768" s="1">
        <v>0.745</v>
      </c>
      <c r="R768">
        <v>515</v>
      </c>
      <c r="S768">
        <v>44</v>
      </c>
      <c r="T768">
        <v>187</v>
      </c>
      <c r="U768">
        <v>136</v>
      </c>
      <c r="V768">
        <v>31</v>
      </c>
      <c r="W768">
        <v>19</v>
      </c>
      <c r="X768">
        <v>68</v>
      </c>
      <c r="Y768" s="5">
        <v>2</v>
      </c>
    </row>
    <row r="769" spans="1:25" x14ac:dyDescent="0.25">
      <c r="A769">
        <v>2019</v>
      </c>
      <c r="B769" t="s">
        <v>57</v>
      </c>
      <c r="C769">
        <v>19</v>
      </c>
      <c r="D769">
        <v>186</v>
      </c>
      <c r="E769" t="s">
        <v>97</v>
      </c>
      <c r="F769" t="s">
        <v>54</v>
      </c>
      <c r="G769">
        <f t="shared" si="11"/>
        <v>0</v>
      </c>
      <c r="H769">
        <v>5</v>
      </c>
      <c r="I769">
        <v>8</v>
      </c>
      <c r="J769">
        <v>0</v>
      </c>
      <c r="K769" s="6" t="s">
        <v>64</v>
      </c>
      <c r="L769" s="6" t="s">
        <v>80</v>
      </c>
      <c r="M769">
        <v>165</v>
      </c>
      <c r="N769" s="1">
        <v>0.48399999999999999</v>
      </c>
      <c r="O769">
        <v>58</v>
      </c>
      <c r="P769" s="1">
        <v>0.40300000000000002</v>
      </c>
      <c r="Q769" s="1">
        <v>0.79800000000000004</v>
      </c>
      <c r="R769">
        <v>491</v>
      </c>
      <c r="S769">
        <v>34</v>
      </c>
      <c r="T769">
        <v>107</v>
      </c>
      <c r="U769">
        <v>101</v>
      </c>
      <c r="V769">
        <v>16</v>
      </c>
      <c r="W769">
        <v>16</v>
      </c>
      <c r="X769">
        <v>63</v>
      </c>
      <c r="Y769" s="5">
        <v>1.6</v>
      </c>
    </row>
    <row r="770" spans="1:25" x14ac:dyDescent="0.25">
      <c r="A770">
        <v>2019</v>
      </c>
      <c r="B770" t="s">
        <v>57</v>
      </c>
      <c r="C770">
        <v>19</v>
      </c>
      <c r="D770">
        <v>187</v>
      </c>
      <c r="E770" t="s">
        <v>98</v>
      </c>
      <c r="F770" t="s">
        <v>41</v>
      </c>
      <c r="G770">
        <f t="shared" ref="G770:G833" si="12">IF(H770+0.5*J770&gt;6.5,1,0)</f>
        <v>0</v>
      </c>
      <c r="H770">
        <v>6</v>
      </c>
      <c r="I770">
        <v>7</v>
      </c>
      <c r="J770">
        <v>0</v>
      </c>
      <c r="K770" s="6" t="s">
        <v>66</v>
      </c>
      <c r="L770" s="6" t="s">
        <v>81</v>
      </c>
      <c r="M770">
        <v>170</v>
      </c>
      <c r="N770" s="1">
        <v>0.47899999999999998</v>
      </c>
      <c r="O770">
        <v>55</v>
      </c>
      <c r="P770" s="1">
        <v>0.38700000000000001</v>
      </c>
      <c r="Q770" s="1">
        <v>0.77800000000000002</v>
      </c>
      <c r="R770">
        <v>486</v>
      </c>
      <c r="S770">
        <v>39</v>
      </c>
      <c r="T770">
        <v>153</v>
      </c>
      <c r="U770">
        <v>106</v>
      </c>
      <c r="V770">
        <v>31</v>
      </c>
      <c r="W770">
        <v>23</v>
      </c>
      <c r="X770">
        <v>48</v>
      </c>
      <c r="Y770" s="5">
        <v>2.21</v>
      </c>
    </row>
    <row r="771" spans="1:25" x14ac:dyDescent="0.25">
      <c r="A771">
        <v>2019</v>
      </c>
      <c r="B771" t="s">
        <v>57</v>
      </c>
      <c r="C771">
        <v>19</v>
      </c>
      <c r="D771">
        <v>187</v>
      </c>
      <c r="E771" t="s">
        <v>22</v>
      </c>
      <c r="F771" t="s">
        <v>44</v>
      </c>
      <c r="G771">
        <f t="shared" si="12"/>
        <v>1</v>
      </c>
      <c r="H771">
        <v>7</v>
      </c>
      <c r="I771">
        <v>6</v>
      </c>
      <c r="J771">
        <v>0</v>
      </c>
      <c r="K771" s="6" t="s">
        <v>112</v>
      </c>
      <c r="L771" s="6" t="s">
        <v>88</v>
      </c>
      <c r="M771">
        <v>206</v>
      </c>
      <c r="N771" s="1">
        <v>0.53200000000000003</v>
      </c>
      <c r="O771">
        <v>50</v>
      </c>
      <c r="P771" s="1">
        <v>0.442</v>
      </c>
      <c r="Q771" s="1">
        <v>0.79</v>
      </c>
      <c r="R771">
        <v>545</v>
      </c>
      <c r="S771">
        <v>48</v>
      </c>
      <c r="T771">
        <v>177</v>
      </c>
      <c r="U771">
        <v>95</v>
      </c>
      <c r="V771">
        <v>25</v>
      </c>
      <c r="W771">
        <v>19</v>
      </c>
      <c r="X771">
        <v>53</v>
      </c>
      <c r="Y771" s="5">
        <v>1.79</v>
      </c>
    </row>
    <row r="772" spans="1:25" x14ac:dyDescent="0.25">
      <c r="A772">
        <v>2019</v>
      </c>
      <c r="B772" t="s">
        <v>57</v>
      </c>
      <c r="C772">
        <v>19</v>
      </c>
      <c r="D772">
        <v>188</v>
      </c>
      <c r="E772" t="s">
        <v>21</v>
      </c>
      <c r="F772" t="s">
        <v>50</v>
      </c>
      <c r="G772">
        <f t="shared" si="12"/>
        <v>0</v>
      </c>
      <c r="H772">
        <v>3</v>
      </c>
      <c r="I772">
        <v>10</v>
      </c>
      <c r="J772">
        <v>0</v>
      </c>
      <c r="K772" s="6" t="s">
        <v>65</v>
      </c>
      <c r="L772" s="6" t="s">
        <v>119</v>
      </c>
      <c r="M772">
        <v>176</v>
      </c>
      <c r="N772" s="1">
        <v>0.46600000000000003</v>
      </c>
      <c r="O772">
        <v>39</v>
      </c>
      <c r="P772" s="1">
        <v>0.312</v>
      </c>
      <c r="Q772" s="1">
        <v>0.72899999999999998</v>
      </c>
      <c r="R772">
        <v>477</v>
      </c>
      <c r="S772">
        <v>58</v>
      </c>
      <c r="T772">
        <v>143</v>
      </c>
      <c r="U772">
        <v>104</v>
      </c>
      <c r="V772">
        <v>29</v>
      </c>
      <c r="W772">
        <v>15</v>
      </c>
      <c r="X772">
        <v>67</v>
      </c>
      <c r="Y772" s="5">
        <v>1.55</v>
      </c>
    </row>
    <row r="773" spans="1:25" x14ac:dyDescent="0.25">
      <c r="A773">
        <v>2019</v>
      </c>
      <c r="B773" t="s">
        <v>57</v>
      </c>
      <c r="C773">
        <v>19</v>
      </c>
      <c r="D773">
        <v>188</v>
      </c>
      <c r="E773" t="s">
        <v>26</v>
      </c>
      <c r="F773" t="s">
        <v>118</v>
      </c>
      <c r="G773">
        <f t="shared" si="12"/>
        <v>1</v>
      </c>
      <c r="H773">
        <v>10</v>
      </c>
      <c r="I773">
        <v>3</v>
      </c>
      <c r="J773">
        <v>0</v>
      </c>
      <c r="K773" s="6" t="s">
        <v>70</v>
      </c>
      <c r="L773" s="6" t="s">
        <v>87</v>
      </c>
      <c r="M773">
        <v>209</v>
      </c>
      <c r="N773" s="1">
        <v>0.496</v>
      </c>
      <c r="O773">
        <v>44</v>
      </c>
      <c r="P773" s="1">
        <v>0.36099999999999999</v>
      </c>
      <c r="Q773" s="1">
        <v>0.69199999999999995</v>
      </c>
      <c r="R773">
        <v>554</v>
      </c>
      <c r="S773">
        <v>53</v>
      </c>
      <c r="T773">
        <v>179</v>
      </c>
      <c r="U773">
        <v>162</v>
      </c>
      <c r="V773">
        <v>28</v>
      </c>
      <c r="W773">
        <v>33</v>
      </c>
      <c r="X773">
        <v>66</v>
      </c>
      <c r="Y773" s="5">
        <v>2.4500000000000002</v>
      </c>
    </row>
    <row r="774" spans="1:25" x14ac:dyDescent="0.25">
      <c r="A774">
        <v>2019</v>
      </c>
      <c r="B774" t="s">
        <v>57</v>
      </c>
      <c r="C774">
        <v>19</v>
      </c>
      <c r="D774">
        <v>189</v>
      </c>
      <c r="E774" t="s">
        <v>190</v>
      </c>
      <c r="F774" t="s">
        <v>103</v>
      </c>
      <c r="G774">
        <f t="shared" si="12"/>
        <v>1</v>
      </c>
      <c r="H774">
        <v>7</v>
      </c>
      <c r="I774">
        <v>6</v>
      </c>
      <c r="J774">
        <v>0</v>
      </c>
      <c r="K774" s="6" t="s">
        <v>72</v>
      </c>
      <c r="L774" s="6" t="s">
        <v>85</v>
      </c>
      <c r="M774">
        <v>193</v>
      </c>
      <c r="N774" s="1">
        <v>0.499</v>
      </c>
      <c r="O774">
        <v>50</v>
      </c>
      <c r="P774" s="1">
        <v>0.36</v>
      </c>
      <c r="Q774" s="1">
        <v>0.78700000000000003</v>
      </c>
      <c r="R774">
        <v>521</v>
      </c>
      <c r="S774">
        <v>42</v>
      </c>
      <c r="T774">
        <v>134</v>
      </c>
      <c r="U774">
        <v>120</v>
      </c>
      <c r="V774">
        <v>40</v>
      </c>
      <c r="W774">
        <v>12</v>
      </c>
      <c r="X774">
        <v>67</v>
      </c>
      <c r="Y774" s="5">
        <v>1.79</v>
      </c>
    </row>
    <row r="775" spans="1:25" x14ac:dyDescent="0.25">
      <c r="A775">
        <v>2019</v>
      </c>
      <c r="B775" t="s">
        <v>57</v>
      </c>
      <c r="C775">
        <v>19</v>
      </c>
      <c r="D775">
        <v>189</v>
      </c>
      <c r="E775" t="s">
        <v>33</v>
      </c>
      <c r="F775" t="s">
        <v>42</v>
      </c>
      <c r="G775">
        <f t="shared" si="12"/>
        <v>0</v>
      </c>
      <c r="H775">
        <v>6</v>
      </c>
      <c r="I775">
        <v>7</v>
      </c>
      <c r="J775">
        <v>0</v>
      </c>
      <c r="K775" s="6" t="s">
        <v>191</v>
      </c>
      <c r="L775" s="6" t="s">
        <v>113</v>
      </c>
      <c r="M775">
        <v>203</v>
      </c>
      <c r="N775" s="1">
        <v>0.502</v>
      </c>
      <c r="O775">
        <v>44</v>
      </c>
      <c r="P775" s="1">
        <v>0.29099999999999998</v>
      </c>
      <c r="Q775" s="1">
        <v>0.82</v>
      </c>
      <c r="R775">
        <v>532</v>
      </c>
      <c r="S775">
        <v>41</v>
      </c>
      <c r="T775">
        <v>190</v>
      </c>
      <c r="U775">
        <v>109</v>
      </c>
      <c r="V775">
        <v>39</v>
      </c>
      <c r="W775">
        <v>43</v>
      </c>
      <c r="X775">
        <v>72</v>
      </c>
      <c r="Y775" s="5">
        <v>1.51</v>
      </c>
    </row>
    <row r="776" spans="1:25" x14ac:dyDescent="0.25">
      <c r="A776">
        <v>2019</v>
      </c>
      <c r="B776" t="s">
        <v>57</v>
      </c>
      <c r="C776">
        <v>19</v>
      </c>
      <c r="D776">
        <v>190</v>
      </c>
      <c r="E776" t="s">
        <v>20</v>
      </c>
      <c r="F776" t="s">
        <v>47</v>
      </c>
      <c r="G776">
        <f t="shared" si="12"/>
        <v>0</v>
      </c>
      <c r="H776">
        <v>5</v>
      </c>
      <c r="I776">
        <v>8</v>
      </c>
      <c r="J776">
        <v>0</v>
      </c>
      <c r="K776" s="6" t="s">
        <v>106</v>
      </c>
      <c r="L776" s="6" t="s">
        <v>83</v>
      </c>
      <c r="M776">
        <v>141</v>
      </c>
      <c r="N776" s="1">
        <v>0.40300000000000002</v>
      </c>
      <c r="O776">
        <v>50</v>
      </c>
      <c r="P776" s="1">
        <v>0.32700000000000001</v>
      </c>
      <c r="Q776" s="1">
        <v>0.73099999999999998</v>
      </c>
      <c r="R776">
        <v>389</v>
      </c>
      <c r="S776">
        <v>22</v>
      </c>
      <c r="T776">
        <v>91</v>
      </c>
      <c r="U776">
        <v>97</v>
      </c>
      <c r="V776">
        <v>30</v>
      </c>
      <c r="W776">
        <v>14</v>
      </c>
      <c r="X776">
        <v>44</v>
      </c>
      <c r="Y776" s="5">
        <v>2.2000000000000002</v>
      </c>
    </row>
    <row r="777" spans="1:25" x14ac:dyDescent="0.25">
      <c r="A777">
        <v>2019</v>
      </c>
      <c r="B777" t="s">
        <v>57</v>
      </c>
      <c r="C777">
        <v>19</v>
      </c>
      <c r="D777">
        <v>190</v>
      </c>
      <c r="E777" t="s">
        <v>94</v>
      </c>
      <c r="F777" t="s">
        <v>40</v>
      </c>
      <c r="G777">
        <f t="shared" si="12"/>
        <v>1</v>
      </c>
      <c r="H777">
        <v>8</v>
      </c>
      <c r="I777">
        <v>5</v>
      </c>
      <c r="J777">
        <v>0</v>
      </c>
      <c r="K777" s="6" t="s">
        <v>62</v>
      </c>
      <c r="L777" s="6" t="s">
        <v>78</v>
      </c>
      <c r="M777">
        <v>180</v>
      </c>
      <c r="N777" s="1">
        <v>0.44600000000000001</v>
      </c>
      <c r="O777">
        <v>45</v>
      </c>
      <c r="P777" s="1">
        <v>0.31900000000000001</v>
      </c>
      <c r="Q777" s="1">
        <v>0.86</v>
      </c>
      <c r="R777">
        <v>534</v>
      </c>
      <c r="S777">
        <v>39</v>
      </c>
      <c r="T777">
        <v>120</v>
      </c>
      <c r="U777">
        <v>128</v>
      </c>
      <c r="V777">
        <v>29</v>
      </c>
      <c r="W777">
        <v>19</v>
      </c>
      <c r="X777">
        <v>60</v>
      </c>
      <c r="Y777" s="5">
        <v>2.13</v>
      </c>
    </row>
    <row r="778" spans="1:25" x14ac:dyDescent="0.25">
      <c r="A778">
        <v>2019</v>
      </c>
      <c r="B778" t="s">
        <v>142</v>
      </c>
      <c r="C778" t="s">
        <v>146</v>
      </c>
      <c r="D778">
        <v>191</v>
      </c>
      <c r="E778" t="s">
        <v>17</v>
      </c>
      <c r="F778" t="s">
        <v>43</v>
      </c>
      <c r="G778">
        <f t="shared" si="12"/>
        <v>0</v>
      </c>
      <c r="H778">
        <v>5</v>
      </c>
      <c r="I778">
        <v>8</v>
      </c>
      <c r="J778">
        <v>0</v>
      </c>
      <c r="K778" s="6" t="s">
        <v>60</v>
      </c>
      <c r="L778" s="6" t="s">
        <v>75</v>
      </c>
      <c r="M778">
        <v>143</v>
      </c>
      <c r="N778" s="1">
        <v>0.47799999999999998</v>
      </c>
      <c r="O778">
        <v>41</v>
      </c>
      <c r="P778" s="1">
        <v>0.34200000000000003</v>
      </c>
      <c r="Q778" s="1">
        <v>0.73799999999999999</v>
      </c>
      <c r="R778">
        <v>389</v>
      </c>
      <c r="S778">
        <v>28</v>
      </c>
      <c r="T778">
        <v>120</v>
      </c>
      <c r="U778">
        <v>94</v>
      </c>
      <c r="V778">
        <v>35</v>
      </c>
      <c r="W778">
        <v>10</v>
      </c>
      <c r="X778">
        <v>48</v>
      </c>
      <c r="Y778" s="5">
        <v>1.96</v>
      </c>
    </row>
    <row r="779" spans="1:25" x14ac:dyDescent="0.25">
      <c r="A779">
        <v>2019</v>
      </c>
      <c r="B779" t="s">
        <v>142</v>
      </c>
      <c r="C779" t="s">
        <v>146</v>
      </c>
      <c r="D779">
        <v>191</v>
      </c>
      <c r="E779" t="s">
        <v>16</v>
      </c>
      <c r="F779" t="s">
        <v>51</v>
      </c>
      <c r="G779">
        <f t="shared" si="12"/>
        <v>1</v>
      </c>
      <c r="H779">
        <v>8</v>
      </c>
      <c r="I779">
        <v>5</v>
      </c>
      <c r="J779">
        <v>0</v>
      </c>
      <c r="K779" s="6" t="s">
        <v>63</v>
      </c>
      <c r="L779" s="6" t="s">
        <v>79</v>
      </c>
      <c r="M779">
        <v>168</v>
      </c>
      <c r="N779" s="1">
        <v>0.48099999999999998</v>
      </c>
      <c r="O779">
        <v>37</v>
      </c>
      <c r="P779" s="1">
        <v>0.30599999999999999</v>
      </c>
      <c r="Q779" s="1">
        <v>0.73599999999999999</v>
      </c>
      <c r="R779">
        <v>462</v>
      </c>
      <c r="S779">
        <v>56</v>
      </c>
      <c r="T779">
        <v>191</v>
      </c>
      <c r="U779">
        <v>136</v>
      </c>
      <c r="V779">
        <v>30</v>
      </c>
      <c r="W779">
        <v>40</v>
      </c>
      <c r="X779">
        <v>66</v>
      </c>
      <c r="Y779" s="5">
        <v>2.06</v>
      </c>
    </row>
    <row r="780" spans="1:25" x14ac:dyDescent="0.25">
      <c r="A780">
        <v>2019</v>
      </c>
      <c r="B780" t="s">
        <v>142</v>
      </c>
      <c r="C780" t="s">
        <v>146</v>
      </c>
      <c r="D780">
        <v>192</v>
      </c>
      <c r="E780" t="s">
        <v>190</v>
      </c>
      <c r="F780" t="s">
        <v>103</v>
      </c>
      <c r="G780">
        <f t="shared" si="12"/>
        <v>0</v>
      </c>
      <c r="H780">
        <v>5</v>
      </c>
      <c r="I780">
        <v>8</v>
      </c>
      <c r="J780">
        <v>0</v>
      </c>
      <c r="K780" s="6" t="s">
        <v>65</v>
      </c>
      <c r="L780" s="6" t="s">
        <v>119</v>
      </c>
      <c r="M780">
        <v>179</v>
      </c>
      <c r="N780" s="1">
        <v>0.443</v>
      </c>
      <c r="O780">
        <v>46</v>
      </c>
      <c r="P780" s="1">
        <v>0.34300000000000003</v>
      </c>
      <c r="Q780" s="1">
        <v>0.76400000000000001</v>
      </c>
      <c r="R780">
        <v>488</v>
      </c>
      <c r="S780">
        <v>60</v>
      </c>
      <c r="T780">
        <v>130</v>
      </c>
      <c r="U780">
        <v>87</v>
      </c>
      <c r="V780">
        <v>36</v>
      </c>
      <c r="W780">
        <v>22</v>
      </c>
      <c r="X780">
        <v>60</v>
      </c>
      <c r="Y780" s="5">
        <v>1.45</v>
      </c>
    </row>
    <row r="781" spans="1:25" x14ac:dyDescent="0.25">
      <c r="A781">
        <v>2019</v>
      </c>
      <c r="B781" t="s">
        <v>142</v>
      </c>
      <c r="C781" t="s">
        <v>146</v>
      </c>
      <c r="D781">
        <v>192</v>
      </c>
      <c r="E781" t="s">
        <v>26</v>
      </c>
      <c r="F781" t="s">
        <v>118</v>
      </c>
      <c r="G781">
        <f t="shared" si="12"/>
        <v>1</v>
      </c>
      <c r="H781">
        <v>8</v>
      </c>
      <c r="I781">
        <v>5</v>
      </c>
      <c r="J781">
        <v>0</v>
      </c>
      <c r="K781" s="6" t="s">
        <v>191</v>
      </c>
      <c r="L781" s="6" t="s">
        <v>113</v>
      </c>
      <c r="M781">
        <v>211</v>
      </c>
      <c r="N781" s="1">
        <v>0.53400000000000003</v>
      </c>
      <c r="O781">
        <v>39</v>
      </c>
      <c r="P781" s="1">
        <v>0.375</v>
      </c>
      <c r="Q781" s="1">
        <v>0.61199999999999999</v>
      </c>
      <c r="R781">
        <v>540</v>
      </c>
      <c r="S781">
        <v>46</v>
      </c>
      <c r="T781">
        <v>166</v>
      </c>
      <c r="U781">
        <v>104</v>
      </c>
      <c r="V781">
        <v>26</v>
      </c>
      <c r="W781">
        <v>28</v>
      </c>
      <c r="X781">
        <v>63</v>
      </c>
      <c r="Y781" s="5">
        <v>1.65</v>
      </c>
    </row>
    <row r="782" spans="1:25" x14ac:dyDescent="0.25">
      <c r="A782">
        <v>2019</v>
      </c>
      <c r="B782" t="s">
        <v>142</v>
      </c>
      <c r="C782" t="s">
        <v>146</v>
      </c>
      <c r="D782">
        <v>193</v>
      </c>
      <c r="E782" t="s">
        <v>33</v>
      </c>
      <c r="F782" t="s">
        <v>42</v>
      </c>
      <c r="G782">
        <f t="shared" si="12"/>
        <v>0</v>
      </c>
      <c r="H782">
        <v>6</v>
      </c>
      <c r="I782">
        <v>7</v>
      </c>
      <c r="J782">
        <v>0</v>
      </c>
      <c r="K782" s="6" t="s">
        <v>71</v>
      </c>
      <c r="L782" s="6" t="s">
        <v>121</v>
      </c>
      <c r="M782">
        <v>166</v>
      </c>
      <c r="N782" s="1">
        <v>0.44900000000000001</v>
      </c>
      <c r="O782">
        <v>34</v>
      </c>
      <c r="P782" s="1">
        <v>0.318</v>
      </c>
      <c r="Q782" s="1">
        <v>0.83899999999999997</v>
      </c>
      <c r="R782">
        <v>444</v>
      </c>
      <c r="S782">
        <v>36</v>
      </c>
      <c r="T782">
        <v>157</v>
      </c>
      <c r="U782">
        <v>111</v>
      </c>
      <c r="V782">
        <v>38</v>
      </c>
      <c r="W782">
        <v>24</v>
      </c>
      <c r="X782">
        <v>54</v>
      </c>
      <c r="Y782" s="5">
        <v>2.06</v>
      </c>
    </row>
    <row r="783" spans="1:25" x14ac:dyDescent="0.25">
      <c r="A783">
        <v>2019</v>
      </c>
      <c r="B783" t="s">
        <v>142</v>
      </c>
      <c r="C783" t="s">
        <v>146</v>
      </c>
      <c r="D783">
        <v>193</v>
      </c>
      <c r="E783" t="s">
        <v>23</v>
      </c>
      <c r="F783" t="s">
        <v>120</v>
      </c>
      <c r="G783">
        <f t="shared" si="12"/>
        <v>1</v>
      </c>
      <c r="H783">
        <v>7</v>
      </c>
      <c r="I783">
        <v>6</v>
      </c>
      <c r="J783">
        <v>0</v>
      </c>
      <c r="K783" s="6" t="s">
        <v>72</v>
      </c>
      <c r="L783" s="6" t="s">
        <v>85</v>
      </c>
      <c r="M783">
        <v>120</v>
      </c>
      <c r="N783" s="1">
        <v>0.45600000000000002</v>
      </c>
      <c r="O783">
        <v>48</v>
      </c>
      <c r="P783" s="1">
        <v>0.42099999999999999</v>
      </c>
      <c r="Q783" s="1">
        <v>0.81799999999999995</v>
      </c>
      <c r="R783">
        <v>342</v>
      </c>
      <c r="S783">
        <v>46</v>
      </c>
      <c r="T783">
        <v>123</v>
      </c>
      <c r="U783">
        <v>83</v>
      </c>
      <c r="V783">
        <v>28</v>
      </c>
      <c r="W783">
        <v>29</v>
      </c>
      <c r="X783">
        <v>37</v>
      </c>
      <c r="Y783" s="5">
        <v>2.2400000000000002</v>
      </c>
    </row>
    <row r="784" spans="1:25" x14ac:dyDescent="0.25">
      <c r="A784">
        <v>2019</v>
      </c>
      <c r="B784" t="s">
        <v>142</v>
      </c>
      <c r="C784" t="s">
        <v>146</v>
      </c>
      <c r="D784">
        <v>194</v>
      </c>
      <c r="E784" t="s">
        <v>28</v>
      </c>
      <c r="F784" t="s">
        <v>46</v>
      </c>
      <c r="G784">
        <f t="shared" si="12"/>
        <v>1</v>
      </c>
      <c r="H784">
        <v>7</v>
      </c>
      <c r="I784">
        <v>6</v>
      </c>
      <c r="J784">
        <v>0</v>
      </c>
      <c r="K784" s="6" t="s">
        <v>193</v>
      </c>
      <c r="L784" s="6" t="s">
        <v>117</v>
      </c>
      <c r="M784">
        <v>196</v>
      </c>
      <c r="N784" s="1">
        <v>0.46200000000000002</v>
      </c>
      <c r="O784">
        <v>59</v>
      </c>
      <c r="P784" s="1">
        <v>0.36599999999999999</v>
      </c>
      <c r="Q784" s="1">
        <v>0.74399999999999999</v>
      </c>
      <c r="R784">
        <v>544</v>
      </c>
      <c r="S784">
        <v>36</v>
      </c>
      <c r="T784">
        <v>174</v>
      </c>
      <c r="U784">
        <v>99</v>
      </c>
      <c r="V784">
        <v>32</v>
      </c>
      <c r="W784">
        <v>12</v>
      </c>
      <c r="X784">
        <v>61</v>
      </c>
      <c r="Y784" s="5">
        <v>1.62</v>
      </c>
    </row>
    <row r="785" spans="1:25" x14ac:dyDescent="0.25">
      <c r="A785">
        <v>2019</v>
      </c>
      <c r="B785" t="s">
        <v>142</v>
      </c>
      <c r="C785" t="s">
        <v>146</v>
      </c>
      <c r="D785">
        <v>194</v>
      </c>
      <c r="E785" t="s">
        <v>159</v>
      </c>
      <c r="F785" t="s">
        <v>116</v>
      </c>
      <c r="G785">
        <f t="shared" si="12"/>
        <v>0</v>
      </c>
      <c r="H785">
        <v>6</v>
      </c>
      <c r="I785">
        <v>7</v>
      </c>
      <c r="J785">
        <v>0</v>
      </c>
      <c r="K785" s="6" t="s">
        <v>64</v>
      </c>
      <c r="L785" s="6" t="s">
        <v>80</v>
      </c>
      <c r="M785">
        <v>182</v>
      </c>
      <c r="N785" s="1">
        <v>0.47299999999999998</v>
      </c>
      <c r="O785">
        <v>40</v>
      </c>
      <c r="P785" s="1">
        <v>0.34499999999999997</v>
      </c>
      <c r="Q785" s="1">
        <v>0.77500000000000002</v>
      </c>
      <c r="R785">
        <v>473</v>
      </c>
      <c r="S785">
        <v>38</v>
      </c>
      <c r="T785">
        <v>141</v>
      </c>
      <c r="U785">
        <v>94</v>
      </c>
      <c r="V785">
        <v>29</v>
      </c>
      <c r="W785">
        <v>29</v>
      </c>
      <c r="X785">
        <v>52</v>
      </c>
      <c r="Y785" s="5">
        <v>1.81</v>
      </c>
    </row>
    <row r="786" spans="1:25" x14ac:dyDescent="0.25">
      <c r="A786">
        <v>2019</v>
      </c>
      <c r="B786" t="s">
        <v>142</v>
      </c>
      <c r="C786" t="s">
        <v>147</v>
      </c>
      <c r="D786">
        <v>195</v>
      </c>
      <c r="E786" t="s">
        <v>16</v>
      </c>
      <c r="F786" t="s">
        <v>51</v>
      </c>
      <c r="G786">
        <f t="shared" si="12"/>
        <v>1</v>
      </c>
      <c r="H786">
        <v>8</v>
      </c>
      <c r="I786">
        <v>5</v>
      </c>
      <c r="J786">
        <v>0</v>
      </c>
      <c r="K786" s="6" t="s">
        <v>64</v>
      </c>
      <c r="L786" s="6" t="s">
        <v>80</v>
      </c>
      <c r="M786">
        <v>154</v>
      </c>
      <c r="N786" s="1">
        <v>0.46500000000000002</v>
      </c>
      <c r="O786">
        <v>35</v>
      </c>
      <c r="P786" s="1">
        <v>0.34</v>
      </c>
      <c r="Q786" s="1">
        <v>0.78</v>
      </c>
      <c r="R786">
        <v>421</v>
      </c>
      <c r="S786">
        <v>66</v>
      </c>
      <c r="T786">
        <v>144</v>
      </c>
      <c r="U786">
        <v>135</v>
      </c>
      <c r="V786">
        <v>33</v>
      </c>
      <c r="W786">
        <v>20</v>
      </c>
      <c r="X786">
        <v>56</v>
      </c>
      <c r="Y786" s="5">
        <v>2.41</v>
      </c>
    </row>
    <row r="787" spans="1:25" x14ac:dyDescent="0.25">
      <c r="A787">
        <v>2019</v>
      </c>
      <c r="B787" t="s">
        <v>142</v>
      </c>
      <c r="C787" t="s">
        <v>147</v>
      </c>
      <c r="D787">
        <v>195</v>
      </c>
      <c r="E787" t="s">
        <v>28</v>
      </c>
      <c r="F787" t="s">
        <v>46</v>
      </c>
      <c r="G787">
        <f t="shared" si="12"/>
        <v>0</v>
      </c>
      <c r="H787">
        <v>5</v>
      </c>
      <c r="I787">
        <v>8</v>
      </c>
      <c r="J787">
        <v>0</v>
      </c>
      <c r="K787" s="6" t="s">
        <v>60</v>
      </c>
      <c r="L787" s="6" t="s">
        <v>75</v>
      </c>
      <c r="M787">
        <v>178</v>
      </c>
      <c r="N787" s="1">
        <v>0.45400000000000001</v>
      </c>
      <c r="O787">
        <v>48</v>
      </c>
      <c r="P787" s="1">
        <v>0.36899999999999999</v>
      </c>
      <c r="Q787" s="1">
        <v>0.70899999999999996</v>
      </c>
      <c r="R787">
        <v>482</v>
      </c>
      <c r="S787">
        <v>41</v>
      </c>
      <c r="T787">
        <v>147</v>
      </c>
      <c r="U787">
        <v>121</v>
      </c>
      <c r="V787">
        <v>30</v>
      </c>
      <c r="W787">
        <v>19</v>
      </c>
      <c r="X787">
        <v>75</v>
      </c>
      <c r="Y787" s="5">
        <v>1.61</v>
      </c>
    </row>
    <row r="788" spans="1:25" x14ac:dyDescent="0.25">
      <c r="A788">
        <v>2019</v>
      </c>
      <c r="B788" t="s">
        <v>142</v>
      </c>
      <c r="C788" t="s">
        <v>147</v>
      </c>
      <c r="D788">
        <v>196</v>
      </c>
      <c r="E788" t="s">
        <v>23</v>
      </c>
      <c r="F788" t="s">
        <v>120</v>
      </c>
      <c r="G788">
        <f t="shared" si="12"/>
        <v>1</v>
      </c>
      <c r="H788">
        <v>8</v>
      </c>
      <c r="I788">
        <v>5</v>
      </c>
      <c r="J788">
        <v>0</v>
      </c>
      <c r="K788" s="6" t="s">
        <v>65</v>
      </c>
      <c r="L788" s="6" t="s">
        <v>119</v>
      </c>
      <c r="M788">
        <v>130</v>
      </c>
      <c r="N788" s="1">
        <v>0.43</v>
      </c>
      <c r="O788">
        <v>36</v>
      </c>
      <c r="P788" s="1">
        <v>0.3</v>
      </c>
      <c r="Q788" s="1">
        <v>0.76300000000000001</v>
      </c>
      <c r="R788">
        <v>341</v>
      </c>
      <c r="S788">
        <v>52</v>
      </c>
      <c r="T788">
        <v>140</v>
      </c>
      <c r="U788">
        <v>88</v>
      </c>
      <c r="V788">
        <v>49</v>
      </c>
      <c r="W788">
        <v>29</v>
      </c>
      <c r="X788">
        <v>33</v>
      </c>
      <c r="Y788" s="5">
        <v>2.67</v>
      </c>
    </row>
    <row r="789" spans="1:25" x14ac:dyDescent="0.25">
      <c r="A789">
        <v>2019</v>
      </c>
      <c r="B789" t="s">
        <v>142</v>
      </c>
      <c r="C789" t="s">
        <v>147</v>
      </c>
      <c r="D789">
        <v>196</v>
      </c>
      <c r="E789" t="s">
        <v>26</v>
      </c>
      <c r="F789" t="s">
        <v>118</v>
      </c>
      <c r="G789">
        <f t="shared" si="12"/>
        <v>0</v>
      </c>
      <c r="H789">
        <v>5</v>
      </c>
      <c r="I789">
        <v>8</v>
      </c>
      <c r="J789">
        <v>0</v>
      </c>
      <c r="K789" s="6" t="s">
        <v>71</v>
      </c>
      <c r="L789" s="6" t="s">
        <v>121</v>
      </c>
      <c r="M789">
        <v>162</v>
      </c>
      <c r="N789" s="1">
        <v>0.50800000000000001</v>
      </c>
      <c r="O789">
        <v>23</v>
      </c>
      <c r="P789" s="1">
        <v>0.33800000000000002</v>
      </c>
      <c r="Q789" s="1">
        <v>0.68300000000000005</v>
      </c>
      <c r="R789">
        <v>431</v>
      </c>
      <c r="S789">
        <v>43</v>
      </c>
      <c r="T789">
        <v>139</v>
      </c>
      <c r="U789">
        <v>93</v>
      </c>
      <c r="V789">
        <v>25</v>
      </c>
      <c r="W789">
        <v>26</v>
      </c>
      <c r="X789">
        <v>62</v>
      </c>
      <c r="Y789" s="5">
        <v>1.5</v>
      </c>
    </row>
    <row r="790" spans="1:25" x14ac:dyDescent="0.25">
      <c r="A790">
        <v>2019</v>
      </c>
      <c r="B790" t="s">
        <v>142</v>
      </c>
      <c r="C790" t="s">
        <v>30</v>
      </c>
      <c r="D790">
        <v>197</v>
      </c>
      <c r="E790" t="s">
        <v>16</v>
      </c>
      <c r="F790" t="s">
        <v>51</v>
      </c>
      <c r="G790">
        <f t="shared" si="12"/>
        <v>1</v>
      </c>
      <c r="H790">
        <v>8</v>
      </c>
      <c r="I790">
        <v>5</v>
      </c>
      <c r="J790">
        <v>0</v>
      </c>
      <c r="K790" s="6" t="s">
        <v>71</v>
      </c>
      <c r="L790" s="6" t="s">
        <v>121</v>
      </c>
      <c r="M790">
        <v>204</v>
      </c>
      <c r="N790" s="1">
        <v>0.48199999999999998</v>
      </c>
      <c r="O790">
        <v>75</v>
      </c>
      <c r="P790" s="1">
        <v>0.44600000000000001</v>
      </c>
      <c r="Q790" s="1">
        <v>0.77200000000000002</v>
      </c>
      <c r="R790">
        <v>544</v>
      </c>
      <c r="S790">
        <v>71</v>
      </c>
      <c r="T790">
        <v>182</v>
      </c>
      <c r="U790">
        <v>145</v>
      </c>
      <c r="V790">
        <v>45</v>
      </c>
      <c r="W790">
        <v>22</v>
      </c>
      <c r="X790">
        <v>54</v>
      </c>
      <c r="Y790" s="5">
        <v>2.69</v>
      </c>
    </row>
    <row r="791" spans="1:25" x14ac:dyDescent="0.25">
      <c r="A791">
        <v>2019</v>
      </c>
      <c r="B791" t="s">
        <v>142</v>
      </c>
      <c r="C791" t="s">
        <v>30</v>
      </c>
      <c r="D791">
        <v>197</v>
      </c>
      <c r="E791" t="s">
        <v>23</v>
      </c>
      <c r="F791" t="s">
        <v>120</v>
      </c>
      <c r="G791">
        <f t="shared" si="12"/>
        <v>0</v>
      </c>
      <c r="H791">
        <v>5</v>
      </c>
      <c r="I791">
        <v>8</v>
      </c>
      <c r="J791">
        <v>0</v>
      </c>
      <c r="K791" s="6" t="s">
        <v>60</v>
      </c>
      <c r="L791" s="6" t="s">
        <v>75</v>
      </c>
      <c r="M791">
        <v>165</v>
      </c>
      <c r="N791" s="1">
        <v>0.49099999999999999</v>
      </c>
      <c r="O791">
        <v>56</v>
      </c>
      <c r="P791" s="1">
        <v>0.42099999999999999</v>
      </c>
      <c r="Q791" s="1">
        <v>0.83299999999999996</v>
      </c>
      <c r="R791">
        <v>441</v>
      </c>
      <c r="S791">
        <v>61</v>
      </c>
      <c r="T791">
        <v>157</v>
      </c>
      <c r="U791">
        <v>121</v>
      </c>
      <c r="V791">
        <v>33</v>
      </c>
      <c r="W791">
        <v>25</v>
      </c>
      <c r="X791">
        <v>45</v>
      </c>
      <c r="Y791" s="5">
        <v>2.6909999999999998</v>
      </c>
    </row>
    <row r="792" spans="1:25" x14ac:dyDescent="0.25">
      <c r="A792">
        <v>2019</v>
      </c>
      <c r="B792" t="s">
        <v>142</v>
      </c>
      <c r="C792" t="s">
        <v>141</v>
      </c>
      <c r="D792">
        <v>198</v>
      </c>
      <c r="E792" t="s">
        <v>26</v>
      </c>
      <c r="F792" t="s">
        <v>118</v>
      </c>
      <c r="G792">
        <f t="shared" si="12"/>
        <v>1</v>
      </c>
      <c r="H792">
        <v>7</v>
      </c>
      <c r="I792">
        <v>6</v>
      </c>
      <c r="J792">
        <v>0</v>
      </c>
      <c r="K792" s="6" t="s">
        <v>64</v>
      </c>
      <c r="L792" s="6" t="s">
        <v>80</v>
      </c>
      <c r="M792">
        <v>161</v>
      </c>
      <c r="N792" s="1">
        <v>0.505</v>
      </c>
      <c r="O792">
        <v>31</v>
      </c>
      <c r="P792" s="1">
        <v>0.36499999999999999</v>
      </c>
      <c r="Q792" s="1">
        <v>0.76900000000000002</v>
      </c>
      <c r="R792">
        <v>456</v>
      </c>
      <c r="S792">
        <v>47</v>
      </c>
      <c r="T792">
        <v>177</v>
      </c>
      <c r="U792">
        <v>135</v>
      </c>
      <c r="V792">
        <v>30</v>
      </c>
      <c r="W792">
        <v>35</v>
      </c>
      <c r="X792">
        <v>66</v>
      </c>
      <c r="Y792" s="5">
        <v>2.0499999999999998</v>
      </c>
    </row>
    <row r="793" spans="1:25" x14ac:dyDescent="0.25">
      <c r="A793">
        <v>2019</v>
      </c>
      <c r="B793" t="s">
        <v>142</v>
      </c>
      <c r="C793" t="s">
        <v>141</v>
      </c>
      <c r="D793">
        <v>198</v>
      </c>
      <c r="E793" t="s">
        <v>28</v>
      </c>
      <c r="F793" t="s">
        <v>46</v>
      </c>
      <c r="G793">
        <f t="shared" si="12"/>
        <v>0</v>
      </c>
      <c r="H793">
        <v>6</v>
      </c>
      <c r="I793">
        <v>7</v>
      </c>
      <c r="J793">
        <v>0</v>
      </c>
      <c r="K793" s="6" t="s">
        <v>65</v>
      </c>
      <c r="L793" s="6" t="s">
        <v>119</v>
      </c>
      <c r="M793">
        <v>156</v>
      </c>
      <c r="N793" s="1">
        <v>0.42199999999999999</v>
      </c>
      <c r="O793">
        <v>49</v>
      </c>
      <c r="P793" s="1">
        <v>0.36799999999999999</v>
      </c>
      <c r="Q793" s="1">
        <v>0.78900000000000003</v>
      </c>
      <c r="R793">
        <v>432</v>
      </c>
      <c r="S793">
        <v>49</v>
      </c>
      <c r="T793">
        <v>163</v>
      </c>
      <c r="U793">
        <v>134</v>
      </c>
      <c r="V793">
        <v>25</v>
      </c>
      <c r="W793">
        <v>21</v>
      </c>
      <c r="X793">
        <v>52</v>
      </c>
      <c r="Y793" s="5">
        <v>2.58</v>
      </c>
    </row>
    <row r="794" spans="1:25" x14ac:dyDescent="0.25">
      <c r="A794">
        <v>2020</v>
      </c>
      <c r="B794" t="s">
        <v>57</v>
      </c>
      <c r="C794">
        <v>1</v>
      </c>
      <c r="D794">
        <v>1</v>
      </c>
      <c r="E794" t="s">
        <v>16</v>
      </c>
      <c r="F794" t="s">
        <v>51</v>
      </c>
      <c r="G794">
        <f t="shared" si="12"/>
        <v>1</v>
      </c>
      <c r="H794">
        <v>9</v>
      </c>
      <c r="I794">
        <v>3</v>
      </c>
      <c r="J794">
        <v>1</v>
      </c>
      <c r="K794" s="6" t="s">
        <v>64</v>
      </c>
      <c r="L794" s="6" t="s">
        <v>80</v>
      </c>
      <c r="M794">
        <v>135</v>
      </c>
      <c r="N794" s="1">
        <v>0.49270072992700731</v>
      </c>
      <c r="O794">
        <v>45</v>
      </c>
      <c r="P794" s="1">
        <v>0.39130434782608697</v>
      </c>
      <c r="Q794" s="1">
        <v>0.6966292134831461</v>
      </c>
      <c r="R794">
        <v>377</v>
      </c>
      <c r="S794">
        <v>35</v>
      </c>
      <c r="T794">
        <v>142</v>
      </c>
      <c r="U794">
        <v>68</v>
      </c>
      <c r="V794">
        <v>37</v>
      </c>
      <c r="W794">
        <v>20</v>
      </c>
      <c r="X794">
        <v>48</v>
      </c>
      <c r="Y794" s="5">
        <v>1.4166666666666667</v>
      </c>
    </row>
    <row r="795" spans="1:25" x14ac:dyDescent="0.25">
      <c r="A795">
        <v>2020</v>
      </c>
      <c r="B795" t="s">
        <v>57</v>
      </c>
      <c r="C795">
        <v>1</v>
      </c>
      <c r="D795">
        <v>1</v>
      </c>
      <c r="E795" t="s">
        <v>28</v>
      </c>
      <c r="F795" t="s">
        <v>46</v>
      </c>
      <c r="G795">
        <f t="shared" si="12"/>
        <v>0</v>
      </c>
      <c r="H795">
        <v>3</v>
      </c>
      <c r="I795">
        <v>9</v>
      </c>
      <c r="J795">
        <v>1</v>
      </c>
      <c r="K795" s="6" t="s">
        <v>60</v>
      </c>
      <c r="L795" s="6" t="s">
        <v>75</v>
      </c>
      <c r="M795">
        <v>133</v>
      </c>
      <c r="N795" s="1">
        <v>0.45238095238095238</v>
      </c>
      <c r="O795">
        <v>38</v>
      </c>
      <c r="P795" s="1">
        <v>0.33333333333333331</v>
      </c>
      <c r="Q795" s="1">
        <v>0.79824561403508776</v>
      </c>
      <c r="R795">
        <v>395</v>
      </c>
      <c r="S795">
        <v>29</v>
      </c>
      <c r="T795">
        <v>142</v>
      </c>
      <c r="U795">
        <v>83</v>
      </c>
      <c r="V795">
        <v>21</v>
      </c>
      <c r="W795">
        <v>13</v>
      </c>
      <c r="X795">
        <v>67</v>
      </c>
      <c r="Y795" s="5">
        <v>1.2388059701492538</v>
      </c>
    </row>
    <row r="796" spans="1:25" x14ac:dyDescent="0.25">
      <c r="A796">
        <v>2020</v>
      </c>
      <c r="B796" t="s">
        <v>57</v>
      </c>
      <c r="C796">
        <v>1</v>
      </c>
      <c r="D796">
        <v>2</v>
      </c>
      <c r="E796" t="s">
        <v>23</v>
      </c>
      <c r="F796" t="s">
        <v>120</v>
      </c>
      <c r="G796">
        <f t="shared" si="12"/>
        <v>1</v>
      </c>
      <c r="H796">
        <v>8</v>
      </c>
      <c r="I796">
        <v>4</v>
      </c>
      <c r="J796">
        <v>1</v>
      </c>
      <c r="K796" s="6" t="s">
        <v>61</v>
      </c>
      <c r="L796" s="6" t="s">
        <v>77</v>
      </c>
      <c r="M796">
        <v>136</v>
      </c>
      <c r="N796" s="1">
        <v>0.43312101910828027</v>
      </c>
      <c r="O796">
        <v>40</v>
      </c>
      <c r="P796" s="1">
        <v>0.32786885245901637</v>
      </c>
      <c r="Q796" s="1">
        <v>0.81904761904761902</v>
      </c>
      <c r="R796">
        <v>398</v>
      </c>
      <c r="S796">
        <v>28</v>
      </c>
      <c r="T796">
        <v>133</v>
      </c>
      <c r="U796">
        <v>80</v>
      </c>
      <c r="V796">
        <v>30</v>
      </c>
      <c r="W796">
        <v>29</v>
      </c>
      <c r="X796">
        <v>55</v>
      </c>
      <c r="Y796" s="5">
        <v>1.4545454545454546</v>
      </c>
    </row>
    <row r="797" spans="1:25" x14ac:dyDescent="0.25">
      <c r="A797">
        <v>2020</v>
      </c>
      <c r="B797" t="s">
        <v>57</v>
      </c>
      <c r="C797">
        <v>1</v>
      </c>
      <c r="D797">
        <v>2</v>
      </c>
      <c r="E797" t="s">
        <v>15</v>
      </c>
      <c r="F797" t="s">
        <v>48</v>
      </c>
      <c r="G797">
        <f t="shared" si="12"/>
        <v>0</v>
      </c>
      <c r="H797">
        <v>4</v>
      </c>
      <c r="I797">
        <v>8</v>
      </c>
      <c r="J797">
        <v>1</v>
      </c>
      <c r="K797" s="6" t="s">
        <v>71</v>
      </c>
      <c r="L797" s="6" t="s">
        <v>121</v>
      </c>
      <c r="M797">
        <v>106</v>
      </c>
      <c r="N797" s="1">
        <v>0.44915254237288138</v>
      </c>
      <c r="O797">
        <v>35</v>
      </c>
      <c r="P797" s="1">
        <v>0.38461538461538464</v>
      </c>
      <c r="Q797" s="1">
        <v>0.74390243902439024</v>
      </c>
      <c r="R797">
        <v>308</v>
      </c>
      <c r="S797">
        <v>28</v>
      </c>
      <c r="T797">
        <v>129</v>
      </c>
      <c r="U797">
        <v>56</v>
      </c>
      <c r="V797">
        <v>18</v>
      </c>
      <c r="W797">
        <v>18</v>
      </c>
      <c r="X797">
        <v>37</v>
      </c>
      <c r="Y797" s="5">
        <v>1.5135135135135136</v>
      </c>
    </row>
    <row r="798" spans="1:25" x14ac:dyDescent="0.25">
      <c r="A798">
        <v>2020</v>
      </c>
      <c r="B798" t="s">
        <v>57</v>
      </c>
      <c r="C798">
        <v>1</v>
      </c>
      <c r="D798">
        <v>3</v>
      </c>
      <c r="E798" t="s">
        <v>93</v>
      </c>
      <c r="F798" t="s">
        <v>189</v>
      </c>
      <c r="G798">
        <f t="shared" si="12"/>
        <v>1</v>
      </c>
      <c r="H798">
        <v>9</v>
      </c>
      <c r="I798">
        <v>4</v>
      </c>
      <c r="J798">
        <v>0</v>
      </c>
      <c r="K798" s="6" t="s">
        <v>63</v>
      </c>
      <c r="L798" s="6" t="s">
        <v>79</v>
      </c>
      <c r="M798">
        <v>104</v>
      </c>
      <c r="N798" s="1">
        <v>0.46636771300448432</v>
      </c>
      <c r="O798">
        <v>32</v>
      </c>
      <c r="P798" s="1">
        <v>0.43243243243243246</v>
      </c>
      <c r="Q798" s="1">
        <v>0.77142857142857146</v>
      </c>
      <c r="R798">
        <v>267</v>
      </c>
      <c r="S798">
        <v>26</v>
      </c>
      <c r="T798">
        <v>92</v>
      </c>
      <c r="U798">
        <v>36</v>
      </c>
      <c r="V798">
        <v>17</v>
      </c>
      <c r="W798">
        <v>12</v>
      </c>
      <c r="X798">
        <v>31</v>
      </c>
      <c r="Y798" s="5">
        <v>1.1612903225806452</v>
      </c>
    </row>
    <row r="799" spans="1:25" x14ac:dyDescent="0.25">
      <c r="A799">
        <v>2020</v>
      </c>
      <c r="B799" t="s">
        <v>57</v>
      </c>
      <c r="C799">
        <v>1</v>
      </c>
      <c r="D799">
        <v>3</v>
      </c>
      <c r="E799" t="s">
        <v>17</v>
      </c>
      <c r="F799" t="s">
        <v>43</v>
      </c>
      <c r="G799">
        <f t="shared" si="12"/>
        <v>0</v>
      </c>
      <c r="H799">
        <v>4</v>
      </c>
      <c r="I799">
        <v>9</v>
      </c>
      <c r="J799">
        <v>0</v>
      </c>
      <c r="K799" s="6" t="s">
        <v>104</v>
      </c>
      <c r="L799" s="6" t="s">
        <v>105</v>
      </c>
      <c r="M799">
        <v>73</v>
      </c>
      <c r="N799" s="1">
        <v>0.44785276073619634</v>
      </c>
      <c r="O799">
        <v>16</v>
      </c>
      <c r="P799" s="1">
        <v>0.35555555555555557</v>
      </c>
      <c r="Q799" s="1">
        <v>0.65957446808510634</v>
      </c>
      <c r="R799">
        <v>193</v>
      </c>
      <c r="S799">
        <v>29</v>
      </c>
      <c r="T799">
        <v>75</v>
      </c>
      <c r="U799">
        <v>54</v>
      </c>
      <c r="V799">
        <v>9</v>
      </c>
      <c r="W799">
        <v>11</v>
      </c>
      <c r="X799">
        <v>25</v>
      </c>
      <c r="Y799" s="5">
        <v>2.16</v>
      </c>
    </row>
    <row r="800" spans="1:25" x14ac:dyDescent="0.25">
      <c r="A800">
        <v>2020</v>
      </c>
      <c r="B800" t="s">
        <v>57</v>
      </c>
      <c r="C800">
        <v>1</v>
      </c>
      <c r="D800">
        <v>4</v>
      </c>
      <c r="E800" t="s">
        <v>190</v>
      </c>
      <c r="F800" t="s">
        <v>103</v>
      </c>
      <c r="G800">
        <f t="shared" si="12"/>
        <v>0</v>
      </c>
      <c r="H800">
        <v>5</v>
      </c>
      <c r="I800">
        <v>8</v>
      </c>
      <c r="J800">
        <v>0</v>
      </c>
      <c r="K800" s="6" t="s">
        <v>111</v>
      </c>
      <c r="L800" s="6" t="s">
        <v>89</v>
      </c>
      <c r="M800">
        <v>127</v>
      </c>
      <c r="N800" s="1">
        <v>0.43793103448275861</v>
      </c>
      <c r="O800">
        <v>23</v>
      </c>
      <c r="P800" s="1">
        <v>0.25274725274725274</v>
      </c>
      <c r="Q800" s="1">
        <v>0.79381443298969068</v>
      </c>
      <c r="R800">
        <v>354</v>
      </c>
      <c r="S800">
        <v>31</v>
      </c>
      <c r="T800">
        <v>100</v>
      </c>
      <c r="U800">
        <v>90</v>
      </c>
      <c r="V800">
        <v>29</v>
      </c>
      <c r="W800">
        <v>24</v>
      </c>
      <c r="X800">
        <v>46</v>
      </c>
      <c r="Y800" s="5">
        <v>1.9565217391304348</v>
      </c>
    </row>
    <row r="801" spans="1:25" x14ac:dyDescent="0.25">
      <c r="A801">
        <v>2020</v>
      </c>
      <c r="B801" t="s">
        <v>57</v>
      </c>
      <c r="C801">
        <v>1</v>
      </c>
      <c r="D801">
        <v>4</v>
      </c>
      <c r="E801" t="s">
        <v>97</v>
      </c>
      <c r="F801" t="s">
        <v>54</v>
      </c>
      <c r="G801">
        <f t="shared" si="12"/>
        <v>1</v>
      </c>
      <c r="H801">
        <v>8</v>
      </c>
      <c r="I801">
        <v>5</v>
      </c>
      <c r="J801">
        <v>0</v>
      </c>
      <c r="K801" s="6" t="s">
        <v>191</v>
      </c>
      <c r="L801" s="6" t="s">
        <v>113</v>
      </c>
      <c r="M801">
        <v>158</v>
      </c>
      <c r="N801" s="1">
        <v>0.45272206303724927</v>
      </c>
      <c r="O801">
        <v>46</v>
      </c>
      <c r="P801" s="1">
        <v>0.34328358208955223</v>
      </c>
      <c r="Q801" s="1">
        <v>0.73584905660377353</v>
      </c>
      <c r="R801">
        <v>440</v>
      </c>
      <c r="S801">
        <v>44</v>
      </c>
      <c r="T801">
        <v>128</v>
      </c>
      <c r="U801">
        <v>96</v>
      </c>
      <c r="V801">
        <v>25</v>
      </c>
      <c r="W801">
        <v>16</v>
      </c>
      <c r="X801">
        <v>59</v>
      </c>
      <c r="Y801" s="5">
        <v>1.6271186440677967</v>
      </c>
    </row>
    <row r="802" spans="1:25" x14ac:dyDescent="0.25">
      <c r="A802">
        <v>2020</v>
      </c>
      <c r="B802" t="s">
        <v>57</v>
      </c>
      <c r="C802">
        <v>1</v>
      </c>
      <c r="D802">
        <v>5</v>
      </c>
      <c r="E802" t="s">
        <v>26</v>
      </c>
      <c r="F802" t="s">
        <v>118</v>
      </c>
      <c r="G802">
        <f t="shared" si="12"/>
        <v>1</v>
      </c>
      <c r="H802">
        <v>7</v>
      </c>
      <c r="I802">
        <v>5</v>
      </c>
      <c r="J802">
        <v>1</v>
      </c>
      <c r="K802" s="6" t="s">
        <v>182</v>
      </c>
      <c r="L802" s="6" t="s">
        <v>76</v>
      </c>
      <c r="M802">
        <v>115</v>
      </c>
      <c r="N802" s="1">
        <v>0.48728813559322032</v>
      </c>
      <c r="O802">
        <v>27</v>
      </c>
      <c r="P802" s="1">
        <v>0.47368421052631576</v>
      </c>
      <c r="Q802" s="1">
        <v>0.81333333333333335</v>
      </c>
      <c r="R802">
        <v>318</v>
      </c>
      <c r="S802">
        <v>25</v>
      </c>
      <c r="T802">
        <v>109</v>
      </c>
      <c r="U802">
        <v>78</v>
      </c>
      <c r="V802">
        <v>16</v>
      </c>
      <c r="W802">
        <v>11</v>
      </c>
      <c r="X802">
        <v>52</v>
      </c>
      <c r="Y802" s="5">
        <v>1.5</v>
      </c>
    </row>
    <row r="803" spans="1:25" x14ac:dyDescent="0.25">
      <c r="A803">
        <v>2020</v>
      </c>
      <c r="B803" t="s">
        <v>57</v>
      </c>
      <c r="C803">
        <v>1</v>
      </c>
      <c r="D803">
        <v>5</v>
      </c>
      <c r="E803" t="s">
        <v>181</v>
      </c>
      <c r="F803" t="s">
        <v>49</v>
      </c>
      <c r="G803">
        <f t="shared" si="12"/>
        <v>0</v>
      </c>
      <c r="H803">
        <v>5</v>
      </c>
      <c r="I803">
        <v>7</v>
      </c>
      <c r="J803">
        <v>1</v>
      </c>
      <c r="K803" s="6" t="s">
        <v>65</v>
      </c>
      <c r="L803" s="6" t="s">
        <v>119</v>
      </c>
      <c r="M803">
        <v>139</v>
      </c>
      <c r="N803" s="1">
        <v>0.49642857142857144</v>
      </c>
      <c r="O803">
        <v>32</v>
      </c>
      <c r="P803" s="1">
        <v>0.33684210526315789</v>
      </c>
      <c r="Q803" s="1">
        <v>0.78409090909090906</v>
      </c>
      <c r="R803">
        <v>379</v>
      </c>
      <c r="S803">
        <v>21</v>
      </c>
      <c r="T803">
        <v>65</v>
      </c>
      <c r="U803">
        <v>54</v>
      </c>
      <c r="V803">
        <v>16</v>
      </c>
      <c r="W803">
        <v>7</v>
      </c>
      <c r="X803">
        <v>48</v>
      </c>
      <c r="Y803" s="5">
        <v>1.125</v>
      </c>
    </row>
    <row r="804" spans="1:25" x14ac:dyDescent="0.25">
      <c r="A804">
        <v>2020</v>
      </c>
      <c r="B804" t="s">
        <v>57</v>
      </c>
      <c r="C804">
        <v>1</v>
      </c>
      <c r="D804">
        <v>6</v>
      </c>
      <c r="E804" t="s">
        <v>33</v>
      </c>
      <c r="F804" t="s">
        <v>42</v>
      </c>
      <c r="G804">
        <f t="shared" si="12"/>
        <v>0</v>
      </c>
      <c r="H804">
        <v>4</v>
      </c>
      <c r="I804">
        <v>7</v>
      </c>
      <c r="J804">
        <v>2</v>
      </c>
      <c r="K804" s="6" t="s">
        <v>193</v>
      </c>
      <c r="L804" s="6" t="s">
        <v>117</v>
      </c>
      <c r="M804">
        <v>121</v>
      </c>
      <c r="N804" s="1">
        <v>0.47826086956521741</v>
      </c>
      <c r="O804">
        <v>21</v>
      </c>
      <c r="P804" s="1">
        <v>0.27272727272727271</v>
      </c>
      <c r="Q804" s="1">
        <v>0.73611111111111116</v>
      </c>
      <c r="R804">
        <v>316</v>
      </c>
      <c r="S804">
        <v>36</v>
      </c>
      <c r="T804">
        <v>112</v>
      </c>
      <c r="U804">
        <v>79</v>
      </c>
      <c r="V804">
        <v>26</v>
      </c>
      <c r="W804">
        <v>12</v>
      </c>
      <c r="X804">
        <v>51</v>
      </c>
      <c r="Y804" s="5">
        <v>1.5490196078431373</v>
      </c>
    </row>
    <row r="805" spans="1:25" x14ac:dyDescent="0.25">
      <c r="A805">
        <v>2020</v>
      </c>
      <c r="B805" t="s">
        <v>57</v>
      </c>
      <c r="C805">
        <v>1</v>
      </c>
      <c r="D805">
        <v>6</v>
      </c>
      <c r="E805" t="s">
        <v>159</v>
      </c>
      <c r="F805" t="s">
        <v>116</v>
      </c>
      <c r="G805">
        <f t="shared" si="12"/>
        <v>1</v>
      </c>
      <c r="H805">
        <v>7</v>
      </c>
      <c r="I805">
        <v>4</v>
      </c>
      <c r="J805">
        <v>2</v>
      </c>
      <c r="K805" s="6" t="s">
        <v>72</v>
      </c>
      <c r="L805" s="6" t="s">
        <v>85</v>
      </c>
      <c r="M805">
        <v>165</v>
      </c>
      <c r="N805" s="1">
        <v>0.4532967032967033</v>
      </c>
      <c r="O805">
        <v>48</v>
      </c>
      <c r="P805" s="1">
        <v>0.40677966101694918</v>
      </c>
      <c r="Q805" s="1">
        <v>0.77876106194690264</v>
      </c>
      <c r="R805">
        <v>466</v>
      </c>
      <c r="S805">
        <v>36</v>
      </c>
      <c r="T805">
        <v>129</v>
      </c>
      <c r="U805">
        <v>79</v>
      </c>
      <c r="V805">
        <v>24</v>
      </c>
      <c r="W805">
        <v>22</v>
      </c>
      <c r="X805">
        <v>68</v>
      </c>
      <c r="Y805" s="5">
        <v>1.161764705882353</v>
      </c>
    </row>
    <row r="806" spans="1:25" x14ac:dyDescent="0.25">
      <c r="A806">
        <v>2020</v>
      </c>
      <c r="B806" t="s">
        <v>57</v>
      </c>
      <c r="C806">
        <v>1</v>
      </c>
      <c r="D806">
        <v>7</v>
      </c>
      <c r="E806" t="s">
        <v>25</v>
      </c>
      <c r="F806" t="s">
        <v>53</v>
      </c>
      <c r="G806">
        <f t="shared" si="12"/>
        <v>0</v>
      </c>
      <c r="H806">
        <v>5</v>
      </c>
      <c r="I806">
        <v>7</v>
      </c>
      <c r="J806">
        <v>1</v>
      </c>
      <c r="K806" s="6" t="s">
        <v>114</v>
      </c>
      <c r="L806" s="6" t="s">
        <v>90</v>
      </c>
      <c r="M806">
        <v>101</v>
      </c>
      <c r="N806" s="1">
        <v>0.44493392070484583</v>
      </c>
      <c r="O806">
        <v>26</v>
      </c>
      <c r="P806" s="1">
        <v>0.38235294117647056</v>
      </c>
      <c r="Q806" s="1">
        <v>0.73972602739726023</v>
      </c>
      <c r="R806">
        <v>282</v>
      </c>
      <c r="S806">
        <v>18</v>
      </c>
      <c r="T806">
        <v>94</v>
      </c>
      <c r="U806">
        <v>70</v>
      </c>
      <c r="V806">
        <v>38</v>
      </c>
      <c r="W806">
        <v>11</v>
      </c>
      <c r="X806">
        <v>45</v>
      </c>
      <c r="Y806" s="5">
        <v>1.5555555555555556</v>
      </c>
    </row>
    <row r="807" spans="1:25" x14ac:dyDescent="0.25">
      <c r="A807">
        <v>2020</v>
      </c>
      <c r="B807" t="s">
        <v>57</v>
      </c>
      <c r="C807">
        <v>1</v>
      </c>
      <c r="D807">
        <v>7</v>
      </c>
      <c r="E807" t="s">
        <v>99</v>
      </c>
      <c r="F807" t="s">
        <v>45</v>
      </c>
      <c r="G807">
        <f t="shared" si="12"/>
        <v>1</v>
      </c>
      <c r="H807">
        <v>7</v>
      </c>
      <c r="I807">
        <v>5</v>
      </c>
      <c r="J807">
        <v>1</v>
      </c>
      <c r="K807" s="6" t="s">
        <v>68</v>
      </c>
      <c r="L807" s="6" t="s">
        <v>84</v>
      </c>
      <c r="M807">
        <v>112</v>
      </c>
      <c r="N807" s="1">
        <v>0.47863247863247865</v>
      </c>
      <c r="O807">
        <v>25</v>
      </c>
      <c r="P807" s="1">
        <v>0.29761904761904762</v>
      </c>
      <c r="Q807" s="1">
        <v>0.84</v>
      </c>
      <c r="R807">
        <v>291</v>
      </c>
      <c r="S807">
        <v>35</v>
      </c>
      <c r="T807">
        <v>94</v>
      </c>
      <c r="U807">
        <v>40</v>
      </c>
      <c r="V807">
        <v>15</v>
      </c>
      <c r="W807">
        <v>15</v>
      </c>
      <c r="X807">
        <v>39</v>
      </c>
      <c r="Y807" s="5">
        <v>1.0256410256410255</v>
      </c>
    </row>
    <row r="808" spans="1:25" x14ac:dyDescent="0.25">
      <c r="A808">
        <v>2020</v>
      </c>
      <c r="B808" t="s">
        <v>57</v>
      </c>
      <c r="C808">
        <v>1</v>
      </c>
      <c r="D808">
        <v>8</v>
      </c>
      <c r="E808" t="s">
        <v>22</v>
      </c>
      <c r="F808" t="s">
        <v>44</v>
      </c>
      <c r="G808">
        <f t="shared" si="12"/>
        <v>1</v>
      </c>
      <c r="H808">
        <v>9</v>
      </c>
      <c r="I808">
        <v>3</v>
      </c>
      <c r="J808">
        <v>1</v>
      </c>
      <c r="K808" s="6" t="s">
        <v>62</v>
      </c>
      <c r="L808" s="6" t="s">
        <v>78</v>
      </c>
      <c r="M808">
        <v>131</v>
      </c>
      <c r="N808" s="1">
        <v>0.44256756756756754</v>
      </c>
      <c r="O808">
        <v>33</v>
      </c>
      <c r="P808" s="1">
        <v>0.31730769230769229</v>
      </c>
      <c r="Q808" s="1">
        <v>0.82894736842105265</v>
      </c>
      <c r="R808">
        <v>358</v>
      </c>
      <c r="S808">
        <v>21</v>
      </c>
      <c r="T808">
        <v>117</v>
      </c>
      <c r="U808">
        <v>80</v>
      </c>
      <c r="V808">
        <v>26</v>
      </c>
      <c r="W808">
        <v>16</v>
      </c>
      <c r="X808">
        <v>70</v>
      </c>
      <c r="Y808" s="5">
        <v>1.1428571428571428</v>
      </c>
    </row>
    <row r="809" spans="1:25" x14ac:dyDescent="0.25">
      <c r="A809">
        <v>2020</v>
      </c>
      <c r="B809" t="s">
        <v>57</v>
      </c>
      <c r="C809">
        <v>1</v>
      </c>
      <c r="D809">
        <v>8</v>
      </c>
      <c r="E809" t="s">
        <v>20</v>
      </c>
      <c r="F809" t="s">
        <v>47</v>
      </c>
      <c r="G809">
        <f t="shared" si="12"/>
        <v>0</v>
      </c>
      <c r="H809">
        <v>3</v>
      </c>
      <c r="I809">
        <v>9</v>
      </c>
      <c r="J809">
        <v>1</v>
      </c>
      <c r="K809" s="6" t="s">
        <v>66</v>
      </c>
      <c r="L809" s="6" t="s">
        <v>81</v>
      </c>
      <c r="M809">
        <v>91</v>
      </c>
      <c r="N809" s="1">
        <v>0.43127962085308058</v>
      </c>
      <c r="O809">
        <v>13</v>
      </c>
      <c r="P809" s="1">
        <v>0.22807017543859648</v>
      </c>
      <c r="Q809" s="1">
        <v>0.71153846153846156</v>
      </c>
      <c r="R809">
        <v>232</v>
      </c>
      <c r="S809">
        <v>29</v>
      </c>
      <c r="T809">
        <v>92</v>
      </c>
      <c r="U809">
        <v>35</v>
      </c>
      <c r="V809">
        <v>16</v>
      </c>
      <c r="W809">
        <v>16</v>
      </c>
      <c r="X809">
        <v>30</v>
      </c>
      <c r="Y809" s="5">
        <v>1.1666666666666667</v>
      </c>
    </row>
    <row r="810" spans="1:25" x14ac:dyDescent="0.25">
      <c r="A810">
        <v>2020</v>
      </c>
      <c r="B810" t="s">
        <v>57</v>
      </c>
      <c r="C810">
        <v>1</v>
      </c>
      <c r="D810">
        <v>9</v>
      </c>
      <c r="E810" t="s">
        <v>94</v>
      </c>
      <c r="F810" t="s">
        <v>40</v>
      </c>
      <c r="G810">
        <f t="shared" si="12"/>
        <v>1</v>
      </c>
      <c r="H810">
        <v>11</v>
      </c>
      <c r="I810">
        <v>2</v>
      </c>
      <c r="J810">
        <v>0</v>
      </c>
      <c r="K810" s="6" t="s">
        <v>73</v>
      </c>
      <c r="L810" s="6" t="s">
        <v>74</v>
      </c>
      <c r="M810">
        <v>167</v>
      </c>
      <c r="N810" s="1">
        <v>0.47851002865329512</v>
      </c>
      <c r="O810">
        <v>55</v>
      </c>
      <c r="P810" s="1">
        <v>0.38194444444444442</v>
      </c>
      <c r="Q810" s="1">
        <v>0.79545454545454541</v>
      </c>
      <c r="R810">
        <v>494</v>
      </c>
      <c r="S810">
        <v>26</v>
      </c>
      <c r="T810">
        <v>131</v>
      </c>
      <c r="U810">
        <v>93</v>
      </c>
      <c r="V810">
        <v>31</v>
      </c>
      <c r="W810">
        <v>23</v>
      </c>
      <c r="X810">
        <v>60</v>
      </c>
      <c r="Y810" s="5">
        <v>1.55</v>
      </c>
    </row>
    <row r="811" spans="1:25" x14ac:dyDescent="0.25">
      <c r="A811">
        <v>2020</v>
      </c>
      <c r="B811" t="s">
        <v>57</v>
      </c>
      <c r="C811">
        <v>1</v>
      </c>
      <c r="D811">
        <v>9</v>
      </c>
      <c r="E811" t="s">
        <v>35</v>
      </c>
      <c r="F811" t="s">
        <v>52</v>
      </c>
      <c r="G811">
        <f t="shared" si="12"/>
        <v>0</v>
      </c>
      <c r="H811">
        <v>2</v>
      </c>
      <c r="I811">
        <v>11</v>
      </c>
      <c r="J811">
        <v>0</v>
      </c>
      <c r="K811" s="6" t="s">
        <v>106</v>
      </c>
      <c r="L811" s="6" t="s">
        <v>83</v>
      </c>
      <c r="M811">
        <v>89</v>
      </c>
      <c r="N811" s="1">
        <v>0.39732142857142855</v>
      </c>
      <c r="O811">
        <v>27</v>
      </c>
      <c r="P811" s="1">
        <v>0.31034482758620691</v>
      </c>
      <c r="Q811" s="1">
        <v>0.76470588235294112</v>
      </c>
      <c r="R811">
        <v>244</v>
      </c>
      <c r="S811">
        <v>17</v>
      </c>
      <c r="T811">
        <v>78</v>
      </c>
      <c r="U811">
        <v>62</v>
      </c>
      <c r="V811">
        <v>20</v>
      </c>
      <c r="W811">
        <v>6</v>
      </c>
      <c r="X811">
        <v>38</v>
      </c>
      <c r="Y811" s="5">
        <v>1.631578947368421</v>
      </c>
    </row>
    <row r="812" spans="1:25" x14ac:dyDescent="0.25">
      <c r="A812">
        <v>2020</v>
      </c>
      <c r="B812" t="s">
        <v>57</v>
      </c>
      <c r="C812">
        <v>1</v>
      </c>
      <c r="D812">
        <v>10</v>
      </c>
      <c r="E812" t="s">
        <v>98</v>
      </c>
      <c r="F812" t="s">
        <v>41</v>
      </c>
      <c r="G812">
        <f t="shared" si="12"/>
        <v>0</v>
      </c>
      <c r="H812">
        <v>5</v>
      </c>
      <c r="I812">
        <v>8</v>
      </c>
      <c r="J812">
        <v>0</v>
      </c>
      <c r="K812" s="6" t="s">
        <v>70</v>
      </c>
      <c r="L812" s="6" t="s">
        <v>87</v>
      </c>
      <c r="M812">
        <v>115</v>
      </c>
      <c r="N812" s="1">
        <v>0.40636042402826855</v>
      </c>
      <c r="O812">
        <v>42</v>
      </c>
      <c r="P812" s="1">
        <v>0.35</v>
      </c>
      <c r="Q812" s="1">
        <v>0.7722772277227723</v>
      </c>
      <c r="R812">
        <v>350</v>
      </c>
      <c r="S812">
        <v>24</v>
      </c>
      <c r="T812">
        <v>98</v>
      </c>
      <c r="U812">
        <v>78</v>
      </c>
      <c r="V812">
        <v>25</v>
      </c>
      <c r="W812">
        <v>9</v>
      </c>
      <c r="X812">
        <v>46</v>
      </c>
      <c r="Y812" s="5">
        <v>1.6956521739130435</v>
      </c>
    </row>
    <row r="813" spans="1:25" x14ac:dyDescent="0.25">
      <c r="A813">
        <v>2020</v>
      </c>
      <c r="B813" t="s">
        <v>57</v>
      </c>
      <c r="C813">
        <v>1</v>
      </c>
      <c r="D813">
        <v>10</v>
      </c>
      <c r="E813" t="s">
        <v>21</v>
      </c>
      <c r="F813" t="s">
        <v>50</v>
      </c>
      <c r="G813">
        <f t="shared" si="12"/>
        <v>1</v>
      </c>
      <c r="H813">
        <v>8</v>
      </c>
      <c r="I813">
        <v>5</v>
      </c>
      <c r="J813">
        <v>0</v>
      </c>
      <c r="K813" s="6" t="s">
        <v>112</v>
      </c>
      <c r="L813" s="6" t="s">
        <v>88</v>
      </c>
      <c r="M813">
        <v>133</v>
      </c>
      <c r="N813" s="1">
        <v>0.4889705882352941</v>
      </c>
      <c r="O813">
        <v>28</v>
      </c>
      <c r="P813" s="1">
        <v>0.38356164383561642</v>
      </c>
      <c r="Q813" s="1">
        <v>0.66129032258064513</v>
      </c>
      <c r="R813">
        <v>335</v>
      </c>
      <c r="S813">
        <v>30</v>
      </c>
      <c r="T813">
        <v>116</v>
      </c>
      <c r="U813">
        <v>84</v>
      </c>
      <c r="V813">
        <v>18</v>
      </c>
      <c r="W813">
        <v>13</v>
      </c>
      <c r="X813">
        <v>49</v>
      </c>
      <c r="Y813" s="5">
        <v>1.7142857142857142</v>
      </c>
    </row>
    <row r="814" spans="1:25" x14ac:dyDescent="0.25">
      <c r="A814">
        <v>2020</v>
      </c>
      <c r="B814" t="s">
        <v>57</v>
      </c>
      <c r="C814">
        <v>2</v>
      </c>
      <c r="D814">
        <v>11</v>
      </c>
      <c r="E814" t="s">
        <v>26</v>
      </c>
      <c r="F814" t="s">
        <v>118</v>
      </c>
      <c r="G814">
        <f t="shared" si="12"/>
        <v>1</v>
      </c>
      <c r="H814">
        <v>11</v>
      </c>
      <c r="I814">
        <v>2</v>
      </c>
      <c r="J814">
        <v>0</v>
      </c>
      <c r="K814" s="6" t="s">
        <v>73</v>
      </c>
      <c r="L814" s="6" t="s">
        <v>74</v>
      </c>
      <c r="M814">
        <v>172</v>
      </c>
      <c r="N814" s="1">
        <v>0.46612466124661245</v>
      </c>
      <c r="O814">
        <v>35</v>
      </c>
      <c r="P814" s="1">
        <v>0.3125</v>
      </c>
      <c r="Q814" s="1">
        <v>0.74809160305343514</v>
      </c>
      <c r="R814">
        <v>477</v>
      </c>
      <c r="S814">
        <v>44</v>
      </c>
      <c r="T814">
        <v>197</v>
      </c>
      <c r="U814">
        <v>169</v>
      </c>
      <c r="V814">
        <v>33</v>
      </c>
      <c r="W814">
        <v>24</v>
      </c>
      <c r="X814">
        <v>73</v>
      </c>
      <c r="Y814" s="5">
        <v>2.3150684931506849</v>
      </c>
    </row>
    <row r="815" spans="1:25" x14ac:dyDescent="0.25">
      <c r="A815">
        <v>2020</v>
      </c>
      <c r="B815" t="s">
        <v>57</v>
      </c>
      <c r="C815">
        <v>2</v>
      </c>
      <c r="D815">
        <v>11</v>
      </c>
      <c r="E815" t="s">
        <v>35</v>
      </c>
      <c r="F815" t="s">
        <v>52</v>
      </c>
      <c r="G815">
        <f t="shared" si="12"/>
        <v>0</v>
      </c>
      <c r="H815">
        <v>2</v>
      </c>
      <c r="I815">
        <v>11</v>
      </c>
      <c r="J815">
        <v>0</v>
      </c>
      <c r="K815" s="6" t="s">
        <v>65</v>
      </c>
      <c r="L815" s="6" t="s">
        <v>119</v>
      </c>
      <c r="M815">
        <v>116</v>
      </c>
      <c r="N815" s="1">
        <v>0.36708860759493672</v>
      </c>
      <c r="O815">
        <v>40</v>
      </c>
      <c r="P815" s="1">
        <v>0.28169014084507044</v>
      </c>
      <c r="Q815" s="1">
        <v>0.70769230769230773</v>
      </c>
      <c r="R815">
        <v>318</v>
      </c>
      <c r="S815">
        <v>12</v>
      </c>
      <c r="T815">
        <v>100</v>
      </c>
      <c r="U815">
        <v>72</v>
      </c>
      <c r="V815">
        <v>23</v>
      </c>
      <c r="W815">
        <v>14</v>
      </c>
      <c r="X815">
        <v>61</v>
      </c>
      <c r="Y815" s="5">
        <v>1.180327868852459</v>
      </c>
    </row>
    <row r="816" spans="1:25" x14ac:dyDescent="0.25">
      <c r="A816">
        <v>2020</v>
      </c>
      <c r="B816" t="s">
        <v>57</v>
      </c>
      <c r="C816">
        <v>2</v>
      </c>
      <c r="D816">
        <v>12</v>
      </c>
      <c r="E816" t="s">
        <v>17</v>
      </c>
      <c r="F816" t="s">
        <v>43</v>
      </c>
      <c r="G816">
        <f t="shared" si="12"/>
        <v>0</v>
      </c>
      <c r="H816">
        <v>3</v>
      </c>
      <c r="I816">
        <v>10</v>
      </c>
      <c r="J816">
        <v>0</v>
      </c>
      <c r="K816" s="6" t="s">
        <v>111</v>
      </c>
      <c r="L816" s="6" t="s">
        <v>89</v>
      </c>
      <c r="M816">
        <v>98</v>
      </c>
      <c r="N816" s="1">
        <v>0.43555555555555553</v>
      </c>
      <c r="O816">
        <v>25</v>
      </c>
      <c r="P816" s="1">
        <v>0.37878787878787878</v>
      </c>
      <c r="Q816" s="1">
        <v>0.75409836065573765</v>
      </c>
      <c r="R816">
        <v>267</v>
      </c>
      <c r="S816">
        <v>29</v>
      </c>
      <c r="T816">
        <v>112</v>
      </c>
      <c r="U816">
        <v>71</v>
      </c>
      <c r="V816">
        <v>26</v>
      </c>
      <c r="W816">
        <v>14</v>
      </c>
      <c r="X816">
        <v>50</v>
      </c>
      <c r="Y816" s="5">
        <v>1.42</v>
      </c>
    </row>
    <row r="817" spans="1:25" x14ac:dyDescent="0.25">
      <c r="A817">
        <v>2020</v>
      </c>
      <c r="B817" t="s">
        <v>57</v>
      </c>
      <c r="C817">
        <v>2</v>
      </c>
      <c r="D817">
        <v>12</v>
      </c>
      <c r="E817" t="s">
        <v>97</v>
      </c>
      <c r="F817" t="s">
        <v>54</v>
      </c>
      <c r="G817">
        <f t="shared" si="12"/>
        <v>1</v>
      </c>
      <c r="H817">
        <v>10</v>
      </c>
      <c r="I817">
        <v>3</v>
      </c>
      <c r="J817">
        <v>0</v>
      </c>
      <c r="K817" s="6" t="s">
        <v>63</v>
      </c>
      <c r="L817" s="6" t="s">
        <v>79</v>
      </c>
      <c r="M817">
        <v>155</v>
      </c>
      <c r="N817" s="1">
        <v>0.49050632911392406</v>
      </c>
      <c r="O817">
        <v>44</v>
      </c>
      <c r="P817" s="1">
        <v>0.38260869565217392</v>
      </c>
      <c r="Q817" s="1">
        <v>0.8125</v>
      </c>
      <c r="R817">
        <v>445</v>
      </c>
      <c r="S817">
        <v>47</v>
      </c>
      <c r="T817">
        <v>135</v>
      </c>
      <c r="U817">
        <v>113</v>
      </c>
      <c r="V817">
        <v>24</v>
      </c>
      <c r="W817">
        <v>11</v>
      </c>
      <c r="X817">
        <v>75</v>
      </c>
      <c r="Y817" s="5">
        <v>1.5066666666666666</v>
      </c>
    </row>
    <row r="818" spans="1:25" x14ac:dyDescent="0.25">
      <c r="A818">
        <v>2020</v>
      </c>
      <c r="B818" t="s">
        <v>57</v>
      </c>
      <c r="C818">
        <v>2</v>
      </c>
      <c r="D818">
        <v>13</v>
      </c>
      <c r="E818" t="s">
        <v>28</v>
      </c>
      <c r="F818" t="s">
        <v>46</v>
      </c>
      <c r="G818">
        <f t="shared" si="12"/>
        <v>1</v>
      </c>
      <c r="H818">
        <v>7</v>
      </c>
      <c r="I818">
        <v>5</v>
      </c>
      <c r="J818">
        <v>1</v>
      </c>
      <c r="K818" s="6" t="s">
        <v>104</v>
      </c>
      <c r="L818" s="6" t="s">
        <v>105</v>
      </c>
      <c r="M818">
        <v>190</v>
      </c>
      <c r="N818" s="1">
        <v>0.44811320754716982</v>
      </c>
      <c r="O818">
        <v>43</v>
      </c>
      <c r="P818" s="1">
        <v>0.29251700680272108</v>
      </c>
      <c r="Q818" s="1">
        <v>0.70588235294117652</v>
      </c>
      <c r="R818">
        <v>507</v>
      </c>
      <c r="S818">
        <v>37</v>
      </c>
      <c r="T818">
        <v>165</v>
      </c>
      <c r="U818">
        <v>133</v>
      </c>
      <c r="V818">
        <v>36</v>
      </c>
      <c r="W818">
        <v>19</v>
      </c>
      <c r="X818">
        <v>66</v>
      </c>
      <c r="Y818" s="5">
        <v>2.0151515151515151</v>
      </c>
    </row>
    <row r="819" spans="1:25" x14ac:dyDescent="0.25">
      <c r="A819">
        <v>2020</v>
      </c>
      <c r="B819" t="s">
        <v>57</v>
      </c>
      <c r="C819">
        <v>2</v>
      </c>
      <c r="D819">
        <v>13</v>
      </c>
      <c r="E819" t="s">
        <v>93</v>
      </c>
      <c r="F819" t="s">
        <v>189</v>
      </c>
      <c r="G819">
        <f t="shared" si="12"/>
        <v>0</v>
      </c>
      <c r="H819">
        <v>5</v>
      </c>
      <c r="I819">
        <v>7</v>
      </c>
      <c r="J819">
        <v>1</v>
      </c>
      <c r="K819" s="6" t="s">
        <v>64</v>
      </c>
      <c r="L819" s="6" t="s">
        <v>80</v>
      </c>
      <c r="M819">
        <v>135</v>
      </c>
      <c r="N819" s="1">
        <v>0.46551724137931033</v>
      </c>
      <c r="O819">
        <v>37</v>
      </c>
      <c r="P819" s="1">
        <v>0.34579439252336447</v>
      </c>
      <c r="Q819" s="1">
        <v>0.7142857142857143</v>
      </c>
      <c r="R819">
        <v>362</v>
      </c>
      <c r="S819">
        <v>41</v>
      </c>
      <c r="T819">
        <v>98</v>
      </c>
      <c r="U819">
        <v>98</v>
      </c>
      <c r="V819">
        <v>36</v>
      </c>
      <c r="W819">
        <v>16</v>
      </c>
      <c r="X819">
        <v>55</v>
      </c>
      <c r="Y819" s="5">
        <v>1.7818181818181817</v>
      </c>
    </row>
    <row r="820" spans="1:25" x14ac:dyDescent="0.25">
      <c r="A820">
        <v>2020</v>
      </c>
      <c r="B820" t="s">
        <v>57</v>
      </c>
      <c r="C820">
        <v>2</v>
      </c>
      <c r="D820">
        <v>14</v>
      </c>
      <c r="E820" t="s">
        <v>21</v>
      </c>
      <c r="F820" t="s">
        <v>50</v>
      </c>
      <c r="G820">
        <f t="shared" si="12"/>
        <v>0</v>
      </c>
      <c r="H820">
        <v>4</v>
      </c>
      <c r="I820">
        <v>9</v>
      </c>
      <c r="J820">
        <v>0</v>
      </c>
      <c r="K820" s="6" t="s">
        <v>66</v>
      </c>
      <c r="L820" s="6" t="s">
        <v>81</v>
      </c>
      <c r="M820">
        <v>143</v>
      </c>
      <c r="N820" s="1">
        <v>0.43465045592705165</v>
      </c>
      <c r="O820">
        <v>45</v>
      </c>
      <c r="P820" s="1">
        <v>0.38793103448275862</v>
      </c>
      <c r="Q820" s="1">
        <v>0.79411764705882348</v>
      </c>
      <c r="R820">
        <v>385</v>
      </c>
      <c r="S820">
        <v>28</v>
      </c>
      <c r="T820">
        <v>92</v>
      </c>
      <c r="U820">
        <v>56</v>
      </c>
      <c r="V820">
        <v>26</v>
      </c>
      <c r="W820">
        <v>16</v>
      </c>
      <c r="X820">
        <v>55</v>
      </c>
      <c r="Y820" s="5">
        <v>1.0181818181818181</v>
      </c>
    </row>
    <row r="821" spans="1:25" x14ac:dyDescent="0.25">
      <c r="A821">
        <v>2020</v>
      </c>
      <c r="B821" t="s">
        <v>57</v>
      </c>
      <c r="C821">
        <v>2</v>
      </c>
      <c r="D821">
        <v>14</v>
      </c>
      <c r="E821" t="s">
        <v>22</v>
      </c>
      <c r="F821" t="s">
        <v>44</v>
      </c>
      <c r="G821">
        <f t="shared" si="12"/>
        <v>1</v>
      </c>
      <c r="H821">
        <v>9</v>
      </c>
      <c r="I821">
        <v>4</v>
      </c>
      <c r="J821">
        <v>0</v>
      </c>
      <c r="K821" s="6" t="s">
        <v>70</v>
      </c>
      <c r="L821" s="6" t="s">
        <v>87</v>
      </c>
      <c r="M821">
        <v>158</v>
      </c>
      <c r="N821" s="1">
        <v>0.46198830409356723</v>
      </c>
      <c r="O821">
        <v>57</v>
      </c>
      <c r="P821" s="1">
        <v>0.37748344370860926</v>
      </c>
      <c r="Q821" s="1">
        <v>0.88</v>
      </c>
      <c r="R821">
        <v>483</v>
      </c>
      <c r="S821">
        <v>36</v>
      </c>
      <c r="T821">
        <v>109</v>
      </c>
      <c r="U821">
        <v>105</v>
      </c>
      <c r="V821">
        <v>24</v>
      </c>
      <c r="W821">
        <v>10</v>
      </c>
      <c r="X821">
        <v>66</v>
      </c>
      <c r="Y821" s="5">
        <v>1.5909090909090908</v>
      </c>
    </row>
    <row r="822" spans="1:25" x14ac:dyDescent="0.25">
      <c r="A822">
        <v>2020</v>
      </c>
      <c r="B822" t="s">
        <v>57</v>
      </c>
      <c r="C822">
        <v>2</v>
      </c>
      <c r="D822">
        <v>15</v>
      </c>
      <c r="E822" t="s">
        <v>190</v>
      </c>
      <c r="F822" t="s">
        <v>103</v>
      </c>
      <c r="G822">
        <f t="shared" si="12"/>
        <v>1</v>
      </c>
      <c r="H822">
        <v>8</v>
      </c>
      <c r="I822">
        <v>3</v>
      </c>
      <c r="J822">
        <v>2</v>
      </c>
      <c r="K822" s="6" t="s">
        <v>61</v>
      </c>
      <c r="L822" s="6" t="s">
        <v>77</v>
      </c>
      <c r="M822">
        <v>154</v>
      </c>
      <c r="N822" s="1">
        <v>0.42307692307692307</v>
      </c>
      <c r="O822">
        <v>48</v>
      </c>
      <c r="P822" s="1">
        <v>0.375</v>
      </c>
      <c r="Q822" s="1">
        <v>0.74257425742574257</v>
      </c>
      <c r="R822">
        <v>431</v>
      </c>
      <c r="S822">
        <v>31</v>
      </c>
      <c r="T822">
        <v>130</v>
      </c>
      <c r="U822">
        <v>96</v>
      </c>
      <c r="V822">
        <v>29</v>
      </c>
      <c r="W822">
        <v>20</v>
      </c>
      <c r="X822">
        <v>57</v>
      </c>
      <c r="Y822" s="5">
        <v>1.6842105263157894</v>
      </c>
    </row>
    <row r="823" spans="1:25" x14ac:dyDescent="0.25">
      <c r="A823">
        <v>2020</v>
      </c>
      <c r="B823" t="s">
        <v>57</v>
      </c>
      <c r="C823">
        <v>2</v>
      </c>
      <c r="D823">
        <v>15</v>
      </c>
      <c r="E823" t="s">
        <v>15</v>
      </c>
      <c r="F823" t="s">
        <v>48</v>
      </c>
      <c r="G823">
        <f t="shared" si="12"/>
        <v>0</v>
      </c>
      <c r="H823">
        <v>3</v>
      </c>
      <c r="I823">
        <v>8</v>
      </c>
      <c r="J823">
        <v>2</v>
      </c>
      <c r="K823" s="6" t="s">
        <v>191</v>
      </c>
      <c r="L823" s="6" t="s">
        <v>113</v>
      </c>
      <c r="M823">
        <v>149</v>
      </c>
      <c r="N823" s="1">
        <v>0.47003154574132494</v>
      </c>
      <c r="O823">
        <v>45</v>
      </c>
      <c r="P823" s="1">
        <v>0.3543307086614173</v>
      </c>
      <c r="Q823" s="1">
        <v>0.84</v>
      </c>
      <c r="R823">
        <v>406</v>
      </c>
      <c r="S823">
        <v>31</v>
      </c>
      <c r="T823">
        <v>174</v>
      </c>
      <c r="U823">
        <v>72</v>
      </c>
      <c r="V823">
        <v>29</v>
      </c>
      <c r="W823">
        <v>17</v>
      </c>
      <c r="X823">
        <v>58</v>
      </c>
      <c r="Y823" s="5">
        <v>1.2413793103448276</v>
      </c>
    </row>
    <row r="824" spans="1:25" x14ac:dyDescent="0.25">
      <c r="A824">
        <v>2020</v>
      </c>
      <c r="B824" t="s">
        <v>57</v>
      </c>
      <c r="C824">
        <v>2</v>
      </c>
      <c r="D824">
        <v>16</v>
      </c>
      <c r="E824" t="s">
        <v>33</v>
      </c>
      <c r="F824" t="s">
        <v>42</v>
      </c>
      <c r="G824">
        <f t="shared" si="12"/>
        <v>0</v>
      </c>
      <c r="H824">
        <v>4</v>
      </c>
      <c r="I824">
        <v>9</v>
      </c>
      <c r="J824">
        <v>0</v>
      </c>
      <c r="K824" s="6" t="s">
        <v>68</v>
      </c>
      <c r="L824" s="6" t="s">
        <v>84</v>
      </c>
      <c r="M824">
        <v>116</v>
      </c>
      <c r="N824" s="1">
        <v>0.48535564853556484</v>
      </c>
      <c r="O824">
        <v>23</v>
      </c>
      <c r="P824" s="1">
        <v>0.34328358208955223</v>
      </c>
      <c r="Q824" s="1">
        <v>0.79220779220779225</v>
      </c>
      <c r="R824">
        <v>316</v>
      </c>
      <c r="S824">
        <v>32</v>
      </c>
      <c r="T824">
        <v>110</v>
      </c>
      <c r="U824">
        <v>55</v>
      </c>
      <c r="V824">
        <v>29</v>
      </c>
      <c r="W824">
        <v>24</v>
      </c>
      <c r="X824">
        <v>43</v>
      </c>
      <c r="Y824" s="5">
        <v>1.2790697674418605</v>
      </c>
    </row>
    <row r="825" spans="1:25" x14ac:dyDescent="0.25">
      <c r="A825">
        <v>2020</v>
      </c>
      <c r="B825" t="s">
        <v>57</v>
      </c>
      <c r="C825">
        <v>2</v>
      </c>
      <c r="D825">
        <v>16</v>
      </c>
      <c r="E825" t="s">
        <v>25</v>
      </c>
      <c r="F825" t="s">
        <v>53</v>
      </c>
      <c r="G825">
        <f t="shared" si="12"/>
        <v>1</v>
      </c>
      <c r="H825">
        <v>9</v>
      </c>
      <c r="I825">
        <v>4</v>
      </c>
      <c r="J825">
        <v>0</v>
      </c>
      <c r="K825" s="6" t="s">
        <v>72</v>
      </c>
      <c r="L825" s="6" t="s">
        <v>85</v>
      </c>
      <c r="M825">
        <v>148</v>
      </c>
      <c r="N825" s="1">
        <v>0.49169435215946844</v>
      </c>
      <c r="O825">
        <v>27</v>
      </c>
      <c r="P825" s="1">
        <v>0.375</v>
      </c>
      <c r="Q825" s="1">
        <v>0.66315789473684206</v>
      </c>
      <c r="R825">
        <v>386</v>
      </c>
      <c r="S825">
        <v>47</v>
      </c>
      <c r="T825">
        <v>126</v>
      </c>
      <c r="U825">
        <v>98</v>
      </c>
      <c r="V825">
        <v>24</v>
      </c>
      <c r="W825">
        <v>18</v>
      </c>
      <c r="X825">
        <v>57</v>
      </c>
      <c r="Y825" s="5">
        <v>1.7192982456140351</v>
      </c>
    </row>
    <row r="826" spans="1:25" x14ac:dyDescent="0.25">
      <c r="A826">
        <v>2020</v>
      </c>
      <c r="B826" t="s">
        <v>57</v>
      </c>
      <c r="C826">
        <v>2</v>
      </c>
      <c r="D826">
        <v>17</v>
      </c>
      <c r="E826" t="s">
        <v>16</v>
      </c>
      <c r="F826" t="s">
        <v>51</v>
      </c>
      <c r="G826">
        <f t="shared" si="12"/>
        <v>1</v>
      </c>
      <c r="H826">
        <v>9</v>
      </c>
      <c r="I826">
        <v>4</v>
      </c>
      <c r="J826">
        <v>0</v>
      </c>
      <c r="K826" s="6" t="s">
        <v>114</v>
      </c>
      <c r="L826" s="6" t="s">
        <v>90</v>
      </c>
      <c r="M826">
        <v>180</v>
      </c>
      <c r="N826" s="1">
        <v>0.52023121387283233</v>
      </c>
      <c r="O826">
        <v>38</v>
      </c>
      <c r="P826" s="1">
        <v>0.34234234234234234</v>
      </c>
      <c r="Q826" s="1">
        <v>0.69911504424778759</v>
      </c>
      <c r="R826">
        <v>477</v>
      </c>
      <c r="S826">
        <v>50</v>
      </c>
      <c r="T826">
        <v>204</v>
      </c>
      <c r="U826">
        <v>126</v>
      </c>
      <c r="V826">
        <v>33</v>
      </c>
      <c r="W826">
        <v>31</v>
      </c>
      <c r="X826">
        <v>91</v>
      </c>
      <c r="Y826" s="5">
        <v>1.3846153846153846</v>
      </c>
    </row>
    <row r="827" spans="1:25" x14ac:dyDescent="0.25">
      <c r="A827">
        <v>2020</v>
      </c>
      <c r="B827" t="s">
        <v>57</v>
      </c>
      <c r="C827">
        <v>2</v>
      </c>
      <c r="D827">
        <v>17</v>
      </c>
      <c r="E827" t="s">
        <v>99</v>
      </c>
      <c r="F827" t="s">
        <v>45</v>
      </c>
      <c r="G827">
        <f t="shared" si="12"/>
        <v>0</v>
      </c>
      <c r="H827">
        <v>4</v>
      </c>
      <c r="I827">
        <v>9</v>
      </c>
      <c r="J827">
        <v>0</v>
      </c>
      <c r="K827" s="6" t="s">
        <v>60</v>
      </c>
      <c r="L827" s="6" t="s">
        <v>75</v>
      </c>
      <c r="M827">
        <v>111</v>
      </c>
      <c r="N827" s="1">
        <v>0.43023255813953487</v>
      </c>
      <c r="O827">
        <v>37</v>
      </c>
      <c r="P827" s="1">
        <v>0.35576923076923078</v>
      </c>
      <c r="Q827" s="1">
        <v>0.8651685393258427</v>
      </c>
      <c r="R827">
        <v>336</v>
      </c>
      <c r="S827">
        <v>31</v>
      </c>
      <c r="T827">
        <v>111</v>
      </c>
      <c r="U827">
        <v>70</v>
      </c>
      <c r="V827">
        <v>20</v>
      </c>
      <c r="W827">
        <v>17</v>
      </c>
      <c r="X827">
        <v>47</v>
      </c>
      <c r="Y827" s="5">
        <v>1.4893617021276595</v>
      </c>
    </row>
    <row r="828" spans="1:25" x14ac:dyDescent="0.25">
      <c r="A828">
        <v>2020</v>
      </c>
      <c r="B828" t="s">
        <v>57</v>
      </c>
      <c r="C828">
        <v>2</v>
      </c>
      <c r="D828">
        <v>18</v>
      </c>
      <c r="E828" t="s">
        <v>94</v>
      </c>
      <c r="F828" t="s">
        <v>40</v>
      </c>
      <c r="G828">
        <f t="shared" si="12"/>
        <v>1</v>
      </c>
      <c r="H828">
        <v>7</v>
      </c>
      <c r="I828">
        <v>6</v>
      </c>
      <c r="J828">
        <v>0</v>
      </c>
      <c r="K828" s="6" t="s">
        <v>193</v>
      </c>
      <c r="L828" s="6" t="s">
        <v>117</v>
      </c>
      <c r="M828">
        <v>180</v>
      </c>
      <c r="N828" s="1">
        <v>0.4466501240694789</v>
      </c>
      <c r="O828">
        <v>60</v>
      </c>
      <c r="P828" s="1">
        <v>0.38709677419354838</v>
      </c>
      <c r="Q828" s="1">
        <v>0.76543209876543206</v>
      </c>
      <c r="R828">
        <v>482</v>
      </c>
      <c r="S828">
        <v>27</v>
      </c>
      <c r="T828">
        <v>149</v>
      </c>
      <c r="U828">
        <v>96</v>
      </c>
      <c r="V828">
        <v>29</v>
      </c>
      <c r="W828">
        <v>20</v>
      </c>
      <c r="X828">
        <v>68</v>
      </c>
      <c r="Y828" s="5">
        <v>1.411764705882353</v>
      </c>
    </row>
    <row r="829" spans="1:25" x14ac:dyDescent="0.25">
      <c r="A829">
        <v>2020</v>
      </c>
      <c r="B829" t="s">
        <v>57</v>
      </c>
      <c r="C829">
        <v>2</v>
      </c>
      <c r="D829">
        <v>18</v>
      </c>
      <c r="E829" t="s">
        <v>159</v>
      </c>
      <c r="F829" t="s">
        <v>116</v>
      </c>
      <c r="G829">
        <f t="shared" si="12"/>
        <v>0</v>
      </c>
      <c r="H829">
        <v>6</v>
      </c>
      <c r="I829">
        <v>7</v>
      </c>
      <c r="J829">
        <v>0</v>
      </c>
      <c r="K829" s="6" t="s">
        <v>106</v>
      </c>
      <c r="L829" s="6" t="s">
        <v>83</v>
      </c>
      <c r="M829">
        <v>181</v>
      </c>
      <c r="N829" s="1">
        <v>0.46410256410256412</v>
      </c>
      <c r="O829">
        <v>45</v>
      </c>
      <c r="P829" s="1">
        <v>0.34090909090909088</v>
      </c>
      <c r="Q829" s="1">
        <v>0.70370370370370372</v>
      </c>
      <c r="R829">
        <v>483</v>
      </c>
      <c r="S829">
        <v>30</v>
      </c>
      <c r="T829">
        <v>135</v>
      </c>
      <c r="U829">
        <v>92</v>
      </c>
      <c r="V829">
        <v>23</v>
      </c>
      <c r="W829">
        <v>25</v>
      </c>
      <c r="X829">
        <v>67</v>
      </c>
      <c r="Y829" s="5">
        <v>1.3731343283582089</v>
      </c>
    </row>
    <row r="830" spans="1:25" x14ac:dyDescent="0.25">
      <c r="A830">
        <v>2020</v>
      </c>
      <c r="B830" t="s">
        <v>57</v>
      </c>
      <c r="C830">
        <v>2</v>
      </c>
      <c r="D830">
        <v>19</v>
      </c>
      <c r="E830" t="s">
        <v>98</v>
      </c>
      <c r="F830" t="s">
        <v>41</v>
      </c>
      <c r="G830">
        <f t="shared" si="12"/>
        <v>1</v>
      </c>
      <c r="H830">
        <v>9</v>
      </c>
      <c r="I830">
        <v>4</v>
      </c>
      <c r="J830">
        <v>0</v>
      </c>
      <c r="K830" s="6" t="s">
        <v>71</v>
      </c>
      <c r="L830" s="6" t="s">
        <v>121</v>
      </c>
      <c r="M830">
        <v>200</v>
      </c>
      <c r="N830" s="1">
        <v>0.46728971962616822</v>
      </c>
      <c r="O830">
        <v>70</v>
      </c>
      <c r="P830" s="1">
        <v>0.39772727272727271</v>
      </c>
      <c r="Q830" s="1">
        <v>0.80327868852459017</v>
      </c>
      <c r="R830">
        <v>568</v>
      </c>
      <c r="S830">
        <v>47</v>
      </c>
      <c r="T830">
        <v>151</v>
      </c>
      <c r="U830">
        <v>95</v>
      </c>
      <c r="V830">
        <v>28</v>
      </c>
      <c r="W830">
        <v>21</v>
      </c>
      <c r="X830">
        <v>58</v>
      </c>
      <c r="Y830" s="5">
        <v>1.6379310344827587</v>
      </c>
    </row>
    <row r="831" spans="1:25" x14ac:dyDescent="0.25">
      <c r="A831">
        <v>2020</v>
      </c>
      <c r="B831" t="s">
        <v>57</v>
      </c>
      <c r="C831">
        <v>2</v>
      </c>
      <c r="D831">
        <v>19</v>
      </c>
      <c r="E831" t="s">
        <v>23</v>
      </c>
      <c r="F831" t="s">
        <v>120</v>
      </c>
      <c r="G831">
        <f t="shared" si="12"/>
        <v>0</v>
      </c>
      <c r="H831">
        <v>4</v>
      </c>
      <c r="I831">
        <v>9</v>
      </c>
      <c r="J831">
        <v>0</v>
      </c>
      <c r="K831" s="6" t="s">
        <v>112</v>
      </c>
      <c r="L831" s="6" t="s">
        <v>88</v>
      </c>
      <c r="M831">
        <v>149</v>
      </c>
      <c r="N831" s="1">
        <v>0.39839572192513367</v>
      </c>
      <c r="O831">
        <v>41</v>
      </c>
      <c r="P831" s="1">
        <v>0.28472222222222221</v>
      </c>
      <c r="Q831" s="1">
        <v>0.91752577319587625</v>
      </c>
      <c r="R831">
        <v>428</v>
      </c>
      <c r="S831">
        <v>50</v>
      </c>
      <c r="T831">
        <v>142</v>
      </c>
      <c r="U831">
        <v>93</v>
      </c>
      <c r="V831">
        <v>26</v>
      </c>
      <c r="W831">
        <v>20</v>
      </c>
      <c r="X831">
        <v>50</v>
      </c>
      <c r="Y831" s="5">
        <v>1.86</v>
      </c>
    </row>
    <row r="832" spans="1:25" x14ac:dyDescent="0.25">
      <c r="A832">
        <v>2020</v>
      </c>
      <c r="B832" t="s">
        <v>57</v>
      </c>
      <c r="C832">
        <v>2</v>
      </c>
      <c r="D832">
        <v>20</v>
      </c>
      <c r="E832" t="s">
        <v>20</v>
      </c>
      <c r="F832" t="s">
        <v>47</v>
      </c>
      <c r="G832">
        <f t="shared" si="12"/>
        <v>0</v>
      </c>
      <c r="H832">
        <v>6</v>
      </c>
      <c r="I832">
        <v>7</v>
      </c>
      <c r="J832">
        <v>0</v>
      </c>
      <c r="K832" s="6" t="s">
        <v>182</v>
      </c>
      <c r="L832" s="6" t="s">
        <v>76</v>
      </c>
      <c r="M832">
        <v>131</v>
      </c>
      <c r="N832" s="1">
        <v>0.44406779661016949</v>
      </c>
      <c r="O832">
        <v>19</v>
      </c>
      <c r="P832" s="1">
        <v>0.26760563380281688</v>
      </c>
      <c r="Q832" s="1">
        <v>0.67123287671232879</v>
      </c>
      <c r="R832">
        <v>330</v>
      </c>
      <c r="S832">
        <v>51</v>
      </c>
      <c r="T832">
        <v>134</v>
      </c>
      <c r="U832">
        <v>62</v>
      </c>
      <c r="V832">
        <v>31</v>
      </c>
      <c r="W832">
        <v>20</v>
      </c>
      <c r="X832">
        <v>29</v>
      </c>
      <c r="Y832" s="5">
        <v>2.1379310344827585</v>
      </c>
    </row>
    <row r="833" spans="1:25" x14ac:dyDescent="0.25">
      <c r="A833">
        <v>2020</v>
      </c>
      <c r="B833" t="s">
        <v>57</v>
      </c>
      <c r="C833">
        <v>2</v>
      </c>
      <c r="D833">
        <v>20</v>
      </c>
      <c r="E833" t="s">
        <v>181</v>
      </c>
      <c r="F833" t="s">
        <v>49</v>
      </c>
      <c r="G833">
        <f t="shared" si="12"/>
        <v>1</v>
      </c>
      <c r="H833">
        <v>7</v>
      </c>
      <c r="I833">
        <v>6</v>
      </c>
      <c r="J833">
        <v>0</v>
      </c>
      <c r="K833" s="6" t="s">
        <v>62</v>
      </c>
      <c r="L833" s="6" t="s">
        <v>78</v>
      </c>
      <c r="M833">
        <v>183</v>
      </c>
      <c r="N833" s="1">
        <v>0.46923076923076923</v>
      </c>
      <c r="O833">
        <v>57</v>
      </c>
      <c r="P833" s="1">
        <v>0.34969325153374231</v>
      </c>
      <c r="Q833" s="1">
        <v>0.8303571428571429</v>
      </c>
      <c r="R833">
        <v>516</v>
      </c>
      <c r="S833">
        <v>23</v>
      </c>
      <c r="T833">
        <v>95</v>
      </c>
      <c r="U833">
        <v>81</v>
      </c>
      <c r="V833">
        <v>29</v>
      </c>
      <c r="W833">
        <v>15</v>
      </c>
      <c r="X833">
        <v>62</v>
      </c>
      <c r="Y833" s="5">
        <v>1.3064516129032258</v>
      </c>
    </row>
    <row r="834" spans="1:25" x14ac:dyDescent="0.25">
      <c r="A834">
        <v>2020</v>
      </c>
      <c r="B834" t="s">
        <v>57</v>
      </c>
      <c r="C834">
        <v>3</v>
      </c>
      <c r="D834">
        <v>21</v>
      </c>
      <c r="E834" t="s">
        <v>16</v>
      </c>
      <c r="F834" t="s">
        <v>51</v>
      </c>
      <c r="G834">
        <f t="shared" ref="G834:G897" si="13">IF(H834+0.5*J834&gt;6.5,1,0)</f>
        <v>1</v>
      </c>
      <c r="H834">
        <v>9</v>
      </c>
      <c r="I834">
        <v>3</v>
      </c>
      <c r="J834">
        <v>1</v>
      </c>
      <c r="K834" s="6" t="s">
        <v>112</v>
      </c>
      <c r="L834" s="6" t="s">
        <v>88</v>
      </c>
      <c r="M834">
        <v>184</v>
      </c>
      <c r="N834" s="1">
        <v>0.47668393782383417</v>
      </c>
      <c r="O834">
        <v>47</v>
      </c>
      <c r="P834" s="1">
        <v>0.37301587301587302</v>
      </c>
      <c r="Q834" s="1">
        <v>0.7846153846153846</v>
      </c>
      <c r="R834">
        <v>517</v>
      </c>
      <c r="S834">
        <v>56</v>
      </c>
      <c r="T834">
        <v>167</v>
      </c>
      <c r="U834">
        <v>122</v>
      </c>
      <c r="V834">
        <v>44</v>
      </c>
      <c r="W834">
        <v>24</v>
      </c>
      <c r="X834">
        <v>73</v>
      </c>
      <c r="Y834" s="5">
        <v>1.6712328767123288</v>
      </c>
    </row>
    <row r="835" spans="1:25" x14ac:dyDescent="0.25">
      <c r="A835">
        <v>2020</v>
      </c>
      <c r="B835" t="s">
        <v>57</v>
      </c>
      <c r="C835">
        <v>3</v>
      </c>
      <c r="D835">
        <v>21</v>
      </c>
      <c r="E835" t="s">
        <v>98</v>
      </c>
      <c r="F835" t="s">
        <v>41</v>
      </c>
      <c r="G835">
        <f t="shared" si="13"/>
        <v>0</v>
      </c>
      <c r="H835">
        <v>3</v>
      </c>
      <c r="I835">
        <v>9</v>
      </c>
      <c r="J835">
        <v>1</v>
      </c>
      <c r="K835" s="6" t="s">
        <v>60</v>
      </c>
      <c r="L835" s="6" t="s">
        <v>75</v>
      </c>
      <c r="M835">
        <v>151</v>
      </c>
      <c r="N835" s="1">
        <v>0.45345345345345345</v>
      </c>
      <c r="O835">
        <v>60</v>
      </c>
      <c r="P835" s="1">
        <v>0.44117647058823528</v>
      </c>
      <c r="Q835" s="1">
        <v>0.7846153846153846</v>
      </c>
      <c r="R835">
        <v>413</v>
      </c>
      <c r="S835">
        <v>32</v>
      </c>
      <c r="T835">
        <v>108</v>
      </c>
      <c r="U835">
        <v>89</v>
      </c>
      <c r="V835">
        <v>31</v>
      </c>
      <c r="W835">
        <v>12</v>
      </c>
      <c r="X835">
        <v>55</v>
      </c>
      <c r="Y835" s="5">
        <v>1.6181818181818182</v>
      </c>
    </row>
    <row r="836" spans="1:25" x14ac:dyDescent="0.25">
      <c r="A836">
        <v>2020</v>
      </c>
      <c r="B836" t="s">
        <v>57</v>
      </c>
      <c r="C836">
        <v>3</v>
      </c>
      <c r="D836">
        <v>22</v>
      </c>
      <c r="E836" t="s">
        <v>23</v>
      </c>
      <c r="F836" t="s">
        <v>120</v>
      </c>
      <c r="G836">
        <f t="shared" si="13"/>
        <v>1</v>
      </c>
      <c r="H836">
        <v>7</v>
      </c>
      <c r="I836">
        <v>6</v>
      </c>
      <c r="J836">
        <v>0</v>
      </c>
      <c r="K836" s="6" t="s">
        <v>64</v>
      </c>
      <c r="L836" s="6" t="s">
        <v>80</v>
      </c>
      <c r="M836">
        <v>155</v>
      </c>
      <c r="N836" s="1">
        <v>0.45722713864306785</v>
      </c>
      <c r="O836">
        <v>52</v>
      </c>
      <c r="P836" s="1">
        <v>0.38518518518518519</v>
      </c>
      <c r="Q836" s="1">
        <v>0.91860465116279066</v>
      </c>
      <c r="R836">
        <v>441</v>
      </c>
      <c r="S836">
        <v>43</v>
      </c>
      <c r="T836">
        <v>124</v>
      </c>
      <c r="U836">
        <v>87</v>
      </c>
      <c r="V836">
        <v>39</v>
      </c>
      <c r="W836">
        <v>22</v>
      </c>
      <c r="X836">
        <v>56</v>
      </c>
      <c r="Y836" s="5">
        <v>1.5535714285714286</v>
      </c>
    </row>
    <row r="837" spans="1:25" x14ac:dyDescent="0.25">
      <c r="A837">
        <v>2020</v>
      </c>
      <c r="B837" t="s">
        <v>57</v>
      </c>
      <c r="C837">
        <v>3</v>
      </c>
      <c r="D837">
        <v>22</v>
      </c>
      <c r="E837" t="s">
        <v>28</v>
      </c>
      <c r="F837" t="s">
        <v>46</v>
      </c>
      <c r="G837">
        <f t="shared" si="13"/>
        <v>0</v>
      </c>
      <c r="H837">
        <v>6</v>
      </c>
      <c r="I837">
        <v>7</v>
      </c>
      <c r="J837">
        <v>0</v>
      </c>
      <c r="K837" s="6" t="s">
        <v>71</v>
      </c>
      <c r="L837" s="6" t="s">
        <v>121</v>
      </c>
      <c r="M837">
        <v>172</v>
      </c>
      <c r="N837" s="1">
        <v>0.46236559139784944</v>
      </c>
      <c r="O837">
        <v>44</v>
      </c>
      <c r="P837" s="1">
        <v>0.36065573770491804</v>
      </c>
      <c r="Q837" s="1">
        <v>0.68518518518518523</v>
      </c>
      <c r="R837">
        <v>462</v>
      </c>
      <c r="S837">
        <v>35</v>
      </c>
      <c r="T837">
        <v>151</v>
      </c>
      <c r="U837">
        <v>88</v>
      </c>
      <c r="V837">
        <v>26</v>
      </c>
      <c r="W837">
        <v>31</v>
      </c>
      <c r="X837">
        <v>65</v>
      </c>
      <c r="Y837" s="5">
        <v>1.3538461538461539</v>
      </c>
    </row>
    <row r="838" spans="1:25" x14ac:dyDescent="0.25">
      <c r="A838">
        <v>2020</v>
      </c>
      <c r="B838" t="s">
        <v>57</v>
      </c>
      <c r="C838">
        <v>3</v>
      </c>
      <c r="D838">
        <v>23</v>
      </c>
      <c r="E838" t="s">
        <v>22</v>
      </c>
      <c r="F838" t="s">
        <v>44</v>
      </c>
      <c r="G838">
        <f t="shared" si="13"/>
        <v>1</v>
      </c>
      <c r="H838">
        <v>9</v>
      </c>
      <c r="I838">
        <v>4</v>
      </c>
      <c r="J838">
        <v>0</v>
      </c>
      <c r="K838" s="6" t="s">
        <v>72</v>
      </c>
      <c r="L838" s="6" t="s">
        <v>85</v>
      </c>
      <c r="M838">
        <v>186</v>
      </c>
      <c r="N838" s="1">
        <v>0.4720812182741117</v>
      </c>
      <c r="O838">
        <v>55</v>
      </c>
      <c r="P838" s="1">
        <v>0.36184210526315791</v>
      </c>
      <c r="Q838" s="1">
        <v>0.74</v>
      </c>
      <c r="R838">
        <v>501</v>
      </c>
      <c r="S838">
        <v>30</v>
      </c>
      <c r="T838">
        <v>133</v>
      </c>
      <c r="U838">
        <v>98</v>
      </c>
      <c r="V838">
        <v>29</v>
      </c>
      <c r="W838">
        <v>12</v>
      </c>
      <c r="X838">
        <v>79</v>
      </c>
      <c r="Y838" s="5">
        <v>1.240506329113924</v>
      </c>
    </row>
    <row r="839" spans="1:25" x14ac:dyDescent="0.25">
      <c r="A839">
        <v>2020</v>
      </c>
      <c r="B839" t="s">
        <v>57</v>
      </c>
      <c r="C839">
        <v>3</v>
      </c>
      <c r="D839">
        <v>23</v>
      </c>
      <c r="E839" t="s">
        <v>33</v>
      </c>
      <c r="F839" t="s">
        <v>42</v>
      </c>
      <c r="G839">
        <f t="shared" si="13"/>
        <v>0</v>
      </c>
      <c r="H839">
        <v>4</v>
      </c>
      <c r="I839">
        <v>9</v>
      </c>
      <c r="J839">
        <v>0</v>
      </c>
      <c r="K839" s="6" t="s">
        <v>66</v>
      </c>
      <c r="L839" s="6" t="s">
        <v>81</v>
      </c>
      <c r="M839">
        <v>103</v>
      </c>
      <c r="N839" s="1">
        <v>0.43459915611814348</v>
      </c>
      <c r="O839">
        <v>16</v>
      </c>
      <c r="P839" s="1">
        <v>0.29090909090909089</v>
      </c>
      <c r="Q839" s="1">
        <v>0.73239436619718312</v>
      </c>
      <c r="R839">
        <v>274</v>
      </c>
      <c r="S839">
        <v>47</v>
      </c>
      <c r="T839">
        <v>122</v>
      </c>
      <c r="U839">
        <v>65</v>
      </c>
      <c r="V839">
        <v>25</v>
      </c>
      <c r="W839">
        <v>20</v>
      </c>
      <c r="X839">
        <v>45</v>
      </c>
      <c r="Y839" s="5">
        <v>1.4444444444444444</v>
      </c>
    </row>
    <row r="840" spans="1:25" x14ac:dyDescent="0.25">
      <c r="A840">
        <v>2020</v>
      </c>
      <c r="B840" t="s">
        <v>57</v>
      </c>
      <c r="C840">
        <v>3</v>
      </c>
      <c r="D840">
        <v>24</v>
      </c>
      <c r="E840" t="s">
        <v>15</v>
      </c>
      <c r="F840" t="s">
        <v>48</v>
      </c>
      <c r="G840">
        <f t="shared" si="13"/>
        <v>1</v>
      </c>
      <c r="H840">
        <v>8</v>
      </c>
      <c r="I840">
        <v>5</v>
      </c>
      <c r="J840">
        <v>0</v>
      </c>
      <c r="K840" s="6" t="s">
        <v>182</v>
      </c>
      <c r="L840" s="6" t="s">
        <v>76</v>
      </c>
      <c r="M840">
        <v>141</v>
      </c>
      <c r="N840" s="1">
        <v>0.46229508196721314</v>
      </c>
      <c r="O840">
        <v>32</v>
      </c>
      <c r="P840" s="1">
        <v>0.36363636363636365</v>
      </c>
      <c r="Q840" s="1">
        <v>0.82417582417582413</v>
      </c>
      <c r="R840">
        <v>389</v>
      </c>
      <c r="S840">
        <v>36</v>
      </c>
      <c r="T840">
        <v>131</v>
      </c>
      <c r="U840">
        <v>73</v>
      </c>
      <c r="V840">
        <v>26</v>
      </c>
      <c r="W840">
        <v>21</v>
      </c>
      <c r="X840">
        <v>62</v>
      </c>
      <c r="Y840" s="5">
        <v>1.1774193548387097</v>
      </c>
    </row>
    <row r="841" spans="1:25" x14ac:dyDescent="0.25">
      <c r="A841">
        <v>2020</v>
      </c>
      <c r="B841" t="s">
        <v>57</v>
      </c>
      <c r="C841">
        <v>3</v>
      </c>
      <c r="D841">
        <v>24</v>
      </c>
      <c r="E841" t="s">
        <v>181</v>
      </c>
      <c r="F841" t="s">
        <v>49</v>
      </c>
      <c r="G841">
        <f t="shared" si="13"/>
        <v>0</v>
      </c>
      <c r="H841">
        <v>5</v>
      </c>
      <c r="I841">
        <v>8</v>
      </c>
      <c r="J841">
        <v>0</v>
      </c>
      <c r="K841" s="6" t="s">
        <v>61</v>
      </c>
      <c r="L841" s="6" t="s">
        <v>77</v>
      </c>
      <c r="M841">
        <v>140</v>
      </c>
      <c r="N841" s="1">
        <v>0.43613707165109034</v>
      </c>
      <c r="O841">
        <v>48</v>
      </c>
      <c r="P841" s="1">
        <v>0.39344262295081966</v>
      </c>
      <c r="Q841" s="1">
        <v>0.7865168539325843</v>
      </c>
      <c r="R841">
        <v>398</v>
      </c>
      <c r="S841">
        <v>28</v>
      </c>
      <c r="T841">
        <v>100</v>
      </c>
      <c r="U841">
        <v>47</v>
      </c>
      <c r="V841">
        <v>24</v>
      </c>
      <c r="W841">
        <v>15</v>
      </c>
      <c r="X841">
        <v>38</v>
      </c>
      <c r="Y841" s="5">
        <v>1.236842105263158</v>
      </c>
    </row>
    <row r="842" spans="1:25" x14ac:dyDescent="0.25">
      <c r="A842">
        <v>2020</v>
      </c>
      <c r="B842" t="s">
        <v>57</v>
      </c>
      <c r="C842">
        <v>3</v>
      </c>
      <c r="D842">
        <v>25</v>
      </c>
      <c r="E842" t="s">
        <v>190</v>
      </c>
      <c r="F842" t="s">
        <v>103</v>
      </c>
      <c r="G842">
        <f t="shared" si="13"/>
        <v>1</v>
      </c>
      <c r="H842">
        <v>8</v>
      </c>
      <c r="I842">
        <v>5</v>
      </c>
      <c r="J842">
        <v>0</v>
      </c>
      <c r="K842" s="6" t="s">
        <v>104</v>
      </c>
      <c r="L842" s="6" t="s">
        <v>105</v>
      </c>
      <c r="M842">
        <v>191</v>
      </c>
      <c r="N842" s="1">
        <v>0.48354430379746838</v>
      </c>
      <c r="O842">
        <v>40</v>
      </c>
      <c r="P842" s="1">
        <v>0.34188034188034189</v>
      </c>
      <c r="Q842" s="1">
        <v>0.84615384615384615</v>
      </c>
      <c r="R842">
        <v>477</v>
      </c>
      <c r="S842">
        <v>30</v>
      </c>
      <c r="T842">
        <v>131</v>
      </c>
      <c r="U842">
        <v>124</v>
      </c>
      <c r="V842">
        <v>42</v>
      </c>
      <c r="W842">
        <v>21</v>
      </c>
      <c r="X842">
        <v>68</v>
      </c>
      <c r="Y842" s="5">
        <v>1.8235294117647058</v>
      </c>
    </row>
    <row r="843" spans="1:25" x14ac:dyDescent="0.25">
      <c r="A843">
        <v>2020</v>
      </c>
      <c r="B843" t="s">
        <v>57</v>
      </c>
      <c r="C843">
        <v>3</v>
      </c>
      <c r="D843">
        <v>25</v>
      </c>
      <c r="E843" t="s">
        <v>93</v>
      </c>
      <c r="F843" t="s">
        <v>189</v>
      </c>
      <c r="G843">
        <f t="shared" si="13"/>
        <v>0</v>
      </c>
      <c r="H843">
        <v>5</v>
      </c>
      <c r="I843">
        <v>8</v>
      </c>
      <c r="J843">
        <v>0</v>
      </c>
      <c r="K843" s="6" t="s">
        <v>191</v>
      </c>
      <c r="L843" s="6" t="s">
        <v>113</v>
      </c>
      <c r="M843">
        <v>122</v>
      </c>
      <c r="N843" s="1">
        <v>0.43884892086330934</v>
      </c>
      <c r="O843">
        <v>42</v>
      </c>
      <c r="P843" s="1">
        <v>0.37168141592920356</v>
      </c>
      <c r="Q843" s="1">
        <v>0.77173913043478259</v>
      </c>
      <c r="R843">
        <v>357</v>
      </c>
      <c r="S843">
        <v>43</v>
      </c>
      <c r="T843">
        <v>101</v>
      </c>
      <c r="U843">
        <v>76</v>
      </c>
      <c r="V843">
        <v>33</v>
      </c>
      <c r="W843">
        <v>9</v>
      </c>
      <c r="X843">
        <v>39</v>
      </c>
      <c r="Y843" s="5">
        <v>1.9487179487179487</v>
      </c>
    </row>
    <row r="844" spans="1:25" x14ac:dyDescent="0.25">
      <c r="A844">
        <v>2020</v>
      </c>
      <c r="B844" t="s">
        <v>57</v>
      </c>
      <c r="C844">
        <v>3</v>
      </c>
      <c r="D844">
        <v>26</v>
      </c>
      <c r="E844" t="s">
        <v>94</v>
      </c>
      <c r="F844" t="s">
        <v>40</v>
      </c>
      <c r="G844">
        <f t="shared" si="13"/>
        <v>1</v>
      </c>
      <c r="H844">
        <v>8</v>
      </c>
      <c r="I844">
        <v>5</v>
      </c>
      <c r="J844">
        <v>0</v>
      </c>
      <c r="K844" s="6" t="s">
        <v>62</v>
      </c>
      <c r="L844" s="6" t="s">
        <v>78</v>
      </c>
      <c r="M844">
        <v>152</v>
      </c>
      <c r="N844" s="1">
        <v>0.4779874213836478</v>
      </c>
      <c r="O844">
        <v>42</v>
      </c>
      <c r="P844" s="1">
        <v>0.33600000000000002</v>
      </c>
      <c r="Q844" s="1">
        <v>0.83908045977011492</v>
      </c>
      <c r="R844">
        <v>419</v>
      </c>
      <c r="S844">
        <v>47</v>
      </c>
      <c r="T844">
        <v>135</v>
      </c>
      <c r="U844">
        <v>74</v>
      </c>
      <c r="V844">
        <v>27</v>
      </c>
      <c r="W844">
        <v>26</v>
      </c>
      <c r="X844">
        <v>55</v>
      </c>
      <c r="Y844" s="5">
        <v>1.3454545454545455</v>
      </c>
    </row>
    <row r="845" spans="1:25" x14ac:dyDescent="0.25">
      <c r="A845">
        <v>2020</v>
      </c>
      <c r="B845" t="s">
        <v>57</v>
      </c>
      <c r="C845">
        <v>3</v>
      </c>
      <c r="D845">
        <v>26</v>
      </c>
      <c r="E845" t="s">
        <v>20</v>
      </c>
      <c r="F845" t="s">
        <v>47</v>
      </c>
      <c r="G845">
        <f t="shared" si="13"/>
        <v>0</v>
      </c>
      <c r="H845">
        <v>5</v>
      </c>
      <c r="I845">
        <v>8</v>
      </c>
      <c r="J845">
        <v>0</v>
      </c>
      <c r="K845" s="6" t="s">
        <v>106</v>
      </c>
      <c r="L845" s="6" t="s">
        <v>83</v>
      </c>
      <c r="M845">
        <v>163</v>
      </c>
      <c r="N845" s="1">
        <v>0.49847094801223241</v>
      </c>
      <c r="O845">
        <v>28</v>
      </c>
      <c r="P845" s="1">
        <v>0.3146067415730337</v>
      </c>
      <c r="Q845" s="1">
        <v>0.73972602739726023</v>
      </c>
      <c r="R845">
        <v>408</v>
      </c>
      <c r="S845">
        <v>39</v>
      </c>
      <c r="T845">
        <v>109</v>
      </c>
      <c r="U845">
        <v>67</v>
      </c>
      <c r="V845">
        <v>24</v>
      </c>
      <c r="W845">
        <v>29</v>
      </c>
      <c r="X845">
        <v>44</v>
      </c>
      <c r="Y845" s="5">
        <v>1.5227272727272727</v>
      </c>
    </row>
    <row r="846" spans="1:25" x14ac:dyDescent="0.25">
      <c r="A846">
        <v>2020</v>
      </c>
      <c r="B846" t="s">
        <v>57</v>
      </c>
      <c r="C846">
        <v>3</v>
      </c>
      <c r="D846">
        <v>27</v>
      </c>
      <c r="E846" t="s">
        <v>21</v>
      </c>
      <c r="F846" t="s">
        <v>50</v>
      </c>
      <c r="G846">
        <f t="shared" si="13"/>
        <v>0</v>
      </c>
      <c r="H846">
        <v>2</v>
      </c>
      <c r="I846">
        <v>10</v>
      </c>
      <c r="J846">
        <v>1</v>
      </c>
      <c r="K846" s="6" t="s">
        <v>65</v>
      </c>
      <c r="L846" s="6" t="s">
        <v>119</v>
      </c>
      <c r="M846">
        <v>164</v>
      </c>
      <c r="N846" s="1">
        <v>0.52229299363057324</v>
      </c>
      <c r="O846">
        <v>31</v>
      </c>
      <c r="P846" s="1">
        <v>0.30693069306930693</v>
      </c>
      <c r="Q846" s="1">
        <v>0.71287128712871284</v>
      </c>
      <c r="R846">
        <v>431</v>
      </c>
      <c r="S846">
        <v>31</v>
      </c>
      <c r="T846">
        <v>115</v>
      </c>
      <c r="U846">
        <v>63</v>
      </c>
      <c r="V846">
        <v>23</v>
      </c>
      <c r="W846">
        <v>21</v>
      </c>
      <c r="X846">
        <v>52</v>
      </c>
      <c r="Y846" s="5">
        <v>1.2115384615384615</v>
      </c>
    </row>
    <row r="847" spans="1:25" x14ac:dyDescent="0.25">
      <c r="A847">
        <v>2020</v>
      </c>
      <c r="B847" t="s">
        <v>57</v>
      </c>
      <c r="C847">
        <v>3</v>
      </c>
      <c r="D847">
        <v>27</v>
      </c>
      <c r="E847" t="s">
        <v>26</v>
      </c>
      <c r="F847" t="s">
        <v>118</v>
      </c>
      <c r="G847">
        <f t="shared" si="13"/>
        <v>1</v>
      </c>
      <c r="H847">
        <v>10</v>
      </c>
      <c r="I847">
        <v>2</v>
      </c>
      <c r="J847">
        <v>1</v>
      </c>
      <c r="K847" s="6" t="s">
        <v>70</v>
      </c>
      <c r="L847" s="6" t="s">
        <v>87</v>
      </c>
      <c r="M847">
        <v>197</v>
      </c>
      <c r="N847" s="1">
        <v>0.53243243243243243</v>
      </c>
      <c r="O847">
        <v>40</v>
      </c>
      <c r="P847" s="1">
        <v>0.36363636363636365</v>
      </c>
      <c r="Q847" s="1">
        <v>0.80487804878048785</v>
      </c>
      <c r="R847">
        <v>500</v>
      </c>
      <c r="S847">
        <v>33</v>
      </c>
      <c r="T847">
        <v>151</v>
      </c>
      <c r="U847">
        <v>145</v>
      </c>
      <c r="V847">
        <v>20</v>
      </c>
      <c r="W847">
        <v>21</v>
      </c>
      <c r="X847">
        <v>63</v>
      </c>
      <c r="Y847" s="5">
        <v>2.3015873015873014</v>
      </c>
    </row>
    <row r="848" spans="1:25" x14ac:dyDescent="0.25">
      <c r="A848">
        <v>2020</v>
      </c>
      <c r="B848" t="s">
        <v>57</v>
      </c>
      <c r="C848">
        <v>3</v>
      </c>
      <c r="D848">
        <v>28</v>
      </c>
      <c r="E848" t="s">
        <v>35</v>
      </c>
      <c r="F848" t="s">
        <v>52</v>
      </c>
      <c r="G848">
        <f t="shared" si="13"/>
        <v>0</v>
      </c>
      <c r="H848">
        <v>3</v>
      </c>
      <c r="I848">
        <v>10</v>
      </c>
      <c r="J848">
        <v>0</v>
      </c>
      <c r="K848" s="6" t="s">
        <v>111</v>
      </c>
      <c r="L848" s="6" t="s">
        <v>89</v>
      </c>
      <c r="M848">
        <v>136</v>
      </c>
      <c r="N848" s="1">
        <v>0.38746438746438744</v>
      </c>
      <c r="O848">
        <v>43</v>
      </c>
      <c r="P848" s="1">
        <v>0.32575757575757575</v>
      </c>
      <c r="Q848" s="1">
        <v>0.73015873015873012</v>
      </c>
      <c r="R848">
        <v>361</v>
      </c>
      <c r="S848">
        <v>33</v>
      </c>
      <c r="T848">
        <v>93</v>
      </c>
      <c r="U848">
        <v>79</v>
      </c>
      <c r="V848">
        <v>29</v>
      </c>
      <c r="W848">
        <v>20</v>
      </c>
      <c r="X848">
        <v>59</v>
      </c>
      <c r="Y848" s="5">
        <v>1.3389830508474576</v>
      </c>
    </row>
    <row r="849" spans="1:25" x14ac:dyDescent="0.25">
      <c r="A849">
        <v>2020</v>
      </c>
      <c r="B849" t="s">
        <v>57</v>
      </c>
      <c r="C849">
        <v>3</v>
      </c>
      <c r="D849">
        <v>28</v>
      </c>
      <c r="E849" t="s">
        <v>97</v>
      </c>
      <c r="F849" t="s">
        <v>54</v>
      </c>
      <c r="G849">
        <f t="shared" si="13"/>
        <v>1</v>
      </c>
      <c r="H849">
        <v>10</v>
      </c>
      <c r="I849">
        <v>3</v>
      </c>
      <c r="J849">
        <v>0</v>
      </c>
      <c r="K849" s="6" t="s">
        <v>73</v>
      </c>
      <c r="L849" s="6" t="s">
        <v>74</v>
      </c>
      <c r="M849">
        <v>189</v>
      </c>
      <c r="N849" s="1">
        <v>0.45323741007194246</v>
      </c>
      <c r="O849">
        <v>53</v>
      </c>
      <c r="P849" s="1">
        <v>0.3271604938271605</v>
      </c>
      <c r="Q849" s="1">
        <v>0.78030303030303028</v>
      </c>
      <c r="R849">
        <v>534</v>
      </c>
      <c r="S849">
        <v>47</v>
      </c>
      <c r="T849">
        <v>137</v>
      </c>
      <c r="U849">
        <v>129</v>
      </c>
      <c r="V849">
        <v>24</v>
      </c>
      <c r="W849">
        <v>10</v>
      </c>
      <c r="X849">
        <v>87</v>
      </c>
      <c r="Y849" s="5">
        <v>1.4827586206896552</v>
      </c>
    </row>
    <row r="850" spans="1:25" x14ac:dyDescent="0.25">
      <c r="A850">
        <v>2020</v>
      </c>
      <c r="B850" t="s">
        <v>57</v>
      </c>
      <c r="C850">
        <v>3</v>
      </c>
      <c r="D850">
        <v>29</v>
      </c>
      <c r="E850" t="s">
        <v>99</v>
      </c>
      <c r="F850" t="s">
        <v>45</v>
      </c>
      <c r="G850">
        <f t="shared" si="13"/>
        <v>1</v>
      </c>
      <c r="H850">
        <v>11</v>
      </c>
      <c r="I850">
        <v>2</v>
      </c>
      <c r="J850">
        <v>0</v>
      </c>
      <c r="K850" s="6" t="s">
        <v>63</v>
      </c>
      <c r="L850" s="6" t="s">
        <v>79</v>
      </c>
      <c r="M850">
        <v>130</v>
      </c>
      <c r="N850" s="1">
        <v>0.47794117647058826</v>
      </c>
      <c r="O850">
        <v>39</v>
      </c>
      <c r="P850" s="1">
        <v>0.43333333333333335</v>
      </c>
      <c r="Q850" s="1">
        <v>0.80597014925373134</v>
      </c>
      <c r="R850">
        <v>353</v>
      </c>
      <c r="S850">
        <v>51</v>
      </c>
      <c r="T850">
        <v>125</v>
      </c>
      <c r="U850">
        <v>56</v>
      </c>
      <c r="V850">
        <v>18</v>
      </c>
      <c r="W850">
        <v>25</v>
      </c>
      <c r="X850">
        <v>28</v>
      </c>
      <c r="Y850" s="5">
        <v>2</v>
      </c>
    </row>
    <row r="851" spans="1:25" x14ac:dyDescent="0.25">
      <c r="A851">
        <v>2020</v>
      </c>
      <c r="B851" t="s">
        <v>57</v>
      </c>
      <c r="C851">
        <v>3</v>
      </c>
      <c r="D851">
        <v>29</v>
      </c>
      <c r="E851" t="s">
        <v>17</v>
      </c>
      <c r="F851" t="s">
        <v>43</v>
      </c>
      <c r="G851">
        <f t="shared" si="13"/>
        <v>0</v>
      </c>
      <c r="H851">
        <v>2</v>
      </c>
      <c r="I851">
        <v>11</v>
      </c>
      <c r="J851">
        <v>0</v>
      </c>
      <c r="K851" s="6" t="s">
        <v>114</v>
      </c>
      <c r="L851" s="6" t="s">
        <v>90</v>
      </c>
      <c r="M851">
        <v>74</v>
      </c>
      <c r="N851" s="1">
        <v>0.38341968911917096</v>
      </c>
      <c r="O851">
        <v>21</v>
      </c>
      <c r="P851" s="1">
        <v>0.28378378378378377</v>
      </c>
      <c r="Q851" s="1">
        <v>0.84126984126984128</v>
      </c>
      <c r="R851">
        <v>222</v>
      </c>
      <c r="S851">
        <v>30</v>
      </c>
      <c r="T851">
        <v>99</v>
      </c>
      <c r="U851">
        <v>58</v>
      </c>
      <c r="V851">
        <v>17</v>
      </c>
      <c r="W851">
        <v>13</v>
      </c>
      <c r="X851">
        <v>36</v>
      </c>
      <c r="Y851" s="5">
        <v>1.6111111111111112</v>
      </c>
    </row>
    <row r="852" spans="1:25" x14ac:dyDescent="0.25">
      <c r="A852">
        <v>2020</v>
      </c>
      <c r="B852" t="s">
        <v>57</v>
      </c>
      <c r="C852">
        <v>3</v>
      </c>
      <c r="D852">
        <v>30</v>
      </c>
      <c r="E852" t="s">
        <v>159</v>
      </c>
      <c r="F852" t="s">
        <v>116</v>
      </c>
      <c r="G852">
        <f t="shared" si="13"/>
        <v>1</v>
      </c>
      <c r="H852">
        <v>10</v>
      </c>
      <c r="I852">
        <v>2</v>
      </c>
      <c r="J852">
        <v>1</v>
      </c>
      <c r="K852" s="6" t="s">
        <v>68</v>
      </c>
      <c r="L852" s="6" t="s">
        <v>84</v>
      </c>
      <c r="M852">
        <v>179</v>
      </c>
      <c r="N852" s="1">
        <v>0.45547073791348602</v>
      </c>
      <c r="O852">
        <v>47</v>
      </c>
      <c r="P852" s="1">
        <v>0.376</v>
      </c>
      <c r="Q852" s="1">
        <v>0.77570093457943923</v>
      </c>
      <c r="R852">
        <v>488</v>
      </c>
      <c r="S852">
        <v>36</v>
      </c>
      <c r="T852">
        <v>163</v>
      </c>
      <c r="U852">
        <v>89</v>
      </c>
      <c r="V852">
        <v>27</v>
      </c>
      <c r="W852">
        <v>24</v>
      </c>
      <c r="X852">
        <v>61</v>
      </c>
      <c r="Y852" s="5">
        <v>1.459016393442623</v>
      </c>
    </row>
    <row r="853" spans="1:25" x14ac:dyDescent="0.25">
      <c r="A853">
        <v>2020</v>
      </c>
      <c r="B853" t="s">
        <v>57</v>
      </c>
      <c r="C853">
        <v>3</v>
      </c>
      <c r="D853">
        <v>30</v>
      </c>
      <c r="E853" t="s">
        <v>25</v>
      </c>
      <c r="F853" t="s">
        <v>53</v>
      </c>
      <c r="G853">
        <f t="shared" si="13"/>
        <v>0</v>
      </c>
      <c r="H853">
        <v>2</v>
      </c>
      <c r="I853">
        <v>10</v>
      </c>
      <c r="J853">
        <v>1</v>
      </c>
      <c r="K853" s="6" t="s">
        <v>193</v>
      </c>
      <c r="L853" s="6" t="s">
        <v>117</v>
      </c>
      <c r="M853">
        <v>89</v>
      </c>
      <c r="N853" s="1">
        <v>0.37083333333333335</v>
      </c>
      <c r="O853">
        <v>14</v>
      </c>
      <c r="P853" s="1">
        <v>0.23333333333333334</v>
      </c>
      <c r="Q853" s="1">
        <v>0.64615384615384619</v>
      </c>
      <c r="R853">
        <v>234</v>
      </c>
      <c r="S853">
        <v>35</v>
      </c>
      <c r="T853">
        <v>91</v>
      </c>
      <c r="U853">
        <v>74</v>
      </c>
      <c r="V853">
        <v>27</v>
      </c>
      <c r="W853">
        <v>13</v>
      </c>
      <c r="X853">
        <v>39</v>
      </c>
      <c r="Y853" s="5">
        <v>1.8974358974358974</v>
      </c>
    </row>
    <row r="854" spans="1:25" x14ac:dyDescent="0.25">
      <c r="A854">
        <v>2020</v>
      </c>
      <c r="B854" t="s">
        <v>57</v>
      </c>
      <c r="C854">
        <v>4</v>
      </c>
      <c r="D854">
        <v>31</v>
      </c>
      <c r="E854" t="s">
        <v>97</v>
      </c>
      <c r="F854" t="s">
        <v>54</v>
      </c>
      <c r="G854">
        <f t="shared" si="13"/>
        <v>1</v>
      </c>
      <c r="H854">
        <v>10</v>
      </c>
      <c r="I854">
        <v>3</v>
      </c>
      <c r="J854">
        <v>0</v>
      </c>
      <c r="K854" s="6" t="s">
        <v>64</v>
      </c>
      <c r="L854" s="6" t="s">
        <v>80</v>
      </c>
      <c r="M854">
        <v>192</v>
      </c>
      <c r="N854" s="1">
        <v>0.48120300751879697</v>
      </c>
      <c r="O854">
        <v>50</v>
      </c>
      <c r="P854" s="1">
        <v>0.3401360544217687</v>
      </c>
      <c r="Q854" s="1">
        <v>0.80921052631578949</v>
      </c>
      <c r="R854">
        <v>557</v>
      </c>
      <c r="S854">
        <v>36</v>
      </c>
      <c r="T854">
        <v>127</v>
      </c>
      <c r="U854">
        <v>133</v>
      </c>
      <c r="V854">
        <v>28</v>
      </c>
      <c r="W854">
        <v>7</v>
      </c>
      <c r="X854">
        <v>66</v>
      </c>
      <c r="Y854" s="5">
        <v>2.0151515151515151</v>
      </c>
    </row>
    <row r="855" spans="1:25" x14ac:dyDescent="0.25">
      <c r="A855">
        <v>2020</v>
      </c>
      <c r="B855" t="s">
        <v>57</v>
      </c>
      <c r="C855">
        <v>4</v>
      </c>
      <c r="D855">
        <v>31</v>
      </c>
      <c r="E855" t="s">
        <v>28</v>
      </c>
      <c r="F855" t="s">
        <v>46</v>
      </c>
      <c r="G855">
        <f t="shared" si="13"/>
        <v>0</v>
      </c>
      <c r="H855">
        <v>3</v>
      </c>
      <c r="I855">
        <v>10</v>
      </c>
      <c r="J855">
        <v>0</v>
      </c>
      <c r="K855" s="6" t="s">
        <v>111</v>
      </c>
      <c r="L855" s="6" t="s">
        <v>89</v>
      </c>
      <c r="M855">
        <v>134</v>
      </c>
      <c r="N855" s="1">
        <v>0.43506493506493504</v>
      </c>
      <c r="O855">
        <v>46</v>
      </c>
      <c r="P855" s="1">
        <v>0.31724137931034485</v>
      </c>
      <c r="Q855" s="1">
        <v>0.79710144927536231</v>
      </c>
      <c r="R855">
        <v>369</v>
      </c>
      <c r="S855">
        <v>22</v>
      </c>
      <c r="T855">
        <v>153</v>
      </c>
      <c r="U855">
        <v>79</v>
      </c>
      <c r="V855">
        <v>19</v>
      </c>
      <c r="W855">
        <v>12</v>
      </c>
      <c r="X855">
        <v>47</v>
      </c>
      <c r="Y855" s="5">
        <v>1.6808510638297873</v>
      </c>
    </row>
    <row r="856" spans="1:25" x14ac:dyDescent="0.25">
      <c r="A856">
        <v>2020</v>
      </c>
      <c r="B856" t="s">
        <v>57</v>
      </c>
      <c r="C856">
        <v>4</v>
      </c>
      <c r="D856">
        <v>32</v>
      </c>
      <c r="E856" t="s">
        <v>17</v>
      </c>
      <c r="F856" t="s">
        <v>43</v>
      </c>
      <c r="G856">
        <f t="shared" si="13"/>
        <v>0</v>
      </c>
      <c r="H856">
        <v>4</v>
      </c>
      <c r="I856">
        <v>8</v>
      </c>
      <c r="J856">
        <v>1</v>
      </c>
      <c r="K856" s="6" t="s">
        <v>106</v>
      </c>
      <c r="L856" s="6" t="s">
        <v>83</v>
      </c>
      <c r="M856">
        <v>122</v>
      </c>
      <c r="N856" s="1">
        <v>0.4206896551724138</v>
      </c>
      <c r="O856">
        <v>40</v>
      </c>
      <c r="P856" s="1">
        <v>0.37383177570093457</v>
      </c>
      <c r="Q856" s="1">
        <v>0.72499999999999998</v>
      </c>
      <c r="R856">
        <v>342</v>
      </c>
      <c r="S856">
        <v>26</v>
      </c>
      <c r="T856">
        <v>100</v>
      </c>
      <c r="U856">
        <v>88</v>
      </c>
      <c r="V856">
        <v>25</v>
      </c>
      <c r="W856">
        <v>10</v>
      </c>
      <c r="X856">
        <v>37</v>
      </c>
      <c r="Y856" s="5">
        <v>2.3783783783783785</v>
      </c>
    </row>
    <row r="857" spans="1:25" x14ac:dyDescent="0.25">
      <c r="A857">
        <v>2020</v>
      </c>
      <c r="B857" t="s">
        <v>57</v>
      </c>
      <c r="C857">
        <v>4</v>
      </c>
      <c r="D857">
        <v>32</v>
      </c>
      <c r="E857" t="s">
        <v>94</v>
      </c>
      <c r="F857" t="s">
        <v>40</v>
      </c>
      <c r="G857">
        <f t="shared" si="13"/>
        <v>1</v>
      </c>
      <c r="H857">
        <v>8</v>
      </c>
      <c r="I857">
        <v>4</v>
      </c>
      <c r="J857">
        <v>1</v>
      </c>
      <c r="K857" s="6" t="s">
        <v>63</v>
      </c>
      <c r="L857" s="6" t="s">
        <v>79</v>
      </c>
      <c r="M857">
        <v>167</v>
      </c>
      <c r="N857" s="1">
        <v>0.46388888888888891</v>
      </c>
      <c r="O857">
        <v>45</v>
      </c>
      <c r="P857" s="1">
        <v>0.34090909090909088</v>
      </c>
      <c r="Q857" s="1">
        <v>0.84496124031007747</v>
      </c>
      <c r="R857">
        <v>488</v>
      </c>
      <c r="S857">
        <v>44</v>
      </c>
      <c r="T857">
        <v>109</v>
      </c>
      <c r="U857">
        <v>112</v>
      </c>
      <c r="V857">
        <v>24</v>
      </c>
      <c r="W857">
        <v>10</v>
      </c>
      <c r="X857">
        <v>57</v>
      </c>
      <c r="Y857" s="5">
        <v>1.9649122807017543</v>
      </c>
    </row>
    <row r="858" spans="1:25" x14ac:dyDescent="0.25">
      <c r="A858">
        <v>2020</v>
      </c>
      <c r="B858" t="s">
        <v>57</v>
      </c>
      <c r="C858">
        <v>4</v>
      </c>
      <c r="D858">
        <v>33</v>
      </c>
      <c r="E858" t="s">
        <v>35</v>
      </c>
      <c r="F858" t="s">
        <v>52</v>
      </c>
      <c r="G858">
        <f t="shared" si="13"/>
        <v>1</v>
      </c>
      <c r="H858">
        <v>7</v>
      </c>
      <c r="I858">
        <v>6</v>
      </c>
      <c r="J858">
        <v>0</v>
      </c>
      <c r="K858" s="6" t="s">
        <v>61</v>
      </c>
      <c r="L858" s="6" t="s">
        <v>77</v>
      </c>
      <c r="M858">
        <v>154</v>
      </c>
      <c r="N858" s="1">
        <v>0.46525679758308158</v>
      </c>
      <c r="O858">
        <v>49</v>
      </c>
      <c r="P858" s="1">
        <v>0.36842105263157893</v>
      </c>
      <c r="Q858" s="1">
        <v>0.61702127659574468</v>
      </c>
      <c r="R858">
        <v>386</v>
      </c>
      <c r="S858">
        <v>33</v>
      </c>
      <c r="T858">
        <v>87</v>
      </c>
      <c r="U858">
        <v>86</v>
      </c>
      <c r="V858">
        <v>35</v>
      </c>
      <c r="W858">
        <v>15</v>
      </c>
      <c r="X858">
        <v>52</v>
      </c>
      <c r="Y858" s="5">
        <v>1.6538461538461537</v>
      </c>
    </row>
    <row r="859" spans="1:25" x14ac:dyDescent="0.25">
      <c r="A859">
        <v>2020</v>
      </c>
      <c r="B859" t="s">
        <v>57</v>
      </c>
      <c r="C859">
        <v>4</v>
      </c>
      <c r="D859">
        <v>33</v>
      </c>
      <c r="E859" t="s">
        <v>15</v>
      </c>
      <c r="F859" t="s">
        <v>48</v>
      </c>
      <c r="G859">
        <f t="shared" si="13"/>
        <v>0</v>
      </c>
      <c r="H859">
        <v>6</v>
      </c>
      <c r="I859">
        <v>7</v>
      </c>
      <c r="J859">
        <v>0</v>
      </c>
      <c r="K859" s="6" t="s">
        <v>73</v>
      </c>
      <c r="L859" s="6" t="s">
        <v>74</v>
      </c>
      <c r="M859">
        <v>151</v>
      </c>
      <c r="N859" s="1">
        <v>0.47335423197492166</v>
      </c>
      <c r="O859">
        <v>27</v>
      </c>
      <c r="P859" s="1">
        <v>0.28421052631578947</v>
      </c>
      <c r="Q859" s="1">
        <v>0.81111111111111112</v>
      </c>
      <c r="R859">
        <v>402</v>
      </c>
      <c r="S859">
        <v>42</v>
      </c>
      <c r="T859">
        <v>152</v>
      </c>
      <c r="U859">
        <v>73</v>
      </c>
      <c r="V859">
        <v>33</v>
      </c>
      <c r="W859">
        <v>21</v>
      </c>
      <c r="X859">
        <v>54</v>
      </c>
      <c r="Y859" s="5">
        <v>1.3518518518518519</v>
      </c>
    </row>
    <row r="860" spans="1:25" x14ac:dyDescent="0.25">
      <c r="A860">
        <v>2020</v>
      </c>
      <c r="B860" t="s">
        <v>57</v>
      </c>
      <c r="C860">
        <v>4</v>
      </c>
      <c r="D860">
        <v>34</v>
      </c>
      <c r="E860" t="s">
        <v>26</v>
      </c>
      <c r="F860" t="s">
        <v>118</v>
      </c>
      <c r="G860">
        <f t="shared" si="13"/>
        <v>1</v>
      </c>
      <c r="H860">
        <v>8</v>
      </c>
      <c r="I860">
        <v>4</v>
      </c>
      <c r="J860">
        <v>1</v>
      </c>
      <c r="K860" s="6" t="s">
        <v>72</v>
      </c>
      <c r="L860" s="6" t="s">
        <v>85</v>
      </c>
      <c r="M860">
        <v>188</v>
      </c>
      <c r="N860" s="1">
        <v>0.55621301775147924</v>
      </c>
      <c r="O860">
        <v>41</v>
      </c>
      <c r="P860" s="1">
        <v>0.39423076923076922</v>
      </c>
      <c r="Q860" s="1">
        <v>0.67532467532467533</v>
      </c>
      <c r="R860">
        <v>469</v>
      </c>
      <c r="S860">
        <v>30</v>
      </c>
      <c r="T860">
        <v>140</v>
      </c>
      <c r="U860">
        <v>109</v>
      </c>
      <c r="V860">
        <v>26</v>
      </c>
      <c r="W860">
        <v>21</v>
      </c>
      <c r="X860">
        <v>41</v>
      </c>
      <c r="Y860" s="5">
        <v>2.6585365853658538</v>
      </c>
    </row>
    <row r="861" spans="1:25" x14ac:dyDescent="0.25">
      <c r="A861">
        <v>2020</v>
      </c>
      <c r="B861" t="s">
        <v>57</v>
      </c>
      <c r="C861">
        <v>4</v>
      </c>
      <c r="D861">
        <v>34</v>
      </c>
      <c r="E861" t="s">
        <v>33</v>
      </c>
      <c r="F861" t="s">
        <v>42</v>
      </c>
      <c r="G861">
        <f t="shared" si="13"/>
        <v>0</v>
      </c>
      <c r="H861">
        <v>4</v>
      </c>
      <c r="I861">
        <v>8</v>
      </c>
      <c r="J861">
        <v>1</v>
      </c>
      <c r="K861" s="6" t="s">
        <v>65</v>
      </c>
      <c r="L861" s="6" t="s">
        <v>119</v>
      </c>
      <c r="M861">
        <v>169</v>
      </c>
      <c r="N861" s="1">
        <v>0.50297619047619047</v>
      </c>
      <c r="O861">
        <v>28</v>
      </c>
      <c r="P861" s="1">
        <v>0.38356164383561642</v>
      </c>
      <c r="Q861" s="1">
        <v>0.73809523809523814</v>
      </c>
      <c r="R861">
        <v>428</v>
      </c>
      <c r="S861">
        <v>68</v>
      </c>
      <c r="T861">
        <v>158</v>
      </c>
      <c r="U861">
        <v>116</v>
      </c>
      <c r="V861">
        <v>23</v>
      </c>
      <c r="W861">
        <v>21</v>
      </c>
      <c r="X861">
        <v>61</v>
      </c>
      <c r="Y861" s="5">
        <v>1.901639344262295</v>
      </c>
    </row>
    <row r="862" spans="1:25" x14ac:dyDescent="0.25">
      <c r="A862">
        <v>2020</v>
      </c>
      <c r="B862" t="s">
        <v>57</v>
      </c>
      <c r="C862">
        <v>4</v>
      </c>
      <c r="D862">
        <v>35</v>
      </c>
      <c r="E862" t="s">
        <v>98</v>
      </c>
      <c r="F862" t="s">
        <v>41</v>
      </c>
      <c r="G862">
        <f t="shared" si="13"/>
        <v>1</v>
      </c>
      <c r="H862">
        <v>8</v>
      </c>
      <c r="I862">
        <v>5</v>
      </c>
      <c r="J862">
        <v>0</v>
      </c>
      <c r="K862" s="6" t="s">
        <v>62</v>
      </c>
      <c r="L862" s="6" t="s">
        <v>78</v>
      </c>
      <c r="M862">
        <v>133</v>
      </c>
      <c r="N862" s="1">
        <v>0.41823899371069184</v>
      </c>
      <c r="O862">
        <v>52</v>
      </c>
      <c r="P862" s="1">
        <v>0.39694656488549618</v>
      </c>
      <c r="Q862" s="1">
        <v>0.8089887640449438</v>
      </c>
      <c r="R862">
        <v>390</v>
      </c>
      <c r="S862">
        <v>22</v>
      </c>
      <c r="T862">
        <v>91</v>
      </c>
      <c r="U862">
        <v>98</v>
      </c>
      <c r="V862">
        <v>24</v>
      </c>
      <c r="W862">
        <v>14</v>
      </c>
      <c r="X862">
        <v>52</v>
      </c>
      <c r="Y862" s="5">
        <v>1.8846153846153846</v>
      </c>
    </row>
    <row r="863" spans="1:25" x14ac:dyDescent="0.25">
      <c r="A863">
        <v>2020</v>
      </c>
      <c r="B863" t="s">
        <v>57</v>
      </c>
      <c r="C863">
        <v>4</v>
      </c>
      <c r="D863">
        <v>35</v>
      </c>
      <c r="E863" t="s">
        <v>20</v>
      </c>
      <c r="F863" t="s">
        <v>47</v>
      </c>
      <c r="G863">
        <f t="shared" si="13"/>
        <v>0</v>
      </c>
      <c r="H863">
        <v>5</v>
      </c>
      <c r="I863">
        <v>8</v>
      </c>
      <c r="J863">
        <v>0</v>
      </c>
      <c r="K863" s="6" t="s">
        <v>112</v>
      </c>
      <c r="L863" s="6" t="s">
        <v>88</v>
      </c>
      <c r="M863">
        <v>118</v>
      </c>
      <c r="N863" s="1">
        <v>0.47011952191235062</v>
      </c>
      <c r="O863">
        <v>25</v>
      </c>
      <c r="P863" s="1">
        <v>0.33333333333333331</v>
      </c>
      <c r="Q863" s="1">
        <v>0.68</v>
      </c>
      <c r="R863">
        <v>312</v>
      </c>
      <c r="S863">
        <v>37</v>
      </c>
      <c r="T863">
        <v>114</v>
      </c>
      <c r="U863">
        <v>70</v>
      </c>
      <c r="V863">
        <v>17</v>
      </c>
      <c r="W863">
        <v>21</v>
      </c>
      <c r="X863">
        <v>39</v>
      </c>
      <c r="Y863" s="5">
        <v>1.7948717948717949</v>
      </c>
    </row>
    <row r="864" spans="1:25" x14ac:dyDescent="0.25">
      <c r="A864">
        <v>2020</v>
      </c>
      <c r="B864" t="s">
        <v>57</v>
      </c>
      <c r="C864">
        <v>4</v>
      </c>
      <c r="D864">
        <v>36</v>
      </c>
      <c r="E864" t="s">
        <v>23</v>
      </c>
      <c r="F864" t="s">
        <v>120</v>
      </c>
      <c r="G864">
        <f t="shared" si="13"/>
        <v>1</v>
      </c>
      <c r="H864">
        <v>7</v>
      </c>
      <c r="I864">
        <v>5</v>
      </c>
      <c r="J864">
        <v>1</v>
      </c>
      <c r="K864" s="6" t="s">
        <v>193</v>
      </c>
      <c r="L864" s="6" t="s">
        <v>117</v>
      </c>
      <c r="M864">
        <v>127</v>
      </c>
      <c r="N864" s="1">
        <v>0.4584837545126354</v>
      </c>
      <c r="O864">
        <v>36</v>
      </c>
      <c r="P864" s="1">
        <v>0.33333333333333331</v>
      </c>
      <c r="Q864" s="1">
        <v>0.8</v>
      </c>
      <c r="R864">
        <v>386</v>
      </c>
      <c r="S864">
        <v>36</v>
      </c>
      <c r="T864">
        <v>104</v>
      </c>
      <c r="U864">
        <v>86</v>
      </c>
      <c r="V864">
        <v>26</v>
      </c>
      <c r="W864">
        <v>21</v>
      </c>
      <c r="X864">
        <v>43</v>
      </c>
      <c r="Y864" s="5">
        <v>2</v>
      </c>
    </row>
    <row r="865" spans="1:25" x14ac:dyDescent="0.25">
      <c r="A865">
        <v>2020</v>
      </c>
      <c r="B865" t="s">
        <v>57</v>
      </c>
      <c r="C865">
        <v>4</v>
      </c>
      <c r="D865">
        <v>36</v>
      </c>
      <c r="E865" t="s">
        <v>159</v>
      </c>
      <c r="F865" t="s">
        <v>116</v>
      </c>
      <c r="G865">
        <f t="shared" si="13"/>
        <v>0</v>
      </c>
      <c r="H865">
        <v>5</v>
      </c>
      <c r="I865">
        <v>7</v>
      </c>
      <c r="J865">
        <v>1</v>
      </c>
      <c r="K865" s="6" t="s">
        <v>71</v>
      </c>
      <c r="L865" s="6" t="s">
        <v>121</v>
      </c>
      <c r="M865">
        <v>185</v>
      </c>
      <c r="N865" s="1">
        <v>0.43735224586288418</v>
      </c>
      <c r="O865">
        <v>41</v>
      </c>
      <c r="P865" s="1">
        <v>0.29710144927536231</v>
      </c>
      <c r="Q865" s="1">
        <v>0.78</v>
      </c>
      <c r="R865">
        <v>489</v>
      </c>
      <c r="S865">
        <v>48</v>
      </c>
      <c r="T865">
        <v>150</v>
      </c>
      <c r="U865">
        <v>86</v>
      </c>
      <c r="V865">
        <v>22</v>
      </c>
      <c r="W865">
        <v>20</v>
      </c>
      <c r="X865">
        <v>67</v>
      </c>
      <c r="Y865" s="5">
        <v>1.2835820895522387</v>
      </c>
    </row>
    <row r="866" spans="1:25" x14ac:dyDescent="0.25">
      <c r="A866">
        <v>2020</v>
      </c>
      <c r="B866" t="s">
        <v>57</v>
      </c>
      <c r="C866">
        <v>4</v>
      </c>
      <c r="D866">
        <v>37</v>
      </c>
      <c r="E866" t="s">
        <v>93</v>
      </c>
      <c r="F866" t="s">
        <v>189</v>
      </c>
      <c r="G866">
        <f t="shared" si="13"/>
        <v>0</v>
      </c>
      <c r="H866">
        <v>4</v>
      </c>
      <c r="I866">
        <v>9</v>
      </c>
      <c r="J866">
        <v>0</v>
      </c>
      <c r="K866" s="6" t="s">
        <v>114</v>
      </c>
      <c r="L866" s="6" t="s">
        <v>90</v>
      </c>
      <c r="M866">
        <v>134</v>
      </c>
      <c r="N866" s="1">
        <v>0.46366782006920415</v>
      </c>
      <c r="O866">
        <v>31</v>
      </c>
      <c r="P866" s="1">
        <v>0.31632653061224492</v>
      </c>
      <c r="Q866" s="1">
        <v>0.82051282051282048</v>
      </c>
      <c r="R866">
        <v>363</v>
      </c>
      <c r="S866">
        <v>32</v>
      </c>
      <c r="T866">
        <v>99</v>
      </c>
      <c r="U866">
        <v>87</v>
      </c>
      <c r="V866">
        <v>29</v>
      </c>
      <c r="W866">
        <v>12</v>
      </c>
      <c r="X866">
        <v>44</v>
      </c>
      <c r="Y866" s="5">
        <v>1.9772727272727273</v>
      </c>
    </row>
    <row r="867" spans="1:25" x14ac:dyDescent="0.25">
      <c r="A867">
        <v>2020</v>
      </c>
      <c r="B867" t="s">
        <v>57</v>
      </c>
      <c r="C867">
        <v>4</v>
      </c>
      <c r="D867">
        <v>37</v>
      </c>
      <c r="E867" t="s">
        <v>99</v>
      </c>
      <c r="F867" t="s">
        <v>45</v>
      </c>
      <c r="G867">
        <f t="shared" si="13"/>
        <v>1</v>
      </c>
      <c r="H867">
        <v>9</v>
      </c>
      <c r="I867">
        <v>4</v>
      </c>
      <c r="J867">
        <v>0</v>
      </c>
      <c r="K867" s="6" t="s">
        <v>104</v>
      </c>
      <c r="L867" s="6" t="s">
        <v>105</v>
      </c>
      <c r="M867">
        <v>129</v>
      </c>
      <c r="N867" s="1">
        <v>0.46739130434782611</v>
      </c>
      <c r="O867">
        <v>38</v>
      </c>
      <c r="P867" s="1">
        <v>0.36893203883495146</v>
      </c>
      <c r="Q867" s="1">
        <v>0.83529411764705885</v>
      </c>
      <c r="R867">
        <v>367</v>
      </c>
      <c r="S867">
        <v>36</v>
      </c>
      <c r="T867">
        <v>109</v>
      </c>
      <c r="U867">
        <v>59</v>
      </c>
      <c r="V867">
        <v>10</v>
      </c>
      <c r="W867">
        <v>19</v>
      </c>
      <c r="X867">
        <v>33</v>
      </c>
      <c r="Y867" s="5">
        <v>1.7878787878787878</v>
      </c>
    </row>
    <row r="868" spans="1:25" x14ac:dyDescent="0.25">
      <c r="A868">
        <v>2020</v>
      </c>
      <c r="B868" t="s">
        <v>57</v>
      </c>
      <c r="C868">
        <v>4</v>
      </c>
      <c r="D868">
        <v>38</v>
      </c>
      <c r="E868" t="s">
        <v>25</v>
      </c>
      <c r="F868" t="s">
        <v>53</v>
      </c>
      <c r="G868">
        <f t="shared" si="13"/>
        <v>0</v>
      </c>
      <c r="H868">
        <v>4</v>
      </c>
      <c r="I868">
        <v>9</v>
      </c>
      <c r="J868">
        <v>0</v>
      </c>
      <c r="K868" s="6" t="s">
        <v>182</v>
      </c>
      <c r="L868" s="6" t="s">
        <v>76</v>
      </c>
      <c r="M868">
        <v>133</v>
      </c>
      <c r="N868" s="1">
        <v>0.46830985915492956</v>
      </c>
      <c r="O868">
        <v>25</v>
      </c>
      <c r="P868" s="1">
        <v>0.32467532467532467</v>
      </c>
      <c r="Q868" s="1">
        <v>0.75</v>
      </c>
      <c r="R868">
        <v>333</v>
      </c>
      <c r="S868">
        <v>26</v>
      </c>
      <c r="T868">
        <v>117</v>
      </c>
      <c r="U868">
        <v>68</v>
      </c>
      <c r="V868">
        <v>22</v>
      </c>
      <c r="W868">
        <v>16</v>
      </c>
      <c r="X868">
        <v>40</v>
      </c>
      <c r="Y868" s="5">
        <v>1.7</v>
      </c>
    </row>
    <row r="869" spans="1:25" x14ac:dyDescent="0.25">
      <c r="A869">
        <v>2020</v>
      </c>
      <c r="B869" t="s">
        <v>57</v>
      </c>
      <c r="C869">
        <v>4</v>
      </c>
      <c r="D869">
        <v>38</v>
      </c>
      <c r="E869" t="s">
        <v>181</v>
      </c>
      <c r="F869" t="s">
        <v>49</v>
      </c>
      <c r="G869">
        <f t="shared" si="13"/>
        <v>1</v>
      </c>
      <c r="H869">
        <v>9</v>
      </c>
      <c r="I869">
        <v>4</v>
      </c>
      <c r="J869">
        <v>0</v>
      </c>
      <c r="K869" s="6" t="s">
        <v>68</v>
      </c>
      <c r="L869" s="6" t="s">
        <v>84</v>
      </c>
      <c r="M869">
        <v>134</v>
      </c>
      <c r="N869" s="1">
        <v>0.43648208469055377</v>
      </c>
      <c r="O869">
        <v>37</v>
      </c>
      <c r="P869" s="1">
        <v>0.37</v>
      </c>
      <c r="Q869" s="1">
        <v>0.7558139534883721</v>
      </c>
      <c r="R869">
        <v>370</v>
      </c>
      <c r="S869">
        <v>30</v>
      </c>
      <c r="T869">
        <v>79</v>
      </c>
      <c r="U869">
        <v>65</v>
      </c>
      <c r="V869">
        <v>15</v>
      </c>
      <c r="W869">
        <v>17</v>
      </c>
      <c r="X869">
        <v>36</v>
      </c>
      <c r="Y869" s="5">
        <v>1.8055555555555556</v>
      </c>
    </row>
    <row r="870" spans="1:25" x14ac:dyDescent="0.25">
      <c r="A870">
        <v>2020</v>
      </c>
      <c r="B870" t="s">
        <v>57</v>
      </c>
      <c r="C870">
        <v>4</v>
      </c>
      <c r="D870">
        <v>39</v>
      </c>
      <c r="E870" t="s">
        <v>16</v>
      </c>
      <c r="F870" t="s">
        <v>51</v>
      </c>
      <c r="G870">
        <f t="shared" si="13"/>
        <v>1</v>
      </c>
      <c r="H870">
        <v>7</v>
      </c>
      <c r="I870">
        <v>6</v>
      </c>
      <c r="J870">
        <v>0</v>
      </c>
      <c r="K870" s="6" t="s">
        <v>66</v>
      </c>
      <c r="L870" s="6" t="s">
        <v>81</v>
      </c>
      <c r="M870">
        <v>128</v>
      </c>
      <c r="N870" s="1">
        <v>0.47232472324723246</v>
      </c>
      <c r="O870">
        <v>42</v>
      </c>
      <c r="P870" s="1">
        <v>0.3925233644859813</v>
      </c>
      <c r="Q870" s="1">
        <v>0.76699029126213591</v>
      </c>
      <c r="R870">
        <v>377</v>
      </c>
      <c r="S870">
        <v>48</v>
      </c>
      <c r="T870">
        <v>142</v>
      </c>
      <c r="U870">
        <v>83</v>
      </c>
      <c r="V870">
        <v>35</v>
      </c>
      <c r="W870">
        <v>17</v>
      </c>
      <c r="X870">
        <v>52</v>
      </c>
      <c r="Y870" s="5">
        <v>1.5961538461538463</v>
      </c>
    </row>
    <row r="871" spans="1:25" x14ac:dyDescent="0.25">
      <c r="A871">
        <v>2020</v>
      </c>
      <c r="B871" t="s">
        <v>57</v>
      </c>
      <c r="C871">
        <v>4</v>
      </c>
      <c r="D871">
        <v>39</v>
      </c>
      <c r="E871" t="s">
        <v>22</v>
      </c>
      <c r="F871" t="s">
        <v>44</v>
      </c>
      <c r="G871">
        <f t="shared" si="13"/>
        <v>0</v>
      </c>
      <c r="H871">
        <v>6</v>
      </c>
      <c r="I871">
        <v>7</v>
      </c>
      <c r="J871">
        <v>0</v>
      </c>
      <c r="K871" s="6" t="s">
        <v>60</v>
      </c>
      <c r="L871" s="6" t="s">
        <v>75</v>
      </c>
      <c r="M871">
        <v>169</v>
      </c>
      <c r="N871" s="1">
        <v>0.4733893557422969</v>
      </c>
      <c r="O871">
        <v>52</v>
      </c>
      <c r="P871" s="1">
        <v>0.38518518518518519</v>
      </c>
      <c r="Q871" s="1">
        <v>0.81415929203539827</v>
      </c>
      <c r="R871">
        <v>482</v>
      </c>
      <c r="S871">
        <v>24</v>
      </c>
      <c r="T871">
        <v>117</v>
      </c>
      <c r="U871">
        <v>85</v>
      </c>
      <c r="V871">
        <v>23</v>
      </c>
      <c r="W871">
        <v>10</v>
      </c>
      <c r="X871">
        <v>71</v>
      </c>
      <c r="Y871" s="5">
        <v>1.1971830985915493</v>
      </c>
    </row>
    <row r="872" spans="1:25" x14ac:dyDescent="0.25">
      <c r="A872">
        <v>2020</v>
      </c>
      <c r="B872" t="s">
        <v>57</v>
      </c>
      <c r="C872">
        <v>4</v>
      </c>
      <c r="D872">
        <v>40</v>
      </c>
      <c r="E872" t="s">
        <v>190</v>
      </c>
      <c r="F872" t="s">
        <v>103</v>
      </c>
      <c r="G872">
        <f t="shared" si="13"/>
        <v>1</v>
      </c>
      <c r="H872">
        <v>11</v>
      </c>
      <c r="I872">
        <v>2</v>
      </c>
      <c r="J872">
        <v>0</v>
      </c>
      <c r="K872" s="6" t="s">
        <v>70</v>
      </c>
      <c r="L872" s="6" t="s">
        <v>87</v>
      </c>
      <c r="M872">
        <v>188</v>
      </c>
      <c r="N872" s="1">
        <v>0.44339622641509435</v>
      </c>
      <c r="O872">
        <v>57</v>
      </c>
      <c r="P872" s="1">
        <v>0.37748344370860926</v>
      </c>
      <c r="Q872" s="1">
        <v>0.875</v>
      </c>
      <c r="R872">
        <v>538</v>
      </c>
      <c r="S872">
        <v>40</v>
      </c>
      <c r="T872">
        <v>135</v>
      </c>
      <c r="U872">
        <v>105</v>
      </c>
      <c r="V872">
        <v>32</v>
      </c>
      <c r="W872">
        <v>16</v>
      </c>
      <c r="X872">
        <v>67</v>
      </c>
      <c r="Y872" s="5">
        <v>1.5671641791044777</v>
      </c>
    </row>
    <row r="873" spans="1:25" x14ac:dyDescent="0.25">
      <c r="A873">
        <v>2020</v>
      </c>
      <c r="B873" t="s">
        <v>57</v>
      </c>
      <c r="C873">
        <v>4</v>
      </c>
      <c r="D873">
        <v>40</v>
      </c>
      <c r="E873" t="s">
        <v>21</v>
      </c>
      <c r="F873" t="s">
        <v>50</v>
      </c>
      <c r="G873">
        <f t="shared" si="13"/>
        <v>0</v>
      </c>
      <c r="H873">
        <v>2</v>
      </c>
      <c r="I873">
        <v>11</v>
      </c>
      <c r="J873">
        <v>0</v>
      </c>
      <c r="K873" s="6" t="s">
        <v>191</v>
      </c>
      <c r="L873" s="6" t="s">
        <v>113</v>
      </c>
      <c r="M873">
        <v>157</v>
      </c>
      <c r="N873" s="1">
        <v>0.47005988023952094</v>
      </c>
      <c r="O873">
        <v>43</v>
      </c>
      <c r="P873" s="1">
        <v>0.36134453781512604</v>
      </c>
      <c r="Q873" s="1">
        <v>0.81159420289855078</v>
      </c>
      <c r="R873">
        <v>413</v>
      </c>
      <c r="S873">
        <v>32</v>
      </c>
      <c r="T873">
        <v>123</v>
      </c>
      <c r="U873">
        <v>89</v>
      </c>
      <c r="V873">
        <v>28</v>
      </c>
      <c r="W873">
        <v>13</v>
      </c>
      <c r="X873">
        <v>58</v>
      </c>
      <c r="Y873" s="5">
        <v>1.5344827586206897</v>
      </c>
    </row>
    <row r="874" spans="1:25" x14ac:dyDescent="0.25">
      <c r="A874">
        <v>2020</v>
      </c>
      <c r="B874" t="s">
        <v>57</v>
      </c>
      <c r="C874">
        <v>5</v>
      </c>
      <c r="D874">
        <v>41</v>
      </c>
      <c r="E874" t="s">
        <v>16</v>
      </c>
      <c r="F874" t="s">
        <v>51</v>
      </c>
      <c r="G874">
        <f t="shared" si="13"/>
        <v>1</v>
      </c>
      <c r="H874">
        <v>9</v>
      </c>
      <c r="I874">
        <v>4</v>
      </c>
      <c r="J874">
        <v>0</v>
      </c>
      <c r="K874" s="6" t="s">
        <v>104</v>
      </c>
      <c r="L874" s="6" t="s">
        <v>105</v>
      </c>
      <c r="M874">
        <v>166</v>
      </c>
      <c r="N874" s="1">
        <v>0.48396501457725949</v>
      </c>
      <c r="O874">
        <v>48</v>
      </c>
      <c r="P874" s="1">
        <v>0.38095238095238093</v>
      </c>
      <c r="Q874" s="1">
        <v>0.68421052631578949</v>
      </c>
      <c r="R874">
        <v>458</v>
      </c>
      <c r="S874">
        <v>40</v>
      </c>
      <c r="T874">
        <v>179</v>
      </c>
      <c r="U874">
        <v>127</v>
      </c>
      <c r="V874">
        <v>53</v>
      </c>
      <c r="W874">
        <v>27</v>
      </c>
      <c r="X874">
        <v>69</v>
      </c>
      <c r="Y874" s="5">
        <v>1.8405797101449275</v>
      </c>
    </row>
    <row r="875" spans="1:25" x14ac:dyDescent="0.25">
      <c r="A875">
        <v>2020</v>
      </c>
      <c r="B875" t="s">
        <v>57</v>
      </c>
      <c r="C875">
        <v>5</v>
      </c>
      <c r="D875">
        <v>41</v>
      </c>
      <c r="E875" t="s">
        <v>93</v>
      </c>
      <c r="F875" t="s">
        <v>189</v>
      </c>
      <c r="G875">
        <f t="shared" si="13"/>
        <v>0</v>
      </c>
      <c r="H875">
        <v>4</v>
      </c>
      <c r="I875">
        <v>9</v>
      </c>
      <c r="J875">
        <v>0</v>
      </c>
      <c r="K875" s="6" t="s">
        <v>60</v>
      </c>
      <c r="L875" s="6" t="s">
        <v>75</v>
      </c>
      <c r="M875">
        <v>153</v>
      </c>
      <c r="N875" s="1">
        <v>0.42265193370165743</v>
      </c>
      <c r="O875">
        <v>70</v>
      </c>
      <c r="P875" s="1">
        <v>0.39106145251396646</v>
      </c>
      <c r="Q875" s="1">
        <v>0.82558139534883723</v>
      </c>
      <c r="R875">
        <v>447</v>
      </c>
      <c r="S875">
        <v>25</v>
      </c>
      <c r="T875">
        <v>113</v>
      </c>
      <c r="U875">
        <v>95</v>
      </c>
      <c r="V875">
        <v>29</v>
      </c>
      <c r="W875">
        <v>21</v>
      </c>
      <c r="X875">
        <v>65</v>
      </c>
      <c r="Y875" s="5">
        <v>1.4615384615384615</v>
      </c>
    </row>
    <row r="876" spans="1:25" x14ac:dyDescent="0.25">
      <c r="A876">
        <v>2020</v>
      </c>
      <c r="B876" t="s">
        <v>57</v>
      </c>
      <c r="C876">
        <v>5</v>
      </c>
      <c r="D876">
        <v>42</v>
      </c>
      <c r="E876" t="s">
        <v>28</v>
      </c>
      <c r="F876" t="s">
        <v>46</v>
      </c>
      <c r="G876">
        <f t="shared" si="13"/>
        <v>1</v>
      </c>
      <c r="H876">
        <v>8</v>
      </c>
      <c r="I876">
        <v>5</v>
      </c>
      <c r="J876">
        <v>0</v>
      </c>
      <c r="K876" s="6" t="s">
        <v>65</v>
      </c>
      <c r="L876" s="6" t="s">
        <v>119</v>
      </c>
      <c r="M876">
        <v>221</v>
      </c>
      <c r="N876" s="1">
        <v>0.44918699186991867</v>
      </c>
      <c r="O876">
        <v>62</v>
      </c>
      <c r="P876" s="1">
        <v>0.34831460674157305</v>
      </c>
      <c r="Q876" s="1">
        <v>0.77906976744186052</v>
      </c>
      <c r="R876">
        <v>638</v>
      </c>
      <c r="S876">
        <v>61</v>
      </c>
      <c r="T876">
        <v>216</v>
      </c>
      <c r="U876">
        <v>105</v>
      </c>
      <c r="V876">
        <v>40</v>
      </c>
      <c r="W876">
        <v>17</v>
      </c>
      <c r="X876">
        <v>68</v>
      </c>
      <c r="Y876" s="5">
        <v>1.5441176470588236</v>
      </c>
    </row>
    <row r="877" spans="1:25" x14ac:dyDescent="0.25">
      <c r="A877">
        <v>2020</v>
      </c>
      <c r="B877" t="s">
        <v>57</v>
      </c>
      <c r="C877">
        <v>5</v>
      </c>
      <c r="D877">
        <v>42</v>
      </c>
      <c r="E877" t="s">
        <v>26</v>
      </c>
      <c r="F877" t="s">
        <v>118</v>
      </c>
      <c r="G877">
        <f t="shared" si="13"/>
        <v>0</v>
      </c>
      <c r="H877">
        <v>5</v>
      </c>
      <c r="I877">
        <v>8</v>
      </c>
      <c r="J877">
        <v>0</v>
      </c>
      <c r="K877" s="6" t="s">
        <v>64</v>
      </c>
      <c r="L877" s="6" t="s">
        <v>80</v>
      </c>
      <c r="M877">
        <v>150</v>
      </c>
      <c r="N877" s="1">
        <v>0.47318611987381703</v>
      </c>
      <c r="O877">
        <v>41</v>
      </c>
      <c r="P877" s="1">
        <v>0.39047619047619048</v>
      </c>
      <c r="Q877" s="1">
        <v>0.77272727272727271</v>
      </c>
      <c r="R877">
        <v>392</v>
      </c>
      <c r="S877">
        <v>40</v>
      </c>
      <c r="T877">
        <v>123</v>
      </c>
      <c r="U877">
        <v>100</v>
      </c>
      <c r="V877">
        <v>23</v>
      </c>
      <c r="W877">
        <v>27</v>
      </c>
      <c r="X877">
        <v>56</v>
      </c>
      <c r="Y877" s="5">
        <v>1.7857142857142858</v>
      </c>
    </row>
    <row r="878" spans="1:25" x14ac:dyDescent="0.25">
      <c r="A878">
        <v>2020</v>
      </c>
      <c r="B878" t="s">
        <v>57</v>
      </c>
      <c r="C878">
        <v>5</v>
      </c>
      <c r="D878">
        <v>43</v>
      </c>
      <c r="E878" t="s">
        <v>17</v>
      </c>
      <c r="F878" t="s">
        <v>43</v>
      </c>
      <c r="G878">
        <f t="shared" si="13"/>
        <v>0</v>
      </c>
      <c r="H878">
        <v>5</v>
      </c>
      <c r="I878">
        <v>7</v>
      </c>
      <c r="J878">
        <v>1</v>
      </c>
      <c r="K878" s="6" t="s">
        <v>112</v>
      </c>
      <c r="L878" s="6" t="s">
        <v>88</v>
      </c>
      <c r="M878">
        <v>133</v>
      </c>
      <c r="N878" s="1">
        <v>0.47499999999999998</v>
      </c>
      <c r="O878">
        <v>40</v>
      </c>
      <c r="P878" s="1">
        <v>0.35714285714285715</v>
      </c>
      <c r="Q878" s="1">
        <v>0.79104477611940294</v>
      </c>
      <c r="R878">
        <v>359</v>
      </c>
      <c r="S878">
        <v>31</v>
      </c>
      <c r="T878">
        <v>111</v>
      </c>
      <c r="U878">
        <v>94</v>
      </c>
      <c r="V878">
        <v>22</v>
      </c>
      <c r="W878">
        <v>12</v>
      </c>
      <c r="X878">
        <v>48</v>
      </c>
      <c r="Y878" s="5">
        <v>1.9583333333333333</v>
      </c>
    </row>
    <row r="879" spans="1:25" x14ac:dyDescent="0.25">
      <c r="A879">
        <v>2020</v>
      </c>
      <c r="B879" t="s">
        <v>57</v>
      </c>
      <c r="C879">
        <v>5</v>
      </c>
      <c r="D879">
        <v>43</v>
      </c>
      <c r="E879" t="s">
        <v>98</v>
      </c>
      <c r="F879" t="s">
        <v>41</v>
      </c>
      <c r="G879">
        <f t="shared" si="13"/>
        <v>1</v>
      </c>
      <c r="H879">
        <v>7</v>
      </c>
      <c r="I879">
        <v>5</v>
      </c>
      <c r="J879">
        <v>1</v>
      </c>
      <c r="K879" s="6" t="s">
        <v>63</v>
      </c>
      <c r="L879" s="6" t="s">
        <v>79</v>
      </c>
      <c r="M879">
        <v>151</v>
      </c>
      <c r="N879" s="1">
        <v>0.46749226006191952</v>
      </c>
      <c r="O879">
        <v>64</v>
      </c>
      <c r="P879" s="1">
        <v>0.50793650793650791</v>
      </c>
      <c r="Q879" s="1">
        <v>0.84146341463414631</v>
      </c>
      <c r="R879">
        <v>435</v>
      </c>
      <c r="S879">
        <v>24</v>
      </c>
      <c r="T879">
        <v>120</v>
      </c>
      <c r="U879">
        <v>90</v>
      </c>
      <c r="V879">
        <v>22</v>
      </c>
      <c r="W879">
        <v>13</v>
      </c>
      <c r="X879">
        <v>55</v>
      </c>
      <c r="Y879" s="5">
        <v>1.6363636363636365</v>
      </c>
    </row>
    <row r="880" spans="1:25" x14ac:dyDescent="0.25">
      <c r="A880">
        <v>2020</v>
      </c>
      <c r="B880" t="s">
        <v>57</v>
      </c>
      <c r="C880">
        <v>5</v>
      </c>
      <c r="D880">
        <v>44</v>
      </c>
      <c r="E880" t="s">
        <v>15</v>
      </c>
      <c r="F880" t="s">
        <v>48</v>
      </c>
      <c r="G880">
        <f t="shared" si="13"/>
        <v>0</v>
      </c>
      <c r="H880">
        <v>5</v>
      </c>
      <c r="I880">
        <v>8</v>
      </c>
      <c r="J880">
        <v>0</v>
      </c>
      <c r="K880" s="6" t="s">
        <v>111</v>
      </c>
      <c r="L880" s="6" t="s">
        <v>89</v>
      </c>
      <c r="M880">
        <v>147</v>
      </c>
      <c r="N880" s="1">
        <v>0.44277108433734941</v>
      </c>
      <c r="O880">
        <v>42</v>
      </c>
      <c r="P880" s="1">
        <v>0.35</v>
      </c>
      <c r="Q880" s="1">
        <v>0.81914893617021278</v>
      </c>
      <c r="R880">
        <v>413</v>
      </c>
      <c r="S880">
        <v>38</v>
      </c>
      <c r="T880">
        <v>155</v>
      </c>
      <c r="U880">
        <v>90</v>
      </c>
      <c r="V880">
        <v>40</v>
      </c>
      <c r="W880">
        <v>16</v>
      </c>
      <c r="X880">
        <v>53</v>
      </c>
      <c r="Y880" s="5">
        <v>1.6981132075471699</v>
      </c>
    </row>
    <row r="881" spans="1:25" x14ac:dyDescent="0.25">
      <c r="A881">
        <v>2020</v>
      </c>
      <c r="B881" t="s">
        <v>57</v>
      </c>
      <c r="C881">
        <v>5</v>
      </c>
      <c r="D881">
        <v>44</v>
      </c>
      <c r="E881" t="s">
        <v>97</v>
      </c>
      <c r="F881" t="s">
        <v>54</v>
      </c>
      <c r="G881">
        <f t="shared" si="13"/>
        <v>1</v>
      </c>
      <c r="H881">
        <v>8</v>
      </c>
      <c r="I881">
        <v>5</v>
      </c>
      <c r="J881">
        <v>0</v>
      </c>
      <c r="K881" s="6" t="s">
        <v>61</v>
      </c>
      <c r="L881" s="6" t="s">
        <v>77</v>
      </c>
      <c r="M881">
        <v>206</v>
      </c>
      <c r="N881" s="1">
        <v>0.49519230769230771</v>
      </c>
      <c r="O881">
        <v>58</v>
      </c>
      <c r="P881" s="1">
        <v>0.37908496732026142</v>
      </c>
      <c r="Q881" s="1">
        <v>0.77477477477477474</v>
      </c>
      <c r="R881">
        <v>556</v>
      </c>
      <c r="S881">
        <v>40</v>
      </c>
      <c r="T881">
        <v>152</v>
      </c>
      <c r="U881">
        <v>147</v>
      </c>
      <c r="V881">
        <v>34</v>
      </c>
      <c r="W881">
        <v>12</v>
      </c>
      <c r="X881">
        <v>64</v>
      </c>
      <c r="Y881" s="5">
        <v>2.296875</v>
      </c>
    </row>
    <row r="882" spans="1:25" x14ac:dyDescent="0.25">
      <c r="A882">
        <v>2020</v>
      </c>
      <c r="B882" t="s">
        <v>57</v>
      </c>
      <c r="C882">
        <v>5</v>
      </c>
      <c r="D882">
        <v>45</v>
      </c>
      <c r="E882" t="s">
        <v>35</v>
      </c>
      <c r="F882" t="s">
        <v>52</v>
      </c>
      <c r="G882">
        <f t="shared" si="13"/>
        <v>1</v>
      </c>
      <c r="H882">
        <v>9</v>
      </c>
      <c r="I882">
        <v>4</v>
      </c>
      <c r="J882">
        <v>0</v>
      </c>
      <c r="K882" s="6" t="s">
        <v>72</v>
      </c>
      <c r="L882" s="6" t="s">
        <v>85</v>
      </c>
      <c r="M882">
        <v>147</v>
      </c>
      <c r="N882" s="1">
        <v>0.48675496688741721</v>
      </c>
      <c r="O882">
        <v>49</v>
      </c>
      <c r="P882" s="1">
        <v>0.3888888888888889</v>
      </c>
      <c r="Q882" s="1">
        <v>0.68918918918918914</v>
      </c>
      <c r="R882">
        <v>394</v>
      </c>
      <c r="S882">
        <v>29</v>
      </c>
      <c r="T882">
        <v>99</v>
      </c>
      <c r="U882">
        <v>64</v>
      </c>
      <c r="V882">
        <v>20</v>
      </c>
      <c r="W882">
        <v>26</v>
      </c>
      <c r="X882">
        <v>42</v>
      </c>
      <c r="Y882" s="5">
        <v>1.5238095238095237</v>
      </c>
    </row>
    <row r="883" spans="1:25" x14ac:dyDescent="0.25">
      <c r="A883">
        <v>2020</v>
      </c>
      <c r="B883" t="s">
        <v>57</v>
      </c>
      <c r="C883">
        <v>5</v>
      </c>
      <c r="D883">
        <v>45</v>
      </c>
      <c r="E883" t="s">
        <v>33</v>
      </c>
      <c r="F883" t="s">
        <v>42</v>
      </c>
      <c r="G883">
        <f t="shared" si="13"/>
        <v>0</v>
      </c>
      <c r="H883">
        <v>4</v>
      </c>
      <c r="I883">
        <v>9</v>
      </c>
      <c r="J883">
        <v>0</v>
      </c>
      <c r="K883" s="6" t="s">
        <v>73</v>
      </c>
      <c r="L883" s="6" t="s">
        <v>74</v>
      </c>
      <c r="M883">
        <v>107</v>
      </c>
      <c r="N883" s="1">
        <v>0.48636363636363639</v>
      </c>
      <c r="O883">
        <v>20</v>
      </c>
      <c r="P883" s="1">
        <v>0.35714285714285715</v>
      </c>
      <c r="Q883" s="1">
        <v>0.60606060606060608</v>
      </c>
      <c r="R883">
        <v>274</v>
      </c>
      <c r="S883">
        <v>34</v>
      </c>
      <c r="T883">
        <v>126</v>
      </c>
      <c r="U883">
        <v>81</v>
      </c>
      <c r="V883">
        <v>18</v>
      </c>
      <c r="W883">
        <v>9</v>
      </c>
      <c r="X883">
        <v>49</v>
      </c>
      <c r="Y883" s="5">
        <v>1.653061224489796</v>
      </c>
    </row>
    <row r="884" spans="1:25" x14ac:dyDescent="0.25">
      <c r="A884">
        <v>2020</v>
      </c>
      <c r="B884" t="s">
        <v>57</v>
      </c>
      <c r="C884">
        <v>5</v>
      </c>
      <c r="D884">
        <v>46</v>
      </c>
      <c r="E884" t="s">
        <v>21</v>
      </c>
      <c r="F884" t="s">
        <v>50</v>
      </c>
      <c r="G884">
        <f t="shared" si="13"/>
        <v>1</v>
      </c>
      <c r="H884">
        <v>8</v>
      </c>
      <c r="I884">
        <v>5</v>
      </c>
      <c r="J884">
        <v>0</v>
      </c>
      <c r="K884" s="6" t="s">
        <v>193</v>
      </c>
      <c r="L884" s="6" t="s">
        <v>117</v>
      </c>
      <c r="M884">
        <v>205</v>
      </c>
      <c r="N884" s="1">
        <v>0.47126436781609193</v>
      </c>
      <c r="O884">
        <v>56</v>
      </c>
      <c r="P884" s="1">
        <v>0.35668789808917195</v>
      </c>
      <c r="Q884" s="1">
        <v>0.80909090909090908</v>
      </c>
      <c r="R884">
        <v>555</v>
      </c>
      <c r="S884">
        <v>38</v>
      </c>
      <c r="T884">
        <v>134</v>
      </c>
      <c r="U884">
        <v>110</v>
      </c>
      <c r="V884">
        <v>33</v>
      </c>
      <c r="W884">
        <v>8</v>
      </c>
      <c r="X884">
        <v>72</v>
      </c>
      <c r="Y884" s="5">
        <v>1.5277777777777777</v>
      </c>
    </row>
    <row r="885" spans="1:25" x14ac:dyDescent="0.25">
      <c r="A885">
        <v>2020</v>
      </c>
      <c r="B885" t="s">
        <v>57</v>
      </c>
      <c r="C885">
        <v>5</v>
      </c>
      <c r="D885">
        <v>46</v>
      </c>
      <c r="E885" t="s">
        <v>159</v>
      </c>
      <c r="F885" t="s">
        <v>116</v>
      </c>
      <c r="G885">
        <f t="shared" si="13"/>
        <v>0</v>
      </c>
      <c r="H885">
        <v>5</v>
      </c>
      <c r="I885">
        <v>8</v>
      </c>
      <c r="J885">
        <v>0</v>
      </c>
      <c r="K885" s="6" t="s">
        <v>70</v>
      </c>
      <c r="L885" s="6" t="s">
        <v>87</v>
      </c>
      <c r="M885">
        <v>167</v>
      </c>
      <c r="N885" s="1">
        <v>0.47308781869688388</v>
      </c>
      <c r="O885">
        <v>36</v>
      </c>
      <c r="P885" s="1">
        <v>0.33333333333333331</v>
      </c>
      <c r="Q885" s="1">
        <v>0.75454545454545452</v>
      </c>
      <c r="R885">
        <v>453</v>
      </c>
      <c r="S885">
        <v>57</v>
      </c>
      <c r="T885">
        <v>133</v>
      </c>
      <c r="U885">
        <v>73</v>
      </c>
      <c r="V885">
        <v>28</v>
      </c>
      <c r="W885">
        <v>20</v>
      </c>
      <c r="X885">
        <v>45</v>
      </c>
      <c r="Y885" s="5">
        <v>1.6222222222222222</v>
      </c>
    </row>
    <row r="886" spans="1:25" x14ac:dyDescent="0.25">
      <c r="A886">
        <v>2020</v>
      </c>
      <c r="B886" t="s">
        <v>57</v>
      </c>
      <c r="C886">
        <v>5</v>
      </c>
      <c r="D886">
        <v>47</v>
      </c>
      <c r="E886" t="s">
        <v>190</v>
      </c>
      <c r="F886" t="s">
        <v>103</v>
      </c>
      <c r="G886">
        <f t="shared" si="13"/>
        <v>1</v>
      </c>
      <c r="H886">
        <v>9</v>
      </c>
      <c r="I886">
        <v>4</v>
      </c>
      <c r="J886">
        <v>0</v>
      </c>
      <c r="K886" s="6" t="s">
        <v>106</v>
      </c>
      <c r="L886" s="6" t="s">
        <v>83</v>
      </c>
      <c r="M886">
        <v>174</v>
      </c>
      <c r="N886" s="1">
        <v>0.43718592964824121</v>
      </c>
      <c r="O886">
        <v>65</v>
      </c>
      <c r="P886" s="1">
        <v>0.38461538461538464</v>
      </c>
      <c r="Q886" s="1">
        <v>0.84337349397590367</v>
      </c>
      <c r="R886">
        <v>483</v>
      </c>
      <c r="S886">
        <v>19</v>
      </c>
      <c r="T886">
        <v>104</v>
      </c>
      <c r="U886">
        <v>102</v>
      </c>
      <c r="V886">
        <v>32</v>
      </c>
      <c r="W886">
        <v>24</v>
      </c>
      <c r="X886">
        <v>52</v>
      </c>
      <c r="Y886" s="5">
        <v>1.9615384615384615</v>
      </c>
    </row>
    <row r="887" spans="1:25" x14ac:dyDescent="0.25">
      <c r="A887">
        <v>2020</v>
      </c>
      <c r="B887" t="s">
        <v>57</v>
      </c>
      <c r="C887">
        <v>5</v>
      </c>
      <c r="D887">
        <v>47</v>
      </c>
      <c r="E887" t="s">
        <v>94</v>
      </c>
      <c r="F887" t="s">
        <v>40</v>
      </c>
      <c r="G887">
        <f t="shared" si="13"/>
        <v>0</v>
      </c>
      <c r="H887">
        <v>4</v>
      </c>
      <c r="I887">
        <v>9</v>
      </c>
      <c r="J887">
        <v>0</v>
      </c>
      <c r="K887" s="6" t="s">
        <v>191</v>
      </c>
      <c r="L887" s="6" t="s">
        <v>113</v>
      </c>
      <c r="M887">
        <v>145</v>
      </c>
      <c r="N887" s="1">
        <v>0.41786743515850144</v>
      </c>
      <c r="O887">
        <v>63</v>
      </c>
      <c r="P887" s="1">
        <v>0.40384615384615385</v>
      </c>
      <c r="Q887" s="1">
        <v>0.73913043478260865</v>
      </c>
      <c r="R887">
        <v>404</v>
      </c>
      <c r="S887">
        <v>38</v>
      </c>
      <c r="T887">
        <v>134</v>
      </c>
      <c r="U887">
        <v>111</v>
      </c>
      <c r="V887">
        <v>22</v>
      </c>
      <c r="W887">
        <v>13</v>
      </c>
      <c r="X887">
        <v>66</v>
      </c>
      <c r="Y887" s="5">
        <v>1.6818181818181819</v>
      </c>
    </row>
    <row r="888" spans="1:25" x14ac:dyDescent="0.25">
      <c r="A888">
        <v>2020</v>
      </c>
      <c r="B888" t="s">
        <v>57</v>
      </c>
      <c r="C888">
        <v>5</v>
      </c>
      <c r="D888">
        <v>48</v>
      </c>
      <c r="E888" t="s">
        <v>181</v>
      </c>
      <c r="F888" t="s">
        <v>49</v>
      </c>
      <c r="G888">
        <f t="shared" si="13"/>
        <v>1</v>
      </c>
      <c r="H888">
        <v>12</v>
      </c>
      <c r="I888">
        <v>1</v>
      </c>
      <c r="J888">
        <v>0</v>
      </c>
      <c r="K888" s="6" t="s">
        <v>114</v>
      </c>
      <c r="L888" s="6" t="s">
        <v>90</v>
      </c>
      <c r="M888">
        <v>174</v>
      </c>
      <c r="N888" s="1">
        <v>0.47411444141689374</v>
      </c>
      <c r="O888">
        <v>56</v>
      </c>
      <c r="P888" s="1">
        <v>0.40579710144927539</v>
      </c>
      <c r="Q888" s="1">
        <v>0.78991596638655459</v>
      </c>
      <c r="R888">
        <v>498</v>
      </c>
      <c r="S888">
        <v>53</v>
      </c>
      <c r="T888">
        <v>130</v>
      </c>
      <c r="U888">
        <v>101</v>
      </c>
      <c r="V888">
        <v>26</v>
      </c>
      <c r="W888">
        <v>23</v>
      </c>
      <c r="X888">
        <v>54</v>
      </c>
      <c r="Y888" s="5">
        <v>1.8703703703703705</v>
      </c>
    </row>
    <row r="889" spans="1:25" x14ac:dyDescent="0.25">
      <c r="A889">
        <v>2020</v>
      </c>
      <c r="B889" t="s">
        <v>57</v>
      </c>
      <c r="C889">
        <v>5</v>
      </c>
      <c r="D889">
        <v>48</v>
      </c>
      <c r="E889" t="s">
        <v>99</v>
      </c>
      <c r="F889" t="s">
        <v>45</v>
      </c>
      <c r="G889">
        <f t="shared" si="13"/>
        <v>0</v>
      </c>
      <c r="H889">
        <v>1</v>
      </c>
      <c r="I889">
        <v>12</v>
      </c>
      <c r="J889">
        <v>0</v>
      </c>
      <c r="K889" s="6" t="s">
        <v>182</v>
      </c>
      <c r="L889" s="6" t="s">
        <v>76</v>
      </c>
      <c r="M889">
        <v>125</v>
      </c>
      <c r="N889" s="1">
        <v>0.45787545787545786</v>
      </c>
      <c r="O889">
        <v>55</v>
      </c>
      <c r="P889" s="1">
        <v>0.40145985401459855</v>
      </c>
      <c r="Q889" s="1">
        <v>0.71875</v>
      </c>
      <c r="R889">
        <v>328</v>
      </c>
      <c r="S889">
        <v>31</v>
      </c>
      <c r="T889">
        <v>81</v>
      </c>
      <c r="U889">
        <v>62</v>
      </c>
      <c r="V889">
        <v>18</v>
      </c>
      <c r="W889">
        <v>10</v>
      </c>
      <c r="X889">
        <v>53</v>
      </c>
      <c r="Y889" s="5">
        <v>1.1698113207547169</v>
      </c>
    </row>
    <row r="890" spans="1:25" x14ac:dyDescent="0.25">
      <c r="A890">
        <v>2020</v>
      </c>
      <c r="B890" t="s">
        <v>57</v>
      </c>
      <c r="C890">
        <v>5</v>
      </c>
      <c r="D890">
        <v>49</v>
      </c>
      <c r="E890" t="s">
        <v>22</v>
      </c>
      <c r="F890" t="s">
        <v>44</v>
      </c>
      <c r="G890">
        <f t="shared" si="13"/>
        <v>1</v>
      </c>
      <c r="H890">
        <v>8</v>
      </c>
      <c r="I890">
        <v>4</v>
      </c>
      <c r="J890">
        <v>1</v>
      </c>
      <c r="K890" s="6" t="s">
        <v>71</v>
      </c>
      <c r="L890" s="6" t="s">
        <v>121</v>
      </c>
      <c r="M890">
        <v>178</v>
      </c>
      <c r="N890" s="1">
        <v>0.47593582887700536</v>
      </c>
      <c r="O890">
        <v>56</v>
      </c>
      <c r="P890" s="1">
        <v>0.3783783783783784</v>
      </c>
      <c r="Q890" s="1">
        <v>0.78504672897196259</v>
      </c>
      <c r="R890">
        <v>496</v>
      </c>
      <c r="S890">
        <v>32</v>
      </c>
      <c r="T890">
        <v>130</v>
      </c>
      <c r="U890">
        <v>113</v>
      </c>
      <c r="V890">
        <v>37</v>
      </c>
      <c r="W890">
        <v>21</v>
      </c>
      <c r="X890">
        <v>72</v>
      </c>
      <c r="Y890" s="5">
        <v>1.5694444444444444</v>
      </c>
    </row>
    <row r="891" spans="1:25" x14ac:dyDescent="0.25">
      <c r="A891">
        <v>2020</v>
      </c>
      <c r="B891" t="s">
        <v>57</v>
      </c>
      <c r="C891">
        <v>5</v>
      </c>
      <c r="D891">
        <v>49</v>
      </c>
      <c r="E891" t="s">
        <v>23</v>
      </c>
      <c r="F891" t="s">
        <v>120</v>
      </c>
      <c r="G891">
        <f t="shared" si="13"/>
        <v>0</v>
      </c>
      <c r="H891">
        <v>4</v>
      </c>
      <c r="I891">
        <v>8</v>
      </c>
      <c r="J891">
        <v>1</v>
      </c>
      <c r="K891" s="6" t="s">
        <v>66</v>
      </c>
      <c r="L891" s="6" t="s">
        <v>81</v>
      </c>
      <c r="M891">
        <v>137</v>
      </c>
      <c r="N891" s="1">
        <v>0.42812499999999998</v>
      </c>
      <c r="O891">
        <v>50</v>
      </c>
      <c r="P891" s="1">
        <v>0.37593984962406013</v>
      </c>
      <c r="Q891" s="1">
        <v>0.87209302325581395</v>
      </c>
      <c r="R891">
        <v>399</v>
      </c>
      <c r="S891">
        <v>40</v>
      </c>
      <c r="T891">
        <v>101</v>
      </c>
      <c r="U891">
        <v>92</v>
      </c>
      <c r="V891">
        <v>32</v>
      </c>
      <c r="W891">
        <v>21</v>
      </c>
      <c r="X891">
        <v>50</v>
      </c>
      <c r="Y891" s="5">
        <v>1.84</v>
      </c>
    </row>
    <row r="892" spans="1:25" x14ac:dyDescent="0.25">
      <c r="A892">
        <v>2020</v>
      </c>
      <c r="B892" t="s">
        <v>57</v>
      </c>
      <c r="C892">
        <v>5</v>
      </c>
      <c r="D892">
        <v>50</v>
      </c>
      <c r="E892" t="s">
        <v>25</v>
      </c>
      <c r="F892" t="s">
        <v>53</v>
      </c>
      <c r="G892">
        <f t="shared" si="13"/>
        <v>1</v>
      </c>
      <c r="H892">
        <v>10</v>
      </c>
      <c r="I892">
        <v>3</v>
      </c>
      <c r="J892">
        <v>0</v>
      </c>
      <c r="K892" s="6" t="s">
        <v>62</v>
      </c>
      <c r="L892" s="6" t="s">
        <v>78</v>
      </c>
      <c r="M892">
        <v>149</v>
      </c>
      <c r="N892" s="1">
        <v>0.48220064724919093</v>
      </c>
      <c r="O892">
        <v>19</v>
      </c>
      <c r="P892" s="1">
        <v>0.35849056603773582</v>
      </c>
      <c r="Q892" s="1">
        <v>0.70526315789473681</v>
      </c>
      <c r="R892">
        <v>384</v>
      </c>
      <c r="S892">
        <v>45</v>
      </c>
      <c r="T892">
        <v>117</v>
      </c>
      <c r="U892">
        <v>94</v>
      </c>
      <c r="V892">
        <v>27</v>
      </c>
      <c r="W892">
        <v>15</v>
      </c>
      <c r="X892">
        <v>47</v>
      </c>
      <c r="Y892" s="5">
        <v>2</v>
      </c>
    </row>
    <row r="893" spans="1:25" x14ac:dyDescent="0.25">
      <c r="A893">
        <v>2020</v>
      </c>
      <c r="B893" t="s">
        <v>57</v>
      </c>
      <c r="C893">
        <v>5</v>
      </c>
      <c r="D893">
        <v>50</v>
      </c>
      <c r="E893" t="s">
        <v>20</v>
      </c>
      <c r="F893" t="s">
        <v>47</v>
      </c>
      <c r="G893">
        <f t="shared" si="13"/>
        <v>0</v>
      </c>
      <c r="H893">
        <v>3</v>
      </c>
      <c r="I893">
        <v>10</v>
      </c>
      <c r="J893">
        <v>0</v>
      </c>
      <c r="K893" s="6" t="s">
        <v>68</v>
      </c>
      <c r="L893" s="6" t="s">
        <v>84</v>
      </c>
      <c r="M893">
        <v>143</v>
      </c>
      <c r="N893" s="1">
        <v>0.47826086956521741</v>
      </c>
      <c r="O893">
        <v>25</v>
      </c>
      <c r="P893" s="1">
        <v>0.32051282051282054</v>
      </c>
      <c r="Q893" s="1">
        <v>0.7857142857142857</v>
      </c>
      <c r="R893">
        <v>366</v>
      </c>
      <c r="S893">
        <v>41</v>
      </c>
      <c r="T893">
        <v>92</v>
      </c>
      <c r="U893">
        <v>79</v>
      </c>
      <c r="V893">
        <v>22</v>
      </c>
      <c r="W893">
        <v>11</v>
      </c>
      <c r="X893">
        <v>45</v>
      </c>
      <c r="Y893" s="5">
        <v>1.7555555555555555</v>
      </c>
    </row>
    <row r="894" spans="1:25" x14ac:dyDescent="0.25">
      <c r="A894">
        <v>2020</v>
      </c>
      <c r="B894" t="s">
        <v>57</v>
      </c>
      <c r="C894">
        <v>6</v>
      </c>
      <c r="D894">
        <v>51</v>
      </c>
      <c r="E894" t="s">
        <v>190</v>
      </c>
      <c r="F894" t="s">
        <v>103</v>
      </c>
      <c r="G894">
        <f t="shared" si="13"/>
        <v>1</v>
      </c>
      <c r="H894">
        <v>9</v>
      </c>
      <c r="I894">
        <v>4</v>
      </c>
      <c r="J894">
        <v>0</v>
      </c>
      <c r="K894" s="6" t="s">
        <v>114</v>
      </c>
      <c r="L894" s="6" t="s">
        <v>90</v>
      </c>
      <c r="M894">
        <v>184</v>
      </c>
      <c r="N894" s="1">
        <v>0.42790697674418604</v>
      </c>
      <c r="O894">
        <v>68</v>
      </c>
      <c r="P894" s="1">
        <v>0.36956521739130432</v>
      </c>
      <c r="Q894" s="1">
        <v>0.83908045977011492</v>
      </c>
      <c r="R894">
        <v>509</v>
      </c>
      <c r="S894">
        <v>25</v>
      </c>
      <c r="T894">
        <v>131</v>
      </c>
      <c r="U894">
        <v>101</v>
      </c>
      <c r="V894">
        <v>35</v>
      </c>
      <c r="W894">
        <v>27</v>
      </c>
      <c r="X894">
        <v>59</v>
      </c>
      <c r="Y894" s="5">
        <v>1.7118644067796611</v>
      </c>
    </row>
    <row r="895" spans="1:25" x14ac:dyDescent="0.25">
      <c r="A895">
        <v>2020</v>
      </c>
      <c r="B895" t="s">
        <v>57</v>
      </c>
      <c r="C895">
        <v>6</v>
      </c>
      <c r="D895">
        <v>51</v>
      </c>
      <c r="E895" t="s">
        <v>99</v>
      </c>
      <c r="F895" t="s">
        <v>45</v>
      </c>
      <c r="G895">
        <f t="shared" si="13"/>
        <v>0</v>
      </c>
      <c r="H895">
        <v>4</v>
      </c>
      <c r="I895">
        <v>9</v>
      </c>
      <c r="J895">
        <v>0</v>
      </c>
      <c r="K895" s="6" t="s">
        <v>191</v>
      </c>
      <c r="L895" s="6" t="s">
        <v>113</v>
      </c>
      <c r="M895">
        <v>133</v>
      </c>
      <c r="N895" s="1">
        <v>0.43181818181818182</v>
      </c>
      <c r="O895">
        <v>48</v>
      </c>
      <c r="P895" s="1">
        <v>0.36923076923076925</v>
      </c>
      <c r="Q895" s="1">
        <v>0.81818181818181823</v>
      </c>
      <c r="R895">
        <v>359</v>
      </c>
      <c r="S895">
        <v>28</v>
      </c>
      <c r="T895">
        <v>114</v>
      </c>
      <c r="U895">
        <v>72</v>
      </c>
      <c r="V895">
        <v>24</v>
      </c>
      <c r="W895">
        <v>25</v>
      </c>
      <c r="X895">
        <v>39</v>
      </c>
      <c r="Y895" s="5">
        <v>1.8461538461538463</v>
      </c>
    </row>
    <row r="896" spans="1:25" x14ac:dyDescent="0.25">
      <c r="A896">
        <v>2020</v>
      </c>
      <c r="B896" t="s">
        <v>57</v>
      </c>
      <c r="C896">
        <v>6</v>
      </c>
      <c r="D896">
        <v>52</v>
      </c>
      <c r="E896" t="s">
        <v>16</v>
      </c>
      <c r="F896" t="s">
        <v>51</v>
      </c>
      <c r="G896">
        <f t="shared" si="13"/>
        <v>1</v>
      </c>
      <c r="H896">
        <v>10</v>
      </c>
      <c r="I896">
        <v>3</v>
      </c>
      <c r="J896">
        <v>0</v>
      </c>
      <c r="K896" s="6" t="s">
        <v>62</v>
      </c>
      <c r="L896" s="6" t="s">
        <v>78</v>
      </c>
      <c r="M896">
        <v>193</v>
      </c>
      <c r="N896" s="1">
        <v>0.46394230769230771</v>
      </c>
      <c r="O896">
        <v>57</v>
      </c>
      <c r="P896" s="1">
        <v>0.35403726708074534</v>
      </c>
      <c r="Q896" s="1">
        <v>0.65546218487394958</v>
      </c>
      <c r="R896">
        <v>521</v>
      </c>
      <c r="S896">
        <v>64</v>
      </c>
      <c r="T896">
        <v>186</v>
      </c>
      <c r="U896">
        <v>119</v>
      </c>
      <c r="V896">
        <v>32</v>
      </c>
      <c r="W896">
        <v>23</v>
      </c>
      <c r="X896">
        <v>65</v>
      </c>
      <c r="Y896" s="5">
        <v>1.8307692307692307</v>
      </c>
    </row>
    <row r="897" spans="1:25" x14ac:dyDescent="0.25">
      <c r="A897">
        <v>2020</v>
      </c>
      <c r="B897" t="s">
        <v>57</v>
      </c>
      <c r="C897">
        <v>6</v>
      </c>
      <c r="D897">
        <v>52</v>
      </c>
      <c r="E897" t="s">
        <v>20</v>
      </c>
      <c r="F897" t="s">
        <v>47</v>
      </c>
      <c r="G897">
        <f t="shared" si="13"/>
        <v>0</v>
      </c>
      <c r="H897">
        <v>3</v>
      </c>
      <c r="I897">
        <v>10</v>
      </c>
      <c r="J897">
        <v>0</v>
      </c>
      <c r="K897" s="6" t="s">
        <v>60</v>
      </c>
      <c r="L897" s="6" t="s">
        <v>75</v>
      </c>
      <c r="M897">
        <v>162</v>
      </c>
      <c r="N897" s="1">
        <v>0.50943396226415094</v>
      </c>
      <c r="O897">
        <v>38</v>
      </c>
      <c r="P897" s="1">
        <v>0.4175824175824176</v>
      </c>
      <c r="Q897" s="1">
        <v>0.62790697674418605</v>
      </c>
      <c r="R897">
        <v>416</v>
      </c>
      <c r="S897">
        <v>40</v>
      </c>
      <c r="T897">
        <v>121</v>
      </c>
      <c r="U897">
        <v>79</v>
      </c>
      <c r="V897">
        <v>26</v>
      </c>
      <c r="W897">
        <v>18</v>
      </c>
      <c r="X897">
        <v>57</v>
      </c>
      <c r="Y897" s="5">
        <v>1.3859649122807018</v>
      </c>
    </row>
    <row r="898" spans="1:25" x14ac:dyDescent="0.25">
      <c r="A898">
        <v>2020</v>
      </c>
      <c r="B898" t="s">
        <v>57</v>
      </c>
      <c r="C898">
        <v>6</v>
      </c>
      <c r="D898">
        <v>53</v>
      </c>
      <c r="E898" t="s">
        <v>22</v>
      </c>
      <c r="F898" t="s">
        <v>44</v>
      </c>
      <c r="G898">
        <f t="shared" ref="G898:G961" si="14">IF(H898+0.5*J898&gt;6.5,1,0)</f>
        <v>1</v>
      </c>
      <c r="H898">
        <v>10</v>
      </c>
      <c r="I898">
        <v>3</v>
      </c>
      <c r="J898">
        <v>0</v>
      </c>
      <c r="K898" s="6" t="s">
        <v>64</v>
      </c>
      <c r="L898" s="6" t="s">
        <v>80</v>
      </c>
      <c r="M898">
        <v>156</v>
      </c>
      <c r="N898" s="1">
        <v>0.44067796610169491</v>
      </c>
      <c r="O898">
        <v>52</v>
      </c>
      <c r="P898" s="1">
        <v>0.3611111111111111</v>
      </c>
      <c r="Q898" s="1">
        <v>0.84269662921348309</v>
      </c>
      <c r="R898">
        <v>439</v>
      </c>
      <c r="S898">
        <v>42</v>
      </c>
      <c r="T898">
        <v>131</v>
      </c>
      <c r="U898">
        <v>94</v>
      </c>
      <c r="V898">
        <v>22</v>
      </c>
      <c r="W898">
        <v>17</v>
      </c>
      <c r="X898">
        <v>54</v>
      </c>
      <c r="Y898" s="5">
        <v>1.7407407407407407</v>
      </c>
    </row>
    <row r="899" spans="1:25" x14ac:dyDescent="0.25">
      <c r="A899">
        <v>2020</v>
      </c>
      <c r="B899" t="s">
        <v>57</v>
      </c>
      <c r="C899">
        <v>6</v>
      </c>
      <c r="D899">
        <v>53</v>
      </c>
      <c r="E899" t="s">
        <v>28</v>
      </c>
      <c r="F899" t="s">
        <v>46</v>
      </c>
      <c r="G899">
        <f t="shared" si="14"/>
        <v>0</v>
      </c>
      <c r="H899">
        <v>3</v>
      </c>
      <c r="I899">
        <v>10</v>
      </c>
      <c r="J899">
        <v>0</v>
      </c>
      <c r="K899" s="6" t="s">
        <v>66</v>
      </c>
      <c r="L899" s="6" t="s">
        <v>81</v>
      </c>
      <c r="M899">
        <v>136</v>
      </c>
      <c r="N899" s="1">
        <v>0.43729903536977494</v>
      </c>
      <c r="O899">
        <v>49</v>
      </c>
      <c r="P899" s="1">
        <v>0.36296296296296299</v>
      </c>
      <c r="Q899" s="1">
        <v>0.79710144927536231</v>
      </c>
      <c r="R899">
        <v>376</v>
      </c>
      <c r="S899">
        <v>20</v>
      </c>
      <c r="T899">
        <v>132</v>
      </c>
      <c r="U899">
        <v>62</v>
      </c>
      <c r="V899">
        <v>20</v>
      </c>
      <c r="W899">
        <v>9</v>
      </c>
      <c r="X899">
        <v>48</v>
      </c>
      <c r="Y899" s="5">
        <v>1.2916666666666667</v>
      </c>
    </row>
    <row r="900" spans="1:25" x14ac:dyDescent="0.25">
      <c r="A900">
        <v>2020</v>
      </c>
      <c r="B900" t="s">
        <v>57</v>
      </c>
      <c r="C900">
        <v>6</v>
      </c>
      <c r="D900">
        <v>54</v>
      </c>
      <c r="E900" t="s">
        <v>17</v>
      </c>
      <c r="F900" t="s">
        <v>43</v>
      </c>
      <c r="G900">
        <f t="shared" si="14"/>
        <v>0</v>
      </c>
      <c r="H900">
        <v>4</v>
      </c>
      <c r="I900">
        <v>9</v>
      </c>
      <c r="J900">
        <v>0</v>
      </c>
      <c r="K900" s="6" t="s">
        <v>182</v>
      </c>
      <c r="L900" s="6" t="s">
        <v>76</v>
      </c>
      <c r="M900">
        <v>129</v>
      </c>
      <c r="N900" s="1">
        <v>0.39209726443769</v>
      </c>
      <c r="O900">
        <v>31</v>
      </c>
      <c r="P900" s="1">
        <v>0.23846153846153847</v>
      </c>
      <c r="Q900" s="1">
        <v>0.82407407407407407</v>
      </c>
      <c r="R900">
        <v>378</v>
      </c>
      <c r="S900">
        <v>45</v>
      </c>
      <c r="T900">
        <v>147</v>
      </c>
      <c r="U900">
        <v>69</v>
      </c>
      <c r="V900">
        <v>31</v>
      </c>
      <c r="W900">
        <v>23</v>
      </c>
      <c r="X900">
        <v>62</v>
      </c>
      <c r="Y900" s="5">
        <v>1.1129032258064515</v>
      </c>
    </row>
    <row r="901" spans="1:25" x14ac:dyDescent="0.25">
      <c r="A901">
        <v>2020</v>
      </c>
      <c r="B901" t="s">
        <v>57</v>
      </c>
      <c r="C901">
        <v>6</v>
      </c>
      <c r="D901">
        <v>54</v>
      </c>
      <c r="E901" t="s">
        <v>181</v>
      </c>
      <c r="F901" t="s">
        <v>49</v>
      </c>
      <c r="G901">
        <f t="shared" si="14"/>
        <v>1</v>
      </c>
      <c r="H901">
        <v>9</v>
      </c>
      <c r="I901">
        <v>4</v>
      </c>
      <c r="J901">
        <v>0</v>
      </c>
      <c r="K901" s="6" t="s">
        <v>63</v>
      </c>
      <c r="L901" s="6" t="s">
        <v>79</v>
      </c>
      <c r="M901">
        <v>187</v>
      </c>
      <c r="N901" s="1">
        <v>0.4605911330049261</v>
      </c>
      <c r="O901">
        <v>60</v>
      </c>
      <c r="P901" s="1">
        <v>0.40268456375838924</v>
      </c>
      <c r="Q901" s="1">
        <v>0.77011494252873558</v>
      </c>
      <c r="R901">
        <v>501</v>
      </c>
      <c r="S901">
        <v>41</v>
      </c>
      <c r="T901">
        <v>148</v>
      </c>
      <c r="U901">
        <v>108</v>
      </c>
      <c r="V901">
        <v>23</v>
      </c>
      <c r="W901">
        <v>13</v>
      </c>
      <c r="X901">
        <v>49</v>
      </c>
      <c r="Y901" s="5">
        <v>2.204081632653061</v>
      </c>
    </row>
    <row r="902" spans="1:25" x14ac:dyDescent="0.25">
      <c r="A902">
        <v>2020</v>
      </c>
      <c r="B902" t="s">
        <v>57</v>
      </c>
      <c r="C902">
        <v>6</v>
      </c>
      <c r="D902">
        <v>55</v>
      </c>
      <c r="E902" t="s">
        <v>21</v>
      </c>
      <c r="F902" t="s">
        <v>50</v>
      </c>
      <c r="G902">
        <f t="shared" si="14"/>
        <v>1</v>
      </c>
      <c r="H902">
        <v>8</v>
      </c>
      <c r="I902">
        <v>4</v>
      </c>
      <c r="J902">
        <v>1</v>
      </c>
      <c r="K902" s="6" t="s">
        <v>73</v>
      </c>
      <c r="L902" s="6" t="s">
        <v>74</v>
      </c>
      <c r="M902">
        <v>173</v>
      </c>
      <c r="N902" s="1">
        <v>0.46380697050938335</v>
      </c>
      <c r="O902">
        <v>29</v>
      </c>
      <c r="P902" s="1">
        <v>0.27884615384615385</v>
      </c>
      <c r="Q902" s="1">
        <v>0.7558139534883721</v>
      </c>
      <c r="R902">
        <v>440</v>
      </c>
      <c r="S902">
        <v>55</v>
      </c>
      <c r="T902">
        <v>145</v>
      </c>
      <c r="U902">
        <v>89</v>
      </c>
      <c r="V902">
        <v>32</v>
      </c>
      <c r="W902">
        <v>19</v>
      </c>
      <c r="X902">
        <v>47</v>
      </c>
      <c r="Y902" s="5">
        <v>1.8936170212765957</v>
      </c>
    </row>
    <row r="903" spans="1:25" x14ac:dyDescent="0.25">
      <c r="A903">
        <v>2020</v>
      </c>
      <c r="B903" t="s">
        <v>57</v>
      </c>
      <c r="C903">
        <v>6</v>
      </c>
      <c r="D903">
        <v>55</v>
      </c>
      <c r="E903" t="s">
        <v>35</v>
      </c>
      <c r="F903" t="s">
        <v>52</v>
      </c>
      <c r="G903">
        <f t="shared" si="14"/>
        <v>0</v>
      </c>
      <c r="H903">
        <v>4</v>
      </c>
      <c r="I903">
        <v>8</v>
      </c>
      <c r="J903">
        <v>1</v>
      </c>
      <c r="K903" s="6" t="s">
        <v>70</v>
      </c>
      <c r="L903" s="6" t="s">
        <v>87</v>
      </c>
      <c r="M903">
        <v>133</v>
      </c>
      <c r="N903" s="1">
        <v>0.43181818181818182</v>
      </c>
      <c r="O903">
        <v>47</v>
      </c>
      <c r="P903" s="1">
        <v>0.38524590163934425</v>
      </c>
      <c r="Q903" s="1">
        <v>0.71153846153846156</v>
      </c>
      <c r="R903">
        <v>350</v>
      </c>
      <c r="S903">
        <v>38</v>
      </c>
      <c r="T903">
        <v>97</v>
      </c>
      <c r="U903">
        <v>73</v>
      </c>
      <c r="V903">
        <v>18</v>
      </c>
      <c r="W903">
        <v>19</v>
      </c>
      <c r="X903">
        <v>36</v>
      </c>
      <c r="Y903" s="5">
        <v>2.0277777777777777</v>
      </c>
    </row>
    <row r="904" spans="1:25" x14ac:dyDescent="0.25">
      <c r="A904">
        <v>2020</v>
      </c>
      <c r="B904" t="s">
        <v>57</v>
      </c>
      <c r="C904">
        <v>6</v>
      </c>
      <c r="D904">
        <v>56</v>
      </c>
      <c r="E904" t="s">
        <v>159</v>
      </c>
      <c r="F904" t="s">
        <v>116</v>
      </c>
      <c r="G904">
        <f t="shared" si="14"/>
        <v>1</v>
      </c>
      <c r="H904">
        <v>7</v>
      </c>
      <c r="I904">
        <v>6</v>
      </c>
      <c r="J904">
        <v>0</v>
      </c>
      <c r="K904" s="6" t="s">
        <v>112</v>
      </c>
      <c r="L904" s="6" t="s">
        <v>88</v>
      </c>
      <c r="M904">
        <v>198</v>
      </c>
      <c r="N904" s="1">
        <v>0.44</v>
      </c>
      <c r="O904">
        <v>58</v>
      </c>
      <c r="P904" s="1">
        <v>0.35802469135802467</v>
      </c>
      <c r="Q904" s="1">
        <v>0.74015748031496065</v>
      </c>
      <c r="R904">
        <v>548</v>
      </c>
      <c r="S904">
        <v>67</v>
      </c>
      <c r="T904">
        <v>203</v>
      </c>
      <c r="U904">
        <v>97</v>
      </c>
      <c r="V904">
        <v>34</v>
      </c>
      <c r="W904">
        <v>25</v>
      </c>
      <c r="X904">
        <v>75</v>
      </c>
      <c r="Y904" s="5">
        <v>1.2933333333333332</v>
      </c>
    </row>
    <row r="905" spans="1:25" x14ac:dyDescent="0.25">
      <c r="A905">
        <v>2020</v>
      </c>
      <c r="B905" t="s">
        <v>57</v>
      </c>
      <c r="C905">
        <v>6</v>
      </c>
      <c r="D905">
        <v>56</v>
      </c>
      <c r="E905" t="s">
        <v>98</v>
      </c>
      <c r="F905" t="s">
        <v>41</v>
      </c>
      <c r="G905">
        <f t="shared" si="14"/>
        <v>0</v>
      </c>
      <c r="H905">
        <v>6</v>
      </c>
      <c r="I905">
        <v>7</v>
      </c>
      <c r="J905">
        <v>0</v>
      </c>
      <c r="K905" s="6" t="s">
        <v>193</v>
      </c>
      <c r="L905" s="6" t="s">
        <v>117</v>
      </c>
      <c r="M905">
        <v>171</v>
      </c>
      <c r="N905" s="1">
        <v>0.46091644204851751</v>
      </c>
      <c r="O905">
        <v>55</v>
      </c>
      <c r="P905" s="1">
        <v>0.38461538461538464</v>
      </c>
      <c r="Q905" s="1">
        <v>0.74489795918367352</v>
      </c>
      <c r="R905">
        <v>470</v>
      </c>
      <c r="S905">
        <v>24</v>
      </c>
      <c r="T905">
        <v>118</v>
      </c>
      <c r="U905">
        <v>133</v>
      </c>
      <c r="V905">
        <v>27</v>
      </c>
      <c r="W905">
        <v>18</v>
      </c>
      <c r="X905">
        <v>48</v>
      </c>
      <c r="Y905" s="5">
        <v>2.7708333333333335</v>
      </c>
    </row>
    <row r="906" spans="1:25" x14ac:dyDescent="0.25">
      <c r="A906">
        <v>2020</v>
      </c>
      <c r="B906" t="s">
        <v>57</v>
      </c>
      <c r="C906">
        <v>6</v>
      </c>
      <c r="D906">
        <v>57</v>
      </c>
      <c r="E906" t="s">
        <v>25</v>
      </c>
      <c r="F906" t="s">
        <v>53</v>
      </c>
      <c r="G906">
        <f t="shared" si="14"/>
        <v>0</v>
      </c>
      <c r="H906">
        <v>6</v>
      </c>
      <c r="I906">
        <v>7</v>
      </c>
      <c r="J906">
        <v>0</v>
      </c>
      <c r="K906" s="6" t="s">
        <v>61</v>
      </c>
      <c r="L906" s="6" t="s">
        <v>77</v>
      </c>
      <c r="M906">
        <v>140</v>
      </c>
      <c r="N906" s="1">
        <v>0.50724637681159424</v>
      </c>
      <c r="O906">
        <v>29</v>
      </c>
      <c r="P906" s="1">
        <v>0.453125</v>
      </c>
      <c r="Q906" s="1">
        <v>0.77215189873417722</v>
      </c>
      <c r="R906">
        <v>370</v>
      </c>
      <c r="S906">
        <v>38</v>
      </c>
      <c r="T906">
        <v>111</v>
      </c>
      <c r="U906">
        <v>88</v>
      </c>
      <c r="V906">
        <v>29</v>
      </c>
      <c r="W906">
        <v>11</v>
      </c>
      <c r="X906">
        <v>40</v>
      </c>
      <c r="Y906" s="5">
        <v>2.2000000000000002</v>
      </c>
    </row>
    <row r="907" spans="1:25" x14ac:dyDescent="0.25">
      <c r="A907">
        <v>2020</v>
      </c>
      <c r="B907" t="s">
        <v>57</v>
      </c>
      <c r="C907">
        <v>6</v>
      </c>
      <c r="D907">
        <v>57</v>
      </c>
      <c r="E907" t="s">
        <v>15</v>
      </c>
      <c r="F907" t="s">
        <v>48</v>
      </c>
      <c r="G907">
        <f t="shared" si="14"/>
        <v>1</v>
      </c>
      <c r="H907">
        <v>7</v>
      </c>
      <c r="I907">
        <v>6</v>
      </c>
      <c r="J907">
        <v>0</v>
      </c>
      <c r="K907" s="6" t="s">
        <v>68</v>
      </c>
      <c r="L907" s="6" t="s">
        <v>84</v>
      </c>
      <c r="M907">
        <v>167</v>
      </c>
      <c r="N907" s="1">
        <v>0.44063324538258575</v>
      </c>
      <c r="O907">
        <v>38</v>
      </c>
      <c r="P907" s="1">
        <v>0.3392857142857143</v>
      </c>
      <c r="Q907" s="1">
        <v>0.81914893617021278</v>
      </c>
      <c r="R907">
        <v>449</v>
      </c>
      <c r="S907">
        <v>34</v>
      </c>
      <c r="T907">
        <v>148</v>
      </c>
      <c r="U907">
        <v>97</v>
      </c>
      <c r="V907">
        <v>25</v>
      </c>
      <c r="W907">
        <v>23</v>
      </c>
      <c r="X907">
        <v>53</v>
      </c>
      <c r="Y907" s="5">
        <v>1.8301886792452831</v>
      </c>
    </row>
    <row r="908" spans="1:25" x14ac:dyDescent="0.25">
      <c r="A908">
        <v>2020</v>
      </c>
      <c r="B908" t="s">
        <v>57</v>
      </c>
      <c r="C908">
        <v>6</v>
      </c>
      <c r="D908">
        <v>58</v>
      </c>
      <c r="E908" t="s">
        <v>23</v>
      </c>
      <c r="F908" t="s">
        <v>120</v>
      </c>
      <c r="G908">
        <f t="shared" si="14"/>
        <v>0</v>
      </c>
      <c r="H908">
        <v>6</v>
      </c>
      <c r="I908">
        <v>6</v>
      </c>
      <c r="J908">
        <v>1</v>
      </c>
      <c r="K908" s="6" t="s">
        <v>111</v>
      </c>
      <c r="L908" s="6" t="s">
        <v>89</v>
      </c>
      <c r="M908">
        <v>191</v>
      </c>
      <c r="N908" s="1">
        <v>0.45584725536992843</v>
      </c>
      <c r="O908">
        <v>54</v>
      </c>
      <c r="P908" s="1">
        <v>0.35526315789473684</v>
      </c>
      <c r="Q908" s="1">
        <v>0.8125</v>
      </c>
      <c r="R908">
        <v>527</v>
      </c>
      <c r="S908">
        <v>41</v>
      </c>
      <c r="T908">
        <v>145</v>
      </c>
      <c r="U908">
        <v>105</v>
      </c>
      <c r="V908">
        <v>40</v>
      </c>
      <c r="W908">
        <v>32</v>
      </c>
      <c r="X908">
        <v>53</v>
      </c>
      <c r="Y908" s="5">
        <v>1.9811320754716981</v>
      </c>
    </row>
    <row r="909" spans="1:25" x14ac:dyDescent="0.25">
      <c r="A909">
        <v>2020</v>
      </c>
      <c r="B909" t="s">
        <v>57</v>
      </c>
      <c r="C909">
        <v>6</v>
      </c>
      <c r="D909">
        <v>58</v>
      </c>
      <c r="E909" t="s">
        <v>97</v>
      </c>
      <c r="F909" t="s">
        <v>54</v>
      </c>
      <c r="G909">
        <f t="shared" si="14"/>
        <v>0</v>
      </c>
      <c r="H909">
        <v>6</v>
      </c>
      <c r="I909">
        <v>6</v>
      </c>
      <c r="J909">
        <v>1</v>
      </c>
      <c r="K909" s="6" t="s">
        <v>71</v>
      </c>
      <c r="L909" s="6" t="s">
        <v>121</v>
      </c>
      <c r="M909">
        <v>221</v>
      </c>
      <c r="N909" s="1">
        <v>0.47323340471092079</v>
      </c>
      <c r="O909">
        <v>68</v>
      </c>
      <c r="P909" s="1">
        <v>0.37988826815642457</v>
      </c>
      <c r="Q909" s="1">
        <v>0.78888888888888886</v>
      </c>
      <c r="R909">
        <v>652</v>
      </c>
      <c r="S909">
        <v>41</v>
      </c>
      <c r="T909">
        <v>144</v>
      </c>
      <c r="U909">
        <v>133</v>
      </c>
      <c r="V909">
        <v>39</v>
      </c>
      <c r="W909">
        <v>23</v>
      </c>
      <c r="X909">
        <v>81</v>
      </c>
      <c r="Y909" s="5">
        <v>1.6419753086419753</v>
      </c>
    </row>
    <row r="910" spans="1:25" x14ac:dyDescent="0.25">
      <c r="A910">
        <v>2020</v>
      </c>
      <c r="B910" t="s">
        <v>57</v>
      </c>
      <c r="C910">
        <v>6</v>
      </c>
      <c r="D910">
        <v>59</v>
      </c>
      <c r="E910" t="s">
        <v>26</v>
      </c>
      <c r="F910" t="s">
        <v>118</v>
      </c>
      <c r="G910">
        <f t="shared" si="14"/>
        <v>0</v>
      </c>
      <c r="H910">
        <v>5</v>
      </c>
      <c r="I910">
        <v>8</v>
      </c>
      <c r="J910">
        <v>0</v>
      </c>
      <c r="K910" s="6" t="s">
        <v>104</v>
      </c>
      <c r="L910" s="6" t="s">
        <v>105</v>
      </c>
      <c r="M910">
        <v>181</v>
      </c>
      <c r="N910" s="1">
        <v>0.50138504155124652</v>
      </c>
      <c r="O910">
        <v>51</v>
      </c>
      <c r="P910" s="1">
        <v>0.40799999999999997</v>
      </c>
      <c r="Q910" s="1">
        <v>0.72448979591836737</v>
      </c>
      <c r="R910">
        <v>484</v>
      </c>
      <c r="S910">
        <v>32</v>
      </c>
      <c r="T910">
        <v>142</v>
      </c>
      <c r="U910">
        <v>162</v>
      </c>
      <c r="V910">
        <v>35</v>
      </c>
      <c r="W910">
        <v>20</v>
      </c>
      <c r="X910">
        <v>72</v>
      </c>
      <c r="Y910" s="5">
        <v>2.25</v>
      </c>
    </row>
    <row r="911" spans="1:25" x14ac:dyDescent="0.25">
      <c r="A911">
        <v>2020</v>
      </c>
      <c r="B911" t="s">
        <v>57</v>
      </c>
      <c r="C911">
        <v>6</v>
      </c>
      <c r="D911">
        <v>59</v>
      </c>
      <c r="E911" t="s">
        <v>93</v>
      </c>
      <c r="F911" t="s">
        <v>189</v>
      </c>
      <c r="G911">
        <f t="shared" si="14"/>
        <v>1</v>
      </c>
      <c r="H911">
        <v>8</v>
      </c>
      <c r="I911">
        <v>5</v>
      </c>
      <c r="J911">
        <v>0</v>
      </c>
      <c r="K911" s="6" t="s">
        <v>65</v>
      </c>
      <c r="L911" s="6" t="s">
        <v>119</v>
      </c>
      <c r="M911">
        <v>191</v>
      </c>
      <c r="N911" s="1">
        <v>0.47044334975369456</v>
      </c>
      <c r="O911">
        <v>62</v>
      </c>
      <c r="P911" s="1">
        <v>0.38509316770186336</v>
      </c>
      <c r="Q911" s="1">
        <v>0.84090909090909094</v>
      </c>
      <c r="R911">
        <v>518</v>
      </c>
      <c r="S911">
        <v>40</v>
      </c>
      <c r="T911">
        <v>143</v>
      </c>
      <c r="U911">
        <v>129</v>
      </c>
      <c r="V911">
        <v>30</v>
      </c>
      <c r="W911">
        <v>19</v>
      </c>
      <c r="X911">
        <v>53</v>
      </c>
      <c r="Y911" s="5">
        <v>2.4339622641509435</v>
      </c>
    </row>
    <row r="912" spans="1:25" x14ac:dyDescent="0.25">
      <c r="A912">
        <v>2020</v>
      </c>
      <c r="B912" t="s">
        <v>57</v>
      </c>
      <c r="C912">
        <v>6</v>
      </c>
      <c r="D912">
        <v>60</v>
      </c>
      <c r="E912" t="s">
        <v>33</v>
      </c>
      <c r="F912" t="s">
        <v>42</v>
      </c>
      <c r="G912">
        <f t="shared" si="14"/>
        <v>1</v>
      </c>
      <c r="H912">
        <v>7</v>
      </c>
      <c r="I912">
        <v>6</v>
      </c>
      <c r="J912">
        <v>0</v>
      </c>
      <c r="K912" s="6" t="s">
        <v>106</v>
      </c>
      <c r="L912" s="6" t="s">
        <v>83</v>
      </c>
      <c r="M912">
        <v>154</v>
      </c>
      <c r="N912" s="1">
        <v>0.51677852348993292</v>
      </c>
      <c r="O912">
        <v>31</v>
      </c>
      <c r="P912" s="1">
        <v>0.36904761904761907</v>
      </c>
      <c r="Q912" s="1">
        <v>0.75471698113207553</v>
      </c>
      <c r="R912">
        <v>419</v>
      </c>
      <c r="S912">
        <v>39</v>
      </c>
      <c r="T912">
        <v>150</v>
      </c>
      <c r="U912">
        <v>115</v>
      </c>
      <c r="V912">
        <v>39</v>
      </c>
      <c r="W912">
        <v>12</v>
      </c>
      <c r="X912">
        <v>58</v>
      </c>
      <c r="Y912" s="5">
        <v>1.9827586206896552</v>
      </c>
    </row>
    <row r="913" spans="1:25" x14ac:dyDescent="0.25">
      <c r="A913">
        <v>2020</v>
      </c>
      <c r="B913" t="s">
        <v>57</v>
      </c>
      <c r="C913">
        <v>6</v>
      </c>
      <c r="D913">
        <v>60</v>
      </c>
      <c r="E913" t="s">
        <v>94</v>
      </c>
      <c r="F913" t="s">
        <v>40</v>
      </c>
      <c r="G913">
        <f t="shared" si="14"/>
        <v>0</v>
      </c>
      <c r="H913">
        <v>6</v>
      </c>
      <c r="I913">
        <v>7</v>
      </c>
      <c r="J913">
        <v>0</v>
      </c>
      <c r="K913" s="6" t="s">
        <v>72</v>
      </c>
      <c r="L913" s="6" t="s">
        <v>85</v>
      </c>
      <c r="M913">
        <v>157</v>
      </c>
      <c r="N913" s="1">
        <v>0.41315789473684211</v>
      </c>
      <c r="O913">
        <v>59</v>
      </c>
      <c r="P913" s="1">
        <v>0.3597560975609756</v>
      </c>
      <c r="Q913" s="1">
        <v>0.86792452830188682</v>
      </c>
      <c r="R913">
        <v>465</v>
      </c>
      <c r="S913">
        <v>34</v>
      </c>
      <c r="T913">
        <v>131</v>
      </c>
      <c r="U913">
        <v>128</v>
      </c>
      <c r="V913">
        <v>27</v>
      </c>
      <c r="W913">
        <v>21</v>
      </c>
      <c r="X913">
        <v>75</v>
      </c>
      <c r="Y913" s="5">
        <v>1.7066666666666668</v>
      </c>
    </row>
    <row r="914" spans="1:25" x14ac:dyDescent="0.25">
      <c r="A914">
        <v>2020</v>
      </c>
      <c r="B914" t="s">
        <v>57</v>
      </c>
      <c r="C914">
        <v>7</v>
      </c>
      <c r="D914">
        <v>61</v>
      </c>
      <c r="E914" t="s">
        <v>98</v>
      </c>
      <c r="F914" t="s">
        <v>41</v>
      </c>
      <c r="G914">
        <f t="shared" si="14"/>
        <v>0</v>
      </c>
      <c r="H914">
        <v>6</v>
      </c>
      <c r="I914">
        <v>6</v>
      </c>
      <c r="J914">
        <v>1</v>
      </c>
      <c r="K914" s="6" t="s">
        <v>191</v>
      </c>
      <c r="L914" s="6" t="s">
        <v>113</v>
      </c>
      <c r="M914">
        <v>141</v>
      </c>
      <c r="N914" s="1">
        <v>0.45192307692307693</v>
      </c>
      <c r="O914">
        <v>43</v>
      </c>
      <c r="P914" s="1">
        <v>0.36440677966101692</v>
      </c>
      <c r="Q914" s="1">
        <v>0.81308411214953269</v>
      </c>
      <c r="R914">
        <v>412</v>
      </c>
      <c r="S914">
        <v>26</v>
      </c>
      <c r="T914">
        <v>123</v>
      </c>
      <c r="U914">
        <v>98</v>
      </c>
      <c r="V914">
        <v>40</v>
      </c>
      <c r="W914">
        <v>15</v>
      </c>
      <c r="X914">
        <v>53</v>
      </c>
      <c r="Y914" s="5">
        <v>1.8490566037735849</v>
      </c>
    </row>
    <row r="915" spans="1:25" x14ac:dyDescent="0.25">
      <c r="A915">
        <v>2020</v>
      </c>
      <c r="B915" t="s">
        <v>57</v>
      </c>
      <c r="C915">
        <v>7</v>
      </c>
      <c r="D915">
        <v>61</v>
      </c>
      <c r="E915" t="s">
        <v>190</v>
      </c>
      <c r="F915" t="s">
        <v>103</v>
      </c>
      <c r="G915">
        <f t="shared" si="14"/>
        <v>0</v>
      </c>
      <c r="H915">
        <v>6</v>
      </c>
      <c r="I915">
        <v>6</v>
      </c>
      <c r="J915">
        <v>1</v>
      </c>
      <c r="K915" s="6" t="s">
        <v>112</v>
      </c>
      <c r="L915" s="6" t="s">
        <v>88</v>
      </c>
      <c r="M915">
        <v>175</v>
      </c>
      <c r="N915" s="1">
        <v>0.4475703324808184</v>
      </c>
      <c r="O915">
        <v>43</v>
      </c>
      <c r="P915" s="1">
        <v>0.3282442748091603</v>
      </c>
      <c r="Q915" s="1">
        <v>0.76190476190476186</v>
      </c>
      <c r="R915">
        <v>457</v>
      </c>
      <c r="S915">
        <v>31</v>
      </c>
      <c r="T915">
        <v>105</v>
      </c>
      <c r="U915">
        <v>113</v>
      </c>
      <c r="V915">
        <v>30</v>
      </c>
      <c r="W915">
        <v>20</v>
      </c>
      <c r="X915">
        <v>59</v>
      </c>
      <c r="Y915" s="5">
        <v>1.9152542372881356</v>
      </c>
    </row>
    <row r="916" spans="1:25" x14ac:dyDescent="0.25">
      <c r="A916">
        <v>2020</v>
      </c>
      <c r="B916" t="s">
        <v>57</v>
      </c>
      <c r="C916">
        <v>7</v>
      </c>
      <c r="D916">
        <v>62</v>
      </c>
      <c r="E916" t="s">
        <v>15</v>
      </c>
      <c r="F916" t="s">
        <v>48</v>
      </c>
      <c r="G916">
        <f t="shared" si="14"/>
        <v>0</v>
      </c>
      <c r="H916">
        <v>5</v>
      </c>
      <c r="I916">
        <v>8</v>
      </c>
      <c r="J916">
        <v>0</v>
      </c>
      <c r="K916" s="6" t="s">
        <v>62</v>
      </c>
      <c r="L916" s="6" t="s">
        <v>78</v>
      </c>
      <c r="M916">
        <v>135</v>
      </c>
      <c r="N916" s="1">
        <v>0.45302013422818793</v>
      </c>
      <c r="O916">
        <v>21</v>
      </c>
      <c r="P916" s="1">
        <v>0.2413793103448276</v>
      </c>
      <c r="Q916" s="1">
        <v>0.74226804123711343</v>
      </c>
      <c r="R916">
        <v>363</v>
      </c>
      <c r="S916">
        <v>39</v>
      </c>
      <c r="T916">
        <v>106</v>
      </c>
      <c r="U916">
        <v>86</v>
      </c>
      <c r="V916">
        <v>29</v>
      </c>
      <c r="W916">
        <v>18</v>
      </c>
      <c r="X916">
        <v>47</v>
      </c>
      <c r="Y916" s="5">
        <v>1.8297872340425532</v>
      </c>
    </row>
    <row r="917" spans="1:25" x14ac:dyDescent="0.25">
      <c r="A917">
        <v>2020</v>
      </c>
      <c r="B917" t="s">
        <v>57</v>
      </c>
      <c r="C917">
        <v>7</v>
      </c>
      <c r="D917">
        <v>62</v>
      </c>
      <c r="E917" t="s">
        <v>20</v>
      </c>
      <c r="F917" t="s">
        <v>47</v>
      </c>
      <c r="G917">
        <f t="shared" si="14"/>
        <v>1</v>
      </c>
      <c r="H917">
        <v>8</v>
      </c>
      <c r="I917">
        <v>5</v>
      </c>
      <c r="J917">
        <v>0</v>
      </c>
      <c r="K917" s="6" t="s">
        <v>61</v>
      </c>
      <c r="L917" s="6" t="s">
        <v>77</v>
      </c>
      <c r="M917">
        <v>147</v>
      </c>
      <c r="N917" s="1">
        <v>0.4637223974763407</v>
      </c>
      <c r="O917">
        <v>37</v>
      </c>
      <c r="P917" s="1">
        <v>0.39784946236559138</v>
      </c>
      <c r="Q917" s="1">
        <v>0.77142857142857146</v>
      </c>
      <c r="R917">
        <v>385</v>
      </c>
      <c r="S917">
        <v>27</v>
      </c>
      <c r="T917">
        <v>103</v>
      </c>
      <c r="U917">
        <v>83</v>
      </c>
      <c r="V917">
        <v>18</v>
      </c>
      <c r="W917">
        <v>17</v>
      </c>
      <c r="X917">
        <v>38</v>
      </c>
      <c r="Y917" s="5">
        <v>2.1842105263157894</v>
      </c>
    </row>
    <row r="918" spans="1:25" x14ac:dyDescent="0.25">
      <c r="A918">
        <v>2020</v>
      </c>
      <c r="B918" t="s">
        <v>57</v>
      </c>
      <c r="C918">
        <v>7</v>
      </c>
      <c r="D918">
        <v>63</v>
      </c>
      <c r="E918" t="s">
        <v>16</v>
      </c>
      <c r="F918" t="s">
        <v>51</v>
      </c>
      <c r="G918">
        <f t="shared" si="14"/>
        <v>1</v>
      </c>
      <c r="H918">
        <v>13</v>
      </c>
      <c r="I918">
        <v>0</v>
      </c>
      <c r="J918">
        <v>0</v>
      </c>
      <c r="K918" s="6" t="s">
        <v>182</v>
      </c>
      <c r="L918" s="6" t="s">
        <v>76</v>
      </c>
      <c r="M918">
        <v>190</v>
      </c>
      <c r="N918" s="1">
        <v>0.48969072164948452</v>
      </c>
      <c r="O918">
        <v>55</v>
      </c>
      <c r="P918" s="1">
        <v>0.38732394366197181</v>
      </c>
      <c r="Q918" s="1">
        <v>0.75229357798165142</v>
      </c>
      <c r="R918">
        <v>517</v>
      </c>
      <c r="S918">
        <v>50</v>
      </c>
      <c r="T918">
        <v>171</v>
      </c>
      <c r="U918">
        <v>107</v>
      </c>
      <c r="V918">
        <v>42</v>
      </c>
      <c r="W918">
        <v>28</v>
      </c>
      <c r="X918">
        <v>38</v>
      </c>
      <c r="Y918" s="5">
        <v>2.8157894736842106</v>
      </c>
    </row>
    <row r="919" spans="1:25" x14ac:dyDescent="0.25">
      <c r="A919">
        <v>2020</v>
      </c>
      <c r="B919" t="s">
        <v>57</v>
      </c>
      <c r="C919">
        <v>7</v>
      </c>
      <c r="D919">
        <v>63</v>
      </c>
      <c r="E919" t="s">
        <v>181</v>
      </c>
      <c r="F919" t="s">
        <v>49</v>
      </c>
      <c r="G919">
        <f t="shared" si="14"/>
        <v>0</v>
      </c>
      <c r="H919">
        <v>0</v>
      </c>
      <c r="I919">
        <v>13</v>
      </c>
      <c r="J919">
        <v>0</v>
      </c>
      <c r="K919" s="6" t="s">
        <v>60</v>
      </c>
      <c r="L919" s="6" t="s">
        <v>75</v>
      </c>
      <c r="M919">
        <v>135</v>
      </c>
      <c r="N919" s="1">
        <v>0.4804270462633452</v>
      </c>
      <c r="O919">
        <v>29</v>
      </c>
      <c r="P919" s="1">
        <v>0.32222222222222224</v>
      </c>
      <c r="Q919" s="1">
        <v>0.71604938271604934</v>
      </c>
      <c r="R919">
        <v>357</v>
      </c>
      <c r="S919">
        <v>45</v>
      </c>
      <c r="T919">
        <v>99</v>
      </c>
      <c r="U919">
        <v>67</v>
      </c>
      <c r="V919">
        <v>15</v>
      </c>
      <c r="W919">
        <v>17</v>
      </c>
      <c r="X919">
        <v>44</v>
      </c>
      <c r="Y919" s="5">
        <v>1.5227272727272727</v>
      </c>
    </row>
    <row r="920" spans="1:25" x14ac:dyDescent="0.25">
      <c r="A920">
        <v>2020</v>
      </c>
      <c r="B920" t="s">
        <v>57</v>
      </c>
      <c r="C920">
        <v>7</v>
      </c>
      <c r="D920">
        <v>64</v>
      </c>
      <c r="E920" t="s">
        <v>28</v>
      </c>
      <c r="F920" t="s">
        <v>46</v>
      </c>
      <c r="G920">
        <f t="shared" si="14"/>
        <v>1</v>
      </c>
      <c r="H920">
        <v>10</v>
      </c>
      <c r="I920">
        <v>3</v>
      </c>
      <c r="J920">
        <v>0</v>
      </c>
      <c r="K920" s="6" t="s">
        <v>73</v>
      </c>
      <c r="L920" s="6" t="s">
        <v>74</v>
      </c>
      <c r="M920">
        <v>220</v>
      </c>
      <c r="N920" s="1">
        <v>0.44624746450304259</v>
      </c>
      <c r="O920">
        <v>68</v>
      </c>
      <c r="P920" s="1">
        <v>0.34343434343434343</v>
      </c>
      <c r="Q920" s="1">
        <v>0.82075471698113212</v>
      </c>
      <c r="R920">
        <v>595</v>
      </c>
      <c r="S920">
        <v>57</v>
      </c>
      <c r="T920">
        <v>175</v>
      </c>
      <c r="U920">
        <v>107</v>
      </c>
      <c r="V920">
        <v>34</v>
      </c>
      <c r="W920">
        <v>23</v>
      </c>
      <c r="X920">
        <v>68</v>
      </c>
      <c r="Y920" s="5">
        <v>1.5735294117647058</v>
      </c>
    </row>
    <row r="921" spans="1:25" x14ac:dyDescent="0.25">
      <c r="A921">
        <v>2020</v>
      </c>
      <c r="B921" t="s">
        <v>57</v>
      </c>
      <c r="C921">
        <v>7</v>
      </c>
      <c r="D921">
        <v>64</v>
      </c>
      <c r="E921" t="s">
        <v>35</v>
      </c>
      <c r="F921" t="s">
        <v>52</v>
      </c>
      <c r="G921">
        <f t="shared" si="14"/>
        <v>0</v>
      </c>
      <c r="H921">
        <v>3</v>
      </c>
      <c r="I921">
        <v>10</v>
      </c>
      <c r="J921">
        <v>0</v>
      </c>
      <c r="K921" s="6" t="s">
        <v>64</v>
      </c>
      <c r="L921" s="6" t="s">
        <v>80</v>
      </c>
      <c r="M921">
        <v>129</v>
      </c>
      <c r="N921" s="1">
        <v>0.45583038869257952</v>
      </c>
      <c r="O921">
        <v>45</v>
      </c>
      <c r="P921" s="1">
        <v>0.37190082644628097</v>
      </c>
      <c r="Q921" s="1">
        <v>0.71794871794871795</v>
      </c>
      <c r="R921">
        <v>331</v>
      </c>
      <c r="S921">
        <v>30</v>
      </c>
      <c r="T921">
        <v>108</v>
      </c>
      <c r="U921">
        <v>57</v>
      </c>
      <c r="V921">
        <v>21</v>
      </c>
      <c r="W921">
        <v>20</v>
      </c>
      <c r="X921">
        <v>39</v>
      </c>
      <c r="Y921" s="5">
        <v>1.4615384615384615</v>
      </c>
    </row>
    <row r="922" spans="1:25" x14ac:dyDescent="0.25">
      <c r="A922">
        <v>2020</v>
      </c>
      <c r="B922" t="s">
        <v>57</v>
      </c>
      <c r="C922">
        <v>7</v>
      </c>
      <c r="D922">
        <v>65</v>
      </c>
      <c r="E922" t="s">
        <v>26</v>
      </c>
      <c r="F922" t="s">
        <v>118</v>
      </c>
      <c r="G922">
        <f t="shared" si="14"/>
        <v>1</v>
      </c>
      <c r="H922">
        <v>10</v>
      </c>
      <c r="I922">
        <v>3</v>
      </c>
      <c r="J922">
        <v>0</v>
      </c>
      <c r="K922" s="6" t="s">
        <v>68</v>
      </c>
      <c r="L922" s="6" t="s">
        <v>84</v>
      </c>
      <c r="M922">
        <v>144</v>
      </c>
      <c r="N922" s="1">
        <v>0.50526315789473686</v>
      </c>
      <c r="O922">
        <v>44</v>
      </c>
      <c r="P922" s="1">
        <v>0.41904761904761906</v>
      </c>
      <c r="Q922" s="1">
        <v>0.7142857142857143</v>
      </c>
      <c r="R922">
        <v>377</v>
      </c>
      <c r="S922">
        <v>29</v>
      </c>
      <c r="T922">
        <v>122</v>
      </c>
      <c r="U922">
        <v>113</v>
      </c>
      <c r="V922">
        <v>25</v>
      </c>
      <c r="W922">
        <v>13</v>
      </c>
      <c r="X922">
        <v>47</v>
      </c>
      <c r="Y922" s="5">
        <v>2.4042553191489362</v>
      </c>
    </row>
    <row r="923" spans="1:25" x14ac:dyDescent="0.25">
      <c r="A923">
        <v>2020</v>
      </c>
      <c r="B923" t="s">
        <v>57</v>
      </c>
      <c r="C923">
        <v>7</v>
      </c>
      <c r="D923">
        <v>65</v>
      </c>
      <c r="E923" t="s">
        <v>25</v>
      </c>
      <c r="F923" t="s">
        <v>53</v>
      </c>
      <c r="G923">
        <f t="shared" si="14"/>
        <v>0</v>
      </c>
      <c r="H923">
        <v>3</v>
      </c>
      <c r="I923">
        <v>10</v>
      </c>
      <c r="J923">
        <v>0</v>
      </c>
      <c r="K923" s="6" t="s">
        <v>65</v>
      </c>
      <c r="L923" s="6" t="s">
        <v>119</v>
      </c>
      <c r="M923">
        <v>88</v>
      </c>
      <c r="N923" s="1">
        <v>0.38766519823788548</v>
      </c>
      <c r="O923">
        <v>28</v>
      </c>
      <c r="P923" s="1">
        <v>0.3783783783783784</v>
      </c>
      <c r="Q923" s="1">
        <v>0.77083333333333337</v>
      </c>
      <c r="R923">
        <v>241</v>
      </c>
      <c r="S923">
        <v>31</v>
      </c>
      <c r="T923">
        <v>109</v>
      </c>
      <c r="U923">
        <v>102</v>
      </c>
      <c r="V923">
        <v>24</v>
      </c>
      <c r="W923">
        <v>17</v>
      </c>
      <c r="X923">
        <v>49</v>
      </c>
      <c r="Y923" s="5">
        <v>2.0816326530612246</v>
      </c>
    </row>
    <row r="924" spans="1:25" x14ac:dyDescent="0.25">
      <c r="A924">
        <v>2020</v>
      </c>
      <c r="B924" t="s">
        <v>57</v>
      </c>
      <c r="C924">
        <v>7</v>
      </c>
      <c r="D924">
        <v>66</v>
      </c>
      <c r="E924" t="s">
        <v>22</v>
      </c>
      <c r="F924" t="s">
        <v>44</v>
      </c>
      <c r="G924">
        <f t="shared" si="14"/>
        <v>0</v>
      </c>
      <c r="H924">
        <v>6</v>
      </c>
      <c r="I924">
        <v>6</v>
      </c>
      <c r="J924">
        <v>1</v>
      </c>
      <c r="K924" s="6" t="s">
        <v>193</v>
      </c>
      <c r="L924" s="6" t="s">
        <v>117</v>
      </c>
      <c r="M924">
        <v>162</v>
      </c>
      <c r="N924" s="1">
        <v>0.45125348189415043</v>
      </c>
      <c r="O924">
        <v>55</v>
      </c>
      <c r="P924" s="1">
        <v>0.36912751677852351</v>
      </c>
      <c r="Q924" s="1">
        <v>0.81521739130434778</v>
      </c>
      <c r="R924">
        <v>454</v>
      </c>
      <c r="S924">
        <v>35</v>
      </c>
      <c r="T924">
        <v>130</v>
      </c>
      <c r="U924">
        <v>65</v>
      </c>
      <c r="V924">
        <v>46</v>
      </c>
      <c r="W924">
        <v>20</v>
      </c>
      <c r="X924">
        <v>59</v>
      </c>
      <c r="Y924" s="5">
        <v>1.1016949152542372</v>
      </c>
    </row>
    <row r="925" spans="1:25" x14ac:dyDescent="0.25">
      <c r="A925">
        <v>2020</v>
      </c>
      <c r="B925" t="s">
        <v>57</v>
      </c>
      <c r="C925">
        <v>7</v>
      </c>
      <c r="D925">
        <v>66</v>
      </c>
      <c r="E925" t="s">
        <v>159</v>
      </c>
      <c r="F925" t="s">
        <v>116</v>
      </c>
      <c r="G925">
        <f t="shared" si="14"/>
        <v>0</v>
      </c>
      <c r="H925">
        <v>6</v>
      </c>
      <c r="I925">
        <v>6</v>
      </c>
      <c r="J925">
        <v>1</v>
      </c>
      <c r="K925" s="6" t="s">
        <v>66</v>
      </c>
      <c r="L925" s="6" t="s">
        <v>81</v>
      </c>
      <c r="M925">
        <v>170</v>
      </c>
      <c r="N925" s="1">
        <v>0.44973544973544971</v>
      </c>
      <c r="O925">
        <v>41</v>
      </c>
      <c r="P925" s="1">
        <v>0.30597014925373134</v>
      </c>
      <c r="Q925" s="1">
        <v>0.77419354838709675</v>
      </c>
      <c r="R925">
        <v>453</v>
      </c>
      <c r="S925">
        <v>44</v>
      </c>
      <c r="T925">
        <v>139</v>
      </c>
      <c r="U925">
        <v>76</v>
      </c>
      <c r="V925">
        <v>21</v>
      </c>
      <c r="W925">
        <v>20</v>
      </c>
      <c r="X925">
        <v>54</v>
      </c>
      <c r="Y925" s="5">
        <v>1.4074074074074074</v>
      </c>
    </row>
    <row r="926" spans="1:25" x14ac:dyDescent="0.25">
      <c r="A926">
        <v>2020</v>
      </c>
      <c r="B926" t="s">
        <v>57</v>
      </c>
      <c r="C926">
        <v>7</v>
      </c>
      <c r="D926">
        <v>67</v>
      </c>
      <c r="E926" t="s">
        <v>17</v>
      </c>
      <c r="F926" t="s">
        <v>43</v>
      </c>
      <c r="G926">
        <f t="shared" si="14"/>
        <v>0</v>
      </c>
      <c r="H926">
        <v>4</v>
      </c>
      <c r="I926">
        <v>9</v>
      </c>
      <c r="J926">
        <v>0</v>
      </c>
      <c r="K926" s="6" t="s">
        <v>70</v>
      </c>
      <c r="L926" s="6" t="s">
        <v>87</v>
      </c>
      <c r="M926">
        <v>110</v>
      </c>
      <c r="N926" s="1">
        <v>0.44176706827309237</v>
      </c>
      <c r="O926">
        <v>35</v>
      </c>
      <c r="P926" s="1">
        <v>0.37234042553191488</v>
      </c>
      <c r="Q926" s="1">
        <v>0.79347826086956519</v>
      </c>
      <c r="R926">
        <v>328</v>
      </c>
      <c r="S926">
        <v>30</v>
      </c>
      <c r="T926">
        <v>120</v>
      </c>
      <c r="U926">
        <v>87</v>
      </c>
      <c r="V926">
        <v>28</v>
      </c>
      <c r="W926">
        <v>19</v>
      </c>
      <c r="X926">
        <v>53</v>
      </c>
      <c r="Y926" s="5">
        <v>1.6415094339622642</v>
      </c>
    </row>
    <row r="927" spans="1:25" x14ac:dyDescent="0.25">
      <c r="A927">
        <v>2020</v>
      </c>
      <c r="B927" t="s">
        <v>57</v>
      </c>
      <c r="C927">
        <v>7</v>
      </c>
      <c r="D927">
        <v>67</v>
      </c>
      <c r="E927" t="s">
        <v>21</v>
      </c>
      <c r="F927" t="s">
        <v>50</v>
      </c>
      <c r="G927">
        <f t="shared" si="14"/>
        <v>1</v>
      </c>
      <c r="H927">
        <v>9</v>
      </c>
      <c r="I927">
        <v>4</v>
      </c>
      <c r="J927">
        <v>0</v>
      </c>
      <c r="K927" s="6" t="s">
        <v>63</v>
      </c>
      <c r="L927" s="6" t="s">
        <v>79</v>
      </c>
      <c r="M927">
        <v>185</v>
      </c>
      <c r="N927" s="1">
        <v>0.46835443037974683</v>
      </c>
      <c r="O927">
        <v>53</v>
      </c>
      <c r="P927" s="1">
        <v>0.35570469798657717</v>
      </c>
      <c r="Q927" s="1">
        <v>0.80188679245283023</v>
      </c>
      <c r="R927">
        <v>508</v>
      </c>
      <c r="S927">
        <v>55</v>
      </c>
      <c r="T927">
        <v>128</v>
      </c>
      <c r="U927">
        <v>104</v>
      </c>
      <c r="V927">
        <v>27</v>
      </c>
      <c r="W927">
        <v>24</v>
      </c>
      <c r="X927">
        <v>68</v>
      </c>
      <c r="Y927" s="5">
        <v>1.5294117647058822</v>
      </c>
    </row>
    <row r="928" spans="1:25" x14ac:dyDescent="0.25">
      <c r="A928">
        <v>2020</v>
      </c>
      <c r="B928" t="s">
        <v>57</v>
      </c>
      <c r="C928">
        <v>7</v>
      </c>
      <c r="D928">
        <v>68</v>
      </c>
      <c r="E928" t="s">
        <v>23</v>
      </c>
      <c r="F928" t="s">
        <v>120</v>
      </c>
      <c r="G928">
        <f t="shared" si="14"/>
        <v>1</v>
      </c>
      <c r="H928">
        <v>8</v>
      </c>
      <c r="I928">
        <v>5</v>
      </c>
      <c r="J928">
        <v>0</v>
      </c>
      <c r="K928" s="6" t="s">
        <v>106</v>
      </c>
      <c r="L928" s="6" t="s">
        <v>83</v>
      </c>
      <c r="M928">
        <v>188</v>
      </c>
      <c r="N928" s="1">
        <v>0.46534653465346537</v>
      </c>
      <c r="O928">
        <v>53</v>
      </c>
      <c r="P928" s="1">
        <v>0.34640522875816993</v>
      </c>
      <c r="Q928" s="1">
        <v>0.85906040268456374</v>
      </c>
      <c r="R928">
        <v>557</v>
      </c>
      <c r="S928">
        <v>35</v>
      </c>
      <c r="T928">
        <v>136</v>
      </c>
      <c r="U928">
        <v>98</v>
      </c>
      <c r="V928">
        <v>46</v>
      </c>
      <c r="W928">
        <v>26</v>
      </c>
      <c r="X928">
        <v>52</v>
      </c>
      <c r="Y928" s="5">
        <v>1.8846153846153846</v>
      </c>
    </row>
    <row r="929" spans="1:25" x14ac:dyDescent="0.25">
      <c r="A929">
        <v>2020</v>
      </c>
      <c r="B929" t="s">
        <v>57</v>
      </c>
      <c r="C929">
        <v>7</v>
      </c>
      <c r="D929">
        <v>68</v>
      </c>
      <c r="E929" t="s">
        <v>94</v>
      </c>
      <c r="F929" t="s">
        <v>40</v>
      </c>
      <c r="G929">
        <f t="shared" si="14"/>
        <v>0</v>
      </c>
      <c r="H929">
        <v>5</v>
      </c>
      <c r="I929">
        <v>8</v>
      </c>
      <c r="J929">
        <v>0</v>
      </c>
      <c r="K929" s="6" t="s">
        <v>71</v>
      </c>
      <c r="L929" s="6" t="s">
        <v>121</v>
      </c>
      <c r="M929">
        <v>178</v>
      </c>
      <c r="N929" s="1">
        <v>0.49307479224376732</v>
      </c>
      <c r="O929">
        <v>58</v>
      </c>
      <c r="P929" s="1">
        <v>0.43609022556390975</v>
      </c>
      <c r="Q929" s="1">
        <v>0.8</v>
      </c>
      <c r="R929">
        <v>454</v>
      </c>
      <c r="S929">
        <v>39</v>
      </c>
      <c r="T929">
        <v>114</v>
      </c>
      <c r="U929">
        <v>103</v>
      </c>
      <c r="V929">
        <v>24</v>
      </c>
      <c r="W929">
        <v>23</v>
      </c>
      <c r="X929">
        <v>64</v>
      </c>
      <c r="Y929" s="5">
        <v>1.609375</v>
      </c>
    </row>
    <row r="930" spans="1:25" x14ac:dyDescent="0.25">
      <c r="A930">
        <v>2020</v>
      </c>
      <c r="B930" t="s">
        <v>57</v>
      </c>
      <c r="C930">
        <v>7</v>
      </c>
      <c r="D930">
        <v>69</v>
      </c>
      <c r="E930" t="s">
        <v>93</v>
      </c>
      <c r="F930" t="s">
        <v>189</v>
      </c>
      <c r="G930">
        <f t="shared" si="14"/>
        <v>1</v>
      </c>
      <c r="H930">
        <v>11</v>
      </c>
      <c r="I930">
        <v>2</v>
      </c>
      <c r="J930">
        <v>0</v>
      </c>
      <c r="K930" s="6" t="s">
        <v>111</v>
      </c>
      <c r="L930" s="6" t="s">
        <v>89</v>
      </c>
      <c r="M930">
        <v>211</v>
      </c>
      <c r="N930" s="1">
        <v>0.47309417040358742</v>
      </c>
      <c r="O930">
        <v>70</v>
      </c>
      <c r="P930" s="1">
        <v>0.40697674418604651</v>
      </c>
      <c r="Q930" s="1">
        <v>0.83333333333333337</v>
      </c>
      <c r="R930">
        <v>597</v>
      </c>
      <c r="S930">
        <v>57</v>
      </c>
      <c r="T930">
        <v>130</v>
      </c>
      <c r="U930">
        <v>134</v>
      </c>
      <c r="V930">
        <v>31</v>
      </c>
      <c r="W930">
        <v>11</v>
      </c>
      <c r="X930">
        <v>58</v>
      </c>
      <c r="Y930" s="5">
        <v>2.3103448275862069</v>
      </c>
    </row>
    <row r="931" spans="1:25" x14ac:dyDescent="0.25">
      <c r="A931">
        <v>2020</v>
      </c>
      <c r="B931" t="s">
        <v>57</v>
      </c>
      <c r="C931">
        <v>7</v>
      </c>
      <c r="D931">
        <v>69</v>
      </c>
      <c r="E931" t="s">
        <v>97</v>
      </c>
      <c r="F931" t="s">
        <v>54</v>
      </c>
      <c r="G931">
        <f t="shared" si="14"/>
        <v>0</v>
      </c>
      <c r="H931">
        <v>2</v>
      </c>
      <c r="I931">
        <v>11</v>
      </c>
      <c r="J931">
        <v>0</v>
      </c>
      <c r="K931" s="6" t="s">
        <v>104</v>
      </c>
      <c r="L931" s="6" t="s">
        <v>105</v>
      </c>
      <c r="M931">
        <v>183</v>
      </c>
      <c r="N931" s="1">
        <v>0.46446700507614214</v>
      </c>
      <c r="O931">
        <v>40</v>
      </c>
      <c r="P931" s="1">
        <v>0.31496062992125984</v>
      </c>
      <c r="Q931" s="1">
        <v>0.79591836734693877</v>
      </c>
      <c r="R931">
        <v>523</v>
      </c>
      <c r="S931">
        <v>46</v>
      </c>
      <c r="T931">
        <v>149</v>
      </c>
      <c r="U931">
        <v>107</v>
      </c>
      <c r="V931">
        <v>23</v>
      </c>
      <c r="W931">
        <v>15</v>
      </c>
      <c r="X931">
        <v>76</v>
      </c>
      <c r="Y931" s="5">
        <v>1.4078947368421053</v>
      </c>
    </row>
    <row r="932" spans="1:25" x14ac:dyDescent="0.25">
      <c r="A932">
        <v>2020</v>
      </c>
      <c r="B932" t="s">
        <v>57</v>
      </c>
      <c r="C932">
        <v>7</v>
      </c>
      <c r="D932">
        <v>70</v>
      </c>
      <c r="E932" t="s">
        <v>33</v>
      </c>
      <c r="F932" t="s">
        <v>42</v>
      </c>
      <c r="G932">
        <f t="shared" si="14"/>
        <v>0</v>
      </c>
      <c r="H932">
        <v>5</v>
      </c>
      <c r="I932">
        <v>7</v>
      </c>
      <c r="J932">
        <v>1</v>
      </c>
      <c r="K932" s="6" t="s">
        <v>114</v>
      </c>
      <c r="L932" s="6" t="s">
        <v>90</v>
      </c>
      <c r="M932">
        <v>143</v>
      </c>
      <c r="N932" s="1">
        <v>0.53558052434456926</v>
      </c>
      <c r="O932">
        <v>38</v>
      </c>
      <c r="P932" s="1">
        <v>0.43678160919540232</v>
      </c>
      <c r="Q932" s="1">
        <v>0.69333333333333336</v>
      </c>
      <c r="R932">
        <v>376</v>
      </c>
      <c r="S932">
        <v>35</v>
      </c>
      <c r="T932">
        <v>120</v>
      </c>
      <c r="U932">
        <v>95</v>
      </c>
      <c r="V932">
        <v>29</v>
      </c>
      <c r="W932">
        <v>14</v>
      </c>
      <c r="X932">
        <v>59</v>
      </c>
      <c r="Y932" s="5">
        <v>1.6101694915254237</v>
      </c>
    </row>
    <row r="933" spans="1:25" x14ac:dyDescent="0.25">
      <c r="A933">
        <v>2020</v>
      </c>
      <c r="B933" t="s">
        <v>57</v>
      </c>
      <c r="C933">
        <v>7</v>
      </c>
      <c r="D933">
        <v>70</v>
      </c>
      <c r="E933" t="s">
        <v>99</v>
      </c>
      <c r="F933" t="s">
        <v>45</v>
      </c>
      <c r="G933">
        <f t="shared" si="14"/>
        <v>1</v>
      </c>
      <c r="H933">
        <v>7</v>
      </c>
      <c r="I933">
        <v>5</v>
      </c>
      <c r="J933">
        <v>1</v>
      </c>
      <c r="K933" s="6" t="s">
        <v>72</v>
      </c>
      <c r="L933" s="6" t="s">
        <v>85</v>
      </c>
      <c r="M933">
        <v>144</v>
      </c>
      <c r="N933" s="1">
        <v>0.5</v>
      </c>
      <c r="O933">
        <v>47</v>
      </c>
      <c r="P933" s="1">
        <v>0.38211382113821141</v>
      </c>
      <c r="Q933" s="1">
        <v>0.81578947368421051</v>
      </c>
      <c r="R933">
        <v>397</v>
      </c>
      <c r="S933">
        <v>45</v>
      </c>
      <c r="T933">
        <v>115</v>
      </c>
      <c r="U933">
        <v>74</v>
      </c>
      <c r="V933">
        <v>29</v>
      </c>
      <c r="W933">
        <v>24</v>
      </c>
      <c r="X933">
        <v>47</v>
      </c>
      <c r="Y933" s="5">
        <v>1.574468085106383</v>
      </c>
    </row>
    <row r="934" spans="1:25" x14ac:dyDescent="0.25">
      <c r="A934">
        <v>2020</v>
      </c>
      <c r="B934" t="s">
        <v>57</v>
      </c>
      <c r="C934">
        <v>8</v>
      </c>
      <c r="D934">
        <v>71</v>
      </c>
      <c r="E934" t="s">
        <v>97</v>
      </c>
      <c r="F934" t="s">
        <v>54</v>
      </c>
      <c r="G934">
        <f t="shared" si="14"/>
        <v>1</v>
      </c>
      <c r="H934">
        <v>8</v>
      </c>
      <c r="I934">
        <v>4</v>
      </c>
      <c r="J934">
        <v>1</v>
      </c>
      <c r="K934" s="6" t="s">
        <v>193</v>
      </c>
      <c r="L934" s="6" t="s">
        <v>117</v>
      </c>
      <c r="M934">
        <v>186</v>
      </c>
      <c r="N934" s="1">
        <v>0.44497607655502391</v>
      </c>
      <c r="O934">
        <v>42</v>
      </c>
      <c r="P934" s="1">
        <v>0.2937062937062937</v>
      </c>
      <c r="Q934" s="1">
        <v>0.7615384615384615</v>
      </c>
      <c r="R934">
        <v>513</v>
      </c>
      <c r="S934">
        <v>47</v>
      </c>
      <c r="T934">
        <v>153</v>
      </c>
      <c r="U934">
        <v>107</v>
      </c>
      <c r="V934">
        <v>32</v>
      </c>
      <c r="W934">
        <v>26</v>
      </c>
      <c r="X934">
        <v>63</v>
      </c>
      <c r="Y934" s="5">
        <v>1.6984126984126984</v>
      </c>
    </row>
    <row r="935" spans="1:25" x14ac:dyDescent="0.25">
      <c r="A935">
        <v>2020</v>
      </c>
      <c r="B935" t="s">
        <v>57</v>
      </c>
      <c r="C935">
        <v>8</v>
      </c>
      <c r="D935">
        <v>71</v>
      </c>
      <c r="E935" t="s">
        <v>159</v>
      </c>
      <c r="F935" t="s">
        <v>116</v>
      </c>
      <c r="G935">
        <f t="shared" si="14"/>
        <v>0</v>
      </c>
      <c r="H935">
        <v>4</v>
      </c>
      <c r="I935">
        <v>8</v>
      </c>
      <c r="J935">
        <v>1</v>
      </c>
      <c r="K935" s="6" t="s">
        <v>111</v>
      </c>
      <c r="L935" s="6" t="s">
        <v>89</v>
      </c>
      <c r="M935">
        <v>170</v>
      </c>
      <c r="N935" s="1">
        <v>0.42606516290726815</v>
      </c>
      <c r="O935">
        <v>52</v>
      </c>
      <c r="P935" s="1">
        <v>0.34899328859060402</v>
      </c>
      <c r="Q935" s="1">
        <v>0.73809523809523814</v>
      </c>
      <c r="R935">
        <v>454</v>
      </c>
      <c r="S935">
        <v>26</v>
      </c>
      <c r="T935">
        <v>131</v>
      </c>
      <c r="U935">
        <v>101</v>
      </c>
      <c r="V935">
        <v>32</v>
      </c>
      <c r="W935">
        <v>21</v>
      </c>
      <c r="X935">
        <v>59</v>
      </c>
      <c r="Y935" s="5">
        <v>1.7118644067796611</v>
      </c>
    </row>
    <row r="936" spans="1:25" x14ac:dyDescent="0.25">
      <c r="A936">
        <v>2020</v>
      </c>
      <c r="B936" t="s">
        <v>57</v>
      </c>
      <c r="C936">
        <v>8</v>
      </c>
      <c r="D936">
        <v>72</v>
      </c>
      <c r="E936" t="s">
        <v>94</v>
      </c>
      <c r="F936" t="s">
        <v>40</v>
      </c>
      <c r="G936">
        <f t="shared" si="14"/>
        <v>1</v>
      </c>
      <c r="H936">
        <v>12</v>
      </c>
      <c r="I936">
        <v>1</v>
      </c>
      <c r="J936">
        <v>0</v>
      </c>
      <c r="K936" s="6" t="s">
        <v>182</v>
      </c>
      <c r="L936" s="6" t="s">
        <v>76</v>
      </c>
      <c r="M936">
        <v>184</v>
      </c>
      <c r="N936" s="1">
        <v>0.44660194174757284</v>
      </c>
      <c r="O936">
        <v>53</v>
      </c>
      <c r="P936" s="1">
        <v>0.36301369863013699</v>
      </c>
      <c r="Q936" s="1">
        <v>0.82051282051282048</v>
      </c>
      <c r="R936">
        <v>517</v>
      </c>
      <c r="S936">
        <v>58</v>
      </c>
      <c r="T936">
        <v>164</v>
      </c>
      <c r="U936">
        <v>91</v>
      </c>
      <c r="V936">
        <v>35</v>
      </c>
      <c r="W936">
        <v>21</v>
      </c>
      <c r="X936">
        <v>53</v>
      </c>
      <c r="Y936" s="5">
        <v>1.7169811320754718</v>
      </c>
    </row>
    <row r="937" spans="1:25" x14ac:dyDescent="0.25">
      <c r="A937">
        <v>2020</v>
      </c>
      <c r="B937" t="s">
        <v>57</v>
      </c>
      <c r="C937">
        <v>8</v>
      </c>
      <c r="D937">
        <v>72</v>
      </c>
      <c r="E937" t="s">
        <v>181</v>
      </c>
      <c r="F937" t="s">
        <v>49</v>
      </c>
      <c r="G937">
        <f t="shared" si="14"/>
        <v>0</v>
      </c>
      <c r="H937">
        <v>1</v>
      </c>
      <c r="I937">
        <v>12</v>
      </c>
      <c r="J937">
        <v>0</v>
      </c>
      <c r="K937" s="6" t="s">
        <v>106</v>
      </c>
      <c r="L937" s="6" t="s">
        <v>83</v>
      </c>
      <c r="M937">
        <v>144</v>
      </c>
      <c r="N937" s="1">
        <v>0.43113772455089822</v>
      </c>
      <c r="O937">
        <v>44</v>
      </c>
      <c r="P937" s="1">
        <v>0.35199999999999998</v>
      </c>
      <c r="Q937" s="1">
        <v>0.78873239436619713</v>
      </c>
      <c r="R937">
        <v>388</v>
      </c>
      <c r="S937">
        <v>33</v>
      </c>
      <c r="T937">
        <v>94</v>
      </c>
      <c r="U937">
        <v>64</v>
      </c>
      <c r="V937">
        <v>18</v>
      </c>
      <c r="W937">
        <v>24</v>
      </c>
      <c r="X937">
        <v>58</v>
      </c>
      <c r="Y937" s="5">
        <v>1.103448275862069</v>
      </c>
    </row>
    <row r="938" spans="1:25" x14ac:dyDescent="0.25">
      <c r="A938">
        <v>2020</v>
      </c>
      <c r="B938" t="s">
        <v>57</v>
      </c>
      <c r="C938">
        <v>8</v>
      </c>
      <c r="D938">
        <v>73</v>
      </c>
      <c r="E938" t="s">
        <v>25</v>
      </c>
      <c r="F938" t="s">
        <v>53</v>
      </c>
      <c r="G938">
        <f t="shared" si="14"/>
        <v>0</v>
      </c>
      <c r="H938">
        <v>5</v>
      </c>
      <c r="I938">
        <v>7</v>
      </c>
      <c r="J938">
        <v>1</v>
      </c>
      <c r="K938" s="6" t="s">
        <v>71</v>
      </c>
      <c r="L938" s="6" t="s">
        <v>121</v>
      </c>
      <c r="M938">
        <v>123</v>
      </c>
      <c r="N938" s="1">
        <v>0.45387453874538747</v>
      </c>
      <c r="O938">
        <v>14</v>
      </c>
      <c r="P938" s="1">
        <v>0.24561403508771928</v>
      </c>
      <c r="Q938" s="1">
        <v>0.59756097560975607</v>
      </c>
      <c r="R938">
        <v>309</v>
      </c>
      <c r="S938">
        <v>43</v>
      </c>
      <c r="T938">
        <v>127</v>
      </c>
      <c r="U938">
        <v>87</v>
      </c>
      <c r="V938">
        <v>23</v>
      </c>
      <c r="W938">
        <v>14</v>
      </c>
      <c r="X938">
        <v>44</v>
      </c>
      <c r="Y938" s="5">
        <v>1.9772727272727273</v>
      </c>
    </row>
    <row r="939" spans="1:25" x14ac:dyDescent="0.25">
      <c r="A939">
        <v>2020</v>
      </c>
      <c r="B939" t="s">
        <v>57</v>
      </c>
      <c r="C939">
        <v>8</v>
      </c>
      <c r="D939">
        <v>73</v>
      </c>
      <c r="E939" t="s">
        <v>23</v>
      </c>
      <c r="F939" t="s">
        <v>120</v>
      </c>
      <c r="G939">
        <f t="shared" si="14"/>
        <v>1</v>
      </c>
      <c r="H939">
        <v>7</v>
      </c>
      <c r="I939">
        <v>5</v>
      </c>
      <c r="J939">
        <v>1</v>
      </c>
      <c r="K939" s="6" t="s">
        <v>68</v>
      </c>
      <c r="L939" s="6" t="s">
        <v>84</v>
      </c>
      <c r="M939">
        <v>139</v>
      </c>
      <c r="N939" s="1">
        <v>0.44838709677419353</v>
      </c>
      <c r="O939">
        <v>52</v>
      </c>
      <c r="P939" s="1">
        <v>0.35862068965517241</v>
      </c>
      <c r="Q939" s="1">
        <v>0.76470588235294112</v>
      </c>
      <c r="R939">
        <v>369</v>
      </c>
      <c r="S939">
        <v>34</v>
      </c>
      <c r="T939">
        <v>110</v>
      </c>
      <c r="U939">
        <v>63</v>
      </c>
      <c r="V939">
        <v>23</v>
      </c>
      <c r="W939">
        <v>27</v>
      </c>
      <c r="X939">
        <v>43</v>
      </c>
      <c r="Y939" s="5">
        <v>1.4651162790697674</v>
      </c>
    </row>
    <row r="940" spans="1:25" x14ac:dyDescent="0.25">
      <c r="A940">
        <v>2020</v>
      </c>
      <c r="B940" t="s">
        <v>57</v>
      </c>
      <c r="C940">
        <v>8</v>
      </c>
      <c r="D940">
        <v>74</v>
      </c>
      <c r="E940" t="s">
        <v>26</v>
      </c>
      <c r="F940" t="s">
        <v>118</v>
      </c>
      <c r="G940">
        <f t="shared" si="14"/>
        <v>0</v>
      </c>
      <c r="H940">
        <v>5</v>
      </c>
      <c r="I940">
        <v>7</v>
      </c>
      <c r="J940">
        <v>1</v>
      </c>
      <c r="K940" s="6" t="s">
        <v>66</v>
      </c>
      <c r="L940" s="6" t="s">
        <v>81</v>
      </c>
      <c r="M940">
        <v>171</v>
      </c>
      <c r="N940" s="1">
        <v>0.49279538904899134</v>
      </c>
      <c r="O940">
        <v>39</v>
      </c>
      <c r="P940" s="1">
        <v>0.32773109243697479</v>
      </c>
      <c r="Q940" s="1">
        <v>0.75471698113207553</v>
      </c>
      <c r="R940">
        <v>461</v>
      </c>
      <c r="S940">
        <v>44</v>
      </c>
      <c r="T940">
        <v>170</v>
      </c>
      <c r="U940">
        <v>127</v>
      </c>
      <c r="V940">
        <v>30</v>
      </c>
      <c r="W940">
        <v>20</v>
      </c>
      <c r="X940">
        <v>74</v>
      </c>
      <c r="Y940" s="5">
        <v>1.7162162162162162</v>
      </c>
    </row>
    <row r="941" spans="1:25" x14ac:dyDescent="0.25">
      <c r="A941">
        <v>2020</v>
      </c>
      <c r="B941" t="s">
        <v>57</v>
      </c>
      <c r="C941">
        <v>8</v>
      </c>
      <c r="D941">
        <v>74</v>
      </c>
      <c r="E941" t="s">
        <v>22</v>
      </c>
      <c r="F941" t="s">
        <v>44</v>
      </c>
      <c r="G941">
        <f t="shared" si="14"/>
        <v>1</v>
      </c>
      <c r="H941">
        <v>7</v>
      </c>
      <c r="I941">
        <v>5</v>
      </c>
      <c r="J941">
        <v>1</v>
      </c>
      <c r="K941" s="6" t="s">
        <v>65</v>
      </c>
      <c r="L941" s="6" t="s">
        <v>119</v>
      </c>
      <c r="M941">
        <v>177</v>
      </c>
      <c r="N941" s="1">
        <v>0.41943127962085308</v>
      </c>
      <c r="O941">
        <v>69</v>
      </c>
      <c r="P941" s="1">
        <v>0.39204545454545453</v>
      </c>
      <c r="Q941" s="1">
        <v>0.83157894736842108</v>
      </c>
      <c r="R941">
        <v>502</v>
      </c>
      <c r="S941">
        <v>28</v>
      </c>
      <c r="T941">
        <v>155</v>
      </c>
      <c r="U941">
        <v>113</v>
      </c>
      <c r="V941">
        <v>30</v>
      </c>
      <c r="W941">
        <v>22</v>
      </c>
      <c r="X941">
        <v>73</v>
      </c>
      <c r="Y941" s="5">
        <v>1.547945205479452</v>
      </c>
    </row>
    <row r="942" spans="1:25" x14ac:dyDescent="0.25">
      <c r="A942">
        <v>2020</v>
      </c>
      <c r="B942" t="s">
        <v>57</v>
      </c>
      <c r="C942">
        <v>8</v>
      </c>
      <c r="D942">
        <v>75</v>
      </c>
      <c r="E942" t="s">
        <v>190</v>
      </c>
      <c r="F942" t="s">
        <v>103</v>
      </c>
      <c r="G942">
        <f t="shared" si="14"/>
        <v>1</v>
      </c>
      <c r="H942">
        <v>7</v>
      </c>
      <c r="I942">
        <v>6</v>
      </c>
      <c r="J942">
        <v>0</v>
      </c>
      <c r="K942" s="6" t="s">
        <v>64</v>
      </c>
      <c r="L942" s="6" t="s">
        <v>80</v>
      </c>
      <c r="M942">
        <v>234</v>
      </c>
      <c r="N942" s="1">
        <v>0.45086705202312138</v>
      </c>
      <c r="O942">
        <v>73</v>
      </c>
      <c r="P942" s="1">
        <v>0.35960591133004927</v>
      </c>
      <c r="Q942" s="1">
        <v>0.74242424242424243</v>
      </c>
      <c r="R942">
        <v>639</v>
      </c>
      <c r="S942">
        <v>38</v>
      </c>
      <c r="T942">
        <v>164</v>
      </c>
      <c r="U942">
        <v>142</v>
      </c>
      <c r="V942">
        <v>27</v>
      </c>
      <c r="W942">
        <v>28</v>
      </c>
      <c r="X942">
        <v>83</v>
      </c>
      <c r="Y942" s="5">
        <v>1.7108433734939759</v>
      </c>
    </row>
    <row r="943" spans="1:25" x14ac:dyDescent="0.25">
      <c r="A943">
        <v>2020</v>
      </c>
      <c r="B943" t="s">
        <v>57</v>
      </c>
      <c r="C943">
        <v>8</v>
      </c>
      <c r="D943">
        <v>75</v>
      </c>
      <c r="E943" t="s">
        <v>28</v>
      </c>
      <c r="F943" t="s">
        <v>46</v>
      </c>
      <c r="G943">
        <f t="shared" si="14"/>
        <v>0</v>
      </c>
      <c r="H943">
        <v>6</v>
      </c>
      <c r="I943">
        <v>7</v>
      </c>
      <c r="J943">
        <v>0</v>
      </c>
      <c r="K943" s="6" t="s">
        <v>191</v>
      </c>
      <c r="L943" s="6" t="s">
        <v>113</v>
      </c>
      <c r="M943">
        <v>213</v>
      </c>
      <c r="N943" s="1">
        <v>0.47651006711409394</v>
      </c>
      <c r="O943">
        <v>55</v>
      </c>
      <c r="P943" s="1">
        <v>0.34375</v>
      </c>
      <c r="Q943" s="1">
        <v>0.83177570093457942</v>
      </c>
      <c r="R943">
        <v>570</v>
      </c>
      <c r="S943">
        <v>46</v>
      </c>
      <c r="T943">
        <v>209</v>
      </c>
      <c r="U943">
        <v>119</v>
      </c>
      <c r="V943">
        <v>26</v>
      </c>
      <c r="W943">
        <v>27</v>
      </c>
      <c r="X943">
        <v>54</v>
      </c>
      <c r="Y943" s="5">
        <v>2.2037037037037037</v>
      </c>
    </row>
    <row r="944" spans="1:25" x14ac:dyDescent="0.25">
      <c r="A944">
        <v>2020</v>
      </c>
      <c r="B944" t="s">
        <v>57</v>
      </c>
      <c r="C944">
        <v>8</v>
      </c>
      <c r="D944">
        <v>76</v>
      </c>
      <c r="E944" t="s">
        <v>16</v>
      </c>
      <c r="F944" t="s">
        <v>51</v>
      </c>
      <c r="G944">
        <f t="shared" si="14"/>
        <v>1</v>
      </c>
      <c r="H944">
        <v>8</v>
      </c>
      <c r="I944">
        <v>5</v>
      </c>
      <c r="J944">
        <v>0</v>
      </c>
      <c r="K944" s="6" t="s">
        <v>72</v>
      </c>
      <c r="L944" s="6" t="s">
        <v>85</v>
      </c>
      <c r="M944">
        <v>169</v>
      </c>
      <c r="N944" s="1">
        <v>0.49415204678362573</v>
      </c>
      <c r="O944">
        <v>42</v>
      </c>
      <c r="P944" s="1">
        <v>0.32061068702290074</v>
      </c>
      <c r="Q944" s="1">
        <v>0.79797979797979801</v>
      </c>
      <c r="R944">
        <v>459</v>
      </c>
      <c r="S944">
        <v>41</v>
      </c>
      <c r="T944">
        <v>131</v>
      </c>
      <c r="U944">
        <v>123</v>
      </c>
      <c r="V944">
        <v>42</v>
      </c>
      <c r="W944">
        <v>13</v>
      </c>
      <c r="X944">
        <v>60</v>
      </c>
      <c r="Y944" s="5">
        <v>2.0499999999999998</v>
      </c>
    </row>
    <row r="945" spans="1:25" x14ac:dyDescent="0.25">
      <c r="A945">
        <v>2020</v>
      </c>
      <c r="B945" t="s">
        <v>57</v>
      </c>
      <c r="C945">
        <v>8</v>
      </c>
      <c r="D945">
        <v>76</v>
      </c>
      <c r="E945" t="s">
        <v>33</v>
      </c>
      <c r="F945" t="s">
        <v>42</v>
      </c>
      <c r="G945">
        <f t="shared" si="14"/>
        <v>0</v>
      </c>
      <c r="H945">
        <v>5</v>
      </c>
      <c r="I945">
        <v>8</v>
      </c>
      <c r="J945">
        <v>0</v>
      </c>
      <c r="K945" s="6" t="s">
        <v>60</v>
      </c>
      <c r="L945" s="6" t="s">
        <v>75</v>
      </c>
      <c r="M945">
        <v>133</v>
      </c>
      <c r="N945" s="1">
        <v>0.4907749077490775</v>
      </c>
      <c r="O945">
        <v>30</v>
      </c>
      <c r="P945" s="1">
        <v>0.41666666666666669</v>
      </c>
      <c r="Q945" s="1">
        <v>0.69411764705882351</v>
      </c>
      <c r="R945">
        <v>355</v>
      </c>
      <c r="S945">
        <v>30</v>
      </c>
      <c r="T945">
        <v>141</v>
      </c>
      <c r="U945">
        <v>109</v>
      </c>
      <c r="V945">
        <v>39</v>
      </c>
      <c r="W945">
        <v>20</v>
      </c>
      <c r="X945">
        <v>50</v>
      </c>
      <c r="Y945" s="5">
        <v>2.1800000000000002</v>
      </c>
    </row>
    <row r="946" spans="1:25" x14ac:dyDescent="0.25">
      <c r="A946">
        <v>2020</v>
      </c>
      <c r="B946" t="s">
        <v>57</v>
      </c>
      <c r="C946">
        <v>8</v>
      </c>
      <c r="D946">
        <v>77</v>
      </c>
      <c r="E946" t="s">
        <v>99</v>
      </c>
      <c r="F946" t="s">
        <v>45</v>
      </c>
      <c r="G946">
        <f t="shared" si="14"/>
        <v>1</v>
      </c>
      <c r="H946">
        <v>9</v>
      </c>
      <c r="I946">
        <v>4</v>
      </c>
      <c r="J946">
        <v>0</v>
      </c>
      <c r="K946" s="6" t="s">
        <v>70</v>
      </c>
      <c r="L946" s="6" t="s">
        <v>87</v>
      </c>
      <c r="M946">
        <v>154</v>
      </c>
      <c r="N946" s="1">
        <v>0.52920962199312716</v>
      </c>
      <c r="O946">
        <v>58</v>
      </c>
      <c r="P946" s="1">
        <v>0.43283582089552236</v>
      </c>
      <c r="Q946" s="1">
        <v>0.74193548387096775</v>
      </c>
      <c r="R946">
        <v>412</v>
      </c>
      <c r="S946">
        <v>25</v>
      </c>
      <c r="T946">
        <v>79</v>
      </c>
      <c r="U946">
        <v>61</v>
      </c>
      <c r="V946">
        <v>21</v>
      </c>
      <c r="W946">
        <v>17</v>
      </c>
      <c r="X946">
        <v>27</v>
      </c>
      <c r="Y946" s="5">
        <v>2.2592592592592591</v>
      </c>
    </row>
    <row r="947" spans="1:25" x14ac:dyDescent="0.25">
      <c r="A947">
        <v>2020</v>
      </c>
      <c r="B947" t="s">
        <v>57</v>
      </c>
      <c r="C947">
        <v>8</v>
      </c>
      <c r="D947">
        <v>77</v>
      </c>
      <c r="E947" t="s">
        <v>21</v>
      </c>
      <c r="F947" t="s">
        <v>50</v>
      </c>
      <c r="G947">
        <f t="shared" si="14"/>
        <v>0</v>
      </c>
      <c r="H947">
        <v>4</v>
      </c>
      <c r="I947">
        <v>9</v>
      </c>
      <c r="J947">
        <v>0</v>
      </c>
      <c r="K947" s="6" t="s">
        <v>114</v>
      </c>
      <c r="L947" s="6" t="s">
        <v>90</v>
      </c>
      <c r="M947">
        <v>145</v>
      </c>
      <c r="N947" s="1">
        <v>0.46925566343042069</v>
      </c>
      <c r="O947">
        <v>31</v>
      </c>
      <c r="P947" s="1">
        <v>0.31958762886597936</v>
      </c>
      <c r="Q947" s="1">
        <v>0.77906976744186052</v>
      </c>
      <c r="R947">
        <v>388</v>
      </c>
      <c r="S947">
        <v>39</v>
      </c>
      <c r="T947">
        <v>128</v>
      </c>
      <c r="U947">
        <v>80</v>
      </c>
      <c r="V947">
        <v>17</v>
      </c>
      <c r="W947">
        <v>15</v>
      </c>
      <c r="X947">
        <v>47</v>
      </c>
      <c r="Y947" s="5">
        <v>1.7021276595744681</v>
      </c>
    </row>
    <row r="948" spans="1:25" x14ac:dyDescent="0.25">
      <c r="A948">
        <v>2020</v>
      </c>
      <c r="B948" t="s">
        <v>57</v>
      </c>
      <c r="C948">
        <v>8</v>
      </c>
      <c r="D948">
        <v>78</v>
      </c>
      <c r="E948" t="s">
        <v>98</v>
      </c>
      <c r="F948" t="s">
        <v>41</v>
      </c>
      <c r="G948">
        <f t="shared" si="14"/>
        <v>1</v>
      </c>
      <c r="H948">
        <v>11</v>
      </c>
      <c r="I948">
        <v>2</v>
      </c>
      <c r="J948">
        <v>0</v>
      </c>
      <c r="K948" s="6" t="s">
        <v>104</v>
      </c>
      <c r="L948" s="6" t="s">
        <v>105</v>
      </c>
      <c r="M948">
        <v>183</v>
      </c>
      <c r="N948" s="1">
        <v>0.42657342657342656</v>
      </c>
      <c r="O948">
        <v>64</v>
      </c>
      <c r="P948" s="1">
        <v>0.34042553191489361</v>
      </c>
      <c r="Q948" s="1">
        <v>0.83760683760683763</v>
      </c>
      <c r="R948">
        <v>528</v>
      </c>
      <c r="S948">
        <v>41</v>
      </c>
      <c r="T948">
        <v>147</v>
      </c>
      <c r="U948">
        <v>117</v>
      </c>
      <c r="V948">
        <v>43</v>
      </c>
      <c r="W948">
        <v>18</v>
      </c>
      <c r="X948">
        <v>65</v>
      </c>
      <c r="Y948" s="5">
        <v>1.8</v>
      </c>
    </row>
    <row r="949" spans="1:25" x14ac:dyDescent="0.25">
      <c r="A949">
        <v>2020</v>
      </c>
      <c r="B949" t="s">
        <v>57</v>
      </c>
      <c r="C949">
        <v>8</v>
      </c>
      <c r="D949">
        <v>78</v>
      </c>
      <c r="E949" t="s">
        <v>93</v>
      </c>
      <c r="F949" t="s">
        <v>189</v>
      </c>
      <c r="G949">
        <f t="shared" si="14"/>
        <v>0</v>
      </c>
      <c r="H949">
        <v>2</v>
      </c>
      <c r="I949">
        <v>11</v>
      </c>
      <c r="J949">
        <v>0</v>
      </c>
      <c r="K949" s="6" t="s">
        <v>112</v>
      </c>
      <c r="L949" s="6" t="s">
        <v>88</v>
      </c>
      <c r="M949">
        <v>154</v>
      </c>
      <c r="N949" s="1">
        <v>0.43137254901960786</v>
      </c>
      <c r="O949">
        <v>50</v>
      </c>
      <c r="P949" s="1">
        <v>0.33112582781456956</v>
      </c>
      <c r="Q949" s="1">
        <v>0.78846153846153844</v>
      </c>
      <c r="R949">
        <v>440</v>
      </c>
      <c r="S949">
        <v>26</v>
      </c>
      <c r="T949">
        <v>117</v>
      </c>
      <c r="U949">
        <v>103</v>
      </c>
      <c r="V949">
        <v>25</v>
      </c>
      <c r="W949">
        <v>8</v>
      </c>
      <c r="X949">
        <v>62</v>
      </c>
      <c r="Y949" s="5">
        <v>1.6612903225806452</v>
      </c>
    </row>
    <row r="950" spans="1:25" x14ac:dyDescent="0.25">
      <c r="A950">
        <v>2020</v>
      </c>
      <c r="B950" t="s">
        <v>57</v>
      </c>
      <c r="C950">
        <v>8</v>
      </c>
      <c r="D950">
        <v>79</v>
      </c>
      <c r="E950" t="s">
        <v>20</v>
      </c>
      <c r="F950" t="s">
        <v>47</v>
      </c>
      <c r="G950">
        <f t="shared" si="14"/>
        <v>1</v>
      </c>
      <c r="H950">
        <v>12</v>
      </c>
      <c r="I950">
        <v>1</v>
      </c>
      <c r="J950">
        <v>0</v>
      </c>
      <c r="K950" s="6" t="s">
        <v>73</v>
      </c>
      <c r="L950" s="6" t="s">
        <v>74</v>
      </c>
      <c r="M950">
        <v>174</v>
      </c>
      <c r="N950" s="1">
        <v>0.49431818181818182</v>
      </c>
      <c r="O950">
        <v>33</v>
      </c>
      <c r="P950" s="1">
        <v>0.35483870967741937</v>
      </c>
      <c r="Q950" s="1">
        <v>0.68604651162790697</v>
      </c>
      <c r="R950">
        <v>440</v>
      </c>
      <c r="S950">
        <v>67</v>
      </c>
      <c r="T950">
        <v>134</v>
      </c>
      <c r="U950">
        <v>74</v>
      </c>
      <c r="V950">
        <v>32</v>
      </c>
      <c r="W950">
        <v>16</v>
      </c>
      <c r="X950">
        <v>50</v>
      </c>
      <c r="Y950" s="5">
        <v>1.48</v>
      </c>
    </row>
    <row r="951" spans="1:25" x14ac:dyDescent="0.25">
      <c r="A951">
        <v>2020</v>
      </c>
      <c r="B951" t="s">
        <v>57</v>
      </c>
      <c r="C951">
        <v>8</v>
      </c>
      <c r="D951">
        <v>79</v>
      </c>
      <c r="E951" t="s">
        <v>35</v>
      </c>
      <c r="F951" t="s">
        <v>52</v>
      </c>
      <c r="G951">
        <f t="shared" si="14"/>
        <v>0</v>
      </c>
      <c r="H951">
        <v>1</v>
      </c>
      <c r="I951">
        <v>12</v>
      </c>
      <c r="J951">
        <v>0</v>
      </c>
      <c r="K951" s="6" t="s">
        <v>62</v>
      </c>
      <c r="L951" s="6" t="s">
        <v>78</v>
      </c>
      <c r="M951">
        <v>123</v>
      </c>
      <c r="N951" s="1">
        <v>0.42268041237113402</v>
      </c>
      <c r="O951">
        <v>39</v>
      </c>
      <c r="P951" s="1">
        <v>0.33620689655172414</v>
      </c>
      <c r="Q951" s="1">
        <v>0.67142857142857137</v>
      </c>
      <c r="R951">
        <v>332</v>
      </c>
      <c r="S951">
        <v>48</v>
      </c>
      <c r="T951">
        <v>131</v>
      </c>
      <c r="U951">
        <v>60</v>
      </c>
      <c r="V951">
        <v>13</v>
      </c>
      <c r="W951">
        <v>15</v>
      </c>
      <c r="X951">
        <v>53</v>
      </c>
      <c r="Y951" s="5">
        <v>1.1320754716981132</v>
      </c>
    </row>
    <row r="952" spans="1:25" x14ac:dyDescent="0.25">
      <c r="A952">
        <v>2020</v>
      </c>
      <c r="B952" t="s">
        <v>57</v>
      </c>
      <c r="C952">
        <v>8</v>
      </c>
      <c r="D952">
        <v>80</v>
      </c>
      <c r="E952" t="s">
        <v>17</v>
      </c>
      <c r="F952" t="s">
        <v>43</v>
      </c>
      <c r="G952">
        <f t="shared" si="14"/>
        <v>0</v>
      </c>
      <c r="H952">
        <v>6</v>
      </c>
      <c r="I952">
        <v>7</v>
      </c>
      <c r="J952">
        <v>0</v>
      </c>
      <c r="K952" s="6" t="s">
        <v>61</v>
      </c>
      <c r="L952" s="6" t="s">
        <v>77</v>
      </c>
      <c r="M952">
        <v>121</v>
      </c>
      <c r="N952" s="1">
        <v>0.44</v>
      </c>
      <c r="O952">
        <v>28</v>
      </c>
      <c r="P952" s="1">
        <v>0.2978723404255319</v>
      </c>
      <c r="Q952" s="1">
        <v>0.79629629629629628</v>
      </c>
      <c r="R952">
        <v>356</v>
      </c>
      <c r="S952">
        <v>19</v>
      </c>
      <c r="T952">
        <v>119</v>
      </c>
      <c r="U952">
        <v>87</v>
      </c>
      <c r="V952">
        <v>32</v>
      </c>
      <c r="W952">
        <v>15</v>
      </c>
      <c r="X952">
        <v>41</v>
      </c>
      <c r="Y952" s="5">
        <v>2.1219512195121952</v>
      </c>
    </row>
    <row r="953" spans="1:25" x14ac:dyDescent="0.25">
      <c r="A953">
        <v>2020</v>
      </c>
      <c r="B953" t="s">
        <v>57</v>
      </c>
      <c r="C953">
        <v>8</v>
      </c>
      <c r="D953">
        <v>80</v>
      </c>
      <c r="E953" t="s">
        <v>15</v>
      </c>
      <c r="F953" t="s">
        <v>48</v>
      </c>
      <c r="G953">
        <f t="shared" si="14"/>
        <v>1</v>
      </c>
      <c r="H953">
        <v>7</v>
      </c>
      <c r="I953">
        <v>6</v>
      </c>
      <c r="J953">
        <v>0</v>
      </c>
      <c r="K953" s="6" t="s">
        <v>63</v>
      </c>
      <c r="L953" s="6" t="s">
        <v>79</v>
      </c>
      <c r="M953">
        <v>162</v>
      </c>
      <c r="N953" s="1">
        <v>0.46022727272727271</v>
      </c>
      <c r="O953">
        <v>42</v>
      </c>
      <c r="P953" s="1">
        <v>0.31111111111111112</v>
      </c>
      <c r="Q953" s="1">
        <v>0.76344086021505375</v>
      </c>
      <c r="R953">
        <v>437</v>
      </c>
      <c r="S953">
        <v>30</v>
      </c>
      <c r="T953">
        <v>117</v>
      </c>
      <c r="U953">
        <v>81</v>
      </c>
      <c r="V953">
        <v>30</v>
      </c>
      <c r="W953">
        <v>17</v>
      </c>
      <c r="X953">
        <v>52</v>
      </c>
      <c r="Y953" s="5">
        <v>1.5576923076923077</v>
      </c>
    </row>
    <row r="954" spans="1:25" x14ac:dyDescent="0.25">
      <c r="A954">
        <v>2020</v>
      </c>
      <c r="B954" t="s">
        <v>57</v>
      </c>
      <c r="C954">
        <v>9</v>
      </c>
      <c r="D954">
        <v>81</v>
      </c>
      <c r="E954" t="s">
        <v>159</v>
      </c>
      <c r="F954" t="s">
        <v>116</v>
      </c>
      <c r="G954">
        <f t="shared" si="14"/>
        <v>1</v>
      </c>
      <c r="H954">
        <v>8</v>
      </c>
      <c r="I954">
        <v>4</v>
      </c>
      <c r="J954">
        <v>1</v>
      </c>
      <c r="K954" s="6" t="s">
        <v>61</v>
      </c>
      <c r="L954" s="6" t="s">
        <v>77</v>
      </c>
      <c r="M954">
        <v>173</v>
      </c>
      <c r="N954" s="1">
        <v>0.45767195767195767</v>
      </c>
      <c r="O954">
        <v>54</v>
      </c>
      <c r="P954" s="1">
        <v>0.375</v>
      </c>
      <c r="Q954" s="1">
        <v>0.83333333333333337</v>
      </c>
      <c r="R954">
        <v>460</v>
      </c>
      <c r="S954">
        <v>35</v>
      </c>
      <c r="T954">
        <v>141</v>
      </c>
      <c r="U954">
        <v>81</v>
      </c>
      <c r="V954">
        <v>27</v>
      </c>
      <c r="W954">
        <v>29</v>
      </c>
      <c r="X954">
        <v>49</v>
      </c>
      <c r="Y954" s="5">
        <v>1.653061224489796</v>
      </c>
    </row>
    <row r="955" spans="1:25" x14ac:dyDescent="0.25">
      <c r="A955">
        <v>2020</v>
      </c>
      <c r="B955" t="s">
        <v>57</v>
      </c>
      <c r="C955">
        <v>9</v>
      </c>
      <c r="D955">
        <v>81</v>
      </c>
      <c r="E955" t="s">
        <v>15</v>
      </c>
      <c r="F955" t="s">
        <v>48</v>
      </c>
      <c r="G955">
        <f t="shared" si="14"/>
        <v>0</v>
      </c>
      <c r="H955">
        <v>4</v>
      </c>
      <c r="I955">
        <v>8</v>
      </c>
      <c r="J955">
        <v>1</v>
      </c>
      <c r="K955" s="6" t="s">
        <v>193</v>
      </c>
      <c r="L955" s="6" t="s">
        <v>117</v>
      </c>
      <c r="M955">
        <v>204</v>
      </c>
      <c r="N955" s="1">
        <v>0.51256281407035176</v>
      </c>
      <c r="O955">
        <v>37</v>
      </c>
      <c r="P955" s="1">
        <v>0.29365079365079366</v>
      </c>
      <c r="Q955" s="1">
        <v>0.77685950413223137</v>
      </c>
      <c r="R955">
        <v>539</v>
      </c>
      <c r="S955">
        <v>47</v>
      </c>
      <c r="T955">
        <v>103</v>
      </c>
      <c r="U955">
        <v>73</v>
      </c>
      <c r="V955">
        <v>27</v>
      </c>
      <c r="W955">
        <v>10</v>
      </c>
      <c r="X955">
        <v>60</v>
      </c>
      <c r="Y955" s="5">
        <v>1.2166666666666666</v>
      </c>
    </row>
    <row r="956" spans="1:25" x14ac:dyDescent="0.25">
      <c r="A956">
        <v>2020</v>
      </c>
      <c r="B956" t="s">
        <v>57</v>
      </c>
      <c r="C956">
        <v>9</v>
      </c>
      <c r="D956">
        <v>82</v>
      </c>
      <c r="E956" t="s">
        <v>35</v>
      </c>
      <c r="F956" t="s">
        <v>52</v>
      </c>
      <c r="G956">
        <f t="shared" si="14"/>
        <v>0</v>
      </c>
      <c r="H956">
        <v>5</v>
      </c>
      <c r="I956">
        <v>8</v>
      </c>
      <c r="J956">
        <v>0</v>
      </c>
      <c r="K956" s="6" t="s">
        <v>63</v>
      </c>
      <c r="L956" s="6" t="s">
        <v>79</v>
      </c>
      <c r="M956">
        <v>159</v>
      </c>
      <c r="N956" s="1">
        <v>0.46355685131195334</v>
      </c>
      <c r="O956">
        <v>51</v>
      </c>
      <c r="P956" s="1">
        <v>0.38636363636363635</v>
      </c>
      <c r="Q956" s="1">
        <v>0.82432432432432434</v>
      </c>
      <c r="R956">
        <v>430</v>
      </c>
      <c r="S956">
        <v>40</v>
      </c>
      <c r="T956">
        <v>98</v>
      </c>
      <c r="U956">
        <v>88</v>
      </c>
      <c r="V956">
        <v>35</v>
      </c>
      <c r="W956">
        <v>15</v>
      </c>
      <c r="X956">
        <v>51</v>
      </c>
      <c r="Y956" s="5">
        <v>1.7254901960784315</v>
      </c>
    </row>
    <row r="957" spans="1:25" x14ac:dyDescent="0.25">
      <c r="A957">
        <v>2020</v>
      </c>
      <c r="B957" t="s">
        <v>57</v>
      </c>
      <c r="C957">
        <v>9</v>
      </c>
      <c r="D957">
        <v>82</v>
      </c>
      <c r="E957" t="s">
        <v>17</v>
      </c>
      <c r="F957" t="s">
        <v>43</v>
      </c>
      <c r="G957">
        <f t="shared" si="14"/>
        <v>1</v>
      </c>
      <c r="H957">
        <v>8</v>
      </c>
      <c r="I957">
        <v>5</v>
      </c>
      <c r="J957">
        <v>0</v>
      </c>
      <c r="K957" s="6" t="s">
        <v>73</v>
      </c>
      <c r="L957" s="6" t="s">
        <v>74</v>
      </c>
      <c r="M957">
        <v>125</v>
      </c>
      <c r="N957" s="1">
        <v>0.47709923664122139</v>
      </c>
      <c r="O957">
        <v>30</v>
      </c>
      <c r="P957" s="1">
        <v>0.375</v>
      </c>
      <c r="Q957" s="1">
        <v>0.85245901639344257</v>
      </c>
      <c r="R957">
        <v>332</v>
      </c>
      <c r="S957">
        <v>49</v>
      </c>
      <c r="T957">
        <v>121</v>
      </c>
      <c r="U957">
        <v>92</v>
      </c>
      <c r="V957">
        <v>30</v>
      </c>
      <c r="W957">
        <v>26</v>
      </c>
      <c r="X957">
        <v>32</v>
      </c>
      <c r="Y957" s="5">
        <v>2.875</v>
      </c>
    </row>
    <row r="958" spans="1:25" x14ac:dyDescent="0.25">
      <c r="A958">
        <v>2020</v>
      </c>
      <c r="B958" t="s">
        <v>57</v>
      </c>
      <c r="C958">
        <v>9</v>
      </c>
      <c r="D958">
        <v>83</v>
      </c>
      <c r="E958" t="s">
        <v>22</v>
      </c>
      <c r="F958" t="s">
        <v>44</v>
      </c>
      <c r="G958">
        <f t="shared" si="14"/>
        <v>1</v>
      </c>
      <c r="H958">
        <v>9</v>
      </c>
      <c r="I958">
        <v>4</v>
      </c>
      <c r="J958">
        <v>0</v>
      </c>
      <c r="K958" s="6" t="s">
        <v>182</v>
      </c>
      <c r="L958" s="6" t="s">
        <v>76</v>
      </c>
      <c r="M958">
        <v>181</v>
      </c>
      <c r="N958" s="1">
        <v>0.49725274725274726</v>
      </c>
      <c r="O958">
        <v>55</v>
      </c>
      <c r="P958" s="1">
        <v>0.39285714285714285</v>
      </c>
      <c r="Q958" s="1">
        <v>0.74358974358974361</v>
      </c>
      <c r="R958">
        <v>475</v>
      </c>
      <c r="S958">
        <v>26</v>
      </c>
      <c r="T958">
        <v>135</v>
      </c>
      <c r="U958">
        <v>117</v>
      </c>
      <c r="V958">
        <v>26</v>
      </c>
      <c r="W958">
        <v>20</v>
      </c>
      <c r="X958">
        <v>59</v>
      </c>
      <c r="Y958" s="5">
        <v>1.9830508474576272</v>
      </c>
    </row>
    <row r="959" spans="1:25" x14ac:dyDescent="0.25">
      <c r="A959">
        <v>2020</v>
      </c>
      <c r="B959" t="s">
        <v>57</v>
      </c>
      <c r="C959">
        <v>9</v>
      </c>
      <c r="D959">
        <v>83</v>
      </c>
      <c r="E959" t="s">
        <v>181</v>
      </c>
      <c r="F959" t="s">
        <v>49</v>
      </c>
      <c r="G959">
        <f t="shared" si="14"/>
        <v>0</v>
      </c>
      <c r="H959">
        <v>4</v>
      </c>
      <c r="I959">
        <v>9</v>
      </c>
      <c r="J959">
        <v>0</v>
      </c>
      <c r="K959" s="6" t="s">
        <v>66</v>
      </c>
      <c r="L959" s="6" t="s">
        <v>81</v>
      </c>
      <c r="M959">
        <v>159</v>
      </c>
      <c r="N959" s="1">
        <v>0.47747747747747749</v>
      </c>
      <c r="O959">
        <v>44</v>
      </c>
      <c r="P959" s="1">
        <v>0.41509433962264153</v>
      </c>
      <c r="Q959" s="1">
        <v>0.76086956521739135</v>
      </c>
      <c r="R959">
        <v>432</v>
      </c>
      <c r="S959">
        <v>50</v>
      </c>
      <c r="T959">
        <v>119</v>
      </c>
      <c r="U959">
        <v>57</v>
      </c>
      <c r="V959">
        <v>14</v>
      </c>
      <c r="W959">
        <v>16</v>
      </c>
      <c r="X959">
        <v>49</v>
      </c>
      <c r="Y959" s="5">
        <v>1.1632653061224489</v>
      </c>
    </row>
    <row r="960" spans="1:25" x14ac:dyDescent="0.25">
      <c r="A960">
        <v>2020</v>
      </c>
      <c r="B960" t="s">
        <v>57</v>
      </c>
      <c r="C960">
        <v>9</v>
      </c>
      <c r="D960">
        <v>84</v>
      </c>
      <c r="E960" t="s">
        <v>20</v>
      </c>
      <c r="F960" t="s">
        <v>47</v>
      </c>
      <c r="G960">
        <f t="shared" si="14"/>
        <v>0</v>
      </c>
      <c r="H960">
        <v>4</v>
      </c>
      <c r="I960">
        <v>8</v>
      </c>
      <c r="J960">
        <v>1</v>
      </c>
      <c r="K960" s="6" t="s">
        <v>111</v>
      </c>
      <c r="L960" s="6" t="s">
        <v>89</v>
      </c>
      <c r="M960">
        <v>177</v>
      </c>
      <c r="N960" s="1">
        <v>0.48360655737704916</v>
      </c>
      <c r="O960">
        <v>35</v>
      </c>
      <c r="P960" s="1">
        <v>0.39772727272727271</v>
      </c>
      <c r="Q960" s="1">
        <v>0.84090909090909094</v>
      </c>
      <c r="R960">
        <v>463</v>
      </c>
      <c r="S960">
        <v>50</v>
      </c>
      <c r="T960">
        <v>166</v>
      </c>
      <c r="U960">
        <v>104</v>
      </c>
      <c r="V960">
        <v>27</v>
      </c>
      <c r="W960">
        <v>24</v>
      </c>
      <c r="X960">
        <v>85</v>
      </c>
      <c r="Y960" s="5">
        <v>1.223529411764706</v>
      </c>
    </row>
    <row r="961" spans="1:25" x14ac:dyDescent="0.25">
      <c r="A961">
        <v>2020</v>
      </c>
      <c r="B961" t="s">
        <v>57</v>
      </c>
      <c r="C961">
        <v>9</v>
      </c>
      <c r="D961">
        <v>84</v>
      </c>
      <c r="E961" t="s">
        <v>97</v>
      </c>
      <c r="F961" t="s">
        <v>54</v>
      </c>
      <c r="G961">
        <f t="shared" si="14"/>
        <v>1</v>
      </c>
      <c r="H961">
        <v>8</v>
      </c>
      <c r="I961">
        <v>4</v>
      </c>
      <c r="J961">
        <v>1</v>
      </c>
      <c r="K961" s="6" t="s">
        <v>62</v>
      </c>
      <c r="L961" s="6" t="s">
        <v>78</v>
      </c>
      <c r="M961">
        <v>219</v>
      </c>
      <c r="N961" s="1">
        <v>0.49547511312217196</v>
      </c>
      <c r="O961">
        <v>54</v>
      </c>
      <c r="P961" s="1">
        <v>0.35761589403973509</v>
      </c>
      <c r="Q961" s="1">
        <v>0.78343949044585992</v>
      </c>
      <c r="R961">
        <v>615</v>
      </c>
      <c r="S961">
        <v>50</v>
      </c>
      <c r="T961">
        <v>176</v>
      </c>
      <c r="U961">
        <v>115</v>
      </c>
      <c r="V961">
        <v>21</v>
      </c>
      <c r="W961">
        <v>20</v>
      </c>
      <c r="X961">
        <v>67</v>
      </c>
      <c r="Y961" s="5">
        <v>1.7164179104477613</v>
      </c>
    </row>
    <row r="962" spans="1:25" x14ac:dyDescent="0.25">
      <c r="A962">
        <v>2020</v>
      </c>
      <c r="B962" t="s">
        <v>57</v>
      </c>
      <c r="C962">
        <v>9</v>
      </c>
      <c r="D962">
        <v>85</v>
      </c>
      <c r="E962" t="s">
        <v>190</v>
      </c>
      <c r="F962" t="s">
        <v>103</v>
      </c>
      <c r="G962">
        <f t="shared" ref="G962:G1025" si="15">IF(H962+0.5*J962&gt;6.5,1,0)</f>
        <v>1</v>
      </c>
      <c r="H962">
        <v>10</v>
      </c>
      <c r="I962">
        <v>3</v>
      </c>
      <c r="J962">
        <v>0</v>
      </c>
      <c r="K962" s="6" t="s">
        <v>72</v>
      </c>
      <c r="L962" s="6" t="s">
        <v>85</v>
      </c>
      <c r="M962">
        <v>207</v>
      </c>
      <c r="N962" s="1">
        <v>0.42418032786885246</v>
      </c>
      <c r="O962">
        <v>57</v>
      </c>
      <c r="P962" s="1">
        <v>0.33333333333333331</v>
      </c>
      <c r="Q962" s="1">
        <v>0.8529411764705882</v>
      </c>
      <c r="R962">
        <v>558</v>
      </c>
      <c r="S962">
        <v>37</v>
      </c>
      <c r="T962">
        <v>138</v>
      </c>
      <c r="U962">
        <v>123</v>
      </c>
      <c r="V962">
        <v>35</v>
      </c>
      <c r="W962">
        <v>31</v>
      </c>
      <c r="X962">
        <v>65</v>
      </c>
      <c r="Y962" s="5">
        <v>1.8923076923076922</v>
      </c>
    </row>
    <row r="963" spans="1:25" x14ac:dyDescent="0.25">
      <c r="A963">
        <v>2020</v>
      </c>
      <c r="B963" t="s">
        <v>57</v>
      </c>
      <c r="C963">
        <v>9</v>
      </c>
      <c r="D963">
        <v>85</v>
      </c>
      <c r="E963" t="s">
        <v>33</v>
      </c>
      <c r="F963" t="s">
        <v>42</v>
      </c>
      <c r="G963">
        <f t="shared" si="15"/>
        <v>0</v>
      </c>
      <c r="H963">
        <v>3</v>
      </c>
      <c r="I963">
        <v>10</v>
      </c>
      <c r="J963">
        <v>0</v>
      </c>
      <c r="K963" s="6" t="s">
        <v>191</v>
      </c>
      <c r="L963" s="6" t="s">
        <v>113</v>
      </c>
      <c r="M963">
        <v>114</v>
      </c>
      <c r="N963" s="1">
        <v>0.48510638297872338</v>
      </c>
      <c r="O963">
        <v>25</v>
      </c>
      <c r="P963" s="1">
        <v>0.4098360655737705</v>
      </c>
      <c r="Q963" s="1">
        <v>0.70270270270270274</v>
      </c>
      <c r="R963">
        <v>305</v>
      </c>
      <c r="S963">
        <v>36</v>
      </c>
      <c r="T963">
        <v>120</v>
      </c>
      <c r="U963">
        <v>91</v>
      </c>
      <c r="V963">
        <v>26</v>
      </c>
      <c r="W963">
        <v>18</v>
      </c>
      <c r="X963">
        <v>50</v>
      </c>
      <c r="Y963" s="5">
        <v>1.82</v>
      </c>
    </row>
    <row r="964" spans="1:25" x14ac:dyDescent="0.25">
      <c r="A964">
        <v>2020</v>
      </c>
      <c r="B964" t="s">
        <v>57</v>
      </c>
      <c r="C964">
        <v>9</v>
      </c>
      <c r="D964">
        <v>86</v>
      </c>
      <c r="E964" t="s">
        <v>16</v>
      </c>
      <c r="F964" t="s">
        <v>51</v>
      </c>
      <c r="G964">
        <f t="shared" si="15"/>
        <v>1</v>
      </c>
      <c r="H964">
        <v>9</v>
      </c>
      <c r="I964">
        <v>4</v>
      </c>
      <c r="J964">
        <v>0</v>
      </c>
      <c r="K964" s="6" t="s">
        <v>70</v>
      </c>
      <c r="L964" s="6" t="s">
        <v>87</v>
      </c>
      <c r="M964">
        <v>166</v>
      </c>
      <c r="N964" s="1">
        <v>0.47838616714697407</v>
      </c>
      <c r="O964">
        <v>59</v>
      </c>
      <c r="P964" s="1">
        <v>0.38562091503267976</v>
      </c>
      <c r="Q964" s="1">
        <v>0.80722891566265065</v>
      </c>
      <c r="R964">
        <v>458</v>
      </c>
      <c r="S964">
        <v>49</v>
      </c>
      <c r="T964">
        <v>159</v>
      </c>
      <c r="U964">
        <v>97</v>
      </c>
      <c r="V964">
        <v>47</v>
      </c>
      <c r="W964">
        <v>20</v>
      </c>
      <c r="X964">
        <v>74</v>
      </c>
      <c r="Y964" s="5">
        <v>1.3108108108108107</v>
      </c>
    </row>
    <row r="965" spans="1:25" x14ac:dyDescent="0.25">
      <c r="A965">
        <v>2020</v>
      </c>
      <c r="B965" t="s">
        <v>57</v>
      </c>
      <c r="C965">
        <v>9</v>
      </c>
      <c r="D965">
        <v>86</v>
      </c>
      <c r="E965" t="s">
        <v>21</v>
      </c>
      <c r="F965" t="s">
        <v>50</v>
      </c>
      <c r="G965">
        <f t="shared" si="15"/>
        <v>0</v>
      </c>
      <c r="H965">
        <v>4</v>
      </c>
      <c r="I965">
        <v>9</v>
      </c>
      <c r="J965">
        <v>0</v>
      </c>
      <c r="K965" s="6" t="s">
        <v>60</v>
      </c>
      <c r="L965" s="6" t="s">
        <v>75</v>
      </c>
      <c r="M965">
        <v>147</v>
      </c>
      <c r="N965" s="1">
        <v>0.49830508474576274</v>
      </c>
      <c r="O965">
        <v>30</v>
      </c>
      <c r="P965" s="1">
        <v>0.34883720930232559</v>
      </c>
      <c r="Q965" s="1">
        <v>0.73770491803278693</v>
      </c>
      <c r="R965">
        <v>369</v>
      </c>
      <c r="S965">
        <v>51</v>
      </c>
      <c r="T965">
        <v>125</v>
      </c>
      <c r="U965">
        <v>84</v>
      </c>
      <c r="V965">
        <v>23</v>
      </c>
      <c r="W965">
        <v>13</v>
      </c>
      <c r="X965">
        <v>56</v>
      </c>
      <c r="Y965" s="5">
        <v>1.5</v>
      </c>
    </row>
    <row r="966" spans="1:25" x14ac:dyDescent="0.25">
      <c r="A966">
        <v>2020</v>
      </c>
      <c r="B966" t="s">
        <v>57</v>
      </c>
      <c r="C966">
        <v>9</v>
      </c>
      <c r="D966">
        <v>87</v>
      </c>
      <c r="E966" t="s">
        <v>99</v>
      </c>
      <c r="F966" t="s">
        <v>45</v>
      </c>
      <c r="G966">
        <f t="shared" si="15"/>
        <v>1</v>
      </c>
      <c r="H966">
        <v>8</v>
      </c>
      <c r="I966">
        <v>5</v>
      </c>
      <c r="J966">
        <v>0</v>
      </c>
      <c r="K966" s="6" t="s">
        <v>71</v>
      </c>
      <c r="L966" s="6" t="s">
        <v>121</v>
      </c>
      <c r="M966">
        <v>153</v>
      </c>
      <c r="N966" s="1">
        <v>0.47076923076923077</v>
      </c>
      <c r="O966">
        <v>58</v>
      </c>
      <c r="P966" s="1">
        <v>0.40559440559440557</v>
      </c>
      <c r="Q966" s="1">
        <v>0.81176470588235294</v>
      </c>
      <c r="R966">
        <v>433</v>
      </c>
      <c r="S966">
        <v>38</v>
      </c>
      <c r="T966">
        <v>152</v>
      </c>
      <c r="U966">
        <v>69</v>
      </c>
      <c r="V966">
        <v>35</v>
      </c>
      <c r="W966">
        <v>34</v>
      </c>
      <c r="X966">
        <v>50</v>
      </c>
      <c r="Y966" s="5">
        <v>1.38</v>
      </c>
    </row>
    <row r="967" spans="1:25" x14ac:dyDescent="0.25">
      <c r="A967">
        <v>2020</v>
      </c>
      <c r="B967" t="s">
        <v>57</v>
      </c>
      <c r="C967">
        <v>9</v>
      </c>
      <c r="D967">
        <v>87</v>
      </c>
      <c r="E967" t="s">
        <v>23</v>
      </c>
      <c r="F967" t="s">
        <v>120</v>
      </c>
      <c r="G967">
        <f t="shared" si="15"/>
        <v>0</v>
      </c>
      <c r="H967">
        <v>5</v>
      </c>
      <c r="I967">
        <v>8</v>
      </c>
      <c r="J967">
        <v>0</v>
      </c>
      <c r="K967" s="6" t="s">
        <v>114</v>
      </c>
      <c r="L967" s="6" t="s">
        <v>90</v>
      </c>
      <c r="M967">
        <v>166</v>
      </c>
      <c r="N967" s="1">
        <v>0.44986449864498645</v>
      </c>
      <c r="O967">
        <v>55</v>
      </c>
      <c r="P967" s="1">
        <v>0.33536585365853661</v>
      </c>
      <c r="Q967" s="1">
        <v>0.80645161290322576</v>
      </c>
      <c r="R967">
        <v>462</v>
      </c>
      <c r="S967">
        <v>33</v>
      </c>
      <c r="T967">
        <v>126</v>
      </c>
      <c r="U967">
        <v>75</v>
      </c>
      <c r="V967">
        <v>27</v>
      </c>
      <c r="W967">
        <v>29</v>
      </c>
      <c r="X967">
        <v>40</v>
      </c>
      <c r="Y967" s="5">
        <v>1.875</v>
      </c>
    </row>
    <row r="968" spans="1:25" x14ac:dyDescent="0.25">
      <c r="A968">
        <v>2020</v>
      </c>
      <c r="B968" t="s">
        <v>57</v>
      </c>
      <c r="C968">
        <v>9</v>
      </c>
      <c r="D968">
        <v>88</v>
      </c>
      <c r="E968" t="s">
        <v>25</v>
      </c>
      <c r="F968" t="s">
        <v>53</v>
      </c>
      <c r="G968">
        <f t="shared" si="15"/>
        <v>0</v>
      </c>
      <c r="H968">
        <v>6</v>
      </c>
      <c r="I968">
        <v>7</v>
      </c>
      <c r="J968">
        <v>0</v>
      </c>
      <c r="K968" s="6" t="s">
        <v>104</v>
      </c>
      <c r="L968" s="6" t="s">
        <v>105</v>
      </c>
      <c r="M968">
        <v>125</v>
      </c>
      <c r="N968" s="1">
        <v>0.47169811320754718</v>
      </c>
      <c r="O968">
        <v>23</v>
      </c>
      <c r="P968" s="1">
        <v>0.31944444444444442</v>
      </c>
      <c r="Q968" s="1">
        <v>0.6853932584269663</v>
      </c>
      <c r="R968">
        <v>334</v>
      </c>
      <c r="S968">
        <v>36</v>
      </c>
      <c r="T968">
        <v>114</v>
      </c>
      <c r="U968">
        <v>108</v>
      </c>
      <c r="V968">
        <v>43</v>
      </c>
      <c r="W968">
        <v>8</v>
      </c>
      <c r="X968">
        <v>47</v>
      </c>
      <c r="Y968" s="5">
        <v>2.2978723404255321</v>
      </c>
    </row>
    <row r="969" spans="1:25" x14ac:dyDescent="0.25">
      <c r="A969">
        <v>2020</v>
      </c>
      <c r="B969" t="s">
        <v>57</v>
      </c>
      <c r="C969">
        <v>9</v>
      </c>
      <c r="D969">
        <v>88</v>
      </c>
      <c r="E969" t="s">
        <v>93</v>
      </c>
      <c r="F969" t="s">
        <v>189</v>
      </c>
      <c r="G969">
        <f t="shared" si="15"/>
        <v>1</v>
      </c>
      <c r="H969">
        <v>7</v>
      </c>
      <c r="I969">
        <v>6</v>
      </c>
      <c r="J969">
        <v>0</v>
      </c>
      <c r="K969" s="6" t="s">
        <v>68</v>
      </c>
      <c r="L969" s="6" t="s">
        <v>84</v>
      </c>
      <c r="M969">
        <v>130</v>
      </c>
      <c r="N969" s="1">
        <v>0.41935483870967744</v>
      </c>
      <c r="O969">
        <v>42</v>
      </c>
      <c r="P969" s="1">
        <v>0.35</v>
      </c>
      <c r="Q969" s="1">
        <v>0.78888888888888886</v>
      </c>
      <c r="R969">
        <v>373</v>
      </c>
      <c r="S969">
        <v>40</v>
      </c>
      <c r="T969">
        <v>106</v>
      </c>
      <c r="U969">
        <v>91</v>
      </c>
      <c r="V969">
        <v>26</v>
      </c>
      <c r="W969">
        <v>16</v>
      </c>
      <c r="X969">
        <v>48</v>
      </c>
      <c r="Y969" s="5">
        <v>1.8958333333333333</v>
      </c>
    </row>
    <row r="970" spans="1:25" x14ac:dyDescent="0.25">
      <c r="A970">
        <v>2020</v>
      </c>
      <c r="B970" t="s">
        <v>57</v>
      </c>
      <c r="C970">
        <v>9</v>
      </c>
      <c r="D970">
        <v>89</v>
      </c>
      <c r="E970" t="s">
        <v>94</v>
      </c>
      <c r="F970" t="s">
        <v>40</v>
      </c>
      <c r="G970">
        <f t="shared" si="15"/>
        <v>0</v>
      </c>
      <c r="H970">
        <v>6</v>
      </c>
      <c r="I970">
        <v>7</v>
      </c>
      <c r="J970">
        <v>0</v>
      </c>
      <c r="K970" s="6" t="s">
        <v>65</v>
      </c>
      <c r="L970" s="6" t="s">
        <v>119</v>
      </c>
      <c r="M970">
        <v>141</v>
      </c>
      <c r="N970" s="1">
        <v>0.43518518518518517</v>
      </c>
      <c r="O970">
        <v>37</v>
      </c>
      <c r="P970" s="1">
        <v>0.31623931623931623</v>
      </c>
      <c r="Q970" s="1">
        <v>0.76086956521739135</v>
      </c>
      <c r="R970">
        <v>389</v>
      </c>
      <c r="S970">
        <v>33</v>
      </c>
      <c r="T970">
        <v>109</v>
      </c>
      <c r="U970">
        <v>84</v>
      </c>
      <c r="V970">
        <v>22</v>
      </c>
      <c r="W970">
        <v>18</v>
      </c>
      <c r="X970">
        <v>55</v>
      </c>
      <c r="Y970" s="5">
        <v>1.5272727272727273</v>
      </c>
    </row>
    <row r="971" spans="1:25" x14ac:dyDescent="0.25">
      <c r="A971">
        <v>2020</v>
      </c>
      <c r="B971" t="s">
        <v>57</v>
      </c>
      <c r="C971">
        <v>9</v>
      </c>
      <c r="D971">
        <v>89</v>
      </c>
      <c r="E971" t="s">
        <v>26</v>
      </c>
      <c r="F971" t="s">
        <v>118</v>
      </c>
      <c r="G971">
        <f t="shared" si="15"/>
        <v>1</v>
      </c>
      <c r="H971">
        <v>7</v>
      </c>
      <c r="I971">
        <v>6</v>
      </c>
      <c r="J971">
        <v>0</v>
      </c>
      <c r="K971" s="6" t="s">
        <v>106</v>
      </c>
      <c r="L971" s="6" t="s">
        <v>83</v>
      </c>
      <c r="M971">
        <v>118</v>
      </c>
      <c r="N971" s="1">
        <v>0.4573643410852713</v>
      </c>
      <c r="O971">
        <v>32</v>
      </c>
      <c r="P971" s="1">
        <v>0.35164835164835168</v>
      </c>
      <c r="Q971" s="1">
        <v>0.74647887323943662</v>
      </c>
      <c r="R971">
        <v>321</v>
      </c>
      <c r="S971">
        <v>36</v>
      </c>
      <c r="T971">
        <v>140</v>
      </c>
      <c r="U971">
        <v>82</v>
      </c>
      <c r="V971">
        <v>17</v>
      </c>
      <c r="W971">
        <v>21</v>
      </c>
      <c r="X971">
        <v>37</v>
      </c>
      <c r="Y971" s="5">
        <v>2.2162162162162162</v>
      </c>
    </row>
    <row r="972" spans="1:25" x14ac:dyDescent="0.25">
      <c r="A972">
        <v>2020</v>
      </c>
      <c r="B972" t="s">
        <v>57</v>
      </c>
      <c r="C972">
        <v>9</v>
      </c>
      <c r="D972">
        <v>90</v>
      </c>
      <c r="E972" t="s">
        <v>28</v>
      </c>
      <c r="F972" t="s">
        <v>46</v>
      </c>
      <c r="G972">
        <f t="shared" si="15"/>
        <v>1</v>
      </c>
      <c r="H972">
        <v>8</v>
      </c>
      <c r="I972">
        <v>5</v>
      </c>
      <c r="J972">
        <v>0</v>
      </c>
      <c r="K972" s="6" t="s">
        <v>112</v>
      </c>
      <c r="L972" s="6" t="s">
        <v>88</v>
      </c>
      <c r="M972">
        <v>210</v>
      </c>
      <c r="N972" s="1">
        <v>0.47191011235955055</v>
      </c>
      <c r="O972">
        <v>56</v>
      </c>
      <c r="P972" s="1">
        <v>0.35443037974683544</v>
      </c>
      <c r="Q972" s="1">
        <v>0.7946428571428571</v>
      </c>
      <c r="R972">
        <v>565</v>
      </c>
      <c r="S972">
        <v>40</v>
      </c>
      <c r="T972">
        <v>140</v>
      </c>
      <c r="U972">
        <v>118</v>
      </c>
      <c r="V972">
        <v>41</v>
      </c>
      <c r="W972">
        <v>22</v>
      </c>
      <c r="X972">
        <v>73</v>
      </c>
      <c r="Y972" s="5">
        <v>1.6164383561643836</v>
      </c>
    </row>
    <row r="973" spans="1:25" x14ac:dyDescent="0.25">
      <c r="A973">
        <v>2020</v>
      </c>
      <c r="B973" t="s">
        <v>57</v>
      </c>
      <c r="C973">
        <v>9</v>
      </c>
      <c r="D973">
        <v>90</v>
      </c>
      <c r="E973" t="s">
        <v>98</v>
      </c>
      <c r="F973" t="s">
        <v>41</v>
      </c>
      <c r="G973">
        <f t="shared" si="15"/>
        <v>0</v>
      </c>
      <c r="H973">
        <v>5</v>
      </c>
      <c r="I973">
        <v>8</v>
      </c>
      <c r="J973">
        <v>0</v>
      </c>
      <c r="K973" s="6" t="s">
        <v>64</v>
      </c>
      <c r="L973" s="6" t="s">
        <v>80</v>
      </c>
      <c r="M973">
        <v>167</v>
      </c>
      <c r="N973" s="1">
        <v>0.44533333333333336</v>
      </c>
      <c r="O973">
        <v>61</v>
      </c>
      <c r="P973" s="1">
        <v>0.37888198757763975</v>
      </c>
      <c r="Q973" s="1">
        <v>0.875</v>
      </c>
      <c r="R973">
        <v>500</v>
      </c>
      <c r="S973">
        <v>21</v>
      </c>
      <c r="T973">
        <v>105</v>
      </c>
      <c r="U973">
        <v>110</v>
      </c>
      <c r="V973">
        <v>24</v>
      </c>
      <c r="W973">
        <v>7</v>
      </c>
      <c r="X973">
        <v>48</v>
      </c>
      <c r="Y973" s="5">
        <v>2.2916666666666665</v>
      </c>
    </row>
    <row r="974" spans="1:25" x14ac:dyDescent="0.25">
      <c r="A974">
        <v>2020</v>
      </c>
      <c r="B974" t="s">
        <v>57</v>
      </c>
      <c r="C974">
        <v>10</v>
      </c>
      <c r="D974">
        <v>91</v>
      </c>
      <c r="E974" t="s">
        <v>16</v>
      </c>
      <c r="F974" t="s">
        <v>51</v>
      </c>
      <c r="G974">
        <f t="shared" si="15"/>
        <v>1</v>
      </c>
      <c r="H974">
        <v>12</v>
      </c>
      <c r="I974">
        <v>1</v>
      </c>
      <c r="J974">
        <v>0</v>
      </c>
      <c r="K974" s="6" t="s">
        <v>68</v>
      </c>
      <c r="L974" s="6" t="s">
        <v>84</v>
      </c>
      <c r="M974">
        <v>189</v>
      </c>
      <c r="N974" s="1">
        <v>0.49476439790575916</v>
      </c>
      <c r="O974">
        <v>60</v>
      </c>
      <c r="P974" s="1">
        <v>0.40268456375838924</v>
      </c>
      <c r="Q974" s="1">
        <v>0.77450980392156865</v>
      </c>
      <c r="R974">
        <v>517</v>
      </c>
      <c r="S974">
        <v>43</v>
      </c>
      <c r="T974">
        <v>164</v>
      </c>
      <c r="U974">
        <v>123</v>
      </c>
      <c r="V974">
        <v>37</v>
      </c>
      <c r="W974">
        <v>22</v>
      </c>
      <c r="X974">
        <v>49</v>
      </c>
      <c r="Y974" s="5">
        <v>2.510204081632653</v>
      </c>
    </row>
    <row r="975" spans="1:25" x14ac:dyDescent="0.25">
      <c r="A975">
        <v>2020</v>
      </c>
      <c r="B975" t="s">
        <v>57</v>
      </c>
      <c r="C975">
        <v>10</v>
      </c>
      <c r="D975">
        <v>91</v>
      </c>
      <c r="E975" t="s">
        <v>25</v>
      </c>
      <c r="F975" t="s">
        <v>53</v>
      </c>
      <c r="G975">
        <f t="shared" si="15"/>
        <v>0</v>
      </c>
      <c r="H975">
        <v>1</v>
      </c>
      <c r="I975">
        <v>12</v>
      </c>
      <c r="J975">
        <v>0</v>
      </c>
      <c r="K975" s="6" t="s">
        <v>60</v>
      </c>
      <c r="L975" s="6" t="s">
        <v>75</v>
      </c>
      <c r="M975">
        <v>137</v>
      </c>
      <c r="N975" s="1">
        <v>0.48239436619718312</v>
      </c>
      <c r="O975">
        <v>29</v>
      </c>
      <c r="P975" s="1">
        <v>0.35365853658536583</v>
      </c>
      <c r="Q975" s="1">
        <v>0.75409836065573765</v>
      </c>
      <c r="R975">
        <v>349</v>
      </c>
      <c r="S975">
        <v>48</v>
      </c>
      <c r="T975">
        <v>118</v>
      </c>
      <c r="U975">
        <v>108</v>
      </c>
      <c r="V975">
        <v>27</v>
      </c>
      <c r="W975">
        <v>15</v>
      </c>
      <c r="X975">
        <v>65</v>
      </c>
      <c r="Y975" s="5">
        <v>1.6615384615384616</v>
      </c>
    </row>
    <row r="976" spans="1:25" x14ac:dyDescent="0.25">
      <c r="A976">
        <v>2020</v>
      </c>
      <c r="B976" t="s">
        <v>57</v>
      </c>
      <c r="C976">
        <v>10</v>
      </c>
      <c r="D976">
        <v>92</v>
      </c>
      <c r="E976" t="s">
        <v>99</v>
      </c>
      <c r="F976" t="s">
        <v>45</v>
      </c>
      <c r="G976">
        <f t="shared" si="15"/>
        <v>1</v>
      </c>
      <c r="H976">
        <v>10</v>
      </c>
      <c r="I976">
        <v>3</v>
      </c>
      <c r="J976">
        <v>0</v>
      </c>
      <c r="K976" s="6" t="s">
        <v>73</v>
      </c>
      <c r="L976" s="6" t="s">
        <v>74</v>
      </c>
      <c r="M976">
        <v>136</v>
      </c>
      <c r="N976" s="1">
        <v>0.45484949832775917</v>
      </c>
      <c r="O976">
        <v>47</v>
      </c>
      <c r="P976" s="1">
        <v>0.35877862595419846</v>
      </c>
      <c r="Q976" s="1">
        <v>0.70833333333333337</v>
      </c>
      <c r="R976">
        <v>353</v>
      </c>
      <c r="S976">
        <v>34</v>
      </c>
      <c r="T976">
        <v>124</v>
      </c>
      <c r="U976">
        <v>52</v>
      </c>
      <c r="V976">
        <v>18</v>
      </c>
      <c r="W976">
        <v>27</v>
      </c>
      <c r="X976">
        <v>41</v>
      </c>
      <c r="Y976" s="5">
        <v>1.2682926829268293</v>
      </c>
    </row>
    <row r="977" spans="1:25" x14ac:dyDescent="0.25">
      <c r="A977">
        <v>2020</v>
      </c>
      <c r="B977" t="s">
        <v>57</v>
      </c>
      <c r="C977">
        <v>10</v>
      </c>
      <c r="D977">
        <v>92</v>
      </c>
      <c r="E977" t="s">
        <v>35</v>
      </c>
      <c r="F977" t="s">
        <v>52</v>
      </c>
      <c r="G977">
        <f t="shared" si="15"/>
        <v>0</v>
      </c>
      <c r="H977">
        <v>3</v>
      </c>
      <c r="I977">
        <v>10</v>
      </c>
      <c r="J977">
        <v>0</v>
      </c>
      <c r="K977" s="6" t="s">
        <v>114</v>
      </c>
      <c r="L977" s="6" t="s">
        <v>90</v>
      </c>
      <c r="M977">
        <v>102</v>
      </c>
      <c r="N977" s="1">
        <v>0.43776824034334766</v>
      </c>
      <c r="O977">
        <v>29</v>
      </c>
      <c r="P977" s="1">
        <v>0.30208333333333331</v>
      </c>
      <c r="Q977" s="1">
        <v>0.65789473684210531</v>
      </c>
      <c r="R977">
        <v>258</v>
      </c>
      <c r="S977">
        <v>21</v>
      </c>
      <c r="T977">
        <v>74</v>
      </c>
      <c r="U977">
        <v>68</v>
      </c>
      <c r="V977">
        <v>15</v>
      </c>
      <c r="W977">
        <v>15</v>
      </c>
      <c r="X977">
        <v>30</v>
      </c>
      <c r="Y977" s="5">
        <v>2.2666666666666666</v>
      </c>
    </row>
    <row r="978" spans="1:25" x14ac:dyDescent="0.25">
      <c r="A978">
        <v>2020</v>
      </c>
      <c r="B978" t="s">
        <v>57</v>
      </c>
      <c r="C978">
        <v>10</v>
      </c>
      <c r="D978">
        <v>93</v>
      </c>
      <c r="E978" t="s">
        <v>28</v>
      </c>
      <c r="F978" t="s">
        <v>46</v>
      </c>
      <c r="G978">
        <f t="shared" si="15"/>
        <v>1</v>
      </c>
      <c r="H978">
        <v>8</v>
      </c>
      <c r="I978">
        <v>5</v>
      </c>
      <c r="J978">
        <v>0</v>
      </c>
      <c r="K978" s="6" t="s">
        <v>182</v>
      </c>
      <c r="L978" s="6" t="s">
        <v>76</v>
      </c>
      <c r="M978">
        <v>191</v>
      </c>
      <c r="N978" s="1">
        <v>0.45476190476190476</v>
      </c>
      <c r="O978">
        <v>50</v>
      </c>
      <c r="P978" s="1">
        <v>0.34246575342465752</v>
      </c>
      <c r="Q978" s="1">
        <v>0.85416666666666663</v>
      </c>
      <c r="R978">
        <v>514</v>
      </c>
      <c r="S978">
        <v>46</v>
      </c>
      <c r="T978">
        <v>150</v>
      </c>
      <c r="U978">
        <v>111</v>
      </c>
      <c r="V978">
        <v>20</v>
      </c>
      <c r="W978">
        <v>5</v>
      </c>
      <c r="X978">
        <v>58</v>
      </c>
      <c r="Y978" s="5">
        <v>1.9137931034482758</v>
      </c>
    </row>
    <row r="979" spans="1:25" x14ac:dyDescent="0.25">
      <c r="A979">
        <v>2020</v>
      </c>
      <c r="B979" t="s">
        <v>57</v>
      </c>
      <c r="C979">
        <v>10</v>
      </c>
      <c r="D979">
        <v>93</v>
      </c>
      <c r="E979" t="s">
        <v>181</v>
      </c>
      <c r="F979" t="s">
        <v>49</v>
      </c>
      <c r="G979">
        <f t="shared" si="15"/>
        <v>0</v>
      </c>
      <c r="H979">
        <v>5</v>
      </c>
      <c r="I979">
        <v>8</v>
      </c>
      <c r="J979">
        <v>0</v>
      </c>
      <c r="K979" s="6" t="s">
        <v>64</v>
      </c>
      <c r="L979" s="6" t="s">
        <v>80</v>
      </c>
      <c r="M979">
        <v>111</v>
      </c>
      <c r="N979" s="1">
        <v>0.53883495145631066</v>
      </c>
      <c r="O979">
        <v>28</v>
      </c>
      <c r="P979" s="1">
        <v>0.41176470588235292</v>
      </c>
      <c r="Q979" s="1">
        <v>0.90697674418604646</v>
      </c>
      <c r="R979">
        <v>289</v>
      </c>
      <c r="S979">
        <v>30</v>
      </c>
      <c r="T979">
        <v>81</v>
      </c>
      <c r="U979">
        <v>48</v>
      </c>
      <c r="V979">
        <v>15</v>
      </c>
      <c r="W979">
        <v>17</v>
      </c>
      <c r="X979">
        <v>32</v>
      </c>
      <c r="Y979" s="5">
        <v>1.5</v>
      </c>
    </row>
    <row r="980" spans="1:25" x14ac:dyDescent="0.25">
      <c r="A980">
        <v>2020</v>
      </c>
      <c r="B980" t="s">
        <v>57</v>
      </c>
      <c r="C980">
        <v>10</v>
      </c>
      <c r="D980">
        <v>94</v>
      </c>
      <c r="E980" t="s">
        <v>93</v>
      </c>
      <c r="F980" t="s">
        <v>189</v>
      </c>
      <c r="G980">
        <f t="shared" si="15"/>
        <v>0</v>
      </c>
      <c r="H980">
        <v>4</v>
      </c>
      <c r="I980">
        <v>9</v>
      </c>
      <c r="J980">
        <v>0</v>
      </c>
      <c r="K980" s="6" t="s">
        <v>66</v>
      </c>
      <c r="L980" s="6" t="s">
        <v>81</v>
      </c>
      <c r="M980">
        <v>128</v>
      </c>
      <c r="N980" s="1">
        <v>0.42809364548494983</v>
      </c>
      <c r="O980">
        <v>24</v>
      </c>
      <c r="P980" s="1">
        <v>0.27586206896551724</v>
      </c>
      <c r="Q980" s="1">
        <v>0.79381443298969068</v>
      </c>
      <c r="R980">
        <v>357</v>
      </c>
      <c r="S980">
        <v>60</v>
      </c>
      <c r="T980">
        <v>120</v>
      </c>
      <c r="U980">
        <v>78</v>
      </c>
      <c r="V980">
        <v>31</v>
      </c>
      <c r="W980">
        <v>16</v>
      </c>
      <c r="X980">
        <v>56</v>
      </c>
      <c r="Y980" s="5">
        <v>1.3928571428571428</v>
      </c>
    </row>
    <row r="981" spans="1:25" x14ac:dyDescent="0.25">
      <c r="A981">
        <v>2020</v>
      </c>
      <c r="B981" t="s">
        <v>57</v>
      </c>
      <c r="C981">
        <v>10</v>
      </c>
      <c r="D981">
        <v>94</v>
      </c>
      <c r="E981" t="s">
        <v>22</v>
      </c>
      <c r="F981" t="s">
        <v>44</v>
      </c>
      <c r="G981">
        <f t="shared" si="15"/>
        <v>1</v>
      </c>
      <c r="H981">
        <v>9</v>
      </c>
      <c r="I981">
        <v>4</v>
      </c>
      <c r="J981">
        <v>0</v>
      </c>
      <c r="K981" s="6" t="s">
        <v>104</v>
      </c>
      <c r="L981" s="6" t="s">
        <v>105</v>
      </c>
      <c r="M981">
        <v>185</v>
      </c>
      <c r="N981" s="1">
        <v>0.50408719346049047</v>
      </c>
      <c r="O981">
        <v>61</v>
      </c>
      <c r="P981" s="1">
        <v>0.42657342657342656</v>
      </c>
      <c r="Q981" s="1">
        <v>0.72</v>
      </c>
      <c r="R981">
        <v>485</v>
      </c>
      <c r="S981">
        <v>28</v>
      </c>
      <c r="T981">
        <v>141</v>
      </c>
      <c r="U981">
        <v>98</v>
      </c>
      <c r="V981">
        <v>22</v>
      </c>
      <c r="W981">
        <v>14</v>
      </c>
      <c r="X981">
        <v>51</v>
      </c>
      <c r="Y981" s="5">
        <v>1.9215686274509804</v>
      </c>
    </row>
    <row r="982" spans="1:25" x14ac:dyDescent="0.25">
      <c r="A982">
        <v>2020</v>
      </c>
      <c r="B982" t="s">
        <v>57</v>
      </c>
      <c r="C982">
        <v>10</v>
      </c>
      <c r="D982">
        <v>95</v>
      </c>
      <c r="E982" t="s">
        <v>23</v>
      </c>
      <c r="F982" t="s">
        <v>120</v>
      </c>
      <c r="G982">
        <f t="shared" si="15"/>
        <v>1</v>
      </c>
      <c r="H982">
        <v>9</v>
      </c>
      <c r="I982">
        <v>3</v>
      </c>
      <c r="J982">
        <v>1</v>
      </c>
      <c r="K982" s="6" t="s">
        <v>70</v>
      </c>
      <c r="L982" s="6" t="s">
        <v>87</v>
      </c>
      <c r="M982">
        <v>176</v>
      </c>
      <c r="N982" s="1">
        <v>0.44783715012722647</v>
      </c>
      <c r="O982">
        <v>66</v>
      </c>
      <c r="P982" s="1">
        <v>0.36263736263736263</v>
      </c>
      <c r="Q982" s="1">
        <v>0.83333333333333337</v>
      </c>
      <c r="R982">
        <v>498</v>
      </c>
      <c r="S982">
        <v>24</v>
      </c>
      <c r="T982">
        <v>144</v>
      </c>
      <c r="U982">
        <v>107</v>
      </c>
      <c r="V982">
        <v>41</v>
      </c>
      <c r="W982">
        <v>20</v>
      </c>
      <c r="X982">
        <v>53</v>
      </c>
      <c r="Y982" s="5">
        <v>2.0188679245283021</v>
      </c>
    </row>
    <row r="983" spans="1:25" x14ac:dyDescent="0.25">
      <c r="A983">
        <v>2020</v>
      </c>
      <c r="B983" t="s">
        <v>57</v>
      </c>
      <c r="C983">
        <v>10</v>
      </c>
      <c r="D983">
        <v>95</v>
      </c>
      <c r="E983" t="s">
        <v>21</v>
      </c>
      <c r="F983" t="s">
        <v>50</v>
      </c>
      <c r="G983">
        <f t="shared" si="15"/>
        <v>0</v>
      </c>
      <c r="H983">
        <v>3</v>
      </c>
      <c r="I983">
        <v>9</v>
      </c>
      <c r="J983">
        <v>1</v>
      </c>
      <c r="K983" s="6" t="s">
        <v>71</v>
      </c>
      <c r="L983" s="6" t="s">
        <v>121</v>
      </c>
      <c r="M983">
        <v>131</v>
      </c>
      <c r="N983" s="1">
        <v>0.47292418772563177</v>
      </c>
      <c r="O983">
        <v>26</v>
      </c>
      <c r="P983" s="1">
        <v>0.30588235294117649</v>
      </c>
      <c r="Q983" s="1">
        <v>0.83333333333333337</v>
      </c>
      <c r="R983">
        <v>348</v>
      </c>
      <c r="S983">
        <v>29</v>
      </c>
      <c r="T983">
        <v>96</v>
      </c>
      <c r="U983">
        <v>60</v>
      </c>
      <c r="V983">
        <v>19</v>
      </c>
      <c r="W983">
        <v>10</v>
      </c>
      <c r="X983">
        <v>41</v>
      </c>
      <c r="Y983" s="5">
        <v>1.4634146341463414</v>
      </c>
    </row>
    <row r="984" spans="1:25" x14ac:dyDescent="0.25">
      <c r="A984">
        <v>2020</v>
      </c>
      <c r="B984" t="s">
        <v>57</v>
      </c>
      <c r="C984">
        <v>10</v>
      </c>
      <c r="D984">
        <v>96</v>
      </c>
      <c r="E984" t="s">
        <v>33</v>
      </c>
      <c r="F984" t="s">
        <v>42</v>
      </c>
      <c r="G984">
        <f t="shared" si="15"/>
        <v>1</v>
      </c>
      <c r="H984">
        <v>10</v>
      </c>
      <c r="I984">
        <v>3</v>
      </c>
      <c r="J984">
        <v>0</v>
      </c>
      <c r="K984" s="6" t="s">
        <v>111</v>
      </c>
      <c r="L984" s="6" t="s">
        <v>89</v>
      </c>
      <c r="M984">
        <v>148</v>
      </c>
      <c r="N984" s="1">
        <v>0.50684931506849318</v>
      </c>
      <c r="O984">
        <v>30</v>
      </c>
      <c r="P984" s="1">
        <v>0.43478260869565216</v>
      </c>
      <c r="Q984" s="1">
        <v>0.66304347826086951</v>
      </c>
      <c r="R984">
        <v>387</v>
      </c>
      <c r="S984">
        <v>49</v>
      </c>
      <c r="T984">
        <v>162</v>
      </c>
      <c r="U984">
        <v>125</v>
      </c>
      <c r="V984">
        <v>31</v>
      </c>
      <c r="W984">
        <v>16</v>
      </c>
      <c r="X984">
        <v>57</v>
      </c>
      <c r="Y984" s="5">
        <v>2.192982456140351</v>
      </c>
    </row>
    <row r="985" spans="1:25" x14ac:dyDescent="0.25">
      <c r="A985">
        <v>2020</v>
      </c>
      <c r="B985" t="s">
        <v>57</v>
      </c>
      <c r="C985">
        <v>10</v>
      </c>
      <c r="D985">
        <v>96</v>
      </c>
      <c r="E985" t="s">
        <v>97</v>
      </c>
      <c r="F985" t="s">
        <v>54</v>
      </c>
      <c r="G985">
        <f t="shared" si="15"/>
        <v>0</v>
      </c>
      <c r="H985">
        <v>3</v>
      </c>
      <c r="I985">
        <v>10</v>
      </c>
      <c r="J985">
        <v>0</v>
      </c>
      <c r="K985" s="6" t="s">
        <v>72</v>
      </c>
      <c r="L985" s="6" t="s">
        <v>85</v>
      </c>
      <c r="M985">
        <v>121</v>
      </c>
      <c r="N985" s="1">
        <v>0.44649446494464945</v>
      </c>
      <c r="O985">
        <v>27</v>
      </c>
      <c r="P985" s="1">
        <v>0.29347826086956524</v>
      </c>
      <c r="Q985" s="1">
        <v>0.75324675324675328</v>
      </c>
      <c r="R985">
        <v>327</v>
      </c>
      <c r="S985">
        <v>35</v>
      </c>
      <c r="T985">
        <v>93</v>
      </c>
      <c r="U985">
        <v>51</v>
      </c>
      <c r="V985">
        <v>26</v>
      </c>
      <c r="W985">
        <v>17</v>
      </c>
      <c r="X985">
        <v>48</v>
      </c>
      <c r="Y985" s="5">
        <v>1.0625</v>
      </c>
    </row>
    <row r="986" spans="1:25" x14ac:dyDescent="0.25">
      <c r="A986">
        <v>2020</v>
      </c>
      <c r="B986" t="s">
        <v>57</v>
      </c>
      <c r="C986">
        <v>10</v>
      </c>
      <c r="D986">
        <v>97</v>
      </c>
      <c r="E986" t="s">
        <v>98</v>
      </c>
      <c r="F986" t="s">
        <v>41</v>
      </c>
      <c r="G986">
        <f t="shared" si="15"/>
        <v>0</v>
      </c>
      <c r="H986">
        <v>6</v>
      </c>
      <c r="I986">
        <v>7</v>
      </c>
      <c r="J986">
        <v>0</v>
      </c>
      <c r="K986" s="6" t="s">
        <v>65</v>
      </c>
      <c r="L986" s="6" t="s">
        <v>119</v>
      </c>
      <c r="M986">
        <v>150</v>
      </c>
      <c r="N986" s="1">
        <v>0.42134831460674155</v>
      </c>
      <c r="O986">
        <v>53</v>
      </c>
      <c r="P986" s="1">
        <v>0.37588652482269502</v>
      </c>
      <c r="Q986" s="1">
        <v>0.86315789473684212</v>
      </c>
      <c r="R986">
        <v>435</v>
      </c>
      <c r="S986">
        <v>33</v>
      </c>
      <c r="T986">
        <v>120</v>
      </c>
      <c r="U986">
        <v>100</v>
      </c>
      <c r="V986">
        <v>28</v>
      </c>
      <c r="W986">
        <v>11</v>
      </c>
      <c r="X986">
        <v>64</v>
      </c>
      <c r="Y986" s="5">
        <v>1.5625</v>
      </c>
    </row>
    <row r="987" spans="1:25" x14ac:dyDescent="0.25">
      <c r="A987">
        <v>2020</v>
      </c>
      <c r="B987" t="s">
        <v>57</v>
      </c>
      <c r="C987">
        <v>10</v>
      </c>
      <c r="D987">
        <v>97</v>
      </c>
      <c r="E987" t="s">
        <v>26</v>
      </c>
      <c r="F987" t="s">
        <v>118</v>
      </c>
      <c r="G987">
        <f t="shared" si="15"/>
        <v>1</v>
      </c>
      <c r="H987">
        <v>7</v>
      </c>
      <c r="I987">
        <v>6</v>
      </c>
      <c r="J987">
        <v>0</v>
      </c>
      <c r="K987" s="6" t="s">
        <v>112</v>
      </c>
      <c r="L987" s="6" t="s">
        <v>88</v>
      </c>
      <c r="M987">
        <v>149</v>
      </c>
      <c r="N987" s="1">
        <v>0.50168350168350173</v>
      </c>
      <c r="O987">
        <v>39</v>
      </c>
      <c r="P987" s="1">
        <v>0.3577981651376147</v>
      </c>
      <c r="Q987" s="1">
        <v>0.77777777777777779</v>
      </c>
      <c r="R987">
        <v>386</v>
      </c>
      <c r="S987">
        <v>45</v>
      </c>
      <c r="T987">
        <v>166</v>
      </c>
      <c r="U987">
        <v>106</v>
      </c>
      <c r="V987">
        <v>23</v>
      </c>
      <c r="W987">
        <v>25</v>
      </c>
      <c r="X987">
        <v>42</v>
      </c>
      <c r="Y987" s="5">
        <v>2.5238095238095237</v>
      </c>
    </row>
    <row r="988" spans="1:25" x14ac:dyDescent="0.25">
      <c r="A988">
        <v>2020</v>
      </c>
      <c r="B988" t="s">
        <v>57</v>
      </c>
      <c r="C988">
        <v>10</v>
      </c>
      <c r="D988">
        <v>98</v>
      </c>
      <c r="E988" t="s">
        <v>159</v>
      </c>
      <c r="F988" t="s">
        <v>116</v>
      </c>
      <c r="G988">
        <f t="shared" si="15"/>
        <v>1</v>
      </c>
      <c r="H988">
        <v>10</v>
      </c>
      <c r="I988">
        <v>3</v>
      </c>
      <c r="J988">
        <v>0</v>
      </c>
      <c r="K988" s="6" t="s">
        <v>62</v>
      </c>
      <c r="L988" s="6" t="s">
        <v>78</v>
      </c>
      <c r="M988">
        <v>166</v>
      </c>
      <c r="N988" s="1">
        <v>0.44743935309973049</v>
      </c>
      <c r="O988">
        <v>66</v>
      </c>
      <c r="P988" s="1">
        <v>0.38823529411764707</v>
      </c>
      <c r="Q988" s="1">
        <v>0.81609195402298851</v>
      </c>
      <c r="R988">
        <v>469</v>
      </c>
      <c r="S988">
        <v>33</v>
      </c>
      <c r="T988">
        <v>132</v>
      </c>
      <c r="U988">
        <v>96</v>
      </c>
      <c r="V988">
        <v>25</v>
      </c>
      <c r="W988">
        <v>19</v>
      </c>
      <c r="X988">
        <v>61</v>
      </c>
      <c r="Y988" s="5">
        <v>1.5737704918032787</v>
      </c>
    </row>
    <row r="989" spans="1:25" x14ac:dyDescent="0.25">
      <c r="A989">
        <v>2020</v>
      </c>
      <c r="B989" t="s">
        <v>57</v>
      </c>
      <c r="C989">
        <v>10</v>
      </c>
      <c r="D989">
        <v>98</v>
      </c>
      <c r="E989" t="s">
        <v>20</v>
      </c>
      <c r="F989" t="s">
        <v>47</v>
      </c>
      <c r="G989">
        <f t="shared" si="15"/>
        <v>0</v>
      </c>
      <c r="H989">
        <v>3</v>
      </c>
      <c r="I989">
        <v>10</v>
      </c>
      <c r="J989">
        <v>0</v>
      </c>
      <c r="K989" s="6" t="s">
        <v>193</v>
      </c>
      <c r="L989" s="6" t="s">
        <v>117</v>
      </c>
      <c r="M989">
        <v>132</v>
      </c>
      <c r="N989" s="1">
        <v>0.45993031358885017</v>
      </c>
      <c r="O989">
        <v>28</v>
      </c>
      <c r="P989" s="1">
        <v>0.32183908045977011</v>
      </c>
      <c r="Q989" s="1">
        <v>0.69135802469135799</v>
      </c>
      <c r="R989">
        <v>348</v>
      </c>
      <c r="S989">
        <v>27</v>
      </c>
      <c r="T989">
        <v>114</v>
      </c>
      <c r="U989">
        <v>72</v>
      </c>
      <c r="V989">
        <v>21</v>
      </c>
      <c r="W989">
        <v>13</v>
      </c>
      <c r="X989">
        <v>42</v>
      </c>
      <c r="Y989" s="5">
        <v>1.7142857142857142</v>
      </c>
    </row>
    <row r="990" spans="1:25" x14ac:dyDescent="0.25">
      <c r="A990">
        <v>2020</v>
      </c>
      <c r="B990" t="s">
        <v>57</v>
      </c>
      <c r="C990">
        <v>10</v>
      </c>
      <c r="D990">
        <v>99</v>
      </c>
      <c r="E990" t="s">
        <v>190</v>
      </c>
      <c r="F990" t="s">
        <v>103</v>
      </c>
      <c r="G990">
        <f t="shared" si="15"/>
        <v>1</v>
      </c>
      <c r="H990">
        <v>9</v>
      </c>
      <c r="I990">
        <v>4</v>
      </c>
      <c r="J990">
        <v>0</v>
      </c>
      <c r="K990" s="6" t="s">
        <v>63</v>
      </c>
      <c r="L990" s="6" t="s">
        <v>79</v>
      </c>
      <c r="M990">
        <v>210</v>
      </c>
      <c r="N990" s="1">
        <v>0.45356371490280778</v>
      </c>
      <c r="O990">
        <v>64</v>
      </c>
      <c r="P990" s="1">
        <v>0.3595505617977528</v>
      </c>
      <c r="Q990" s="1">
        <v>0.76041666666666663</v>
      </c>
      <c r="R990">
        <v>557</v>
      </c>
      <c r="S990">
        <v>28</v>
      </c>
      <c r="T990">
        <v>117</v>
      </c>
      <c r="U990">
        <v>120</v>
      </c>
      <c r="V990">
        <v>37</v>
      </c>
      <c r="W990">
        <v>32</v>
      </c>
      <c r="X990">
        <v>72</v>
      </c>
      <c r="Y990" s="5">
        <v>1.6666666666666667</v>
      </c>
    </row>
    <row r="991" spans="1:25" x14ac:dyDescent="0.25">
      <c r="A991">
        <v>2020</v>
      </c>
      <c r="B991" t="s">
        <v>57</v>
      </c>
      <c r="C991">
        <v>10</v>
      </c>
      <c r="D991">
        <v>99</v>
      </c>
      <c r="E991" t="s">
        <v>17</v>
      </c>
      <c r="F991" t="s">
        <v>43</v>
      </c>
      <c r="G991">
        <f t="shared" si="15"/>
        <v>0</v>
      </c>
      <c r="H991">
        <v>4</v>
      </c>
      <c r="I991">
        <v>9</v>
      </c>
      <c r="J991">
        <v>0</v>
      </c>
      <c r="K991" s="6" t="s">
        <v>191</v>
      </c>
      <c r="L991" s="6" t="s">
        <v>113</v>
      </c>
      <c r="M991">
        <v>137</v>
      </c>
      <c r="N991" s="1">
        <v>0.45065789473684209</v>
      </c>
      <c r="O991">
        <v>34</v>
      </c>
      <c r="P991" s="1">
        <v>0.30630630630630629</v>
      </c>
      <c r="Q991" s="1">
        <v>0.82352941176470584</v>
      </c>
      <c r="R991">
        <v>378</v>
      </c>
      <c r="S991">
        <v>29</v>
      </c>
      <c r="T991">
        <v>124</v>
      </c>
      <c r="U991">
        <v>85</v>
      </c>
      <c r="V991">
        <v>26</v>
      </c>
      <c r="W991">
        <v>21</v>
      </c>
      <c r="X991">
        <v>54</v>
      </c>
      <c r="Y991" s="5">
        <v>1.5740740740740742</v>
      </c>
    </row>
    <row r="992" spans="1:25" x14ac:dyDescent="0.25">
      <c r="A992">
        <v>2020</v>
      </c>
      <c r="B992" t="s">
        <v>57</v>
      </c>
      <c r="C992">
        <v>10</v>
      </c>
      <c r="D992">
        <v>100</v>
      </c>
      <c r="E992" t="s">
        <v>15</v>
      </c>
      <c r="F992" t="s">
        <v>48</v>
      </c>
      <c r="G992">
        <f t="shared" si="15"/>
        <v>1</v>
      </c>
      <c r="H992">
        <v>10</v>
      </c>
      <c r="I992">
        <v>3</v>
      </c>
      <c r="J992">
        <v>0</v>
      </c>
      <c r="K992" s="6" t="s">
        <v>106</v>
      </c>
      <c r="L992" s="6" t="s">
        <v>83</v>
      </c>
      <c r="M992">
        <v>182</v>
      </c>
      <c r="N992" s="1">
        <v>0.46786632390745503</v>
      </c>
      <c r="O992">
        <v>44</v>
      </c>
      <c r="P992" s="1">
        <v>0.35772357723577236</v>
      </c>
      <c r="Q992" s="1">
        <v>0.81395348837209303</v>
      </c>
      <c r="R992">
        <v>513</v>
      </c>
      <c r="S992">
        <v>43</v>
      </c>
      <c r="T992">
        <v>156</v>
      </c>
      <c r="U992">
        <v>95</v>
      </c>
      <c r="V992">
        <v>38</v>
      </c>
      <c r="W992">
        <v>23</v>
      </c>
      <c r="X992">
        <v>65</v>
      </c>
      <c r="Y992" s="5">
        <v>1.4615384615384615</v>
      </c>
    </row>
    <row r="993" spans="1:25" x14ac:dyDescent="0.25">
      <c r="A993">
        <v>2020</v>
      </c>
      <c r="B993" t="s">
        <v>57</v>
      </c>
      <c r="C993">
        <v>10</v>
      </c>
      <c r="D993">
        <v>100</v>
      </c>
      <c r="E993" t="s">
        <v>94</v>
      </c>
      <c r="F993" t="s">
        <v>40</v>
      </c>
      <c r="G993">
        <f t="shared" si="15"/>
        <v>0</v>
      </c>
      <c r="H993">
        <v>3</v>
      </c>
      <c r="I993">
        <v>10</v>
      </c>
      <c r="J993">
        <v>0</v>
      </c>
      <c r="K993" s="6" t="s">
        <v>61</v>
      </c>
      <c r="L993" s="6" t="s">
        <v>77</v>
      </c>
      <c r="M993">
        <v>123</v>
      </c>
      <c r="N993" s="1">
        <v>0.49003984063745021</v>
      </c>
      <c r="O993">
        <v>32</v>
      </c>
      <c r="P993" s="1">
        <v>0.37209302325581395</v>
      </c>
      <c r="Q993" s="1">
        <v>0.76666666666666672</v>
      </c>
      <c r="R993">
        <v>324</v>
      </c>
      <c r="S993">
        <v>27</v>
      </c>
      <c r="T993">
        <v>111</v>
      </c>
      <c r="U993">
        <v>65</v>
      </c>
      <c r="V993">
        <v>32</v>
      </c>
      <c r="W993">
        <v>15</v>
      </c>
      <c r="X993">
        <v>45</v>
      </c>
      <c r="Y993" s="5">
        <v>1.4444444444444444</v>
      </c>
    </row>
    <row r="994" spans="1:25" x14ac:dyDescent="0.25">
      <c r="A994">
        <v>2020</v>
      </c>
      <c r="B994" t="s">
        <v>57</v>
      </c>
      <c r="C994">
        <v>11</v>
      </c>
      <c r="D994">
        <v>101</v>
      </c>
      <c r="E994" t="s">
        <v>181</v>
      </c>
      <c r="F994" t="s">
        <v>49</v>
      </c>
      <c r="G994">
        <f t="shared" si="15"/>
        <v>1</v>
      </c>
      <c r="H994">
        <v>7</v>
      </c>
      <c r="I994">
        <v>6</v>
      </c>
      <c r="J994">
        <v>0</v>
      </c>
      <c r="K994" s="6" t="s">
        <v>73</v>
      </c>
      <c r="L994" s="6" t="s">
        <v>74</v>
      </c>
      <c r="M994">
        <v>167</v>
      </c>
      <c r="N994" s="1">
        <v>0.46005509641873277</v>
      </c>
      <c r="O994">
        <v>31</v>
      </c>
      <c r="P994" s="1">
        <v>0.35227272727272729</v>
      </c>
      <c r="Q994" s="1">
        <v>0.76033057851239672</v>
      </c>
      <c r="R994">
        <v>457</v>
      </c>
      <c r="S994">
        <v>44</v>
      </c>
      <c r="T994">
        <v>117</v>
      </c>
      <c r="U994">
        <v>66</v>
      </c>
      <c r="V994">
        <v>20</v>
      </c>
      <c r="W994">
        <v>30</v>
      </c>
      <c r="X994">
        <v>54</v>
      </c>
      <c r="Y994" s="5">
        <v>1.2222222222222223</v>
      </c>
    </row>
    <row r="995" spans="1:25" x14ac:dyDescent="0.25">
      <c r="A995">
        <v>2020</v>
      </c>
      <c r="B995" t="s">
        <v>57</v>
      </c>
      <c r="C995">
        <v>11</v>
      </c>
      <c r="D995">
        <v>101</v>
      </c>
      <c r="E995" t="s">
        <v>35</v>
      </c>
      <c r="F995" t="s">
        <v>52</v>
      </c>
      <c r="G995">
        <f t="shared" si="15"/>
        <v>0</v>
      </c>
      <c r="H995">
        <v>6</v>
      </c>
      <c r="I995">
        <v>7</v>
      </c>
      <c r="J995">
        <v>0</v>
      </c>
      <c r="K995" s="6" t="s">
        <v>182</v>
      </c>
      <c r="L995" s="6" t="s">
        <v>76</v>
      </c>
      <c r="M995">
        <v>105</v>
      </c>
      <c r="N995" s="1">
        <v>0.45652173913043476</v>
      </c>
      <c r="O995">
        <v>33</v>
      </c>
      <c r="P995" s="1">
        <v>0.37931034482758619</v>
      </c>
      <c r="Q995" s="1">
        <v>0.7857142857142857</v>
      </c>
      <c r="R995">
        <v>276</v>
      </c>
      <c r="S995">
        <v>26</v>
      </c>
      <c r="T995">
        <v>82</v>
      </c>
      <c r="U995">
        <v>78</v>
      </c>
      <c r="V995">
        <v>13</v>
      </c>
      <c r="W995">
        <v>10</v>
      </c>
      <c r="X995">
        <v>30</v>
      </c>
      <c r="Y995" s="5">
        <v>2.6</v>
      </c>
    </row>
    <row r="996" spans="1:25" x14ac:dyDescent="0.25">
      <c r="A996">
        <v>2020</v>
      </c>
      <c r="B996" t="s">
        <v>57</v>
      </c>
      <c r="C996">
        <v>11</v>
      </c>
      <c r="D996">
        <v>102</v>
      </c>
      <c r="E996" t="s">
        <v>15</v>
      </c>
      <c r="F996" t="s">
        <v>48</v>
      </c>
      <c r="G996">
        <f t="shared" si="15"/>
        <v>0</v>
      </c>
      <c r="H996">
        <v>3</v>
      </c>
      <c r="I996">
        <v>9</v>
      </c>
      <c r="J996">
        <v>1</v>
      </c>
      <c r="K996" s="6" t="s">
        <v>66</v>
      </c>
      <c r="L996" s="6" t="s">
        <v>81</v>
      </c>
      <c r="M996">
        <v>153</v>
      </c>
      <c r="N996" s="1">
        <v>0.45671641791044776</v>
      </c>
      <c r="O996">
        <v>39</v>
      </c>
      <c r="P996" s="1">
        <v>0.35454545454545455</v>
      </c>
      <c r="Q996" s="1">
        <v>0.81318681318681318</v>
      </c>
      <c r="R996">
        <v>419</v>
      </c>
      <c r="S996">
        <v>30</v>
      </c>
      <c r="T996">
        <v>93</v>
      </c>
      <c r="U996">
        <v>69</v>
      </c>
      <c r="V996">
        <v>20</v>
      </c>
      <c r="W996">
        <v>16</v>
      </c>
      <c r="X996">
        <v>53</v>
      </c>
      <c r="Y996" s="5">
        <v>1.3018867924528301</v>
      </c>
    </row>
    <row r="997" spans="1:25" x14ac:dyDescent="0.25">
      <c r="A997">
        <v>2020</v>
      </c>
      <c r="B997" t="s">
        <v>57</v>
      </c>
      <c r="C997">
        <v>11</v>
      </c>
      <c r="D997">
        <v>102</v>
      </c>
      <c r="E997" t="s">
        <v>22</v>
      </c>
      <c r="F997" t="s">
        <v>44</v>
      </c>
      <c r="G997">
        <f t="shared" si="15"/>
        <v>1</v>
      </c>
      <c r="H997">
        <v>9</v>
      </c>
      <c r="I997">
        <v>3</v>
      </c>
      <c r="J997">
        <v>1</v>
      </c>
      <c r="K997" s="6" t="s">
        <v>61</v>
      </c>
      <c r="L997" s="6" t="s">
        <v>77</v>
      </c>
      <c r="M997">
        <v>153</v>
      </c>
      <c r="N997" s="1">
        <v>0.46932515337423314</v>
      </c>
      <c r="O997">
        <v>59</v>
      </c>
      <c r="P997" s="1">
        <v>0.40136054421768708</v>
      </c>
      <c r="Q997" s="1">
        <v>0.84615384615384615</v>
      </c>
      <c r="R997">
        <v>442</v>
      </c>
      <c r="S997">
        <v>27</v>
      </c>
      <c r="T997">
        <v>149</v>
      </c>
      <c r="U997">
        <v>100</v>
      </c>
      <c r="V997">
        <v>16</v>
      </c>
      <c r="W997">
        <v>19</v>
      </c>
      <c r="X997">
        <v>68</v>
      </c>
      <c r="Y997" s="5">
        <v>1.4705882352941178</v>
      </c>
    </row>
    <row r="998" spans="1:25" x14ac:dyDescent="0.25">
      <c r="A998">
        <v>2020</v>
      </c>
      <c r="B998" t="s">
        <v>57</v>
      </c>
      <c r="C998">
        <v>11</v>
      </c>
      <c r="D998">
        <v>103</v>
      </c>
      <c r="E998" t="s">
        <v>23</v>
      </c>
      <c r="F998" t="s">
        <v>120</v>
      </c>
      <c r="G998">
        <f t="shared" si="15"/>
        <v>1</v>
      </c>
      <c r="H998">
        <v>10</v>
      </c>
      <c r="I998">
        <v>3</v>
      </c>
      <c r="J998">
        <v>0</v>
      </c>
      <c r="K998" s="6" t="s">
        <v>63</v>
      </c>
      <c r="L998" s="6" t="s">
        <v>79</v>
      </c>
      <c r="M998">
        <v>192</v>
      </c>
      <c r="N998" s="1">
        <v>0.45823389021479716</v>
      </c>
      <c r="O998">
        <v>58</v>
      </c>
      <c r="P998" s="1">
        <v>0.3473053892215569</v>
      </c>
      <c r="Q998" s="1">
        <v>0.8029197080291971</v>
      </c>
      <c r="R998">
        <v>552</v>
      </c>
      <c r="S998">
        <v>28</v>
      </c>
      <c r="T998">
        <v>150</v>
      </c>
      <c r="U998">
        <v>89</v>
      </c>
      <c r="V998">
        <v>27</v>
      </c>
      <c r="W998">
        <v>26</v>
      </c>
      <c r="X998">
        <v>38</v>
      </c>
      <c r="Y998" s="5">
        <v>2.3421052631578947</v>
      </c>
    </row>
    <row r="999" spans="1:25" x14ac:dyDescent="0.25">
      <c r="A999">
        <v>2020</v>
      </c>
      <c r="B999" t="s">
        <v>57</v>
      </c>
      <c r="C999">
        <v>11</v>
      </c>
      <c r="D999">
        <v>103</v>
      </c>
      <c r="E999" t="s">
        <v>17</v>
      </c>
      <c r="F999" t="s">
        <v>43</v>
      </c>
      <c r="G999">
        <f t="shared" si="15"/>
        <v>0</v>
      </c>
      <c r="H999">
        <v>3</v>
      </c>
      <c r="I999">
        <v>10</v>
      </c>
      <c r="J999">
        <v>0</v>
      </c>
      <c r="K999" s="6" t="s">
        <v>71</v>
      </c>
      <c r="L999" s="6" t="s">
        <v>121</v>
      </c>
      <c r="M999">
        <v>87</v>
      </c>
      <c r="N999" s="1">
        <v>0.41826923076923078</v>
      </c>
      <c r="O999">
        <v>16</v>
      </c>
      <c r="P999" s="1">
        <v>0.23529411764705882</v>
      </c>
      <c r="Q999" s="1">
        <v>0.81632653061224492</v>
      </c>
      <c r="R999">
        <v>230</v>
      </c>
      <c r="S999">
        <v>20</v>
      </c>
      <c r="T999">
        <v>83</v>
      </c>
      <c r="U999">
        <v>79</v>
      </c>
      <c r="V999">
        <v>24</v>
      </c>
      <c r="W999">
        <v>15</v>
      </c>
      <c r="X999">
        <v>27</v>
      </c>
      <c r="Y999" s="5">
        <v>2.925925925925926</v>
      </c>
    </row>
    <row r="1000" spans="1:25" x14ac:dyDescent="0.25">
      <c r="A1000">
        <v>2020</v>
      </c>
      <c r="B1000" t="s">
        <v>57</v>
      </c>
      <c r="C1000">
        <v>11</v>
      </c>
      <c r="D1000">
        <v>104</v>
      </c>
      <c r="E1000" t="s">
        <v>93</v>
      </c>
      <c r="F1000" t="s">
        <v>189</v>
      </c>
      <c r="G1000">
        <f t="shared" si="15"/>
        <v>1</v>
      </c>
      <c r="H1000">
        <v>9</v>
      </c>
      <c r="I1000">
        <v>4</v>
      </c>
      <c r="J1000">
        <v>0</v>
      </c>
      <c r="K1000" s="6" t="s">
        <v>193</v>
      </c>
      <c r="L1000" s="6" t="s">
        <v>117</v>
      </c>
      <c r="M1000">
        <v>148</v>
      </c>
      <c r="N1000" s="1">
        <v>0.44444444444444442</v>
      </c>
      <c r="O1000">
        <v>42</v>
      </c>
      <c r="P1000" s="1">
        <v>0.33600000000000002</v>
      </c>
      <c r="Q1000" s="1">
        <v>0.79562043795620441</v>
      </c>
      <c r="R1000">
        <v>447</v>
      </c>
      <c r="S1000">
        <v>47</v>
      </c>
      <c r="T1000">
        <v>144</v>
      </c>
      <c r="U1000">
        <v>134</v>
      </c>
      <c r="V1000">
        <v>30</v>
      </c>
      <c r="W1000">
        <v>25</v>
      </c>
      <c r="X1000">
        <v>54</v>
      </c>
      <c r="Y1000" s="5">
        <v>2.4814814814814814</v>
      </c>
    </row>
    <row r="1001" spans="1:25" x14ac:dyDescent="0.25">
      <c r="A1001">
        <v>2020</v>
      </c>
      <c r="B1001" t="s">
        <v>57</v>
      </c>
      <c r="C1001">
        <v>11</v>
      </c>
      <c r="D1001">
        <v>104</v>
      </c>
      <c r="E1001" t="s">
        <v>159</v>
      </c>
      <c r="F1001" t="s">
        <v>116</v>
      </c>
      <c r="G1001">
        <f t="shared" si="15"/>
        <v>0</v>
      </c>
      <c r="H1001">
        <v>4</v>
      </c>
      <c r="I1001">
        <v>9</v>
      </c>
      <c r="J1001">
        <v>0</v>
      </c>
      <c r="K1001" s="6" t="s">
        <v>104</v>
      </c>
      <c r="L1001" s="6" t="s">
        <v>105</v>
      </c>
      <c r="M1001">
        <v>126</v>
      </c>
      <c r="N1001" s="1">
        <v>0.5</v>
      </c>
      <c r="O1001">
        <v>26</v>
      </c>
      <c r="P1001" s="1">
        <v>0.42622950819672129</v>
      </c>
      <c r="Q1001" s="1">
        <v>0.78787878787878785</v>
      </c>
      <c r="R1001">
        <v>330</v>
      </c>
      <c r="S1001">
        <v>50</v>
      </c>
      <c r="T1001">
        <v>134</v>
      </c>
      <c r="U1001">
        <v>56</v>
      </c>
      <c r="V1001">
        <v>17</v>
      </c>
      <c r="W1001">
        <v>16</v>
      </c>
      <c r="X1001">
        <v>52</v>
      </c>
      <c r="Y1001" s="5">
        <v>1.0769230769230769</v>
      </c>
    </row>
    <row r="1002" spans="1:25" x14ac:dyDescent="0.25">
      <c r="A1002">
        <v>2020</v>
      </c>
      <c r="B1002" t="s">
        <v>57</v>
      </c>
      <c r="C1002">
        <v>11</v>
      </c>
      <c r="D1002">
        <v>105</v>
      </c>
      <c r="E1002" t="s">
        <v>98</v>
      </c>
      <c r="F1002" t="s">
        <v>41</v>
      </c>
      <c r="G1002">
        <f t="shared" si="15"/>
        <v>1</v>
      </c>
      <c r="H1002">
        <v>8</v>
      </c>
      <c r="I1002">
        <v>4</v>
      </c>
      <c r="J1002">
        <v>1</v>
      </c>
      <c r="K1002" s="6" t="s">
        <v>68</v>
      </c>
      <c r="L1002" s="6" t="s">
        <v>84</v>
      </c>
      <c r="M1002">
        <v>177</v>
      </c>
      <c r="N1002" s="1">
        <v>0.42548076923076922</v>
      </c>
      <c r="O1002">
        <v>81</v>
      </c>
      <c r="P1002" s="1">
        <v>0.41538461538461541</v>
      </c>
      <c r="Q1002" s="1">
        <v>0.77622377622377625</v>
      </c>
      <c r="R1002">
        <v>546</v>
      </c>
      <c r="S1002">
        <v>23</v>
      </c>
      <c r="T1002">
        <v>85</v>
      </c>
      <c r="U1002">
        <v>121</v>
      </c>
      <c r="V1002">
        <v>29</v>
      </c>
      <c r="W1002">
        <v>13</v>
      </c>
      <c r="X1002">
        <v>41</v>
      </c>
      <c r="Y1002" s="5">
        <v>2.9512195121951219</v>
      </c>
    </row>
    <row r="1003" spans="1:25" x14ac:dyDescent="0.25">
      <c r="A1003">
        <v>2020</v>
      </c>
      <c r="B1003" t="s">
        <v>57</v>
      </c>
      <c r="C1003">
        <v>11</v>
      </c>
      <c r="D1003">
        <v>105</v>
      </c>
      <c r="E1003" t="s">
        <v>25</v>
      </c>
      <c r="F1003" t="s">
        <v>53</v>
      </c>
      <c r="G1003">
        <f t="shared" si="15"/>
        <v>0</v>
      </c>
      <c r="H1003">
        <v>4</v>
      </c>
      <c r="I1003">
        <v>8</v>
      </c>
      <c r="J1003">
        <v>1</v>
      </c>
      <c r="K1003" s="6" t="s">
        <v>112</v>
      </c>
      <c r="L1003" s="6" t="s">
        <v>88</v>
      </c>
      <c r="M1003">
        <v>116</v>
      </c>
      <c r="N1003" s="1">
        <v>0.46963562753036436</v>
      </c>
      <c r="O1003">
        <v>16</v>
      </c>
      <c r="P1003" s="1">
        <v>0.34042553191489361</v>
      </c>
      <c r="Q1003" s="1">
        <v>0.69736842105263153</v>
      </c>
      <c r="R1003">
        <v>301</v>
      </c>
      <c r="S1003">
        <v>38</v>
      </c>
      <c r="T1003">
        <v>91</v>
      </c>
      <c r="U1003">
        <v>68</v>
      </c>
      <c r="V1003">
        <v>16</v>
      </c>
      <c r="W1003">
        <v>13</v>
      </c>
      <c r="X1003">
        <v>39</v>
      </c>
      <c r="Y1003" s="5">
        <v>1.7435897435897436</v>
      </c>
    </row>
    <row r="1004" spans="1:25" x14ac:dyDescent="0.25">
      <c r="A1004">
        <v>2020</v>
      </c>
      <c r="B1004" t="s">
        <v>57</v>
      </c>
      <c r="C1004">
        <v>11</v>
      </c>
      <c r="D1004">
        <v>106</v>
      </c>
      <c r="E1004" t="s">
        <v>190</v>
      </c>
      <c r="F1004" t="s">
        <v>103</v>
      </c>
      <c r="G1004">
        <f t="shared" si="15"/>
        <v>1</v>
      </c>
      <c r="H1004">
        <v>10</v>
      </c>
      <c r="I1004">
        <v>3</v>
      </c>
      <c r="J1004">
        <v>0</v>
      </c>
      <c r="K1004" s="6" t="s">
        <v>65</v>
      </c>
      <c r="L1004" s="6" t="s">
        <v>119</v>
      </c>
      <c r="M1004">
        <v>162</v>
      </c>
      <c r="N1004" s="1">
        <v>0.48214285714285715</v>
      </c>
      <c r="O1004">
        <v>46</v>
      </c>
      <c r="P1004" s="1">
        <v>0.36799999999999999</v>
      </c>
      <c r="Q1004" s="1">
        <v>0.82558139534883723</v>
      </c>
      <c r="R1004">
        <v>441</v>
      </c>
      <c r="S1004">
        <v>16</v>
      </c>
      <c r="T1004">
        <v>117</v>
      </c>
      <c r="U1004">
        <v>125</v>
      </c>
      <c r="V1004">
        <v>29</v>
      </c>
      <c r="W1004">
        <v>28</v>
      </c>
      <c r="X1004">
        <v>53</v>
      </c>
      <c r="Y1004" s="5">
        <v>2.358490566037736</v>
      </c>
    </row>
    <row r="1005" spans="1:25" x14ac:dyDescent="0.25">
      <c r="A1005">
        <v>2020</v>
      </c>
      <c r="B1005" t="s">
        <v>57</v>
      </c>
      <c r="C1005">
        <v>11</v>
      </c>
      <c r="D1005">
        <v>106</v>
      </c>
      <c r="E1005" t="s">
        <v>26</v>
      </c>
      <c r="F1005" t="s">
        <v>118</v>
      </c>
      <c r="G1005">
        <f t="shared" si="15"/>
        <v>0</v>
      </c>
      <c r="H1005">
        <v>3</v>
      </c>
      <c r="I1005">
        <v>10</v>
      </c>
      <c r="J1005">
        <v>0</v>
      </c>
      <c r="K1005" s="6" t="s">
        <v>191</v>
      </c>
      <c r="L1005" s="6" t="s">
        <v>113</v>
      </c>
      <c r="M1005">
        <v>155</v>
      </c>
      <c r="N1005" s="1">
        <v>0.45321637426900585</v>
      </c>
      <c r="O1005">
        <v>44</v>
      </c>
      <c r="P1005" s="1">
        <v>0.35199999999999998</v>
      </c>
      <c r="Q1005" s="1">
        <v>0.75</v>
      </c>
      <c r="R1005">
        <v>408</v>
      </c>
      <c r="S1005">
        <v>52</v>
      </c>
      <c r="T1005">
        <v>173</v>
      </c>
      <c r="U1005">
        <v>108</v>
      </c>
      <c r="V1005">
        <v>23</v>
      </c>
      <c r="W1005">
        <v>19</v>
      </c>
      <c r="X1005">
        <v>51</v>
      </c>
      <c r="Y1005" s="5">
        <v>2.1176470588235294</v>
      </c>
    </row>
    <row r="1006" spans="1:25" x14ac:dyDescent="0.25">
      <c r="A1006">
        <v>2020</v>
      </c>
      <c r="B1006" t="s">
        <v>57</v>
      </c>
      <c r="C1006">
        <v>11</v>
      </c>
      <c r="D1006">
        <v>107</v>
      </c>
      <c r="E1006" t="s">
        <v>97</v>
      </c>
      <c r="F1006" t="s">
        <v>54</v>
      </c>
      <c r="G1006">
        <f t="shared" si="15"/>
        <v>1</v>
      </c>
      <c r="H1006">
        <v>9</v>
      </c>
      <c r="I1006">
        <v>4</v>
      </c>
      <c r="J1006">
        <v>0</v>
      </c>
      <c r="K1006" s="6" t="s">
        <v>114</v>
      </c>
      <c r="L1006" s="6" t="s">
        <v>90</v>
      </c>
      <c r="M1006">
        <v>142</v>
      </c>
      <c r="N1006" s="1">
        <v>0.46710526315789475</v>
      </c>
      <c r="O1006">
        <v>35</v>
      </c>
      <c r="P1006" s="1">
        <v>0.35</v>
      </c>
      <c r="Q1006" s="1">
        <v>0.77570093457943923</v>
      </c>
      <c r="R1006">
        <v>402</v>
      </c>
      <c r="S1006">
        <v>47</v>
      </c>
      <c r="T1006">
        <v>156</v>
      </c>
      <c r="U1006">
        <v>71</v>
      </c>
      <c r="V1006">
        <v>21</v>
      </c>
      <c r="W1006">
        <v>23</v>
      </c>
      <c r="X1006">
        <v>46</v>
      </c>
      <c r="Y1006" s="5">
        <v>1.5434782608695652</v>
      </c>
    </row>
    <row r="1007" spans="1:25" x14ac:dyDescent="0.25">
      <c r="A1007">
        <v>2020</v>
      </c>
      <c r="B1007" t="s">
        <v>57</v>
      </c>
      <c r="C1007">
        <v>11</v>
      </c>
      <c r="D1007">
        <v>107</v>
      </c>
      <c r="E1007" t="s">
        <v>99</v>
      </c>
      <c r="F1007" t="s">
        <v>45</v>
      </c>
      <c r="G1007">
        <f t="shared" si="15"/>
        <v>0</v>
      </c>
      <c r="H1007">
        <v>4</v>
      </c>
      <c r="I1007">
        <v>9</v>
      </c>
      <c r="J1007">
        <v>0</v>
      </c>
      <c r="K1007" s="6" t="s">
        <v>111</v>
      </c>
      <c r="L1007" s="6" t="s">
        <v>89</v>
      </c>
      <c r="M1007">
        <v>121</v>
      </c>
      <c r="N1007" s="1">
        <v>0.44160583941605841</v>
      </c>
      <c r="O1007">
        <v>33</v>
      </c>
      <c r="P1007" s="1">
        <v>0.34375</v>
      </c>
      <c r="Q1007" s="1">
        <v>0.78431372549019607</v>
      </c>
      <c r="R1007">
        <v>315</v>
      </c>
      <c r="S1007">
        <v>48</v>
      </c>
      <c r="T1007">
        <v>129</v>
      </c>
      <c r="U1007">
        <v>45</v>
      </c>
      <c r="V1007">
        <v>15</v>
      </c>
      <c r="W1007">
        <v>20</v>
      </c>
      <c r="X1007">
        <v>26</v>
      </c>
      <c r="Y1007" s="5">
        <v>1.7307692307692308</v>
      </c>
    </row>
    <row r="1008" spans="1:25" x14ac:dyDescent="0.25">
      <c r="A1008">
        <v>2020</v>
      </c>
      <c r="B1008" t="s">
        <v>57</v>
      </c>
      <c r="C1008">
        <v>11</v>
      </c>
      <c r="D1008">
        <v>108</v>
      </c>
      <c r="E1008" t="s">
        <v>20</v>
      </c>
      <c r="F1008" t="s">
        <v>47</v>
      </c>
      <c r="G1008">
        <f t="shared" si="15"/>
        <v>1</v>
      </c>
      <c r="H1008">
        <v>9</v>
      </c>
      <c r="I1008">
        <v>4</v>
      </c>
      <c r="J1008">
        <v>0</v>
      </c>
      <c r="K1008" s="6" t="s">
        <v>70</v>
      </c>
      <c r="L1008" s="6" t="s">
        <v>87</v>
      </c>
      <c r="M1008">
        <v>156</v>
      </c>
      <c r="N1008" s="1">
        <v>0.47560975609756095</v>
      </c>
      <c r="O1008">
        <v>21</v>
      </c>
      <c r="P1008" s="1">
        <v>0.27272727272727271</v>
      </c>
      <c r="Q1008" s="1">
        <v>0.81395348837209303</v>
      </c>
      <c r="R1008">
        <v>403</v>
      </c>
      <c r="S1008">
        <v>45</v>
      </c>
      <c r="T1008">
        <v>158</v>
      </c>
      <c r="U1008">
        <v>95</v>
      </c>
      <c r="V1008">
        <v>33</v>
      </c>
      <c r="W1008">
        <v>19</v>
      </c>
      <c r="X1008">
        <v>39</v>
      </c>
      <c r="Y1008" s="5">
        <v>2.4358974358974357</v>
      </c>
    </row>
    <row r="1009" spans="1:25" x14ac:dyDescent="0.25">
      <c r="A1009">
        <v>2020</v>
      </c>
      <c r="B1009" t="s">
        <v>57</v>
      </c>
      <c r="C1009">
        <v>11</v>
      </c>
      <c r="D1009">
        <v>108</v>
      </c>
      <c r="E1009" t="s">
        <v>21</v>
      </c>
      <c r="F1009" t="s">
        <v>50</v>
      </c>
      <c r="G1009">
        <f t="shared" si="15"/>
        <v>0</v>
      </c>
      <c r="H1009">
        <v>4</v>
      </c>
      <c r="I1009">
        <v>9</v>
      </c>
      <c r="J1009">
        <v>0</v>
      </c>
      <c r="K1009" s="6" t="s">
        <v>62</v>
      </c>
      <c r="L1009" s="6" t="s">
        <v>78</v>
      </c>
      <c r="M1009">
        <v>147</v>
      </c>
      <c r="N1009" s="1">
        <v>0.43620178041543028</v>
      </c>
      <c r="O1009">
        <v>30</v>
      </c>
      <c r="P1009" s="1">
        <v>0.29126213592233008</v>
      </c>
      <c r="Q1009" s="1">
        <v>0.8529411764705882</v>
      </c>
      <c r="R1009">
        <v>411</v>
      </c>
      <c r="S1009">
        <v>30</v>
      </c>
      <c r="T1009">
        <v>94</v>
      </c>
      <c r="U1009">
        <v>88</v>
      </c>
      <c r="V1009">
        <v>23</v>
      </c>
      <c r="W1009">
        <v>7</v>
      </c>
      <c r="X1009">
        <v>48</v>
      </c>
      <c r="Y1009" s="5">
        <v>1.8333333333333333</v>
      </c>
    </row>
    <row r="1010" spans="1:25" x14ac:dyDescent="0.25">
      <c r="A1010">
        <v>2020</v>
      </c>
      <c r="B1010" t="s">
        <v>57</v>
      </c>
      <c r="C1010">
        <v>11</v>
      </c>
      <c r="D1010">
        <v>109</v>
      </c>
      <c r="E1010" t="s">
        <v>28</v>
      </c>
      <c r="F1010" t="s">
        <v>46</v>
      </c>
      <c r="G1010">
        <f t="shared" si="15"/>
        <v>1</v>
      </c>
      <c r="H1010">
        <v>8</v>
      </c>
      <c r="I1010">
        <v>5</v>
      </c>
      <c r="J1010">
        <v>0</v>
      </c>
      <c r="K1010" s="6" t="s">
        <v>72</v>
      </c>
      <c r="L1010" s="6" t="s">
        <v>85</v>
      </c>
      <c r="M1010">
        <v>176</v>
      </c>
      <c r="N1010" s="1">
        <v>0.49025069637883006</v>
      </c>
      <c r="O1010">
        <v>53</v>
      </c>
      <c r="P1010" s="1">
        <v>0.44915254237288138</v>
      </c>
      <c r="Q1010" s="1">
        <v>0.75728155339805825</v>
      </c>
      <c r="R1010">
        <v>483</v>
      </c>
      <c r="S1010">
        <v>33</v>
      </c>
      <c r="T1010">
        <v>111</v>
      </c>
      <c r="U1010">
        <v>76</v>
      </c>
      <c r="V1010">
        <v>37</v>
      </c>
      <c r="W1010">
        <v>9</v>
      </c>
      <c r="X1010">
        <v>36</v>
      </c>
      <c r="Y1010" s="5">
        <v>2.1111111111111112</v>
      </c>
    </row>
    <row r="1011" spans="1:25" x14ac:dyDescent="0.25">
      <c r="A1011">
        <v>2020</v>
      </c>
      <c r="B1011" t="s">
        <v>57</v>
      </c>
      <c r="C1011">
        <v>11</v>
      </c>
      <c r="D1011">
        <v>109</v>
      </c>
      <c r="E1011" t="s">
        <v>33</v>
      </c>
      <c r="F1011" t="s">
        <v>42</v>
      </c>
      <c r="G1011">
        <f t="shared" si="15"/>
        <v>0</v>
      </c>
      <c r="H1011">
        <v>5</v>
      </c>
      <c r="I1011">
        <v>8</v>
      </c>
      <c r="J1011">
        <v>0</v>
      </c>
      <c r="K1011" s="6" t="s">
        <v>64</v>
      </c>
      <c r="L1011" s="6" t="s">
        <v>80</v>
      </c>
      <c r="M1011">
        <v>125</v>
      </c>
      <c r="N1011" s="1">
        <v>0.51440329218106995</v>
      </c>
      <c r="O1011">
        <v>16</v>
      </c>
      <c r="P1011" s="1">
        <v>0.26666666666666666</v>
      </c>
      <c r="Q1011" s="1">
        <v>0.6470588235294118</v>
      </c>
      <c r="R1011">
        <v>310</v>
      </c>
      <c r="S1011">
        <v>38</v>
      </c>
      <c r="T1011">
        <v>117</v>
      </c>
      <c r="U1011">
        <v>84</v>
      </c>
      <c r="V1011">
        <v>18</v>
      </c>
      <c r="W1011">
        <v>18</v>
      </c>
      <c r="X1011">
        <v>47</v>
      </c>
      <c r="Y1011" s="5">
        <v>1.7872340425531914</v>
      </c>
    </row>
    <row r="1012" spans="1:25" x14ac:dyDescent="0.25">
      <c r="A1012">
        <v>2020</v>
      </c>
      <c r="B1012" t="s">
        <v>57</v>
      </c>
      <c r="C1012">
        <v>11</v>
      </c>
      <c r="D1012">
        <v>110</v>
      </c>
      <c r="E1012" t="s">
        <v>16</v>
      </c>
      <c r="F1012" t="s">
        <v>51</v>
      </c>
      <c r="G1012">
        <f t="shared" si="15"/>
        <v>1</v>
      </c>
      <c r="H1012">
        <v>11</v>
      </c>
      <c r="I1012">
        <v>2</v>
      </c>
      <c r="J1012">
        <v>0</v>
      </c>
      <c r="K1012" s="6" t="s">
        <v>106</v>
      </c>
      <c r="L1012" s="6" t="s">
        <v>83</v>
      </c>
      <c r="M1012">
        <v>197</v>
      </c>
      <c r="N1012" s="1">
        <v>0.43973214285714285</v>
      </c>
      <c r="O1012">
        <v>62</v>
      </c>
      <c r="P1012" s="1">
        <v>0.37349397590361444</v>
      </c>
      <c r="Q1012" s="1">
        <v>0.8</v>
      </c>
      <c r="R1012">
        <v>560</v>
      </c>
      <c r="S1012">
        <v>46</v>
      </c>
      <c r="T1012">
        <v>194</v>
      </c>
      <c r="U1012">
        <v>132</v>
      </c>
      <c r="V1012">
        <v>43</v>
      </c>
      <c r="W1012">
        <v>28</v>
      </c>
      <c r="X1012">
        <v>74</v>
      </c>
      <c r="Y1012" s="5">
        <v>1.7837837837837838</v>
      </c>
    </row>
    <row r="1013" spans="1:25" x14ac:dyDescent="0.25">
      <c r="A1013">
        <v>2020</v>
      </c>
      <c r="B1013" t="s">
        <v>57</v>
      </c>
      <c r="C1013">
        <v>11</v>
      </c>
      <c r="D1013">
        <v>110</v>
      </c>
      <c r="E1013" t="s">
        <v>94</v>
      </c>
      <c r="F1013" t="s">
        <v>40</v>
      </c>
      <c r="G1013">
        <f t="shared" si="15"/>
        <v>0</v>
      </c>
      <c r="H1013">
        <v>2</v>
      </c>
      <c r="I1013">
        <v>11</v>
      </c>
      <c r="J1013">
        <v>0</v>
      </c>
      <c r="K1013" s="6" t="s">
        <v>60</v>
      </c>
      <c r="L1013" s="6" t="s">
        <v>75</v>
      </c>
      <c r="M1013">
        <v>124</v>
      </c>
      <c r="N1013" s="1">
        <v>0.43971631205673761</v>
      </c>
      <c r="O1013">
        <v>38</v>
      </c>
      <c r="P1013" s="1">
        <v>0.35514018691588783</v>
      </c>
      <c r="Q1013" s="1">
        <v>0.80645161290322576</v>
      </c>
      <c r="R1013">
        <v>336</v>
      </c>
      <c r="S1013">
        <v>44</v>
      </c>
      <c r="T1013">
        <v>92</v>
      </c>
      <c r="U1013">
        <v>58</v>
      </c>
      <c r="V1013">
        <v>21</v>
      </c>
      <c r="W1013">
        <v>14</v>
      </c>
      <c r="X1013">
        <v>49</v>
      </c>
      <c r="Y1013" s="5">
        <v>1.1836734693877551</v>
      </c>
    </row>
    <row r="1014" spans="1:25" x14ac:dyDescent="0.25">
      <c r="A1014">
        <v>2020</v>
      </c>
      <c r="B1014" t="s">
        <v>57</v>
      </c>
      <c r="C1014">
        <v>12</v>
      </c>
      <c r="D1014">
        <v>111</v>
      </c>
      <c r="E1014" t="s">
        <v>93</v>
      </c>
      <c r="F1014" t="s">
        <v>189</v>
      </c>
      <c r="G1014">
        <f t="shared" si="15"/>
        <v>0</v>
      </c>
      <c r="H1014">
        <v>4</v>
      </c>
      <c r="I1014">
        <v>9</v>
      </c>
      <c r="J1014">
        <v>0</v>
      </c>
      <c r="K1014" s="6" t="s">
        <v>182</v>
      </c>
      <c r="L1014" s="6" t="s">
        <v>76</v>
      </c>
      <c r="M1014">
        <v>140</v>
      </c>
      <c r="N1014" s="1">
        <v>0.44585987261146498</v>
      </c>
      <c r="O1014">
        <v>38</v>
      </c>
      <c r="P1014" s="1">
        <v>0.31147540983606559</v>
      </c>
      <c r="Q1014" s="1">
        <v>0.82499999999999996</v>
      </c>
      <c r="R1014">
        <v>384</v>
      </c>
      <c r="S1014">
        <v>32</v>
      </c>
      <c r="T1014">
        <v>117</v>
      </c>
      <c r="U1014">
        <v>114</v>
      </c>
      <c r="V1014">
        <v>36</v>
      </c>
      <c r="W1014">
        <v>13</v>
      </c>
      <c r="X1014">
        <v>65</v>
      </c>
      <c r="Y1014" s="5">
        <v>1.7538461538461538</v>
      </c>
    </row>
    <row r="1015" spans="1:25" x14ac:dyDescent="0.25">
      <c r="A1015">
        <v>2020</v>
      </c>
      <c r="B1015" t="s">
        <v>57</v>
      </c>
      <c r="C1015">
        <v>12</v>
      </c>
      <c r="D1015">
        <v>111</v>
      </c>
      <c r="E1015" t="s">
        <v>181</v>
      </c>
      <c r="F1015" t="s">
        <v>49</v>
      </c>
      <c r="G1015">
        <f t="shared" si="15"/>
        <v>1</v>
      </c>
      <c r="H1015">
        <v>9</v>
      </c>
      <c r="I1015">
        <v>4</v>
      </c>
      <c r="J1015">
        <v>0</v>
      </c>
      <c r="K1015" s="6" t="s">
        <v>104</v>
      </c>
      <c r="L1015" s="6" t="s">
        <v>105</v>
      </c>
      <c r="M1015">
        <v>183</v>
      </c>
      <c r="N1015" s="1">
        <v>0.5</v>
      </c>
      <c r="O1015">
        <v>46</v>
      </c>
      <c r="P1015" s="1">
        <v>0.35114503816793891</v>
      </c>
      <c r="Q1015" s="1">
        <v>0.77884615384615385</v>
      </c>
      <c r="R1015">
        <v>493</v>
      </c>
      <c r="S1015">
        <v>37</v>
      </c>
      <c r="T1015">
        <v>139</v>
      </c>
      <c r="U1015">
        <v>73</v>
      </c>
      <c r="V1015">
        <v>17</v>
      </c>
      <c r="W1015">
        <v>17</v>
      </c>
      <c r="X1015">
        <v>62</v>
      </c>
      <c r="Y1015" s="5">
        <v>1.1774193548387097</v>
      </c>
    </row>
    <row r="1016" spans="1:25" x14ac:dyDescent="0.25">
      <c r="A1016">
        <v>2020</v>
      </c>
      <c r="B1016" t="s">
        <v>57</v>
      </c>
      <c r="C1016">
        <v>12</v>
      </c>
      <c r="D1016">
        <v>112</v>
      </c>
      <c r="E1016" t="s">
        <v>99</v>
      </c>
      <c r="F1016" t="s">
        <v>45</v>
      </c>
      <c r="G1016">
        <f t="shared" si="15"/>
        <v>0</v>
      </c>
      <c r="H1016">
        <v>5</v>
      </c>
      <c r="I1016">
        <v>8</v>
      </c>
      <c r="J1016">
        <v>0</v>
      </c>
      <c r="K1016" s="6" t="s">
        <v>65</v>
      </c>
      <c r="L1016" s="6" t="s">
        <v>119</v>
      </c>
      <c r="M1016">
        <v>141</v>
      </c>
      <c r="N1016" s="1">
        <v>0.42215568862275449</v>
      </c>
      <c r="O1016">
        <v>52</v>
      </c>
      <c r="P1016" s="1">
        <v>0.33333333333333331</v>
      </c>
      <c r="Q1016" s="1">
        <v>0.7466666666666667</v>
      </c>
      <c r="R1016">
        <v>390</v>
      </c>
      <c r="S1016">
        <v>41</v>
      </c>
      <c r="T1016">
        <v>149</v>
      </c>
      <c r="U1016">
        <v>64</v>
      </c>
      <c r="V1016">
        <v>28</v>
      </c>
      <c r="W1016">
        <v>36</v>
      </c>
      <c r="X1016">
        <v>36</v>
      </c>
      <c r="Y1016" s="5">
        <v>1.7777777777777777</v>
      </c>
    </row>
    <row r="1017" spans="1:25" x14ac:dyDescent="0.25">
      <c r="A1017">
        <v>2020</v>
      </c>
      <c r="B1017" t="s">
        <v>57</v>
      </c>
      <c r="C1017">
        <v>12</v>
      </c>
      <c r="D1017">
        <v>112</v>
      </c>
      <c r="E1017" t="s">
        <v>26</v>
      </c>
      <c r="F1017" t="s">
        <v>118</v>
      </c>
      <c r="G1017">
        <f t="shared" si="15"/>
        <v>1</v>
      </c>
      <c r="H1017">
        <v>8</v>
      </c>
      <c r="I1017">
        <v>5</v>
      </c>
      <c r="J1017">
        <v>0</v>
      </c>
      <c r="K1017" s="6" t="s">
        <v>114</v>
      </c>
      <c r="L1017" s="6" t="s">
        <v>90</v>
      </c>
      <c r="M1017">
        <v>168</v>
      </c>
      <c r="N1017" s="1">
        <v>0.48137535816618909</v>
      </c>
      <c r="O1017">
        <v>58</v>
      </c>
      <c r="P1017" s="1">
        <v>0.40277777777777779</v>
      </c>
      <c r="Q1017" s="1">
        <v>0.75757575757575757</v>
      </c>
      <c r="R1017">
        <v>469</v>
      </c>
      <c r="S1017">
        <v>33</v>
      </c>
      <c r="T1017">
        <v>144</v>
      </c>
      <c r="U1017">
        <v>99</v>
      </c>
      <c r="V1017">
        <v>18</v>
      </c>
      <c r="W1017">
        <v>23</v>
      </c>
      <c r="X1017">
        <v>50</v>
      </c>
      <c r="Y1017" s="5">
        <v>1.98</v>
      </c>
    </row>
    <row r="1018" spans="1:25" x14ac:dyDescent="0.25">
      <c r="A1018">
        <v>2020</v>
      </c>
      <c r="B1018" t="s">
        <v>57</v>
      </c>
      <c r="C1018">
        <v>12</v>
      </c>
      <c r="D1018">
        <v>113</v>
      </c>
      <c r="E1018" t="s">
        <v>25</v>
      </c>
      <c r="F1018" t="s">
        <v>53</v>
      </c>
      <c r="G1018">
        <f t="shared" si="15"/>
        <v>1</v>
      </c>
      <c r="H1018">
        <v>10</v>
      </c>
      <c r="I1018">
        <v>2</v>
      </c>
      <c r="J1018">
        <v>1</v>
      </c>
      <c r="K1018" s="6" t="s">
        <v>111</v>
      </c>
      <c r="L1018" s="6" t="s">
        <v>89</v>
      </c>
      <c r="M1018">
        <v>187</v>
      </c>
      <c r="N1018" s="1">
        <v>0.48571428571428571</v>
      </c>
      <c r="O1018">
        <v>22</v>
      </c>
      <c r="P1018" s="1">
        <v>0.26829268292682928</v>
      </c>
      <c r="Q1018" s="1">
        <v>0.782258064516129</v>
      </c>
      <c r="R1018">
        <v>493</v>
      </c>
      <c r="S1018">
        <v>55</v>
      </c>
      <c r="T1018">
        <v>153</v>
      </c>
      <c r="U1018">
        <v>131</v>
      </c>
      <c r="V1018">
        <v>41</v>
      </c>
      <c r="W1018">
        <v>16</v>
      </c>
      <c r="X1018">
        <v>56</v>
      </c>
      <c r="Y1018" s="5">
        <v>2.3392857142857144</v>
      </c>
    </row>
    <row r="1019" spans="1:25" x14ac:dyDescent="0.25">
      <c r="A1019">
        <v>2020</v>
      </c>
      <c r="B1019" t="s">
        <v>57</v>
      </c>
      <c r="C1019">
        <v>12</v>
      </c>
      <c r="D1019">
        <v>113</v>
      </c>
      <c r="E1019" t="s">
        <v>97</v>
      </c>
      <c r="F1019" t="s">
        <v>54</v>
      </c>
      <c r="G1019">
        <f t="shared" si="15"/>
        <v>0</v>
      </c>
      <c r="H1019">
        <v>2</v>
      </c>
      <c r="I1019">
        <v>10</v>
      </c>
      <c r="J1019">
        <v>1</v>
      </c>
      <c r="K1019" s="6" t="s">
        <v>68</v>
      </c>
      <c r="L1019" s="6" t="s">
        <v>84</v>
      </c>
      <c r="M1019">
        <v>159</v>
      </c>
      <c r="N1019" s="1">
        <v>0.46764705882352942</v>
      </c>
      <c r="O1019">
        <v>31</v>
      </c>
      <c r="P1019" s="1">
        <v>0.32978723404255317</v>
      </c>
      <c r="Q1019" s="1">
        <v>0.76190476190476186</v>
      </c>
      <c r="R1019">
        <v>429</v>
      </c>
      <c r="S1019">
        <v>41</v>
      </c>
      <c r="T1019">
        <v>134</v>
      </c>
      <c r="U1019">
        <v>77</v>
      </c>
      <c r="V1019">
        <v>26</v>
      </c>
      <c r="W1019">
        <v>16</v>
      </c>
      <c r="X1019">
        <v>59</v>
      </c>
      <c r="Y1019" s="5">
        <v>1.3050847457627119</v>
      </c>
    </row>
    <row r="1020" spans="1:25" x14ac:dyDescent="0.25">
      <c r="A1020">
        <v>2020</v>
      </c>
      <c r="B1020" t="s">
        <v>57</v>
      </c>
      <c r="C1020">
        <v>12</v>
      </c>
      <c r="D1020">
        <v>114</v>
      </c>
      <c r="E1020" t="s">
        <v>22</v>
      </c>
      <c r="F1020" t="s">
        <v>44</v>
      </c>
      <c r="G1020">
        <f t="shared" si="15"/>
        <v>1</v>
      </c>
      <c r="H1020">
        <v>9</v>
      </c>
      <c r="I1020">
        <v>2</v>
      </c>
      <c r="J1020">
        <v>2</v>
      </c>
      <c r="K1020" s="6" t="s">
        <v>112</v>
      </c>
      <c r="L1020" s="6" t="s">
        <v>88</v>
      </c>
      <c r="M1020">
        <v>213</v>
      </c>
      <c r="N1020" s="1">
        <v>0.48853211009174313</v>
      </c>
      <c r="O1020">
        <v>64</v>
      </c>
      <c r="P1020" s="1">
        <v>0.35754189944134079</v>
      </c>
      <c r="Q1020" s="1">
        <v>0.80582524271844658</v>
      </c>
      <c r="R1020">
        <v>573</v>
      </c>
      <c r="S1020">
        <v>39</v>
      </c>
      <c r="T1020">
        <v>194</v>
      </c>
      <c r="U1020">
        <v>116</v>
      </c>
      <c r="V1020">
        <v>31</v>
      </c>
      <c r="W1020">
        <v>13</v>
      </c>
      <c r="X1020">
        <v>82</v>
      </c>
      <c r="Y1020" s="5">
        <v>1.4146341463414633</v>
      </c>
    </row>
    <row r="1021" spans="1:25" x14ac:dyDescent="0.25">
      <c r="A1021">
        <v>2020</v>
      </c>
      <c r="B1021" t="s">
        <v>57</v>
      </c>
      <c r="C1021">
        <v>12</v>
      </c>
      <c r="D1021">
        <v>114</v>
      </c>
      <c r="E1021" t="s">
        <v>98</v>
      </c>
      <c r="F1021" t="s">
        <v>41</v>
      </c>
      <c r="G1021">
        <f t="shared" si="15"/>
        <v>0</v>
      </c>
      <c r="H1021">
        <v>2</v>
      </c>
      <c r="I1021">
        <v>9</v>
      </c>
      <c r="J1021">
        <v>2</v>
      </c>
      <c r="K1021" s="6" t="s">
        <v>66</v>
      </c>
      <c r="L1021" s="6" t="s">
        <v>81</v>
      </c>
      <c r="M1021">
        <v>169</v>
      </c>
      <c r="N1021" s="1">
        <v>0.46944444444444444</v>
      </c>
      <c r="O1021">
        <v>52</v>
      </c>
      <c r="P1021" s="1">
        <v>0.34666666666666668</v>
      </c>
      <c r="Q1021" s="1">
        <v>0.75454545454545452</v>
      </c>
      <c r="R1021">
        <v>473</v>
      </c>
      <c r="S1021">
        <v>28</v>
      </c>
      <c r="T1021">
        <v>93</v>
      </c>
      <c r="U1021">
        <v>116</v>
      </c>
      <c r="V1021">
        <v>25</v>
      </c>
      <c r="W1021">
        <v>13</v>
      </c>
      <c r="X1021">
        <v>46</v>
      </c>
      <c r="Y1021" s="5">
        <v>2.5217391304347827</v>
      </c>
    </row>
    <row r="1022" spans="1:25" x14ac:dyDescent="0.25">
      <c r="A1022">
        <v>2020</v>
      </c>
      <c r="B1022" t="s">
        <v>57</v>
      </c>
      <c r="C1022">
        <v>12</v>
      </c>
      <c r="D1022">
        <v>115</v>
      </c>
      <c r="E1022" t="s">
        <v>33</v>
      </c>
      <c r="F1022" t="s">
        <v>42</v>
      </c>
      <c r="G1022">
        <f t="shared" si="15"/>
        <v>1</v>
      </c>
      <c r="H1022">
        <v>7</v>
      </c>
      <c r="I1022">
        <v>6</v>
      </c>
      <c r="J1022">
        <v>0</v>
      </c>
      <c r="K1022" s="6" t="s">
        <v>71</v>
      </c>
      <c r="L1022" s="6" t="s">
        <v>121</v>
      </c>
      <c r="M1022">
        <v>122</v>
      </c>
      <c r="N1022" s="1">
        <v>0.4485294117647059</v>
      </c>
      <c r="O1022">
        <v>21</v>
      </c>
      <c r="P1022" s="1">
        <v>0.26923076923076922</v>
      </c>
      <c r="Q1022" s="1">
        <v>0.80612244897959184</v>
      </c>
      <c r="R1022">
        <v>344</v>
      </c>
      <c r="S1022">
        <v>39</v>
      </c>
      <c r="T1022">
        <v>113</v>
      </c>
      <c r="U1022">
        <v>83</v>
      </c>
      <c r="V1022">
        <v>35</v>
      </c>
      <c r="W1022">
        <v>23</v>
      </c>
      <c r="X1022">
        <v>38</v>
      </c>
      <c r="Y1022" s="5">
        <v>2.1842105263157894</v>
      </c>
    </row>
    <row r="1023" spans="1:25" x14ac:dyDescent="0.25">
      <c r="A1023">
        <v>2020</v>
      </c>
      <c r="B1023" t="s">
        <v>57</v>
      </c>
      <c r="C1023">
        <v>12</v>
      </c>
      <c r="D1023">
        <v>115</v>
      </c>
      <c r="E1023" t="s">
        <v>23</v>
      </c>
      <c r="F1023" t="s">
        <v>120</v>
      </c>
      <c r="G1023">
        <f t="shared" si="15"/>
        <v>0</v>
      </c>
      <c r="H1023">
        <v>6</v>
      </c>
      <c r="I1023">
        <v>7</v>
      </c>
      <c r="J1023">
        <v>0</v>
      </c>
      <c r="K1023" s="6" t="s">
        <v>72</v>
      </c>
      <c r="L1023" s="6" t="s">
        <v>85</v>
      </c>
      <c r="M1023">
        <v>127</v>
      </c>
      <c r="N1023" s="1">
        <v>0.40836012861736337</v>
      </c>
      <c r="O1023">
        <v>44</v>
      </c>
      <c r="P1023" s="1">
        <v>0.30344827586206896</v>
      </c>
      <c r="Q1023" s="1">
        <v>0.81176470588235294</v>
      </c>
      <c r="R1023">
        <v>367</v>
      </c>
      <c r="S1023">
        <v>36</v>
      </c>
      <c r="T1023">
        <v>134</v>
      </c>
      <c r="U1023">
        <v>72</v>
      </c>
      <c r="V1023">
        <v>29</v>
      </c>
      <c r="W1023">
        <v>16</v>
      </c>
      <c r="X1023">
        <v>44</v>
      </c>
      <c r="Y1023" s="5">
        <v>1.6363636363636365</v>
      </c>
    </row>
    <row r="1024" spans="1:25" x14ac:dyDescent="0.25">
      <c r="A1024">
        <v>2020</v>
      </c>
      <c r="B1024" t="s">
        <v>57</v>
      </c>
      <c r="C1024">
        <v>12</v>
      </c>
      <c r="D1024">
        <v>116</v>
      </c>
      <c r="E1024" t="s">
        <v>16</v>
      </c>
      <c r="F1024" t="s">
        <v>51</v>
      </c>
      <c r="G1024">
        <f t="shared" si="15"/>
        <v>1</v>
      </c>
      <c r="H1024">
        <v>11</v>
      </c>
      <c r="I1024">
        <v>1</v>
      </c>
      <c r="J1024">
        <v>1</v>
      </c>
      <c r="K1024" s="6" t="s">
        <v>73</v>
      </c>
      <c r="L1024" s="6" t="s">
        <v>74</v>
      </c>
      <c r="M1024">
        <v>228</v>
      </c>
      <c r="N1024" s="1">
        <v>0.46153846153846156</v>
      </c>
      <c r="O1024">
        <v>64</v>
      </c>
      <c r="P1024" s="1">
        <v>0.39751552795031053</v>
      </c>
      <c r="Q1024" s="1">
        <v>0.76190476190476186</v>
      </c>
      <c r="R1024">
        <v>648</v>
      </c>
      <c r="S1024">
        <v>53</v>
      </c>
      <c r="T1024">
        <v>186</v>
      </c>
      <c r="U1024">
        <v>161</v>
      </c>
      <c r="V1024">
        <v>39</v>
      </c>
      <c r="W1024">
        <v>18</v>
      </c>
      <c r="X1024">
        <v>73</v>
      </c>
      <c r="Y1024" s="5">
        <v>2.2054794520547945</v>
      </c>
    </row>
    <row r="1025" spans="1:25" x14ac:dyDescent="0.25">
      <c r="A1025">
        <v>2020</v>
      </c>
      <c r="B1025" t="s">
        <v>57</v>
      </c>
      <c r="C1025">
        <v>12</v>
      </c>
      <c r="D1025">
        <v>116</v>
      </c>
      <c r="E1025" t="s">
        <v>35</v>
      </c>
      <c r="F1025" t="s">
        <v>52</v>
      </c>
      <c r="G1025">
        <f t="shared" si="15"/>
        <v>0</v>
      </c>
      <c r="H1025">
        <v>1</v>
      </c>
      <c r="I1025">
        <v>11</v>
      </c>
      <c r="J1025">
        <v>1</v>
      </c>
      <c r="K1025" s="6" t="s">
        <v>60</v>
      </c>
      <c r="L1025" s="6" t="s">
        <v>75</v>
      </c>
      <c r="M1025">
        <v>124</v>
      </c>
      <c r="N1025" s="1">
        <v>0.42758620689655175</v>
      </c>
      <c r="O1025">
        <v>35</v>
      </c>
      <c r="P1025" s="1">
        <v>0.32110091743119268</v>
      </c>
      <c r="Q1025" s="1">
        <v>0.76190476190476186</v>
      </c>
      <c r="R1025">
        <v>331</v>
      </c>
      <c r="S1025">
        <v>29</v>
      </c>
      <c r="T1025">
        <v>83</v>
      </c>
      <c r="U1025">
        <v>73</v>
      </c>
      <c r="V1025">
        <v>31</v>
      </c>
      <c r="W1025">
        <v>14</v>
      </c>
      <c r="X1025">
        <v>37</v>
      </c>
      <c r="Y1025" s="5">
        <v>1.972972972972973</v>
      </c>
    </row>
    <row r="1026" spans="1:25" x14ac:dyDescent="0.25">
      <c r="A1026">
        <v>2020</v>
      </c>
      <c r="B1026" t="s">
        <v>57</v>
      </c>
      <c r="C1026">
        <v>12</v>
      </c>
      <c r="D1026">
        <v>117</v>
      </c>
      <c r="E1026" t="s">
        <v>20</v>
      </c>
      <c r="F1026" t="s">
        <v>47</v>
      </c>
      <c r="G1026">
        <f t="shared" ref="G1026:G1089" si="16">IF(H1026+0.5*J1026&gt;6.5,1,0)</f>
        <v>1</v>
      </c>
      <c r="H1026">
        <v>7</v>
      </c>
      <c r="I1026">
        <v>5</v>
      </c>
      <c r="J1026">
        <v>1</v>
      </c>
      <c r="K1026" s="6" t="s">
        <v>191</v>
      </c>
      <c r="L1026" s="6" t="s">
        <v>113</v>
      </c>
      <c r="M1026">
        <v>185</v>
      </c>
      <c r="N1026" s="1">
        <v>0.48429319371727747</v>
      </c>
      <c r="O1026">
        <v>23</v>
      </c>
      <c r="P1026" s="1">
        <v>0.26436781609195403</v>
      </c>
      <c r="Q1026" s="1">
        <v>0.69387755102040816</v>
      </c>
      <c r="R1026">
        <v>461</v>
      </c>
      <c r="S1026">
        <v>62</v>
      </c>
      <c r="T1026">
        <v>145</v>
      </c>
      <c r="U1026">
        <v>97</v>
      </c>
      <c r="V1026">
        <v>22</v>
      </c>
      <c r="W1026">
        <v>21</v>
      </c>
      <c r="X1026">
        <v>57</v>
      </c>
      <c r="Y1026" s="5">
        <v>1.7017543859649122</v>
      </c>
    </row>
    <row r="1027" spans="1:25" x14ac:dyDescent="0.25">
      <c r="A1027">
        <v>2020</v>
      </c>
      <c r="B1027" t="s">
        <v>57</v>
      </c>
      <c r="C1027">
        <v>12</v>
      </c>
      <c r="D1027">
        <v>117</v>
      </c>
      <c r="E1027" t="s">
        <v>190</v>
      </c>
      <c r="F1027" t="s">
        <v>103</v>
      </c>
      <c r="G1027">
        <f t="shared" si="16"/>
        <v>0</v>
      </c>
      <c r="H1027">
        <v>5</v>
      </c>
      <c r="I1027">
        <v>7</v>
      </c>
      <c r="J1027">
        <v>1</v>
      </c>
      <c r="K1027" s="6" t="s">
        <v>62</v>
      </c>
      <c r="L1027" s="6" t="s">
        <v>78</v>
      </c>
      <c r="M1027">
        <v>122</v>
      </c>
      <c r="N1027" s="1">
        <v>0.46037735849056605</v>
      </c>
      <c r="O1027">
        <v>30</v>
      </c>
      <c r="P1027" s="1">
        <v>0.31914893617021278</v>
      </c>
      <c r="Q1027" s="1">
        <v>0.83098591549295775</v>
      </c>
      <c r="R1027">
        <v>333</v>
      </c>
      <c r="S1027">
        <v>20</v>
      </c>
      <c r="T1027">
        <v>87</v>
      </c>
      <c r="U1027">
        <v>72</v>
      </c>
      <c r="V1027">
        <v>22</v>
      </c>
      <c r="W1027">
        <v>11</v>
      </c>
      <c r="X1027">
        <v>33</v>
      </c>
      <c r="Y1027" s="5">
        <v>2.1818181818181817</v>
      </c>
    </row>
    <row r="1028" spans="1:25" x14ac:dyDescent="0.25">
      <c r="A1028">
        <v>2020</v>
      </c>
      <c r="B1028" t="s">
        <v>57</v>
      </c>
      <c r="C1028">
        <v>12</v>
      </c>
      <c r="D1028">
        <v>118</v>
      </c>
      <c r="E1028" t="s">
        <v>21</v>
      </c>
      <c r="F1028" t="s">
        <v>50</v>
      </c>
      <c r="G1028">
        <f t="shared" si="16"/>
        <v>0</v>
      </c>
      <c r="H1028">
        <v>4</v>
      </c>
      <c r="I1028">
        <v>9</v>
      </c>
      <c r="J1028">
        <v>0</v>
      </c>
      <c r="K1028" s="6" t="s">
        <v>61</v>
      </c>
      <c r="L1028" s="6" t="s">
        <v>77</v>
      </c>
      <c r="M1028">
        <v>144</v>
      </c>
      <c r="N1028" s="1">
        <v>0.50526315789473686</v>
      </c>
      <c r="O1028">
        <v>28</v>
      </c>
      <c r="P1028" s="1">
        <v>0.31818181818181818</v>
      </c>
      <c r="Q1028" s="1">
        <v>0.7303370786516854</v>
      </c>
      <c r="R1028">
        <v>381</v>
      </c>
      <c r="S1028">
        <v>34</v>
      </c>
      <c r="T1028">
        <v>116</v>
      </c>
      <c r="U1028">
        <v>62</v>
      </c>
      <c r="V1028">
        <v>25</v>
      </c>
      <c r="W1028">
        <v>13</v>
      </c>
      <c r="X1028">
        <v>46</v>
      </c>
      <c r="Y1028" s="5">
        <v>1.3478260869565217</v>
      </c>
    </row>
    <row r="1029" spans="1:25" x14ac:dyDescent="0.25">
      <c r="A1029">
        <v>2020</v>
      </c>
      <c r="B1029" t="s">
        <v>57</v>
      </c>
      <c r="C1029">
        <v>12</v>
      </c>
      <c r="D1029">
        <v>118</v>
      </c>
      <c r="E1029" t="s">
        <v>15</v>
      </c>
      <c r="F1029" t="s">
        <v>48</v>
      </c>
      <c r="G1029">
        <f t="shared" si="16"/>
        <v>1</v>
      </c>
      <c r="H1029">
        <v>9</v>
      </c>
      <c r="I1029">
        <v>4</v>
      </c>
      <c r="J1029">
        <v>0</v>
      </c>
      <c r="K1029" s="6" t="s">
        <v>70</v>
      </c>
      <c r="L1029" s="6" t="s">
        <v>87</v>
      </c>
      <c r="M1029">
        <v>159</v>
      </c>
      <c r="N1029" s="1">
        <v>0.41191709844559588</v>
      </c>
      <c r="O1029">
        <v>38</v>
      </c>
      <c r="P1029" s="1">
        <v>0.29921259842519687</v>
      </c>
      <c r="Q1029" s="1">
        <v>0.77477477477477474</v>
      </c>
      <c r="R1029">
        <v>442</v>
      </c>
      <c r="S1029">
        <v>47</v>
      </c>
      <c r="T1029">
        <v>144</v>
      </c>
      <c r="U1029">
        <v>119</v>
      </c>
      <c r="V1029">
        <v>20</v>
      </c>
      <c r="W1029">
        <v>24</v>
      </c>
      <c r="X1029">
        <v>50</v>
      </c>
      <c r="Y1029" s="5">
        <v>2.38</v>
      </c>
    </row>
    <row r="1030" spans="1:25" x14ac:dyDescent="0.25">
      <c r="A1030">
        <v>2020</v>
      </c>
      <c r="B1030" t="s">
        <v>57</v>
      </c>
      <c r="C1030">
        <v>12</v>
      </c>
      <c r="D1030">
        <v>119</v>
      </c>
      <c r="E1030" t="s">
        <v>17</v>
      </c>
      <c r="F1030" t="s">
        <v>43</v>
      </c>
      <c r="G1030">
        <f t="shared" si="16"/>
        <v>1</v>
      </c>
      <c r="H1030">
        <v>7</v>
      </c>
      <c r="I1030">
        <v>6</v>
      </c>
      <c r="J1030">
        <v>0</v>
      </c>
      <c r="K1030" s="6" t="s">
        <v>193</v>
      </c>
      <c r="L1030" s="6" t="s">
        <v>117</v>
      </c>
      <c r="M1030">
        <v>127</v>
      </c>
      <c r="N1030" s="1">
        <v>0.46863468634686345</v>
      </c>
      <c r="O1030">
        <v>38</v>
      </c>
      <c r="P1030" s="1">
        <v>0.33628318584070799</v>
      </c>
      <c r="Q1030" s="1">
        <v>0.8</v>
      </c>
      <c r="R1030">
        <v>332</v>
      </c>
      <c r="S1030">
        <v>19</v>
      </c>
      <c r="T1030">
        <v>102</v>
      </c>
      <c r="U1030">
        <v>99</v>
      </c>
      <c r="V1030">
        <v>33</v>
      </c>
      <c r="W1030">
        <v>23</v>
      </c>
      <c r="X1030">
        <v>31</v>
      </c>
      <c r="Y1030" s="5">
        <v>3.193548387096774</v>
      </c>
    </row>
    <row r="1031" spans="1:25" x14ac:dyDescent="0.25">
      <c r="A1031">
        <v>2020</v>
      </c>
      <c r="B1031" t="s">
        <v>57</v>
      </c>
      <c r="C1031">
        <v>12</v>
      </c>
      <c r="D1031">
        <v>119</v>
      </c>
      <c r="E1031" t="s">
        <v>159</v>
      </c>
      <c r="F1031" t="s">
        <v>116</v>
      </c>
      <c r="G1031">
        <f t="shared" si="16"/>
        <v>0</v>
      </c>
      <c r="H1031">
        <v>6</v>
      </c>
      <c r="I1031">
        <v>7</v>
      </c>
      <c r="J1031">
        <v>0</v>
      </c>
      <c r="K1031" s="6" t="s">
        <v>63</v>
      </c>
      <c r="L1031" s="6" t="s">
        <v>79</v>
      </c>
      <c r="M1031">
        <v>165</v>
      </c>
      <c r="N1031" s="1">
        <v>0.47277936962750716</v>
      </c>
      <c r="O1031">
        <v>35</v>
      </c>
      <c r="P1031" s="1">
        <v>0.34653465346534651</v>
      </c>
      <c r="Q1031" s="1">
        <v>0.76190476190476186</v>
      </c>
      <c r="R1031">
        <v>413</v>
      </c>
      <c r="S1031">
        <v>41</v>
      </c>
      <c r="T1031">
        <v>126</v>
      </c>
      <c r="U1031">
        <v>87</v>
      </c>
      <c r="V1031">
        <v>27</v>
      </c>
      <c r="W1031">
        <v>18</v>
      </c>
      <c r="X1031">
        <v>49</v>
      </c>
      <c r="Y1031" s="5">
        <v>1.7755102040816326</v>
      </c>
    </row>
    <row r="1032" spans="1:25" x14ac:dyDescent="0.25">
      <c r="A1032">
        <v>2020</v>
      </c>
      <c r="B1032" t="s">
        <v>57</v>
      </c>
      <c r="C1032">
        <v>12</v>
      </c>
      <c r="D1032">
        <v>120</v>
      </c>
      <c r="E1032" t="s">
        <v>94</v>
      </c>
      <c r="F1032" t="s">
        <v>40</v>
      </c>
      <c r="G1032">
        <f t="shared" si="16"/>
        <v>0</v>
      </c>
      <c r="H1032">
        <v>2</v>
      </c>
      <c r="I1032">
        <v>11</v>
      </c>
      <c r="J1032">
        <v>0</v>
      </c>
      <c r="K1032" s="6" t="s">
        <v>64</v>
      </c>
      <c r="L1032" s="6" t="s">
        <v>80</v>
      </c>
      <c r="M1032">
        <v>159</v>
      </c>
      <c r="N1032" s="1">
        <v>0.47891566265060243</v>
      </c>
      <c r="O1032">
        <v>55</v>
      </c>
      <c r="P1032" s="1">
        <v>0.38461538461538464</v>
      </c>
      <c r="Q1032" s="1">
        <v>0.76923076923076927</v>
      </c>
      <c r="R1032">
        <v>413</v>
      </c>
      <c r="S1032">
        <v>46</v>
      </c>
      <c r="T1032">
        <v>125</v>
      </c>
      <c r="U1032">
        <v>76</v>
      </c>
      <c r="V1032">
        <v>28</v>
      </c>
      <c r="W1032">
        <v>13</v>
      </c>
      <c r="X1032">
        <v>45</v>
      </c>
      <c r="Y1032" s="5">
        <v>1.6888888888888889</v>
      </c>
    </row>
    <row r="1033" spans="1:25" x14ac:dyDescent="0.25">
      <c r="A1033">
        <v>2020</v>
      </c>
      <c r="B1033" t="s">
        <v>57</v>
      </c>
      <c r="C1033">
        <v>12</v>
      </c>
      <c r="D1033">
        <v>120</v>
      </c>
      <c r="E1033" t="s">
        <v>28</v>
      </c>
      <c r="F1033" t="s">
        <v>46</v>
      </c>
      <c r="G1033">
        <f t="shared" si="16"/>
        <v>1</v>
      </c>
      <c r="H1033">
        <v>11</v>
      </c>
      <c r="I1033">
        <v>2</v>
      </c>
      <c r="J1033">
        <v>0</v>
      </c>
      <c r="K1033" s="6" t="s">
        <v>106</v>
      </c>
      <c r="L1033" s="6" t="s">
        <v>83</v>
      </c>
      <c r="M1033">
        <v>234</v>
      </c>
      <c r="N1033" s="1">
        <v>0.5</v>
      </c>
      <c r="O1033">
        <v>77</v>
      </c>
      <c r="P1033" s="1">
        <v>0.43502824858757061</v>
      </c>
      <c r="Q1033" s="1">
        <v>0.82352941176470584</v>
      </c>
      <c r="R1033">
        <v>643</v>
      </c>
      <c r="S1033">
        <v>47</v>
      </c>
      <c r="T1033">
        <v>181</v>
      </c>
      <c r="U1033">
        <v>104</v>
      </c>
      <c r="V1033">
        <v>26</v>
      </c>
      <c r="W1033">
        <v>15</v>
      </c>
      <c r="X1033">
        <v>53</v>
      </c>
      <c r="Y1033" s="5">
        <v>1.9622641509433962</v>
      </c>
    </row>
    <row r="1034" spans="1:25" x14ac:dyDescent="0.25">
      <c r="A1034">
        <v>2020</v>
      </c>
      <c r="B1034" t="s">
        <v>57</v>
      </c>
      <c r="C1034">
        <v>13</v>
      </c>
      <c r="D1034">
        <v>121</v>
      </c>
      <c r="E1034" t="s">
        <v>17</v>
      </c>
      <c r="F1034" t="s">
        <v>43</v>
      </c>
      <c r="G1034">
        <f t="shared" si="16"/>
        <v>0</v>
      </c>
      <c r="H1034">
        <v>6</v>
      </c>
      <c r="I1034">
        <v>7</v>
      </c>
      <c r="J1034">
        <v>0</v>
      </c>
      <c r="K1034" s="6" t="s">
        <v>66</v>
      </c>
      <c r="L1034" s="6" t="s">
        <v>81</v>
      </c>
      <c r="M1034">
        <v>87</v>
      </c>
      <c r="N1034" s="1">
        <v>0.42028985507246375</v>
      </c>
      <c r="O1034">
        <v>35</v>
      </c>
      <c r="P1034" s="1">
        <v>0.36842105263157893</v>
      </c>
      <c r="Q1034" s="1">
        <v>0.88372093023255816</v>
      </c>
      <c r="R1034">
        <v>247</v>
      </c>
      <c r="S1034">
        <v>27</v>
      </c>
      <c r="T1034">
        <v>83</v>
      </c>
      <c r="U1034">
        <v>72</v>
      </c>
      <c r="V1034">
        <v>31</v>
      </c>
      <c r="W1034">
        <v>18</v>
      </c>
      <c r="X1034">
        <v>27</v>
      </c>
      <c r="Y1034" s="5">
        <v>2.6666666666666665</v>
      </c>
    </row>
    <row r="1035" spans="1:25" x14ac:dyDescent="0.25">
      <c r="A1035">
        <v>2020</v>
      </c>
      <c r="B1035" t="s">
        <v>57</v>
      </c>
      <c r="C1035">
        <v>13</v>
      </c>
      <c r="D1035">
        <v>121</v>
      </c>
      <c r="E1035" t="s">
        <v>22</v>
      </c>
      <c r="F1035" t="s">
        <v>44</v>
      </c>
      <c r="G1035">
        <f t="shared" si="16"/>
        <v>1</v>
      </c>
      <c r="H1035">
        <v>7</v>
      </c>
      <c r="I1035">
        <v>6</v>
      </c>
      <c r="J1035">
        <v>0</v>
      </c>
      <c r="K1035" s="6" t="s">
        <v>63</v>
      </c>
      <c r="L1035" s="6" t="s">
        <v>79</v>
      </c>
      <c r="M1035">
        <v>143</v>
      </c>
      <c r="N1035" s="1">
        <v>0.44</v>
      </c>
      <c r="O1035">
        <v>46</v>
      </c>
      <c r="P1035" s="1">
        <v>0.34848484848484851</v>
      </c>
      <c r="Q1035" s="1">
        <v>0.82474226804123707</v>
      </c>
      <c r="R1035">
        <v>412</v>
      </c>
      <c r="S1035">
        <v>34</v>
      </c>
      <c r="T1035">
        <v>120</v>
      </c>
      <c r="U1035">
        <v>91</v>
      </c>
      <c r="V1035">
        <v>18</v>
      </c>
      <c r="W1035">
        <v>17</v>
      </c>
      <c r="X1035">
        <v>50</v>
      </c>
      <c r="Y1035" s="5">
        <v>1.82</v>
      </c>
    </row>
    <row r="1036" spans="1:25" x14ac:dyDescent="0.25">
      <c r="A1036">
        <v>2020</v>
      </c>
      <c r="B1036" t="s">
        <v>57</v>
      </c>
      <c r="C1036">
        <v>13</v>
      </c>
      <c r="D1036">
        <v>122</v>
      </c>
      <c r="E1036" t="s">
        <v>28</v>
      </c>
      <c r="F1036" t="s">
        <v>46</v>
      </c>
      <c r="G1036">
        <f t="shared" si="16"/>
        <v>1</v>
      </c>
      <c r="H1036">
        <v>7</v>
      </c>
      <c r="I1036">
        <v>5</v>
      </c>
      <c r="J1036">
        <v>1</v>
      </c>
      <c r="K1036" s="6" t="s">
        <v>68</v>
      </c>
      <c r="L1036" s="6" t="s">
        <v>84</v>
      </c>
      <c r="M1036">
        <v>197</v>
      </c>
      <c r="N1036" s="1">
        <v>0.51436031331592691</v>
      </c>
      <c r="O1036">
        <v>43</v>
      </c>
      <c r="P1036" s="1">
        <v>0.36134453781512604</v>
      </c>
      <c r="Q1036" s="1">
        <v>0.66666666666666663</v>
      </c>
      <c r="R1036">
        <v>499</v>
      </c>
      <c r="S1036">
        <v>38</v>
      </c>
      <c r="T1036">
        <v>175</v>
      </c>
      <c r="U1036">
        <v>108</v>
      </c>
      <c r="V1036">
        <v>28</v>
      </c>
      <c r="W1036">
        <v>16</v>
      </c>
      <c r="X1036">
        <v>61</v>
      </c>
      <c r="Y1036" s="5">
        <v>1.7704918032786885</v>
      </c>
    </row>
    <row r="1037" spans="1:25" x14ac:dyDescent="0.25">
      <c r="A1037">
        <v>2020</v>
      </c>
      <c r="B1037" t="s">
        <v>57</v>
      </c>
      <c r="C1037">
        <v>13</v>
      </c>
      <c r="D1037">
        <v>122</v>
      </c>
      <c r="E1037" t="s">
        <v>25</v>
      </c>
      <c r="F1037" t="s">
        <v>53</v>
      </c>
      <c r="G1037">
        <f t="shared" si="16"/>
        <v>0</v>
      </c>
      <c r="H1037">
        <v>5</v>
      </c>
      <c r="I1037">
        <v>7</v>
      </c>
      <c r="J1037">
        <v>1</v>
      </c>
      <c r="K1037" s="6" t="s">
        <v>64</v>
      </c>
      <c r="L1037" s="6" t="s">
        <v>80</v>
      </c>
      <c r="M1037">
        <v>117</v>
      </c>
      <c r="N1037" s="1">
        <v>0.48148148148148145</v>
      </c>
      <c r="O1037">
        <v>19</v>
      </c>
      <c r="P1037" s="1">
        <v>0.3392857142857143</v>
      </c>
      <c r="Q1037" s="1">
        <v>0.67021276595744683</v>
      </c>
      <c r="R1037">
        <v>316</v>
      </c>
      <c r="S1037">
        <v>38</v>
      </c>
      <c r="T1037">
        <v>130</v>
      </c>
      <c r="U1037">
        <v>120</v>
      </c>
      <c r="V1037">
        <v>23</v>
      </c>
      <c r="W1037">
        <v>19</v>
      </c>
      <c r="X1037">
        <v>47</v>
      </c>
      <c r="Y1037" s="5">
        <v>2.5531914893617023</v>
      </c>
    </row>
    <row r="1038" spans="1:25" x14ac:dyDescent="0.25">
      <c r="A1038">
        <v>2020</v>
      </c>
      <c r="B1038" t="s">
        <v>57</v>
      </c>
      <c r="C1038">
        <v>13</v>
      </c>
      <c r="D1038">
        <v>123</v>
      </c>
      <c r="E1038" t="s">
        <v>159</v>
      </c>
      <c r="F1038" t="s">
        <v>116</v>
      </c>
      <c r="G1038">
        <f t="shared" si="16"/>
        <v>1</v>
      </c>
      <c r="H1038">
        <v>7</v>
      </c>
      <c r="I1038">
        <v>6</v>
      </c>
      <c r="J1038">
        <v>0</v>
      </c>
      <c r="K1038" s="6" t="s">
        <v>191</v>
      </c>
      <c r="L1038" s="6" t="s">
        <v>113</v>
      </c>
      <c r="M1038">
        <v>182</v>
      </c>
      <c r="N1038" s="1">
        <v>0.46075949367088609</v>
      </c>
      <c r="O1038">
        <v>33</v>
      </c>
      <c r="P1038" s="1">
        <v>0.29729729729729731</v>
      </c>
      <c r="Q1038" s="1">
        <v>0.80208333333333337</v>
      </c>
      <c r="R1038">
        <v>474</v>
      </c>
      <c r="S1038">
        <v>35</v>
      </c>
      <c r="T1038">
        <v>150</v>
      </c>
      <c r="U1038">
        <v>102</v>
      </c>
      <c r="V1038">
        <v>32</v>
      </c>
      <c r="W1038">
        <v>19</v>
      </c>
      <c r="X1038">
        <v>64</v>
      </c>
      <c r="Y1038" s="5">
        <v>1.59375</v>
      </c>
    </row>
    <row r="1039" spans="1:25" x14ac:dyDescent="0.25">
      <c r="A1039">
        <v>2020</v>
      </c>
      <c r="B1039" t="s">
        <v>57</v>
      </c>
      <c r="C1039">
        <v>13</v>
      </c>
      <c r="D1039">
        <v>123</v>
      </c>
      <c r="E1039" t="s">
        <v>190</v>
      </c>
      <c r="F1039" t="s">
        <v>103</v>
      </c>
      <c r="G1039">
        <f t="shared" si="16"/>
        <v>0</v>
      </c>
      <c r="H1039">
        <v>6</v>
      </c>
      <c r="I1039">
        <v>7</v>
      </c>
      <c r="J1039">
        <v>0</v>
      </c>
      <c r="K1039" s="6" t="s">
        <v>193</v>
      </c>
      <c r="L1039" s="6" t="s">
        <v>117</v>
      </c>
      <c r="M1039">
        <v>144</v>
      </c>
      <c r="N1039" s="1">
        <v>0.45425867507886436</v>
      </c>
      <c r="O1039">
        <v>42</v>
      </c>
      <c r="P1039" s="1">
        <v>0.34146341463414637</v>
      </c>
      <c r="Q1039" s="1">
        <v>0.86363636363636365</v>
      </c>
      <c r="R1039">
        <v>406</v>
      </c>
      <c r="S1039">
        <v>21</v>
      </c>
      <c r="T1039">
        <v>102</v>
      </c>
      <c r="U1039">
        <v>100</v>
      </c>
      <c r="V1039">
        <v>23</v>
      </c>
      <c r="W1039">
        <v>22</v>
      </c>
      <c r="X1039">
        <v>48</v>
      </c>
      <c r="Y1039" s="5">
        <v>2.0833333333333335</v>
      </c>
    </row>
    <row r="1040" spans="1:25" x14ac:dyDescent="0.25">
      <c r="A1040">
        <v>2020</v>
      </c>
      <c r="B1040" t="s">
        <v>57</v>
      </c>
      <c r="C1040">
        <v>13</v>
      </c>
      <c r="D1040">
        <v>124</v>
      </c>
      <c r="E1040" t="s">
        <v>93</v>
      </c>
      <c r="F1040" t="s">
        <v>189</v>
      </c>
      <c r="G1040">
        <f t="shared" si="16"/>
        <v>1</v>
      </c>
      <c r="H1040">
        <v>9</v>
      </c>
      <c r="I1040">
        <v>3</v>
      </c>
      <c r="J1040">
        <v>1</v>
      </c>
      <c r="K1040" s="6" t="s">
        <v>61</v>
      </c>
      <c r="L1040" s="6" t="s">
        <v>77</v>
      </c>
      <c r="M1040">
        <v>160</v>
      </c>
      <c r="N1040" s="1">
        <v>0.45584045584045585</v>
      </c>
      <c r="O1040">
        <v>57</v>
      </c>
      <c r="P1040" s="1">
        <v>0.40425531914893614</v>
      </c>
      <c r="Q1040" s="1">
        <v>0.84523809523809523</v>
      </c>
      <c r="R1040">
        <v>448</v>
      </c>
      <c r="S1040">
        <v>29</v>
      </c>
      <c r="T1040">
        <v>101</v>
      </c>
      <c r="U1040">
        <v>100</v>
      </c>
      <c r="V1040">
        <v>25</v>
      </c>
      <c r="W1040">
        <v>10</v>
      </c>
      <c r="X1040">
        <v>60</v>
      </c>
      <c r="Y1040" s="5">
        <v>1.6666666666666667</v>
      </c>
    </row>
    <row r="1041" spans="1:25" x14ac:dyDescent="0.25">
      <c r="A1041">
        <v>2020</v>
      </c>
      <c r="B1041" t="s">
        <v>57</v>
      </c>
      <c r="C1041">
        <v>13</v>
      </c>
      <c r="D1041">
        <v>124</v>
      </c>
      <c r="E1041" t="s">
        <v>15</v>
      </c>
      <c r="F1041" t="s">
        <v>48</v>
      </c>
      <c r="G1041">
        <f t="shared" si="16"/>
        <v>0</v>
      </c>
      <c r="H1041">
        <v>3</v>
      </c>
      <c r="I1041">
        <v>9</v>
      </c>
      <c r="J1041">
        <v>1</v>
      </c>
      <c r="K1041" s="6" t="s">
        <v>104</v>
      </c>
      <c r="L1041" s="6" t="s">
        <v>105</v>
      </c>
      <c r="M1041">
        <v>155</v>
      </c>
      <c r="N1041" s="1">
        <v>0.49679487179487181</v>
      </c>
      <c r="O1041">
        <v>43</v>
      </c>
      <c r="P1041" s="1">
        <v>0.38053097345132741</v>
      </c>
      <c r="Q1041" s="1">
        <v>0.75609756097560976</v>
      </c>
      <c r="R1041">
        <v>415</v>
      </c>
      <c r="S1041">
        <v>44</v>
      </c>
      <c r="T1041">
        <v>100</v>
      </c>
      <c r="U1041">
        <v>74</v>
      </c>
      <c r="V1041">
        <v>21</v>
      </c>
      <c r="W1041">
        <v>10</v>
      </c>
      <c r="X1041">
        <v>54</v>
      </c>
      <c r="Y1041" s="5">
        <v>1.3703703703703705</v>
      </c>
    </row>
    <row r="1042" spans="1:25" x14ac:dyDescent="0.25">
      <c r="A1042">
        <v>2020</v>
      </c>
      <c r="B1042" t="s">
        <v>57</v>
      </c>
      <c r="C1042">
        <v>13</v>
      </c>
      <c r="D1042">
        <v>125</v>
      </c>
      <c r="E1042" t="s">
        <v>94</v>
      </c>
      <c r="F1042" t="s">
        <v>40</v>
      </c>
      <c r="G1042">
        <f t="shared" si="16"/>
        <v>0</v>
      </c>
      <c r="H1042">
        <v>3</v>
      </c>
      <c r="I1042">
        <v>10</v>
      </c>
      <c r="J1042">
        <v>0</v>
      </c>
      <c r="K1042" s="6" t="s">
        <v>114</v>
      </c>
      <c r="L1042" s="6" t="s">
        <v>90</v>
      </c>
      <c r="M1042">
        <v>145</v>
      </c>
      <c r="N1042" s="1">
        <v>0.46178343949044587</v>
      </c>
      <c r="O1042">
        <v>37</v>
      </c>
      <c r="P1042" s="1">
        <v>0.34579439252336447</v>
      </c>
      <c r="Q1042" s="1">
        <v>0.80519480519480524</v>
      </c>
      <c r="R1042">
        <v>389</v>
      </c>
      <c r="S1042">
        <v>29</v>
      </c>
      <c r="T1042">
        <v>84</v>
      </c>
      <c r="U1042">
        <v>96</v>
      </c>
      <c r="V1042">
        <v>25</v>
      </c>
      <c r="W1042">
        <v>7</v>
      </c>
      <c r="X1042">
        <v>48</v>
      </c>
      <c r="Y1042" s="5">
        <v>2</v>
      </c>
    </row>
    <row r="1043" spans="1:25" x14ac:dyDescent="0.25">
      <c r="A1043">
        <v>2020</v>
      </c>
      <c r="B1043" t="s">
        <v>57</v>
      </c>
      <c r="C1043">
        <v>13</v>
      </c>
      <c r="D1043">
        <v>125</v>
      </c>
      <c r="E1043" t="s">
        <v>99</v>
      </c>
      <c r="F1043" t="s">
        <v>45</v>
      </c>
      <c r="G1043">
        <f t="shared" si="16"/>
        <v>1</v>
      </c>
      <c r="H1043">
        <v>10</v>
      </c>
      <c r="I1043">
        <v>3</v>
      </c>
      <c r="J1043">
        <v>0</v>
      </c>
      <c r="K1043" s="6" t="s">
        <v>106</v>
      </c>
      <c r="L1043" s="6" t="s">
        <v>83</v>
      </c>
      <c r="M1043">
        <v>203</v>
      </c>
      <c r="N1043" s="1">
        <v>0.50372208436724564</v>
      </c>
      <c r="O1043">
        <v>67</v>
      </c>
      <c r="P1043" s="1">
        <v>0.40119760479041916</v>
      </c>
      <c r="Q1043" s="1">
        <v>0.84782608695652173</v>
      </c>
      <c r="R1043">
        <v>551</v>
      </c>
      <c r="S1043">
        <v>47</v>
      </c>
      <c r="T1043">
        <v>159</v>
      </c>
      <c r="U1043">
        <v>55</v>
      </c>
      <c r="V1043">
        <v>18</v>
      </c>
      <c r="W1043">
        <v>33</v>
      </c>
      <c r="X1043">
        <v>40</v>
      </c>
      <c r="Y1043" s="5">
        <v>1.375</v>
      </c>
    </row>
    <row r="1044" spans="1:25" x14ac:dyDescent="0.25">
      <c r="A1044">
        <v>2020</v>
      </c>
      <c r="B1044" t="s">
        <v>57</v>
      </c>
      <c r="C1044">
        <v>13</v>
      </c>
      <c r="D1044">
        <v>126</v>
      </c>
      <c r="E1044" t="s">
        <v>33</v>
      </c>
      <c r="F1044" t="s">
        <v>42</v>
      </c>
      <c r="G1044">
        <f t="shared" si="16"/>
        <v>1</v>
      </c>
      <c r="H1044">
        <v>7</v>
      </c>
      <c r="I1044">
        <v>6</v>
      </c>
      <c r="J1044">
        <v>0</v>
      </c>
      <c r="K1044" s="6" t="s">
        <v>62</v>
      </c>
      <c r="L1044" s="6" t="s">
        <v>78</v>
      </c>
      <c r="M1044">
        <v>153</v>
      </c>
      <c r="N1044" s="1">
        <v>0.54838709677419351</v>
      </c>
      <c r="O1044">
        <v>16</v>
      </c>
      <c r="P1044" s="1">
        <v>0.30188679245283018</v>
      </c>
      <c r="Q1044" s="1">
        <v>0.62222222222222223</v>
      </c>
      <c r="R1044">
        <v>378</v>
      </c>
      <c r="S1044">
        <v>58</v>
      </c>
      <c r="T1044">
        <v>123</v>
      </c>
      <c r="U1044">
        <v>92</v>
      </c>
      <c r="V1044">
        <v>33</v>
      </c>
      <c r="W1044">
        <v>24</v>
      </c>
      <c r="X1044">
        <v>48</v>
      </c>
      <c r="Y1044" s="5">
        <v>1.9166666666666667</v>
      </c>
    </row>
    <row r="1045" spans="1:25" x14ac:dyDescent="0.25">
      <c r="A1045">
        <v>2020</v>
      </c>
      <c r="B1045" t="s">
        <v>57</v>
      </c>
      <c r="C1045">
        <v>13</v>
      </c>
      <c r="D1045">
        <v>126</v>
      </c>
      <c r="E1045" t="s">
        <v>20</v>
      </c>
      <c r="F1045" t="s">
        <v>47</v>
      </c>
      <c r="G1045">
        <f t="shared" si="16"/>
        <v>0</v>
      </c>
      <c r="H1045">
        <v>6</v>
      </c>
      <c r="I1045">
        <v>7</v>
      </c>
      <c r="J1045">
        <v>0</v>
      </c>
      <c r="K1045" s="6" t="s">
        <v>72</v>
      </c>
      <c r="L1045" s="6" t="s">
        <v>85</v>
      </c>
      <c r="M1045">
        <v>156</v>
      </c>
      <c r="N1045" s="1">
        <v>0.50485436893203883</v>
      </c>
      <c r="O1045">
        <v>40</v>
      </c>
      <c r="P1045" s="1">
        <v>0.43010752688172044</v>
      </c>
      <c r="Q1045" s="1">
        <v>0.77777777777777779</v>
      </c>
      <c r="R1045">
        <v>408</v>
      </c>
      <c r="S1045">
        <v>31</v>
      </c>
      <c r="T1045">
        <v>105</v>
      </c>
      <c r="U1045">
        <v>100</v>
      </c>
      <c r="V1045">
        <v>26</v>
      </c>
      <c r="W1045">
        <v>19</v>
      </c>
      <c r="X1045">
        <v>53</v>
      </c>
      <c r="Y1045" s="5">
        <v>1.8867924528301887</v>
      </c>
    </row>
    <row r="1046" spans="1:25" x14ac:dyDescent="0.25">
      <c r="A1046">
        <v>2020</v>
      </c>
      <c r="B1046" t="s">
        <v>57</v>
      </c>
      <c r="C1046">
        <v>13</v>
      </c>
      <c r="D1046">
        <v>127</v>
      </c>
      <c r="E1046" t="s">
        <v>21</v>
      </c>
      <c r="F1046" t="s">
        <v>50</v>
      </c>
      <c r="G1046">
        <f t="shared" si="16"/>
        <v>1</v>
      </c>
      <c r="H1046">
        <v>7</v>
      </c>
      <c r="I1046">
        <v>6</v>
      </c>
      <c r="J1046">
        <v>0</v>
      </c>
      <c r="K1046" s="6" t="s">
        <v>182</v>
      </c>
      <c r="L1046" s="6" t="s">
        <v>76</v>
      </c>
      <c r="M1046">
        <v>169</v>
      </c>
      <c r="N1046" s="1">
        <v>0.52</v>
      </c>
      <c r="O1046">
        <v>41</v>
      </c>
      <c r="P1046" s="1">
        <v>0.41414141414141414</v>
      </c>
      <c r="Q1046" s="1">
        <v>0.87128712871287128</v>
      </c>
      <c r="R1046">
        <v>467</v>
      </c>
      <c r="S1046">
        <v>23</v>
      </c>
      <c r="T1046">
        <v>113</v>
      </c>
      <c r="U1046">
        <v>89</v>
      </c>
      <c r="V1046">
        <v>30</v>
      </c>
      <c r="W1046">
        <v>13</v>
      </c>
      <c r="X1046">
        <v>44</v>
      </c>
      <c r="Y1046" s="5">
        <v>2.0227272727272729</v>
      </c>
    </row>
    <row r="1047" spans="1:25" x14ac:dyDescent="0.25">
      <c r="A1047">
        <v>2020</v>
      </c>
      <c r="B1047" t="s">
        <v>57</v>
      </c>
      <c r="C1047">
        <v>13</v>
      </c>
      <c r="D1047">
        <v>127</v>
      </c>
      <c r="E1047" t="s">
        <v>181</v>
      </c>
      <c r="F1047" t="s">
        <v>49</v>
      </c>
      <c r="G1047">
        <f t="shared" si="16"/>
        <v>0</v>
      </c>
      <c r="H1047">
        <v>6</v>
      </c>
      <c r="I1047">
        <v>7</v>
      </c>
      <c r="J1047">
        <v>0</v>
      </c>
      <c r="K1047" s="6" t="s">
        <v>70</v>
      </c>
      <c r="L1047" s="6" t="s">
        <v>87</v>
      </c>
      <c r="M1047">
        <v>189</v>
      </c>
      <c r="N1047" s="1">
        <v>0.53541076487252126</v>
      </c>
      <c r="O1047">
        <v>52</v>
      </c>
      <c r="P1047" s="1">
        <v>0.37956204379562042</v>
      </c>
      <c r="Q1047" s="1">
        <v>0.77419354838709675</v>
      </c>
      <c r="R1047">
        <v>502</v>
      </c>
      <c r="S1047">
        <v>22</v>
      </c>
      <c r="T1047">
        <v>101</v>
      </c>
      <c r="U1047">
        <v>56</v>
      </c>
      <c r="V1047">
        <v>18</v>
      </c>
      <c r="W1047">
        <v>23</v>
      </c>
      <c r="X1047">
        <v>40</v>
      </c>
      <c r="Y1047" s="5">
        <v>1.4</v>
      </c>
    </row>
    <row r="1048" spans="1:25" x14ac:dyDescent="0.25">
      <c r="A1048">
        <v>2020</v>
      </c>
      <c r="B1048" t="s">
        <v>57</v>
      </c>
      <c r="C1048">
        <v>13</v>
      </c>
      <c r="D1048">
        <v>128</v>
      </c>
      <c r="E1048" t="s">
        <v>16</v>
      </c>
      <c r="F1048" t="s">
        <v>51</v>
      </c>
      <c r="G1048">
        <f t="shared" si="16"/>
        <v>1</v>
      </c>
      <c r="H1048">
        <v>7</v>
      </c>
      <c r="I1048">
        <v>6</v>
      </c>
      <c r="J1048">
        <v>0</v>
      </c>
      <c r="K1048" s="6" t="s">
        <v>65</v>
      </c>
      <c r="L1048" s="6" t="s">
        <v>119</v>
      </c>
      <c r="M1048">
        <v>182</v>
      </c>
      <c r="N1048" s="1">
        <v>0.45273631840796019</v>
      </c>
      <c r="O1048">
        <v>64</v>
      </c>
      <c r="P1048" s="1">
        <v>0.36363636363636365</v>
      </c>
      <c r="Q1048" s="1">
        <v>0.71171171171171166</v>
      </c>
      <c r="R1048">
        <v>507</v>
      </c>
      <c r="S1048">
        <v>26</v>
      </c>
      <c r="T1048">
        <v>165</v>
      </c>
      <c r="U1048">
        <v>148</v>
      </c>
      <c r="V1048">
        <v>50</v>
      </c>
      <c r="W1048">
        <v>9</v>
      </c>
      <c r="X1048">
        <v>71</v>
      </c>
      <c r="Y1048" s="5">
        <v>2.084507042253521</v>
      </c>
    </row>
    <row r="1049" spans="1:25" x14ac:dyDescent="0.25">
      <c r="A1049">
        <v>2020</v>
      </c>
      <c r="B1049" t="s">
        <v>57</v>
      </c>
      <c r="C1049">
        <v>13</v>
      </c>
      <c r="D1049">
        <v>128</v>
      </c>
      <c r="E1049" t="s">
        <v>26</v>
      </c>
      <c r="F1049" t="s">
        <v>118</v>
      </c>
      <c r="G1049">
        <f t="shared" si="16"/>
        <v>0</v>
      </c>
      <c r="H1049">
        <v>6</v>
      </c>
      <c r="I1049">
        <v>7</v>
      </c>
      <c r="J1049">
        <v>0</v>
      </c>
      <c r="K1049" s="6" t="s">
        <v>60</v>
      </c>
      <c r="L1049" s="6" t="s">
        <v>75</v>
      </c>
      <c r="M1049">
        <v>167</v>
      </c>
      <c r="N1049" s="1">
        <v>0.46648044692737428</v>
      </c>
      <c r="O1049">
        <v>41</v>
      </c>
      <c r="P1049" s="1">
        <v>0.32800000000000001</v>
      </c>
      <c r="Q1049" s="1">
        <v>0.83673469387755106</v>
      </c>
      <c r="R1049">
        <v>457</v>
      </c>
      <c r="S1049">
        <v>29</v>
      </c>
      <c r="T1049">
        <v>136</v>
      </c>
      <c r="U1049">
        <v>136</v>
      </c>
      <c r="V1049">
        <v>17</v>
      </c>
      <c r="W1049">
        <v>17</v>
      </c>
      <c r="X1049">
        <v>51</v>
      </c>
      <c r="Y1049" s="5">
        <v>2.6666666666666665</v>
      </c>
    </row>
    <row r="1050" spans="1:25" x14ac:dyDescent="0.25">
      <c r="A1050">
        <v>2020</v>
      </c>
      <c r="B1050" t="s">
        <v>57</v>
      </c>
      <c r="C1050">
        <v>13</v>
      </c>
      <c r="D1050">
        <v>129</v>
      </c>
      <c r="E1050" t="s">
        <v>23</v>
      </c>
      <c r="F1050" t="s">
        <v>120</v>
      </c>
      <c r="G1050">
        <f t="shared" si="16"/>
        <v>1</v>
      </c>
      <c r="H1050">
        <v>8</v>
      </c>
      <c r="I1050">
        <v>5</v>
      </c>
      <c r="J1050">
        <v>0</v>
      </c>
      <c r="K1050" s="6" t="s">
        <v>73</v>
      </c>
      <c r="L1050" s="6" t="s">
        <v>74</v>
      </c>
      <c r="M1050">
        <v>135</v>
      </c>
      <c r="N1050" s="1">
        <v>0.42586750788643535</v>
      </c>
      <c r="O1050">
        <v>46</v>
      </c>
      <c r="P1050" s="1">
        <v>0.30463576158940397</v>
      </c>
      <c r="Q1050" s="1">
        <v>0.78947368421052633</v>
      </c>
      <c r="R1050">
        <v>391</v>
      </c>
      <c r="S1050">
        <v>26</v>
      </c>
      <c r="T1050">
        <v>113</v>
      </c>
      <c r="U1050">
        <v>90</v>
      </c>
      <c r="V1050">
        <v>30</v>
      </c>
      <c r="W1050">
        <v>12</v>
      </c>
      <c r="X1050">
        <v>48</v>
      </c>
      <c r="Y1050" s="5">
        <v>1.875</v>
      </c>
    </row>
    <row r="1051" spans="1:25" x14ac:dyDescent="0.25">
      <c r="A1051">
        <v>2020</v>
      </c>
      <c r="B1051" t="s">
        <v>57</v>
      </c>
      <c r="C1051">
        <v>13</v>
      </c>
      <c r="D1051">
        <v>129</v>
      </c>
      <c r="E1051" t="s">
        <v>35</v>
      </c>
      <c r="F1051" t="s">
        <v>52</v>
      </c>
      <c r="G1051">
        <f t="shared" si="16"/>
        <v>0</v>
      </c>
      <c r="H1051">
        <v>5</v>
      </c>
      <c r="I1051">
        <v>8</v>
      </c>
      <c r="J1051">
        <v>0</v>
      </c>
      <c r="K1051" s="6" t="s">
        <v>71</v>
      </c>
      <c r="L1051" s="6" t="s">
        <v>121</v>
      </c>
      <c r="M1051">
        <v>113</v>
      </c>
      <c r="N1051" s="1">
        <v>0.45200000000000001</v>
      </c>
      <c r="O1051">
        <v>39</v>
      </c>
      <c r="P1051" s="1">
        <v>0.40625</v>
      </c>
      <c r="Q1051" s="1">
        <v>0.75</v>
      </c>
      <c r="R1051">
        <v>298</v>
      </c>
      <c r="S1051">
        <v>23</v>
      </c>
      <c r="T1051">
        <v>67</v>
      </c>
      <c r="U1051">
        <v>54</v>
      </c>
      <c r="V1051">
        <v>24</v>
      </c>
      <c r="W1051">
        <v>22</v>
      </c>
      <c r="X1051">
        <v>24</v>
      </c>
      <c r="Y1051" s="5">
        <v>2.25</v>
      </c>
    </row>
    <row r="1052" spans="1:25" x14ac:dyDescent="0.25">
      <c r="A1052">
        <v>2020</v>
      </c>
      <c r="B1052" t="s">
        <v>57</v>
      </c>
      <c r="C1052">
        <v>13</v>
      </c>
      <c r="D1052">
        <v>130</v>
      </c>
      <c r="E1052" t="s">
        <v>98</v>
      </c>
      <c r="F1052" t="s">
        <v>41</v>
      </c>
      <c r="G1052">
        <f t="shared" si="16"/>
        <v>1</v>
      </c>
      <c r="H1052">
        <v>7</v>
      </c>
      <c r="I1052">
        <v>4</v>
      </c>
      <c r="J1052">
        <v>2</v>
      </c>
      <c r="K1052" s="6" t="s">
        <v>111</v>
      </c>
      <c r="L1052" s="6" t="s">
        <v>89</v>
      </c>
      <c r="M1052">
        <v>181</v>
      </c>
      <c r="N1052" s="1">
        <v>0.49589041095890413</v>
      </c>
      <c r="O1052">
        <v>55</v>
      </c>
      <c r="P1052" s="1">
        <v>0.3716216216216216</v>
      </c>
      <c r="Q1052" s="1">
        <v>0.859375</v>
      </c>
      <c r="R1052">
        <v>472</v>
      </c>
      <c r="S1052">
        <v>29</v>
      </c>
      <c r="T1052">
        <v>121</v>
      </c>
      <c r="U1052">
        <v>90</v>
      </c>
      <c r="V1052">
        <v>20</v>
      </c>
      <c r="W1052">
        <v>9</v>
      </c>
      <c r="X1052">
        <v>46</v>
      </c>
      <c r="Y1052" s="5">
        <v>1.9565217391304348</v>
      </c>
    </row>
    <row r="1053" spans="1:25" x14ac:dyDescent="0.25">
      <c r="A1053">
        <v>2020</v>
      </c>
      <c r="B1053" t="s">
        <v>57</v>
      </c>
      <c r="C1053">
        <v>13</v>
      </c>
      <c r="D1053">
        <v>130</v>
      </c>
      <c r="E1053" t="s">
        <v>97</v>
      </c>
      <c r="F1053" t="s">
        <v>54</v>
      </c>
      <c r="G1053">
        <f t="shared" si="16"/>
        <v>0</v>
      </c>
      <c r="H1053">
        <v>4</v>
      </c>
      <c r="I1053">
        <v>7</v>
      </c>
      <c r="J1053">
        <v>2</v>
      </c>
      <c r="K1053" s="6" t="s">
        <v>112</v>
      </c>
      <c r="L1053" s="6" t="s">
        <v>88</v>
      </c>
      <c r="M1053">
        <v>158</v>
      </c>
      <c r="N1053" s="1">
        <v>0.52145214521452143</v>
      </c>
      <c r="O1053">
        <v>44</v>
      </c>
      <c r="P1053" s="1">
        <v>0.41121495327102803</v>
      </c>
      <c r="Q1053" s="1">
        <v>0.70588235294117652</v>
      </c>
      <c r="R1053">
        <v>432</v>
      </c>
      <c r="S1053">
        <v>29</v>
      </c>
      <c r="T1053">
        <v>127</v>
      </c>
      <c r="U1053">
        <v>77</v>
      </c>
      <c r="V1053">
        <v>20</v>
      </c>
      <c r="W1053">
        <v>13</v>
      </c>
      <c r="X1053">
        <v>56</v>
      </c>
      <c r="Y1053" s="5">
        <v>1.375</v>
      </c>
    </row>
    <row r="1054" spans="1:25" x14ac:dyDescent="0.25">
      <c r="A1054">
        <v>2020</v>
      </c>
      <c r="B1054" t="s">
        <v>57</v>
      </c>
      <c r="C1054">
        <v>14</v>
      </c>
      <c r="D1054">
        <v>131</v>
      </c>
      <c r="E1054" t="s">
        <v>20</v>
      </c>
      <c r="F1054" t="s">
        <v>47</v>
      </c>
      <c r="G1054">
        <f t="shared" si="16"/>
        <v>0</v>
      </c>
      <c r="H1054">
        <v>6</v>
      </c>
      <c r="I1054">
        <v>7</v>
      </c>
      <c r="J1054">
        <v>0</v>
      </c>
      <c r="K1054" s="6" t="s">
        <v>65</v>
      </c>
      <c r="L1054" s="6" t="s">
        <v>119</v>
      </c>
      <c r="M1054">
        <v>181</v>
      </c>
      <c r="N1054" s="1">
        <v>0.48010610079575594</v>
      </c>
      <c r="O1054">
        <v>46</v>
      </c>
      <c r="P1054" s="1">
        <v>0.38016528925619836</v>
      </c>
      <c r="Q1054" s="1">
        <v>0.73972602739726023</v>
      </c>
      <c r="R1054">
        <v>462</v>
      </c>
      <c r="S1054">
        <v>41</v>
      </c>
      <c r="T1054">
        <v>106</v>
      </c>
      <c r="U1054">
        <v>109</v>
      </c>
      <c r="V1054">
        <v>34</v>
      </c>
      <c r="W1054">
        <v>11</v>
      </c>
      <c r="X1054">
        <v>47</v>
      </c>
      <c r="Y1054" s="5">
        <v>2.3191489361702127</v>
      </c>
    </row>
    <row r="1055" spans="1:25" x14ac:dyDescent="0.25">
      <c r="A1055">
        <v>2020</v>
      </c>
      <c r="B1055" t="s">
        <v>57</v>
      </c>
      <c r="C1055">
        <v>14</v>
      </c>
      <c r="D1055">
        <v>131</v>
      </c>
      <c r="E1055" t="s">
        <v>26</v>
      </c>
      <c r="F1055" t="s">
        <v>118</v>
      </c>
      <c r="G1055">
        <f t="shared" si="16"/>
        <v>1</v>
      </c>
      <c r="H1055">
        <v>7</v>
      </c>
      <c r="I1055">
        <v>6</v>
      </c>
      <c r="J1055">
        <v>0</v>
      </c>
      <c r="K1055" s="6" t="s">
        <v>62</v>
      </c>
      <c r="L1055" s="6" t="s">
        <v>78</v>
      </c>
      <c r="M1055">
        <v>166</v>
      </c>
      <c r="N1055" s="1">
        <v>0.51234567901234573</v>
      </c>
      <c r="O1055">
        <v>49</v>
      </c>
      <c r="P1055" s="1">
        <v>0.40163934426229508</v>
      </c>
      <c r="Q1055" s="1">
        <v>0.78431372549019607</v>
      </c>
      <c r="R1055">
        <v>461</v>
      </c>
      <c r="S1055">
        <v>40</v>
      </c>
      <c r="T1055">
        <v>158</v>
      </c>
      <c r="U1055">
        <v>121</v>
      </c>
      <c r="V1055">
        <v>31</v>
      </c>
      <c r="W1055">
        <v>21</v>
      </c>
      <c r="X1055">
        <v>72</v>
      </c>
      <c r="Y1055" s="5">
        <v>1.6805555555555556</v>
      </c>
    </row>
    <row r="1056" spans="1:25" x14ac:dyDescent="0.25">
      <c r="A1056">
        <v>2020</v>
      </c>
      <c r="B1056" t="s">
        <v>57</v>
      </c>
      <c r="C1056">
        <v>14</v>
      </c>
      <c r="D1056">
        <v>132</v>
      </c>
      <c r="E1056" t="s">
        <v>22</v>
      </c>
      <c r="F1056" t="s">
        <v>44</v>
      </c>
      <c r="G1056">
        <f t="shared" si="16"/>
        <v>1</v>
      </c>
      <c r="H1056">
        <v>8</v>
      </c>
      <c r="I1056">
        <v>5</v>
      </c>
      <c r="J1056">
        <v>0</v>
      </c>
      <c r="K1056" s="6" t="s">
        <v>111</v>
      </c>
      <c r="L1056" s="6" t="s">
        <v>89</v>
      </c>
      <c r="M1056">
        <v>182</v>
      </c>
      <c r="N1056" s="1">
        <v>0.4538653366583541</v>
      </c>
      <c r="O1056">
        <v>55</v>
      </c>
      <c r="P1056" s="1">
        <v>0.34810126582278483</v>
      </c>
      <c r="Q1056" s="1">
        <v>0.78151260504201681</v>
      </c>
      <c r="R1056">
        <v>512</v>
      </c>
      <c r="S1056">
        <v>43</v>
      </c>
      <c r="T1056">
        <v>156</v>
      </c>
      <c r="U1056">
        <v>114</v>
      </c>
      <c r="V1056">
        <v>38</v>
      </c>
      <c r="W1056">
        <v>13</v>
      </c>
      <c r="X1056">
        <v>57</v>
      </c>
      <c r="Y1056" s="5">
        <v>2</v>
      </c>
    </row>
    <row r="1057" spans="1:25" x14ac:dyDescent="0.25">
      <c r="A1057">
        <v>2020</v>
      </c>
      <c r="B1057" t="s">
        <v>57</v>
      </c>
      <c r="C1057">
        <v>14</v>
      </c>
      <c r="D1057">
        <v>132</v>
      </c>
      <c r="E1057" t="s">
        <v>97</v>
      </c>
      <c r="F1057" t="s">
        <v>54</v>
      </c>
      <c r="G1057">
        <f t="shared" si="16"/>
        <v>0</v>
      </c>
      <c r="H1057">
        <v>5</v>
      </c>
      <c r="I1057">
        <v>8</v>
      </c>
      <c r="J1057">
        <v>0</v>
      </c>
      <c r="K1057" s="6" t="s">
        <v>66</v>
      </c>
      <c r="L1057" s="6" t="s">
        <v>81</v>
      </c>
      <c r="M1057">
        <v>195</v>
      </c>
      <c r="N1057" s="1">
        <v>0.52702702702702697</v>
      </c>
      <c r="O1057">
        <v>34</v>
      </c>
      <c r="P1057" s="1">
        <v>0.30357142857142855</v>
      </c>
      <c r="Q1057" s="1">
        <v>0.76296296296296295</v>
      </c>
      <c r="R1057">
        <v>527</v>
      </c>
      <c r="S1057">
        <v>42</v>
      </c>
      <c r="T1057">
        <v>143</v>
      </c>
      <c r="U1057">
        <v>116</v>
      </c>
      <c r="V1057">
        <v>18</v>
      </c>
      <c r="W1057">
        <v>24</v>
      </c>
      <c r="X1057">
        <v>72</v>
      </c>
      <c r="Y1057" s="5">
        <v>1.6111111111111112</v>
      </c>
    </row>
    <row r="1058" spans="1:25" x14ac:dyDescent="0.25">
      <c r="A1058">
        <v>2020</v>
      </c>
      <c r="B1058" t="s">
        <v>57</v>
      </c>
      <c r="C1058">
        <v>14</v>
      </c>
      <c r="D1058">
        <v>133</v>
      </c>
      <c r="E1058" t="s">
        <v>25</v>
      </c>
      <c r="F1058" t="s">
        <v>53</v>
      </c>
      <c r="G1058">
        <f t="shared" si="16"/>
        <v>0</v>
      </c>
      <c r="H1058">
        <v>6</v>
      </c>
      <c r="I1058">
        <v>7</v>
      </c>
      <c r="J1058">
        <v>0</v>
      </c>
      <c r="K1058" s="6" t="s">
        <v>63</v>
      </c>
      <c r="L1058" s="6" t="s">
        <v>79</v>
      </c>
      <c r="M1058">
        <v>110</v>
      </c>
      <c r="N1058" s="1">
        <v>0.43307086614173229</v>
      </c>
      <c r="O1058">
        <v>19</v>
      </c>
      <c r="P1058" s="1">
        <v>0.31666666666666665</v>
      </c>
      <c r="Q1058" s="1">
        <v>0.72826086956521741</v>
      </c>
      <c r="R1058">
        <v>306</v>
      </c>
      <c r="S1058">
        <v>46</v>
      </c>
      <c r="T1058">
        <v>132</v>
      </c>
      <c r="U1058">
        <v>141</v>
      </c>
      <c r="V1058">
        <v>27</v>
      </c>
      <c r="W1058">
        <v>13</v>
      </c>
      <c r="X1058">
        <v>49</v>
      </c>
      <c r="Y1058" s="5">
        <v>2.8775510204081631</v>
      </c>
    </row>
    <row r="1059" spans="1:25" x14ac:dyDescent="0.25">
      <c r="A1059">
        <v>2020</v>
      </c>
      <c r="B1059" t="s">
        <v>57</v>
      </c>
      <c r="C1059">
        <v>14</v>
      </c>
      <c r="D1059">
        <v>133</v>
      </c>
      <c r="E1059" t="s">
        <v>17</v>
      </c>
      <c r="F1059" t="s">
        <v>43</v>
      </c>
      <c r="G1059">
        <f t="shared" si="16"/>
        <v>1</v>
      </c>
      <c r="H1059">
        <v>7</v>
      </c>
      <c r="I1059">
        <v>6</v>
      </c>
      <c r="J1059">
        <v>0</v>
      </c>
      <c r="K1059" s="6" t="s">
        <v>68</v>
      </c>
      <c r="L1059" s="6" t="s">
        <v>84</v>
      </c>
      <c r="M1059">
        <v>119</v>
      </c>
      <c r="N1059" s="1">
        <v>0.47791164658634538</v>
      </c>
      <c r="O1059">
        <v>31</v>
      </c>
      <c r="P1059" s="1">
        <v>0.36470588235294116</v>
      </c>
      <c r="Q1059" s="1">
        <v>0.76315789473684215</v>
      </c>
      <c r="R1059">
        <v>298</v>
      </c>
      <c r="S1059">
        <v>30</v>
      </c>
      <c r="T1059">
        <v>102</v>
      </c>
      <c r="U1059">
        <v>88</v>
      </c>
      <c r="V1059">
        <v>26</v>
      </c>
      <c r="W1059">
        <v>20</v>
      </c>
      <c r="X1059">
        <v>38</v>
      </c>
      <c r="Y1059" s="5">
        <v>2.3157894736842106</v>
      </c>
    </row>
    <row r="1060" spans="1:25" x14ac:dyDescent="0.25">
      <c r="A1060">
        <v>2020</v>
      </c>
      <c r="B1060" t="s">
        <v>57</v>
      </c>
      <c r="C1060">
        <v>14</v>
      </c>
      <c r="D1060">
        <v>134</v>
      </c>
      <c r="E1060" t="s">
        <v>23</v>
      </c>
      <c r="F1060" t="s">
        <v>120</v>
      </c>
      <c r="G1060">
        <f t="shared" si="16"/>
        <v>1</v>
      </c>
      <c r="H1060">
        <v>11</v>
      </c>
      <c r="I1060">
        <v>2</v>
      </c>
      <c r="J1060">
        <v>0</v>
      </c>
      <c r="K1060" s="6" t="s">
        <v>104</v>
      </c>
      <c r="L1060" s="6" t="s">
        <v>105</v>
      </c>
      <c r="M1060">
        <v>195</v>
      </c>
      <c r="N1060" s="1">
        <v>0.48029556650246308</v>
      </c>
      <c r="O1060">
        <v>81</v>
      </c>
      <c r="P1060" s="1">
        <v>0.44021739130434784</v>
      </c>
      <c r="Q1060" s="1">
        <v>0.84</v>
      </c>
      <c r="R1060">
        <v>576</v>
      </c>
      <c r="S1060">
        <v>22</v>
      </c>
      <c r="T1060">
        <v>157</v>
      </c>
      <c r="U1060">
        <v>106</v>
      </c>
      <c r="V1060">
        <v>40</v>
      </c>
      <c r="W1060">
        <v>24</v>
      </c>
      <c r="X1060">
        <v>39</v>
      </c>
      <c r="Y1060" s="5">
        <v>2.7179487179487181</v>
      </c>
    </row>
    <row r="1061" spans="1:25" x14ac:dyDescent="0.25">
      <c r="A1061">
        <v>2020</v>
      </c>
      <c r="B1061" t="s">
        <v>57</v>
      </c>
      <c r="C1061">
        <v>14</v>
      </c>
      <c r="D1061">
        <v>134</v>
      </c>
      <c r="E1061" t="s">
        <v>93</v>
      </c>
      <c r="F1061" t="s">
        <v>189</v>
      </c>
      <c r="G1061">
        <f t="shared" si="16"/>
        <v>0</v>
      </c>
      <c r="H1061">
        <v>2</v>
      </c>
      <c r="I1061">
        <v>11</v>
      </c>
      <c r="J1061">
        <v>0</v>
      </c>
      <c r="K1061" s="6" t="s">
        <v>71</v>
      </c>
      <c r="L1061" s="6" t="s">
        <v>121</v>
      </c>
      <c r="M1061">
        <v>143</v>
      </c>
      <c r="N1061" s="1">
        <v>0.40740740740740738</v>
      </c>
      <c r="O1061">
        <v>49</v>
      </c>
      <c r="P1061" s="1">
        <v>0.31612903225806449</v>
      </c>
      <c r="Q1061" s="1">
        <v>0.86868686868686873</v>
      </c>
      <c r="R1061">
        <v>421</v>
      </c>
      <c r="S1061">
        <v>35</v>
      </c>
      <c r="T1061">
        <v>130</v>
      </c>
      <c r="U1061">
        <v>82</v>
      </c>
      <c r="V1061">
        <v>24</v>
      </c>
      <c r="W1061">
        <v>15</v>
      </c>
      <c r="X1061">
        <v>52</v>
      </c>
      <c r="Y1061" s="5">
        <v>1.5769230769230769</v>
      </c>
    </row>
    <row r="1062" spans="1:25" x14ac:dyDescent="0.25">
      <c r="A1062">
        <v>2020</v>
      </c>
      <c r="B1062" t="s">
        <v>57</v>
      </c>
      <c r="C1062">
        <v>14</v>
      </c>
      <c r="D1062">
        <v>135</v>
      </c>
      <c r="E1062" t="s">
        <v>190</v>
      </c>
      <c r="F1062" t="s">
        <v>103</v>
      </c>
      <c r="G1062">
        <f t="shared" si="16"/>
        <v>0</v>
      </c>
      <c r="H1062">
        <v>3</v>
      </c>
      <c r="I1062">
        <v>7</v>
      </c>
      <c r="J1062">
        <v>3</v>
      </c>
      <c r="K1062" s="6" t="s">
        <v>182</v>
      </c>
      <c r="L1062" s="6" t="s">
        <v>76</v>
      </c>
      <c r="M1062">
        <v>179</v>
      </c>
      <c r="N1062" s="1">
        <v>0.45897435897435895</v>
      </c>
      <c r="O1062">
        <v>50</v>
      </c>
      <c r="P1062" s="1">
        <v>0.36496350364963503</v>
      </c>
      <c r="Q1062" s="1">
        <v>0.65979381443298968</v>
      </c>
      <c r="R1062">
        <v>472</v>
      </c>
      <c r="S1062">
        <v>31</v>
      </c>
      <c r="T1062">
        <v>139</v>
      </c>
      <c r="U1062">
        <v>97</v>
      </c>
      <c r="V1062">
        <v>34</v>
      </c>
      <c r="W1062">
        <v>30</v>
      </c>
      <c r="X1062">
        <v>59</v>
      </c>
      <c r="Y1062" s="5">
        <v>1.6440677966101696</v>
      </c>
    </row>
    <row r="1063" spans="1:25" x14ac:dyDescent="0.25">
      <c r="A1063">
        <v>2020</v>
      </c>
      <c r="B1063" t="s">
        <v>57</v>
      </c>
      <c r="C1063">
        <v>14</v>
      </c>
      <c r="D1063">
        <v>135</v>
      </c>
      <c r="E1063" t="s">
        <v>181</v>
      </c>
      <c r="F1063" t="s">
        <v>49</v>
      </c>
      <c r="G1063">
        <f t="shared" si="16"/>
        <v>1</v>
      </c>
      <c r="H1063">
        <v>7</v>
      </c>
      <c r="I1063">
        <v>3</v>
      </c>
      <c r="J1063">
        <v>3</v>
      </c>
      <c r="K1063" s="6" t="s">
        <v>191</v>
      </c>
      <c r="L1063" s="6" t="s">
        <v>113</v>
      </c>
      <c r="M1063">
        <v>184</v>
      </c>
      <c r="N1063" s="1">
        <v>0.46347607052896728</v>
      </c>
      <c r="O1063">
        <v>50</v>
      </c>
      <c r="P1063" s="1">
        <v>0.36496350364963503</v>
      </c>
      <c r="Q1063" s="1">
        <v>0.79130434782608694</v>
      </c>
      <c r="R1063">
        <v>509</v>
      </c>
      <c r="S1063">
        <v>47</v>
      </c>
      <c r="T1063">
        <v>120</v>
      </c>
      <c r="U1063">
        <v>97</v>
      </c>
      <c r="V1063">
        <v>23</v>
      </c>
      <c r="W1063">
        <v>15</v>
      </c>
      <c r="X1063">
        <v>51</v>
      </c>
      <c r="Y1063" s="5">
        <v>1.9019607843137254</v>
      </c>
    </row>
    <row r="1064" spans="1:25" x14ac:dyDescent="0.25">
      <c r="A1064">
        <v>2020</v>
      </c>
      <c r="B1064" t="s">
        <v>57</v>
      </c>
      <c r="C1064">
        <v>14</v>
      </c>
      <c r="D1064">
        <v>136</v>
      </c>
      <c r="E1064" t="s">
        <v>28</v>
      </c>
      <c r="F1064" t="s">
        <v>46</v>
      </c>
      <c r="G1064">
        <f t="shared" si="16"/>
        <v>0</v>
      </c>
      <c r="H1064">
        <v>6</v>
      </c>
      <c r="I1064">
        <v>7</v>
      </c>
      <c r="J1064">
        <v>0</v>
      </c>
      <c r="K1064" s="6" t="s">
        <v>114</v>
      </c>
      <c r="L1064" s="6" t="s">
        <v>90</v>
      </c>
      <c r="M1064">
        <v>236</v>
      </c>
      <c r="N1064" s="1">
        <v>0.45297504798464494</v>
      </c>
      <c r="O1064">
        <v>49</v>
      </c>
      <c r="P1064" s="1">
        <v>0.32236842105263158</v>
      </c>
      <c r="Q1064" s="1">
        <v>0.78082191780821919</v>
      </c>
      <c r="R1064">
        <v>635</v>
      </c>
      <c r="S1064">
        <v>63</v>
      </c>
      <c r="T1064">
        <v>188</v>
      </c>
      <c r="U1064">
        <v>122</v>
      </c>
      <c r="V1064">
        <v>36</v>
      </c>
      <c r="W1064">
        <v>29</v>
      </c>
      <c r="X1064">
        <v>83</v>
      </c>
      <c r="Y1064" s="5">
        <v>1.4698795180722892</v>
      </c>
    </row>
    <row r="1065" spans="1:25" x14ac:dyDescent="0.25">
      <c r="A1065">
        <v>2020</v>
      </c>
      <c r="B1065" t="s">
        <v>57</v>
      </c>
      <c r="C1065">
        <v>14</v>
      </c>
      <c r="D1065">
        <v>136</v>
      </c>
      <c r="E1065" t="s">
        <v>99</v>
      </c>
      <c r="F1065" t="s">
        <v>45</v>
      </c>
      <c r="G1065">
        <f t="shared" si="16"/>
        <v>1</v>
      </c>
      <c r="H1065">
        <v>7</v>
      </c>
      <c r="I1065">
        <v>6</v>
      </c>
      <c r="J1065">
        <v>0</v>
      </c>
      <c r="K1065" s="6" t="s">
        <v>64</v>
      </c>
      <c r="L1065" s="6" t="s">
        <v>80</v>
      </c>
      <c r="M1065">
        <v>197</v>
      </c>
      <c r="N1065" s="1">
        <v>0.47931873479318737</v>
      </c>
      <c r="O1065">
        <v>64</v>
      </c>
      <c r="P1065" s="1">
        <v>0.35754189944134079</v>
      </c>
      <c r="Q1065" s="1">
        <v>0.8904109589041096</v>
      </c>
      <c r="R1065">
        <v>523</v>
      </c>
      <c r="S1065">
        <v>59</v>
      </c>
      <c r="T1065">
        <v>167</v>
      </c>
      <c r="U1065">
        <v>76</v>
      </c>
      <c r="V1065">
        <v>32</v>
      </c>
      <c r="W1065">
        <v>37</v>
      </c>
      <c r="X1065">
        <v>47</v>
      </c>
      <c r="Y1065" s="5">
        <v>1.6170212765957446</v>
      </c>
    </row>
    <row r="1066" spans="1:25" x14ac:dyDescent="0.25">
      <c r="A1066">
        <v>2020</v>
      </c>
      <c r="B1066" t="s">
        <v>57</v>
      </c>
      <c r="C1066">
        <v>14</v>
      </c>
      <c r="D1066">
        <v>137</v>
      </c>
      <c r="E1066" t="s">
        <v>16</v>
      </c>
      <c r="F1066" t="s">
        <v>51</v>
      </c>
      <c r="G1066">
        <f t="shared" si="16"/>
        <v>1</v>
      </c>
      <c r="H1066">
        <v>9</v>
      </c>
      <c r="I1066">
        <v>4</v>
      </c>
      <c r="J1066">
        <v>0</v>
      </c>
      <c r="K1066" s="6" t="s">
        <v>61</v>
      </c>
      <c r="L1066" s="6" t="s">
        <v>77</v>
      </c>
      <c r="M1066">
        <v>173</v>
      </c>
      <c r="N1066" s="1">
        <v>0.46256684491978611</v>
      </c>
      <c r="O1066">
        <v>50</v>
      </c>
      <c r="P1066" s="1">
        <v>0.29761904761904762</v>
      </c>
      <c r="Q1066" s="1">
        <v>0.71875</v>
      </c>
      <c r="R1066">
        <v>465</v>
      </c>
      <c r="S1066">
        <v>42</v>
      </c>
      <c r="T1066">
        <v>152</v>
      </c>
      <c r="U1066">
        <v>120</v>
      </c>
      <c r="V1066">
        <v>40</v>
      </c>
      <c r="W1066">
        <v>24</v>
      </c>
      <c r="X1066">
        <v>66</v>
      </c>
      <c r="Y1066" s="5">
        <v>1.8181818181818181</v>
      </c>
    </row>
    <row r="1067" spans="1:25" x14ac:dyDescent="0.25">
      <c r="A1067">
        <v>2020</v>
      </c>
      <c r="B1067" t="s">
        <v>57</v>
      </c>
      <c r="C1067">
        <v>14</v>
      </c>
      <c r="D1067">
        <v>137</v>
      </c>
      <c r="E1067" t="s">
        <v>15</v>
      </c>
      <c r="F1067" t="s">
        <v>48</v>
      </c>
      <c r="G1067">
        <f t="shared" si="16"/>
        <v>0</v>
      </c>
      <c r="H1067">
        <v>4</v>
      </c>
      <c r="I1067">
        <v>9</v>
      </c>
      <c r="J1067">
        <v>0</v>
      </c>
      <c r="K1067" s="6" t="s">
        <v>60</v>
      </c>
      <c r="L1067" s="6" t="s">
        <v>75</v>
      </c>
      <c r="M1067">
        <v>134</v>
      </c>
      <c r="N1067" s="1">
        <v>0.4281150159744409</v>
      </c>
      <c r="O1067">
        <v>32</v>
      </c>
      <c r="P1067" s="1">
        <v>0.32989690721649484</v>
      </c>
      <c r="Q1067" s="1">
        <v>0.7567567567567568</v>
      </c>
      <c r="R1067">
        <v>384</v>
      </c>
      <c r="S1067">
        <v>50</v>
      </c>
      <c r="T1067">
        <v>133</v>
      </c>
      <c r="U1067">
        <v>89</v>
      </c>
      <c r="V1067">
        <v>25</v>
      </c>
      <c r="W1067">
        <v>17</v>
      </c>
      <c r="X1067">
        <v>51</v>
      </c>
      <c r="Y1067" s="5">
        <v>1.7450980392156863</v>
      </c>
    </row>
    <row r="1068" spans="1:25" x14ac:dyDescent="0.25">
      <c r="A1068">
        <v>2020</v>
      </c>
      <c r="B1068" t="s">
        <v>57</v>
      </c>
      <c r="C1068">
        <v>14</v>
      </c>
      <c r="D1068">
        <v>138</v>
      </c>
      <c r="E1068" t="s">
        <v>94</v>
      </c>
      <c r="F1068" t="s">
        <v>40</v>
      </c>
      <c r="G1068">
        <f t="shared" si="16"/>
        <v>1</v>
      </c>
      <c r="H1068">
        <v>11</v>
      </c>
      <c r="I1068">
        <v>2</v>
      </c>
      <c r="J1068">
        <v>0</v>
      </c>
      <c r="K1068" s="6" t="s">
        <v>70</v>
      </c>
      <c r="L1068" s="6" t="s">
        <v>87</v>
      </c>
      <c r="M1068">
        <v>172</v>
      </c>
      <c r="N1068" s="1">
        <v>0.48314606741573035</v>
      </c>
      <c r="O1068">
        <v>53</v>
      </c>
      <c r="P1068" s="1">
        <v>0.38405797101449274</v>
      </c>
      <c r="Q1068" s="1">
        <v>0.77941176470588236</v>
      </c>
      <c r="R1068">
        <v>450</v>
      </c>
      <c r="S1068">
        <v>45</v>
      </c>
      <c r="T1068">
        <v>128</v>
      </c>
      <c r="U1068">
        <v>102</v>
      </c>
      <c r="V1068">
        <v>30</v>
      </c>
      <c r="W1068">
        <v>18</v>
      </c>
      <c r="X1068">
        <v>54</v>
      </c>
      <c r="Y1068" s="5">
        <v>1.8888888888888888</v>
      </c>
    </row>
    <row r="1069" spans="1:25" x14ac:dyDescent="0.25">
      <c r="A1069">
        <v>2020</v>
      </c>
      <c r="B1069" t="s">
        <v>57</v>
      </c>
      <c r="C1069">
        <v>14</v>
      </c>
      <c r="D1069">
        <v>138</v>
      </c>
      <c r="E1069" t="s">
        <v>21</v>
      </c>
      <c r="F1069" t="s">
        <v>50</v>
      </c>
      <c r="G1069">
        <f t="shared" si="16"/>
        <v>0</v>
      </c>
      <c r="H1069">
        <v>2</v>
      </c>
      <c r="I1069">
        <v>11</v>
      </c>
      <c r="J1069">
        <v>0</v>
      </c>
      <c r="K1069" s="6" t="s">
        <v>106</v>
      </c>
      <c r="L1069" s="6" t="s">
        <v>83</v>
      </c>
      <c r="M1069">
        <v>137</v>
      </c>
      <c r="N1069" s="1">
        <v>0.42812499999999998</v>
      </c>
      <c r="O1069">
        <v>35</v>
      </c>
      <c r="P1069" s="1">
        <v>0.31818181818181818</v>
      </c>
      <c r="Q1069" s="1">
        <v>0.8833333333333333</v>
      </c>
      <c r="R1069">
        <v>415</v>
      </c>
      <c r="S1069">
        <v>25</v>
      </c>
      <c r="T1069">
        <v>104</v>
      </c>
      <c r="U1069">
        <v>80</v>
      </c>
      <c r="V1069">
        <v>22</v>
      </c>
      <c r="W1069">
        <v>24</v>
      </c>
      <c r="X1069">
        <v>57</v>
      </c>
      <c r="Y1069" s="5">
        <v>1.4035087719298245</v>
      </c>
    </row>
    <row r="1070" spans="1:25" x14ac:dyDescent="0.25">
      <c r="A1070">
        <v>2020</v>
      </c>
      <c r="B1070" t="s">
        <v>57</v>
      </c>
      <c r="C1070">
        <v>14</v>
      </c>
      <c r="D1070">
        <v>139</v>
      </c>
      <c r="E1070" t="s">
        <v>33</v>
      </c>
      <c r="F1070" t="s">
        <v>42</v>
      </c>
      <c r="G1070">
        <f t="shared" si="16"/>
        <v>1</v>
      </c>
      <c r="H1070">
        <v>7</v>
      </c>
      <c r="I1070">
        <v>6</v>
      </c>
      <c r="J1070">
        <v>0</v>
      </c>
      <c r="K1070" s="6" t="s">
        <v>112</v>
      </c>
      <c r="L1070" s="6" t="s">
        <v>88</v>
      </c>
      <c r="M1070">
        <v>197</v>
      </c>
      <c r="N1070" s="1">
        <v>0.55492957746478877</v>
      </c>
      <c r="O1070">
        <v>31</v>
      </c>
      <c r="P1070" s="1">
        <v>0.38271604938271603</v>
      </c>
      <c r="Q1070" s="1">
        <v>0.73913043478260865</v>
      </c>
      <c r="R1070">
        <v>527</v>
      </c>
      <c r="S1070">
        <v>71</v>
      </c>
      <c r="T1070">
        <v>158</v>
      </c>
      <c r="U1070">
        <v>118</v>
      </c>
      <c r="V1070">
        <v>47</v>
      </c>
      <c r="W1070">
        <v>26</v>
      </c>
      <c r="X1070">
        <v>77</v>
      </c>
      <c r="Y1070" s="5">
        <v>1.5324675324675325</v>
      </c>
    </row>
    <row r="1071" spans="1:25" x14ac:dyDescent="0.25">
      <c r="A1071">
        <v>2020</v>
      </c>
      <c r="B1071" t="s">
        <v>57</v>
      </c>
      <c r="C1071">
        <v>14</v>
      </c>
      <c r="D1071">
        <v>139</v>
      </c>
      <c r="E1071" t="s">
        <v>98</v>
      </c>
      <c r="F1071" t="s">
        <v>41</v>
      </c>
      <c r="G1071">
        <f t="shared" si="16"/>
        <v>0</v>
      </c>
      <c r="H1071">
        <v>6</v>
      </c>
      <c r="I1071">
        <v>7</v>
      </c>
      <c r="J1071">
        <v>0</v>
      </c>
      <c r="K1071" s="6" t="s">
        <v>72</v>
      </c>
      <c r="L1071" s="6" t="s">
        <v>85</v>
      </c>
      <c r="M1071">
        <v>209</v>
      </c>
      <c r="N1071" s="1">
        <v>0.47499999999999998</v>
      </c>
      <c r="O1071">
        <v>71</v>
      </c>
      <c r="P1071" s="1">
        <v>0.39226519337016574</v>
      </c>
      <c r="Q1071" s="1">
        <v>0.8125</v>
      </c>
      <c r="R1071">
        <v>593</v>
      </c>
      <c r="S1071">
        <v>28</v>
      </c>
      <c r="T1071">
        <v>135</v>
      </c>
      <c r="U1071">
        <v>87</v>
      </c>
      <c r="V1071">
        <v>29</v>
      </c>
      <c r="W1071">
        <v>11</v>
      </c>
      <c r="X1071">
        <v>59</v>
      </c>
      <c r="Y1071" s="5">
        <v>1.4745762711864407</v>
      </c>
    </row>
    <row r="1072" spans="1:25" x14ac:dyDescent="0.25">
      <c r="A1072">
        <v>2020</v>
      </c>
      <c r="B1072" t="s">
        <v>57</v>
      </c>
      <c r="C1072">
        <v>14</v>
      </c>
      <c r="D1072">
        <v>140</v>
      </c>
      <c r="E1072" t="s">
        <v>159</v>
      </c>
      <c r="F1072" t="s">
        <v>116</v>
      </c>
      <c r="G1072">
        <f t="shared" si="16"/>
        <v>1</v>
      </c>
      <c r="H1072">
        <v>9</v>
      </c>
      <c r="I1072">
        <v>4</v>
      </c>
      <c r="J1072">
        <v>0</v>
      </c>
      <c r="K1072" s="6" t="s">
        <v>73</v>
      </c>
      <c r="L1072" s="6" t="s">
        <v>74</v>
      </c>
      <c r="M1072">
        <v>208</v>
      </c>
      <c r="N1072" s="1">
        <v>0.45614035087719296</v>
      </c>
      <c r="O1072">
        <v>61</v>
      </c>
      <c r="P1072" s="1">
        <v>0.38364779874213839</v>
      </c>
      <c r="Q1072" s="1">
        <v>0.77083333333333337</v>
      </c>
      <c r="R1072">
        <v>551</v>
      </c>
      <c r="S1072">
        <v>53</v>
      </c>
      <c r="T1072">
        <v>175</v>
      </c>
      <c r="U1072">
        <v>111</v>
      </c>
      <c r="V1072">
        <v>31</v>
      </c>
      <c r="W1072">
        <v>15</v>
      </c>
      <c r="X1072">
        <v>64</v>
      </c>
      <c r="Y1072" s="5">
        <v>1.734375</v>
      </c>
    </row>
    <row r="1073" spans="1:25" x14ac:dyDescent="0.25">
      <c r="A1073">
        <v>2020</v>
      </c>
      <c r="B1073" t="s">
        <v>57</v>
      </c>
      <c r="C1073">
        <v>14</v>
      </c>
      <c r="D1073">
        <v>140</v>
      </c>
      <c r="E1073" t="s">
        <v>35</v>
      </c>
      <c r="F1073" t="s">
        <v>52</v>
      </c>
      <c r="G1073">
        <f t="shared" si="16"/>
        <v>0</v>
      </c>
      <c r="H1073">
        <v>4</v>
      </c>
      <c r="I1073">
        <v>9</v>
      </c>
      <c r="J1073">
        <v>0</v>
      </c>
      <c r="K1073" s="6" t="s">
        <v>193</v>
      </c>
      <c r="L1073" s="6" t="s">
        <v>117</v>
      </c>
      <c r="M1073">
        <v>119</v>
      </c>
      <c r="N1073" s="1">
        <v>0.41754385964912283</v>
      </c>
      <c r="O1073">
        <v>58</v>
      </c>
      <c r="P1073" s="1">
        <v>0.39455782312925169</v>
      </c>
      <c r="Q1073" s="1">
        <v>0.81132075471698117</v>
      </c>
      <c r="R1073">
        <v>339</v>
      </c>
      <c r="S1073">
        <v>25</v>
      </c>
      <c r="T1073">
        <v>99</v>
      </c>
      <c r="U1073">
        <v>56</v>
      </c>
      <c r="V1073">
        <v>16</v>
      </c>
      <c r="W1073">
        <v>19</v>
      </c>
      <c r="X1073">
        <v>40</v>
      </c>
      <c r="Y1073" s="5">
        <v>1.4</v>
      </c>
    </row>
    <row r="1074" spans="1:25" x14ac:dyDescent="0.25">
      <c r="A1074">
        <v>2020</v>
      </c>
      <c r="B1074" t="s">
        <v>57</v>
      </c>
      <c r="C1074">
        <v>15</v>
      </c>
      <c r="D1074">
        <v>141</v>
      </c>
      <c r="E1074" t="s">
        <v>22</v>
      </c>
      <c r="F1074" t="s">
        <v>44</v>
      </c>
      <c r="G1074">
        <f t="shared" si="16"/>
        <v>1</v>
      </c>
      <c r="H1074">
        <v>11</v>
      </c>
      <c r="I1074">
        <v>2</v>
      </c>
      <c r="J1074">
        <v>0</v>
      </c>
      <c r="K1074" s="6" t="s">
        <v>68</v>
      </c>
      <c r="L1074" s="6" t="s">
        <v>84</v>
      </c>
      <c r="M1074">
        <v>166</v>
      </c>
      <c r="N1074" s="1">
        <v>0.45479452054794522</v>
      </c>
      <c r="O1074">
        <v>62</v>
      </c>
      <c r="P1074" s="1">
        <v>0.4</v>
      </c>
      <c r="Q1074" s="1">
        <v>0.81818181818181823</v>
      </c>
      <c r="R1074">
        <v>457</v>
      </c>
      <c r="S1074">
        <v>44</v>
      </c>
      <c r="T1074">
        <v>159</v>
      </c>
      <c r="U1074">
        <v>111</v>
      </c>
      <c r="V1074">
        <v>33</v>
      </c>
      <c r="W1074">
        <v>24</v>
      </c>
      <c r="X1074">
        <v>52</v>
      </c>
      <c r="Y1074" s="5">
        <v>2.1346153846153846</v>
      </c>
    </row>
    <row r="1075" spans="1:25" x14ac:dyDescent="0.25">
      <c r="A1075">
        <v>2020</v>
      </c>
      <c r="B1075" t="s">
        <v>57</v>
      </c>
      <c r="C1075">
        <v>15</v>
      </c>
      <c r="D1075">
        <v>141</v>
      </c>
      <c r="E1075" t="s">
        <v>25</v>
      </c>
      <c r="F1075" t="s">
        <v>53</v>
      </c>
      <c r="G1075">
        <f t="shared" si="16"/>
        <v>0</v>
      </c>
      <c r="H1075">
        <v>2</v>
      </c>
      <c r="I1075">
        <v>11</v>
      </c>
      <c r="J1075">
        <v>0</v>
      </c>
      <c r="K1075" s="6" t="s">
        <v>66</v>
      </c>
      <c r="L1075" s="6" t="s">
        <v>81</v>
      </c>
      <c r="M1075">
        <v>95</v>
      </c>
      <c r="N1075" s="1">
        <v>0.46568627450980393</v>
      </c>
      <c r="O1075">
        <v>17</v>
      </c>
      <c r="P1075" s="1">
        <v>0.34</v>
      </c>
      <c r="Q1075" s="1">
        <v>0.7846153846153846</v>
      </c>
      <c r="R1075">
        <v>258</v>
      </c>
      <c r="S1075">
        <v>26</v>
      </c>
      <c r="T1075">
        <v>96</v>
      </c>
      <c r="U1075">
        <v>96</v>
      </c>
      <c r="V1075">
        <v>18</v>
      </c>
      <c r="W1075">
        <v>9</v>
      </c>
      <c r="X1075">
        <v>45</v>
      </c>
      <c r="Y1075" s="5">
        <v>2.1333333333333333</v>
      </c>
    </row>
    <row r="1076" spans="1:25" x14ac:dyDescent="0.25">
      <c r="A1076">
        <v>2020</v>
      </c>
      <c r="B1076" t="s">
        <v>57</v>
      </c>
      <c r="C1076">
        <v>15</v>
      </c>
      <c r="D1076">
        <v>142</v>
      </c>
      <c r="E1076" t="s">
        <v>26</v>
      </c>
      <c r="F1076" t="s">
        <v>118</v>
      </c>
      <c r="G1076">
        <f t="shared" si="16"/>
        <v>0</v>
      </c>
      <c r="H1076">
        <v>5</v>
      </c>
      <c r="I1076">
        <v>7</v>
      </c>
      <c r="J1076">
        <v>1</v>
      </c>
      <c r="K1076" s="6" t="s">
        <v>61</v>
      </c>
      <c r="L1076" s="6" t="s">
        <v>77</v>
      </c>
      <c r="M1076">
        <v>133</v>
      </c>
      <c r="N1076" s="1">
        <v>0.45862068965517239</v>
      </c>
      <c r="O1076">
        <v>44</v>
      </c>
      <c r="P1076" s="1">
        <v>0.36363636363636365</v>
      </c>
      <c r="Q1076" s="1">
        <v>0.67</v>
      </c>
      <c r="R1076">
        <v>377</v>
      </c>
      <c r="S1076">
        <v>43</v>
      </c>
      <c r="T1076">
        <v>165</v>
      </c>
      <c r="U1076">
        <v>131</v>
      </c>
      <c r="V1076">
        <v>21</v>
      </c>
      <c r="W1076">
        <v>20</v>
      </c>
      <c r="X1076">
        <v>51</v>
      </c>
      <c r="Y1076" s="5">
        <v>2.5686274509803924</v>
      </c>
    </row>
    <row r="1077" spans="1:25" x14ac:dyDescent="0.25">
      <c r="A1077">
        <v>2020</v>
      </c>
      <c r="B1077" t="s">
        <v>57</v>
      </c>
      <c r="C1077">
        <v>15</v>
      </c>
      <c r="D1077">
        <v>142</v>
      </c>
      <c r="E1077" t="s">
        <v>15</v>
      </c>
      <c r="F1077" t="s">
        <v>48</v>
      </c>
      <c r="G1077">
        <f t="shared" si="16"/>
        <v>1</v>
      </c>
      <c r="H1077">
        <v>7</v>
      </c>
      <c r="I1077">
        <v>5</v>
      </c>
      <c r="J1077">
        <v>1</v>
      </c>
      <c r="K1077" s="6" t="s">
        <v>65</v>
      </c>
      <c r="L1077" s="6" t="s">
        <v>119</v>
      </c>
      <c r="M1077">
        <v>156</v>
      </c>
      <c r="N1077" s="1">
        <v>0.50322580645161286</v>
      </c>
      <c r="O1077">
        <v>48</v>
      </c>
      <c r="P1077" s="1">
        <v>0.43636363636363634</v>
      </c>
      <c r="Q1077" s="1">
        <v>0.80821917808219179</v>
      </c>
      <c r="R1077">
        <v>419</v>
      </c>
      <c r="S1077">
        <v>30</v>
      </c>
      <c r="T1077">
        <v>85</v>
      </c>
      <c r="U1077">
        <v>73</v>
      </c>
      <c r="V1077">
        <v>21</v>
      </c>
      <c r="W1077">
        <v>15</v>
      </c>
      <c r="X1077">
        <v>43</v>
      </c>
      <c r="Y1077" s="5">
        <v>1.6976744186046511</v>
      </c>
    </row>
    <row r="1078" spans="1:25" x14ac:dyDescent="0.25">
      <c r="A1078">
        <v>2020</v>
      </c>
      <c r="B1078" t="s">
        <v>57</v>
      </c>
      <c r="C1078">
        <v>15</v>
      </c>
      <c r="D1078">
        <v>143</v>
      </c>
      <c r="E1078" t="s">
        <v>23</v>
      </c>
      <c r="F1078" t="s">
        <v>120</v>
      </c>
      <c r="G1078">
        <f t="shared" si="16"/>
        <v>1</v>
      </c>
      <c r="H1078">
        <v>11</v>
      </c>
      <c r="I1078">
        <v>2</v>
      </c>
      <c r="J1078">
        <v>0</v>
      </c>
      <c r="K1078" s="6" t="s">
        <v>62</v>
      </c>
      <c r="L1078" s="6" t="s">
        <v>78</v>
      </c>
      <c r="M1078">
        <v>152</v>
      </c>
      <c r="N1078" s="1">
        <v>0.47204968944099379</v>
      </c>
      <c r="O1078">
        <v>62</v>
      </c>
      <c r="P1078" s="1">
        <v>0.42758620689655175</v>
      </c>
      <c r="Q1078" s="1">
        <v>0.8529411764705882</v>
      </c>
      <c r="R1078">
        <v>424</v>
      </c>
      <c r="S1078">
        <v>41</v>
      </c>
      <c r="T1078">
        <v>119</v>
      </c>
      <c r="U1078">
        <v>111</v>
      </c>
      <c r="V1078">
        <v>23</v>
      </c>
      <c r="W1078">
        <v>15</v>
      </c>
      <c r="X1078">
        <v>42</v>
      </c>
      <c r="Y1078" s="5">
        <v>2.6428571428571428</v>
      </c>
    </row>
    <row r="1079" spans="1:25" x14ac:dyDescent="0.25">
      <c r="A1079">
        <v>2020</v>
      </c>
      <c r="B1079" t="s">
        <v>57</v>
      </c>
      <c r="C1079">
        <v>15</v>
      </c>
      <c r="D1079">
        <v>143</v>
      </c>
      <c r="E1079" t="s">
        <v>20</v>
      </c>
      <c r="F1079" t="s">
        <v>47</v>
      </c>
      <c r="G1079">
        <f t="shared" si="16"/>
        <v>0</v>
      </c>
      <c r="H1079">
        <v>2</v>
      </c>
      <c r="I1079">
        <v>11</v>
      </c>
      <c r="J1079">
        <v>0</v>
      </c>
      <c r="K1079" s="6" t="s">
        <v>71</v>
      </c>
      <c r="L1079" s="6" t="s">
        <v>121</v>
      </c>
      <c r="M1079">
        <v>147</v>
      </c>
      <c r="N1079" s="1">
        <v>0.46815286624203822</v>
      </c>
      <c r="O1079">
        <v>45</v>
      </c>
      <c r="P1079" s="1">
        <v>0.43269230769230771</v>
      </c>
      <c r="Q1079" s="1">
        <v>0.810126582278481</v>
      </c>
      <c r="R1079">
        <v>403</v>
      </c>
      <c r="S1079">
        <v>37</v>
      </c>
      <c r="T1079">
        <v>118</v>
      </c>
      <c r="U1079">
        <v>116</v>
      </c>
      <c r="V1079">
        <v>21</v>
      </c>
      <c r="W1079">
        <v>14</v>
      </c>
      <c r="X1079">
        <v>44</v>
      </c>
      <c r="Y1079" s="5">
        <v>2.6363636363636362</v>
      </c>
    </row>
    <row r="1080" spans="1:25" x14ac:dyDescent="0.25">
      <c r="A1080">
        <v>2020</v>
      </c>
      <c r="B1080" t="s">
        <v>57</v>
      </c>
      <c r="C1080">
        <v>15</v>
      </c>
      <c r="D1080">
        <v>144</v>
      </c>
      <c r="E1080" t="s">
        <v>99</v>
      </c>
      <c r="F1080" t="s">
        <v>45</v>
      </c>
      <c r="G1080">
        <f t="shared" si="16"/>
        <v>0</v>
      </c>
      <c r="H1080">
        <v>4</v>
      </c>
      <c r="I1080">
        <v>9</v>
      </c>
      <c r="J1080">
        <v>0</v>
      </c>
      <c r="K1080" s="6" t="s">
        <v>193</v>
      </c>
      <c r="L1080" s="6" t="s">
        <v>117</v>
      </c>
      <c r="M1080">
        <v>158</v>
      </c>
      <c r="N1080" s="1">
        <v>0.48765432098765432</v>
      </c>
      <c r="O1080">
        <v>48</v>
      </c>
      <c r="P1080" s="1">
        <v>0.34532374100719426</v>
      </c>
      <c r="Q1080" s="1">
        <v>0.78666666666666663</v>
      </c>
      <c r="R1080">
        <v>423</v>
      </c>
      <c r="S1080">
        <v>45</v>
      </c>
      <c r="T1080">
        <v>152</v>
      </c>
      <c r="U1080">
        <v>48</v>
      </c>
      <c r="V1080">
        <v>36</v>
      </c>
      <c r="W1080">
        <v>32</v>
      </c>
      <c r="X1080">
        <v>36</v>
      </c>
      <c r="Y1080" s="5">
        <v>1.3333333333333333</v>
      </c>
    </row>
    <row r="1081" spans="1:25" x14ac:dyDescent="0.25">
      <c r="A1081">
        <v>2020</v>
      </c>
      <c r="B1081" t="s">
        <v>57</v>
      </c>
      <c r="C1081">
        <v>15</v>
      </c>
      <c r="D1081">
        <v>144</v>
      </c>
      <c r="E1081" t="s">
        <v>159</v>
      </c>
      <c r="F1081" t="s">
        <v>116</v>
      </c>
      <c r="G1081">
        <f t="shared" si="16"/>
        <v>1</v>
      </c>
      <c r="H1081">
        <v>9</v>
      </c>
      <c r="I1081">
        <v>4</v>
      </c>
      <c r="J1081">
        <v>0</v>
      </c>
      <c r="K1081" s="6" t="s">
        <v>114</v>
      </c>
      <c r="L1081" s="6" t="s">
        <v>90</v>
      </c>
      <c r="M1081">
        <v>209</v>
      </c>
      <c r="N1081" s="1">
        <v>0.49643705463182897</v>
      </c>
      <c r="O1081">
        <v>60</v>
      </c>
      <c r="P1081" s="1">
        <v>0.40540540540540543</v>
      </c>
      <c r="Q1081" s="1">
        <v>0.8165137614678899</v>
      </c>
      <c r="R1081">
        <v>567</v>
      </c>
      <c r="S1081">
        <v>46</v>
      </c>
      <c r="T1081">
        <v>148</v>
      </c>
      <c r="U1081">
        <v>88</v>
      </c>
      <c r="V1081">
        <v>33</v>
      </c>
      <c r="W1081">
        <v>21</v>
      </c>
      <c r="X1081">
        <v>54</v>
      </c>
      <c r="Y1081" s="5">
        <v>1.6296296296296295</v>
      </c>
    </row>
    <row r="1082" spans="1:25" x14ac:dyDescent="0.25">
      <c r="A1082">
        <v>2020</v>
      </c>
      <c r="B1082" t="s">
        <v>57</v>
      </c>
      <c r="C1082">
        <v>15</v>
      </c>
      <c r="D1082">
        <v>145</v>
      </c>
      <c r="E1082" t="s">
        <v>97</v>
      </c>
      <c r="F1082" t="s">
        <v>54</v>
      </c>
      <c r="G1082">
        <f t="shared" si="16"/>
        <v>1</v>
      </c>
      <c r="H1082">
        <v>7</v>
      </c>
      <c r="I1082">
        <v>6</v>
      </c>
      <c r="J1082">
        <v>0</v>
      </c>
      <c r="K1082" s="6" t="s">
        <v>182</v>
      </c>
      <c r="L1082" s="6" t="s">
        <v>76</v>
      </c>
      <c r="M1082">
        <v>153</v>
      </c>
      <c r="N1082" s="1">
        <v>0.45945945945945948</v>
      </c>
      <c r="O1082">
        <v>30</v>
      </c>
      <c r="P1082" s="1">
        <v>0.27272727272727271</v>
      </c>
      <c r="Q1082" s="1">
        <v>0.77419354838709675</v>
      </c>
      <c r="R1082">
        <v>456</v>
      </c>
      <c r="S1082">
        <v>50</v>
      </c>
      <c r="T1082">
        <v>131</v>
      </c>
      <c r="U1082">
        <v>101</v>
      </c>
      <c r="V1082">
        <v>28</v>
      </c>
      <c r="W1082">
        <v>20</v>
      </c>
      <c r="X1082">
        <v>61</v>
      </c>
      <c r="Y1082" s="5">
        <v>1.6557377049180328</v>
      </c>
    </row>
    <row r="1083" spans="1:25" x14ac:dyDescent="0.25">
      <c r="A1083">
        <v>2020</v>
      </c>
      <c r="B1083" t="s">
        <v>57</v>
      </c>
      <c r="C1083">
        <v>15</v>
      </c>
      <c r="D1083">
        <v>145</v>
      </c>
      <c r="E1083" t="s">
        <v>181</v>
      </c>
      <c r="F1083" t="s">
        <v>49</v>
      </c>
      <c r="G1083">
        <f t="shared" si="16"/>
        <v>0</v>
      </c>
      <c r="H1083">
        <v>6</v>
      </c>
      <c r="I1083">
        <v>7</v>
      </c>
      <c r="J1083">
        <v>0</v>
      </c>
      <c r="K1083" s="6" t="s">
        <v>111</v>
      </c>
      <c r="L1083" s="6" t="s">
        <v>89</v>
      </c>
      <c r="M1083">
        <v>167</v>
      </c>
      <c r="N1083" s="1">
        <v>0.49408284023668642</v>
      </c>
      <c r="O1083">
        <v>55</v>
      </c>
      <c r="P1083" s="1">
        <v>0.38732394366197181</v>
      </c>
      <c r="Q1083" s="1">
        <v>0.74528301886792447</v>
      </c>
      <c r="R1083">
        <v>468</v>
      </c>
      <c r="S1083">
        <v>30</v>
      </c>
      <c r="T1083">
        <v>99</v>
      </c>
      <c r="U1083">
        <v>61</v>
      </c>
      <c r="V1083">
        <v>19</v>
      </c>
      <c r="W1083">
        <v>16</v>
      </c>
      <c r="X1083">
        <v>40</v>
      </c>
      <c r="Y1083" s="5">
        <v>1.5249999999999999</v>
      </c>
    </row>
    <row r="1084" spans="1:25" x14ac:dyDescent="0.25">
      <c r="A1084">
        <v>2020</v>
      </c>
      <c r="B1084" t="s">
        <v>57</v>
      </c>
      <c r="C1084">
        <v>15</v>
      </c>
      <c r="D1084">
        <v>146</v>
      </c>
      <c r="E1084" t="s">
        <v>16</v>
      </c>
      <c r="F1084" t="s">
        <v>51</v>
      </c>
      <c r="G1084">
        <f t="shared" si="16"/>
        <v>1</v>
      </c>
      <c r="H1084">
        <v>8</v>
      </c>
      <c r="I1084">
        <v>5</v>
      </c>
      <c r="J1084">
        <v>0</v>
      </c>
      <c r="K1084" s="6" t="s">
        <v>191</v>
      </c>
      <c r="L1084" s="6" t="s">
        <v>113</v>
      </c>
      <c r="M1084">
        <v>146</v>
      </c>
      <c r="N1084" s="1">
        <v>0.46496815286624205</v>
      </c>
      <c r="O1084">
        <v>52</v>
      </c>
      <c r="P1084" s="1">
        <v>0.41599999999999998</v>
      </c>
      <c r="Q1084" s="1">
        <v>0.77064220183486243</v>
      </c>
      <c r="R1084">
        <v>428</v>
      </c>
      <c r="S1084">
        <v>50</v>
      </c>
      <c r="T1084">
        <v>143</v>
      </c>
      <c r="U1084">
        <v>124</v>
      </c>
      <c r="V1084">
        <v>28</v>
      </c>
      <c r="W1084">
        <v>24</v>
      </c>
      <c r="X1084">
        <v>57</v>
      </c>
      <c r="Y1084" s="5">
        <v>2.1754385964912282</v>
      </c>
    </row>
    <row r="1085" spans="1:25" x14ac:dyDescent="0.25">
      <c r="A1085">
        <v>2020</v>
      </c>
      <c r="B1085" t="s">
        <v>57</v>
      </c>
      <c r="C1085">
        <v>15</v>
      </c>
      <c r="D1085">
        <v>146</v>
      </c>
      <c r="E1085" t="s">
        <v>190</v>
      </c>
      <c r="F1085" t="s">
        <v>103</v>
      </c>
      <c r="G1085">
        <f t="shared" si="16"/>
        <v>0</v>
      </c>
      <c r="H1085">
        <v>5</v>
      </c>
      <c r="I1085">
        <v>8</v>
      </c>
      <c r="J1085">
        <v>0</v>
      </c>
      <c r="K1085" s="6" t="s">
        <v>60</v>
      </c>
      <c r="L1085" s="6" t="s">
        <v>75</v>
      </c>
      <c r="M1085">
        <v>154</v>
      </c>
      <c r="N1085" s="1">
        <v>0.42191780821917807</v>
      </c>
      <c r="O1085">
        <v>43</v>
      </c>
      <c r="P1085" s="1">
        <v>0.31851851851851853</v>
      </c>
      <c r="Q1085" s="1">
        <v>0.83333333333333337</v>
      </c>
      <c r="R1085">
        <v>401</v>
      </c>
      <c r="S1085">
        <v>19</v>
      </c>
      <c r="T1085">
        <v>105</v>
      </c>
      <c r="U1085">
        <v>105</v>
      </c>
      <c r="V1085">
        <v>24</v>
      </c>
      <c r="W1085">
        <v>35</v>
      </c>
      <c r="X1085">
        <v>38</v>
      </c>
      <c r="Y1085" s="5">
        <v>2.763157894736842</v>
      </c>
    </row>
    <row r="1086" spans="1:25" x14ac:dyDescent="0.25">
      <c r="A1086">
        <v>2020</v>
      </c>
      <c r="B1086" t="s">
        <v>57</v>
      </c>
      <c r="C1086">
        <v>15</v>
      </c>
      <c r="D1086">
        <v>147</v>
      </c>
      <c r="E1086" t="s">
        <v>98</v>
      </c>
      <c r="F1086" t="s">
        <v>41</v>
      </c>
      <c r="G1086">
        <f t="shared" si="16"/>
        <v>1</v>
      </c>
      <c r="H1086">
        <v>8</v>
      </c>
      <c r="I1086">
        <v>5</v>
      </c>
      <c r="J1086">
        <v>0</v>
      </c>
      <c r="K1086" s="6" t="s">
        <v>73</v>
      </c>
      <c r="L1086" s="6" t="s">
        <v>74</v>
      </c>
      <c r="M1086">
        <v>134</v>
      </c>
      <c r="N1086" s="1">
        <v>0.41230769230769232</v>
      </c>
      <c r="O1086">
        <v>39</v>
      </c>
      <c r="P1086" s="1">
        <v>0.29545454545454547</v>
      </c>
      <c r="Q1086" s="1">
        <v>0.85576923076923073</v>
      </c>
      <c r="R1086">
        <v>396</v>
      </c>
      <c r="S1086">
        <v>19</v>
      </c>
      <c r="T1086">
        <v>90</v>
      </c>
      <c r="U1086">
        <v>97</v>
      </c>
      <c r="V1086">
        <v>21</v>
      </c>
      <c r="W1086">
        <v>8</v>
      </c>
      <c r="X1086">
        <v>53</v>
      </c>
      <c r="Y1086" s="5">
        <v>1.8301886792452831</v>
      </c>
    </row>
    <row r="1087" spans="1:25" x14ac:dyDescent="0.25">
      <c r="A1087">
        <v>2020</v>
      </c>
      <c r="B1087" t="s">
        <v>57</v>
      </c>
      <c r="C1087">
        <v>15</v>
      </c>
      <c r="D1087">
        <v>147</v>
      </c>
      <c r="E1087" t="s">
        <v>35</v>
      </c>
      <c r="F1087" t="s">
        <v>52</v>
      </c>
      <c r="G1087">
        <f t="shared" si="16"/>
        <v>0</v>
      </c>
      <c r="H1087">
        <v>5</v>
      </c>
      <c r="I1087">
        <v>8</v>
      </c>
      <c r="J1087">
        <v>0</v>
      </c>
      <c r="K1087" s="6" t="s">
        <v>112</v>
      </c>
      <c r="L1087" s="6" t="s">
        <v>88</v>
      </c>
      <c r="M1087">
        <v>100</v>
      </c>
      <c r="N1087" s="1">
        <v>0.45662100456621002</v>
      </c>
      <c r="O1087">
        <v>37</v>
      </c>
      <c r="P1087" s="1">
        <v>0.33944954128440369</v>
      </c>
      <c r="Q1087" s="1">
        <v>0.77500000000000002</v>
      </c>
      <c r="R1087">
        <v>268</v>
      </c>
      <c r="S1087">
        <v>16</v>
      </c>
      <c r="T1087">
        <v>95</v>
      </c>
      <c r="U1087">
        <v>43</v>
      </c>
      <c r="V1087">
        <v>15</v>
      </c>
      <c r="W1087">
        <v>18</v>
      </c>
      <c r="X1087">
        <v>31</v>
      </c>
      <c r="Y1087" s="5">
        <v>1.3870967741935485</v>
      </c>
    </row>
    <row r="1088" spans="1:25" x14ac:dyDescent="0.25">
      <c r="A1088">
        <v>2020</v>
      </c>
      <c r="B1088" t="s">
        <v>57</v>
      </c>
      <c r="C1088">
        <v>15</v>
      </c>
      <c r="D1088">
        <v>148</v>
      </c>
      <c r="E1088" t="s">
        <v>94</v>
      </c>
      <c r="F1088" t="s">
        <v>40</v>
      </c>
      <c r="G1088">
        <f t="shared" si="16"/>
        <v>1</v>
      </c>
      <c r="H1088">
        <v>11</v>
      </c>
      <c r="I1088">
        <v>1</v>
      </c>
      <c r="J1088">
        <v>1</v>
      </c>
      <c r="K1088" s="6" t="s">
        <v>104</v>
      </c>
      <c r="L1088" s="6" t="s">
        <v>105</v>
      </c>
      <c r="M1088">
        <v>160</v>
      </c>
      <c r="N1088" s="1">
        <v>0.47058823529411764</v>
      </c>
      <c r="O1088">
        <v>54</v>
      </c>
      <c r="P1088" s="1">
        <v>0.38571428571428573</v>
      </c>
      <c r="Q1088" s="1">
        <v>0.759493670886076</v>
      </c>
      <c r="R1088">
        <v>434</v>
      </c>
      <c r="S1088">
        <v>38</v>
      </c>
      <c r="T1088">
        <v>133</v>
      </c>
      <c r="U1088">
        <v>102</v>
      </c>
      <c r="V1088">
        <v>28</v>
      </c>
      <c r="W1088">
        <v>13</v>
      </c>
      <c r="X1088">
        <v>54</v>
      </c>
      <c r="Y1088" s="5">
        <v>1.8888888888888888</v>
      </c>
    </row>
    <row r="1089" spans="1:25" x14ac:dyDescent="0.25">
      <c r="A1089">
        <v>2020</v>
      </c>
      <c r="B1089" t="s">
        <v>57</v>
      </c>
      <c r="C1089">
        <v>15</v>
      </c>
      <c r="D1089">
        <v>148</v>
      </c>
      <c r="E1089" t="s">
        <v>93</v>
      </c>
      <c r="F1089" t="s">
        <v>189</v>
      </c>
      <c r="G1089">
        <f t="shared" si="16"/>
        <v>0</v>
      </c>
      <c r="H1089">
        <v>1</v>
      </c>
      <c r="I1089">
        <v>11</v>
      </c>
      <c r="J1089">
        <v>1</v>
      </c>
      <c r="K1089" s="6" t="s">
        <v>106</v>
      </c>
      <c r="L1089" s="6" t="s">
        <v>83</v>
      </c>
      <c r="M1089">
        <v>145</v>
      </c>
      <c r="N1089" s="1">
        <v>0.4380664652567976</v>
      </c>
      <c r="O1089">
        <v>45</v>
      </c>
      <c r="P1089" s="1">
        <v>0.31468531468531469</v>
      </c>
      <c r="Q1089" s="1">
        <v>0.83333333333333337</v>
      </c>
      <c r="R1089">
        <v>405</v>
      </c>
      <c r="S1089">
        <v>23</v>
      </c>
      <c r="T1089">
        <v>81</v>
      </c>
      <c r="U1089">
        <v>99</v>
      </c>
      <c r="V1089">
        <v>28</v>
      </c>
      <c r="W1089">
        <v>7</v>
      </c>
      <c r="X1089">
        <v>55</v>
      </c>
      <c r="Y1089" s="5">
        <v>1.8</v>
      </c>
    </row>
    <row r="1090" spans="1:25" x14ac:dyDescent="0.25">
      <c r="A1090">
        <v>2020</v>
      </c>
      <c r="B1090" t="s">
        <v>57</v>
      </c>
      <c r="C1090">
        <v>15</v>
      </c>
      <c r="D1090">
        <v>149</v>
      </c>
      <c r="E1090" t="s">
        <v>33</v>
      </c>
      <c r="F1090" t="s">
        <v>42</v>
      </c>
      <c r="G1090">
        <f t="shared" ref="G1090:G1153" si="17">IF(H1090+0.5*J1090&gt;6.5,1,0)</f>
        <v>1</v>
      </c>
      <c r="H1090">
        <v>9</v>
      </c>
      <c r="I1090">
        <v>4</v>
      </c>
      <c r="J1090">
        <v>0</v>
      </c>
      <c r="K1090" s="6" t="s">
        <v>63</v>
      </c>
      <c r="L1090" s="6" t="s">
        <v>79</v>
      </c>
      <c r="M1090">
        <v>164</v>
      </c>
      <c r="N1090" s="1">
        <v>0.53770491803278686</v>
      </c>
      <c r="O1090">
        <v>27</v>
      </c>
      <c r="P1090" s="1">
        <v>0.34177215189873417</v>
      </c>
      <c r="Q1090" s="1">
        <v>0.717741935483871</v>
      </c>
      <c r="R1090">
        <v>444</v>
      </c>
      <c r="S1090">
        <v>60</v>
      </c>
      <c r="T1090">
        <v>119</v>
      </c>
      <c r="U1090">
        <v>63</v>
      </c>
      <c r="V1090">
        <v>22</v>
      </c>
      <c r="W1090">
        <v>19</v>
      </c>
      <c r="X1090">
        <v>52</v>
      </c>
      <c r="Y1090" s="5">
        <v>1.2115384615384615</v>
      </c>
    </row>
    <row r="1091" spans="1:25" x14ac:dyDescent="0.25">
      <c r="A1091">
        <v>2020</v>
      </c>
      <c r="B1091" t="s">
        <v>57</v>
      </c>
      <c r="C1091">
        <v>15</v>
      </c>
      <c r="D1091">
        <v>149</v>
      </c>
      <c r="E1091" t="s">
        <v>17</v>
      </c>
      <c r="F1091" t="s">
        <v>43</v>
      </c>
      <c r="G1091">
        <f t="shared" si="17"/>
        <v>0</v>
      </c>
      <c r="H1091">
        <v>4</v>
      </c>
      <c r="I1091">
        <v>9</v>
      </c>
      <c r="J1091">
        <v>0</v>
      </c>
      <c r="K1091" s="6" t="s">
        <v>72</v>
      </c>
      <c r="L1091" s="6" t="s">
        <v>85</v>
      </c>
      <c r="M1091">
        <v>104</v>
      </c>
      <c r="N1091" s="1">
        <v>0.50731707317073171</v>
      </c>
      <c r="O1091">
        <v>31</v>
      </c>
      <c r="P1091" s="1">
        <v>0.37804878048780488</v>
      </c>
      <c r="Q1091" s="1">
        <v>0.64615384615384619</v>
      </c>
      <c r="R1091">
        <v>281</v>
      </c>
      <c r="S1091">
        <v>33</v>
      </c>
      <c r="T1091">
        <v>87</v>
      </c>
      <c r="U1091">
        <v>61</v>
      </c>
      <c r="V1091">
        <v>12</v>
      </c>
      <c r="W1091">
        <v>16</v>
      </c>
      <c r="X1091">
        <v>37</v>
      </c>
      <c r="Y1091" s="5">
        <v>1.6486486486486487</v>
      </c>
    </row>
    <row r="1092" spans="1:25" x14ac:dyDescent="0.25">
      <c r="A1092">
        <v>2020</v>
      </c>
      <c r="B1092" t="s">
        <v>57</v>
      </c>
      <c r="C1092">
        <v>15</v>
      </c>
      <c r="D1092">
        <v>150</v>
      </c>
      <c r="E1092" t="s">
        <v>28</v>
      </c>
      <c r="F1092" t="s">
        <v>46</v>
      </c>
      <c r="G1092">
        <f t="shared" si="17"/>
        <v>0</v>
      </c>
      <c r="H1092">
        <v>6</v>
      </c>
      <c r="I1092">
        <v>7</v>
      </c>
      <c r="J1092">
        <v>0</v>
      </c>
      <c r="K1092" s="6" t="s">
        <v>70</v>
      </c>
      <c r="L1092" s="6" t="s">
        <v>87</v>
      </c>
      <c r="M1092">
        <v>200</v>
      </c>
      <c r="N1092" s="1">
        <v>0.46728971962616822</v>
      </c>
      <c r="O1092">
        <v>50</v>
      </c>
      <c r="P1092" s="1">
        <v>0.35714285714285715</v>
      </c>
      <c r="Q1092" s="1">
        <v>0.78632478632478631</v>
      </c>
      <c r="R1092">
        <v>542</v>
      </c>
      <c r="S1092">
        <v>22</v>
      </c>
      <c r="T1092">
        <v>137</v>
      </c>
      <c r="U1092">
        <v>115</v>
      </c>
      <c r="V1092">
        <v>32</v>
      </c>
      <c r="W1092">
        <v>9</v>
      </c>
      <c r="X1092">
        <v>76</v>
      </c>
      <c r="Y1092" s="5">
        <v>1.513157894736842</v>
      </c>
    </row>
    <row r="1093" spans="1:25" x14ac:dyDescent="0.25">
      <c r="A1093">
        <v>2020</v>
      </c>
      <c r="B1093" t="s">
        <v>57</v>
      </c>
      <c r="C1093">
        <v>15</v>
      </c>
      <c r="D1093">
        <v>150</v>
      </c>
      <c r="E1093" t="s">
        <v>21</v>
      </c>
      <c r="F1093" t="s">
        <v>50</v>
      </c>
      <c r="G1093">
        <f t="shared" si="17"/>
        <v>1</v>
      </c>
      <c r="H1093">
        <v>7</v>
      </c>
      <c r="I1093">
        <v>6</v>
      </c>
      <c r="J1093">
        <v>0</v>
      </c>
      <c r="K1093" s="6" t="s">
        <v>64</v>
      </c>
      <c r="L1093" s="6" t="s">
        <v>80</v>
      </c>
      <c r="M1093">
        <v>121</v>
      </c>
      <c r="N1093" s="1">
        <v>0.5307017543859649</v>
      </c>
      <c r="O1093">
        <v>34</v>
      </c>
      <c r="P1093" s="1">
        <v>0.4</v>
      </c>
      <c r="Q1093" s="1">
        <v>0.81578947368421051</v>
      </c>
      <c r="R1093">
        <v>338</v>
      </c>
      <c r="S1093">
        <v>29</v>
      </c>
      <c r="T1093">
        <v>83</v>
      </c>
      <c r="U1093">
        <v>68</v>
      </c>
      <c r="V1093">
        <v>13</v>
      </c>
      <c r="W1093">
        <v>15</v>
      </c>
      <c r="X1093">
        <v>35</v>
      </c>
      <c r="Y1093" s="5">
        <v>1.9428571428571428</v>
      </c>
    </row>
    <row r="1094" spans="1:25" x14ac:dyDescent="0.25">
      <c r="A1094">
        <v>2020</v>
      </c>
      <c r="B1094" t="s">
        <v>57</v>
      </c>
      <c r="C1094">
        <v>16</v>
      </c>
      <c r="D1094">
        <v>151</v>
      </c>
      <c r="E1094" t="s">
        <v>159</v>
      </c>
      <c r="F1094" t="s">
        <v>116</v>
      </c>
      <c r="G1094">
        <f t="shared" si="17"/>
        <v>1</v>
      </c>
      <c r="H1094">
        <v>11</v>
      </c>
      <c r="I1094">
        <v>2</v>
      </c>
      <c r="J1094">
        <v>0</v>
      </c>
      <c r="K1094" s="6" t="s">
        <v>65</v>
      </c>
      <c r="L1094" s="6" t="s">
        <v>119</v>
      </c>
      <c r="M1094">
        <v>239</v>
      </c>
      <c r="N1094" s="1">
        <v>0.48380566801619435</v>
      </c>
      <c r="O1094">
        <v>68</v>
      </c>
      <c r="P1094" s="1">
        <v>0.43870967741935485</v>
      </c>
      <c r="Q1094" s="1">
        <v>0.76315789473684215</v>
      </c>
      <c r="R1094">
        <v>633</v>
      </c>
      <c r="S1094">
        <v>60</v>
      </c>
      <c r="T1094">
        <v>193</v>
      </c>
      <c r="U1094">
        <v>111</v>
      </c>
      <c r="V1094">
        <v>35</v>
      </c>
      <c r="W1094">
        <v>27</v>
      </c>
      <c r="X1094">
        <v>59</v>
      </c>
      <c r="Y1094" s="5">
        <v>1.8813559322033899</v>
      </c>
    </row>
    <row r="1095" spans="1:25" x14ac:dyDescent="0.25">
      <c r="A1095">
        <v>2020</v>
      </c>
      <c r="B1095" t="s">
        <v>57</v>
      </c>
      <c r="C1095">
        <v>16</v>
      </c>
      <c r="D1095">
        <v>151</v>
      </c>
      <c r="E1095" t="s">
        <v>26</v>
      </c>
      <c r="F1095" t="s">
        <v>118</v>
      </c>
      <c r="G1095">
        <f t="shared" si="17"/>
        <v>0</v>
      </c>
      <c r="H1095">
        <v>2</v>
      </c>
      <c r="I1095">
        <v>11</v>
      </c>
      <c r="J1095">
        <v>0</v>
      </c>
      <c r="K1095" s="6" t="s">
        <v>193</v>
      </c>
      <c r="L1095" s="6" t="s">
        <v>117</v>
      </c>
      <c r="M1095">
        <v>178</v>
      </c>
      <c r="N1095" s="1">
        <v>0.478494623655914</v>
      </c>
      <c r="O1095">
        <v>52</v>
      </c>
      <c r="P1095" s="1">
        <v>0.38235294117647056</v>
      </c>
      <c r="Q1095" s="1">
        <v>0.75268817204301075</v>
      </c>
      <c r="R1095">
        <v>478</v>
      </c>
      <c r="S1095">
        <v>41</v>
      </c>
      <c r="T1095">
        <v>174</v>
      </c>
      <c r="U1095">
        <v>137</v>
      </c>
      <c r="V1095">
        <v>23</v>
      </c>
      <c r="W1095">
        <v>20</v>
      </c>
      <c r="X1095">
        <v>67</v>
      </c>
      <c r="Y1095" s="5">
        <v>2.044776119402985</v>
      </c>
    </row>
    <row r="1096" spans="1:25" x14ac:dyDescent="0.25">
      <c r="A1096">
        <v>2020</v>
      </c>
      <c r="B1096" t="s">
        <v>57</v>
      </c>
      <c r="C1096">
        <v>16</v>
      </c>
      <c r="D1096">
        <v>152</v>
      </c>
      <c r="E1096" t="s">
        <v>22</v>
      </c>
      <c r="F1096" t="s">
        <v>44</v>
      </c>
      <c r="G1096">
        <f t="shared" si="17"/>
        <v>1</v>
      </c>
      <c r="H1096">
        <v>8</v>
      </c>
      <c r="I1096">
        <v>5</v>
      </c>
      <c r="J1096">
        <v>0</v>
      </c>
      <c r="K1096" s="6" t="s">
        <v>114</v>
      </c>
      <c r="L1096" s="6" t="s">
        <v>90</v>
      </c>
      <c r="M1096">
        <v>174</v>
      </c>
      <c r="N1096" s="1">
        <v>0.50144092219020175</v>
      </c>
      <c r="O1096">
        <v>46</v>
      </c>
      <c r="P1096" s="1">
        <v>0.33823529411764708</v>
      </c>
      <c r="Q1096" s="1">
        <v>0.81</v>
      </c>
      <c r="R1096">
        <v>475</v>
      </c>
      <c r="S1096">
        <v>39</v>
      </c>
      <c r="T1096">
        <v>165</v>
      </c>
      <c r="U1096">
        <v>111</v>
      </c>
      <c r="V1096">
        <v>22</v>
      </c>
      <c r="W1096">
        <v>20</v>
      </c>
      <c r="X1096">
        <v>56</v>
      </c>
      <c r="Y1096" s="5">
        <v>1.9821428571428572</v>
      </c>
    </row>
    <row r="1097" spans="1:25" x14ac:dyDescent="0.25">
      <c r="A1097">
        <v>2020</v>
      </c>
      <c r="B1097" t="s">
        <v>57</v>
      </c>
      <c r="C1097">
        <v>16</v>
      </c>
      <c r="D1097">
        <v>152</v>
      </c>
      <c r="E1097" t="s">
        <v>99</v>
      </c>
      <c r="F1097" t="s">
        <v>45</v>
      </c>
      <c r="G1097">
        <f t="shared" si="17"/>
        <v>0</v>
      </c>
      <c r="H1097">
        <v>5</v>
      </c>
      <c r="I1097">
        <v>8</v>
      </c>
      <c r="J1097">
        <v>0</v>
      </c>
      <c r="K1097" s="6" t="s">
        <v>66</v>
      </c>
      <c r="L1097" s="6" t="s">
        <v>81</v>
      </c>
      <c r="M1097">
        <v>157</v>
      </c>
      <c r="N1097" s="1">
        <v>0.48456790123456789</v>
      </c>
      <c r="O1097">
        <v>48</v>
      </c>
      <c r="P1097" s="1">
        <v>0.34782608695652173</v>
      </c>
      <c r="Q1097" s="1">
        <v>0.73170731707317072</v>
      </c>
      <c r="R1097">
        <v>422</v>
      </c>
      <c r="S1097">
        <v>57</v>
      </c>
      <c r="T1097">
        <v>160</v>
      </c>
      <c r="U1097">
        <v>61</v>
      </c>
      <c r="V1097">
        <v>18</v>
      </c>
      <c r="W1097">
        <v>27</v>
      </c>
      <c r="X1097">
        <v>32</v>
      </c>
      <c r="Y1097" s="5">
        <v>1.90625</v>
      </c>
    </row>
    <row r="1098" spans="1:25" x14ac:dyDescent="0.25">
      <c r="A1098">
        <v>2020</v>
      </c>
      <c r="B1098" t="s">
        <v>57</v>
      </c>
      <c r="C1098">
        <v>16</v>
      </c>
      <c r="D1098">
        <v>153</v>
      </c>
      <c r="E1098" t="s">
        <v>20</v>
      </c>
      <c r="F1098" t="s">
        <v>47</v>
      </c>
      <c r="G1098">
        <f t="shared" si="17"/>
        <v>0</v>
      </c>
      <c r="H1098">
        <v>4</v>
      </c>
      <c r="I1098">
        <v>9</v>
      </c>
      <c r="J1098">
        <v>0</v>
      </c>
      <c r="K1098" s="6" t="s">
        <v>104</v>
      </c>
      <c r="L1098" s="6" t="s">
        <v>105</v>
      </c>
      <c r="M1098">
        <v>136</v>
      </c>
      <c r="N1098" s="1">
        <v>0.44884488448844884</v>
      </c>
      <c r="O1098">
        <v>33</v>
      </c>
      <c r="P1098" s="1">
        <v>0.38823529411764707</v>
      </c>
      <c r="Q1098" s="1">
        <v>0.77647058823529413</v>
      </c>
      <c r="R1098">
        <v>371</v>
      </c>
      <c r="S1098">
        <v>34</v>
      </c>
      <c r="T1098">
        <v>117</v>
      </c>
      <c r="U1098">
        <v>89</v>
      </c>
      <c r="V1098">
        <v>28</v>
      </c>
      <c r="W1098">
        <v>20</v>
      </c>
      <c r="X1098">
        <v>68</v>
      </c>
      <c r="Y1098" s="5">
        <v>1.3088235294117647</v>
      </c>
    </row>
    <row r="1099" spans="1:25" x14ac:dyDescent="0.25">
      <c r="A1099">
        <v>2020</v>
      </c>
      <c r="B1099" t="s">
        <v>57</v>
      </c>
      <c r="C1099">
        <v>16</v>
      </c>
      <c r="D1099">
        <v>153</v>
      </c>
      <c r="E1099" t="s">
        <v>93</v>
      </c>
      <c r="F1099" t="s">
        <v>189</v>
      </c>
      <c r="G1099">
        <f t="shared" si="17"/>
        <v>1</v>
      </c>
      <c r="H1099">
        <v>9</v>
      </c>
      <c r="I1099">
        <v>4</v>
      </c>
      <c r="J1099">
        <v>0</v>
      </c>
      <c r="K1099" s="6" t="s">
        <v>62</v>
      </c>
      <c r="L1099" s="6" t="s">
        <v>78</v>
      </c>
      <c r="M1099">
        <v>149</v>
      </c>
      <c r="N1099" s="1">
        <v>0.48376623376623379</v>
      </c>
      <c r="O1099">
        <v>47</v>
      </c>
      <c r="P1099" s="1">
        <v>0.38842975206611569</v>
      </c>
      <c r="Q1099" s="1">
        <v>0.83116883116883122</v>
      </c>
      <c r="R1099">
        <v>409</v>
      </c>
      <c r="S1099">
        <v>21</v>
      </c>
      <c r="T1099">
        <v>91</v>
      </c>
      <c r="U1099">
        <v>100</v>
      </c>
      <c r="V1099">
        <v>14</v>
      </c>
      <c r="W1099">
        <v>3</v>
      </c>
      <c r="X1099">
        <v>45</v>
      </c>
      <c r="Y1099" s="5">
        <v>2.2222222222222223</v>
      </c>
    </row>
    <row r="1100" spans="1:25" x14ac:dyDescent="0.25">
      <c r="A1100">
        <v>2020</v>
      </c>
      <c r="B1100" t="s">
        <v>57</v>
      </c>
      <c r="C1100">
        <v>16</v>
      </c>
      <c r="D1100">
        <v>154</v>
      </c>
      <c r="E1100" t="s">
        <v>98</v>
      </c>
      <c r="F1100" t="s">
        <v>41</v>
      </c>
      <c r="G1100">
        <f t="shared" si="17"/>
        <v>1</v>
      </c>
      <c r="H1100">
        <v>7</v>
      </c>
      <c r="I1100">
        <v>6</v>
      </c>
      <c r="J1100">
        <v>0</v>
      </c>
      <c r="K1100" s="6" t="s">
        <v>182</v>
      </c>
      <c r="L1100" s="6" t="s">
        <v>76</v>
      </c>
      <c r="M1100">
        <v>163</v>
      </c>
      <c r="N1100" s="1">
        <v>0.44054054054054054</v>
      </c>
      <c r="O1100">
        <v>57</v>
      </c>
      <c r="P1100" s="1">
        <v>0.36075949367088606</v>
      </c>
      <c r="Q1100" s="1">
        <v>0.81666666666666665</v>
      </c>
      <c r="R1100">
        <v>432</v>
      </c>
      <c r="S1100">
        <v>21</v>
      </c>
      <c r="T1100">
        <v>102</v>
      </c>
      <c r="U1100">
        <v>109</v>
      </c>
      <c r="V1100">
        <v>23</v>
      </c>
      <c r="W1100">
        <v>6</v>
      </c>
      <c r="X1100">
        <v>35</v>
      </c>
      <c r="Y1100" s="5">
        <v>3.1142857142857143</v>
      </c>
    </row>
    <row r="1101" spans="1:25" x14ac:dyDescent="0.25">
      <c r="A1101">
        <v>2020</v>
      </c>
      <c r="B1101" t="s">
        <v>57</v>
      </c>
      <c r="C1101">
        <v>16</v>
      </c>
      <c r="D1101">
        <v>154</v>
      </c>
      <c r="E1101" t="s">
        <v>181</v>
      </c>
      <c r="F1101" t="s">
        <v>49</v>
      </c>
      <c r="G1101">
        <f t="shared" si="17"/>
        <v>0</v>
      </c>
      <c r="H1101">
        <v>6</v>
      </c>
      <c r="I1101">
        <v>7</v>
      </c>
      <c r="J1101">
        <v>0</v>
      </c>
      <c r="K1101" s="6" t="s">
        <v>112</v>
      </c>
      <c r="L1101" s="6" t="s">
        <v>88</v>
      </c>
      <c r="M1101">
        <v>157</v>
      </c>
      <c r="N1101" s="1">
        <v>0.48159509202453987</v>
      </c>
      <c r="O1101">
        <v>44</v>
      </c>
      <c r="P1101" s="1">
        <v>0.34375</v>
      </c>
      <c r="Q1101" s="1">
        <v>0.79</v>
      </c>
      <c r="R1101">
        <v>437</v>
      </c>
      <c r="S1101">
        <v>43</v>
      </c>
      <c r="T1101">
        <v>127</v>
      </c>
      <c r="U1101">
        <v>69</v>
      </c>
      <c r="V1101">
        <v>16</v>
      </c>
      <c r="W1101">
        <v>14</v>
      </c>
      <c r="X1101">
        <v>30</v>
      </c>
      <c r="Y1101" s="5">
        <v>2.2999999999999998</v>
      </c>
    </row>
    <row r="1102" spans="1:25" x14ac:dyDescent="0.25">
      <c r="A1102">
        <v>2020</v>
      </c>
      <c r="B1102" t="s">
        <v>57</v>
      </c>
      <c r="C1102">
        <v>16</v>
      </c>
      <c r="D1102">
        <v>155</v>
      </c>
      <c r="E1102" t="s">
        <v>190</v>
      </c>
      <c r="F1102" t="s">
        <v>103</v>
      </c>
      <c r="G1102">
        <f t="shared" si="17"/>
        <v>1</v>
      </c>
      <c r="H1102">
        <v>9</v>
      </c>
      <c r="I1102">
        <v>4</v>
      </c>
      <c r="J1102">
        <v>0</v>
      </c>
      <c r="K1102" s="6" t="s">
        <v>71</v>
      </c>
      <c r="L1102" s="6" t="s">
        <v>121</v>
      </c>
      <c r="M1102">
        <v>189</v>
      </c>
      <c r="N1102" s="1">
        <v>0.43851508120649652</v>
      </c>
      <c r="O1102">
        <v>64</v>
      </c>
      <c r="P1102" s="1">
        <v>0.35164835164835168</v>
      </c>
      <c r="Q1102" s="1">
        <v>0.76363636363636367</v>
      </c>
      <c r="R1102">
        <v>526</v>
      </c>
      <c r="S1102">
        <v>26</v>
      </c>
      <c r="T1102">
        <v>158</v>
      </c>
      <c r="U1102">
        <v>148</v>
      </c>
      <c r="V1102">
        <v>34</v>
      </c>
      <c r="W1102">
        <v>25</v>
      </c>
      <c r="X1102">
        <v>69</v>
      </c>
      <c r="Y1102" s="5">
        <v>2.1449275362318843</v>
      </c>
    </row>
    <row r="1103" spans="1:25" x14ac:dyDescent="0.25">
      <c r="A1103">
        <v>2020</v>
      </c>
      <c r="B1103" t="s">
        <v>57</v>
      </c>
      <c r="C1103">
        <v>16</v>
      </c>
      <c r="D1103">
        <v>155</v>
      </c>
      <c r="E1103" t="s">
        <v>23</v>
      </c>
      <c r="F1103" t="s">
        <v>120</v>
      </c>
      <c r="G1103">
        <f t="shared" si="17"/>
        <v>0</v>
      </c>
      <c r="H1103">
        <v>4</v>
      </c>
      <c r="I1103">
        <v>9</v>
      </c>
      <c r="J1103">
        <v>0</v>
      </c>
      <c r="K1103" s="6" t="s">
        <v>191</v>
      </c>
      <c r="L1103" s="6" t="s">
        <v>113</v>
      </c>
      <c r="M1103">
        <v>177</v>
      </c>
      <c r="N1103" s="1">
        <v>0.45268542199488493</v>
      </c>
      <c r="O1103">
        <v>63</v>
      </c>
      <c r="P1103" s="1">
        <v>0.36842105263157893</v>
      </c>
      <c r="Q1103" s="1">
        <v>0.8202247191011236</v>
      </c>
      <c r="R1103">
        <v>490</v>
      </c>
      <c r="S1103">
        <v>24</v>
      </c>
      <c r="T1103">
        <v>146</v>
      </c>
      <c r="U1103">
        <v>117</v>
      </c>
      <c r="V1103">
        <v>28</v>
      </c>
      <c r="W1103">
        <v>23</v>
      </c>
      <c r="X1103">
        <v>59</v>
      </c>
      <c r="Y1103" s="5">
        <v>1.9830508474576272</v>
      </c>
    </row>
    <row r="1104" spans="1:25" x14ac:dyDescent="0.25">
      <c r="A1104">
        <v>2020</v>
      </c>
      <c r="B1104" t="s">
        <v>57</v>
      </c>
      <c r="C1104">
        <v>16</v>
      </c>
      <c r="D1104">
        <v>156</v>
      </c>
      <c r="E1104" t="s">
        <v>97</v>
      </c>
      <c r="F1104" t="s">
        <v>54</v>
      </c>
      <c r="G1104">
        <f t="shared" si="17"/>
        <v>1</v>
      </c>
      <c r="H1104">
        <v>7</v>
      </c>
      <c r="I1104">
        <v>6</v>
      </c>
      <c r="J1104">
        <v>0</v>
      </c>
      <c r="K1104" s="6" t="s">
        <v>106</v>
      </c>
      <c r="L1104" s="6" t="s">
        <v>83</v>
      </c>
      <c r="M1104">
        <v>194</v>
      </c>
      <c r="N1104" s="1">
        <v>0.48743718592964824</v>
      </c>
      <c r="O1104">
        <v>43</v>
      </c>
      <c r="P1104" s="1">
        <v>0.37719298245614036</v>
      </c>
      <c r="Q1104" s="1">
        <v>0.83088235294117652</v>
      </c>
      <c r="R1104">
        <v>544</v>
      </c>
      <c r="S1104">
        <v>37</v>
      </c>
      <c r="T1104">
        <v>145</v>
      </c>
      <c r="U1104">
        <v>99</v>
      </c>
      <c r="V1104">
        <v>36</v>
      </c>
      <c r="W1104">
        <v>18</v>
      </c>
      <c r="X1104">
        <v>74</v>
      </c>
      <c r="Y1104" s="5">
        <v>1.3378378378378379</v>
      </c>
    </row>
    <row r="1105" spans="1:25" x14ac:dyDescent="0.25">
      <c r="A1105">
        <v>2020</v>
      </c>
      <c r="B1105" t="s">
        <v>57</v>
      </c>
      <c r="C1105">
        <v>16</v>
      </c>
      <c r="D1105">
        <v>156</v>
      </c>
      <c r="E1105" t="s">
        <v>94</v>
      </c>
      <c r="F1105" t="s">
        <v>40</v>
      </c>
      <c r="G1105">
        <f t="shared" si="17"/>
        <v>0</v>
      </c>
      <c r="H1105">
        <v>6</v>
      </c>
      <c r="I1105">
        <v>7</v>
      </c>
      <c r="J1105">
        <v>0</v>
      </c>
      <c r="K1105" s="6" t="s">
        <v>111</v>
      </c>
      <c r="L1105" s="6" t="s">
        <v>89</v>
      </c>
      <c r="M1105">
        <v>158</v>
      </c>
      <c r="N1105" s="1">
        <v>0.46064139941690962</v>
      </c>
      <c r="O1105">
        <v>59</v>
      </c>
      <c r="P1105" s="1">
        <v>0.45384615384615384</v>
      </c>
      <c r="Q1105" s="1">
        <v>0.8351648351648352</v>
      </c>
      <c r="R1105">
        <v>451</v>
      </c>
      <c r="S1105">
        <v>32</v>
      </c>
      <c r="T1105">
        <v>135</v>
      </c>
      <c r="U1105">
        <v>103</v>
      </c>
      <c r="V1105">
        <v>35</v>
      </c>
      <c r="W1105">
        <v>11</v>
      </c>
      <c r="X1105">
        <v>59</v>
      </c>
      <c r="Y1105" s="5">
        <v>1.7457627118644068</v>
      </c>
    </row>
    <row r="1106" spans="1:25" x14ac:dyDescent="0.25">
      <c r="A1106">
        <v>2020</v>
      </c>
      <c r="B1106" t="s">
        <v>57</v>
      </c>
      <c r="C1106">
        <v>16</v>
      </c>
      <c r="D1106">
        <v>157</v>
      </c>
      <c r="E1106" t="s">
        <v>15</v>
      </c>
      <c r="F1106" t="s">
        <v>48</v>
      </c>
      <c r="G1106">
        <f t="shared" si="17"/>
        <v>0</v>
      </c>
      <c r="H1106">
        <v>4</v>
      </c>
      <c r="I1106">
        <v>9</v>
      </c>
      <c r="J1106">
        <v>0</v>
      </c>
      <c r="K1106" s="6" t="s">
        <v>64</v>
      </c>
      <c r="L1106" s="6" t="s">
        <v>80</v>
      </c>
      <c r="M1106">
        <v>177</v>
      </c>
      <c r="N1106" s="1">
        <v>0.49441340782122906</v>
      </c>
      <c r="O1106">
        <v>44</v>
      </c>
      <c r="P1106" s="1">
        <v>0.38938053097345132</v>
      </c>
      <c r="Q1106" s="1">
        <v>0.75</v>
      </c>
      <c r="R1106">
        <v>458</v>
      </c>
      <c r="S1106">
        <v>31</v>
      </c>
      <c r="T1106">
        <v>101</v>
      </c>
      <c r="U1106">
        <v>76</v>
      </c>
      <c r="V1106">
        <v>26</v>
      </c>
      <c r="W1106">
        <v>11</v>
      </c>
      <c r="X1106">
        <v>44</v>
      </c>
      <c r="Y1106" s="5">
        <v>1.7272727272727273</v>
      </c>
    </row>
    <row r="1107" spans="1:25" x14ac:dyDescent="0.25">
      <c r="A1107">
        <v>2020</v>
      </c>
      <c r="B1107" t="s">
        <v>57</v>
      </c>
      <c r="C1107">
        <v>16</v>
      </c>
      <c r="D1107">
        <v>157</v>
      </c>
      <c r="E1107" t="s">
        <v>28</v>
      </c>
      <c r="F1107" t="s">
        <v>46</v>
      </c>
      <c r="G1107">
        <f t="shared" si="17"/>
        <v>1</v>
      </c>
      <c r="H1107">
        <v>9</v>
      </c>
      <c r="I1107">
        <v>4</v>
      </c>
      <c r="J1107">
        <v>0</v>
      </c>
      <c r="K1107" s="6" t="s">
        <v>61</v>
      </c>
      <c r="L1107" s="6" t="s">
        <v>77</v>
      </c>
      <c r="M1107">
        <v>236</v>
      </c>
      <c r="N1107" s="1">
        <v>0.49269311064718163</v>
      </c>
      <c r="O1107">
        <v>71</v>
      </c>
      <c r="P1107" s="1">
        <v>0.43558282208588955</v>
      </c>
      <c r="Q1107" s="1">
        <v>0.78431372549019607</v>
      </c>
      <c r="R1107">
        <v>623</v>
      </c>
      <c r="S1107">
        <v>30</v>
      </c>
      <c r="T1107">
        <v>125</v>
      </c>
      <c r="U1107">
        <v>126</v>
      </c>
      <c r="V1107">
        <v>19</v>
      </c>
      <c r="W1107">
        <v>19</v>
      </c>
      <c r="X1107">
        <v>49</v>
      </c>
      <c r="Y1107" s="5">
        <v>2.5714285714285716</v>
      </c>
    </row>
    <row r="1108" spans="1:25" x14ac:dyDescent="0.25">
      <c r="A1108">
        <v>2020</v>
      </c>
      <c r="B1108" t="s">
        <v>57</v>
      </c>
      <c r="C1108">
        <v>16</v>
      </c>
      <c r="D1108">
        <v>158</v>
      </c>
      <c r="E1108" t="s">
        <v>25</v>
      </c>
      <c r="F1108" t="s">
        <v>53</v>
      </c>
      <c r="G1108">
        <f t="shared" si="17"/>
        <v>0</v>
      </c>
      <c r="H1108">
        <v>5</v>
      </c>
      <c r="I1108">
        <v>8</v>
      </c>
      <c r="J1108">
        <v>0</v>
      </c>
      <c r="K1108" s="6" t="s">
        <v>73</v>
      </c>
      <c r="L1108" s="6" t="s">
        <v>74</v>
      </c>
      <c r="M1108">
        <v>113</v>
      </c>
      <c r="N1108" s="1">
        <v>0.45564516129032256</v>
      </c>
      <c r="O1108">
        <v>23</v>
      </c>
      <c r="P1108" s="1">
        <v>0.33333333333333331</v>
      </c>
      <c r="Q1108" s="1">
        <v>0.64516129032258063</v>
      </c>
      <c r="R1108">
        <v>289</v>
      </c>
      <c r="S1108">
        <v>40</v>
      </c>
      <c r="T1108">
        <v>105</v>
      </c>
      <c r="U1108">
        <v>134</v>
      </c>
      <c r="V1108">
        <v>23</v>
      </c>
      <c r="W1108">
        <v>10</v>
      </c>
      <c r="X1108">
        <v>50</v>
      </c>
      <c r="Y1108" s="5">
        <v>2.68</v>
      </c>
    </row>
    <row r="1109" spans="1:25" x14ac:dyDescent="0.25">
      <c r="A1109">
        <v>2020</v>
      </c>
      <c r="B1109" t="s">
        <v>57</v>
      </c>
      <c r="C1109">
        <v>16</v>
      </c>
      <c r="D1109">
        <v>158</v>
      </c>
      <c r="E1109" t="s">
        <v>35</v>
      </c>
      <c r="F1109" t="s">
        <v>52</v>
      </c>
      <c r="G1109">
        <f t="shared" si="17"/>
        <v>1</v>
      </c>
      <c r="H1109">
        <v>8</v>
      </c>
      <c r="I1109">
        <v>5</v>
      </c>
      <c r="J1109">
        <v>0</v>
      </c>
      <c r="K1109" s="6" t="s">
        <v>68</v>
      </c>
      <c r="L1109" s="6" t="s">
        <v>84</v>
      </c>
      <c r="M1109">
        <v>124</v>
      </c>
      <c r="N1109" s="1">
        <v>0.45588235294117646</v>
      </c>
      <c r="O1109">
        <v>46</v>
      </c>
      <c r="P1109" s="1">
        <v>0.39316239316239315</v>
      </c>
      <c r="Q1109" s="1">
        <v>0.76363636363636367</v>
      </c>
      <c r="R1109">
        <v>336</v>
      </c>
      <c r="S1109">
        <v>26</v>
      </c>
      <c r="T1109">
        <v>85</v>
      </c>
      <c r="U1109">
        <v>77</v>
      </c>
      <c r="V1109">
        <v>19</v>
      </c>
      <c r="W1109">
        <v>22</v>
      </c>
      <c r="X1109">
        <v>39</v>
      </c>
      <c r="Y1109" s="5">
        <v>1.9743589743589745</v>
      </c>
    </row>
    <row r="1110" spans="1:25" x14ac:dyDescent="0.25">
      <c r="A1110">
        <v>2020</v>
      </c>
      <c r="B1110" t="s">
        <v>57</v>
      </c>
      <c r="C1110">
        <v>16</v>
      </c>
      <c r="D1110">
        <v>159</v>
      </c>
      <c r="E1110" t="s">
        <v>33</v>
      </c>
      <c r="F1110" t="s">
        <v>42</v>
      </c>
      <c r="G1110">
        <f t="shared" si="17"/>
        <v>1</v>
      </c>
      <c r="H1110">
        <v>8</v>
      </c>
      <c r="I1110">
        <v>5</v>
      </c>
      <c r="J1110">
        <v>0</v>
      </c>
      <c r="K1110" s="6" t="s">
        <v>70</v>
      </c>
      <c r="L1110" s="6" t="s">
        <v>87</v>
      </c>
      <c r="M1110">
        <v>164</v>
      </c>
      <c r="N1110" s="1">
        <v>0.55405405405405406</v>
      </c>
      <c r="O1110">
        <v>14</v>
      </c>
      <c r="P1110" s="1">
        <v>0.26415094339622641</v>
      </c>
      <c r="Q1110" s="1">
        <v>0.78333333333333333</v>
      </c>
      <c r="R1110">
        <v>436</v>
      </c>
      <c r="S1110">
        <v>38</v>
      </c>
      <c r="T1110">
        <v>152</v>
      </c>
      <c r="U1110">
        <v>104</v>
      </c>
      <c r="V1110">
        <v>27</v>
      </c>
      <c r="W1110">
        <v>23</v>
      </c>
      <c r="X1110">
        <v>65</v>
      </c>
      <c r="Y1110" s="5">
        <v>1.6</v>
      </c>
    </row>
    <row r="1111" spans="1:25" x14ac:dyDescent="0.25">
      <c r="A1111">
        <v>2020</v>
      </c>
      <c r="B1111" t="s">
        <v>57</v>
      </c>
      <c r="C1111">
        <v>16</v>
      </c>
      <c r="D1111">
        <v>159</v>
      </c>
      <c r="E1111" t="s">
        <v>21</v>
      </c>
      <c r="F1111" t="s">
        <v>50</v>
      </c>
      <c r="G1111">
        <f t="shared" si="17"/>
        <v>0</v>
      </c>
      <c r="H1111">
        <v>5</v>
      </c>
      <c r="I1111">
        <v>8</v>
      </c>
      <c r="J1111">
        <v>0</v>
      </c>
      <c r="K1111" s="6" t="s">
        <v>72</v>
      </c>
      <c r="L1111" s="6" t="s">
        <v>85</v>
      </c>
      <c r="M1111">
        <v>127</v>
      </c>
      <c r="N1111" s="1">
        <v>0.40836012861736337</v>
      </c>
      <c r="O1111">
        <v>42</v>
      </c>
      <c r="P1111" s="1">
        <v>0.35897435897435898</v>
      </c>
      <c r="Q1111" s="1">
        <v>0.83582089552238803</v>
      </c>
      <c r="R1111">
        <v>352</v>
      </c>
      <c r="S1111">
        <v>33</v>
      </c>
      <c r="T1111">
        <v>124</v>
      </c>
      <c r="U1111">
        <v>92</v>
      </c>
      <c r="V1111">
        <v>11</v>
      </c>
      <c r="W1111">
        <v>11</v>
      </c>
      <c r="X1111">
        <v>44</v>
      </c>
      <c r="Y1111" s="5">
        <v>2.0909090909090908</v>
      </c>
    </row>
    <row r="1112" spans="1:25" x14ac:dyDescent="0.25">
      <c r="A1112">
        <v>2020</v>
      </c>
      <c r="B1112" t="s">
        <v>57</v>
      </c>
      <c r="C1112">
        <v>16</v>
      </c>
      <c r="D1112">
        <v>160</v>
      </c>
      <c r="E1112" t="s">
        <v>16</v>
      </c>
      <c r="F1112" t="s">
        <v>51</v>
      </c>
      <c r="G1112">
        <f t="shared" si="17"/>
        <v>1</v>
      </c>
      <c r="H1112">
        <v>10</v>
      </c>
      <c r="I1112">
        <v>2</v>
      </c>
      <c r="J1112">
        <v>1</v>
      </c>
      <c r="K1112" s="6" t="s">
        <v>63</v>
      </c>
      <c r="L1112" s="6" t="s">
        <v>79</v>
      </c>
      <c r="M1112">
        <v>181</v>
      </c>
      <c r="N1112" s="1">
        <v>0.54518072289156627</v>
      </c>
      <c r="O1112">
        <v>59</v>
      </c>
      <c r="P1112" s="1">
        <v>0.44696969696969696</v>
      </c>
      <c r="Q1112" s="1">
        <v>0.74193548387096775</v>
      </c>
      <c r="R1112">
        <v>467</v>
      </c>
      <c r="S1112">
        <v>48</v>
      </c>
      <c r="T1112">
        <v>146</v>
      </c>
      <c r="U1112">
        <v>105</v>
      </c>
      <c r="V1112">
        <v>38</v>
      </c>
      <c r="W1112">
        <v>16</v>
      </c>
      <c r="X1112">
        <v>47</v>
      </c>
      <c r="Y1112" s="5">
        <v>2.2340425531914891</v>
      </c>
    </row>
    <row r="1113" spans="1:25" x14ac:dyDescent="0.25">
      <c r="A1113">
        <v>2020</v>
      </c>
      <c r="B1113" t="s">
        <v>57</v>
      </c>
      <c r="C1113">
        <v>16</v>
      </c>
      <c r="D1113">
        <v>160</v>
      </c>
      <c r="E1113" t="s">
        <v>17</v>
      </c>
      <c r="F1113" t="s">
        <v>43</v>
      </c>
      <c r="G1113">
        <f t="shared" si="17"/>
        <v>0</v>
      </c>
      <c r="H1113">
        <v>2</v>
      </c>
      <c r="I1113">
        <v>10</v>
      </c>
      <c r="J1113">
        <v>1</v>
      </c>
      <c r="K1113" s="6" t="s">
        <v>60</v>
      </c>
      <c r="L1113" s="6" t="s">
        <v>75</v>
      </c>
      <c r="M1113">
        <v>120</v>
      </c>
      <c r="N1113" s="1">
        <v>0.43010752688172044</v>
      </c>
      <c r="O1113">
        <v>36</v>
      </c>
      <c r="P1113" s="1">
        <v>0.36363636363636365</v>
      </c>
      <c r="Q1113" s="1">
        <v>0.74117647058823533</v>
      </c>
      <c r="R1113">
        <v>339</v>
      </c>
      <c r="S1113">
        <v>42</v>
      </c>
      <c r="T1113">
        <v>104</v>
      </c>
      <c r="U1113">
        <v>77</v>
      </c>
      <c r="V1113">
        <v>38</v>
      </c>
      <c r="W1113">
        <v>18</v>
      </c>
      <c r="X1113">
        <v>39</v>
      </c>
      <c r="Y1113" s="5">
        <v>1.9743589743589745</v>
      </c>
    </row>
    <row r="1114" spans="1:25" x14ac:dyDescent="0.25">
      <c r="A1114">
        <v>2020</v>
      </c>
      <c r="B1114" t="s">
        <v>57</v>
      </c>
      <c r="C1114">
        <v>17</v>
      </c>
      <c r="D1114">
        <v>161</v>
      </c>
      <c r="E1114" t="s">
        <v>190</v>
      </c>
      <c r="F1114" t="s">
        <v>103</v>
      </c>
      <c r="G1114">
        <f t="shared" si="17"/>
        <v>1</v>
      </c>
      <c r="H1114">
        <v>10</v>
      </c>
      <c r="I1114">
        <v>3</v>
      </c>
      <c r="J1114">
        <v>0</v>
      </c>
      <c r="K1114" s="6" t="s">
        <v>73</v>
      </c>
      <c r="L1114" s="6" t="s">
        <v>74</v>
      </c>
      <c r="M1114">
        <v>186</v>
      </c>
      <c r="N1114" s="1">
        <v>0.46733668341708545</v>
      </c>
      <c r="O1114">
        <v>47</v>
      </c>
      <c r="P1114" s="1">
        <v>0.35338345864661652</v>
      </c>
      <c r="Q1114" s="1">
        <v>0.81538461538461537</v>
      </c>
      <c r="R1114">
        <v>525</v>
      </c>
      <c r="S1114">
        <v>44</v>
      </c>
      <c r="T1114">
        <v>147</v>
      </c>
      <c r="U1114">
        <v>143</v>
      </c>
      <c r="V1114">
        <v>28</v>
      </c>
      <c r="W1114">
        <v>28</v>
      </c>
      <c r="X1114">
        <v>77</v>
      </c>
      <c r="Y1114" s="5">
        <v>1.8571428571428572</v>
      </c>
    </row>
    <row r="1115" spans="1:25" x14ac:dyDescent="0.25">
      <c r="A1115">
        <v>2020</v>
      </c>
      <c r="B1115" t="s">
        <v>57</v>
      </c>
      <c r="C1115">
        <v>17</v>
      </c>
      <c r="D1115">
        <v>161</v>
      </c>
      <c r="E1115" t="s">
        <v>35</v>
      </c>
      <c r="F1115" t="s">
        <v>52</v>
      </c>
      <c r="G1115">
        <f t="shared" si="17"/>
        <v>0</v>
      </c>
      <c r="H1115">
        <v>3</v>
      </c>
      <c r="I1115">
        <v>10</v>
      </c>
      <c r="J1115">
        <v>0</v>
      </c>
      <c r="K1115" s="6" t="s">
        <v>191</v>
      </c>
      <c r="L1115" s="6" t="s">
        <v>113</v>
      </c>
      <c r="M1115">
        <v>155</v>
      </c>
      <c r="N1115" s="1">
        <v>0.4353932584269663</v>
      </c>
      <c r="O1115">
        <v>59</v>
      </c>
      <c r="P1115" s="1">
        <v>0.37341772151898733</v>
      </c>
      <c r="Q1115" s="1">
        <v>0.77333333333333332</v>
      </c>
      <c r="R1115">
        <v>427</v>
      </c>
      <c r="S1115">
        <v>33</v>
      </c>
      <c r="T1115">
        <v>111</v>
      </c>
      <c r="U1115">
        <v>73</v>
      </c>
      <c r="V1115">
        <v>27</v>
      </c>
      <c r="W1115">
        <v>11</v>
      </c>
      <c r="X1115">
        <v>42</v>
      </c>
      <c r="Y1115" s="5">
        <v>1.7380952380952381</v>
      </c>
    </row>
    <row r="1116" spans="1:25" x14ac:dyDescent="0.25">
      <c r="A1116">
        <v>2020</v>
      </c>
      <c r="B1116" t="s">
        <v>57</v>
      </c>
      <c r="C1116">
        <v>17</v>
      </c>
      <c r="D1116">
        <v>162</v>
      </c>
      <c r="E1116" t="s">
        <v>99</v>
      </c>
      <c r="F1116" t="s">
        <v>45</v>
      </c>
      <c r="G1116">
        <f t="shared" si="17"/>
        <v>1</v>
      </c>
      <c r="H1116">
        <v>8</v>
      </c>
      <c r="I1116">
        <v>4</v>
      </c>
      <c r="J1116">
        <v>1</v>
      </c>
      <c r="K1116" s="6" t="s">
        <v>62</v>
      </c>
      <c r="L1116" s="6" t="s">
        <v>78</v>
      </c>
      <c r="M1116">
        <v>188</v>
      </c>
      <c r="N1116" s="1">
        <v>0.48578811369509045</v>
      </c>
      <c r="O1116">
        <v>69</v>
      </c>
      <c r="P1116" s="1">
        <v>0.37297297297297299</v>
      </c>
      <c r="Q1116" s="1">
        <v>0.90243902439024393</v>
      </c>
      <c r="R1116">
        <v>519</v>
      </c>
      <c r="S1116">
        <v>40</v>
      </c>
      <c r="T1116">
        <v>143</v>
      </c>
      <c r="U1116">
        <v>70</v>
      </c>
      <c r="V1116">
        <v>41</v>
      </c>
      <c r="W1116">
        <v>24</v>
      </c>
      <c r="X1116">
        <v>35</v>
      </c>
      <c r="Y1116" s="5">
        <v>2</v>
      </c>
    </row>
    <row r="1117" spans="1:25" x14ac:dyDescent="0.25">
      <c r="A1117">
        <v>2020</v>
      </c>
      <c r="B1117" t="s">
        <v>57</v>
      </c>
      <c r="C1117">
        <v>17</v>
      </c>
      <c r="D1117">
        <v>162</v>
      </c>
      <c r="E1117" t="s">
        <v>20</v>
      </c>
      <c r="F1117" t="s">
        <v>47</v>
      </c>
      <c r="G1117">
        <f t="shared" si="17"/>
        <v>0</v>
      </c>
      <c r="H1117">
        <v>4</v>
      </c>
      <c r="I1117">
        <v>8</v>
      </c>
      <c r="J1117">
        <v>1</v>
      </c>
      <c r="K1117" s="6" t="s">
        <v>114</v>
      </c>
      <c r="L1117" s="6" t="s">
        <v>90</v>
      </c>
      <c r="M1117">
        <v>162</v>
      </c>
      <c r="N1117" s="1">
        <v>0.48214285714285715</v>
      </c>
      <c r="O1117">
        <v>43</v>
      </c>
      <c r="P1117" s="1">
        <v>0.37719298245614036</v>
      </c>
      <c r="Q1117" s="1">
        <v>0.78205128205128205</v>
      </c>
      <c r="R1117">
        <v>428</v>
      </c>
      <c r="S1117">
        <v>49</v>
      </c>
      <c r="T1117">
        <v>130</v>
      </c>
      <c r="U1117">
        <v>131</v>
      </c>
      <c r="V1117">
        <v>40</v>
      </c>
      <c r="W1117">
        <v>24</v>
      </c>
      <c r="X1117">
        <v>50</v>
      </c>
      <c r="Y1117" s="5">
        <v>2.62</v>
      </c>
    </row>
    <row r="1118" spans="1:25" x14ac:dyDescent="0.25">
      <c r="A1118">
        <v>2020</v>
      </c>
      <c r="B1118" t="s">
        <v>57</v>
      </c>
      <c r="C1118">
        <v>17</v>
      </c>
      <c r="D1118">
        <v>163</v>
      </c>
      <c r="E1118" t="s">
        <v>21</v>
      </c>
      <c r="F1118" t="s">
        <v>50</v>
      </c>
      <c r="G1118">
        <f t="shared" si="17"/>
        <v>1</v>
      </c>
      <c r="H1118">
        <v>9</v>
      </c>
      <c r="I1118">
        <v>4</v>
      </c>
      <c r="J1118">
        <v>0</v>
      </c>
      <c r="K1118" s="6" t="s">
        <v>68</v>
      </c>
      <c r="L1118" s="6" t="s">
        <v>84</v>
      </c>
      <c r="M1118">
        <v>205</v>
      </c>
      <c r="N1118" s="1">
        <v>0.44468546637744033</v>
      </c>
      <c r="O1118">
        <v>60</v>
      </c>
      <c r="P1118" s="1">
        <v>0.38961038961038963</v>
      </c>
      <c r="Q1118" s="1">
        <v>0.86466165413533835</v>
      </c>
      <c r="R1118">
        <v>585</v>
      </c>
      <c r="S1118">
        <v>42</v>
      </c>
      <c r="T1118">
        <v>169</v>
      </c>
      <c r="U1118">
        <v>106</v>
      </c>
      <c r="V1118">
        <v>35</v>
      </c>
      <c r="W1118">
        <v>24</v>
      </c>
      <c r="X1118">
        <v>61</v>
      </c>
      <c r="Y1118" s="5">
        <v>1.7377049180327868</v>
      </c>
    </row>
    <row r="1119" spans="1:25" x14ac:dyDescent="0.25">
      <c r="A1119">
        <v>2020</v>
      </c>
      <c r="B1119" t="s">
        <v>57</v>
      </c>
      <c r="C1119">
        <v>17</v>
      </c>
      <c r="D1119">
        <v>163</v>
      </c>
      <c r="E1119" t="s">
        <v>25</v>
      </c>
      <c r="F1119" t="s">
        <v>53</v>
      </c>
      <c r="G1119">
        <f t="shared" si="17"/>
        <v>0</v>
      </c>
      <c r="H1119">
        <v>4</v>
      </c>
      <c r="I1119">
        <v>9</v>
      </c>
      <c r="J1119">
        <v>0</v>
      </c>
      <c r="K1119" s="6" t="s">
        <v>70</v>
      </c>
      <c r="L1119" s="6" t="s">
        <v>87</v>
      </c>
      <c r="M1119">
        <v>125</v>
      </c>
      <c r="N1119" s="1">
        <v>0.45289855072463769</v>
      </c>
      <c r="O1119">
        <v>28</v>
      </c>
      <c r="P1119" s="1">
        <v>0.2978723404255319</v>
      </c>
      <c r="Q1119" s="1">
        <v>0.77272727272727271</v>
      </c>
      <c r="R1119">
        <v>363</v>
      </c>
      <c r="S1119">
        <v>32</v>
      </c>
      <c r="T1119">
        <v>121</v>
      </c>
      <c r="U1119">
        <v>119</v>
      </c>
      <c r="V1119">
        <v>24</v>
      </c>
      <c r="W1119">
        <v>20</v>
      </c>
      <c r="X1119">
        <v>57</v>
      </c>
      <c r="Y1119" s="5">
        <v>2.0877192982456139</v>
      </c>
    </row>
    <row r="1120" spans="1:25" x14ac:dyDescent="0.25">
      <c r="A1120">
        <v>2020</v>
      </c>
      <c r="B1120" t="s">
        <v>57</v>
      </c>
      <c r="C1120">
        <v>17</v>
      </c>
      <c r="D1120">
        <v>164</v>
      </c>
      <c r="E1120" t="s">
        <v>97</v>
      </c>
      <c r="F1120" t="s">
        <v>54</v>
      </c>
      <c r="G1120">
        <f t="shared" si="17"/>
        <v>0</v>
      </c>
      <c r="H1120">
        <v>5</v>
      </c>
      <c r="I1120">
        <v>8</v>
      </c>
      <c r="J1120">
        <v>0</v>
      </c>
      <c r="K1120" s="6" t="s">
        <v>60</v>
      </c>
      <c r="L1120" s="6" t="s">
        <v>75</v>
      </c>
      <c r="M1120">
        <v>199</v>
      </c>
      <c r="N1120" s="1">
        <v>0.49135802469135803</v>
      </c>
      <c r="O1120">
        <v>47</v>
      </c>
      <c r="P1120" s="1">
        <v>0.3263888888888889</v>
      </c>
      <c r="Q1120" s="1">
        <v>0.78260869565217395</v>
      </c>
      <c r="R1120">
        <v>571</v>
      </c>
      <c r="S1120">
        <v>32</v>
      </c>
      <c r="T1120">
        <v>150</v>
      </c>
      <c r="U1120">
        <v>103</v>
      </c>
      <c r="V1120">
        <v>36</v>
      </c>
      <c r="W1120">
        <v>25</v>
      </c>
      <c r="X1120">
        <v>85</v>
      </c>
      <c r="Y1120" s="5">
        <v>1.2117647058823529</v>
      </c>
    </row>
    <row r="1121" spans="1:25" x14ac:dyDescent="0.25">
      <c r="A1121">
        <v>2020</v>
      </c>
      <c r="B1121" t="s">
        <v>57</v>
      </c>
      <c r="C1121">
        <v>17</v>
      </c>
      <c r="D1121">
        <v>164</v>
      </c>
      <c r="E1121" t="s">
        <v>16</v>
      </c>
      <c r="F1121" t="s">
        <v>51</v>
      </c>
      <c r="G1121">
        <f t="shared" si="17"/>
        <v>1</v>
      </c>
      <c r="H1121">
        <v>8</v>
      </c>
      <c r="I1121">
        <v>5</v>
      </c>
      <c r="J1121">
        <v>0</v>
      </c>
      <c r="K1121" s="6" t="s">
        <v>111</v>
      </c>
      <c r="L1121" s="6" t="s">
        <v>89</v>
      </c>
      <c r="M1121">
        <v>176</v>
      </c>
      <c r="N1121" s="1">
        <v>0.48888888888888887</v>
      </c>
      <c r="O1121">
        <v>62</v>
      </c>
      <c r="P1121" s="1">
        <v>0.38993710691823902</v>
      </c>
      <c r="Q1121" s="1">
        <v>0.76842105263157889</v>
      </c>
      <c r="R1121">
        <v>487</v>
      </c>
      <c r="S1121">
        <v>35</v>
      </c>
      <c r="T1121">
        <v>161</v>
      </c>
      <c r="U1121">
        <v>131</v>
      </c>
      <c r="V1121">
        <v>27</v>
      </c>
      <c r="W1121">
        <v>28</v>
      </c>
      <c r="X1121">
        <v>70</v>
      </c>
      <c r="Y1121" s="5">
        <v>1.8714285714285714</v>
      </c>
    </row>
    <row r="1122" spans="1:25" x14ac:dyDescent="0.25">
      <c r="A1122">
        <v>2020</v>
      </c>
      <c r="B1122" t="s">
        <v>57</v>
      </c>
      <c r="C1122">
        <v>17</v>
      </c>
      <c r="D1122">
        <v>165</v>
      </c>
      <c r="E1122" t="s">
        <v>94</v>
      </c>
      <c r="F1122" t="s">
        <v>40</v>
      </c>
      <c r="G1122">
        <f t="shared" si="17"/>
        <v>0</v>
      </c>
      <c r="H1122">
        <v>6</v>
      </c>
      <c r="I1122">
        <v>6</v>
      </c>
      <c r="J1122">
        <v>1</v>
      </c>
      <c r="K1122" s="6" t="s">
        <v>66</v>
      </c>
      <c r="L1122" s="6" t="s">
        <v>81</v>
      </c>
      <c r="M1122">
        <v>156</v>
      </c>
      <c r="N1122" s="1">
        <v>0.50160771704180063</v>
      </c>
      <c r="O1122">
        <v>48</v>
      </c>
      <c r="P1122" s="1">
        <v>0.3902439024390244</v>
      </c>
      <c r="Q1122" s="1">
        <v>0.80952380952380953</v>
      </c>
      <c r="R1122">
        <v>411</v>
      </c>
      <c r="S1122">
        <v>37</v>
      </c>
      <c r="T1122">
        <v>124</v>
      </c>
      <c r="U1122">
        <v>74</v>
      </c>
      <c r="V1122">
        <v>49</v>
      </c>
      <c r="W1122">
        <v>19</v>
      </c>
      <c r="X1122">
        <v>50</v>
      </c>
      <c r="Y1122" s="5">
        <v>1.48</v>
      </c>
    </row>
    <row r="1123" spans="1:25" x14ac:dyDescent="0.25">
      <c r="A1123">
        <v>2020</v>
      </c>
      <c r="B1123" t="s">
        <v>57</v>
      </c>
      <c r="C1123">
        <v>17</v>
      </c>
      <c r="D1123">
        <v>165</v>
      </c>
      <c r="E1123" t="s">
        <v>22</v>
      </c>
      <c r="F1123" t="s">
        <v>44</v>
      </c>
      <c r="G1123">
        <f t="shared" si="17"/>
        <v>0</v>
      </c>
      <c r="H1123">
        <v>6</v>
      </c>
      <c r="I1123">
        <v>6</v>
      </c>
      <c r="J1123">
        <v>1</v>
      </c>
      <c r="K1123" s="6" t="s">
        <v>106</v>
      </c>
      <c r="L1123" s="6" t="s">
        <v>83</v>
      </c>
      <c r="M1123">
        <v>152</v>
      </c>
      <c r="N1123" s="1">
        <v>0.45103857566765576</v>
      </c>
      <c r="O1123">
        <v>57</v>
      </c>
      <c r="P1123" s="1">
        <v>0.3825503355704698</v>
      </c>
      <c r="Q1123" s="1">
        <v>0.75</v>
      </c>
      <c r="R1123">
        <v>442</v>
      </c>
      <c r="S1123">
        <v>37</v>
      </c>
      <c r="T1123">
        <v>160</v>
      </c>
      <c r="U1123">
        <v>125</v>
      </c>
      <c r="V1123">
        <v>30</v>
      </c>
      <c r="W1123">
        <v>21</v>
      </c>
      <c r="X1123">
        <v>67</v>
      </c>
      <c r="Y1123" s="5">
        <v>1.8656716417910448</v>
      </c>
    </row>
    <row r="1124" spans="1:25" x14ac:dyDescent="0.25">
      <c r="A1124">
        <v>2020</v>
      </c>
      <c r="B1124" t="s">
        <v>57</v>
      </c>
      <c r="C1124">
        <v>17</v>
      </c>
      <c r="D1124">
        <v>166</v>
      </c>
      <c r="E1124" t="s">
        <v>98</v>
      </c>
      <c r="F1124" t="s">
        <v>41</v>
      </c>
      <c r="G1124">
        <f t="shared" si="17"/>
        <v>0</v>
      </c>
      <c r="H1124">
        <v>5</v>
      </c>
      <c r="I1124">
        <v>8</v>
      </c>
      <c r="J1124">
        <v>0</v>
      </c>
      <c r="K1124" s="6" t="s">
        <v>61</v>
      </c>
      <c r="L1124" s="6" t="s">
        <v>77</v>
      </c>
      <c r="M1124">
        <v>178</v>
      </c>
      <c r="N1124" s="1">
        <v>0.419811320754717</v>
      </c>
      <c r="O1124">
        <v>67</v>
      </c>
      <c r="P1124" s="1">
        <v>0.34895833333333331</v>
      </c>
      <c r="Q1124" s="1">
        <v>0.75510204081632648</v>
      </c>
      <c r="R1124">
        <v>497</v>
      </c>
      <c r="S1124">
        <v>24</v>
      </c>
      <c r="T1124">
        <v>131</v>
      </c>
      <c r="U1124">
        <v>97</v>
      </c>
      <c r="V1124">
        <v>32</v>
      </c>
      <c r="W1124">
        <v>17</v>
      </c>
      <c r="X1124">
        <v>73</v>
      </c>
      <c r="Y1124" s="5">
        <v>1.3287671232876712</v>
      </c>
    </row>
    <row r="1125" spans="1:25" x14ac:dyDescent="0.25">
      <c r="A1125">
        <v>2020</v>
      </c>
      <c r="B1125" t="s">
        <v>57</v>
      </c>
      <c r="C1125">
        <v>17</v>
      </c>
      <c r="D1125">
        <v>166</v>
      </c>
      <c r="E1125" t="s">
        <v>15</v>
      </c>
      <c r="F1125" t="s">
        <v>48</v>
      </c>
      <c r="G1125">
        <f t="shared" si="17"/>
        <v>1</v>
      </c>
      <c r="H1125">
        <v>8</v>
      </c>
      <c r="I1125">
        <v>5</v>
      </c>
      <c r="J1125">
        <v>0</v>
      </c>
      <c r="K1125" s="6" t="s">
        <v>112</v>
      </c>
      <c r="L1125" s="6" t="s">
        <v>88</v>
      </c>
      <c r="M1125">
        <v>189</v>
      </c>
      <c r="N1125" s="1">
        <v>0.50534759358288772</v>
      </c>
      <c r="O1125">
        <v>45</v>
      </c>
      <c r="P1125" s="1">
        <v>0.35714285714285715</v>
      </c>
      <c r="Q1125" s="1">
        <v>0.75206611570247939</v>
      </c>
      <c r="R1125">
        <v>514</v>
      </c>
      <c r="S1125">
        <v>36</v>
      </c>
      <c r="T1125">
        <v>108</v>
      </c>
      <c r="U1125">
        <v>100</v>
      </c>
      <c r="V1125">
        <v>20</v>
      </c>
      <c r="W1125">
        <v>11</v>
      </c>
      <c r="X1125">
        <v>65</v>
      </c>
      <c r="Y1125" s="5">
        <v>1.5384615384615385</v>
      </c>
    </row>
    <row r="1126" spans="1:25" x14ac:dyDescent="0.25">
      <c r="A1126">
        <v>2020</v>
      </c>
      <c r="B1126" t="s">
        <v>57</v>
      </c>
      <c r="C1126">
        <v>17</v>
      </c>
      <c r="D1126">
        <v>167</v>
      </c>
      <c r="E1126" t="s">
        <v>17</v>
      </c>
      <c r="F1126" t="s">
        <v>43</v>
      </c>
      <c r="G1126">
        <f t="shared" si="17"/>
        <v>0</v>
      </c>
      <c r="H1126">
        <v>6</v>
      </c>
      <c r="I1126">
        <v>7</v>
      </c>
      <c r="J1126">
        <v>0</v>
      </c>
      <c r="K1126" s="6" t="s">
        <v>64</v>
      </c>
      <c r="L1126" s="6" t="s">
        <v>80</v>
      </c>
      <c r="M1126">
        <v>145</v>
      </c>
      <c r="N1126" s="1">
        <v>0.46325878594249204</v>
      </c>
      <c r="O1126">
        <v>41</v>
      </c>
      <c r="P1126" s="1">
        <v>0.3867924528301887</v>
      </c>
      <c r="Q1126" s="1">
        <v>0.78761061946902655</v>
      </c>
      <c r="R1126">
        <v>420</v>
      </c>
      <c r="S1126">
        <v>46</v>
      </c>
      <c r="T1126">
        <v>131</v>
      </c>
      <c r="U1126">
        <v>81</v>
      </c>
      <c r="V1126">
        <v>41</v>
      </c>
      <c r="W1126">
        <v>19</v>
      </c>
      <c r="X1126">
        <v>54</v>
      </c>
      <c r="Y1126" s="5">
        <v>1.5</v>
      </c>
    </row>
    <row r="1127" spans="1:25" x14ac:dyDescent="0.25">
      <c r="A1127">
        <v>2020</v>
      </c>
      <c r="B1127" t="s">
        <v>57</v>
      </c>
      <c r="C1127">
        <v>17</v>
      </c>
      <c r="D1127">
        <v>167</v>
      </c>
      <c r="E1127" t="s">
        <v>28</v>
      </c>
      <c r="F1127" t="s">
        <v>46</v>
      </c>
      <c r="G1127">
        <f t="shared" si="17"/>
        <v>1</v>
      </c>
      <c r="H1127">
        <v>7</v>
      </c>
      <c r="I1127">
        <v>6</v>
      </c>
      <c r="J1127">
        <v>0</v>
      </c>
      <c r="K1127" s="6" t="s">
        <v>63</v>
      </c>
      <c r="L1127" s="6" t="s">
        <v>79</v>
      </c>
      <c r="M1127">
        <v>235</v>
      </c>
      <c r="N1127" s="1">
        <v>0.46078431372549017</v>
      </c>
      <c r="O1127">
        <v>63</v>
      </c>
      <c r="P1127" s="1">
        <v>0.33870967741935482</v>
      </c>
      <c r="Q1127" s="1">
        <v>0.78947368421052633</v>
      </c>
      <c r="R1127">
        <v>623</v>
      </c>
      <c r="S1127">
        <v>28</v>
      </c>
      <c r="T1127">
        <v>165</v>
      </c>
      <c r="U1127">
        <v>140</v>
      </c>
      <c r="V1127">
        <v>33</v>
      </c>
      <c r="W1127">
        <v>17</v>
      </c>
      <c r="X1127">
        <v>60</v>
      </c>
      <c r="Y1127" s="5">
        <v>2.3333333333333335</v>
      </c>
    </row>
    <row r="1128" spans="1:25" x14ac:dyDescent="0.25">
      <c r="A1128">
        <v>2020</v>
      </c>
      <c r="B1128" t="s">
        <v>57</v>
      </c>
      <c r="C1128">
        <v>17</v>
      </c>
      <c r="D1128">
        <v>168</v>
      </c>
      <c r="E1128" t="s">
        <v>159</v>
      </c>
      <c r="F1128" t="s">
        <v>116</v>
      </c>
      <c r="G1128">
        <f t="shared" si="17"/>
        <v>1</v>
      </c>
      <c r="H1128">
        <v>9</v>
      </c>
      <c r="I1128">
        <v>4</v>
      </c>
      <c r="J1128">
        <v>0</v>
      </c>
      <c r="K1128" s="6" t="s">
        <v>182</v>
      </c>
      <c r="L1128" s="6" t="s">
        <v>76</v>
      </c>
      <c r="M1128">
        <v>258</v>
      </c>
      <c r="N1128" s="1">
        <v>0.4777777777777778</v>
      </c>
      <c r="O1128">
        <v>70</v>
      </c>
      <c r="P1128" s="1">
        <v>0.37634408602150538</v>
      </c>
      <c r="Q1128" s="1">
        <v>0.8125</v>
      </c>
      <c r="R1128">
        <v>716</v>
      </c>
      <c r="S1128">
        <v>53</v>
      </c>
      <c r="T1128">
        <v>189</v>
      </c>
      <c r="U1128">
        <v>148</v>
      </c>
      <c r="V1128">
        <v>52</v>
      </c>
      <c r="W1128">
        <v>32</v>
      </c>
      <c r="X1128">
        <v>83</v>
      </c>
      <c r="Y1128" s="5">
        <v>1.7831325301204819</v>
      </c>
    </row>
    <row r="1129" spans="1:25" x14ac:dyDescent="0.25">
      <c r="A1129">
        <v>2020</v>
      </c>
      <c r="B1129" t="s">
        <v>57</v>
      </c>
      <c r="C1129">
        <v>17</v>
      </c>
      <c r="D1129">
        <v>168</v>
      </c>
      <c r="E1129" t="s">
        <v>181</v>
      </c>
      <c r="F1129" t="s">
        <v>49</v>
      </c>
      <c r="G1129">
        <f t="shared" si="17"/>
        <v>0</v>
      </c>
      <c r="H1129">
        <v>4</v>
      </c>
      <c r="I1129">
        <v>9</v>
      </c>
      <c r="J1129">
        <v>0</v>
      </c>
      <c r="K1129" s="6" t="s">
        <v>193</v>
      </c>
      <c r="L1129" s="6" t="s">
        <v>117</v>
      </c>
      <c r="M1129">
        <v>152</v>
      </c>
      <c r="N1129" s="1">
        <v>0.48101265822784811</v>
      </c>
      <c r="O1129">
        <v>43</v>
      </c>
      <c r="P1129" s="1">
        <v>0.38392857142857145</v>
      </c>
      <c r="Q1129" s="1">
        <v>0.85148514851485146</v>
      </c>
      <c r="R1129">
        <v>433</v>
      </c>
      <c r="S1129">
        <v>37</v>
      </c>
      <c r="T1129">
        <v>148</v>
      </c>
      <c r="U1129">
        <v>65</v>
      </c>
      <c r="V1129">
        <v>23</v>
      </c>
      <c r="W1129">
        <v>14</v>
      </c>
      <c r="X1129">
        <v>54</v>
      </c>
      <c r="Y1129" s="5">
        <v>1.2037037037037037</v>
      </c>
    </row>
    <row r="1130" spans="1:25" x14ac:dyDescent="0.25">
      <c r="A1130">
        <v>2020</v>
      </c>
      <c r="B1130" t="s">
        <v>57</v>
      </c>
      <c r="C1130">
        <v>17</v>
      </c>
      <c r="D1130">
        <v>169</v>
      </c>
      <c r="E1130" t="s">
        <v>33</v>
      </c>
      <c r="F1130" t="s">
        <v>42</v>
      </c>
      <c r="G1130">
        <f t="shared" si="17"/>
        <v>1</v>
      </c>
      <c r="H1130">
        <v>9</v>
      </c>
      <c r="I1130">
        <v>4</v>
      </c>
      <c r="J1130">
        <v>0</v>
      </c>
      <c r="K1130" s="6" t="s">
        <v>104</v>
      </c>
      <c r="L1130" s="6" t="s">
        <v>105</v>
      </c>
      <c r="M1130">
        <v>184</v>
      </c>
      <c r="N1130" s="1">
        <v>0.51396648044692739</v>
      </c>
      <c r="O1130">
        <v>22</v>
      </c>
      <c r="P1130" s="1">
        <v>0.3188405797101449</v>
      </c>
      <c r="Q1130" s="1">
        <v>0.73684210526315785</v>
      </c>
      <c r="R1130">
        <v>488</v>
      </c>
      <c r="S1130">
        <v>51</v>
      </c>
      <c r="T1130">
        <v>146</v>
      </c>
      <c r="U1130">
        <v>88</v>
      </c>
      <c r="V1130">
        <v>26</v>
      </c>
      <c r="W1130">
        <v>20</v>
      </c>
      <c r="X1130">
        <v>45</v>
      </c>
      <c r="Y1130" s="5">
        <v>1.9555555555555555</v>
      </c>
    </row>
    <row r="1131" spans="1:25" x14ac:dyDescent="0.25">
      <c r="A1131">
        <v>2020</v>
      </c>
      <c r="B1131" t="s">
        <v>57</v>
      </c>
      <c r="C1131">
        <v>17</v>
      </c>
      <c r="D1131">
        <v>169</v>
      </c>
      <c r="E1131" t="s">
        <v>93</v>
      </c>
      <c r="F1131" t="s">
        <v>189</v>
      </c>
      <c r="G1131">
        <f t="shared" si="17"/>
        <v>0</v>
      </c>
      <c r="H1131">
        <v>4</v>
      </c>
      <c r="I1131">
        <v>9</v>
      </c>
      <c r="J1131">
        <v>0</v>
      </c>
      <c r="K1131" s="6" t="s">
        <v>72</v>
      </c>
      <c r="L1131" s="6" t="s">
        <v>85</v>
      </c>
      <c r="M1131">
        <v>153</v>
      </c>
      <c r="N1131" s="1">
        <v>0.43465909090909088</v>
      </c>
      <c r="O1131">
        <v>44</v>
      </c>
      <c r="P1131" s="1">
        <v>0.3235294117647059</v>
      </c>
      <c r="Q1131" s="1">
        <v>0.80555555555555558</v>
      </c>
      <c r="R1131">
        <v>408</v>
      </c>
      <c r="S1131">
        <v>25</v>
      </c>
      <c r="T1131">
        <v>94</v>
      </c>
      <c r="U1131">
        <v>104</v>
      </c>
      <c r="V1131">
        <v>24</v>
      </c>
      <c r="W1131">
        <v>15</v>
      </c>
      <c r="X1131">
        <v>61</v>
      </c>
      <c r="Y1131" s="5">
        <v>1.7049180327868851</v>
      </c>
    </row>
    <row r="1132" spans="1:25" x14ac:dyDescent="0.25">
      <c r="A1132">
        <v>2020</v>
      </c>
      <c r="B1132" t="s">
        <v>57</v>
      </c>
      <c r="C1132">
        <v>17</v>
      </c>
      <c r="D1132">
        <v>170</v>
      </c>
      <c r="E1132" t="s">
        <v>23</v>
      </c>
      <c r="F1132" t="s">
        <v>120</v>
      </c>
      <c r="G1132">
        <f t="shared" si="17"/>
        <v>0</v>
      </c>
      <c r="H1132">
        <v>5</v>
      </c>
      <c r="I1132">
        <v>8</v>
      </c>
      <c r="J1132">
        <v>0</v>
      </c>
      <c r="K1132" s="6" t="s">
        <v>65</v>
      </c>
      <c r="L1132" s="6" t="s">
        <v>119</v>
      </c>
      <c r="M1132">
        <v>200</v>
      </c>
      <c r="N1132" s="1">
        <v>0.45351473922902497</v>
      </c>
      <c r="O1132">
        <v>46</v>
      </c>
      <c r="P1132" s="1">
        <v>0.3087248322147651</v>
      </c>
      <c r="Q1132" s="1">
        <v>0.76923076923076927</v>
      </c>
      <c r="R1132">
        <v>556</v>
      </c>
      <c r="S1132">
        <v>66</v>
      </c>
      <c r="T1132">
        <v>188</v>
      </c>
      <c r="U1132">
        <v>117</v>
      </c>
      <c r="V1132">
        <v>40</v>
      </c>
      <c r="W1132">
        <v>30</v>
      </c>
      <c r="X1132">
        <v>69</v>
      </c>
      <c r="Y1132" s="5">
        <v>1.6956521739130435</v>
      </c>
    </row>
    <row r="1133" spans="1:25" x14ac:dyDescent="0.25">
      <c r="A1133">
        <v>2020</v>
      </c>
      <c r="B1133" t="s">
        <v>57</v>
      </c>
      <c r="C1133">
        <v>17</v>
      </c>
      <c r="D1133">
        <v>170</v>
      </c>
      <c r="E1133" t="s">
        <v>26</v>
      </c>
      <c r="F1133" t="s">
        <v>118</v>
      </c>
      <c r="G1133">
        <f t="shared" si="17"/>
        <v>1</v>
      </c>
      <c r="H1133">
        <v>8</v>
      </c>
      <c r="I1133">
        <v>5</v>
      </c>
      <c r="J1133">
        <v>0</v>
      </c>
      <c r="K1133" s="6" t="s">
        <v>71</v>
      </c>
      <c r="L1133" s="6" t="s">
        <v>121</v>
      </c>
      <c r="M1133">
        <v>217</v>
      </c>
      <c r="N1133" s="1">
        <v>0.45684210526315788</v>
      </c>
      <c r="O1133">
        <v>59</v>
      </c>
      <c r="P1133" s="1">
        <v>0.32596685082872928</v>
      </c>
      <c r="Q1133" s="1">
        <v>0.76190476190476186</v>
      </c>
      <c r="R1133">
        <v>589</v>
      </c>
      <c r="S1133">
        <v>41</v>
      </c>
      <c r="T1133">
        <v>217</v>
      </c>
      <c r="U1133">
        <v>184</v>
      </c>
      <c r="V1133">
        <v>27</v>
      </c>
      <c r="W1133">
        <v>22</v>
      </c>
      <c r="X1133">
        <v>79</v>
      </c>
      <c r="Y1133" s="5">
        <v>2.3291139240506329</v>
      </c>
    </row>
    <row r="1134" spans="1:25" x14ac:dyDescent="0.25">
      <c r="A1134">
        <v>2020</v>
      </c>
      <c r="B1134" t="s">
        <v>57</v>
      </c>
      <c r="C1134">
        <v>18</v>
      </c>
      <c r="D1134">
        <v>171</v>
      </c>
      <c r="E1134" t="s">
        <v>94</v>
      </c>
      <c r="F1134" t="s">
        <v>40</v>
      </c>
      <c r="G1134">
        <f t="shared" si="17"/>
        <v>0</v>
      </c>
      <c r="H1134">
        <v>6</v>
      </c>
      <c r="I1134">
        <v>7</v>
      </c>
      <c r="J1134">
        <v>0</v>
      </c>
      <c r="K1134" s="6" t="s">
        <v>68</v>
      </c>
      <c r="L1134" s="6" t="s">
        <v>84</v>
      </c>
      <c r="M1134">
        <v>122</v>
      </c>
      <c r="N1134" s="1">
        <v>0.45864661654135336</v>
      </c>
      <c r="O1134">
        <v>36</v>
      </c>
      <c r="P1134" s="1">
        <v>0.33962264150943394</v>
      </c>
      <c r="Q1134" s="1">
        <v>0.72972972972972971</v>
      </c>
      <c r="R1134">
        <v>334</v>
      </c>
      <c r="S1134">
        <v>30</v>
      </c>
      <c r="T1134">
        <v>75</v>
      </c>
      <c r="U1134">
        <v>91</v>
      </c>
      <c r="V1134">
        <v>41</v>
      </c>
      <c r="W1134">
        <v>8</v>
      </c>
      <c r="X1134">
        <v>43</v>
      </c>
      <c r="Y1134" s="5">
        <v>2.1162790697674421</v>
      </c>
    </row>
    <row r="1135" spans="1:25" x14ac:dyDescent="0.25">
      <c r="A1135">
        <v>2020</v>
      </c>
      <c r="B1135" t="s">
        <v>57</v>
      </c>
      <c r="C1135">
        <v>18</v>
      </c>
      <c r="D1135">
        <v>171</v>
      </c>
      <c r="E1135" t="s">
        <v>25</v>
      </c>
      <c r="F1135" t="s">
        <v>53</v>
      </c>
      <c r="G1135">
        <f t="shared" si="17"/>
        <v>1</v>
      </c>
      <c r="H1135">
        <v>7</v>
      </c>
      <c r="I1135">
        <v>6</v>
      </c>
      <c r="J1135">
        <v>0</v>
      </c>
      <c r="K1135" s="6" t="s">
        <v>106</v>
      </c>
      <c r="L1135" s="6" t="s">
        <v>83</v>
      </c>
      <c r="M1135">
        <v>138</v>
      </c>
      <c r="N1135" s="1">
        <v>0.46</v>
      </c>
      <c r="O1135">
        <v>28</v>
      </c>
      <c r="P1135" s="1">
        <v>0.31818181818181818</v>
      </c>
      <c r="Q1135" s="1">
        <v>0.71794871794871795</v>
      </c>
      <c r="R1135">
        <v>360</v>
      </c>
      <c r="S1135">
        <v>26</v>
      </c>
      <c r="T1135">
        <v>118</v>
      </c>
      <c r="U1135">
        <v>142</v>
      </c>
      <c r="V1135">
        <v>17</v>
      </c>
      <c r="W1135">
        <v>13</v>
      </c>
      <c r="X1135">
        <v>58</v>
      </c>
      <c r="Y1135" s="5">
        <v>2.4482758620689653</v>
      </c>
    </row>
    <row r="1136" spans="1:25" x14ac:dyDescent="0.25">
      <c r="A1136">
        <v>2020</v>
      </c>
      <c r="B1136" t="s">
        <v>57</v>
      </c>
      <c r="C1136">
        <v>18</v>
      </c>
      <c r="D1136">
        <v>172</v>
      </c>
      <c r="E1136" t="s">
        <v>181</v>
      </c>
      <c r="F1136" t="s">
        <v>49</v>
      </c>
      <c r="G1136">
        <f t="shared" si="17"/>
        <v>1</v>
      </c>
      <c r="H1136">
        <v>7</v>
      </c>
      <c r="I1136">
        <v>6</v>
      </c>
      <c r="J1136">
        <v>0</v>
      </c>
      <c r="K1136" s="6" t="s">
        <v>71</v>
      </c>
      <c r="L1136" s="6" t="s">
        <v>121</v>
      </c>
      <c r="M1136">
        <v>167</v>
      </c>
      <c r="N1136" s="1">
        <v>0.47175141242937851</v>
      </c>
      <c r="O1136">
        <v>39</v>
      </c>
      <c r="P1136" s="1">
        <v>0.33620689655172414</v>
      </c>
      <c r="Q1136" s="1">
        <v>0.84693877551020413</v>
      </c>
      <c r="R1136">
        <v>456</v>
      </c>
      <c r="S1136">
        <v>46</v>
      </c>
      <c r="T1136">
        <v>111</v>
      </c>
      <c r="U1136">
        <v>53</v>
      </c>
      <c r="V1136">
        <v>25</v>
      </c>
      <c r="W1136">
        <v>19</v>
      </c>
      <c r="X1136">
        <v>54</v>
      </c>
      <c r="Y1136" s="5">
        <v>0.98148148148148151</v>
      </c>
    </row>
    <row r="1137" spans="1:25" x14ac:dyDescent="0.25">
      <c r="A1137">
        <v>2020</v>
      </c>
      <c r="B1137" t="s">
        <v>57</v>
      </c>
      <c r="C1137">
        <v>18</v>
      </c>
      <c r="D1137">
        <v>172</v>
      </c>
      <c r="E1137" t="s">
        <v>23</v>
      </c>
      <c r="F1137" t="s">
        <v>120</v>
      </c>
      <c r="G1137">
        <f t="shared" si="17"/>
        <v>0</v>
      </c>
      <c r="H1137">
        <v>6</v>
      </c>
      <c r="I1137">
        <v>7</v>
      </c>
      <c r="J1137">
        <v>0</v>
      </c>
      <c r="K1137" s="6" t="s">
        <v>182</v>
      </c>
      <c r="L1137" s="6" t="s">
        <v>76</v>
      </c>
      <c r="M1137">
        <v>134</v>
      </c>
      <c r="N1137" s="1">
        <v>0.45733788395904434</v>
      </c>
      <c r="O1137">
        <v>38</v>
      </c>
      <c r="P1137" s="1">
        <v>0.35514018691588783</v>
      </c>
      <c r="Q1137" s="1">
        <v>0.83076923076923082</v>
      </c>
      <c r="R1137">
        <v>360</v>
      </c>
      <c r="S1137">
        <v>45</v>
      </c>
      <c r="T1137">
        <v>144</v>
      </c>
      <c r="U1137">
        <v>62</v>
      </c>
      <c r="V1137">
        <v>20</v>
      </c>
      <c r="W1137">
        <v>24</v>
      </c>
      <c r="X1137">
        <v>42</v>
      </c>
      <c r="Y1137" s="5">
        <v>1.4761904761904763</v>
      </c>
    </row>
    <row r="1138" spans="1:25" x14ac:dyDescent="0.25">
      <c r="A1138">
        <v>2020</v>
      </c>
      <c r="B1138" t="s">
        <v>57</v>
      </c>
      <c r="C1138">
        <v>18</v>
      </c>
      <c r="D1138">
        <v>173</v>
      </c>
      <c r="E1138" t="s">
        <v>159</v>
      </c>
      <c r="F1138" t="s">
        <v>116</v>
      </c>
      <c r="G1138">
        <f t="shared" si="17"/>
        <v>1</v>
      </c>
      <c r="H1138">
        <v>9</v>
      </c>
      <c r="I1138">
        <v>4</v>
      </c>
      <c r="J1138">
        <v>0</v>
      </c>
      <c r="K1138" s="6" t="s">
        <v>60</v>
      </c>
      <c r="L1138" s="6" t="s">
        <v>75</v>
      </c>
      <c r="M1138">
        <v>279</v>
      </c>
      <c r="N1138" s="1">
        <v>0.47288135593220337</v>
      </c>
      <c r="O1138">
        <v>86</v>
      </c>
      <c r="P1138" s="1">
        <v>0.38053097345132741</v>
      </c>
      <c r="Q1138" s="1">
        <v>0.75882352941176467</v>
      </c>
      <c r="R1138">
        <v>773</v>
      </c>
      <c r="S1138">
        <v>45</v>
      </c>
      <c r="T1138">
        <v>220</v>
      </c>
      <c r="U1138">
        <v>133</v>
      </c>
      <c r="V1138">
        <v>34</v>
      </c>
      <c r="W1138">
        <v>36</v>
      </c>
      <c r="X1138">
        <v>85</v>
      </c>
      <c r="Y1138" s="5">
        <v>1.5647058823529412</v>
      </c>
    </row>
    <row r="1139" spans="1:25" x14ac:dyDescent="0.25">
      <c r="A1139">
        <v>2020</v>
      </c>
      <c r="B1139" t="s">
        <v>57</v>
      </c>
      <c r="C1139">
        <v>18</v>
      </c>
      <c r="D1139">
        <v>173</v>
      </c>
      <c r="E1139" t="s">
        <v>16</v>
      </c>
      <c r="F1139" t="s">
        <v>51</v>
      </c>
      <c r="G1139">
        <f t="shared" si="17"/>
        <v>0</v>
      </c>
      <c r="H1139">
        <v>4</v>
      </c>
      <c r="I1139">
        <v>9</v>
      </c>
      <c r="J1139">
        <v>0</v>
      </c>
      <c r="K1139" s="6" t="s">
        <v>193</v>
      </c>
      <c r="L1139" s="6" t="s">
        <v>117</v>
      </c>
      <c r="M1139">
        <v>162</v>
      </c>
      <c r="N1139" s="1">
        <v>0.47507331378299122</v>
      </c>
      <c r="O1139">
        <v>48</v>
      </c>
      <c r="P1139" s="1">
        <v>0.33333333333333331</v>
      </c>
      <c r="Q1139" s="1">
        <v>0.76190476190476186</v>
      </c>
      <c r="R1139">
        <v>436</v>
      </c>
      <c r="S1139">
        <v>33</v>
      </c>
      <c r="T1139">
        <v>143</v>
      </c>
      <c r="U1139">
        <v>100</v>
      </c>
      <c r="V1139">
        <v>32</v>
      </c>
      <c r="W1139">
        <v>29</v>
      </c>
      <c r="X1139">
        <v>45</v>
      </c>
      <c r="Y1139" s="5">
        <v>2.2222222222222223</v>
      </c>
    </row>
    <row r="1140" spans="1:25" x14ac:dyDescent="0.25">
      <c r="A1140">
        <v>2020</v>
      </c>
      <c r="B1140" t="s">
        <v>57</v>
      </c>
      <c r="C1140">
        <v>18</v>
      </c>
      <c r="D1140">
        <v>174</v>
      </c>
      <c r="E1140" t="s">
        <v>35</v>
      </c>
      <c r="F1140" t="s">
        <v>52</v>
      </c>
      <c r="G1140">
        <f t="shared" si="17"/>
        <v>1</v>
      </c>
      <c r="H1140">
        <v>10</v>
      </c>
      <c r="I1140">
        <v>3</v>
      </c>
      <c r="J1140">
        <v>0</v>
      </c>
      <c r="K1140" s="6" t="s">
        <v>104</v>
      </c>
      <c r="L1140" s="6" t="s">
        <v>105</v>
      </c>
      <c r="M1140">
        <v>158</v>
      </c>
      <c r="N1140" s="1">
        <v>0.4305177111716621</v>
      </c>
      <c r="O1140">
        <v>57</v>
      </c>
      <c r="P1140" s="1">
        <v>0.38</v>
      </c>
      <c r="Q1140" s="1">
        <v>0.6875</v>
      </c>
      <c r="R1140">
        <v>428</v>
      </c>
      <c r="S1140">
        <v>40</v>
      </c>
      <c r="T1140">
        <v>130</v>
      </c>
      <c r="U1140">
        <v>106</v>
      </c>
      <c r="V1140">
        <v>25</v>
      </c>
      <c r="W1140">
        <v>27</v>
      </c>
      <c r="X1140">
        <v>43</v>
      </c>
      <c r="Y1140" s="5">
        <v>2.4651162790697674</v>
      </c>
    </row>
    <row r="1141" spans="1:25" x14ac:dyDescent="0.25">
      <c r="A1141">
        <v>2020</v>
      </c>
      <c r="B1141" t="s">
        <v>57</v>
      </c>
      <c r="C1141">
        <v>18</v>
      </c>
      <c r="D1141">
        <v>174</v>
      </c>
      <c r="E1141" t="s">
        <v>93</v>
      </c>
      <c r="F1141" t="s">
        <v>189</v>
      </c>
      <c r="G1141">
        <f t="shared" si="17"/>
        <v>0</v>
      </c>
      <c r="H1141">
        <v>3</v>
      </c>
      <c r="I1141">
        <v>10</v>
      </c>
      <c r="J1141">
        <v>0</v>
      </c>
      <c r="K1141" s="6" t="s">
        <v>73</v>
      </c>
      <c r="L1141" s="6" t="s">
        <v>74</v>
      </c>
      <c r="M1141">
        <v>140</v>
      </c>
      <c r="N1141" s="1">
        <v>0.40697674418604651</v>
      </c>
      <c r="O1141">
        <v>59</v>
      </c>
      <c r="P1141" s="1">
        <v>0.39864864864864863</v>
      </c>
      <c r="Q1141" s="1">
        <v>0.70454545454545459</v>
      </c>
      <c r="R1141">
        <v>401</v>
      </c>
      <c r="S1141">
        <v>22</v>
      </c>
      <c r="T1141">
        <v>89</v>
      </c>
      <c r="U1141">
        <v>101</v>
      </c>
      <c r="V1141">
        <v>19</v>
      </c>
      <c r="W1141">
        <v>8</v>
      </c>
      <c r="X1141">
        <v>62</v>
      </c>
      <c r="Y1141" s="5">
        <v>1.6290322580645162</v>
      </c>
    </row>
    <row r="1142" spans="1:25" x14ac:dyDescent="0.25">
      <c r="A1142">
        <v>2020</v>
      </c>
      <c r="B1142" t="s">
        <v>57</v>
      </c>
      <c r="C1142">
        <v>18</v>
      </c>
      <c r="D1142">
        <v>175</v>
      </c>
      <c r="E1142" t="s">
        <v>17</v>
      </c>
      <c r="F1142" t="s">
        <v>43</v>
      </c>
      <c r="G1142">
        <f t="shared" si="17"/>
        <v>1</v>
      </c>
      <c r="H1142">
        <v>7</v>
      </c>
      <c r="I1142">
        <v>6</v>
      </c>
      <c r="J1142">
        <v>0</v>
      </c>
      <c r="K1142" s="6" t="s">
        <v>65</v>
      </c>
      <c r="L1142" s="6" t="s">
        <v>119</v>
      </c>
      <c r="M1142">
        <v>146</v>
      </c>
      <c r="N1142" s="1">
        <v>0.49324324324324326</v>
      </c>
      <c r="O1142">
        <v>41</v>
      </c>
      <c r="P1142" s="1">
        <v>0.37272727272727274</v>
      </c>
      <c r="Q1142" s="1">
        <v>0.87323943661971826</v>
      </c>
      <c r="R1142">
        <v>395</v>
      </c>
      <c r="S1142">
        <v>51</v>
      </c>
      <c r="T1142">
        <v>137</v>
      </c>
      <c r="U1142">
        <v>82</v>
      </c>
      <c r="V1142">
        <v>33</v>
      </c>
      <c r="W1142">
        <v>24</v>
      </c>
      <c r="X1142">
        <v>48</v>
      </c>
      <c r="Y1142" s="5">
        <v>1.7083333333333333</v>
      </c>
    </row>
    <row r="1143" spans="1:25" x14ac:dyDescent="0.25">
      <c r="A1143">
        <v>2020</v>
      </c>
      <c r="B1143" t="s">
        <v>57</v>
      </c>
      <c r="C1143">
        <v>18</v>
      </c>
      <c r="D1143">
        <v>175</v>
      </c>
      <c r="E1143" t="s">
        <v>26</v>
      </c>
      <c r="F1143" t="s">
        <v>118</v>
      </c>
      <c r="G1143">
        <f t="shared" si="17"/>
        <v>0</v>
      </c>
      <c r="H1143">
        <v>6</v>
      </c>
      <c r="I1143">
        <v>7</v>
      </c>
      <c r="J1143">
        <v>0</v>
      </c>
      <c r="K1143" s="6" t="s">
        <v>63</v>
      </c>
      <c r="L1143" s="6" t="s">
        <v>79</v>
      </c>
      <c r="M1143">
        <v>154</v>
      </c>
      <c r="N1143" s="1">
        <v>0.54035087719298247</v>
      </c>
      <c r="O1143">
        <v>47</v>
      </c>
      <c r="P1143" s="1">
        <v>0.41592920353982299</v>
      </c>
      <c r="Q1143" s="1">
        <v>0.73134328358208955</v>
      </c>
      <c r="R1143">
        <v>404</v>
      </c>
      <c r="S1143">
        <v>33</v>
      </c>
      <c r="T1143">
        <v>122</v>
      </c>
      <c r="U1143">
        <v>108</v>
      </c>
      <c r="V1143">
        <v>23</v>
      </c>
      <c r="W1143">
        <v>22</v>
      </c>
      <c r="X1143">
        <v>75</v>
      </c>
      <c r="Y1143" s="5">
        <v>1.44</v>
      </c>
    </row>
    <row r="1144" spans="1:25" x14ac:dyDescent="0.25">
      <c r="A1144">
        <v>2020</v>
      </c>
      <c r="B1144" t="s">
        <v>57</v>
      </c>
      <c r="C1144">
        <v>18</v>
      </c>
      <c r="D1144">
        <v>176</v>
      </c>
      <c r="E1144" t="s">
        <v>98</v>
      </c>
      <c r="F1144" t="s">
        <v>41</v>
      </c>
      <c r="G1144">
        <f t="shared" si="17"/>
        <v>1</v>
      </c>
      <c r="H1144">
        <v>7</v>
      </c>
      <c r="I1144">
        <v>5</v>
      </c>
      <c r="J1144">
        <v>1</v>
      </c>
      <c r="K1144" s="6" t="s">
        <v>114</v>
      </c>
      <c r="L1144" s="6" t="s">
        <v>90</v>
      </c>
      <c r="M1144">
        <v>197</v>
      </c>
      <c r="N1144" s="1">
        <v>0.43777777777777777</v>
      </c>
      <c r="O1144">
        <v>62</v>
      </c>
      <c r="P1144" s="1">
        <v>0.33879781420765026</v>
      </c>
      <c r="Q1144" s="1">
        <v>0.76699029126213591</v>
      </c>
      <c r="R1144">
        <v>535</v>
      </c>
      <c r="S1144">
        <v>33</v>
      </c>
      <c r="T1144">
        <v>107</v>
      </c>
      <c r="U1144">
        <v>132</v>
      </c>
      <c r="V1144">
        <v>27</v>
      </c>
      <c r="W1144">
        <v>15</v>
      </c>
      <c r="X1144">
        <v>62</v>
      </c>
      <c r="Y1144" s="5">
        <v>2.129032258064516</v>
      </c>
    </row>
    <row r="1145" spans="1:25" x14ac:dyDescent="0.25">
      <c r="A1145">
        <v>2020</v>
      </c>
      <c r="B1145" t="s">
        <v>57</v>
      </c>
      <c r="C1145">
        <v>18</v>
      </c>
      <c r="D1145">
        <v>176</v>
      </c>
      <c r="E1145" t="s">
        <v>99</v>
      </c>
      <c r="F1145" t="s">
        <v>45</v>
      </c>
      <c r="G1145">
        <f t="shared" si="17"/>
        <v>0</v>
      </c>
      <c r="H1145">
        <v>5</v>
      </c>
      <c r="I1145">
        <v>7</v>
      </c>
      <c r="J1145">
        <v>1</v>
      </c>
      <c r="K1145" s="6" t="s">
        <v>112</v>
      </c>
      <c r="L1145" s="6" t="s">
        <v>88</v>
      </c>
      <c r="M1145">
        <v>160</v>
      </c>
      <c r="N1145" s="1">
        <v>0.47058823529411764</v>
      </c>
      <c r="O1145">
        <v>48</v>
      </c>
      <c r="P1145" s="1">
        <v>0.32876712328767121</v>
      </c>
      <c r="Q1145" s="1">
        <v>0.64150943396226412</v>
      </c>
      <c r="R1145">
        <v>402</v>
      </c>
      <c r="S1145">
        <v>38</v>
      </c>
      <c r="T1145">
        <v>154</v>
      </c>
      <c r="U1145">
        <v>63</v>
      </c>
      <c r="V1145">
        <v>27</v>
      </c>
      <c r="W1145">
        <v>30</v>
      </c>
      <c r="X1145">
        <v>37</v>
      </c>
      <c r="Y1145" s="5">
        <v>1.7027027027027026</v>
      </c>
    </row>
    <row r="1146" spans="1:25" x14ac:dyDescent="0.25">
      <c r="A1146">
        <v>2020</v>
      </c>
      <c r="B1146" t="s">
        <v>57</v>
      </c>
      <c r="C1146">
        <v>18</v>
      </c>
      <c r="D1146">
        <v>177</v>
      </c>
      <c r="E1146" t="s">
        <v>97</v>
      </c>
      <c r="F1146" t="s">
        <v>54</v>
      </c>
      <c r="G1146">
        <f t="shared" si="17"/>
        <v>1</v>
      </c>
      <c r="H1146">
        <v>12</v>
      </c>
      <c r="I1146">
        <v>1</v>
      </c>
      <c r="J1146">
        <v>0</v>
      </c>
      <c r="K1146" s="6" t="s">
        <v>70</v>
      </c>
      <c r="L1146" s="6" t="s">
        <v>87</v>
      </c>
      <c r="M1146">
        <v>268</v>
      </c>
      <c r="N1146" s="1">
        <v>0.51538461538461533</v>
      </c>
      <c r="O1146">
        <v>77</v>
      </c>
      <c r="P1146" s="1">
        <v>0.41847826086956524</v>
      </c>
      <c r="Q1146" s="1">
        <v>0.82738095238095233</v>
      </c>
      <c r="R1146">
        <v>752</v>
      </c>
      <c r="S1146">
        <v>47</v>
      </c>
      <c r="T1146">
        <v>183</v>
      </c>
      <c r="U1146">
        <v>159</v>
      </c>
      <c r="V1146">
        <v>41</v>
      </c>
      <c r="W1146">
        <v>18</v>
      </c>
      <c r="X1146">
        <v>69</v>
      </c>
      <c r="Y1146" s="5">
        <v>2.3043478260869565</v>
      </c>
    </row>
    <row r="1147" spans="1:25" x14ac:dyDescent="0.25">
      <c r="A1147">
        <v>2020</v>
      </c>
      <c r="B1147" t="s">
        <v>57</v>
      </c>
      <c r="C1147">
        <v>18</v>
      </c>
      <c r="D1147">
        <v>177</v>
      </c>
      <c r="E1147" t="s">
        <v>21</v>
      </c>
      <c r="F1147" t="s">
        <v>50</v>
      </c>
      <c r="G1147">
        <f t="shared" si="17"/>
        <v>0</v>
      </c>
      <c r="H1147">
        <v>1</v>
      </c>
      <c r="I1147">
        <v>12</v>
      </c>
      <c r="J1147">
        <v>0</v>
      </c>
      <c r="K1147" s="6" t="s">
        <v>111</v>
      </c>
      <c r="L1147" s="6" t="s">
        <v>89</v>
      </c>
      <c r="M1147">
        <v>211</v>
      </c>
      <c r="N1147" s="1">
        <v>0.50843373493975907</v>
      </c>
      <c r="O1147">
        <v>51</v>
      </c>
      <c r="P1147" s="1">
        <v>0.38059701492537312</v>
      </c>
      <c r="Q1147" s="1">
        <v>0.78761061946902655</v>
      </c>
      <c r="R1147">
        <v>562</v>
      </c>
      <c r="S1147">
        <v>41</v>
      </c>
      <c r="T1147">
        <v>131</v>
      </c>
      <c r="U1147">
        <v>93</v>
      </c>
      <c r="V1147">
        <v>28</v>
      </c>
      <c r="W1147">
        <v>10</v>
      </c>
      <c r="X1147">
        <v>45</v>
      </c>
      <c r="Y1147" s="5">
        <v>2.0666666666666669</v>
      </c>
    </row>
    <row r="1148" spans="1:25" x14ac:dyDescent="0.25">
      <c r="A1148">
        <v>2020</v>
      </c>
      <c r="B1148" t="s">
        <v>57</v>
      </c>
      <c r="C1148">
        <v>18</v>
      </c>
      <c r="D1148">
        <v>178</v>
      </c>
      <c r="E1148" t="s">
        <v>20</v>
      </c>
      <c r="F1148" t="s">
        <v>47</v>
      </c>
      <c r="G1148">
        <f t="shared" si="17"/>
        <v>1</v>
      </c>
      <c r="H1148">
        <v>7</v>
      </c>
      <c r="I1148">
        <v>6</v>
      </c>
      <c r="J1148">
        <v>0</v>
      </c>
      <c r="K1148" s="6" t="s">
        <v>64</v>
      </c>
      <c r="L1148" s="6" t="s">
        <v>80</v>
      </c>
      <c r="M1148">
        <v>138</v>
      </c>
      <c r="N1148" s="1">
        <v>0.46308724832214765</v>
      </c>
      <c r="O1148">
        <v>26</v>
      </c>
      <c r="P1148" s="1">
        <v>0.28260869565217389</v>
      </c>
      <c r="Q1148" s="1">
        <v>0.75555555555555554</v>
      </c>
      <c r="R1148">
        <v>370</v>
      </c>
      <c r="S1148">
        <v>43</v>
      </c>
      <c r="T1148">
        <v>129</v>
      </c>
      <c r="U1148">
        <v>112</v>
      </c>
      <c r="V1148">
        <v>36</v>
      </c>
      <c r="W1148">
        <v>22</v>
      </c>
      <c r="X1148">
        <v>45</v>
      </c>
      <c r="Y1148" s="5">
        <v>2.4888888888888889</v>
      </c>
    </row>
    <row r="1149" spans="1:25" x14ac:dyDescent="0.25">
      <c r="A1149">
        <v>2020</v>
      </c>
      <c r="B1149" t="s">
        <v>57</v>
      </c>
      <c r="C1149">
        <v>18</v>
      </c>
      <c r="D1149">
        <v>178</v>
      </c>
      <c r="E1149" t="s">
        <v>28</v>
      </c>
      <c r="F1149" t="s">
        <v>46</v>
      </c>
      <c r="G1149">
        <f t="shared" si="17"/>
        <v>0</v>
      </c>
      <c r="H1149">
        <v>6</v>
      </c>
      <c r="I1149">
        <v>7</v>
      </c>
      <c r="J1149">
        <v>0</v>
      </c>
      <c r="K1149" s="6" t="s">
        <v>62</v>
      </c>
      <c r="L1149" s="6" t="s">
        <v>78</v>
      </c>
      <c r="M1149">
        <v>184</v>
      </c>
      <c r="N1149" s="1">
        <v>0.51111111111111107</v>
      </c>
      <c r="O1149">
        <v>51</v>
      </c>
      <c r="P1149" s="1">
        <v>0.40157480314960631</v>
      </c>
      <c r="Q1149" s="1">
        <v>0.76146788990825687</v>
      </c>
      <c r="R1149">
        <v>502</v>
      </c>
      <c r="S1149">
        <v>24</v>
      </c>
      <c r="T1149">
        <v>108</v>
      </c>
      <c r="U1149">
        <v>104</v>
      </c>
      <c r="V1149">
        <v>33</v>
      </c>
      <c r="W1149">
        <v>10</v>
      </c>
      <c r="X1149">
        <v>46</v>
      </c>
      <c r="Y1149" s="5">
        <v>2.2608695652173911</v>
      </c>
    </row>
    <row r="1150" spans="1:25" x14ac:dyDescent="0.25">
      <c r="A1150">
        <v>2020</v>
      </c>
      <c r="B1150" t="s">
        <v>57</v>
      </c>
      <c r="C1150">
        <v>18</v>
      </c>
      <c r="D1150">
        <v>179</v>
      </c>
      <c r="E1150" t="s">
        <v>33</v>
      </c>
      <c r="F1150" t="s">
        <v>42</v>
      </c>
      <c r="G1150">
        <f t="shared" si="17"/>
        <v>1</v>
      </c>
      <c r="H1150">
        <v>10</v>
      </c>
      <c r="I1150">
        <v>3</v>
      </c>
      <c r="J1150">
        <v>0</v>
      </c>
      <c r="K1150" s="6" t="s">
        <v>61</v>
      </c>
      <c r="L1150" s="6" t="s">
        <v>77</v>
      </c>
      <c r="M1150">
        <v>172</v>
      </c>
      <c r="N1150" s="1">
        <v>0.54258675078864349</v>
      </c>
      <c r="O1150">
        <v>30</v>
      </c>
      <c r="P1150" s="1">
        <v>0.41666666666666669</v>
      </c>
      <c r="Q1150" s="1">
        <v>0.7410714285714286</v>
      </c>
      <c r="R1150">
        <v>457</v>
      </c>
      <c r="S1150">
        <v>49</v>
      </c>
      <c r="T1150">
        <v>126</v>
      </c>
      <c r="U1150">
        <v>74</v>
      </c>
      <c r="V1150">
        <v>26</v>
      </c>
      <c r="W1150">
        <v>20</v>
      </c>
      <c r="X1150">
        <v>43</v>
      </c>
      <c r="Y1150" s="5">
        <v>1.7209302325581395</v>
      </c>
    </row>
    <row r="1151" spans="1:25" x14ac:dyDescent="0.25">
      <c r="A1151">
        <v>2020</v>
      </c>
      <c r="B1151" t="s">
        <v>57</v>
      </c>
      <c r="C1151">
        <v>18</v>
      </c>
      <c r="D1151">
        <v>179</v>
      </c>
      <c r="E1151" t="s">
        <v>15</v>
      </c>
      <c r="F1151" t="s">
        <v>48</v>
      </c>
      <c r="G1151">
        <f t="shared" si="17"/>
        <v>0</v>
      </c>
      <c r="H1151">
        <v>3</v>
      </c>
      <c r="I1151">
        <v>10</v>
      </c>
      <c r="J1151">
        <v>0</v>
      </c>
      <c r="K1151" s="6" t="s">
        <v>72</v>
      </c>
      <c r="L1151" s="6" t="s">
        <v>85</v>
      </c>
      <c r="M1151">
        <v>134</v>
      </c>
      <c r="N1151" s="1">
        <v>0.47017543859649125</v>
      </c>
      <c r="O1151">
        <v>38</v>
      </c>
      <c r="P1151" s="1">
        <v>0.38</v>
      </c>
      <c r="Q1151" s="1">
        <v>0.81176470588235294</v>
      </c>
      <c r="R1151">
        <v>375</v>
      </c>
      <c r="S1151">
        <v>21</v>
      </c>
      <c r="T1151">
        <v>83</v>
      </c>
      <c r="U1151">
        <v>89</v>
      </c>
      <c r="V1151">
        <v>22</v>
      </c>
      <c r="W1151">
        <v>10</v>
      </c>
      <c r="X1151">
        <v>52</v>
      </c>
      <c r="Y1151" s="5">
        <v>1.7115384615384615</v>
      </c>
    </row>
    <row r="1152" spans="1:25" x14ac:dyDescent="0.25">
      <c r="A1152">
        <v>2020</v>
      </c>
      <c r="B1152" t="s">
        <v>57</v>
      </c>
      <c r="C1152">
        <v>18</v>
      </c>
      <c r="D1152">
        <v>180</v>
      </c>
      <c r="E1152" t="s">
        <v>190</v>
      </c>
      <c r="F1152" t="s">
        <v>103</v>
      </c>
      <c r="G1152">
        <f t="shared" si="17"/>
        <v>1</v>
      </c>
      <c r="H1152">
        <v>8</v>
      </c>
      <c r="I1152">
        <v>5</v>
      </c>
      <c r="J1152">
        <v>0</v>
      </c>
      <c r="K1152" s="6" t="s">
        <v>66</v>
      </c>
      <c r="L1152" s="6" t="s">
        <v>81</v>
      </c>
      <c r="M1152">
        <v>186</v>
      </c>
      <c r="N1152" s="1">
        <v>0.47448979591836737</v>
      </c>
      <c r="O1152">
        <v>54</v>
      </c>
      <c r="P1152" s="1">
        <v>0.40298507462686567</v>
      </c>
      <c r="Q1152" s="1">
        <v>0.71900826446280997</v>
      </c>
      <c r="R1152">
        <v>513</v>
      </c>
      <c r="S1152">
        <v>35</v>
      </c>
      <c r="T1152">
        <v>134</v>
      </c>
      <c r="U1152">
        <v>117</v>
      </c>
      <c r="V1152">
        <v>32</v>
      </c>
      <c r="W1152">
        <v>24</v>
      </c>
      <c r="X1152">
        <v>67</v>
      </c>
      <c r="Y1152" s="5">
        <v>1.7462686567164178</v>
      </c>
    </row>
    <row r="1153" spans="1:25" x14ac:dyDescent="0.25">
      <c r="A1153">
        <v>2020</v>
      </c>
      <c r="B1153" t="s">
        <v>57</v>
      </c>
      <c r="C1153">
        <v>18</v>
      </c>
      <c r="D1153">
        <v>180</v>
      </c>
      <c r="E1153" t="s">
        <v>22</v>
      </c>
      <c r="F1153" t="s">
        <v>44</v>
      </c>
      <c r="G1153">
        <f t="shared" si="17"/>
        <v>0</v>
      </c>
      <c r="H1153">
        <v>5</v>
      </c>
      <c r="I1153">
        <v>8</v>
      </c>
      <c r="J1153">
        <v>0</v>
      </c>
      <c r="K1153" s="6" t="s">
        <v>191</v>
      </c>
      <c r="L1153" s="6" t="s">
        <v>113</v>
      </c>
      <c r="M1153">
        <v>184</v>
      </c>
      <c r="N1153" s="1">
        <v>0.43498817966903075</v>
      </c>
      <c r="O1153">
        <v>52</v>
      </c>
      <c r="P1153" s="1">
        <v>0.27513227513227512</v>
      </c>
      <c r="Q1153" s="1">
        <v>0.77118644067796616</v>
      </c>
      <c r="R1153">
        <v>511</v>
      </c>
      <c r="S1153">
        <v>57</v>
      </c>
      <c r="T1153">
        <v>181</v>
      </c>
      <c r="U1153">
        <v>130</v>
      </c>
      <c r="V1153">
        <v>26</v>
      </c>
      <c r="W1153">
        <v>17</v>
      </c>
      <c r="X1153">
        <v>70</v>
      </c>
      <c r="Y1153" s="5">
        <v>1.8571428571428572</v>
      </c>
    </row>
    <row r="1154" spans="1:25" x14ac:dyDescent="0.25">
      <c r="A1154">
        <v>2020</v>
      </c>
      <c r="B1154" t="s">
        <v>57</v>
      </c>
      <c r="C1154">
        <v>19</v>
      </c>
      <c r="D1154">
        <v>181</v>
      </c>
      <c r="E1154" t="s">
        <v>16</v>
      </c>
      <c r="F1154" t="s">
        <v>51</v>
      </c>
      <c r="G1154">
        <f t="shared" ref="G1154:G1217" si="18">IF(H1154+0.5*J1154&gt;6.5,1,0)</f>
        <v>0</v>
      </c>
      <c r="H1154">
        <v>6</v>
      </c>
      <c r="I1154">
        <v>6</v>
      </c>
      <c r="J1154">
        <v>1</v>
      </c>
      <c r="K1154" s="6" t="s">
        <v>71</v>
      </c>
      <c r="L1154" s="6" t="s">
        <v>121</v>
      </c>
      <c r="M1154">
        <v>202</v>
      </c>
      <c r="N1154" s="1">
        <v>0.46330275229357798</v>
      </c>
      <c r="O1154">
        <v>71</v>
      </c>
      <c r="P1154" s="1">
        <v>0.35148514851485146</v>
      </c>
      <c r="Q1154" s="1">
        <v>0.75</v>
      </c>
      <c r="R1154">
        <v>562</v>
      </c>
      <c r="S1154">
        <v>37</v>
      </c>
      <c r="T1154">
        <v>168</v>
      </c>
      <c r="U1154">
        <v>135</v>
      </c>
      <c r="V1154">
        <v>37</v>
      </c>
      <c r="W1154">
        <v>21</v>
      </c>
      <c r="X1154">
        <v>74</v>
      </c>
      <c r="Y1154" s="5">
        <v>1.8243243243243243</v>
      </c>
    </row>
    <row r="1155" spans="1:25" x14ac:dyDescent="0.25">
      <c r="A1155">
        <v>2020</v>
      </c>
      <c r="B1155" t="s">
        <v>57</v>
      </c>
      <c r="C1155">
        <v>19</v>
      </c>
      <c r="D1155">
        <v>181</v>
      </c>
      <c r="E1155" t="s">
        <v>23</v>
      </c>
      <c r="F1155" t="s">
        <v>120</v>
      </c>
      <c r="G1155">
        <f t="shared" si="18"/>
        <v>0</v>
      </c>
      <c r="H1155">
        <v>6</v>
      </c>
      <c r="I1155">
        <v>6</v>
      </c>
      <c r="J1155">
        <v>1</v>
      </c>
      <c r="K1155" s="6" t="s">
        <v>60</v>
      </c>
      <c r="L1155" s="6" t="s">
        <v>75</v>
      </c>
      <c r="M1155">
        <v>192</v>
      </c>
      <c r="N1155" s="1">
        <v>0.5161290322580645</v>
      </c>
      <c r="O1155">
        <v>54</v>
      </c>
      <c r="P1155" s="1">
        <v>0.38848920863309355</v>
      </c>
      <c r="Q1155" s="1">
        <v>0.8125</v>
      </c>
      <c r="R1155">
        <v>529</v>
      </c>
      <c r="S1155">
        <v>37</v>
      </c>
      <c r="T1155">
        <v>168</v>
      </c>
      <c r="U1155">
        <v>84</v>
      </c>
      <c r="V1155">
        <v>30</v>
      </c>
      <c r="W1155">
        <v>27</v>
      </c>
      <c r="X1155">
        <v>53</v>
      </c>
      <c r="Y1155" s="5">
        <v>1.5849056603773586</v>
      </c>
    </row>
    <row r="1156" spans="1:25" x14ac:dyDescent="0.25">
      <c r="A1156">
        <v>2020</v>
      </c>
      <c r="B1156" t="s">
        <v>57</v>
      </c>
      <c r="C1156">
        <v>19</v>
      </c>
      <c r="D1156">
        <v>182</v>
      </c>
      <c r="E1156" t="s">
        <v>94</v>
      </c>
      <c r="F1156" t="s">
        <v>40</v>
      </c>
      <c r="G1156">
        <f t="shared" si="18"/>
        <v>1</v>
      </c>
      <c r="H1156">
        <v>10</v>
      </c>
      <c r="I1156">
        <v>3</v>
      </c>
      <c r="J1156">
        <v>0</v>
      </c>
      <c r="K1156" s="6" t="s">
        <v>112</v>
      </c>
      <c r="L1156" s="6" t="s">
        <v>88</v>
      </c>
      <c r="M1156">
        <v>124</v>
      </c>
      <c r="N1156" s="1">
        <v>0.46096654275092935</v>
      </c>
      <c r="O1156">
        <v>35</v>
      </c>
      <c r="P1156" s="1">
        <v>0.34313725490196079</v>
      </c>
      <c r="Q1156" s="1">
        <v>0.6875</v>
      </c>
      <c r="R1156">
        <v>338</v>
      </c>
      <c r="S1156">
        <v>37</v>
      </c>
      <c r="T1156">
        <v>97</v>
      </c>
      <c r="U1156">
        <v>90</v>
      </c>
      <c r="V1156">
        <v>35</v>
      </c>
      <c r="W1156">
        <v>10</v>
      </c>
      <c r="X1156">
        <v>40</v>
      </c>
      <c r="Y1156" s="5">
        <v>2.25</v>
      </c>
    </row>
    <row r="1157" spans="1:25" x14ac:dyDescent="0.25">
      <c r="A1157">
        <v>2020</v>
      </c>
      <c r="B1157" t="s">
        <v>57</v>
      </c>
      <c r="C1157">
        <v>19</v>
      </c>
      <c r="D1157">
        <v>182</v>
      </c>
      <c r="E1157" t="s">
        <v>98</v>
      </c>
      <c r="F1157" t="s">
        <v>41</v>
      </c>
      <c r="G1157">
        <f t="shared" si="18"/>
        <v>0</v>
      </c>
      <c r="H1157">
        <v>3</v>
      </c>
      <c r="I1157">
        <v>10</v>
      </c>
      <c r="J1157">
        <v>0</v>
      </c>
      <c r="K1157" s="6" t="s">
        <v>106</v>
      </c>
      <c r="L1157" s="6" t="s">
        <v>83</v>
      </c>
      <c r="M1157">
        <v>111</v>
      </c>
      <c r="N1157" s="1">
        <v>0.38675958188153309</v>
      </c>
      <c r="O1157">
        <v>38</v>
      </c>
      <c r="P1157" s="1">
        <v>0.31404958677685951</v>
      </c>
      <c r="Q1157" s="1">
        <v>0.77142857142857146</v>
      </c>
      <c r="R1157">
        <v>314</v>
      </c>
      <c r="S1157">
        <v>23</v>
      </c>
      <c r="T1157">
        <v>93</v>
      </c>
      <c r="U1157">
        <v>74</v>
      </c>
      <c r="V1157">
        <v>14</v>
      </c>
      <c r="W1157">
        <v>9</v>
      </c>
      <c r="X1157">
        <v>35</v>
      </c>
      <c r="Y1157" s="5">
        <v>2.1142857142857143</v>
      </c>
    </row>
    <row r="1158" spans="1:25" x14ac:dyDescent="0.25">
      <c r="A1158">
        <v>2020</v>
      </c>
      <c r="B1158" t="s">
        <v>57</v>
      </c>
      <c r="C1158">
        <v>19</v>
      </c>
      <c r="D1158">
        <v>183</v>
      </c>
      <c r="E1158" t="s">
        <v>33</v>
      </c>
      <c r="F1158" t="s">
        <v>42</v>
      </c>
      <c r="G1158">
        <f t="shared" si="18"/>
        <v>0</v>
      </c>
      <c r="H1158">
        <v>6</v>
      </c>
      <c r="I1158">
        <v>7</v>
      </c>
      <c r="J1158">
        <v>0</v>
      </c>
      <c r="K1158" s="6" t="s">
        <v>182</v>
      </c>
      <c r="L1158" s="6" t="s">
        <v>76</v>
      </c>
      <c r="M1158">
        <v>145</v>
      </c>
      <c r="N1158" s="1">
        <v>0.53308823529411764</v>
      </c>
      <c r="O1158">
        <v>23</v>
      </c>
      <c r="P1158" s="1">
        <v>0.41818181818181815</v>
      </c>
      <c r="Q1158" s="1">
        <v>0.72115384615384615</v>
      </c>
      <c r="R1158">
        <v>388</v>
      </c>
      <c r="S1158">
        <v>50</v>
      </c>
      <c r="T1158">
        <v>137</v>
      </c>
      <c r="U1158">
        <v>68</v>
      </c>
      <c r="V1158">
        <v>29</v>
      </c>
      <c r="W1158">
        <v>29</v>
      </c>
      <c r="X1158">
        <v>61</v>
      </c>
      <c r="Y1158" s="5">
        <v>1.1147540983606556</v>
      </c>
    </row>
    <row r="1159" spans="1:25" x14ac:dyDescent="0.25">
      <c r="A1159">
        <v>2020</v>
      </c>
      <c r="B1159" t="s">
        <v>57</v>
      </c>
      <c r="C1159">
        <v>19</v>
      </c>
      <c r="D1159">
        <v>183</v>
      </c>
      <c r="E1159" t="s">
        <v>181</v>
      </c>
      <c r="F1159" t="s">
        <v>49</v>
      </c>
      <c r="G1159">
        <f t="shared" si="18"/>
        <v>1</v>
      </c>
      <c r="H1159">
        <v>7</v>
      </c>
      <c r="I1159">
        <v>6</v>
      </c>
      <c r="J1159">
        <v>0</v>
      </c>
      <c r="K1159" s="6" t="s">
        <v>72</v>
      </c>
      <c r="L1159" s="6" t="s">
        <v>85</v>
      </c>
      <c r="M1159">
        <v>191</v>
      </c>
      <c r="N1159" s="1">
        <v>0.5</v>
      </c>
      <c r="O1159">
        <v>70</v>
      </c>
      <c r="P1159" s="1">
        <v>0.40229885057471265</v>
      </c>
      <c r="Q1159" s="1">
        <v>0.77500000000000002</v>
      </c>
      <c r="R1159">
        <v>545</v>
      </c>
      <c r="S1159">
        <v>33</v>
      </c>
      <c r="T1159">
        <v>111</v>
      </c>
      <c r="U1159">
        <v>69</v>
      </c>
      <c r="V1159">
        <v>26</v>
      </c>
      <c r="W1159">
        <v>11</v>
      </c>
      <c r="X1159">
        <v>53</v>
      </c>
      <c r="Y1159" s="5">
        <v>1.3018867924528301</v>
      </c>
    </row>
    <row r="1160" spans="1:25" x14ac:dyDescent="0.25">
      <c r="A1160">
        <v>2020</v>
      </c>
      <c r="B1160" t="s">
        <v>57</v>
      </c>
      <c r="C1160">
        <v>19</v>
      </c>
      <c r="D1160">
        <v>184</v>
      </c>
      <c r="E1160" t="s">
        <v>159</v>
      </c>
      <c r="F1160" t="s">
        <v>116</v>
      </c>
      <c r="G1160">
        <f t="shared" si="18"/>
        <v>1</v>
      </c>
      <c r="H1160">
        <v>9</v>
      </c>
      <c r="I1160">
        <v>4</v>
      </c>
      <c r="J1160">
        <v>0</v>
      </c>
      <c r="K1160" s="6" t="s">
        <v>64</v>
      </c>
      <c r="L1160" s="6" t="s">
        <v>80</v>
      </c>
      <c r="M1160">
        <v>237</v>
      </c>
      <c r="N1160" s="1">
        <v>0.4438202247191011</v>
      </c>
      <c r="O1160">
        <v>69</v>
      </c>
      <c r="P1160" s="1">
        <v>0.38333333333333336</v>
      </c>
      <c r="Q1160" s="1">
        <v>0.74829931972789121</v>
      </c>
      <c r="R1160">
        <v>653</v>
      </c>
      <c r="S1160">
        <v>41</v>
      </c>
      <c r="T1160">
        <v>184</v>
      </c>
      <c r="U1160">
        <v>147</v>
      </c>
      <c r="V1160">
        <v>42</v>
      </c>
      <c r="W1160">
        <v>31</v>
      </c>
      <c r="X1160">
        <v>88</v>
      </c>
      <c r="Y1160" s="5">
        <v>1.6704545454545454</v>
      </c>
    </row>
    <row r="1161" spans="1:25" x14ac:dyDescent="0.25">
      <c r="A1161">
        <v>2020</v>
      </c>
      <c r="B1161" t="s">
        <v>57</v>
      </c>
      <c r="C1161">
        <v>19</v>
      </c>
      <c r="D1161">
        <v>184</v>
      </c>
      <c r="E1161" t="s">
        <v>28</v>
      </c>
      <c r="F1161" t="s">
        <v>46</v>
      </c>
      <c r="G1161">
        <f t="shared" si="18"/>
        <v>0</v>
      </c>
      <c r="H1161">
        <v>4</v>
      </c>
      <c r="I1161">
        <v>9</v>
      </c>
      <c r="J1161">
        <v>0</v>
      </c>
      <c r="K1161" s="6" t="s">
        <v>193</v>
      </c>
      <c r="L1161" s="6" t="s">
        <v>117</v>
      </c>
      <c r="M1161">
        <v>192</v>
      </c>
      <c r="N1161" s="1">
        <v>0.46265060240963857</v>
      </c>
      <c r="O1161">
        <v>49</v>
      </c>
      <c r="P1161" s="1">
        <v>0.34507042253521125</v>
      </c>
      <c r="Q1161" s="1">
        <v>0.85057471264367812</v>
      </c>
      <c r="R1161">
        <v>507</v>
      </c>
      <c r="S1161">
        <v>46</v>
      </c>
      <c r="T1161">
        <v>123</v>
      </c>
      <c r="U1161">
        <v>113</v>
      </c>
      <c r="V1161">
        <v>37</v>
      </c>
      <c r="W1161">
        <v>12</v>
      </c>
      <c r="X1161">
        <v>71</v>
      </c>
      <c r="Y1161" s="5">
        <v>1.591549295774648</v>
      </c>
    </row>
    <row r="1162" spans="1:25" x14ac:dyDescent="0.25">
      <c r="A1162">
        <v>2020</v>
      </c>
      <c r="B1162" t="s">
        <v>57</v>
      </c>
      <c r="C1162">
        <v>19</v>
      </c>
      <c r="D1162">
        <v>185</v>
      </c>
      <c r="E1162" t="s">
        <v>26</v>
      </c>
      <c r="F1162" t="s">
        <v>118</v>
      </c>
      <c r="G1162">
        <f t="shared" si="18"/>
        <v>1</v>
      </c>
      <c r="H1162">
        <v>9</v>
      </c>
      <c r="I1162">
        <v>3</v>
      </c>
      <c r="J1162">
        <v>1</v>
      </c>
      <c r="K1162" s="6" t="s">
        <v>111</v>
      </c>
      <c r="L1162" s="6" t="s">
        <v>89</v>
      </c>
      <c r="M1162">
        <v>171</v>
      </c>
      <c r="N1162" s="1">
        <v>0.52941176470588236</v>
      </c>
      <c r="O1162">
        <v>56</v>
      </c>
      <c r="P1162" s="1">
        <v>0.42424242424242425</v>
      </c>
      <c r="Q1162" s="1">
        <v>0.76041666666666663</v>
      </c>
      <c r="R1162">
        <v>471</v>
      </c>
      <c r="S1162">
        <v>29</v>
      </c>
      <c r="T1162">
        <v>145</v>
      </c>
      <c r="U1162">
        <v>112</v>
      </c>
      <c r="V1162">
        <v>28</v>
      </c>
      <c r="W1162">
        <v>27</v>
      </c>
      <c r="X1162">
        <v>54</v>
      </c>
      <c r="Y1162" s="5">
        <v>2.074074074074074</v>
      </c>
    </row>
    <row r="1163" spans="1:25" x14ac:dyDescent="0.25">
      <c r="A1163">
        <v>2020</v>
      </c>
      <c r="B1163" t="s">
        <v>57</v>
      </c>
      <c r="C1163">
        <v>19</v>
      </c>
      <c r="D1163">
        <v>185</v>
      </c>
      <c r="E1163" t="s">
        <v>97</v>
      </c>
      <c r="F1163" t="s">
        <v>54</v>
      </c>
      <c r="G1163">
        <f t="shared" si="18"/>
        <v>0</v>
      </c>
      <c r="H1163">
        <v>3</v>
      </c>
      <c r="I1163">
        <v>9</v>
      </c>
      <c r="J1163">
        <v>1</v>
      </c>
      <c r="K1163" s="6" t="s">
        <v>65</v>
      </c>
      <c r="L1163" s="6" t="s">
        <v>119</v>
      </c>
      <c r="M1163">
        <v>171</v>
      </c>
      <c r="N1163" s="1">
        <v>0.46091644204851751</v>
      </c>
      <c r="O1163">
        <v>38</v>
      </c>
      <c r="P1163" s="1">
        <v>0.34234234234234234</v>
      </c>
      <c r="Q1163" s="1">
        <v>0.79545454545454541</v>
      </c>
      <c r="R1163">
        <v>485</v>
      </c>
      <c r="S1163">
        <v>42</v>
      </c>
      <c r="T1163">
        <v>142</v>
      </c>
      <c r="U1163">
        <v>81</v>
      </c>
      <c r="V1163">
        <v>27</v>
      </c>
      <c r="W1163">
        <v>18</v>
      </c>
      <c r="X1163">
        <v>69</v>
      </c>
      <c r="Y1163" s="5">
        <v>1.173913043478261</v>
      </c>
    </row>
    <row r="1164" spans="1:25" x14ac:dyDescent="0.25">
      <c r="A1164">
        <v>2020</v>
      </c>
      <c r="B1164" t="s">
        <v>57</v>
      </c>
      <c r="C1164">
        <v>19</v>
      </c>
      <c r="D1164">
        <v>186</v>
      </c>
      <c r="E1164" t="s">
        <v>25</v>
      </c>
      <c r="F1164" t="s">
        <v>53</v>
      </c>
      <c r="G1164">
        <f t="shared" si="18"/>
        <v>0</v>
      </c>
      <c r="H1164">
        <v>3</v>
      </c>
      <c r="I1164">
        <v>10</v>
      </c>
      <c r="J1164">
        <v>0</v>
      </c>
      <c r="K1164" s="6" t="s">
        <v>191</v>
      </c>
      <c r="L1164" s="6" t="s">
        <v>113</v>
      </c>
      <c r="M1164">
        <v>174</v>
      </c>
      <c r="N1164" s="1">
        <v>0.51632047477744802</v>
      </c>
      <c r="O1164">
        <v>57</v>
      </c>
      <c r="P1164" s="1">
        <v>0.45238095238095238</v>
      </c>
      <c r="Q1164" s="1">
        <v>0.72566371681415931</v>
      </c>
      <c r="R1164">
        <v>487</v>
      </c>
      <c r="S1164">
        <v>36</v>
      </c>
      <c r="T1164">
        <v>135</v>
      </c>
      <c r="U1164">
        <v>131</v>
      </c>
      <c r="V1164">
        <v>42</v>
      </c>
      <c r="W1164">
        <v>14</v>
      </c>
      <c r="X1164">
        <v>67</v>
      </c>
      <c r="Y1164" s="5">
        <v>1.955223880597015</v>
      </c>
    </row>
    <row r="1165" spans="1:25" x14ac:dyDescent="0.25">
      <c r="A1165">
        <v>2020</v>
      </c>
      <c r="B1165" t="s">
        <v>57</v>
      </c>
      <c r="C1165">
        <v>19</v>
      </c>
      <c r="D1165">
        <v>186</v>
      </c>
      <c r="E1165" t="s">
        <v>190</v>
      </c>
      <c r="F1165" t="s">
        <v>103</v>
      </c>
      <c r="G1165">
        <f t="shared" si="18"/>
        <v>1</v>
      </c>
      <c r="H1165">
        <v>10</v>
      </c>
      <c r="I1165">
        <v>3</v>
      </c>
      <c r="J1165">
        <v>0</v>
      </c>
      <c r="K1165" s="6" t="s">
        <v>68</v>
      </c>
      <c r="L1165" s="6" t="s">
        <v>84</v>
      </c>
      <c r="M1165">
        <v>234</v>
      </c>
      <c r="N1165" s="1">
        <v>0.48547717842323651</v>
      </c>
      <c r="O1165">
        <v>66</v>
      </c>
      <c r="P1165" s="1">
        <v>0.3350253807106599</v>
      </c>
      <c r="Q1165" s="1">
        <v>0.75193798449612403</v>
      </c>
      <c r="R1165">
        <v>631</v>
      </c>
      <c r="S1165">
        <v>41</v>
      </c>
      <c r="T1165">
        <v>173</v>
      </c>
      <c r="U1165">
        <v>144</v>
      </c>
      <c r="V1165">
        <v>41</v>
      </c>
      <c r="W1165">
        <v>21</v>
      </c>
      <c r="X1165">
        <v>57</v>
      </c>
      <c r="Y1165" s="5">
        <v>2.5263157894736841</v>
      </c>
    </row>
    <row r="1166" spans="1:25" x14ac:dyDescent="0.25">
      <c r="A1166">
        <v>2020</v>
      </c>
      <c r="B1166" t="s">
        <v>57</v>
      </c>
      <c r="C1166">
        <v>19</v>
      </c>
      <c r="D1166">
        <v>187</v>
      </c>
      <c r="E1166" t="s">
        <v>99</v>
      </c>
      <c r="F1166" t="s">
        <v>45</v>
      </c>
      <c r="G1166">
        <f t="shared" si="18"/>
        <v>1</v>
      </c>
      <c r="H1166">
        <v>12</v>
      </c>
      <c r="I1166">
        <v>1</v>
      </c>
      <c r="J1166">
        <v>0</v>
      </c>
      <c r="K1166" s="6" t="s">
        <v>61</v>
      </c>
      <c r="L1166" s="6" t="s">
        <v>77</v>
      </c>
      <c r="M1166">
        <v>187</v>
      </c>
      <c r="N1166" s="1">
        <v>0.47341772151898737</v>
      </c>
      <c r="O1166">
        <v>64</v>
      </c>
      <c r="P1166" s="1">
        <v>0.34408602150537637</v>
      </c>
      <c r="Q1166" s="1">
        <v>0.87254901960784315</v>
      </c>
      <c r="R1166">
        <v>527</v>
      </c>
      <c r="S1166">
        <v>29</v>
      </c>
      <c r="T1166">
        <v>152</v>
      </c>
      <c r="U1166">
        <v>80</v>
      </c>
      <c r="V1166">
        <v>35</v>
      </c>
      <c r="W1166">
        <v>38</v>
      </c>
      <c r="X1166">
        <v>36</v>
      </c>
      <c r="Y1166" s="5">
        <v>2.2222222222222223</v>
      </c>
    </row>
    <row r="1167" spans="1:25" x14ac:dyDescent="0.25">
      <c r="A1167">
        <v>2020</v>
      </c>
      <c r="B1167" t="s">
        <v>57</v>
      </c>
      <c r="C1167">
        <v>19</v>
      </c>
      <c r="D1167">
        <v>187</v>
      </c>
      <c r="E1167" t="s">
        <v>15</v>
      </c>
      <c r="F1167" t="s">
        <v>48</v>
      </c>
      <c r="G1167">
        <f t="shared" si="18"/>
        <v>0</v>
      </c>
      <c r="H1167">
        <v>1</v>
      </c>
      <c r="I1167">
        <v>12</v>
      </c>
      <c r="J1167">
        <v>0</v>
      </c>
      <c r="K1167" s="6" t="s">
        <v>114</v>
      </c>
      <c r="L1167" s="6" t="s">
        <v>90</v>
      </c>
      <c r="M1167">
        <v>174</v>
      </c>
      <c r="N1167" s="1">
        <v>0.46031746031746029</v>
      </c>
      <c r="O1167">
        <v>42</v>
      </c>
      <c r="P1167" s="1">
        <v>0.32061068702290074</v>
      </c>
      <c r="Q1167" s="1">
        <v>0.81081081081081086</v>
      </c>
      <c r="R1167">
        <v>480</v>
      </c>
      <c r="S1167">
        <v>24</v>
      </c>
      <c r="T1167">
        <v>109</v>
      </c>
      <c r="U1167">
        <v>113</v>
      </c>
      <c r="V1167">
        <v>29</v>
      </c>
      <c r="W1167">
        <v>6</v>
      </c>
      <c r="X1167">
        <v>60</v>
      </c>
      <c r="Y1167" s="5">
        <v>1.8833333333333333</v>
      </c>
    </row>
    <row r="1168" spans="1:25" x14ac:dyDescent="0.25">
      <c r="A1168">
        <v>2020</v>
      </c>
      <c r="B1168" t="s">
        <v>57</v>
      </c>
      <c r="C1168">
        <v>19</v>
      </c>
      <c r="D1168">
        <v>188</v>
      </c>
      <c r="E1168" t="s">
        <v>22</v>
      </c>
      <c r="F1168" t="s">
        <v>44</v>
      </c>
      <c r="G1168">
        <f t="shared" si="18"/>
        <v>1</v>
      </c>
      <c r="H1168">
        <v>8</v>
      </c>
      <c r="I1168">
        <v>5</v>
      </c>
      <c r="J1168">
        <v>0</v>
      </c>
      <c r="K1168" s="6" t="s">
        <v>73</v>
      </c>
      <c r="L1168" s="6" t="s">
        <v>74</v>
      </c>
      <c r="M1168">
        <v>189</v>
      </c>
      <c r="N1168" s="1">
        <v>0.45107398568019091</v>
      </c>
      <c r="O1168">
        <v>67</v>
      </c>
      <c r="P1168" s="1">
        <v>0.3641304347826087</v>
      </c>
      <c r="Q1168" s="1">
        <v>0.82692307692307687</v>
      </c>
      <c r="R1168">
        <v>574</v>
      </c>
      <c r="S1168">
        <v>61</v>
      </c>
      <c r="T1168">
        <v>209</v>
      </c>
      <c r="U1168">
        <v>129</v>
      </c>
      <c r="V1168">
        <v>31</v>
      </c>
      <c r="W1168">
        <v>13</v>
      </c>
      <c r="X1168">
        <v>80</v>
      </c>
      <c r="Y1168" s="5">
        <v>1.6125</v>
      </c>
    </row>
    <row r="1169" spans="1:25" x14ac:dyDescent="0.25">
      <c r="A1169">
        <v>2020</v>
      </c>
      <c r="B1169" t="s">
        <v>57</v>
      </c>
      <c r="C1169">
        <v>19</v>
      </c>
      <c r="D1169">
        <v>188</v>
      </c>
      <c r="E1169" t="s">
        <v>35</v>
      </c>
      <c r="F1169" t="s">
        <v>52</v>
      </c>
      <c r="G1169">
        <f t="shared" si="18"/>
        <v>0</v>
      </c>
      <c r="H1169">
        <v>5</v>
      </c>
      <c r="I1169">
        <v>8</v>
      </c>
      <c r="J1169">
        <v>0</v>
      </c>
      <c r="K1169" s="6" t="s">
        <v>66</v>
      </c>
      <c r="L1169" s="6" t="s">
        <v>81</v>
      </c>
      <c r="M1169">
        <v>160</v>
      </c>
      <c r="N1169" s="1">
        <v>0.471976401179941</v>
      </c>
      <c r="O1169">
        <v>61</v>
      </c>
      <c r="P1169" s="1">
        <v>0.36969696969696969</v>
      </c>
      <c r="Q1169" s="1">
        <v>0.72368421052631582</v>
      </c>
      <c r="R1169">
        <v>436</v>
      </c>
      <c r="S1169">
        <v>35</v>
      </c>
      <c r="T1169">
        <v>130</v>
      </c>
      <c r="U1169">
        <v>91</v>
      </c>
      <c r="V1169">
        <v>27</v>
      </c>
      <c r="W1169">
        <v>18</v>
      </c>
      <c r="X1169">
        <v>41</v>
      </c>
      <c r="Y1169" s="5">
        <v>2.2195121951219514</v>
      </c>
    </row>
    <row r="1170" spans="1:25" x14ac:dyDescent="0.25">
      <c r="A1170">
        <v>2020</v>
      </c>
      <c r="B1170" t="s">
        <v>57</v>
      </c>
      <c r="C1170">
        <v>19</v>
      </c>
      <c r="D1170">
        <v>189</v>
      </c>
      <c r="E1170" t="s">
        <v>21</v>
      </c>
      <c r="F1170" t="s">
        <v>50</v>
      </c>
      <c r="G1170">
        <f t="shared" si="18"/>
        <v>1</v>
      </c>
      <c r="H1170">
        <v>10</v>
      </c>
      <c r="I1170">
        <v>3</v>
      </c>
      <c r="J1170">
        <v>0</v>
      </c>
      <c r="K1170" s="6" t="s">
        <v>104</v>
      </c>
      <c r="L1170" s="6" t="s">
        <v>105</v>
      </c>
      <c r="M1170">
        <v>207</v>
      </c>
      <c r="N1170" s="1">
        <v>0.50487804878048781</v>
      </c>
      <c r="O1170">
        <v>54</v>
      </c>
      <c r="P1170" s="1">
        <v>0.38297872340425532</v>
      </c>
      <c r="Q1170" s="1">
        <v>0.72641509433962259</v>
      </c>
      <c r="R1170">
        <v>545</v>
      </c>
      <c r="S1170">
        <v>45</v>
      </c>
      <c r="T1170">
        <v>143</v>
      </c>
      <c r="U1170">
        <v>94</v>
      </c>
      <c r="V1170">
        <v>31</v>
      </c>
      <c r="W1170">
        <v>17</v>
      </c>
      <c r="X1170">
        <v>61</v>
      </c>
      <c r="Y1170" s="5">
        <v>1.540983606557377</v>
      </c>
    </row>
    <row r="1171" spans="1:25" x14ac:dyDescent="0.25">
      <c r="A1171">
        <v>2020</v>
      </c>
      <c r="B1171" t="s">
        <v>57</v>
      </c>
      <c r="C1171">
        <v>19</v>
      </c>
      <c r="D1171">
        <v>189</v>
      </c>
      <c r="E1171" t="s">
        <v>93</v>
      </c>
      <c r="F1171" t="s">
        <v>189</v>
      </c>
      <c r="G1171">
        <f t="shared" si="18"/>
        <v>0</v>
      </c>
      <c r="H1171">
        <v>3</v>
      </c>
      <c r="I1171">
        <v>10</v>
      </c>
      <c r="J1171">
        <v>0</v>
      </c>
      <c r="K1171" s="6" t="s">
        <v>70</v>
      </c>
      <c r="L1171" s="6" t="s">
        <v>87</v>
      </c>
      <c r="M1171">
        <v>133</v>
      </c>
      <c r="N1171" s="1">
        <v>0.42356687898089174</v>
      </c>
      <c r="O1171">
        <v>36</v>
      </c>
      <c r="P1171" s="1">
        <v>0.30769230769230771</v>
      </c>
      <c r="Q1171" s="1">
        <v>0.81318681318681318</v>
      </c>
      <c r="R1171">
        <v>376</v>
      </c>
      <c r="S1171">
        <v>31</v>
      </c>
      <c r="T1171">
        <v>129</v>
      </c>
      <c r="U1171">
        <v>85</v>
      </c>
      <c r="V1171">
        <v>27</v>
      </c>
      <c r="W1171">
        <v>15</v>
      </c>
      <c r="X1171">
        <v>48</v>
      </c>
      <c r="Y1171" s="5">
        <v>1.7708333333333333</v>
      </c>
    </row>
    <row r="1172" spans="1:25" x14ac:dyDescent="0.25">
      <c r="A1172">
        <v>2020</v>
      </c>
      <c r="B1172" t="s">
        <v>57</v>
      </c>
      <c r="C1172">
        <v>19</v>
      </c>
      <c r="D1172">
        <v>190</v>
      </c>
      <c r="E1172" t="s">
        <v>17</v>
      </c>
      <c r="F1172" t="s">
        <v>43</v>
      </c>
      <c r="G1172">
        <f t="shared" si="18"/>
        <v>1</v>
      </c>
      <c r="H1172">
        <v>9</v>
      </c>
      <c r="I1172">
        <v>4</v>
      </c>
      <c r="J1172">
        <v>0</v>
      </c>
      <c r="K1172" s="6" t="s">
        <v>62</v>
      </c>
      <c r="L1172" s="6" t="s">
        <v>78</v>
      </c>
      <c r="M1172">
        <v>161</v>
      </c>
      <c r="N1172" s="1">
        <v>0.45224719101123595</v>
      </c>
      <c r="O1172">
        <v>53</v>
      </c>
      <c r="P1172" s="1">
        <v>0.33333333333333331</v>
      </c>
      <c r="Q1172" s="1">
        <v>0.78021978021978022</v>
      </c>
      <c r="R1172">
        <v>446</v>
      </c>
      <c r="S1172">
        <v>45</v>
      </c>
      <c r="T1172">
        <v>139</v>
      </c>
      <c r="U1172">
        <v>79</v>
      </c>
      <c r="V1172">
        <v>34</v>
      </c>
      <c r="W1172">
        <v>22</v>
      </c>
      <c r="X1172">
        <v>55</v>
      </c>
      <c r="Y1172" s="5">
        <v>1.4363636363636363</v>
      </c>
    </row>
    <row r="1173" spans="1:25" x14ac:dyDescent="0.25">
      <c r="A1173">
        <v>2020</v>
      </c>
      <c r="B1173" t="s">
        <v>57</v>
      </c>
      <c r="C1173">
        <v>19</v>
      </c>
      <c r="D1173">
        <v>190</v>
      </c>
      <c r="E1173" t="s">
        <v>20</v>
      </c>
      <c r="F1173" t="s">
        <v>47</v>
      </c>
      <c r="G1173">
        <f t="shared" si="18"/>
        <v>0</v>
      </c>
      <c r="H1173">
        <v>4</v>
      </c>
      <c r="I1173">
        <v>9</v>
      </c>
      <c r="J1173">
        <v>0</v>
      </c>
      <c r="K1173" s="6" t="s">
        <v>63</v>
      </c>
      <c r="L1173" s="6" t="s">
        <v>79</v>
      </c>
      <c r="M1173">
        <v>108</v>
      </c>
      <c r="N1173" s="1">
        <v>0.47787610619469029</v>
      </c>
      <c r="O1173">
        <v>27</v>
      </c>
      <c r="P1173" s="1">
        <v>0.32142857142857145</v>
      </c>
      <c r="Q1173" s="1">
        <v>0.70149253731343286</v>
      </c>
      <c r="R1173">
        <v>290</v>
      </c>
      <c r="S1173">
        <v>30</v>
      </c>
      <c r="T1173">
        <v>114</v>
      </c>
      <c r="U1173">
        <v>98</v>
      </c>
      <c r="V1173">
        <v>16</v>
      </c>
      <c r="W1173">
        <v>15</v>
      </c>
      <c r="X1173">
        <v>43</v>
      </c>
      <c r="Y1173" s="5">
        <v>2.2790697674418605</v>
      </c>
    </row>
    <row r="1174" spans="1:25" x14ac:dyDescent="0.25">
      <c r="A1174">
        <v>2021</v>
      </c>
      <c r="B1174" t="s">
        <v>57</v>
      </c>
      <c r="C1174">
        <v>1</v>
      </c>
      <c r="D1174">
        <v>1</v>
      </c>
      <c r="E1174" t="s">
        <v>93</v>
      </c>
      <c r="F1174" t="s">
        <v>189</v>
      </c>
      <c r="G1174">
        <f t="shared" si="18"/>
        <v>1</v>
      </c>
      <c r="H1174">
        <v>9</v>
      </c>
      <c r="I1174">
        <v>4</v>
      </c>
      <c r="J1174">
        <v>0</v>
      </c>
      <c r="K1174" s="6" t="s">
        <v>193</v>
      </c>
      <c r="L1174" s="6" t="s">
        <v>117</v>
      </c>
      <c r="M1174">
        <v>150</v>
      </c>
      <c r="N1174" s="1">
        <v>0.51200000000000001</v>
      </c>
      <c r="O1174">
        <v>47</v>
      </c>
      <c r="P1174" s="1">
        <v>0.46100000000000002</v>
      </c>
      <c r="Q1174" s="1">
        <v>0.78800000000000003</v>
      </c>
      <c r="R1174">
        <v>399</v>
      </c>
      <c r="S1174">
        <v>34</v>
      </c>
      <c r="T1174">
        <v>106</v>
      </c>
      <c r="U1174">
        <v>73</v>
      </c>
      <c r="V1174">
        <v>25</v>
      </c>
      <c r="W1174">
        <v>25</v>
      </c>
      <c r="X1174">
        <v>45</v>
      </c>
      <c r="Y1174" s="5">
        <v>1.62</v>
      </c>
    </row>
    <row r="1175" spans="1:25" x14ac:dyDescent="0.25">
      <c r="A1175">
        <v>2021</v>
      </c>
      <c r="B1175" t="s">
        <v>57</v>
      </c>
      <c r="C1175">
        <v>1</v>
      </c>
      <c r="D1175">
        <v>1</v>
      </c>
      <c r="E1175" t="s">
        <v>159</v>
      </c>
      <c r="F1175" t="s">
        <v>116</v>
      </c>
      <c r="G1175">
        <f t="shared" si="18"/>
        <v>0</v>
      </c>
      <c r="H1175">
        <v>4</v>
      </c>
      <c r="I1175">
        <v>9</v>
      </c>
      <c r="J1175">
        <v>0</v>
      </c>
      <c r="K1175" s="6" t="s">
        <v>104</v>
      </c>
      <c r="L1175" s="6" t="s">
        <v>105</v>
      </c>
      <c r="M1175">
        <v>165</v>
      </c>
      <c r="N1175" s="1">
        <v>0.45700000000000002</v>
      </c>
      <c r="O1175">
        <v>45</v>
      </c>
      <c r="P1175" s="1">
        <v>0.35199999999999998</v>
      </c>
      <c r="Q1175" s="1">
        <v>0.74</v>
      </c>
      <c r="R1175">
        <v>432</v>
      </c>
      <c r="S1175">
        <v>24</v>
      </c>
      <c r="T1175">
        <v>129</v>
      </c>
      <c r="U1175">
        <v>90</v>
      </c>
      <c r="V1175">
        <v>24</v>
      </c>
      <c r="W1175">
        <v>16</v>
      </c>
      <c r="X1175">
        <v>81</v>
      </c>
      <c r="Y1175" s="5">
        <v>1.1100000000000001</v>
      </c>
    </row>
    <row r="1176" spans="1:25" x14ac:dyDescent="0.25">
      <c r="A1176">
        <v>2021</v>
      </c>
      <c r="B1176" t="s">
        <v>57</v>
      </c>
      <c r="C1176">
        <v>1</v>
      </c>
      <c r="D1176">
        <v>2</v>
      </c>
      <c r="E1176" t="s">
        <v>33</v>
      </c>
      <c r="F1176" t="s">
        <v>42</v>
      </c>
      <c r="G1176">
        <f t="shared" si="18"/>
        <v>1</v>
      </c>
      <c r="H1176">
        <v>8</v>
      </c>
      <c r="I1176">
        <v>4</v>
      </c>
      <c r="J1176">
        <v>1</v>
      </c>
      <c r="K1176" s="6" t="s">
        <v>63</v>
      </c>
      <c r="L1176" s="6" t="s">
        <v>79</v>
      </c>
      <c r="M1176">
        <v>122</v>
      </c>
      <c r="N1176" s="1">
        <v>0.45500000000000002</v>
      </c>
      <c r="O1176">
        <v>21</v>
      </c>
      <c r="P1176" s="1">
        <v>0.25900000000000001</v>
      </c>
      <c r="Q1176" s="1">
        <v>0.67500000000000004</v>
      </c>
      <c r="R1176">
        <v>319</v>
      </c>
      <c r="S1176">
        <v>41</v>
      </c>
      <c r="T1176">
        <v>115</v>
      </c>
      <c r="U1176">
        <v>46</v>
      </c>
      <c r="V1176">
        <v>28</v>
      </c>
      <c r="W1176">
        <v>26</v>
      </c>
      <c r="X1176">
        <v>47</v>
      </c>
      <c r="Y1176" s="5">
        <v>0.98</v>
      </c>
    </row>
    <row r="1177" spans="1:25" x14ac:dyDescent="0.25">
      <c r="A1177">
        <v>2021</v>
      </c>
      <c r="B1177" t="s">
        <v>57</v>
      </c>
      <c r="C1177">
        <v>1</v>
      </c>
      <c r="D1177">
        <v>2</v>
      </c>
      <c r="E1177" t="s">
        <v>17</v>
      </c>
      <c r="F1177" t="s">
        <v>43</v>
      </c>
      <c r="G1177">
        <f t="shared" si="18"/>
        <v>0</v>
      </c>
      <c r="H1177">
        <v>4</v>
      </c>
      <c r="I1177">
        <v>8</v>
      </c>
      <c r="J1177">
        <v>1</v>
      </c>
      <c r="K1177" s="6" t="s">
        <v>72</v>
      </c>
      <c r="L1177" s="6" t="s">
        <v>85</v>
      </c>
      <c r="M1177">
        <v>109</v>
      </c>
      <c r="N1177" s="1">
        <v>0.45200000000000001</v>
      </c>
      <c r="O1177">
        <v>21</v>
      </c>
      <c r="P1177" s="1">
        <v>0.29599999999999999</v>
      </c>
      <c r="Q1177" s="1">
        <v>0.58299999999999996</v>
      </c>
      <c r="R1177">
        <v>267</v>
      </c>
      <c r="S1177">
        <v>36</v>
      </c>
      <c r="T1177">
        <v>102</v>
      </c>
      <c r="U1177">
        <v>67</v>
      </c>
      <c r="V1177">
        <v>20</v>
      </c>
      <c r="W1177">
        <v>20</v>
      </c>
      <c r="X1177">
        <v>34</v>
      </c>
      <c r="Y1177" s="5">
        <v>1.97</v>
      </c>
    </row>
    <row r="1178" spans="1:25" x14ac:dyDescent="0.25">
      <c r="A1178">
        <v>2021</v>
      </c>
      <c r="B1178" t="s">
        <v>57</v>
      </c>
      <c r="C1178">
        <v>1</v>
      </c>
      <c r="D1178">
        <v>3</v>
      </c>
      <c r="E1178" t="s">
        <v>94</v>
      </c>
      <c r="F1178" t="s">
        <v>40</v>
      </c>
      <c r="G1178">
        <f t="shared" si="18"/>
        <v>0</v>
      </c>
      <c r="H1178">
        <v>6</v>
      </c>
      <c r="I1178">
        <v>7</v>
      </c>
      <c r="J1178">
        <v>0</v>
      </c>
      <c r="K1178" s="6" t="s">
        <v>61</v>
      </c>
      <c r="L1178" s="6" t="s">
        <v>77</v>
      </c>
      <c r="M1178">
        <v>122</v>
      </c>
      <c r="N1178" s="1">
        <v>0.47699999999999998</v>
      </c>
      <c r="O1178">
        <v>32</v>
      </c>
      <c r="P1178" s="1">
        <v>0.36399999999999999</v>
      </c>
      <c r="Q1178" s="1">
        <v>0.874</v>
      </c>
      <c r="R1178">
        <v>352</v>
      </c>
      <c r="S1178">
        <v>19</v>
      </c>
      <c r="T1178">
        <v>76</v>
      </c>
      <c r="U1178">
        <v>79</v>
      </c>
      <c r="V1178">
        <v>27</v>
      </c>
      <c r="W1178">
        <v>14</v>
      </c>
      <c r="X1178">
        <v>38</v>
      </c>
      <c r="Y1178" s="5">
        <v>2.08</v>
      </c>
    </row>
    <row r="1179" spans="1:25" x14ac:dyDescent="0.25">
      <c r="A1179">
        <v>2021</v>
      </c>
      <c r="B1179" t="s">
        <v>57</v>
      </c>
      <c r="C1179">
        <v>1</v>
      </c>
      <c r="D1179">
        <v>3</v>
      </c>
      <c r="E1179" t="s">
        <v>15</v>
      </c>
      <c r="F1179" t="s">
        <v>48</v>
      </c>
      <c r="G1179">
        <f t="shared" si="18"/>
        <v>1</v>
      </c>
      <c r="H1179">
        <v>7</v>
      </c>
      <c r="I1179">
        <v>6</v>
      </c>
      <c r="J1179">
        <v>0</v>
      </c>
      <c r="K1179" s="6" t="s">
        <v>106</v>
      </c>
      <c r="L1179" s="6" t="s">
        <v>83</v>
      </c>
      <c r="M1179">
        <v>146</v>
      </c>
      <c r="N1179" s="1">
        <v>0.46600000000000003</v>
      </c>
      <c r="O1179">
        <v>36</v>
      </c>
      <c r="P1179" s="1">
        <v>0.41399999999999998</v>
      </c>
      <c r="Q1179" s="1">
        <v>0.78200000000000003</v>
      </c>
      <c r="R1179">
        <v>414</v>
      </c>
      <c r="S1179">
        <v>18</v>
      </c>
      <c r="T1179">
        <v>92</v>
      </c>
      <c r="U1179">
        <v>85</v>
      </c>
      <c r="V1179">
        <v>22</v>
      </c>
      <c r="W1179">
        <v>8</v>
      </c>
      <c r="X1179">
        <v>40</v>
      </c>
      <c r="Y1179" s="5">
        <v>2.13</v>
      </c>
    </row>
    <row r="1180" spans="1:25" x14ac:dyDescent="0.25">
      <c r="A1180">
        <v>2021</v>
      </c>
      <c r="B1180" t="s">
        <v>57</v>
      </c>
      <c r="C1180">
        <v>1</v>
      </c>
      <c r="D1180">
        <v>4</v>
      </c>
      <c r="E1180" t="s">
        <v>23</v>
      </c>
      <c r="F1180" t="s">
        <v>120</v>
      </c>
      <c r="G1180">
        <f t="shared" si="18"/>
        <v>0</v>
      </c>
      <c r="H1180">
        <v>6</v>
      </c>
      <c r="I1180">
        <v>7</v>
      </c>
      <c r="J1180">
        <v>0</v>
      </c>
      <c r="K1180" s="6" t="s">
        <v>107</v>
      </c>
      <c r="L1180" s="6" t="s">
        <v>108</v>
      </c>
      <c r="M1180">
        <v>113</v>
      </c>
      <c r="N1180" s="1">
        <v>0.46899999999999997</v>
      </c>
      <c r="O1180">
        <v>36</v>
      </c>
      <c r="P1180" s="1">
        <v>0.36399999999999999</v>
      </c>
      <c r="Q1180" s="1">
        <v>0.77100000000000002</v>
      </c>
      <c r="R1180">
        <v>316</v>
      </c>
      <c r="S1180">
        <v>32</v>
      </c>
      <c r="T1180">
        <v>109</v>
      </c>
      <c r="U1180">
        <v>54</v>
      </c>
      <c r="V1180">
        <v>24</v>
      </c>
      <c r="W1180">
        <v>14</v>
      </c>
      <c r="X1180">
        <v>56</v>
      </c>
      <c r="Y1180" s="5">
        <v>0.96</v>
      </c>
    </row>
    <row r="1181" spans="1:25" x14ac:dyDescent="0.25">
      <c r="A1181">
        <v>2021</v>
      </c>
      <c r="B1181" t="s">
        <v>57</v>
      </c>
      <c r="C1181">
        <v>1</v>
      </c>
      <c r="D1181">
        <v>4</v>
      </c>
      <c r="E1181" t="s">
        <v>95</v>
      </c>
      <c r="F1181" t="s">
        <v>101</v>
      </c>
      <c r="G1181">
        <f t="shared" si="18"/>
        <v>1</v>
      </c>
      <c r="H1181">
        <v>7</v>
      </c>
      <c r="I1181">
        <v>6</v>
      </c>
      <c r="J1181">
        <v>0</v>
      </c>
      <c r="K1181" s="6" t="s">
        <v>71</v>
      </c>
      <c r="L1181" s="6" t="s">
        <v>121</v>
      </c>
      <c r="M1181">
        <v>137</v>
      </c>
      <c r="N1181" s="1">
        <v>0.44900000000000001</v>
      </c>
      <c r="O1181">
        <v>48</v>
      </c>
      <c r="P1181" s="1">
        <v>0.36899999999999999</v>
      </c>
      <c r="Q1181" s="1">
        <v>0.83299999999999996</v>
      </c>
      <c r="R1181">
        <v>367</v>
      </c>
      <c r="S1181">
        <v>30</v>
      </c>
      <c r="T1181">
        <v>98</v>
      </c>
      <c r="U1181">
        <v>50</v>
      </c>
      <c r="V1181">
        <v>20</v>
      </c>
      <c r="W1181">
        <v>12</v>
      </c>
      <c r="X1181">
        <v>28</v>
      </c>
      <c r="Y1181" s="5">
        <v>1.79</v>
      </c>
    </row>
    <row r="1182" spans="1:25" x14ac:dyDescent="0.25">
      <c r="A1182">
        <v>2021</v>
      </c>
      <c r="B1182" t="s">
        <v>57</v>
      </c>
      <c r="C1182">
        <v>1</v>
      </c>
      <c r="D1182">
        <v>5</v>
      </c>
      <c r="E1182" t="s">
        <v>25</v>
      </c>
      <c r="F1182" t="s">
        <v>53</v>
      </c>
      <c r="G1182">
        <f t="shared" si="18"/>
        <v>0</v>
      </c>
      <c r="H1182">
        <v>4</v>
      </c>
      <c r="I1182">
        <v>9</v>
      </c>
      <c r="J1182">
        <v>0</v>
      </c>
      <c r="K1182" s="6" t="s">
        <v>109</v>
      </c>
      <c r="L1182" s="6" t="s">
        <v>110</v>
      </c>
      <c r="M1182">
        <v>101</v>
      </c>
      <c r="N1182" s="1">
        <v>0.45300000000000001</v>
      </c>
      <c r="O1182">
        <v>28</v>
      </c>
      <c r="P1182" s="1">
        <v>0.33700000000000002</v>
      </c>
      <c r="Q1182" s="1">
        <v>0.73099999999999998</v>
      </c>
      <c r="R1182">
        <v>287</v>
      </c>
      <c r="S1182">
        <v>20</v>
      </c>
      <c r="T1182">
        <v>99</v>
      </c>
      <c r="U1182">
        <v>70</v>
      </c>
      <c r="V1182">
        <v>20</v>
      </c>
      <c r="W1182">
        <v>12</v>
      </c>
      <c r="X1182">
        <v>46</v>
      </c>
      <c r="Y1182" s="5">
        <v>1.52</v>
      </c>
    </row>
    <row r="1183" spans="1:25" x14ac:dyDescent="0.25">
      <c r="A1183">
        <v>2021</v>
      </c>
      <c r="B1183" t="s">
        <v>57</v>
      </c>
      <c r="C1183">
        <v>1</v>
      </c>
      <c r="D1183">
        <v>5</v>
      </c>
      <c r="E1183" t="s">
        <v>96</v>
      </c>
      <c r="F1183" t="s">
        <v>102</v>
      </c>
      <c r="G1183">
        <f t="shared" si="18"/>
        <v>1</v>
      </c>
      <c r="H1183">
        <v>9</v>
      </c>
      <c r="I1183">
        <v>4</v>
      </c>
      <c r="J1183">
        <v>0</v>
      </c>
      <c r="K1183" s="6" t="s">
        <v>68</v>
      </c>
      <c r="L1183" s="6" t="s">
        <v>84</v>
      </c>
      <c r="M1183">
        <v>117</v>
      </c>
      <c r="N1183" s="1">
        <v>0.432</v>
      </c>
      <c r="O1183">
        <v>40</v>
      </c>
      <c r="P1183" s="1">
        <v>0.38100000000000001</v>
      </c>
      <c r="Q1183" s="1">
        <v>0.83499999999999996</v>
      </c>
      <c r="R1183">
        <v>345</v>
      </c>
      <c r="S1183">
        <v>28</v>
      </c>
      <c r="T1183">
        <v>80</v>
      </c>
      <c r="U1183">
        <v>103</v>
      </c>
      <c r="V1183">
        <v>14</v>
      </c>
      <c r="W1183">
        <v>15</v>
      </c>
      <c r="X1183">
        <v>47</v>
      </c>
      <c r="Y1183" s="5">
        <v>2.19</v>
      </c>
    </row>
    <row r="1184" spans="1:25" x14ac:dyDescent="0.25">
      <c r="A1184">
        <v>2021</v>
      </c>
      <c r="B1184" t="s">
        <v>57</v>
      </c>
      <c r="C1184">
        <v>1</v>
      </c>
      <c r="D1184">
        <v>6</v>
      </c>
      <c r="E1184" t="s">
        <v>21</v>
      </c>
      <c r="F1184" t="s">
        <v>50</v>
      </c>
      <c r="G1184">
        <f t="shared" si="18"/>
        <v>1</v>
      </c>
      <c r="H1184">
        <v>11</v>
      </c>
      <c r="I1184">
        <v>2</v>
      </c>
      <c r="J1184">
        <v>0</v>
      </c>
      <c r="K1184" s="6" t="s">
        <v>182</v>
      </c>
      <c r="L1184" s="6" t="s">
        <v>76</v>
      </c>
      <c r="M1184">
        <v>126</v>
      </c>
      <c r="N1184" s="1">
        <v>0.436</v>
      </c>
      <c r="O1184">
        <v>40</v>
      </c>
      <c r="P1184" s="1">
        <v>0.313</v>
      </c>
      <c r="Q1184" s="1">
        <v>0.85699999999999998</v>
      </c>
      <c r="R1184">
        <v>346</v>
      </c>
      <c r="S1184">
        <v>22</v>
      </c>
      <c r="T1184">
        <v>82</v>
      </c>
      <c r="U1184">
        <v>74</v>
      </c>
      <c r="V1184">
        <v>26</v>
      </c>
      <c r="W1184">
        <v>11</v>
      </c>
      <c r="X1184">
        <v>41</v>
      </c>
      <c r="Y1184" s="5">
        <v>1.8</v>
      </c>
    </row>
    <row r="1185" spans="1:25" x14ac:dyDescent="0.25">
      <c r="A1185">
        <v>2021</v>
      </c>
      <c r="B1185" t="s">
        <v>57</v>
      </c>
      <c r="C1185">
        <v>1</v>
      </c>
      <c r="D1185">
        <v>6</v>
      </c>
      <c r="E1185" t="s">
        <v>181</v>
      </c>
      <c r="F1185" t="s">
        <v>49</v>
      </c>
      <c r="G1185">
        <f t="shared" si="18"/>
        <v>0</v>
      </c>
      <c r="H1185">
        <v>2</v>
      </c>
      <c r="I1185">
        <v>11</v>
      </c>
      <c r="J1185">
        <v>0</v>
      </c>
      <c r="K1185" s="6" t="s">
        <v>70</v>
      </c>
      <c r="L1185" s="6" t="s">
        <v>87</v>
      </c>
      <c r="M1185">
        <v>90</v>
      </c>
      <c r="N1185" s="1">
        <v>0.50600000000000001</v>
      </c>
      <c r="O1185">
        <v>18</v>
      </c>
      <c r="P1185" s="1">
        <v>0.36</v>
      </c>
      <c r="Q1185" s="1">
        <v>0.74399999999999999</v>
      </c>
      <c r="R1185">
        <v>230</v>
      </c>
      <c r="S1185">
        <v>18</v>
      </c>
      <c r="T1185">
        <v>73</v>
      </c>
      <c r="U1185">
        <v>38</v>
      </c>
      <c r="V1185">
        <v>5</v>
      </c>
      <c r="W1185">
        <v>6</v>
      </c>
      <c r="X1185">
        <v>42</v>
      </c>
      <c r="Y1185" s="5">
        <v>0.9</v>
      </c>
    </row>
    <row r="1186" spans="1:25" x14ac:dyDescent="0.25">
      <c r="A1186">
        <v>2021</v>
      </c>
      <c r="B1186" t="s">
        <v>57</v>
      </c>
      <c r="C1186">
        <v>1</v>
      </c>
      <c r="D1186">
        <v>7</v>
      </c>
      <c r="E1186" t="s">
        <v>16</v>
      </c>
      <c r="F1186" t="s">
        <v>51</v>
      </c>
      <c r="G1186">
        <f t="shared" si="18"/>
        <v>1</v>
      </c>
      <c r="H1186">
        <v>7</v>
      </c>
      <c r="I1186">
        <v>5</v>
      </c>
      <c r="J1186">
        <v>1</v>
      </c>
      <c r="K1186" s="6" t="s">
        <v>111</v>
      </c>
      <c r="L1186" s="6" t="s">
        <v>89</v>
      </c>
      <c r="M1186">
        <v>135</v>
      </c>
      <c r="N1186" s="1">
        <v>0.45300000000000001</v>
      </c>
      <c r="O1186">
        <v>31</v>
      </c>
      <c r="P1186" s="1">
        <v>0.32300000000000001</v>
      </c>
      <c r="Q1186" s="1">
        <v>0.78</v>
      </c>
      <c r="R1186">
        <v>372</v>
      </c>
      <c r="S1186">
        <v>34</v>
      </c>
      <c r="T1186">
        <v>131</v>
      </c>
      <c r="U1186">
        <v>112</v>
      </c>
      <c r="V1186">
        <v>30</v>
      </c>
      <c r="W1186">
        <v>19</v>
      </c>
      <c r="X1186">
        <v>45</v>
      </c>
      <c r="Y1186" s="5">
        <v>2.4900000000000002</v>
      </c>
    </row>
    <row r="1187" spans="1:25" x14ac:dyDescent="0.25">
      <c r="A1187">
        <v>2021</v>
      </c>
      <c r="B1187" t="s">
        <v>57</v>
      </c>
      <c r="C1187">
        <v>1</v>
      </c>
      <c r="D1187">
        <v>7</v>
      </c>
      <c r="E1187" t="s">
        <v>97</v>
      </c>
      <c r="F1187" t="s">
        <v>54</v>
      </c>
      <c r="G1187">
        <f t="shared" si="18"/>
        <v>0</v>
      </c>
      <c r="H1187">
        <v>5</v>
      </c>
      <c r="I1187">
        <v>7</v>
      </c>
      <c r="J1187">
        <v>1</v>
      </c>
      <c r="K1187" s="6" t="s">
        <v>60</v>
      </c>
      <c r="L1187" s="6" t="s">
        <v>75</v>
      </c>
      <c r="M1187">
        <v>167</v>
      </c>
      <c r="N1187" s="1">
        <v>0.499</v>
      </c>
      <c r="O1187">
        <v>32</v>
      </c>
      <c r="P1187" s="1">
        <v>0.33700000000000002</v>
      </c>
      <c r="Q1187" s="1">
        <v>0.77600000000000002</v>
      </c>
      <c r="R1187">
        <v>487</v>
      </c>
      <c r="S1187">
        <v>32</v>
      </c>
      <c r="T1187">
        <v>131</v>
      </c>
      <c r="U1187">
        <v>89</v>
      </c>
      <c r="V1187">
        <v>20</v>
      </c>
      <c r="W1187">
        <v>10</v>
      </c>
      <c r="X1187">
        <v>53</v>
      </c>
      <c r="Y1187" s="5">
        <v>1.68</v>
      </c>
    </row>
    <row r="1188" spans="1:25" x14ac:dyDescent="0.25">
      <c r="A1188">
        <v>2021</v>
      </c>
      <c r="B1188" t="s">
        <v>57</v>
      </c>
      <c r="C1188">
        <v>1</v>
      </c>
      <c r="D1188">
        <v>8</v>
      </c>
      <c r="E1188" t="s">
        <v>28</v>
      </c>
      <c r="F1188" t="s">
        <v>46</v>
      </c>
      <c r="G1188">
        <f t="shared" si="18"/>
        <v>1</v>
      </c>
      <c r="H1188">
        <v>10</v>
      </c>
      <c r="I1188">
        <v>3</v>
      </c>
      <c r="J1188">
        <v>0</v>
      </c>
      <c r="K1188" s="6" t="s">
        <v>112</v>
      </c>
      <c r="L1188" s="6" t="s">
        <v>88</v>
      </c>
      <c r="M1188">
        <v>138</v>
      </c>
      <c r="N1188" s="1">
        <v>0.46500000000000002</v>
      </c>
      <c r="O1188">
        <v>37</v>
      </c>
      <c r="P1188" s="1">
        <v>0.35199999999999998</v>
      </c>
      <c r="Q1188" s="1">
        <v>0.73499999999999999</v>
      </c>
      <c r="R1188">
        <v>374</v>
      </c>
      <c r="S1188">
        <v>36</v>
      </c>
      <c r="T1188">
        <v>124</v>
      </c>
      <c r="U1188">
        <v>99</v>
      </c>
      <c r="V1188">
        <v>25</v>
      </c>
      <c r="W1188">
        <v>14</v>
      </c>
      <c r="X1188">
        <v>47</v>
      </c>
      <c r="Y1188" s="5">
        <v>2.11</v>
      </c>
    </row>
    <row r="1189" spans="1:25" x14ac:dyDescent="0.25">
      <c r="A1189">
        <v>2021</v>
      </c>
      <c r="B1189" t="s">
        <v>57</v>
      </c>
      <c r="C1189">
        <v>1</v>
      </c>
      <c r="D1189">
        <v>8</v>
      </c>
      <c r="E1189" t="s">
        <v>98</v>
      </c>
      <c r="F1189" t="s">
        <v>41</v>
      </c>
      <c r="G1189">
        <f t="shared" si="18"/>
        <v>0</v>
      </c>
      <c r="H1189">
        <v>3</v>
      </c>
      <c r="I1189">
        <v>10</v>
      </c>
      <c r="J1189">
        <v>0</v>
      </c>
      <c r="K1189" s="6" t="s">
        <v>64</v>
      </c>
      <c r="L1189" s="6" t="s">
        <v>80</v>
      </c>
      <c r="M1189">
        <v>71</v>
      </c>
      <c r="N1189" s="1">
        <v>0.40300000000000002</v>
      </c>
      <c r="O1189">
        <v>27</v>
      </c>
      <c r="P1189" s="1">
        <v>0.31</v>
      </c>
      <c r="Q1189" s="1">
        <v>0.86199999999999999</v>
      </c>
      <c r="R1189">
        <v>194</v>
      </c>
      <c r="S1189">
        <v>17</v>
      </c>
      <c r="T1189">
        <v>61</v>
      </c>
      <c r="U1189">
        <v>49</v>
      </c>
      <c r="V1189">
        <v>22</v>
      </c>
      <c r="W1189">
        <v>8</v>
      </c>
      <c r="X1189">
        <v>23</v>
      </c>
      <c r="Y1189" s="5">
        <v>2.13</v>
      </c>
    </row>
    <row r="1190" spans="1:25" x14ac:dyDescent="0.25">
      <c r="A1190">
        <v>2021</v>
      </c>
      <c r="B1190" t="s">
        <v>57</v>
      </c>
      <c r="C1190">
        <v>1</v>
      </c>
      <c r="D1190">
        <v>9</v>
      </c>
      <c r="E1190" t="s">
        <v>18</v>
      </c>
      <c r="F1190" t="s">
        <v>52</v>
      </c>
      <c r="G1190">
        <f t="shared" si="18"/>
        <v>0</v>
      </c>
      <c r="H1190">
        <v>4</v>
      </c>
      <c r="I1190">
        <v>8</v>
      </c>
      <c r="J1190">
        <v>1</v>
      </c>
      <c r="K1190" s="6" t="s">
        <v>191</v>
      </c>
      <c r="L1190" s="6" t="s">
        <v>113</v>
      </c>
      <c r="M1190">
        <v>79</v>
      </c>
      <c r="N1190" s="1">
        <v>0.42199999999999999</v>
      </c>
      <c r="O1190">
        <v>29</v>
      </c>
      <c r="P1190" s="1">
        <v>0.315</v>
      </c>
      <c r="Q1190" s="1">
        <v>0.70599999999999996</v>
      </c>
      <c r="R1190">
        <v>223</v>
      </c>
      <c r="S1190">
        <v>29</v>
      </c>
      <c r="T1190">
        <v>105</v>
      </c>
      <c r="U1190">
        <v>50</v>
      </c>
      <c r="V1190">
        <v>22</v>
      </c>
      <c r="W1190">
        <v>9</v>
      </c>
      <c r="X1190">
        <v>35</v>
      </c>
      <c r="Y1190" s="5">
        <v>1.43</v>
      </c>
    </row>
    <row r="1191" spans="1:25" x14ac:dyDescent="0.25">
      <c r="A1191">
        <v>2021</v>
      </c>
      <c r="B1191" t="s">
        <v>57</v>
      </c>
      <c r="C1191">
        <v>1</v>
      </c>
      <c r="D1191">
        <v>9</v>
      </c>
      <c r="E1191" t="s">
        <v>190</v>
      </c>
      <c r="F1191" t="s">
        <v>103</v>
      </c>
      <c r="G1191">
        <f t="shared" si="18"/>
        <v>1</v>
      </c>
      <c r="H1191">
        <v>8</v>
      </c>
      <c r="I1191">
        <v>4</v>
      </c>
      <c r="J1191">
        <v>1</v>
      </c>
      <c r="K1191" s="6" t="s">
        <v>59</v>
      </c>
      <c r="L1191" s="6" t="s">
        <v>74</v>
      </c>
      <c r="M1191">
        <v>118</v>
      </c>
      <c r="N1191" s="1">
        <v>0.49</v>
      </c>
      <c r="O1191">
        <v>29</v>
      </c>
      <c r="P1191" s="1">
        <v>0.33700000000000002</v>
      </c>
      <c r="Q1191" s="1">
        <v>0.79700000000000004</v>
      </c>
      <c r="R1191">
        <v>320</v>
      </c>
      <c r="S1191">
        <v>21</v>
      </c>
      <c r="T1191">
        <v>77</v>
      </c>
      <c r="U1191">
        <v>83</v>
      </c>
      <c r="V1191">
        <v>20</v>
      </c>
      <c r="W1191">
        <v>16</v>
      </c>
      <c r="X1191">
        <v>50</v>
      </c>
      <c r="Y1191" s="5">
        <v>1.66</v>
      </c>
    </row>
    <row r="1192" spans="1:25" x14ac:dyDescent="0.25">
      <c r="A1192">
        <v>2021</v>
      </c>
      <c r="B1192" t="s">
        <v>57</v>
      </c>
      <c r="C1192">
        <v>1</v>
      </c>
      <c r="D1192">
        <v>10</v>
      </c>
      <c r="E1192" t="s">
        <v>99</v>
      </c>
      <c r="F1192" t="s">
        <v>45</v>
      </c>
      <c r="G1192">
        <f t="shared" si="18"/>
        <v>1</v>
      </c>
      <c r="H1192">
        <v>8</v>
      </c>
      <c r="I1192">
        <v>5</v>
      </c>
      <c r="J1192">
        <v>0</v>
      </c>
      <c r="K1192" s="6" t="s">
        <v>65</v>
      </c>
      <c r="L1192" s="6" t="s">
        <v>119</v>
      </c>
      <c r="M1192">
        <v>179</v>
      </c>
      <c r="N1192" s="1">
        <v>0.48199999999999998</v>
      </c>
      <c r="O1192">
        <v>43</v>
      </c>
      <c r="P1192" s="1">
        <v>0.316</v>
      </c>
      <c r="Q1192" s="1">
        <v>0.66900000000000004</v>
      </c>
      <c r="R1192">
        <v>480</v>
      </c>
      <c r="S1192">
        <v>45</v>
      </c>
      <c r="T1192">
        <v>135</v>
      </c>
      <c r="U1192">
        <v>92</v>
      </c>
      <c r="V1192">
        <v>30</v>
      </c>
      <c r="W1192">
        <v>27</v>
      </c>
      <c r="X1192">
        <v>47</v>
      </c>
      <c r="Y1192" s="5">
        <v>1.96</v>
      </c>
    </row>
    <row r="1193" spans="1:25" x14ac:dyDescent="0.25">
      <c r="A1193">
        <v>2021</v>
      </c>
      <c r="B1193" t="s">
        <v>57</v>
      </c>
      <c r="C1193">
        <v>1</v>
      </c>
      <c r="D1193">
        <v>10</v>
      </c>
      <c r="E1193" t="s">
        <v>26</v>
      </c>
      <c r="F1193" t="s">
        <v>118</v>
      </c>
      <c r="G1193">
        <f t="shared" si="18"/>
        <v>0</v>
      </c>
      <c r="H1193">
        <v>5</v>
      </c>
      <c r="I1193">
        <v>8</v>
      </c>
      <c r="J1193">
        <v>0</v>
      </c>
      <c r="K1193" s="6" t="s">
        <v>114</v>
      </c>
      <c r="L1193" s="6" t="s">
        <v>90</v>
      </c>
      <c r="M1193">
        <v>164</v>
      </c>
      <c r="N1193" s="1">
        <v>0.5</v>
      </c>
      <c r="O1193">
        <v>47</v>
      </c>
      <c r="P1193" s="1">
        <v>0.37</v>
      </c>
      <c r="Q1193" s="1">
        <v>0.79700000000000004</v>
      </c>
      <c r="R1193">
        <v>430</v>
      </c>
      <c r="S1193">
        <v>30</v>
      </c>
      <c r="T1193">
        <v>125</v>
      </c>
      <c r="U1193">
        <v>97</v>
      </c>
      <c r="V1193">
        <v>22</v>
      </c>
      <c r="W1193">
        <v>8</v>
      </c>
      <c r="X1193">
        <v>59</v>
      </c>
      <c r="Y1193" s="5">
        <v>1.64</v>
      </c>
    </row>
    <row r="1194" spans="1:25" x14ac:dyDescent="0.25">
      <c r="A1194">
        <v>2021</v>
      </c>
      <c r="B1194" t="s">
        <v>57</v>
      </c>
      <c r="C1194">
        <v>2</v>
      </c>
      <c r="D1194">
        <v>11</v>
      </c>
      <c r="E1194" t="s">
        <v>159</v>
      </c>
      <c r="F1194" t="s">
        <v>116</v>
      </c>
      <c r="G1194">
        <f t="shared" si="18"/>
        <v>1</v>
      </c>
      <c r="H1194">
        <v>10</v>
      </c>
      <c r="I1194">
        <v>3</v>
      </c>
      <c r="J1194">
        <v>0</v>
      </c>
      <c r="K1194" s="6" t="s">
        <v>60</v>
      </c>
      <c r="L1194" s="6" t="s">
        <v>75</v>
      </c>
      <c r="M1194">
        <v>219</v>
      </c>
      <c r="N1194" s="1">
        <v>0.45500000000000002</v>
      </c>
      <c r="O1194">
        <v>50</v>
      </c>
      <c r="P1194" s="1">
        <v>0.32700000000000001</v>
      </c>
      <c r="Q1194" s="1">
        <v>0.77100000000000002</v>
      </c>
      <c r="R1194">
        <v>562</v>
      </c>
      <c r="S1194">
        <v>37</v>
      </c>
      <c r="T1194">
        <v>180</v>
      </c>
      <c r="U1194">
        <v>150</v>
      </c>
      <c r="V1194">
        <v>48</v>
      </c>
      <c r="W1194">
        <v>25</v>
      </c>
      <c r="X1194">
        <v>83</v>
      </c>
      <c r="Y1194" s="5">
        <v>1.81</v>
      </c>
    </row>
    <row r="1195" spans="1:25" x14ac:dyDescent="0.25">
      <c r="A1195">
        <v>2021</v>
      </c>
      <c r="B1195" t="s">
        <v>57</v>
      </c>
      <c r="C1195">
        <v>2</v>
      </c>
      <c r="D1195">
        <v>11</v>
      </c>
      <c r="E1195" t="s">
        <v>16</v>
      </c>
      <c r="F1195" t="s">
        <v>51</v>
      </c>
      <c r="G1195">
        <f t="shared" si="18"/>
        <v>0</v>
      </c>
      <c r="H1195">
        <v>3</v>
      </c>
      <c r="I1195">
        <v>10</v>
      </c>
      <c r="J1195">
        <v>0</v>
      </c>
      <c r="K1195" s="6" t="s">
        <v>193</v>
      </c>
      <c r="L1195" s="6" t="s">
        <v>117</v>
      </c>
      <c r="M1195">
        <v>122</v>
      </c>
      <c r="N1195" s="1">
        <v>0.45500000000000002</v>
      </c>
      <c r="O1195">
        <v>32</v>
      </c>
      <c r="P1195" s="1">
        <v>0.33700000000000002</v>
      </c>
      <c r="Q1195" s="1">
        <v>0.76</v>
      </c>
      <c r="R1195">
        <v>333</v>
      </c>
      <c r="S1195">
        <v>44</v>
      </c>
      <c r="T1195">
        <v>140</v>
      </c>
      <c r="U1195">
        <v>90</v>
      </c>
      <c r="V1195">
        <v>28</v>
      </c>
      <c r="W1195">
        <v>22</v>
      </c>
      <c r="X1195">
        <v>50</v>
      </c>
      <c r="Y1195" s="5">
        <v>1.8</v>
      </c>
    </row>
    <row r="1196" spans="1:25" x14ac:dyDescent="0.25">
      <c r="A1196">
        <v>2021</v>
      </c>
      <c r="B1196" t="s">
        <v>57</v>
      </c>
      <c r="C1196">
        <v>2</v>
      </c>
      <c r="D1196">
        <v>12</v>
      </c>
      <c r="E1196" t="s">
        <v>28</v>
      </c>
      <c r="F1196" t="s">
        <v>46</v>
      </c>
      <c r="G1196">
        <f t="shared" si="18"/>
        <v>1</v>
      </c>
      <c r="H1196">
        <v>11</v>
      </c>
      <c r="I1196">
        <v>2</v>
      </c>
      <c r="J1196">
        <v>0</v>
      </c>
      <c r="K1196" s="6" t="s">
        <v>191</v>
      </c>
      <c r="L1196" s="6" t="s">
        <v>113</v>
      </c>
      <c r="M1196">
        <v>214</v>
      </c>
      <c r="N1196" s="1">
        <v>0.504</v>
      </c>
      <c r="O1196">
        <v>71</v>
      </c>
      <c r="P1196" s="1">
        <v>0.46400000000000002</v>
      </c>
      <c r="Q1196" s="1">
        <v>0.747</v>
      </c>
      <c r="R1196">
        <v>555</v>
      </c>
      <c r="S1196">
        <v>57</v>
      </c>
      <c r="T1196">
        <v>180</v>
      </c>
      <c r="U1196">
        <v>163</v>
      </c>
      <c r="V1196">
        <v>46</v>
      </c>
      <c r="W1196">
        <v>18</v>
      </c>
      <c r="X1196">
        <v>60</v>
      </c>
      <c r="Y1196" s="5">
        <v>2.72</v>
      </c>
    </row>
    <row r="1197" spans="1:25" x14ac:dyDescent="0.25">
      <c r="A1197">
        <v>2021</v>
      </c>
      <c r="B1197" t="s">
        <v>57</v>
      </c>
      <c r="C1197">
        <v>2</v>
      </c>
      <c r="D1197">
        <v>12</v>
      </c>
      <c r="E1197" t="s">
        <v>190</v>
      </c>
      <c r="F1197" t="s">
        <v>103</v>
      </c>
      <c r="G1197">
        <f t="shared" si="18"/>
        <v>0</v>
      </c>
      <c r="H1197">
        <v>2</v>
      </c>
      <c r="I1197">
        <v>11</v>
      </c>
      <c r="J1197">
        <v>0</v>
      </c>
      <c r="K1197" s="6" t="s">
        <v>64</v>
      </c>
      <c r="L1197" s="6" t="s">
        <v>80</v>
      </c>
      <c r="M1197">
        <v>148</v>
      </c>
      <c r="N1197" s="1">
        <v>0.434</v>
      </c>
      <c r="O1197">
        <v>47</v>
      </c>
      <c r="P1197" s="1">
        <v>0.35099999999999998</v>
      </c>
      <c r="Q1197" s="1">
        <v>0.77400000000000002</v>
      </c>
      <c r="R1197">
        <v>408</v>
      </c>
      <c r="S1197">
        <v>26</v>
      </c>
      <c r="T1197">
        <v>143</v>
      </c>
      <c r="U1197">
        <v>103</v>
      </c>
      <c r="V1197">
        <v>38</v>
      </c>
      <c r="W1197">
        <v>26</v>
      </c>
      <c r="X1197">
        <v>66</v>
      </c>
      <c r="Y1197" s="5">
        <v>1.56</v>
      </c>
    </row>
    <row r="1198" spans="1:25" x14ac:dyDescent="0.25">
      <c r="A1198">
        <v>2021</v>
      </c>
      <c r="B1198" t="s">
        <v>57</v>
      </c>
      <c r="C1198">
        <v>2</v>
      </c>
      <c r="D1198">
        <v>13</v>
      </c>
      <c r="E1198" t="s">
        <v>94</v>
      </c>
      <c r="F1198" t="s">
        <v>40</v>
      </c>
      <c r="G1198">
        <f t="shared" si="18"/>
        <v>0</v>
      </c>
      <c r="H1198">
        <v>4</v>
      </c>
      <c r="I1198">
        <v>8</v>
      </c>
      <c r="J1198">
        <v>1</v>
      </c>
      <c r="K1198" s="6" t="s">
        <v>59</v>
      </c>
      <c r="L1198" s="6" t="s">
        <v>74</v>
      </c>
      <c r="M1198">
        <v>107</v>
      </c>
      <c r="N1198" s="1">
        <v>0.41299999999999998</v>
      </c>
      <c r="O1198">
        <v>36</v>
      </c>
      <c r="P1198" s="1">
        <v>0.34300000000000003</v>
      </c>
      <c r="Q1198" s="1">
        <v>0.89600000000000002</v>
      </c>
      <c r="R1198">
        <v>293</v>
      </c>
      <c r="S1198">
        <v>19</v>
      </c>
      <c r="T1198">
        <v>76</v>
      </c>
      <c r="U1198">
        <v>96</v>
      </c>
      <c r="V1198">
        <v>27</v>
      </c>
      <c r="W1198">
        <v>8</v>
      </c>
      <c r="X1198">
        <v>42</v>
      </c>
      <c r="Y1198" s="5">
        <v>2.29</v>
      </c>
    </row>
    <row r="1199" spans="1:25" x14ac:dyDescent="0.25">
      <c r="A1199">
        <v>2021</v>
      </c>
      <c r="B1199" t="s">
        <v>57</v>
      </c>
      <c r="C1199">
        <v>2</v>
      </c>
      <c r="D1199">
        <v>13</v>
      </c>
      <c r="E1199" t="s">
        <v>18</v>
      </c>
      <c r="F1199" t="s">
        <v>52</v>
      </c>
      <c r="G1199">
        <f t="shared" si="18"/>
        <v>1</v>
      </c>
      <c r="H1199">
        <v>8</v>
      </c>
      <c r="I1199">
        <v>4</v>
      </c>
      <c r="J1199">
        <v>1</v>
      </c>
      <c r="K1199" s="6" t="s">
        <v>106</v>
      </c>
      <c r="L1199" s="6" t="s">
        <v>83</v>
      </c>
      <c r="M1199">
        <v>115</v>
      </c>
      <c r="N1199" s="1">
        <v>0.44400000000000001</v>
      </c>
      <c r="O1199">
        <v>43</v>
      </c>
      <c r="P1199" s="1">
        <v>0.35499999999999998</v>
      </c>
      <c r="Q1199" s="1">
        <v>0.78900000000000003</v>
      </c>
      <c r="R1199">
        <v>318</v>
      </c>
      <c r="S1199">
        <v>27</v>
      </c>
      <c r="T1199">
        <v>103</v>
      </c>
      <c r="U1199">
        <v>64</v>
      </c>
      <c r="V1199">
        <v>27</v>
      </c>
      <c r="W1199">
        <v>10</v>
      </c>
      <c r="X1199">
        <v>46</v>
      </c>
      <c r="Y1199" s="5">
        <v>1.39</v>
      </c>
    </row>
    <row r="1200" spans="1:25" x14ac:dyDescent="0.25">
      <c r="A1200">
        <v>2021</v>
      </c>
      <c r="B1200" t="s">
        <v>57</v>
      </c>
      <c r="C1200">
        <v>2</v>
      </c>
      <c r="D1200">
        <v>14</v>
      </c>
      <c r="E1200" t="s">
        <v>26</v>
      </c>
      <c r="F1200" t="s">
        <v>118</v>
      </c>
      <c r="G1200">
        <f t="shared" si="18"/>
        <v>1</v>
      </c>
      <c r="H1200">
        <v>7</v>
      </c>
      <c r="I1200">
        <v>6</v>
      </c>
      <c r="J1200">
        <v>0</v>
      </c>
      <c r="K1200" s="6" t="s">
        <v>111</v>
      </c>
      <c r="L1200" s="6" t="s">
        <v>89</v>
      </c>
      <c r="M1200">
        <v>155</v>
      </c>
      <c r="N1200" s="1">
        <v>0.48299999999999998</v>
      </c>
      <c r="O1200">
        <v>49</v>
      </c>
      <c r="P1200" s="1">
        <v>0.42199999999999999</v>
      </c>
      <c r="Q1200" s="1">
        <v>0.72499999999999998</v>
      </c>
      <c r="R1200">
        <v>433</v>
      </c>
      <c r="S1200">
        <v>37</v>
      </c>
      <c r="T1200">
        <v>178</v>
      </c>
      <c r="U1200">
        <v>106</v>
      </c>
      <c r="V1200">
        <v>37</v>
      </c>
      <c r="W1200">
        <v>22</v>
      </c>
      <c r="X1200">
        <v>46</v>
      </c>
      <c r="Y1200" s="5">
        <v>2.2999999999999998</v>
      </c>
    </row>
    <row r="1201" spans="1:25" x14ac:dyDescent="0.25">
      <c r="A1201">
        <v>2021</v>
      </c>
      <c r="B1201" t="s">
        <v>57</v>
      </c>
      <c r="C1201">
        <v>2</v>
      </c>
      <c r="D1201">
        <v>14</v>
      </c>
      <c r="E1201" t="s">
        <v>97</v>
      </c>
      <c r="F1201" t="s">
        <v>54</v>
      </c>
      <c r="G1201">
        <f t="shared" si="18"/>
        <v>0</v>
      </c>
      <c r="H1201">
        <v>6</v>
      </c>
      <c r="I1201">
        <v>7</v>
      </c>
      <c r="J1201">
        <v>0</v>
      </c>
      <c r="K1201" s="6" t="s">
        <v>65</v>
      </c>
      <c r="L1201" s="6" t="s">
        <v>119</v>
      </c>
      <c r="M1201">
        <v>204</v>
      </c>
      <c r="N1201" s="1">
        <v>0.46899999999999997</v>
      </c>
      <c r="O1201">
        <v>57</v>
      </c>
      <c r="P1201" s="1">
        <v>0.40100000000000002</v>
      </c>
      <c r="Q1201" s="1">
        <v>0.82399999999999995</v>
      </c>
      <c r="R1201">
        <v>619</v>
      </c>
      <c r="S1201">
        <v>40</v>
      </c>
      <c r="T1201">
        <v>153</v>
      </c>
      <c r="U1201">
        <v>152</v>
      </c>
      <c r="V1201">
        <v>33</v>
      </c>
      <c r="W1201">
        <v>21</v>
      </c>
      <c r="X1201">
        <v>86</v>
      </c>
      <c r="Y1201" s="5">
        <v>1.77</v>
      </c>
    </row>
    <row r="1202" spans="1:25" x14ac:dyDescent="0.25">
      <c r="A1202">
        <v>2021</v>
      </c>
      <c r="B1202" t="s">
        <v>57</v>
      </c>
      <c r="C1202">
        <v>2</v>
      </c>
      <c r="D1202">
        <v>15</v>
      </c>
      <c r="E1202" t="s">
        <v>99</v>
      </c>
      <c r="F1202" t="s">
        <v>45</v>
      </c>
      <c r="G1202">
        <f t="shared" si="18"/>
        <v>0</v>
      </c>
      <c r="H1202">
        <v>4</v>
      </c>
      <c r="I1202">
        <v>9</v>
      </c>
      <c r="J1202">
        <v>0</v>
      </c>
      <c r="K1202" s="6" t="s">
        <v>72</v>
      </c>
      <c r="L1202" s="6" t="s">
        <v>85</v>
      </c>
      <c r="M1202">
        <v>183</v>
      </c>
      <c r="N1202" s="1">
        <v>0.47499999999999998</v>
      </c>
      <c r="O1202">
        <v>53</v>
      </c>
      <c r="P1202" s="1">
        <v>0.36799999999999999</v>
      </c>
      <c r="Q1202" s="1">
        <v>0.81100000000000005</v>
      </c>
      <c r="R1202">
        <v>492</v>
      </c>
      <c r="S1202">
        <v>45</v>
      </c>
      <c r="T1202">
        <v>146</v>
      </c>
      <c r="U1202">
        <v>96</v>
      </c>
      <c r="V1202">
        <v>35</v>
      </c>
      <c r="W1202">
        <v>23</v>
      </c>
      <c r="X1202">
        <v>63</v>
      </c>
      <c r="Y1202" s="5">
        <v>1.52</v>
      </c>
    </row>
    <row r="1203" spans="1:25" x14ac:dyDescent="0.25">
      <c r="A1203">
        <v>2021</v>
      </c>
      <c r="B1203" t="s">
        <v>57</v>
      </c>
      <c r="C1203">
        <v>2</v>
      </c>
      <c r="D1203">
        <v>15</v>
      </c>
      <c r="E1203" t="s">
        <v>33</v>
      </c>
      <c r="F1203" t="s">
        <v>42</v>
      </c>
      <c r="G1203">
        <f t="shared" si="18"/>
        <v>1</v>
      </c>
      <c r="H1203">
        <v>9</v>
      </c>
      <c r="I1203">
        <v>4</v>
      </c>
      <c r="J1203">
        <v>0</v>
      </c>
      <c r="K1203" s="6" t="s">
        <v>114</v>
      </c>
      <c r="L1203" s="6" t="s">
        <v>90</v>
      </c>
      <c r="M1203">
        <v>204</v>
      </c>
      <c r="N1203" s="1">
        <v>0.52300000000000002</v>
      </c>
      <c r="O1203">
        <v>64</v>
      </c>
      <c r="P1203" s="1">
        <v>0.41599999999999998</v>
      </c>
      <c r="Q1203" s="1">
        <v>0.746</v>
      </c>
      <c r="R1203">
        <v>560</v>
      </c>
      <c r="S1203">
        <v>46</v>
      </c>
      <c r="T1203">
        <v>153</v>
      </c>
      <c r="U1203">
        <v>60</v>
      </c>
      <c r="V1203">
        <v>27</v>
      </c>
      <c r="W1203">
        <v>26</v>
      </c>
      <c r="X1203">
        <v>56</v>
      </c>
      <c r="Y1203" s="5">
        <v>1.07</v>
      </c>
    </row>
    <row r="1204" spans="1:25" x14ac:dyDescent="0.25">
      <c r="A1204">
        <v>2021</v>
      </c>
      <c r="B1204" t="s">
        <v>57</v>
      </c>
      <c r="C1204">
        <v>2</v>
      </c>
      <c r="D1204">
        <v>16</v>
      </c>
      <c r="E1204" t="s">
        <v>181</v>
      </c>
      <c r="F1204" t="s">
        <v>49</v>
      </c>
      <c r="G1204">
        <f t="shared" si="18"/>
        <v>0</v>
      </c>
      <c r="H1204">
        <v>4</v>
      </c>
      <c r="I1204">
        <v>9</v>
      </c>
      <c r="J1204">
        <v>0</v>
      </c>
      <c r="K1204" s="6" t="s">
        <v>61</v>
      </c>
      <c r="L1204" s="6" t="s">
        <v>77</v>
      </c>
      <c r="M1204">
        <v>147</v>
      </c>
      <c r="N1204" s="1">
        <v>0.47599999999999998</v>
      </c>
      <c r="O1204">
        <v>44</v>
      </c>
      <c r="P1204" s="1">
        <v>0.36399999999999999</v>
      </c>
      <c r="Q1204" s="1">
        <v>0.80600000000000005</v>
      </c>
      <c r="R1204">
        <v>392</v>
      </c>
      <c r="S1204">
        <v>38</v>
      </c>
      <c r="T1204">
        <v>112</v>
      </c>
      <c r="U1204">
        <v>96</v>
      </c>
      <c r="V1204">
        <v>27</v>
      </c>
      <c r="W1204">
        <v>13</v>
      </c>
      <c r="X1204">
        <v>61</v>
      </c>
      <c r="Y1204" s="5">
        <v>1.57</v>
      </c>
    </row>
    <row r="1205" spans="1:25" x14ac:dyDescent="0.25">
      <c r="A1205">
        <v>2021</v>
      </c>
      <c r="B1205" t="s">
        <v>57</v>
      </c>
      <c r="C1205">
        <v>2</v>
      </c>
      <c r="D1205">
        <v>16</v>
      </c>
      <c r="E1205" t="s">
        <v>15</v>
      </c>
      <c r="F1205" t="s">
        <v>48</v>
      </c>
      <c r="G1205">
        <f t="shared" si="18"/>
        <v>1</v>
      </c>
      <c r="H1205">
        <v>9</v>
      </c>
      <c r="I1205">
        <v>4</v>
      </c>
      <c r="J1205">
        <v>0</v>
      </c>
      <c r="K1205" s="6" t="s">
        <v>182</v>
      </c>
      <c r="L1205" s="6" t="s">
        <v>76</v>
      </c>
      <c r="M1205">
        <v>194</v>
      </c>
      <c r="N1205" s="1">
        <v>0.46500000000000002</v>
      </c>
      <c r="O1205">
        <v>54</v>
      </c>
      <c r="P1205" s="1">
        <v>0.39100000000000001</v>
      </c>
      <c r="Q1205" s="1">
        <v>0.71299999999999997</v>
      </c>
      <c r="R1205">
        <v>529</v>
      </c>
      <c r="S1205">
        <v>29</v>
      </c>
      <c r="T1205">
        <v>134</v>
      </c>
      <c r="U1205">
        <v>104</v>
      </c>
      <c r="V1205">
        <v>21</v>
      </c>
      <c r="W1205">
        <v>19</v>
      </c>
      <c r="X1205">
        <v>42</v>
      </c>
      <c r="Y1205" s="5">
        <v>2.48</v>
      </c>
    </row>
    <row r="1206" spans="1:25" x14ac:dyDescent="0.25">
      <c r="A1206">
        <v>2021</v>
      </c>
      <c r="B1206" t="s">
        <v>57</v>
      </c>
      <c r="C1206">
        <v>2</v>
      </c>
      <c r="D1206">
        <v>17</v>
      </c>
      <c r="E1206" t="s">
        <v>98</v>
      </c>
      <c r="F1206" t="s">
        <v>41</v>
      </c>
      <c r="G1206">
        <f t="shared" si="18"/>
        <v>1</v>
      </c>
      <c r="H1206">
        <v>7</v>
      </c>
      <c r="I1206">
        <v>6</v>
      </c>
      <c r="J1206">
        <v>0</v>
      </c>
      <c r="K1206" s="6" t="s">
        <v>71</v>
      </c>
      <c r="L1206" s="6" t="s">
        <v>121</v>
      </c>
      <c r="M1206">
        <v>129</v>
      </c>
      <c r="N1206" s="1">
        <v>0.45600000000000002</v>
      </c>
      <c r="O1206">
        <v>59</v>
      </c>
      <c r="P1206" s="1">
        <v>0.40400000000000003</v>
      </c>
      <c r="Q1206" s="1">
        <v>0.85</v>
      </c>
      <c r="R1206">
        <v>368</v>
      </c>
      <c r="S1206">
        <v>28</v>
      </c>
      <c r="T1206">
        <v>101</v>
      </c>
      <c r="U1206">
        <v>64</v>
      </c>
      <c r="V1206">
        <v>34</v>
      </c>
      <c r="W1206">
        <v>9</v>
      </c>
      <c r="X1206">
        <v>41</v>
      </c>
      <c r="Y1206" s="5">
        <v>1.56</v>
      </c>
    </row>
    <row r="1207" spans="1:25" x14ac:dyDescent="0.25">
      <c r="A1207">
        <v>2021</v>
      </c>
      <c r="B1207" t="s">
        <v>57</v>
      </c>
      <c r="C1207">
        <v>2</v>
      </c>
      <c r="D1207">
        <v>17</v>
      </c>
      <c r="E1207" t="s">
        <v>23</v>
      </c>
      <c r="F1207" t="s">
        <v>120</v>
      </c>
      <c r="G1207">
        <f t="shared" si="18"/>
        <v>0</v>
      </c>
      <c r="H1207">
        <v>6</v>
      </c>
      <c r="I1207">
        <v>7</v>
      </c>
      <c r="J1207">
        <v>0</v>
      </c>
      <c r="K1207" s="6" t="s">
        <v>112</v>
      </c>
      <c r="L1207" s="6" t="s">
        <v>88</v>
      </c>
      <c r="M1207">
        <v>133</v>
      </c>
      <c r="N1207" s="1">
        <v>0.47</v>
      </c>
      <c r="O1207">
        <v>50</v>
      </c>
      <c r="P1207" s="1">
        <v>0.40300000000000002</v>
      </c>
      <c r="Q1207" s="1">
        <v>0.747</v>
      </c>
      <c r="R1207">
        <v>375</v>
      </c>
      <c r="S1207">
        <v>29</v>
      </c>
      <c r="T1207">
        <v>141</v>
      </c>
      <c r="U1207">
        <v>57</v>
      </c>
      <c r="V1207">
        <v>23</v>
      </c>
      <c r="W1207">
        <v>19</v>
      </c>
      <c r="X1207">
        <v>55</v>
      </c>
      <c r="Y1207" s="5">
        <v>1.04</v>
      </c>
    </row>
    <row r="1208" spans="1:25" x14ac:dyDescent="0.25">
      <c r="A1208">
        <v>2021</v>
      </c>
      <c r="B1208" t="s">
        <v>57</v>
      </c>
      <c r="C1208">
        <v>2</v>
      </c>
      <c r="D1208">
        <v>18</v>
      </c>
      <c r="E1208" t="s">
        <v>93</v>
      </c>
      <c r="F1208" t="s">
        <v>189</v>
      </c>
      <c r="G1208">
        <f t="shared" si="18"/>
        <v>0</v>
      </c>
      <c r="H1208">
        <v>6</v>
      </c>
      <c r="I1208">
        <v>7</v>
      </c>
      <c r="J1208">
        <v>0</v>
      </c>
      <c r="K1208" s="6" t="s">
        <v>109</v>
      </c>
      <c r="L1208" s="6" t="s">
        <v>110</v>
      </c>
      <c r="M1208">
        <v>175</v>
      </c>
      <c r="N1208" s="1">
        <v>0.47</v>
      </c>
      <c r="O1208">
        <v>49</v>
      </c>
      <c r="P1208" s="1">
        <v>0.371</v>
      </c>
      <c r="Q1208" s="1">
        <v>0.81799999999999995</v>
      </c>
      <c r="R1208">
        <v>471</v>
      </c>
      <c r="S1208">
        <v>50</v>
      </c>
      <c r="T1208">
        <v>126</v>
      </c>
      <c r="U1208">
        <v>92</v>
      </c>
      <c r="V1208">
        <v>24</v>
      </c>
      <c r="W1208">
        <v>23</v>
      </c>
      <c r="X1208">
        <v>47</v>
      </c>
      <c r="Y1208" s="5">
        <v>1.96</v>
      </c>
    </row>
    <row r="1209" spans="1:25" x14ac:dyDescent="0.25">
      <c r="A1209">
        <v>2021</v>
      </c>
      <c r="B1209" t="s">
        <v>57</v>
      </c>
      <c r="C1209">
        <v>2</v>
      </c>
      <c r="D1209">
        <v>18</v>
      </c>
      <c r="E1209" t="s">
        <v>96</v>
      </c>
      <c r="F1209" t="s">
        <v>102</v>
      </c>
      <c r="G1209">
        <f t="shared" si="18"/>
        <v>1</v>
      </c>
      <c r="H1209">
        <v>7</v>
      </c>
      <c r="I1209">
        <v>6</v>
      </c>
      <c r="J1209">
        <v>0</v>
      </c>
      <c r="K1209" s="6" t="s">
        <v>104</v>
      </c>
      <c r="L1209" s="6" t="s">
        <v>105</v>
      </c>
      <c r="M1209">
        <v>177</v>
      </c>
      <c r="N1209" s="1">
        <v>0.433</v>
      </c>
      <c r="O1209">
        <v>63</v>
      </c>
      <c r="P1209" s="1">
        <v>0.377</v>
      </c>
      <c r="Q1209" s="1">
        <v>0.82099999999999995</v>
      </c>
      <c r="R1209">
        <v>495</v>
      </c>
      <c r="S1209">
        <v>29</v>
      </c>
      <c r="T1209">
        <v>128</v>
      </c>
      <c r="U1209">
        <v>101</v>
      </c>
      <c r="V1209">
        <v>22</v>
      </c>
      <c r="W1209">
        <v>12</v>
      </c>
      <c r="X1209">
        <v>79</v>
      </c>
      <c r="Y1209" s="5">
        <v>1.28</v>
      </c>
    </row>
    <row r="1210" spans="1:25" x14ac:dyDescent="0.25">
      <c r="A1210">
        <v>2021</v>
      </c>
      <c r="B1210" t="s">
        <v>57</v>
      </c>
      <c r="C1210">
        <v>2</v>
      </c>
      <c r="D1210">
        <v>19</v>
      </c>
      <c r="E1210" t="s">
        <v>21</v>
      </c>
      <c r="F1210" t="s">
        <v>50</v>
      </c>
      <c r="G1210">
        <f t="shared" si="18"/>
        <v>1</v>
      </c>
      <c r="H1210">
        <v>11</v>
      </c>
      <c r="I1210">
        <v>2</v>
      </c>
      <c r="J1210">
        <v>0</v>
      </c>
      <c r="K1210" s="6" t="s">
        <v>107</v>
      </c>
      <c r="L1210" s="6" t="s">
        <v>108</v>
      </c>
      <c r="M1210">
        <v>186</v>
      </c>
      <c r="N1210" s="1">
        <v>0.46</v>
      </c>
      <c r="O1210">
        <v>55</v>
      </c>
      <c r="P1210" s="1">
        <v>0.36399999999999999</v>
      </c>
      <c r="Q1210" s="1">
        <v>0.82299999999999995</v>
      </c>
      <c r="R1210">
        <v>529</v>
      </c>
      <c r="S1210">
        <v>40</v>
      </c>
      <c r="T1210">
        <v>146</v>
      </c>
      <c r="U1210">
        <v>109</v>
      </c>
      <c r="V1210">
        <v>23</v>
      </c>
      <c r="W1210">
        <v>15</v>
      </c>
      <c r="X1210">
        <v>63</v>
      </c>
      <c r="Y1210" s="5">
        <v>1.73</v>
      </c>
    </row>
    <row r="1211" spans="1:25" x14ac:dyDescent="0.25">
      <c r="A1211">
        <v>2021</v>
      </c>
      <c r="B1211" t="s">
        <v>57</v>
      </c>
      <c r="C1211">
        <v>2</v>
      </c>
      <c r="D1211">
        <v>19</v>
      </c>
      <c r="E1211" t="s">
        <v>95</v>
      </c>
      <c r="F1211" t="s">
        <v>101</v>
      </c>
      <c r="G1211">
        <f t="shared" si="18"/>
        <v>0</v>
      </c>
      <c r="H1211">
        <v>2</v>
      </c>
      <c r="I1211">
        <v>11</v>
      </c>
      <c r="J1211">
        <v>0</v>
      </c>
      <c r="K1211" s="6" t="s">
        <v>70</v>
      </c>
      <c r="L1211" s="6" t="s">
        <v>87</v>
      </c>
      <c r="M1211">
        <v>131</v>
      </c>
      <c r="N1211" s="1">
        <v>0.443</v>
      </c>
      <c r="O1211">
        <v>46</v>
      </c>
      <c r="P1211" s="1">
        <v>0.35699999999999998</v>
      </c>
      <c r="Q1211" s="1">
        <v>0.68700000000000006</v>
      </c>
      <c r="R1211">
        <v>365</v>
      </c>
      <c r="S1211">
        <v>33</v>
      </c>
      <c r="T1211">
        <v>101</v>
      </c>
      <c r="U1211">
        <v>69</v>
      </c>
      <c r="V1211">
        <v>18</v>
      </c>
      <c r="W1211">
        <v>26</v>
      </c>
      <c r="X1211">
        <v>47</v>
      </c>
      <c r="Y1211" s="5">
        <v>1.47</v>
      </c>
    </row>
    <row r="1212" spans="1:25" x14ac:dyDescent="0.25">
      <c r="A1212">
        <v>2021</v>
      </c>
      <c r="B1212" t="s">
        <v>57</v>
      </c>
      <c r="C1212">
        <v>2</v>
      </c>
      <c r="D1212">
        <v>20</v>
      </c>
      <c r="E1212" t="s">
        <v>25</v>
      </c>
      <c r="F1212" t="s">
        <v>53</v>
      </c>
      <c r="G1212">
        <f t="shared" si="18"/>
        <v>1</v>
      </c>
      <c r="H1212">
        <v>7</v>
      </c>
      <c r="I1212">
        <v>5</v>
      </c>
      <c r="J1212">
        <v>1</v>
      </c>
      <c r="K1212" s="6" t="s">
        <v>63</v>
      </c>
      <c r="L1212" s="6" t="s">
        <v>79</v>
      </c>
      <c r="M1212">
        <v>144</v>
      </c>
      <c r="N1212" s="1">
        <v>0.432</v>
      </c>
      <c r="O1212">
        <v>40</v>
      </c>
      <c r="P1212" s="1">
        <v>0.308</v>
      </c>
      <c r="Q1212" s="1">
        <v>0.78400000000000003</v>
      </c>
      <c r="R1212">
        <v>386</v>
      </c>
      <c r="S1212">
        <v>35</v>
      </c>
      <c r="T1212">
        <v>117</v>
      </c>
      <c r="U1212">
        <v>85</v>
      </c>
      <c r="V1212">
        <v>25</v>
      </c>
      <c r="W1212">
        <v>25</v>
      </c>
      <c r="X1212">
        <v>55</v>
      </c>
      <c r="Y1212" s="5">
        <v>1.55</v>
      </c>
    </row>
    <row r="1213" spans="1:25" x14ac:dyDescent="0.25">
      <c r="A1213">
        <v>2021</v>
      </c>
      <c r="B1213" t="s">
        <v>57</v>
      </c>
      <c r="C1213">
        <v>2</v>
      </c>
      <c r="D1213">
        <v>20</v>
      </c>
      <c r="E1213" t="s">
        <v>17</v>
      </c>
      <c r="F1213" t="s">
        <v>43</v>
      </c>
      <c r="G1213">
        <f t="shared" si="18"/>
        <v>0</v>
      </c>
      <c r="H1213">
        <v>5</v>
      </c>
      <c r="I1213">
        <v>7</v>
      </c>
      <c r="J1213">
        <v>1</v>
      </c>
      <c r="K1213" s="6" t="s">
        <v>68</v>
      </c>
      <c r="L1213" s="6" t="s">
        <v>84</v>
      </c>
      <c r="M1213">
        <v>120</v>
      </c>
      <c r="N1213" s="1">
        <v>0.435</v>
      </c>
      <c r="O1213">
        <v>50</v>
      </c>
      <c r="P1213" s="1">
        <v>0.38200000000000001</v>
      </c>
      <c r="Q1213" s="1">
        <v>0.755</v>
      </c>
      <c r="R1213">
        <v>364</v>
      </c>
      <c r="S1213">
        <v>34</v>
      </c>
      <c r="T1213">
        <v>87</v>
      </c>
      <c r="U1213">
        <v>83</v>
      </c>
      <c r="V1213">
        <v>25</v>
      </c>
      <c r="W1213">
        <v>9</v>
      </c>
      <c r="X1213">
        <v>49</v>
      </c>
      <c r="Y1213" s="5">
        <v>1.69</v>
      </c>
    </row>
    <row r="1214" spans="1:25" x14ac:dyDescent="0.25">
      <c r="A1214">
        <v>2021</v>
      </c>
      <c r="B1214" t="s">
        <v>57</v>
      </c>
      <c r="C1214">
        <v>3</v>
      </c>
      <c r="D1214">
        <v>21</v>
      </c>
      <c r="E1214" t="s">
        <v>16</v>
      </c>
      <c r="F1214" t="s">
        <v>51</v>
      </c>
      <c r="G1214">
        <f t="shared" si="18"/>
        <v>0</v>
      </c>
      <c r="H1214">
        <v>6</v>
      </c>
      <c r="I1214">
        <v>7</v>
      </c>
      <c r="J1214">
        <v>0</v>
      </c>
      <c r="K1214" s="6" t="s">
        <v>114</v>
      </c>
      <c r="L1214" s="6" t="s">
        <v>90</v>
      </c>
      <c r="M1214">
        <v>196</v>
      </c>
      <c r="N1214" s="1">
        <v>0.49199999999999999</v>
      </c>
      <c r="O1214">
        <v>45</v>
      </c>
      <c r="P1214" s="1">
        <v>0.34899999999999998</v>
      </c>
      <c r="Q1214" s="1">
        <v>0.72699999999999998</v>
      </c>
      <c r="R1214">
        <v>501</v>
      </c>
      <c r="S1214">
        <v>62</v>
      </c>
      <c r="T1214">
        <v>214</v>
      </c>
      <c r="U1214">
        <v>169</v>
      </c>
      <c r="V1214">
        <v>39</v>
      </c>
      <c r="W1214">
        <v>25</v>
      </c>
      <c r="X1214">
        <v>78</v>
      </c>
      <c r="Y1214" s="5">
        <v>2.17</v>
      </c>
    </row>
    <row r="1215" spans="1:25" x14ac:dyDescent="0.25">
      <c r="A1215">
        <v>2021</v>
      </c>
      <c r="B1215" t="s">
        <v>57</v>
      </c>
      <c r="C1215">
        <v>3</v>
      </c>
      <c r="D1215">
        <v>21</v>
      </c>
      <c r="E1215" t="s">
        <v>99</v>
      </c>
      <c r="F1215" t="s">
        <v>45</v>
      </c>
      <c r="G1215">
        <f t="shared" si="18"/>
        <v>1</v>
      </c>
      <c r="H1215">
        <v>7</v>
      </c>
      <c r="I1215">
        <v>6</v>
      </c>
      <c r="J1215">
        <v>0</v>
      </c>
      <c r="K1215" s="6" t="s">
        <v>60</v>
      </c>
      <c r="L1215" s="6" t="s">
        <v>75</v>
      </c>
      <c r="M1215">
        <v>217</v>
      </c>
      <c r="N1215" s="1">
        <v>0.48099999999999998</v>
      </c>
      <c r="O1215">
        <v>67</v>
      </c>
      <c r="P1215" s="1">
        <v>0.40899999999999997</v>
      </c>
      <c r="Q1215" s="1">
        <v>0.68700000000000006</v>
      </c>
      <c r="R1215">
        <v>580</v>
      </c>
      <c r="S1215">
        <v>63</v>
      </c>
      <c r="T1215">
        <v>185</v>
      </c>
      <c r="U1215">
        <v>106</v>
      </c>
      <c r="V1215">
        <v>36</v>
      </c>
      <c r="W1215">
        <v>34</v>
      </c>
      <c r="X1215">
        <v>67</v>
      </c>
      <c r="Y1215" s="5">
        <v>1.58</v>
      </c>
    </row>
    <row r="1216" spans="1:25" x14ac:dyDescent="0.25">
      <c r="A1216">
        <v>2021</v>
      </c>
      <c r="B1216" t="s">
        <v>57</v>
      </c>
      <c r="C1216">
        <v>3</v>
      </c>
      <c r="D1216">
        <v>22</v>
      </c>
      <c r="E1216" t="s">
        <v>190</v>
      </c>
      <c r="F1216" t="s">
        <v>103</v>
      </c>
      <c r="G1216">
        <f t="shared" si="18"/>
        <v>0</v>
      </c>
      <c r="H1216">
        <v>6</v>
      </c>
      <c r="I1216">
        <v>6</v>
      </c>
      <c r="J1216">
        <v>1</v>
      </c>
      <c r="K1216" s="6" t="s">
        <v>61</v>
      </c>
      <c r="L1216" s="6" t="s">
        <v>77</v>
      </c>
      <c r="M1216">
        <v>155</v>
      </c>
      <c r="N1216" s="1">
        <v>0.48399999999999999</v>
      </c>
      <c r="O1216">
        <v>64</v>
      </c>
      <c r="P1216" s="1">
        <v>0.44800000000000001</v>
      </c>
      <c r="Q1216" s="1">
        <v>0.78500000000000003</v>
      </c>
      <c r="R1216">
        <v>447</v>
      </c>
      <c r="S1216">
        <v>20</v>
      </c>
      <c r="T1216">
        <v>123</v>
      </c>
      <c r="U1216">
        <v>98</v>
      </c>
      <c r="V1216">
        <v>36</v>
      </c>
      <c r="W1216">
        <v>15</v>
      </c>
      <c r="X1216">
        <v>52</v>
      </c>
      <c r="Y1216" s="5">
        <v>1.88</v>
      </c>
    </row>
    <row r="1217" spans="1:25" x14ac:dyDescent="0.25">
      <c r="A1217">
        <v>2021</v>
      </c>
      <c r="B1217" t="s">
        <v>57</v>
      </c>
      <c r="C1217">
        <v>3</v>
      </c>
      <c r="D1217">
        <v>22</v>
      </c>
      <c r="E1217" t="s">
        <v>15</v>
      </c>
      <c r="F1217" t="s">
        <v>48</v>
      </c>
      <c r="G1217">
        <f t="shared" si="18"/>
        <v>0</v>
      </c>
      <c r="H1217">
        <v>6</v>
      </c>
      <c r="I1217">
        <v>6</v>
      </c>
      <c r="J1217">
        <v>1</v>
      </c>
      <c r="K1217" s="6" t="s">
        <v>191</v>
      </c>
      <c r="L1217" s="6" t="s">
        <v>113</v>
      </c>
      <c r="M1217">
        <v>182</v>
      </c>
      <c r="N1217" s="1">
        <v>0.44700000000000001</v>
      </c>
      <c r="O1217">
        <v>43</v>
      </c>
      <c r="P1217" s="1">
        <v>0.31900000000000001</v>
      </c>
      <c r="Q1217" s="1">
        <v>0.83499999999999996</v>
      </c>
      <c r="R1217">
        <v>498</v>
      </c>
      <c r="S1217">
        <v>30</v>
      </c>
      <c r="T1217">
        <v>118</v>
      </c>
      <c r="U1217">
        <v>114</v>
      </c>
      <c r="V1217">
        <v>24</v>
      </c>
      <c r="W1217">
        <v>12</v>
      </c>
      <c r="X1217">
        <v>52</v>
      </c>
      <c r="Y1217" s="5">
        <v>2.19</v>
      </c>
    </row>
    <row r="1218" spans="1:25" x14ac:dyDescent="0.25">
      <c r="A1218">
        <v>2021</v>
      </c>
      <c r="B1218" t="s">
        <v>57</v>
      </c>
      <c r="C1218">
        <v>3</v>
      </c>
      <c r="D1218">
        <v>23</v>
      </c>
      <c r="E1218" t="s">
        <v>23</v>
      </c>
      <c r="F1218" t="s">
        <v>120</v>
      </c>
      <c r="G1218">
        <f t="shared" ref="G1218:G1281" si="19">IF(H1218+0.5*J1218&gt;6.5,1,0)</f>
        <v>1</v>
      </c>
      <c r="H1218">
        <v>10</v>
      </c>
      <c r="I1218">
        <v>3</v>
      </c>
      <c r="J1218">
        <v>0</v>
      </c>
      <c r="K1218" s="6" t="s">
        <v>106</v>
      </c>
      <c r="L1218" s="6" t="s">
        <v>83</v>
      </c>
      <c r="M1218">
        <v>167</v>
      </c>
      <c r="N1218" s="1">
        <v>0.48</v>
      </c>
      <c r="O1218">
        <v>49</v>
      </c>
      <c r="P1218" s="1">
        <v>0.36</v>
      </c>
      <c r="Q1218" s="1">
        <v>0.80200000000000005</v>
      </c>
      <c r="R1218">
        <v>484</v>
      </c>
      <c r="S1218">
        <v>47</v>
      </c>
      <c r="T1218">
        <v>148</v>
      </c>
      <c r="U1218">
        <v>103</v>
      </c>
      <c r="V1218">
        <v>28</v>
      </c>
      <c r="W1218">
        <v>12</v>
      </c>
      <c r="X1218">
        <v>44</v>
      </c>
      <c r="Y1218" s="5">
        <v>2.34</v>
      </c>
    </row>
    <row r="1219" spans="1:25" x14ac:dyDescent="0.25">
      <c r="A1219">
        <v>2021</v>
      </c>
      <c r="B1219" t="s">
        <v>57</v>
      </c>
      <c r="C1219">
        <v>3</v>
      </c>
      <c r="D1219">
        <v>23</v>
      </c>
      <c r="E1219" t="s">
        <v>94</v>
      </c>
      <c r="F1219" t="s">
        <v>40</v>
      </c>
      <c r="G1219">
        <f t="shared" si="19"/>
        <v>0</v>
      </c>
      <c r="H1219">
        <v>3</v>
      </c>
      <c r="I1219">
        <v>10</v>
      </c>
      <c r="J1219">
        <v>0</v>
      </c>
      <c r="K1219" s="6" t="s">
        <v>71</v>
      </c>
      <c r="L1219" s="6" t="s">
        <v>121</v>
      </c>
      <c r="M1219">
        <v>126</v>
      </c>
      <c r="N1219" s="1">
        <v>0.5</v>
      </c>
      <c r="O1219">
        <v>35</v>
      </c>
      <c r="P1219" s="1">
        <v>0.41199999999999998</v>
      </c>
      <c r="Q1219" s="1">
        <v>0.75600000000000001</v>
      </c>
      <c r="R1219">
        <v>321</v>
      </c>
      <c r="S1219">
        <v>28</v>
      </c>
      <c r="T1219">
        <v>110</v>
      </c>
      <c r="U1219">
        <v>68</v>
      </c>
      <c r="V1219">
        <v>25</v>
      </c>
      <c r="W1219">
        <v>11</v>
      </c>
      <c r="X1219">
        <v>34</v>
      </c>
      <c r="Y1219" s="5">
        <v>2</v>
      </c>
    </row>
    <row r="1220" spans="1:25" x14ac:dyDescent="0.25">
      <c r="A1220">
        <v>2021</v>
      </c>
      <c r="B1220" t="s">
        <v>57</v>
      </c>
      <c r="C1220">
        <v>3</v>
      </c>
      <c r="D1220">
        <v>24</v>
      </c>
      <c r="E1220" t="s">
        <v>26</v>
      </c>
      <c r="F1220" t="s">
        <v>118</v>
      </c>
      <c r="G1220">
        <f t="shared" si="19"/>
        <v>1</v>
      </c>
      <c r="H1220">
        <v>12</v>
      </c>
      <c r="I1220">
        <v>1</v>
      </c>
      <c r="J1220">
        <v>0</v>
      </c>
      <c r="K1220" s="6" t="s">
        <v>109</v>
      </c>
      <c r="L1220" s="6" t="s">
        <v>110</v>
      </c>
      <c r="M1220">
        <v>208</v>
      </c>
      <c r="N1220" s="1">
        <v>0.46500000000000002</v>
      </c>
      <c r="O1220">
        <v>69</v>
      </c>
      <c r="P1220" s="1">
        <v>0.39900000000000002</v>
      </c>
      <c r="Q1220" s="1">
        <v>0.748</v>
      </c>
      <c r="R1220">
        <v>568</v>
      </c>
      <c r="S1220">
        <v>49</v>
      </c>
      <c r="T1220">
        <v>195</v>
      </c>
      <c r="U1220">
        <v>137</v>
      </c>
      <c r="V1220">
        <v>42</v>
      </c>
      <c r="W1220">
        <v>28</v>
      </c>
      <c r="X1220">
        <v>67</v>
      </c>
      <c r="Y1220" s="5">
        <v>2.04</v>
      </c>
    </row>
    <row r="1221" spans="1:25" x14ac:dyDescent="0.25">
      <c r="A1221">
        <v>2021</v>
      </c>
      <c r="B1221" t="s">
        <v>57</v>
      </c>
      <c r="C1221">
        <v>3</v>
      </c>
      <c r="D1221">
        <v>24</v>
      </c>
      <c r="E1221" t="s">
        <v>96</v>
      </c>
      <c r="F1221" t="s">
        <v>102</v>
      </c>
      <c r="G1221">
        <f t="shared" si="19"/>
        <v>0</v>
      </c>
      <c r="H1221">
        <v>1</v>
      </c>
      <c r="I1221">
        <v>12</v>
      </c>
      <c r="J1221">
        <v>0</v>
      </c>
      <c r="K1221" s="6" t="s">
        <v>65</v>
      </c>
      <c r="L1221" s="6" t="s">
        <v>119</v>
      </c>
      <c r="M1221">
        <v>177</v>
      </c>
      <c r="N1221" s="1">
        <v>0.41299999999999998</v>
      </c>
      <c r="O1221">
        <v>52</v>
      </c>
      <c r="P1221" s="1">
        <v>0.30099999999999999</v>
      </c>
      <c r="Q1221" s="1">
        <v>0.81599999999999995</v>
      </c>
      <c r="R1221">
        <v>499</v>
      </c>
      <c r="S1221">
        <v>34</v>
      </c>
      <c r="T1221">
        <v>144</v>
      </c>
      <c r="U1221">
        <v>130</v>
      </c>
      <c r="V1221">
        <v>28</v>
      </c>
      <c r="W1221">
        <v>18</v>
      </c>
      <c r="X1221">
        <v>80</v>
      </c>
      <c r="Y1221" s="5">
        <v>1.63</v>
      </c>
    </row>
    <row r="1222" spans="1:25" x14ac:dyDescent="0.25">
      <c r="A1222">
        <v>2021</v>
      </c>
      <c r="B1222" t="s">
        <v>57</v>
      </c>
      <c r="C1222">
        <v>3</v>
      </c>
      <c r="D1222">
        <v>25</v>
      </c>
      <c r="E1222" t="s">
        <v>33</v>
      </c>
      <c r="F1222" t="s">
        <v>42</v>
      </c>
      <c r="G1222">
        <f t="shared" si="19"/>
        <v>0</v>
      </c>
      <c r="H1222">
        <v>5</v>
      </c>
      <c r="I1222">
        <v>8</v>
      </c>
      <c r="J1222">
        <v>0</v>
      </c>
      <c r="K1222" s="6" t="s">
        <v>111</v>
      </c>
      <c r="L1222" s="6" t="s">
        <v>89</v>
      </c>
      <c r="M1222">
        <v>169</v>
      </c>
      <c r="N1222" s="1">
        <v>0.46</v>
      </c>
      <c r="O1222">
        <v>43</v>
      </c>
      <c r="P1222" s="1">
        <v>0.35199999999999998</v>
      </c>
      <c r="Q1222" s="1">
        <v>0.78</v>
      </c>
      <c r="R1222">
        <v>459</v>
      </c>
      <c r="S1222">
        <v>55</v>
      </c>
      <c r="T1222">
        <v>120</v>
      </c>
      <c r="U1222">
        <v>76</v>
      </c>
      <c r="V1222">
        <v>28</v>
      </c>
      <c r="W1222">
        <v>23</v>
      </c>
      <c r="X1222">
        <v>44</v>
      </c>
      <c r="Y1222" s="5">
        <v>1.73</v>
      </c>
    </row>
    <row r="1223" spans="1:25" x14ac:dyDescent="0.25">
      <c r="A1223">
        <v>2021</v>
      </c>
      <c r="B1223" t="s">
        <v>57</v>
      </c>
      <c r="C1223">
        <v>3</v>
      </c>
      <c r="D1223">
        <v>25</v>
      </c>
      <c r="E1223" t="s">
        <v>97</v>
      </c>
      <c r="F1223" t="s">
        <v>54</v>
      </c>
      <c r="G1223">
        <f t="shared" si="19"/>
        <v>1</v>
      </c>
      <c r="H1223">
        <v>8</v>
      </c>
      <c r="I1223">
        <v>5</v>
      </c>
      <c r="J1223">
        <v>0</v>
      </c>
      <c r="K1223" s="6" t="s">
        <v>72</v>
      </c>
      <c r="L1223" s="6" t="s">
        <v>85</v>
      </c>
      <c r="M1223">
        <v>224</v>
      </c>
      <c r="N1223" s="1">
        <v>0.51300000000000001</v>
      </c>
      <c r="O1223">
        <v>52</v>
      </c>
      <c r="P1223" s="1">
        <v>0.41899999999999998</v>
      </c>
      <c r="Q1223" s="1">
        <v>0.81100000000000005</v>
      </c>
      <c r="R1223">
        <v>637</v>
      </c>
      <c r="S1223">
        <v>27</v>
      </c>
      <c r="T1223">
        <v>161</v>
      </c>
      <c r="U1223">
        <v>129</v>
      </c>
      <c r="V1223">
        <v>20</v>
      </c>
      <c r="W1223">
        <v>17</v>
      </c>
      <c r="X1223">
        <v>91</v>
      </c>
      <c r="Y1223" s="5">
        <v>1.42</v>
      </c>
    </row>
    <row r="1224" spans="1:25" x14ac:dyDescent="0.25">
      <c r="A1224">
        <v>2021</v>
      </c>
      <c r="B1224" t="s">
        <v>57</v>
      </c>
      <c r="C1224">
        <v>3</v>
      </c>
      <c r="D1224">
        <v>26</v>
      </c>
      <c r="E1224" t="s">
        <v>18</v>
      </c>
      <c r="F1224" t="s">
        <v>52</v>
      </c>
      <c r="G1224">
        <f t="shared" si="19"/>
        <v>0</v>
      </c>
      <c r="H1224">
        <v>5</v>
      </c>
      <c r="I1224">
        <v>7</v>
      </c>
      <c r="J1224">
        <v>1</v>
      </c>
      <c r="K1224" s="6" t="s">
        <v>182</v>
      </c>
      <c r="L1224" s="6" t="s">
        <v>76</v>
      </c>
      <c r="M1224">
        <v>107</v>
      </c>
      <c r="N1224" s="1">
        <v>0.43099999999999999</v>
      </c>
      <c r="O1224">
        <v>40</v>
      </c>
      <c r="P1224" s="1">
        <v>0.33300000000000002</v>
      </c>
      <c r="Q1224" s="1">
        <v>0.75600000000000001</v>
      </c>
      <c r="R1224">
        <v>288</v>
      </c>
      <c r="S1224">
        <v>30</v>
      </c>
      <c r="T1224">
        <v>133</v>
      </c>
      <c r="U1224">
        <v>61</v>
      </c>
      <c r="V1224">
        <v>27</v>
      </c>
      <c r="W1224">
        <v>10</v>
      </c>
      <c r="X1224">
        <v>37</v>
      </c>
      <c r="Y1224" s="5">
        <v>1.65</v>
      </c>
    </row>
    <row r="1225" spans="1:25" x14ac:dyDescent="0.25">
      <c r="A1225">
        <v>2021</v>
      </c>
      <c r="B1225" t="s">
        <v>57</v>
      </c>
      <c r="C1225">
        <v>3</v>
      </c>
      <c r="D1225">
        <v>26</v>
      </c>
      <c r="E1225" t="s">
        <v>181</v>
      </c>
      <c r="F1225" t="s">
        <v>49</v>
      </c>
      <c r="G1225">
        <f t="shared" si="19"/>
        <v>1</v>
      </c>
      <c r="H1225">
        <v>7</v>
      </c>
      <c r="I1225">
        <v>5</v>
      </c>
      <c r="J1225">
        <v>1</v>
      </c>
      <c r="K1225" s="6" t="s">
        <v>59</v>
      </c>
      <c r="L1225" s="6" t="s">
        <v>74</v>
      </c>
      <c r="M1225">
        <v>135</v>
      </c>
      <c r="N1225" s="1">
        <v>0.47499999999999998</v>
      </c>
      <c r="O1225">
        <v>38</v>
      </c>
      <c r="P1225" s="1">
        <v>0.35199999999999998</v>
      </c>
      <c r="Q1225" s="1">
        <v>0.79700000000000004</v>
      </c>
      <c r="R1225">
        <v>359</v>
      </c>
      <c r="S1225">
        <v>30</v>
      </c>
      <c r="T1225">
        <v>113</v>
      </c>
      <c r="U1225">
        <v>66</v>
      </c>
      <c r="V1225">
        <v>17</v>
      </c>
      <c r="W1225">
        <v>12</v>
      </c>
      <c r="X1225">
        <v>45</v>
      </c>
      <c r="Y1225" s="5">
        <v>1.47</v>
      </c>
    </row>
    <row r="1226" spans="1:25" x14ac:dyDescent="0.25">
      <c r="A1226">
        <v>2021</v>
      </c>
      <c r="B1226" t="s">
        <v>57</v>
      </c>
      <c r="C1226">
        <v>3</v>
      </c>
      <c r="D1226">
        <v>27</v>
      </c>
      <c r="E1226" t="s">
        <v>21</v>
      </c>
      <c r="F1226" t="s">
        <v>50</v>
      </c>
      <c r="G1226">
        <f t="shared" si="19"/>
        <v>1</v>
      </c>
      <c r="H1226">
        <v>11</v>
      </c>
      <c r="I1226">
        <v>1</v>
      </c>
      <c r="J1226">
        <v>1</v>
      </c>
      <c r="K1226" s="6" t="s">
        <v>112</v>
      </c>
      <c r="L1226" s="6" t="s">
        <v>88</v>
      </c>
      <c r="M1226">
        <v>218</v>
      </c>
      <c r="N1226" s="1">
        <v>0.47899999999999998</v>
      </c>
      <c r="O1226">
        <v>72</v>
      </c>
      <c r="P1226" s="1">
        <v>0.40899999999999997</v>
      </c>
      <c r="Q1226" s="1">
        <v>0.80200000000000005</v>
      </c>
      <c r="R1226">
        <v>589</v>
      </c>
      <c r="S1226">
        <v>27</v>
      </c>
      <c r="T1226">
        <v>154</v>
      </c>
      <c r="U1226">
        <v>127</v>
      </c>
      <c r="V1226">
        <v>30</v>
      </c>
      <c r="W1226">
        <v>13</v>
      </c>
      <c r="X1226">
        <v>69</v>
      </c>
      <c r="Y1226" s="5">
        <v>1.84</v>
      </c>
    </row>
    <row r="1227" spans="1:25" x14ac:dyDescent="0.25">
      <c r="A1227">
        <v>2021</v>
      </c>
      <c r="B1227" t="s">
        <v>57</v>
      </c>
      <c r="C1227">
        <v>3</v>
      </c>
      <c r="D1227">
        <v>27</v>
      </c>
      <c r="E1227" t="s">
        <v>98</v>
      </c>
      <c r="F1227" t="s">
        <v>41</v>
      </c>
      <c r="G1227">
        <f t="shared" si="19"/>
        <v>0</v>
      </c>
      <c r="H1227">
        <v>1</v>
      </c>
      <c r="I1227">
        <v>11</v>
      </c>
      <c r="J1227">
        <v>1</v>
      </c>
      <c r="K1227" s="6" t="s">
        <v>70</v>
      </c>
      <c r="L1227" s="6" t="s">
        <v>87</v>
      </c>
      <c r="M1227">
        <v>106</v>
      </c>
      <c r="N1227" s="1">
        <v>0.45100000000000001</v>
      </c>
      <c r="O1227">
        <v>44</v>
      </c>
      <c r="P1227" s="1">
        <v>0.40400000000000003</v>
      </c>
      <c r="Q1227" s="1">
        <v>0.70699999999999996</v>
      </c>
      <c r="R1227">
        <v>285</v>
      </c>
      <c r="S1227">
        <v>27</v>
      </c>
      <c r="T1227">
        <v>80</v>
      </c>
      <c r="U1227">
        <v>53</v>
      </c>
      <c r="V1227">
        <v>25</v>
      </c>
      <c r="W1227">
        <v>11</v>
      </c>
      <c r="X1227">
        <v>38</v>
      </c>
      <c r="Y1227" s="5">
        <v>1.39</v>
      </c>
    </row>
    <row r="1228" spans="1:25" x14ac:dyDescent="0.25">
      <c r="A1228">
        <v>2021</v>
      </c>
      <c r="B1228" t="s">
        <v>57</v>
      </c>
      <c r="C1228">
        <v>3</v>
      </c>
      <c r="D1228">
        <v>28</v>
      </c>
      <c r="E1228" t="s">
        <v>17</v>
      </c>
      <c r="F1228" t="s">
        <v>43</v>
      </c>
      <c r="G1228">
        <f t="shared" si="19"/>
        <v>0</v>
      </c>
      <c r="H1228">
        <v>4</v>
      </c>
      <c r="I1228">
        <v>8</v>
      </c>
      <c r="J1228">
        <v>1</v>
      </c>
      <c r="K1228" s="6" t="s">
        <v>104</v>
      </c>
      <c r="L1228" s="6" t="s">
        <v>105</v>
      </c>
      <c r="M1228">
        <v>96</v>
      </c>
      <c r="N1228" s="1">
        <v>0.4</v>
      </c>
      <c r="O1228">
        <v>33</v>
      </c>
      <c r="P1228" s="1">
        <v>0.32400000000000001</v>
      </c>
      <c r="Q1228" s="1">
        <v>0.8</v>
      </c>
      <c r="R1228">
        <v>289</v>
      </c>
      <c r="S1228">
        <v>30</v>
      </c>
      <c r="T1228">
        <v>112</v>
      </c>
      <c r="U1228">
        <v>83</v>
      </c>
      <c r="V1228">
        <v>27</v>
      </c>
      <c r="W1228">
        <v>18</v>
      </c>
      <c r="X1228">
        <v>30</v>
      </c>
      <c r="Y1228" s="5">
        <v>2.77</v>
      </c>
    </row>
    <row r="1229" spans="1:25" x14ac:dyDescent="0.25">
      <c r="A1229">
        <v>2021</v>
      </c>
      <c r="B1229" t="s">
        <v>57</v>
      </c>
      <c r="C1229">
        <v>3</v>
      </c>
      <c r="D1229">
        <v>28</v>
      </c>
      <c r="E1229" t="s">
        <v>93</v>
      </c>
      <c r="F1229" t="s">
        <v>189</v>
      </c>
      <c r="G1229">
        <f t="shared" si="19"/>
        <v>1</v>
      </c>
      <c r="H1229">
        <v>8</v>
      </c>
      <c r="I1229">
        <v>4</v>
      </c>
      <c r="J1229">
        <v>1</v>
      </c>
      <c r="K1229" s="6" t="s">
        <v>63</v>
      </c>
      <c r="L1229" s="6" t="s">
        <v>79</v>
      </c>
      <c r="M1229">
        <v>173</v>
      </c>
      <c r="N1229" s="1">
        <v>0.49299999999999999</v>
      </c>
      <c r="O1229">
        <v>43</v>
      </c>
      <c r="P1229" s="1">
        <v>0.374</v>
      </c>
      <c r="Q1229" s="1">
        <v>0.747</v>
      </c>
      <c r="R1229">
        <v>448</v>
      </c>
      <c r="S1229">
        <v>49</v>
      </c>
      <c r="T1229">
        <v>143</v>
      </c>
      <c r="U1229">
        <v>78</v>
      </c>
      <c r="V1229">
        <v>27</v>
      </c>
      <c r="W1229">
        <v>42</v>
      </c>
      <c r="X1229">
        <v>39</v>
      </c>
      <c r="Y1229" s="5">
        <v>2</v>
      </c>
    </row>
    <row r="1230" spans="1:25" x14ac:dyDescent="0.25">
      <c r="A1230">
        <v>2021</v>
      </c>
      <c r="B1230" t="s">
        <v>57</v>
      </c>
      <c r="C1230">
        <v>3</v>
      </c>
      <c r="D1230">
        <v>29</v>
      </c>
      <c r="E1230" t="s">
        <v>95</v>
      </c>
      <c r="F1230" t="s">
        <v>101</v>
      </c>
      <c r="G1230">
        <f t="shared" si="19"/>
        <v>0</v>
      </c>
      <c r="H1230">
        <v>3</v>
      </c>
      <c r="I1230">
        <v>10</v>
      </c>
      <c r="J1230">
        <v>0</v>
      </c>
      <c r="K1230" s="6" t="s">
        <v>64</v>
      </c>
      <c r="L1230" s="6" t="s">
        <v>80</v>
      </c>
      <c r="M1230">
        <v>127</v>
      </c>
      <c r="N1230" s="1">
        <v>0.377</v>
      </c>
      <c r="O1230">
        <v>44</v>
      </c>
      <c r="P1230" s="1">
        <v>0.28199999999999997</v>
      </c>
      <c r="Q1230" s="1">
        <v>0.77600000000000002</v>
      </c>
      <c r="R1230">
        <v>357</v>
      </c>
      <c r="S1230">
        <v>28</v>
      </c>
      <c r="T1230">
        <v>101</v>
      </c>
      <c r="U1230">
        <v>105</v>
      </c>
      <c r="V1230">
        <v>36</v>
      </c>
      <c r="W1230">
        <v>13</v>
      </c>
      <c r="X1230">
        <v>49</v>
      </c>
      <c r="Y1230" s="5">
        <v>2.14</v>
      </c>
    </row>
    <row r="1231" spans="1:25" x14ac:dyDescent="0.25">
      <c r="A1231">
        <v>2021</v>
      </c>
      <c r="B1231" t="s">
        <v>57</v>
      </c>
      <c r="C1231">
        <v>3</v>
      </c>
      <c r="D1231">
        <v>29</v>
      </c>
      <c r="E1231" t="s">
        <v>28</v>
      </c>
      <c r="F1231" t="s">
        <v>46</v>
      </c>
      <c r="G1231">
        <f t="shared" si="19"/>
        <v>1</v>
      </c>
      <c r="H1231">
        <v>10</v>
      </c>
      <c r="I1231">
        <v>3</v>
      </c>
      <c r="J1231">
        <v>0</v>
      </c>
      <c r="K1231" s="6" t="s">
        <v>107</v>
      </c>
      <c r="L1231" s="6" t="s">
        <v>108</v>
      </c>
      <c r="M1231">
        <v>234</v>
      </c>
      <c r="N1231" s="1">
        <v>0.48499999999999999</v>
      </c>
      <c r="O1231">
        <v>84</v>
      </c>
      <c r="P1231" s="1">
        <v>0.41799999999999998</v>
      </c>
      <c r="Q1231" s="1">
        <v>0.76500000000000001</v>
      </c>
      <c r="R1231">
        <v>617</v>
      </c>
      <c r="S1231">
        <v>42</v>
      </c>
      <c r="T1231">
        <v>201</v>
      </c>
      <c r="U1231">
        <v>133</v>
      </c>
      <c r="V1231">
        <v>33</v>
      </c>
      <c r="W1231">
        <v>22</v>
      </c>
      <c r="X1231">
        <v>61</v>
      </c>
      <c r="Y1231" s="5">
        <v>2.1800000000000002</v>
      </c>
    </row>
    <row r="1232" spans="1:25" x14ac:dyDescent="0.25">
      <c r="A1232">
        <v>2021</v>
      </c>
      <c r="B1232" t="s">
        <v>57</v>
      </c>
      <c r="C1232">
        <v>3</v>
      </c>
      <c r="D1232">
        <v>30</v>
      </c>
      <c r="E1232" t="s">
        <v>25</v>
      </c>
      <c r="F1232" t="s">
        <v>53</v>
      </c>
      <c r="G1232">
        <f t="shared" si="19"/>
        <v>0</v>
      </c>
      <c r="H1232">
        <v>4</v>
      </c>
      <c r="I1232">
        <v>9</v>
      </c>
      <c r="J1232">
        <v>0</v>
      </c>
      <c r="K1232" s="6" t="s">
        <v>193</v>
      </c>
      <c r="L1232" s="6" t="s">
        <v>117</v>
      </c>
      <c r="M1232">
        <v>161</v>
      </c>
      <c r="N1232" s="1">
        <v>0.441</v>
      </c>
      <c r="O1232">
        <v>44</v>
      </c>
      <c r="P1232" s="1">
        <v>0.35799999999999998</v>
      </c>
      <c r="Q1232" s="1">
        <v>0.68500000000000005</v>
      </c>
      <c r="R1232">
        <v>416</v>
      </c>
      <c r="S1232">
        <v>44</v>
      </c>
      <c r="T1232">
        <v>143</v>
      </c>
      <c r="U1232">
        <v>83</v>
      </c>
      <c r="V1232">
        <v>25</v>
      </c>
      <c r="W1232">
        <v>18</v>
      </c>
      <c r="X1232">
        <v>48</v>
      </c>
      <c r="Y1232" s="5">
        <v>1.73</v>
      </c>
    </row>
    <row r="1233" spans="1:25" x14ac:dyDescent="0.25">
      <c r="A1233">
        <v>2021</v>
      </c>
      <c r="B1233" t="s">
        <v>57</v>
      </c>
      <c r="C1233">
        <v>3</v>
      </c>
      <c r="D1233">
        <v>30</v>
      </c>
      <c r="E1233" t="s">
        <v>159</v>
      </c>
      <c r="F1233" t="s">
        <v>116</v>
      </c>
      <c r="G1233">
        <f t="shared" si="19"/>
        <v>1</v>
      </c>
      <c r="H1233">
        <v>9</v>
      </c>
      <c r="I1233">
        <v>4</v>
      </c>
      <c r="J1233">
        <v>0</v>
      </c>
      <c r="K1233" s="6" t="s">
        <v>68</v>
      </c>
      <c r="L1233" s="6" t="s">
        <v>84</v>
      </c>
      <c r="M1233">
        <v>266</v>
      </c>
      <c r="N1233" s="1">
        <v>0.48599999999999999</v>
      </c>
      <c r="O1233">
        <v>79</v>
      </c>
      <c r="P1233" s="1">
        <v>0.41099999999999998</v>
      </c>
      <c r="Q1233" s="1">
        <v>0.81899999999999995</v>
      </c>
      <c r="R1233">
        <v>715</v>
      </c>
      <c r="S1233">
        <v>32</v>
      </c>
      <c r="T1233">
        <v>199</v>
      </c>
      <c r="U1233">
        <v>163</v>
      </c>
      <c r="V1233">
        <v>24</v>
      </c>
      <c r="W1233">
        <v>17</v>
      </c>
      <c r="X1233">
        <v>78</v>
      </c>
      <c r="Y1233" s="5">
        <v>2.09</v>
      </c>
    </row>
    <row r="1234" spans="1:25" x14ac:dyDescent="0.25">
      <c r="A1234">
        <v>2021</v>
      </c>
      <c r="B1234" t="s">
        <v>57</v>
      </c>
      <c r="C1234">
        <v>4</v>
      </c>
      <c r="D1234">
        <v>31</v>
      </c>
      <c r="E1234" t="s">
        <v>16</v>
      </c>
      <c r="F1234" t="s">
        <v>51</v>
      </c>
      <c r="G1234">
        <f t="shared" si="19"/>
        <v>1</v>
      </c>
      <c r="H1234">
        <v>10</v>
      </c>
      <c r="I1234">
        <v>3</v>
      </c>
      <c r="J1234">
        <v>0</v>
      </c>
      <c r="K1234" s="6" t="s">
        <v>63</v>
      </c>
      <c r="L1234" s="6" t="s">
        <v>79</v>
      </c>
      <c r="M1234">
        <v>166</v>
      </c>
      <c r="N1234" s="1">
        <v>0.44</v>
      </c>
      <c r="O1234">
        <v>42</v>
      </c>
      <c r="P1234" s="1">
        <v>0.32800000000000001</v>
      </c>
      <c r="Q1234" s="1">
        <v>0.64</v>
      </c>
      <c r="R1234">
        <v>422</v>
      </c>
      <c r="S1234">
        <v>62</v>
      </c>
      <c r="T1234">
        <v>156</v>
      </c>
      <c r="U1234">
        <v>137</v>
      </c>
      <c r="V1234">
        <v>35</v>
      </c>
      <c r="W1234">
        <v>23</v>
      </c>
      <c r="X1234">
        <v>55</v>
      </c>
      <c r="Y1234" s="5">
        <v>2.4900000000000002</v>
      </c>
    </row>
    <row r="1235" spans="1:25" x14ac:dyDescent="0.25">
      <c r="A1235">
        <v>2021</v>
      </c>
      <c r="B1235" t="s">
        <v>57</v>
      </c>
      <c r="C1235">
        <v>4</v>
      </c>
      <c r="D1235">
        <v>31</v>
      </c>
      <c r="E1235" t="s">
        <v>17</v>
      </c>
      <c r="F1235" t="s">
        <v>43</v>
      </c>
      <c r="G1235">
        <f t="shared" si="19"/>
        <v>0</v>
      </c>
      <c r="H1235">
        <v>3</v>
      </c>
      <c r="I1235">
        <v>10</v>
      </c>
      <c r="J1235">
        <v>0</v>
      </c>
      <c r="K1235" s="6" t="s">
        <v>60</v>
      </c>
      <c r="L1235" s="6" t="s">
        <v>75</v>
      </c>
      <c r="M1235">
        <v>138</v>
      </c>
      <c r="N1235" s="1">
        <v>0.45100000000000001</v>
      </c>
      <c r="O1235">
        <v>34</v>
      </c>
      <c r="P1235" s="1">
        <v>0.29599999999999999</v>
      </c>
      <c r="Q1235" s="1">
        <v>0.83299999999999996</v>
      </c>
      <c r="R1235">
        <v>385</v>
      </c>
      <c r="S1235">
        <v>53</v>
      </c>
      <c r="T1235">
        <v>100</v>
      </c>
      <c r="U1235">
        <v>87</v>
      </c>
      <c r="V1235">
        <v>22</v>
      </c>
      <c r="W1235">
        <v>18</v>
      </c>
      <c r="X1235">
        <v>48</v>
      </c>
      <c r="Y1235" s="5">
        <v>1.81</v>
      </c>
    </row>
    <row r="1236" spans="1:25" x14ac:dyDescent="0.25">
      <c r="A1236">
        <v>2021</v>
      </c>
      <c r="B1236" t="s">
        <v>57</v>
      </c>
      <c r="C1236">
        <v>4</v>
      </c>
      <c r="D1236">
        <v>32</v>
      </c>
      <c r="E1236" t="s">
        <v>190</v>
      </c>
      <c r="F1236" t="s">
        <v>103</v>
      </c>
      <c r="G1236">
        <f t="shared" si="19"/>
        <v>1</v>
      </c>
      <c r="H1236">
        <v>8</v>
      </c>
      <c r="I1236">
        <v>5</v>
      </c>
      <c r="J1236">
        <v>0</v>
      </c>
      <c r="K1236" s="6" t="s">
        <v>70</v>
      </c>
      <c r="L1236" s="6" t="s">
        <v>87</v>
      </c>
      <c r="M1236">
        <v>177</v>
      </c>
      <c r="N1236" s="1">
        <v>0.47499999999999998</v>
      </c>
      <c r="O1236">
        <v>61</v>
      </c>
      <c r="P1236" s="1">
        <v>0.39400000000000002</v>
      </c>
      <c r="Q1236" s="1">
        <v>0.77400000000000002</v>
      </c>
      <c r="R1236">
        <v>487</v>
      </c>
      <c r="S1236">
        <v>24</v>
      </c>
      <c r="T1236">
        <v>127</v>
      </c>
      <c r="U1236">
        <v>110</v>
      </c>
      <c r="V1236">
        <v>28</v>
      </c>
      <c r="W1236">
        <v>15</v>
      </c>
      <c r="X1236">
        <v>66</v>
      </c>
      <c r="Y1236" s="5">
        <v>1.67</v>
      </c>
    </row>
    <row r="1237" spans="1:25" x14ac:dyDescent="0.25">
      <c r="A1237">
        <v>2021</v>
      </c>
      <c r="B1237" t="s">
        <v>57</v>
      </c>
      <c r="C1237">
        <v>4</v>
      </c>
      <c r="D1237">
        <v>32</v>
      </c>
      <c r="E1237" t="s">
        <v>21</v>
      </c>
      <c r="F1237" t="s">
        <v>50</v>
      </c>
      <c r="G1237">
        <f t="shared" si="19"/>
        <v>0</v>
      </c>
      <c r="H1237">
        <v>5</v>
      </c>
      <c r="I1237">
        <v>8</v>
      </c>
      <c r="J1237">
        <v>0</v>
      </c>
      <c r="K1237" s="6" t="s">
        <v>191</v>
      </c>
      <c r="L1237" s="6" t="s">
        <v>113</v>
      </c>
      <c r="M1237">
        <v>117</v>
      </c>
      <c r="N1237" s="1">
        <v>0.50600000000000001</v>
      </c>
      <c r="O1237">
        <v>30</v>
      </c>
      <c r="P1237" s="1">
        <v>0.375</v>
      </c>
      <c r="Q1237" s="1">
        <v>0.79200000000000004</v>
      </c>
      <c r="R1237">
        <v>321</v>
      </c>
      <c r="S1237">
        <v>36</v>
      </c>
      <c r="T1237">
        <v>93</v>
      </c>
      <c r="U1237">
        <v>70</v>
      </c>
      <c r="V1237">
        <v>12</v>
      </c>
      <c r="W1237">
        <v>11</v>
      </c>
      <c r="X1237">
        <v>26</v>
      </c>
      <c r="Y1237" s="5">
        <v>2.69</v>
      </c>
    </row>
    <row r="1238" spans="1:25" x14ac:dyDescent="0.25">
      <c r="A1238">
        <v>2021</v>
      </c>
      <c r="B1238" t="s">
        <v>57</v>
      </c>
      <c r="C1238">
        <v>4</v>
      </c>
      <c r="D1238">
        <v>33</v>
      </c>
      <c r="E1238" t="s">
        <v>159</v>
      </c>
      <c r="F1238" t="s">
        <v>116</v>
      </c>
      <c r="G1238">
        <f t="shared" si="19"/>
        <v>1</v>
      </c>
      <c r="H1238">
        <v>11</v>
      </c>
      <c r="I1238">
        <v>2</v>
      </c>
      <c r="J1238">
        <v>0</v>
      </c>
      <c r="K1238" s="6" t="s">
        <v>106</v>
      </c>
      <c r="L1238" s="6" t="s">
        <v>83</v>
      </c>
      <c r="M1238">
        <v>109</v>
      </c>
      <c r="N1238" s="1">
        <v>0.45600000000000002</v>
      </c>
      <c r="O1238">
        <v>41</v>
      </c>
      <c r="P1238" s="1">
        <v>0.38700000000000001</v>
      </c>
      <c r="Q1238" s="1">
        <v>0.81699999999999995</v>
      </c>
      <c r="R1238">
        <v>308</v>
      </c>
      <c r="S1238">
        <v>26</v>
      </c>
      <c r="T1238">
        <v>90</v>
      </c>
      <c r="U1238">
        <v>80</v>
      </c>
      <c r="V1238">
        <v>21</v>
      </c>
      <c r="W1238">
        <v>12</v>
      </c>
      <c r="X1238">
        <v>38</v>
      </c>
      <c r="Y1238" s="5">
        <v>2.11</v>
      </c>
    </row>
    <row r="1239" spans="1:25" x14ac:dyDescent="0.25">
      <c r="A1239">
        <v>2021</v>
      </c>
      <c r="B1239" t="s">
        <v>57</v>
      </c>
      <c r="C1239">
        <v>4</v>
      </c>
      <c r="D1239">
        <v>33</v>
      </c>
      <c r="E1239" t="s">
        <v>94</v>
      </c>
      <c r="F1239" t="s">
        <v>40</v>
      </c>
      <c r="G1239">
        <f t="shared" si="19"/>
        <v>0</v>
      </c>
      <c r="H1239">
        <v>2</v>
      </c>
      <c r="I1239">
        <v>11</v>
      </c>
      <c r="J1239">
        <v>0</v>
      </c>
      <c r="K1239" s="6" t="s">
        <v>193</v>
      </c>
      <c r="L1239" s="6" t="s">
        <v>117</v>
      </c>
      <c r="M1239">
        <v>57</v>
      </c>
      <c r="N1239" s="1">
        <v>0.442</v>
      </c>
      <c r="O1239">
        <v>12</v>
      </c>
      <c r="P1239" s="1">
        <v>0.29299999999999998</v>
      </c>
      <c r="Q1239" s="1">
        <v>0.75600000000000001</v>
      </c>
      <c r="R1239">
        <v>157</v>
      </c>
      <c r="S1239">
        <v>11</v>
      </c>
      <c r="T1239">
        <v>64</v>
      </c>
      <c r="U1239">
        <v>46</v>
      </c>
      <c r="V1239">
        <v>14</v>
      </c>
      <c r="W1239">
        <v>11</v>
      </c>
      <c r="X1239">
        <v>17</v>
      </c>
      <c r="Y1239" s="5">
        <v>2.71</v>
      </c>
    </row>
    <row r="1240" spans="1:25" x14ac:dyDescent="0.25">
      <c r="A1240">
        <v>2021</v>
      </c>
      <c r="B1240" t="s">
        <v>57</v>
      </c>
      <c r="C1240">
        <v>4</v>
      </c>
      <c r="D1240">
        <v>34</v>
      </c>
      <c r="E1240" t="s">
        <v>28</v>
      </c>
      <c r="F1240" t="s">
        <v>46</v>
      </c>
      <c r="G1240">
        <f t="shared" si="19"/>
        <v>1</v>
      </c>
      <c r="H1240">
        <v>11</v>
      </c>
      <c r="I1240">
        <v>2</v>
      </c>
      <c r="J1240">
        <v>0</v>
      </c>
      <c r="K1240" s="6" t="s">
        <v>65</v>
      </c>
      <c r="L1240" s="6" t="s">
        <v>119</v>
      </c>
      <c r="M1240">
        <v>197</v>
      </c>
      <c r="N1240" s="1">
        <v>0.497</v>
      </c>
      <c r="O1240">
        <v>59</v>
      </c>
      <c r="P1240" s="1">
        <v>0.378</v>
      </c>
      <c r="Q1240" s="1">
        <v>0.86499999999999999</v>
      </c>
      <c r="R1240">
        <v>517</v>
      </c>
      <c r="S1240">
        <v>51</v>
      </c>
      <c r="T1240">
        <v>148</v>
      </c>
      <c r="U1240">
        <v>105</v>
      </c>
      <c r="V1240">
        <v>43</v>
      </c>
      <c r="W1240">
        <v>23</v>
      </c>
      <c r="X1240">
        <v>45</v>
      </c>
      <c r="Y1240" s="5">
        <v>2.33</v>
      </c>
    </row>
    <row r="1241" spans="1:25" x14ac:dyDescent="0.25">
      <c r="A1241">
        <v>2021</v>
      </c>
      <c r="B1241" t="s">
        <v>57</v>
      </c>
      <c r="C1241">
        <v>4</v>
      </c>
      <c r="D1241">
        <v>34</v>
      </c>
      <c r="E1241" t="s">
        <v>26</v>
      </c>
      <c r="F1241" t="s">
        <v>118</v>
      </c>
      <c r="G1241">
        <f t="shared" si="19"/>
        <v>0</v>
      </c>
      <c r="H1241">
        <v>2</v>
      </c>
      <c r="I1241">
        <v>11</v>
      </c>
      <c r="J1241">
        <v>0</v>
      </c>
      <c r="K1241" s="6" t="s">
        <v>64</v>
      </c>
      <c r="L1241" s="6" t="s">
        <v>80</v>
      </c>
      <c r="M1241">
        <v>164</v>
      </c>
      <c r="N1241" s="1">
        <v>0.45800000000000002</v>
      </c>
      <c r="O1241">
        <v>55</v>
      </c>
      <c r="P1241" s="1">
        <v>0.39300000000000002</v>
      </c>
      <c r="Q1241" s="1">
        <v>0.72299999999999998</v>
      </c>
      <c r="R1241">
        <v>456</v>
      </c>
      <c r="S1241">
        <v>29</v>
      </c>
      <c r="T1241">
        <v>125</v>
      </c>
      <c r="U1241">
        <v>130</v>
      </c>
      <c r="V1241">
        <v>26</v>
      </c>
      <c r="W1241">
        <v>17</v>
      </c>
      <c r="X1241">
        <v>58</v>
      </c>
      <c r="Y1241" s="5">
        <v>2.2400000000000002</v>
      </c>
    </row>
    <row r="1242" spans="1:25" x14ac:dyDescent="0.25">
      <c r="A1242">
        <v>2021</v>
      </c>
      <c r="B1242" t="s">
        <v>57</v>
      </c>
      <c r="C1242">
        <v>4</v>
      </c>
      <c r="D1242">
        <v>35</v>
      </c>
      <c r="E1242" t="s">
        <v>33</v>
      </c>
      <c r="F1242" t="s">
        <v>42</v>
      </c>
      <c r="G1242">
        <f t="shared" si="19"/>
        <v>0</v>
      </c>
      <c r="H1242">
        <v>5</v>
      </c>
      <c r="I1242">
        <v>8</v>
      </c>
      <c r="J1242">
        <v>0</v>
      </c>
      <c r="K1242" s="6" t="s">
        <v>109</v>
      </c>
      <c r="L1242" s="6" t="s">
        <v>110</v>
      </c>
      <c r="M1242">
        <v>112</v>
      </c>
      <c r="N1242" s="1">
        <v>0.44400000000000001</v>
      </c>
      <c r="O1242">
        <v>46</v>
      </c>
      <c r="P1242" s="1">
        <v>0.38</v>
      </c>
      <c r="Q1242" s="1">
        <v>0.73299999999999998</v>
      </c>
      <c r="R1242">
        <v>314</v>
      </c>
      <c r="S1242">
        <v>30</v>
      </c>
      <c r="T1242">
        <v>122</v>
      </c>
      <c r="U1242">
        <v>83</v>
      </c>
      <c r="V1242">
        <v>27</v>
      </c>
      <c r="W1242">
        <v>25</v>
      </c>
      <c r="X1242">
        <v>51</v>
      </c>
      <c r="Y1242" s="5">
        <v>1.63</v>
      </c>
    </row>
    <row r="1243" spans="1:25" x14ac:dyDescent="0.25">
      <c r="A1243">
        <v>2021</v>
      </c>
      <c r="B1243" t="s">
        <v>57</v>
      </c>
      <c r="C1243">
        <v>4</v>
      </c>
      <c r="D1243">
        <v>35</v>
      </c>
      <c r="E1243" t="s">
        <v>96</v>
      </c>
      <c r="F1243" t="s">
        <v>102</v>
      </c>
      <c r="G1243">
        <f t="shared" si="19"/>
        <v>1</v>
      </c>
      <c r="H1243">
        <v>8</v>
      </c>
      <c r="I1243">
        <v>5</v>
      </c>
      <c r="J1243">
        <v>0</v>
      </c>
      <c r="K1243" s="6" t="s">
        <v>72</v>
      </c>
      <c r="L1243" s="6" t="s">
        <v>85</v>
      </c>
      <c r="M1243">
        <v>142</v>
      </c>
      <c r="N1243" s="1">
        <v>0.44900000000000001</v>
      </c>
      <c r="O1243">
        <v>53</v>
      </c>
      <c r="P1243" s="1">
        <v>0.41399999999999998</v>
      </c>
      <c r="Q1243" s="1">
        <v>0.84399999999999997</v>
      </c>
      <c r="R1243">
        <v>402</v>
      </c>
      <c r="S1243">
        <v>35</v>
      </c>
      <c r="T1243">
        <v>119</v>
      </c>
      <c r="U1243">
        <v>98</v>
      </c>
      <c r="V1243">
        <v>23</v>
      </c>
      <c r="W1243">
        <v>12</v>
      </c>
      <c r="X1243">
        <v>65</v>
      </c>
      <c r="Y1243" s="5">
        <v>1.51</v>
      </c>
    </row>
    <row r="1244" spans="1:25" x14ac:dyDescent="0.25">
      <c r="A1244">
        <v>2021</v>
      </c>
      <c r="B1244" t="s">
        <v>57</v>
      </c>
      <c r="C1244">
        <v>4</v>
      </c>
      <c r="D1244">
        <v>36</v>
      </c>
      <c r="E1244" t="s">
        <v>23</v>
      </c>
      <c r="F1244" t="s">
        <v>120</v>
      </c>
      <c r="G1244">
        <f t="shared" si="19"/>
        <v>0</v>
      </c>
      <c r="H1244">
        <v>4</v>
      </c>
      <c r="I1244">
        <v>8</v>
      </c>
      <c r="J1244">
        <v>1</v>
      </c>
      <c r="K1244" s="6" t="s">
        <v>182</v>
      </c>
      <c r="L1244" s="6" t="s">
        <v>76</v>
      </c>
      <c r="M1244">
        <v>83</v>
      </c>
      <c r="N1244" s="1">
        <v>0.42599999999999999</v>
      </c>
      <c r="O1244">
        <v>23</v>
      </c>
      <c r="P1244" s="1">
        <v>0.315</v>
      </c>
      <c r="Q1244" s="1">
        <v>0.81</v>
      </c>
      <c r="R1244">
        <v>223</v>
      </c>
      <c r="S1244">
        <v>21</v>
      </c>
      <c r="T1244">
        <v>73</v>
      </c>
      <c r="U1244">
        <v>61</v>
      </c>
      <c r="V1244">
        <v>21</v>
      </c>
      <c r="W1244">
        <v>11</v>
      </c>
      <c r="X1244">
        <v>30</v>
      </c>
      <c r="Y1244" s="5">
        <v>2.0299999999999998</v>
      </c>
    </row>
    <row r="1245" spans="1:25" x14ac:dyDescent="0.25">
      <c r="A1245">
        <v>2021</v>
      </c>
      <c r="B1245" t="s">
        <v>57</v>
      </c>
      <c r="C1245">
        <v>4</v>
      </c>
      <c r="D1245">
        <v>36</v>
      </c>
      <c r="E1245" t="s">
        <v>181</v>
      </c>
      <c r="F1245" t="s">
        <v>49</v>
      </c>
      <c r="G1245">
        <f t="shared" si="19"/>
        <v>1</v>
      </c>
      <c r="H1245">
        <v>8</v>
      </c>
      <c r="I1245">
        <v>4</v>
      </c>
      <c r="J1245">
        <v>1</v>
      </c>
      <c r="K1245" s="6" t="s">
        <v>71</v>
      </c>
      <c r="L1245" s="6" t="s">
        <v>121</v>
      </c>
      <c r="M1245">
        <v>127</v>
      </c>
      <c r="N1245" s="1">
        <v>0.49</v>
      </c>
      <c r="O1245">
        <v>35</v>
      </c>
      <c r="P1245" s="1">
        <v>0.42699999999999999</v>
      </c>
      <c r="Q1245" s="1">
        <v>0.69499999999999995</v>
      </c>
      <c r="R1245">
        <v>330</v>
      </c>
      <c r="S1245">
        <v>38</v>
      </c>
      <c r="T1245">
        <v>109</v>
      </c>
      <c r="U1245">
        <v>61</v>
      </c>
      <c r="V1245">
        <v>16</v>
      </c>
      <c r="W1245">
        <v>24</v>
      </c>
      <c r="X1245">
        <v>41</v>
      </c>
      <c r="Y1245" s="5">
        <v>1.49</v>
      </c>
    </row>
    <row r="1246" spans="1:25" x14ac:dyDescent="0.25">
      <c r="A1246">
        <v>2021</v>
      </c>
      <c r="B1246" t="s">
        <v>57</v>
      </c>
      <c r="C1246">
        <v>4</v>
      </c>
      <c r="D1246">
        <v>37</v>
      </c>
      <c r="E1246" t="s">
        <v>15</v>
      </c>
      <c r="F1246" t="s">
        <v>48</v>
      </c>
      <c r="G1246">
        <f t="shared" si="19"/>
        <v>1</v>
      </c>
      <c r="H1246">
        <v>7</v>
      </c>
      <c r="I1246">
        <v>5</v>
      </c>
      <c r="J1246">
        <v>1</v>
      </c>
      <c r="K1246" s="6" t="s">
        <v>112</v>
      </c>
      <c r="L1246" s="6" t="s">
        <v>88</v>
      </c>
      <c r="M1246">
        <v>158</v>
      </c>
      <c r="N1246" s="1">
        <v>0.45100000000000001</v>
      </c>
      <c r="O1246">
        <v>49</v>
      </c>
      <c r="P1246" s="1">
        <v>0.36299999999999999</v>
      </c>
      <c r="Q1246" s="1">
        <v>0.72699999999999998</v>
      </c>
      <c r="R1246">
        <v>413</v>
      </c>
      <c r="S1246">
        <v>30</v>
      </c>
      <c r="T1246">
        <v>82</v>
      </c>
      <c r="U1246">
        <v>67</v>
      </c>
      <c r="V1246">
        <v>33</v>
      </c>
      <c r="W1246">
        <v>16</v>
      </c>
      <c r="X1246">
        <v>43</v>
      </c>
      <c r="Y1246" s="5">
        <v>1.56</v>
      </c>
    </row>
    <row r="1247" spans="1:25" x14ac:dyDescent="0.25">
      <c r="A1247">
        <v>2021</v>
      </c>
      <c r="B1247" t="s">
        <v>57</v>
      </c>
      <c r="C1247">
        <v>4</v>
      </c>
      <c r="D1247">
        <v>37</v>
      </c>
      <c r="E1247" t="s">
        <v>98</v>
      </c>
      <c r="F1247" t="s">
        <v>41</v>
      </c>
      <c r="G1247">
        <f t="shared" si="19"/>
        <v>0</v>
      </c>
      <c r="H1247">
        <v>5</v>
      </c>
      <c r="I1247">
        <v>7</v>
      </c>
      <c r="J1247">
        <v>1</v>
      </c>
      <c r="K1247" s="6" t="s">
        <v>61</v>
      </c>
      <c r="L1247" s="6" t="s">
        <v>77</v>
      </c>
      <c r="M1247">
        <v>111</v>
      </c>
      <c r="N1247" s="1">
        <v>0.48099999999999998</v>
      </c>
      <c r="O1247">
        <v>46</v>
      </c>
      <c r="P1247" s="1">
        <v>0.434</v>
      </c>
      <c r="Q1247" s="1">
        <v>0.8</v>
      </c>
      <c r="R1247">
        <v>296</v>
      </c>
      <c r="S1247">
        <v>17</v>
      </c>
      <c r="T1247">
        <v>82</v>
      </c>
      <c r="U1247">
        <v>66</v>
      </c>
      <c r="V1247">
        <v>27</v>
      </c>
      <c r="W1247">
        <v>11</v>
      </c>
      <c r="X1247">
        <v>30</v>
      </c>
      <c r="Y1247" s="5">
        <v>2.2000000000000002</v>
      </c>
    </row>
    <row r="1248" spans="1:25" x14ac:dyDescent="0.25">
      <c r="A1248">
        <v>2021</v>
      </c>
      <c r="B1248" t="s">
        <v>57</v>
      </c>
      <c r="C1248">
        <v>4</v>
      </c>
      <c r="D1248">
        <v>38</v>
      </c>
      <c r="E1248" t="s">
        <v>99</v>
      </c>
      <c r="F1248" t="s">
        <v>45</v>
      </c>
      <c r="G1248">
        <f t="shared" si="19"/>
        <v>1</v>
      </c>
      <c r="H1248">
        <v>7</v>
      </c>
      <c r="I1248">
        <v>6</v>
      </c>
      <c r="J1248">
        <v>0</v>
      </c>
      <c r="K1248" s="6" t="s">
        <v>104</v>
      </c>
      <c r="L1248" s="6" t="s">
        <v>105</v>
      </c>
      <c r="M1248">
        <v>204</v>
      </c>
      <c r="N1248" s="1">
        <v>0.48599999999999999</v>
      </c>
      <c r="O1248">
        <v>56</v>
      </c>
      <c r="P1248" s="1">
        <v>0.34799999999999998</v>
      </c>
      <c r="Q1248" s="1">
        <v>0.70199999999999996</v>
      </c>
      <c r="R1248">
        <v>537</v>
      </c>
      <c r="S1248">
        <v>52</v>
      </c>
      <c r="T1248">
        <v>154</v>
      </c>
      <c r="U1248">
        <v>118</v>
      </c>
      <c r="V1248">
        <v>30</v>
      </c>
      <c r="W1248">
        <v>25</v>
      </c>
      <c r="X1248">
        <v>60</v>
      </c>
      <c r="Y1248" s="5">
        <v>1.97</v>
      </c>
    </row>
    <row r="1249" spans="1:25" x14ac:dyDescent="0.25">
      <c r="A1249">
        <v>2021</v>
      </c>
      <c r="B1249" t="s">
        <v>57</v>
      </c>
      <c r="C1249">
        <v>4</v>
      </c>
      <c r="D1249">
        <v>38</v>
      </c>
      <c r="E1249" t="s">
        <v>93</v>
      </c>
      <c r="F1249" t="s">
        <v>189</v>
      </c>
      <c r="G1249">
        <f t="shared" si="19"/>
        <v>0</v>
      </c>
      <c r="H1249">
        <v>6</v>
      </c>
      <c r="I1249">
        <v>7</v>
      </c>
      <c r="J1249">
        <v>0</v>
      </c>
      <c r="K1249" s="6" t="s">
        <v>114</v>
      </c>
      <c r="L1249" s="6" t="s">
        <v>90</v>
      </c>
      <c r="M1249">
        <v>163</v>
      </c>
      <c r="N1249" s="1">
        <v>0.54700000000000004</v>
      </c>
      <c r="O1249">
        <v>46</v>
      </c>
      <c r="P1249" s="1">
        <v>0.41799999999999998</v>
      </c>
      <c r="Q1249" s="1">
        <v>0.81599999999999995</v>
      </c>
      <c r="R1249">
        <v>443</v>
      </c>
      <c r="S1249">
        <v>36</v>
      </c>
      <c r="T1249">
        <v>136</v>
      </c>
      <c r="U1249">
        <v>80</v>
      </c>
      <c r="V1249">
        <v>19</v>
      </c>
      <c r="W1249">
        <v>34</v>
      </c>
      <c r="X1249">
        <v>39</v>
      </c>
      <c r="Y1249" s="5">
        <v>2.0499999999999998</v>
      </c>
    </row>
    <row r="1250" spans="1:25" x14ac:dyDescent="0.25">
      <c r="A1250">
        <v>2021</v>
      </c>
      <c r="B1250" t="s">
        <v>57</v>
      </c>
      <c r="C1250">
        <v>4</v>
      </c>
      <c r="D1250">
        <v>39</v>
      </c>
      <c r="E1250" t="s">
        <v>95</v>
      </c>
      <c r="F1250" t="s">
        <v>101</v>
      </c>
      <c r="G1250">
        <f t="shared" si="19"/>
        <v>1</v>
      </c>
      <c r="H1250">
        <v>8</v>
      </c>
      <c r="I1250">
        <v>4</v>
      </c>
      <c r="J1250">
        <v>1</v>
      </c>
      <c r="K1250" s="6" t="s">
        <v>59</v>
      </c>
      <c r="L1250" s="6" t="s">
        <v>74</v>
      </c>
      <c r="M1250">
        <v>100</v>
      </c>
      <c r="N1250" s="1">
        <v>0.47199999999999998</v>
      </c>
      <c r="O1250">
        <v>35</v>
      </c>
      <c r="P1250" s="1">
        <v>0.38500000000000001</v>
      </c>
      <c r="Q1250" s="1">
        <v>0.6</v>
      </c>
      <c r="R1250">
        <v>253</v>
      </c>
      <c r="S1250">
        <v>14</v>
      </c>
      <c r="T1250">
        <v>66</v>
      </c>
      <c r="U1250">
        <v>59</v>
      </c>
      <c r="V1250">
        <v>16</v>
      </c>
      <c r="W1250">
        <v>12</v>
      </c>
      <c r="X1250">
        <v>30</v>
      </c>
      <c r="Y1250" s="5">
        <v>1.97</v>
      </c>
    </row>
    <row r="1251" spans="1:25" x14ac:dyDescent="0.25">
      <c r="A1251">
        <v>2021</v>
      </c>
      <c r="B1251" t="s">
        <v>57</v>
      </c>
      <c r="C1251">
        <v>4</v>
      </c>
      <c r="D1251">
        <v>39</v>
      </c>
      <c r="E1251" t="s">
        <v>18</v>
      </c>
      <c r="F1251" t="s">
        <v>52</v>
      </c>
      <c r="G1251">
        <f t="shared" si="19"/>
        <v>0</v>
      </c>
      <c r="H1251">
        <v>4</v>
      </c>
      <c r="I1251">
        <v>8</v>
      </c>
      <c r="J1251">
        <v>1</v>
      </c>
      <c r="K1251" s="6" t="s">
        <v>107</v>
      </c>
      <c r="L1251" s="6" t="s">
        <v>108</v>
      </c>
      <c r="M1251">
        <v>58</v>
      </c>
      <c r="N1251" s="1">
        <v>0.45700000000000002</v>
      </c>
      <c r="O1251">
        <v>20</v>
      </c>
      <c r="P1251" s="1">
        <v>0.38500000000000001</v>
      </c>
      <c r="Q1251" s="1">
        <v>0.65400000000000003</v>
      </c>
      <c r="R1251">
        <v>153</v>
      </c>
      <c r="S1251">
        <v>16</v>
      </c>
      <c r="T1251">
        <v>65</v>
      </c>
      <c r="U1251">
        <v>29</v>
      </c>
      <c r="V1251">
        <v>7</v>
      </c>
      <c r="W1251">
        <v>6</v>
      </c>
      <c r="X1251">
        <v>12</v>
      </c>
      <c r="Y1251" s="5">
        <v>2.42</v>
      </c>
    </row>
    <row r="1252" spans="1:25" x14ac:dyDescent="0.25">
      <c r="A1252">
        <v>2021</v>
      </c>
      <c r="B1252" t="s">
        <v>57</v>
      </c>
      <c r="C1252">
        <v>4</v>
      </c>
      <c r="D1252">
        <v>40</v>
      </c>
      <c r="E1252" t="s">
        <v>97</v>
      </c>
      <c r="F1252" t="s">
        <v>54</v>
      </c>
      <c r="G1252">
        <f t="shared" si="19"/>
        <v>1</v>
      </c>
      <c r="H1252">
        <v>9</v>
      </c>
      <c r="I1252">
        <v>3</v>
      </c>
      <c r="J1252">
        <v>1</v>
      </c>
      <c r="K1252" s="6" t="s">
        <v>68</v>
      </c>
      <c r="L1252" s="6" t="s">
        <v>84</v>
      </c>
      <c r="M1252">
        <v>161</v>
      </c>
      <c r="N1252" s="1">
        <v>0.47899999999999998</v>
      </c>
      <c r="O1252">
        <v>35</v>
      </c>
      <c r="P1252" s="1">
        <v>0.34699999999999998</v>
      </c>
      <c r="Q1252" s="1">
        <v>0.78200000000000003</v>
      </c>
      <c r="R1252">
        <v>454</v>
      </c>
      <c r="S1252">
        <v>17</v>
      </c>
      <c r="T1252">
        <v>127</v>
      </c>
      <c r="U1252">
        <v>100</v>
      </c>
      <c r="V1252">
        <v>30</v>
      </c>
      <c r="W1252">
        <v>12</v>
      </c>
      <c r="X1252">
        <v>55</v>
      </c>
      <c r="Y1252" s="5">
        <v>1.82</v>
      </c>
    </row>
    <row r="1253" spans="1:25" x14ac:dyDescent="0.25">
      <c r="A1253">
        <v>2021</v>
      </c>
      <c r="B1253" t="s">
        <v>57</v>
      </c>
      <c r="C1253">
        <v>4</v>
      </c>
      <c r="D1253">
        <v>40</v>
      </c>
      <c r="E1253" t="s">
        <v>25</v>
      </c>
      <c r="F1253" t="s">
        <v>53</v>
      </c>
      <c r="G1253">
        <f t="shared" si="19"/>
        <v>0</v>
      </c>
      <c r="H1253">
        <v>3</v>
      </c>
      <c r="I1253">
        <v>9</v>
      </c>
      <c r="J1253">
        <v>1</v>
      </c>
      <c r="K1253" s="6" t="s">
        <v>111</v>
      </c>
      <c r="L1253" s="6" t="s">
        <v>89</v>
      </c>
      <c r="M1253">
        <v>108</v>
      </c>
      <c r="N1253" s="1">
        <v>0.42499999999999999</v>
      </c>
      <c r="O1253">
        <v>30</v>
      </c>
      <c r="P1253" s="1">
        <v>0.34499999999999997</v>
      </c>
      <c r="Q1253" s="1">
        <v>0.73099999999999998</v>
      </c>
      <c r="R1253">
        <v>284</v>
      </c>
      <c r="S1253">
        <v>34</v>
      </c>
      <c r="T1253">
        <v>94</v>
      </c>
      <c r="U1253">
        <v>64</v>
      </c>
      <c r="V1253">
        <v>15</v>
      </c>
      <c r="W1253">
        <v>12</v>
      </c>
      <c r="X1253">
        <v>32</v>
      </c>
      <c r="Y1253" s="5">
        <v>2</v>
      </c>
    </row>
    <row r="1254" spans="1:25" x14ac:dyDescent="0.25">
      <c r="A1254">
        <v>2021</v>
      </c>
      <c r="B1254" t="s">
        <v>57</v>
      </c>
      <c r="C1254">
        <v>5</v>
      </c>
      <c r="D1254">
        <v>41</v>
      </c>
      <c r="E1254" t="s">
        <v>16</v>
      </c>
      <c r="F1254" t="s">
        <v>51</v>
      </c>
      <c r="G1254">
        <f t="shared" si="19"/>
        <v>1</v>
      </c>
      <c r="H1254">
        <v>8</v>
      </c>
      <c r="I1254">
        <v>5</v>
      </c>
      <c r="J1254">
        <v>0</v>
      </c>
      <c r="K1254" s="6" t="s">
        <v>109</v>
      </c>
      <c r="L1254" s="6" t="s">
        <v>110</v>
      </c>
      <c r="M1254">
        <v>136</v>
      </c>
      <c r="N1254" s="1">
        <v>0.46899999999999997</v>
      </c>
      <c r="O1254">
        <v>24</v>
      </c>
      <c r="P1254" s="1">
        <v>0.25800000000000001</v>
      </c>
      <c r="Q1254" s="1">
        <v>0.75</v>
      </c>
      <c r="R1254">
        <v>353</v>
      </c>
      <c r="S1254">
        <v>37</v>
      </c>
      <c r="T1254">
        <v>135</v>
      </c>
      <c r="U1254">
        <v>118</v>
      </c>
      <c r="V1254">
        <v>28</v>
      </c>
      <c r="W1254">
        <v>24</v>
      </c>
      <c r="X1254">
        <v>53</v>
      </c>
      <c r="Y1254" s="5">
        <v>2.23</v>
      </c>
    </row>
    <row r="1255" spans="1:25" x14ac:dyDescent="0.25">
      <c r="A1255">
        <v>2021</v>
      </c>
      <c r="B1255" t="s">
        <v>57</v>
      </c>
      <c r="C1255">
        <v>5</v>
      </c>
      <c r="D1255">
        <v>41</v>
      </c>
      <c r="E1255" t="s">
        <v>96</v>
      </c>
      <c r="F1255" t="s">
        <v>102</v>
      </c>
      <c r="G1255">
        <f t="shared" si="19"/>
        <v>0</v>
      </c>
      <c r="H1255">
        <v>5</v>
      </c>
      <c r="I1255">
        <v>8</v>
      </c>
      <c r="J1255">
        <v>0</v>
      </c>
      <c r="K1255" s="6" t="s">
        <v>60</v>
      </c>
      <c r="L1255" s="6" t="s">
        <v>75</v>
      </c>
      <c r="M1255">
        <v>123</v>
      </c>
      <c r="N1255" s="1">
        <v>0.432</v>
      </c>
      <c r="O1255">
        <v>45</v>
      </c>
      <c r="P1255" s="1">
        <v>0.378</v>
      </c>
      <c r="Q1255" s="1">
        <v>0.86499999999999999</v>
      </c>
      <c r="R1255">
        <v>368</v>
      </c>
      <c r="S1255">
        <v>40</v>
      </c>
      <c r="T1255">
        <v>129</v>
      </c>
      <c r="U1255">
        <v>111</v>
      </c>
      <c r="V1255">
        <v>17</v>
      </c>
      <c r="W1255">
        <v>18</v>
      </c>
      <c r="X1255">
        <v>63</v>
      </c>
      <c r="Y1255" s="5">
        <v>1.76</v>
      </c>
    </row>
    <row r="1256" spans="1:25" x14ac:dyDescent="0.25">
      <c r="A1256">
        <v>2021</v>
      </c>
      <c r="B1256" t="s">
        <v>57</v>
      </c>
      <c r="C1256">
        <v>5</v>
      </c>
      <c r="D1256">
        <v>42</v>
      </c>
      <c r="E1256" t="s">
        <v>190</v>
      </c>
      <c r="F1256" t="s">
        <v>103</v>
      </c>
      <c r="G1256">
        <f t="shared" si="19"/>
        <v>1</v>
      </c>
      <c r="H1256">
        <v>9</v>
      </c>
      <c r="I1256">
        <v>4</v>
      </c>
      <c r="J1256">
        <v>0</v>
      </c>
      <c r="K1256" s="6" t="s">
        <v>71</v>
      </c>
      <c r="L1256" s="6" t="s">
        <v>121</v>
      </c>
      <c r="M1256">
        <v>141</v>
      </c>
      <c r="N1256" s="1">
        <v>0.46100000000000002</v>
      </c>
      <c r="O1256">
        <v>36</v>
      </c>
      <c r="P1256" s="1">
        <v>0.34300000000000003</v>
      </c>
      <c r="Q1256" s="1">
        <v>0.66300000000000003</v>
      </c>
      <c r="R1256">
        <v>381</v>
      </c>
      <c r="S1256">
        <v>17</v>
      </c>
      <c r="T1256">
        <v>119</v>
      </c>
      <c r="U1256">
        <v>105</v>
      </c>
      <c r="V1256">
        <v>27</v>
      </c>
      <c r="W1256">
        <v>18</v>
      </c>
      <c r="X1256">
        <v>56</v>
      </c>
      <c r="Y1256" s="5">
        <v>1.88</v>
      </c>
    </row>
    <row r="1257" spans="1:25" x14ac:dyDescent="0.25">
      <c r="A1257">
        <v>2021</v>
      </c>
      <c r="B1257" t="s">
        <v>57</v>
      </c>
      <c r="C1257">
        <v>5</v>
      </c>
      <c r="D1257">
        <v>42</v>
      </c>
      <c r="E1257" t="s">
        <v>23</v>
      </c>
      <c r="F1257" t="s">
        <v>120</v>
      </c>
      <c r="G1257">
        <f t="shared" si="19"/>
        <v>0</v>
      </c>
      <c r="H1257">
        <v>4</v>
      </c>
      <c r="I1257">
        <v>9</v>
      </c>
      <c r="J1257">
        <v>0</v>
      </c>
      <c r="K1257" s="6" t="s">
        <v>191</v>
      </c>
      <c r="L1257" s="6" t="s">
        <v>113</v>
      </c>
      <c r="M1257">
        <v>119</v>
      </c>
      <c r="N1257" s="1">
        <v>0.47799999999999998</v>
      </c>
      <c r="O1257">
        <v>22</v>
      </c>
      <c r="P1257" s="1">
        <v>0.27800000000000002</v>
      </c>
      <c r="Q1257" s="1">
        <v>0.81799999999999995</v>
      </c>
      <c r="R1257">
        <v>305</v>
      </c>
      <c r="S1257">
        <v>35</v>
      </c>
      <c r="T1257">
        <v>98</v>
      </c>
      <c r="U1257">
        <v>54</v>
      </c>
      <c r="V1257">
        <v>21</v>
      </c>
      <c r="W1257">
        <v>9</v>
      </c>
      <c r="X1257">
        <v>47</v>
      </c>
      <c r="Y1257" s="5">
        <v>1.1499999999999999</v>
      </c>
    </row>
    <row r="1258" spans="1:25" x14ac:dyDescent="0.25">
      <c r="A1258">
        <v>2021</v>
      </c>
      <c r="B1258" t="s">
        <v>57</v>
      </c>
      <c r="C1258">
        <v>5</v>
      </c>
      <c r="D1258">
        <v>43</v>
      </c>
      <c r="E1258" t="s">
        <v>21</v>
      </c>
      <c r="F1258" t="s">
        <v>50</v>
      </c>
      <c r="G1258">
        <f t="shared" si="19"/>
        <v>1</v>
      </c>
      <c r="H1258">
        <v>10</v>
      </c>
      <c r="I1258">
        <v>3</v>
      </c>
      <c r="J1258">
        <v>0</v>
      </c>
      <c r="K1258" s="6" t="s">
        <v>106</v>
      </c>
      <c r="L1258" s="6" t="s">
        <v>83</v>
      </c>
      <c r="M1258">
        <v>172</v>
      </c>
      <c r="N1258" s="1">
        <v>0.45600000000000002</v>
      </c>
      <c r="O1258">
        <v>60</v>
      </c>
      <c r="P1258" s="1">
        <v>0.36599999999999999</v>
      </c>
      <c r="Q1258" s="1">
        <v>0.85699999999999998</v>
      </c>
      <c r="R1258">
        <v>470</v>
      </c>
      <c r="S1258">
        <v>32</v>
      </c>
      <c r="T1258">
        <v>119</v>
      </c>
      <c r="U1258">
        <v>120</v>
      </c>
      <c r="V1258">
        <v>32</v>
      </c>
      <c r="W1258">
        <v>13</v>
      </c>
      <c r="X1258">
        <v>49</v>
      </c>
      <c r="Y1258" s="5">
        <v>2.4500000000000002</v>
      </c>
    </row>
    <row r="1259" spans="1:25" x14ac:dyDescent="0.25">
      <c r="A1259">
        <v>2021</v>
      </c>
      <c r="B1259" t="s">
        <v>57</v>
      </c>
      <c r="C1259">
        <v>5</v>
      </c>
      <c r="D1259">
        <v>43</v>
      </c>
      <c r="E1259" t="s">
        <v>94</v>
      </c>
      <c r="F1259" t="s">
        <v>40</v>
      </c>
      <c r="G1259">
        <f t="shared" si="19"/>
        <v>0</v>
      </c>
      <c r="H1259">
        <v>3</v>
      </c>
      <c r="I1259">
        <v>10</v>
      </c>
      <c r="J1259">
        <v>0</v>
      </c>
      <c r="K1259" s="6" t="s">
        <v>70</v>
      </c>
      <c r="L1259" s="6" t="s">
        <v>87</v>
      </c>
      <c r="M1259">
        <v>116</v>
      </c>
      <c r="N1259" s="1">
        <v>0.48699999999999999</v>
      </c>
      <c r="O1259">
        <v>37</v>
      </c>
      <c r="P1259" s="1">
        <v>0.39400000000000002</v>
      </c>
      <c r="Q1259" s="1">
        <v>0.71199999999999997</v>
      </c>
      <c r="R1259">
        <v>311</v>
      </c>
      <c r="S1259">
        <v>17</v>
      </c>
      <c r="T1259">
        <v>69</v>
      </c>
      <c r="U1259">
        <v>73</v>
      </c>
      <c r="V1259">
        <v>23</v>
      </c>
      <c r="W1259">
        <v>11</v>
      </c>
      <c r="X1259">
        <v>39</v>
      </c>
      <c r="Y1259" s="5">
        <v>1.87</v>
      </c>
    </row>
    <row r="1260" spans="1:25" x14ac:dyDescent="0.25">
      <c r="A1260">
        <v>2021</v>
      </c>
      <c r="B1260" t="s">
        <v>57</v>
      </c>
      <c r="C1260">
        <v>5</v>
      </c>
      <c r="D1260">
        <v>44</v>
      </c>
      <c r="E1260" t="s">
        <v>17</v>
      </c>
      <c r="F1260" t="s">
        <v>43</v>
      </c>
      <c r="G1260">
        <f t="shared" si="19"/>
        <v>0</v>
      </c>
      <c r="H1260">
        <v>5</v>
      </c>
      <c r="I1260">
        <v>8</v>
      </c>
      <c r="J1260">
        <v>0</v>
      </c>
      <c r="K1260" s="6" t="s">
        <v>65</v>
      </c>
      <c r="L1260" s="6" t="s">
        <v>119</v>
      </c>
      <c r="M1260">
        <v>137</v>
      </c>
      <c r="N1260" s="1">
        <v>0.52100000000000002</v>
      </c>
      <c r="O1260">
        <v>30</v>
      </c>
      <c r="P1260" s="1">
        <v>0.36599999999999999</v>
      </c>
      <c r="Q1260" s="1">
        <v>0.75</v>
      </c>
      <c r="R1260">
        <v>364</v>
      </c>
      <c r="S1260">
        <v>34</v>
      </c>
      <c r="T1260">
        <v>83</v>
      </c>
      <c r="U1260">
        <v>67</v>
      </c>
      <c r="V1260">
        <v>34</v>
      </c>
      <c r="W1260">
        <v>25</v>
      </c>
      <c r="X1260">
        <v>48</v>
      </c>
      <c r="Y1260" s="5">
        <v>1.4</v>
      </c>
    </row>
    <row r="1261" spans="1:25" x14ac:dyDescent="0.25">
      <c r="A1261">
        <v>2021</v>
      </c>
      <c r="B1261" t="s">
        <v>57</v>
      </c>
      <c r="C1261">
        <v>5</v>
      </c>
      <c r="D1261">
        <v>44</v>
      </c>
      <c r="E1261" t="s">
        <v>26</v>
      </c>
      <c r="F1261" t="s">
        <v>118</v>
      </c>
      <c r="G1261">
        <f t="shared" si="19"/>
        <v>1</v>
      </c>
      <c r="H1261">
        <v>8</v>
      </c>
      <c r="I1261">
        <v>5</v>
      </c>
      <c r="J1261">
        <v>0</v>
      </c>
      <c r="K1261" s="6" t="s">
        <v>63</v>
      </c>
      <c r="L1261" s="6" t="s">
        <v>79</v>
      </c>
      <c r="M1261">
        <v>198</v>
      </c>
      <c r="N1261" s="1">
        <v>0.48099999999999998</v>
      </c>
      <c r="O1261">
        <v>60</v>
      </c>
      <c r="P1261" s="1">
        <v>0.38500000000000001</v>
      </c>
      <c r="Q1261" s="1">
        <v>0.69099999999999995</v>
      </c>
      <c r="R1261">
        <v>521</v>
      </c>
      <c r="S1261">
        <v>38</v>
      </c>
      <c r="T1261">
        <v>146</v>
      </c>
      <c r="U1261">
        <v>124</v>
      </c>
      <c r="V1261">
        <v>23</v>
      </c>
      <c r="W1261">
        <v>21</v>
      </c>
      <c r="X1261">
        <v>75</v>
      </c>
      <c r="Y1261" s="5">
        <v>1.65</v>
      </c>
    </row>
    <row r="1262" spans="1:25" x14ac:dyDescent="0.25">
      <c r="A1262">
        <v>2021</v>
      </c>
      <c r="B1262" t="s">
        <v>57</v>
      </c>
      <c r="C1262">
        <v>5</v>
      </c>
      <c r="D1262">
        <v>45</v>
      </c>
      <c r="E1262" t="s">
        <v>33</v>
      </c>
      <c r="F1262" t="s">
        <v>42</v>
      </c>
      <c r="G1262">
        <f t="shared" si="19"/>
        <v>0</v>
      </c>
      <c r="H1262">
        <v>4</v>
      </c>
      <c r="I1262">
        <v>9</v>
      </c>
      <c r="J1262">
        <v>0</v>
      </c>
      <c r="K1262" s="6" t="s">
        <v>193</v>
      </c>
      <c r="L1262" s="6" t="s">
        <v>117</v>
      </c>
      <c r="M1262">
        <v>172</v>
      </c>
      <c r="N1262" s="1">
        <v>0.46</v>
      </c>
      <c r="O1262">
        <v>39</v>
      </c>
      <c r="P1262" s="1">
        <v>0.32</v>
      </c>
      <c r="Q1262" s="1">
        <v>0.72899999999999998</v>
      </c>
      <c r="R1262">
        <v>485</v>
      </c>
      <c r="S1262">
        <v>59</v>
      </c>
      <c r="T1262">
        <v>141</v>
      </c>
      <c r="U1262">
        <v>87</v>
      </c>
      <c r="V1262">
        <v>33</v>
      </c>
      <c r="W1262">
        <v>24</v>
      </c>
      <c r="X1262">
        <v>41</v>
      </c>
      <c r="Y1262" s="5">
        <v>2.12</v>
      </c>
    </row>
    <row r="1263" spans="1:25" x14ac:dyDescent="0.25">
      <c r="A1263">
        <v>2021</v>
      </c>
      <c r="B1263" t="s">
        <v>57</v>
      </c>
      <c r="C1263">
        <v>5</v>
      </c>
      <c r="D1263">
        <v>45</v>
      </c>
      <c r="E1263" t="s">
        <v>159</v>
      </c>
      <c r="F1263" t="s">
        <v>116</v>
      </c>
      <c r="G1263">
        <f t="shared" si="19"/>
        <v>1</v>
      </c>
      <c r="H1263">
        <v>9</v>
      </c>
      <c r="I1263">
        <v>4</v>
      </c>
      <c r="J1263">
        <v>0</v>
      </c>
      <c r="K1263" s="6" t="s">
        <v>72</v>
      </c>
      <c r="L1263" s="6" t="s">
        <v>85</v>
      </c>
      <c r="M1263">
        <v>188</v>
      </c>
      <c r="N1263" s="1">
        <v>0.52800000000000002</v>
      </c>
      <c r="O1263">
        <v>41</v>
      </c>
      <c r="P1263" s="1">
        <v>0.376</v>
      </c>
      <c r="Q1263" s="1">
        <v>0.88800000000000001</v>
      </c>
      <c r="R1263">
        <v>496</v>
      </c>
      <c r="S1263">
        <v>49</v>
      </c>
      <c r="T1263">
        <v>159</v>
      </c>
      <c r="U1263">
        <v>114</v>
      </c>
      <c r="V1263">
        <v>21</v>
      </c>
      <c r="W1263">
        <v>26</v>
      </c>
      <c r="X1263">
        <v>57</v>
      </c>
      <c r="Y1263" s="5">
        <v>2</v>
      </c>
    </row>
    <row r="1264" spans="1:25" x14ac:dyDescent="0.25">
      <c r="A1264">
        <v>2021</v>
      </c>
      <c r="B1264" t="s">
        <v>57</v>
      </c>
      <c r="C1264">
        <v>5</v>
      </c>
      <c r="D1264">
        <v>46</v>
      </c>
      <c r="E1264" t="s">
        <v>28</v>
      </c>
      <c r="F1264" t="s">
        <v>46</v>
      </c>
      <c r="G1264">
        <f t="shared" si="19"/>
        <v>1</v>
      </c>
      <c r="H1264">
        <v>9</v>
      </c>
      <c r="I1264">
        <v>4</v>
      </c>
      <c r="J1264">
        <v>0</v>
      </c>
      <c r="K1264" s="6" t="s">
        <v>182</v>
      </c>
      <c r="L1264" s="6" t="s">
        <v>76</v>
      </c>
      <c r="M1264">
        <v>245</v>
      </c>
      <c r="N1264" s="1">
        <v>0.47599999999999998</v>
      </c>
      <c r="O1264">
        <v>58</v>
      </c>
      <c r="P1264" s="1">
        <v>0.372</v>
      </c>
      <c r="Q1264" s="1">
        <v>0.78</v>
      </c>
      <c r="R1264">
        <v>633</v>
      </c>
      <c r="S1264">
        <v>72</v>
      </c>
      <c r="T1264">
        <v>185</v>
      </c>
      <c r="U1264">
        <v>95</v>
      </c>
      <c r="V1264">
        <v>29</v>
      </c>
      <c r="W1264">
        <v>31</v>
      </c>
      <c r="X1264">
        <v>50</v>
      </c>
      <c r="Y1264" s="5">
        <v>1.9</v>
      </c>
    </row>
    <row r="1265" spans="1:25" x14ac:dyDescent="0.25">
      <c r="A1265">
        <v>2021</v>
      </c>
      <c r="B1265" t="s">
        <v>57</v>
      </c>
      <c r="C1265">
        <v>5</v>
      </c>
      <c r="D1265">
        <v>46</v>
      </c>
      <c r="E1265" t="s">
        <v>181</v>
      </c>
      <c r="F1265" t="s">
        <v>49</v>
      </c>
      <c r="G1265">
        <f t="shared" si="19"/>
        <v>0</v>
      </c>
      <c r="H1265">
        <v>4</v>
      </c>
      <c r="I1265">
        <v>9</v>
      </c>
      <c r="J1265">
        <v>0</v>
      </c>
      <c r="K1265" s="6" t="s">
        <v>64</v>
      </c>
      <c r="L1265" s="6" t="s">
        <v>80</v>
      </c>
      <c r="M1265">
        <v>75</v>
      </c>
      <c r="N1265" s="1">
        <v>0.52400000000000002</v>
      </c>
      <c r="O1265">
        <v>25</v>
      </c>
      <c r="P1265" s="1">
        <v>0.39100000000000001</v>
      </c>
      <c r="Q1265" s="1">
        <v>0.86099999999999999</v>
      </c>
      <c r="R1265">
        <v>206</v>
      </c>
      <c r="S1265">
        <v>10</v>
      </c>
      <c r="T1265">
        <v>72</v>
      </c>
      <c r="U1265">
        <v>27</v>
      </c>
      <c r="V1265">
        <v>13</v>
      </c>
      <c r="W1265">
        <v>9</v>
      </c>
      <c r="X1265">
        <v>24</v>
      </c>
      <c r="Y1265" s="5">
        <v>1.1299999999999999</v>
      </c>
    </row>
    <row r="1266" spans="1:25" x14ac:dyDescent="0.25">
      <c r="A1266">
        <v>2021</v>
      </c>
      <c r="B1266" t="s">
        <v>57</v>
      </c>
      <c r="C1266">
        <v>5</v>
      </c>
      <c r="D1266">
        <v>47</v>
      </c>
      <c r="E1266" t="s">
        <v>18</v>
      </c>
      <c r="F1266" t="s">
        <v>52</v>
      </c>
      <c r="G1266">
        <f t="shared" si="19"/>
        <v>1</v>
      </c>
      <c r="H1266">
        <v>10</v>
      </c>
      <c r="I1266">
        <v>3</v>
      </c>
      <c r="J1266">
        <v>0</v>
      </c>
      <c r="K1266" s="6" t="s">
        <v>112</v>
      </c>
      <c r="L1266" s="6" t="s">
        <v>88</v>
      </c>
      <c r="M1266">
        <v>109</v>
      </c>
      <c r="N1266" s="1">
        <v>0.47</v>
      </c>
      <c r="O1266">
        <v>31</v>
      </c>
      <c r="P1266" s="1">
        <v>0.33</v>
      </c>
      <c r="Q1266" s="1">
        <v>0.83299999999999996</v>
      </c>
      <c r="R1266">
        <v>294</v>
      </c>
      <c r="S1266">
        <v>19</v>
      </c>
      <c r="T1266">
        <v>91</v>
      </c>
      <c r="U1266">
        <v>53</v>
      </c>
      <c r="V1266">
        <v>31</v>
      </c>
      <c r="W1266">
        <v>17</v>
      </c>
      <c r="X1266">
        <v>24</v>
      </c>
      <c r="Y1266" s="5">
        <v>2.21</v>
      </c>
    </row>
    <row r="1267" spans="1:25" x14ac:dyDescent="0.25">
      <c r="A1267">
        <v>2021</v>
      </c>
      <c r="B1267" t="s">
        <v>57</v>
      </c>
      <c r="C1267">
        <v>5</v>
      </c>
      <c r="D1267">
        <v>47</v>
      </c>
      <c r="E1267" t="s">
        <v>98</v>
      </c>
      <c r="F1267" t="s">
        <v>41</v>
      </c>
      <c r="G1267">
        <f t="shared" si="19"/>
        <v>0</v>
      </c>
      <c r="H1267">
        <v>3</v>
      </c>
      <c r="I1267">
        <v>10</v>
      </c>
      <c r="J1267">
        <v>0</v>
      </c>
      <c r="K1267" s="6" t="s">
        <v>59</v>
      </c>
      <c r="L1267" s="6" t="s">
        <v>74</v>
      </c>
      <c r="M1267">
        <v>71</v>
      </c>
      <c r="N1267" s="1">
        <v>0.433</v>
      </c>
      <c r="O1267">
        <v>29</v>
      </c>
      <c r="P1267" s="1">
        <v>0.35799999999999998</v>
      </c>
      <c r="Q1267" s="1">
        <v>0.77800000000000002</v>
      </c>
      <c r="R1267">
        <v>185</v>
      </c>
      <c r="S1267">
        <v>26</v>
      </c>
      <c r="T1267">
        <v>57</v>
      </c>
      <c r="U1267">
        <v>22</v>
      </c>
      <c r="V1267">
        <v>20</v>
      </c>
      <c r="W1267">
        <v>12</v>
      </c>
      <c r="X1267">
        <v>21</v>
      </c>
      <c r="Y1267" s="5">
        <v>1.05</v>
      </c>
    </row>
    <row r="1268" spans="1:25" x14ac:dyDescent="0.25">
      <c r="A1268">
        <v>2021</v>
      </c>
      <c r="B1268" t="s">
        <v>57</v>
      </c>
      <c r="C1268">
        <v>5</v>
      </c>
      <c r="D1268">
        <v>48</v>
      </c>
      <c r="E1268" t="s">
        <v>97</v>
      </c>
      <c r="F1268" t="s">
        <v>54</v>
      </c>
      <c r="G1268">
        <f t="shared" si="19"/>
        <v>1</v>
      </c>
      <c r="H1268">
        <v>8</v>
      </c>
      <c r="I1268">
        <v>5</v>
      </c>
      <c r="J1268">
        <v>0</v>
      </c>
      <c r="K1268" s="6" t="s">
        <v>104</v>
      </c>
      <c r="L1268" s="6" t="s">
        <v>105</v>
      </c>
      <c r="M1268">
        <v>163</v>
      </c>
      <c r="N1268" s="1">
        <v>0.47799999999999998</v>
      </c>
      <c r="O1268">
        <v>47</v>
      </c>
      <c r="P1268" s="1">
        <v>0.42299999999999999</v>
      </c>
      <c r="Q1268" s="1">
        <v>0.8</v>
      </c>
      <c r="R1268">
        <v>517</v>
      </c>
      <c r="S1268">
        <v>30</v>
      </c>
      <c r="T1268">
        <v>164</v>
      </c>
      <c r="U1268">
        <v>105</v>
      </c>
      <c r="V1268">
        <v>18</v>
      </c>
      <c r="W1268">
        <v>7</v>
      </c>
      <c r="X1268">
        <v>65</v>
      </c>
      <c r="Y1268" s="5">
        <v>1.62</v>
      </c>
    </row>
    <row r="1269" spans="1:25" x14ac:dyDescent="0.25">
      <c r="A1269">
        <v>2021</v>
      </c>
      <c r="B1269" t="s">
        <v>57</v>
      </c>
      <c r="C1269">
        <v>5</v>
      </c>
      <c r="D1269">
        <v>48</v>
      </c>
      <c r="E1269" t="s">
        <v>93</v>
      </c>
      <c r="F1269" t="s">
        <v>189</v>
      </c>
      <c r="G1269">
        <f t="shared" si="19"/>
        <v>0</v>
      </c>
      <c r="H1269">
        <v>5</v>
      </c>
      <c r="I1269">
        <v>8</v>
      </c>
      <c r="J1269">
        <v>0</v>
      </c>
      <c r="K1269" s="6" t="s">
        <v>111</v>
      </c>
      <c r="L1269" s="6" t="s">
        <v>89</v>
      </c>
      <c r="M1269">
        <v>142</v>
      </c>
      <c r="N1269" s="1">
        <v>0.46</v>
      </c>
      <c r="O1269">
        <v>58</v>
      </c>
      <c r="P1269" s="1">
        <v>0.41099999999999998</v>
      </c>
      <c r="Q1269" s="1">
        <v>0.86199999999999999</v>
      </c>
      <c r="R1269">
        <v>392</v>
      </c>
      <c r="S1269">
        <v>36</v>
      </c>
      <c r="T1269">
        <v>159</v>
      </c>
      <c r="U1269">
        <v>73</v>
      </c>
      <c r="V1269">
        <v>12</v>
      </c>
      <c r="W1269">
        <v>28</v>
      </c>
      <c r="X1269">
        <v>47</v>
      </c>
      <c r="Y1269" s="5">
        <v>1.55</v>
      </c>
    </row>
    <row r="1270" spans="1:25" x14ac:dyDescent="0.25">
      <c r="A1270">
        <v>2021</v>
      </c>
      <c r="B1270" t="s">
        <v>57</v>
      </c>
      <c r="C1270">
        <v>5</v>
      </c>
      <c r="D1270">
        <v>49</v>
      </c>
      <c r="E1270" t="s">
        <v>15</v>
      </c>
      <c r="F1270" t="s">
        <v>48</v>
      </c>
      <c r="G1270">
        <f t="shared" si="19"/>
        <v>1</v>
      </c>
      <c r="H1270">
        <v>7</v>
      </c>
      <c r="I1270">
        <v>6</v>
      </c>
      <c r="J1270">
        <v>0</v>
      </c>
      <c r="K1270" s="6" t="s">
        <v>107</v>
      </c>
      <c r="L1270" s="6" t="s">
        <v>108</v>
      </c>
      <c r="M1270">
        <v>173</v>
      </c>
      <c r="N1270" s="1">
        <v>0.45400000000000001</v>
      </c>
      <c r="O1270">
        <v>40</v>
      </c>
      <c r="P1270" s="1">
        <v>0.33900000000000002</v>
      </c>
      <c r="Q1270" s="1">
        <v>0.85199999999999998</v>
      </c>
      <c r="R1270">
        <v>484</v>
      </c>
      <c r="S1270">
        <v>15</v>
      </c>
      <c r="T1270">
        <v>83</v>
      </c>
      <c r="U1270">
        <v>114</v>
      </c>
      <c r="V1270">
        <v>31</v>
      </c>
      <c r="W1270">
        <v>11</v>
      </c>
      <c r="X1270">
        <v>59</v>
      </c>
      <c r="Y1270" s="5">
        <v>1.93</v>
      </c>
    </row>
    <row r="1271" spans="1:25" x14ac:dyDescent="0.25">
      <c r="A1271">
        <v>2021</v>
      </c>
      <c r="B1271" t="s">
        <v>57</v>
      </c>
      <c r="C1271">
        <v>5</v>
      </c>
      <c r="D1271">
        <v>49</v>
      </c>
      <c r="E1271" t="s">
        <v>95</v>
      </c>
      <c r="F1271" t="s">
        <v>101</v>
      </c>
      <c r="G1271">
        <f t="shared" si="19"/>
        <v>0</v>
      </c>
      <c r="H1271">
        <v>6</v>
      </c>
      <c r="I1271">
        <v>7</v>
      </c>
      <c r="J1271">
        <v>0</v>
      </c>
      <c r="K1271" s="6" t="s">
        <v>61</v>
      </c>
      <c r="L1271" s="6" t="s">
        <v>77</v>
      </c>
      <c r="M1271">
        <v>127</v>
      </c>
      <c r="N1271" s="1">
        <v>0.45</v>
      </c>
      <c r="O1271">
        <v>43</v>
      </c>
      <c r="P1271" s="1">
        <v>0.39100000000000001</v>
      </c>
      <c r="Q1271" s="1">
        <v>0.68</v>
      </c>
      <c r="R1271">
        <v>348</v>
      </c>
      <c r="S1271">
        <v>31</v>
      </c>
      <c r="T1271">
        <v>133</v>
      </c>
      <c r="U1271">
        <v>68</v>
      </c>
      <c r="V1271">
        <v>16</v>
      </c>
      <c r="W1271">
        <v>24</v>
      </c>
      <c r="X1271">
        <v>54</v>
      </c>
      <c r="Y1271" s="5">
        <v>1.26</v>
      </c>
    </row>
    <row r="1272" spans="1:25" x14ac:dyDescent="0.25">
      <c r="A1272">
        <v>2021</v>
      </c>
      <c r="B1272" t="s">
        <v>57</v>
      </c>
      <c r="C1272">
        <v>5</v>
      </c>
      <c r="D1272">
        <v>50</v>
      </c>
      <c r="E1272" t="s">
        <v>99</v>
      </c>
      <c r="F1272" t="s">
        <v>45</v>
      </c>
      <c r="G1272">
        <f t="shared" si="19"/>
        <v>1</v>
      </c>
      <c r="H1272">
        <v>10</v>
      </c>
      <c r="I1272">
        <v>3</v>
      </c>
      <c r="J1272">
        <v>0</v>
      </c>
      <c r="K1272" s="6" t="s">
        <v>68</v>
      </c>
      <c r="L1272" s="6" t="s">
        <v>84</v>
      </c>
      <c r="M1272">
        <v>177</v>
      </c>
      <c r="N1272" s="1">
        <v>0.45500000000000002</v>
      </c>
      <c r="O1272">
        <v>48</v>
      </c>
      <c r="P1272" s="1">
        <v>0.35</v>
      </c>
      <c r="Q1272" s="1">
        <v>0.73599999999999999</v>
      </c>
      <c r="R1272">
        <v>491</v>
      </c>
      <c r="S1272">
        <v>48</v>
      </c>
      <c r="T1272">
        <v>150</v>
      </c>
      <c r="U1272">
        <v>120</v>
      </c>
      <c r="V1272">
        <v>31</v>
      </c>
      <c r="W1272">
        <v>17</v>
      </c>
      <c r="X1272">
        <v>62</v>
      </c>
      <c r="Y1272" s="5">
        <v>1.94</v>
      </c>
    </row>
    <row r="1273" spans="1:25" x14ac:dyDescent="0.25">
      <c r="A1273">
        <v>2021</v>
      </c>
      <c r="B1273" t="s">
        <v>57</v>
      </c>
      <c r="C1273">
        <v>5</v>
      </c>
      <c r="D1273">
        <v>50</v>
      </c>
      <c r="E1273" t="s">
        <v>25</v>
      </c>
      <c r="F1273" t="s">
        <v>53</v>
      </c>
      <c r="G1273">
        <f t="shared" si="19"/>
        <v>0</v>
      </c>
      <c r="H1273">
        <v>3</v>
      </c>
      <c r="I1273">
        <v>10</v>
      </c>
      <c r="J1273">
        <v>0</v>
      </c>
      <c r="K1273" s="6" t="s">
        <v>114</v>
      </c>
      <c r="L1273" s="6" t="s">
        <v>90</v>
      </c>
      <c r="M1273">
        <v>157</v>
      </c>
      <c r="N1273" s="1">
        <v>0.47699999999999998</v>
      </c>
      <c r="O1273">
        <v>31</v>
      </c>
      <c r="P1273" s="1">
        <v>0.33</v>
      </c>
      <c r="Q1273" s="1">
        <v>0.76300000000000001</v>
      </c>
      <c r="R1273">
        <v>416</v>
      </c>
      <c r="S1273">
        <v>37</v>
      </c>
      <c r="T1273">
        <v>141</v>
      </c>
      <c r="U1273">
        <v>76</v>
      </c>
      <c r="V1273">
        <v>26</v>
      </c>
      <c r="W1273">
        <v>15</v>
      </c>
      <c r="X1273">
        <v>44</v>
      </c>
      <c r="Y1273" s="5">
        <v>1.73</v>
      </c>
    </row>
    <row r="1274" spans="1:25" x14ac:dyDescent="0.25">
      <c r="A1274">
        <v>2021</v>
      </c>
      <c r="B1274" t="s">
        <v>57</v>
      </c>
      <c r="C1274">
        <v>6</v>
      </c>
      <c r="D1274">
        <v>51</v>
      </c>
      <c r="E1274" t="s">
        <v>99</v>
      </c>
      <c r="F1274" t="s">
        <v>45</v>
      </c>
      <c r="G1274">
        <f t="shared" si="19"/>
        <v>1</v>
      </c>
      <c r="H1274">
        <v>9</v>
      </c>
      <c r="I1274">
        <v>4</v>
      </c>
      <c r="J1274">
        <v>0</v>
      </c>
      <c r="K1274" s="6" t="s">
        <v>70</v>
      </c>
      <c r="L1274" s="6" t="s">
        <v>87</v>
      </c>
      <c r="M1274">
        <v>217</v>
      </c>
      <c r="N1274" s="1">
        <v>0.45600000000000002</v>
      </c>
      <c r="O1274">
        <v>65</v>
      </c>
      <c r="P1274" s="1">
        <v>0.40600000000000003</v>
      </c>
      <c r="Q1274" s="1">
        <v>0.71299999999999997</v>
      </c>
      <c r="R1274">
        <v>591</v>
      </c>
      <c r="S1274">
        <v>49</v>
      </c>
      <c r="T1274">
        <v>169</v>
      </c>
      <c r="U1274">
        <v>130</v>
      </c>
      <c r="V1274">
        <v>40</v>
      </c>
      <c r="W1274">
        <v>20</v>
      </c>
      <c r="X1274">
        <v>79</v>
      </c>
      <c r="Y1274" s="5">
        <v>1.65</v>
      </c>
    </row>
    <row r="1275" spans="1:25" x14ac:dyDescent="0.25">
      <c r="A1275">
        <v>2021</v>
      </c>
      <c r="B1275" t="s">
        <v>57</v>
      </c>
      <c r="C1275">
        <v>6</v>
      </c>
      <c r="D1275">
        <v>51</v>
      </c>
      <c r="E1275" t="s">
        <v>21</v>
      </c>
      <c r="F1275" t="s">
        <v>50</v>
      </c>
      <c r="G1275">
        <f t="shared" si="19"/>
        <v>0</v>
      </c>
      <c r="H1275">
        <v>4</v>
      </c>
      <c r="I1275">
        <v>9</v>
      </c>
      <c r="J1275">
        <v>0</v>
      </c>
      <c r="K1275" s="6" t="s">
        <v>114</v>
      </c>
      <c r="L1275" s="6" t="s">
        <v>90</v>
      </c>
      <c r="M1275">
        <v>166</v>
      </c>
      <c r="N1275" s="1">
        <v>0.47799999999999998</v>
      </c>
      <c r="O1275">
        <v>61</v>
      </c>
      <c r="P1275" s="1">
        <v>0.41499999999999998</v>
      </c>
      <c r="Q1275" s="1">
        <v>0.76100000000000001</v>
      </c>
      <c r="R1275">
        <v>444</v>
      </c>
      <c r="S1275">
        <v>40</v>
      </c>
      <c r="T1275">
        <v>109</v>
      </c>
      <c r="U1275">
        <v>82</v>
      </c>
      <c r="V1275">
        <v>21</v>
      </c>
      <c r="W1275">
        <v>7</v>
      </c>
      <c r="X1275">
        <v>54</v>
      </c>
      <c r="Y1275" s="5">
        <v>1.52</v>
      </c>
    </row>
    <row r="1276" spans="1:25" x14ac:dyDescent="0.25">
      <c r="A1276">
        <v>2021</v>
      </c>
      <c r="B1276" t="s">
        <v>57</v>
      </c>
      <c r="C1276">
        <v>6</v>
      </c>
      <c r="D1276">
        <v>52</v>
      </c>
      <c r="E1276" t="s">
        <v>28</v>
      </c>
      <c r="F1276" t="s">
        <v>46</v>
      </c>
      <c r="G1276">
        <f t="shared" si="19"/>
        <v>1</v>
      </c>
      <c r="H1276">
        <v>10</v>
      </c>
      <c r="I1276">
        <v>3</v>
      </c>
      <c r="J1276">
        <v>0</v>
      </c>
      <c r="K1276" s="6" t="s">
        <v>109</v>
      </c>
      <c r="L1276" s="6" t="s">
        <v>110</v>
      </c>
      <c r="M1276">
        <v>239</v>
      </c>
      <c r="N1276" s="1">
        <v>0.47399999999999998</v>
      </c>
      <c r="O1276">
        <v>69</v>
      </c>
      <c r="P1276" s="1">
        <v>0.41599999999999998</v>
      </c>
      <c r="Q1276" s="1">
        <v>0.77300000000000002</v>
      </c>
      <c r="R1276">
        <v>622</v>
      </c>
      <c r="S1276">
        <v>64</v>
      </c>
      <c r="T1276">
        <v>199</v>
      </c>
      <c r="U1276">
        <v>107</v>
      </c>
      <c r="V1276">
        <v>28</v>
      </c>
      <c r="W1276">
        <v>28</v>
      </c>
      <c r="X1276">
        <v>68</v>
      </c>
      <c r="Y1276" s="5">
        <v>1.57</v>
      </c>
    </row>
    <row r="1277" spans="1:25" x14ac:dyDescent="0.25">
      <c r="A1277">
        <v>2021</v>
      </c>
      <c r="B1277" t="s">
        <v>57</v>
      </c>
      <c r="C1277">
        <v>6</v>
      </c>
      <c r="D1277">
        <v>52</v>
      </c>
      <c r="E1277" t="s">
        <v>96</v>
      </c>
      <c r="F1277" t="s">
        <v>102</v>
      </c>
      <c r="G1277">
        <f t="shared" si="19"/>
        <v>0</v>
      </c>
      <c r="H1277">
        <v>3</v>
      </c>
      <c r="I1277">
        <v>10</v>
      </c>
      <c r="J1277">
        <v>0</v>
      </c>
      <c r="K1277" s="6" t="s">
        <v>64</v>
      </c>
      <c r="L1277" s="6" t="s">
        <v>80</v>
      </c>
      <c r="M1277">
        <v>153</v>
      </c>
      <c r="N1277" s="1">
        <v>0.44700000000000001</v>
      </c>
      <c r="O1277">
        <v>64</v>
      </c>
      <c r="P1277" s="1">
        <v>0.41</v>
      </c>
      <c r="Q1277" s="1">
        <v>0.76300000000000001</v>
      </c>
      <c r="R1277">
        <v>460</v>
      </c>
      <c r="S1277">
        <v>46</v>
      </c>
      <c r="T1277">
        <v>138</v>
      </c>
      <c r="U1277">
        <v>122</v>
      </c>
      <c r="V1277">
        <v>18</v>
      </c>
      <c r="W1277">
        <v>21</v>
      </c>
      <c r="X1277">
        <v>65</v>
      </c>
      <c r="Y1277" s="5">
        <v>1.88</v>
      </c>
    </row>
    <row r="1278" spans="1:25" x14ac:dyDescent="0.25">
      <c r="A1278">
        <v>2021</v>
      </c>
      <c r="B1278" t="s">
        <v>57</v>
      </c>
      <c r="C1278">
        <v>6</v>
      </c>
      <c r="D1278">
        <v>53</v>
      </c>
      <c r="E1278" t="s">
        <v>97</v>
      </c>
      <c r="F1278" t="s">
        <v>54</v>
      </c>
      <c r="G1278">
        <f t="shared" si="19"/>
        <v>1</v>
      </c>
      <c r="H1278">
        <v>10</v>
      </c>
      <c r="I1278">
        <v>3</v>
      </c>
      <c r="J1278">
        <v>0</v>
      </c>
      <c r="K1278" s="6" t="s">
        <v>71</v>
      </c>
      <c r="L1278" s="6" t="s">
        <v>121</v>
      </c>
      <c r="M1278">
        <v>221</v>
      </c>
      <c r="N1278" s="1">
        <v>0.46400000000000002</v>
      </c>
      <c r="O1278">
        <v>55</v>
      </c>
      <c r="P1278" s="1">
        <v>0.35299999999999998</v>
      </c>
      <c r="Q1278" s="1">
        <v>0.83399999999999996</v>
      </c>
      <c r="R1278">
        <v>658</v>
      </c>
      <c r="S1278">
        <v>27</v>
      </c>
      <c r="T1278">
        <v>138</v>
      </c>
      <c r="U1278">
        <v>132</v>
      </c>
      <c r="V1278">
        <v>24</v>
      </c>
      <c r="W1278">
        <v>14</v>
      </c>
      <c r="X1278">
        <v>72</v>
      </c>
      <c r="Y1278" s="5">
        <v>1.83</v>
      </c>
    </row>
    <row r="1279" spans="1:25" x14ac:dyDescent="0.25">
      <c r="A1279">
        <v>2021</v>
      </c>
      <c r="B1279" t="s">
        <v>57</v>
      </c>
      <c r="C1279">
        <v>6</v>
      </c>
      <c r="D1279">
        <v>53</v>
      </c>
      <c r="E1279" t="s">
        <v>23</v>
      </c>
      <c r="F1279" t="s">
        <v>120</v>
      </c>
      <c r="G1279">
        <f t="shared" si="19"/>
        <v>0</v>
      </c>
      <c r="H1279">
        <v>3</v>
      </c>
      <c r="I1279">
        <v>10</v>
      </c>
      <c r="J1279">
        <v>0</v>
      </c>
      <c r="K1279" s="6" t="s">
        <v>111</v>
      </c>
      <c r="L1279" s="6" t="s">
        <v>89</v>
      </c>
      <c r="M1279">
        <v>114</v>
      </c>
      <c r="N1279" s="1">
        <v>0.44400000000000001</v>
      </c>
      <c r="O1279">
        <v>18</v>
      </c>
      <c r="P1279" s="1">
        <v>0.24299999999999999</v>
      </c>
      <c r="Q1279" s="1">
        <v>0.84699999999999998</v>
      </c>
      <c r="R1279">
        <v>307</v>
      </c>
      <c r="S1279">
        <v>34</v>
      </c>
      <c r="T1279">
        <v>88</v>
      </c>
      <c r="U1279">
        <v>62</v>
      </c>
      <c r="V1279">
        <v>19</v>
      </c>
      <c r="W1279">
        <v>9</v>
      </c>
      <c r="X1279">
        <v>37</v>
      </c>
      <c r="Y1279" s="5">
        <v>1.68</v>
      </c>
    </row>
    <row r="1280" spans="1:25" x14ac:dyDescent="0.25">
      <c r="A1280">
        <v>2021</v>
      </c>
      <c r="B1280" t="s">
        <v>57</v>
      </c>
      <c r="C1280">
        <v>6</v>
      </c>
      <c r="D1280">
        <v>54</v>
      </c>
      <c r="E1280" t="s">
        <v>15</v>
      </c>
      <c r="F1280" t="s">
        <v>48</v>
      </c>
      <c r="G1280">
        <f t="shared" si="19"/>
        <v>1</v>
      </c>
      <c r="H1280">
        <v>9</v>
      </c>
      <c r="I1280">
        <v>3</v>
      </c>
      <c r="J1280">
        <v>1</v>
      </c>
      <c r="K1280" s="6" t="s">
        <v>59</v>
      </c>
      <c r="L1280" s="6" t="s">
        <v>74</v>
      </c>
      <c r="M1280">
        <v>205</v>
      </c>
      <c r="N1280" s="1">
        <v>0.47899999999999998</v>
      </c>
      <c r="O1280">
        <v>61</v>
      </c>
      <c r="P1280" s="1">
        <v>0.372</v>
      </c>
      <c r="Q1280" s="1">
        <v>0.84599999999999997</v>
      </c>
      <c r="R1280">
        <v>548</v>
      </c>
      <c r="S1280">
        <v>22</v>
      </c>
      <c r="T1280">
        <v>128</v>
      </c>
      <c r="U1280">
        <v>112</v>
      </c>
      <c r="V1280">
        <v>24</v>
      </c>
      <c r="W1280">
        <v>12</v>
      </c>
      <c r="X1280">
        <v>53</v>
      </c>
      <c r="Y1280" s="5">
        <v>2.11</v>
      </c>
    </row>
    <row r="1281" spans="1:25" x14ac:dyDescent="0.25">
      <c r="A1281">
        <v>2021</v>
      </c>
      <c r="B1281" t="s">
        <v>57</v>
      </c>
      <c r="C1281">
        <v>6</v>
      </c>
      <c r="D1281">
        <v>54</v>
      </c>
      <c r="E1281" t="s">
        <v>18</v>
      </c>
      <c r="F1281" t="s">
        <v>52</v>
      </c>
      <c r="G1281">
        <f t="shared" si="19"/>
        <v>0</v>
      </c>
      <c r="H1281">
        <v>3</v>
      </c>
      <c r="I1281">
        <v>9</v>
      </c>
      <c r="J1281">
        <v>1</v>
      </c>
      <c r="K1281" s="6" t="s">
        <v>61</v>
      </c>
      <c r="L1281" s="6" t="s">
        <v>77</v>
      </c>
      <c r="M1281">
        <v>84</v>
      </c>
      <c r="N1281" s="1">
        <v>0.47699999999999998</v>
      </c>
      <c r="O1281">
        <v>30</v>
      </c>
      <c r="P1281" s="1">
        <v>0.38</v>
      </c>
      <c r="Q1281" s="1">
        <v>0.73</v>
      </c>
      <c r="R1281">
        <v>225</v>
      </c>
      <c r="S1281">
        <v>22</v>
      </c>
      <c r="T1281">
        <v>62</v>
      </c>
      <c r="U1281">
        <v>48</v>
      </c>
      <c r="V1281">
        <v>16</v>
      </c>
      <c r="W1281">
        <v>13</v>
      </c>
      <c r="X1281">
        <v>36</v>
      </c>
      <c r="Y1281" s="5">
        <v>1.33</v>
      </c>
    </row>
    <row r="1282" spans="1:25" x14ac:dyDescent="0.25">
      <c r="A1282">
        <v>2021</v>
      </c>
      <c r="B1282" t="s">
        <v>57</v>
      </c>
      <c r="C1282">
        <v>6</v>
      </c>
      <c r="D1282">
        <v>55</v>
      </c>
      <c r="E1282" t="s">
        <v>159</v>
      </c>
      <c r="F1282" t="s">
        <v>116</v>
      </c>
      <c r="G1282">
        <f t="shared" ref="G1282:G1345" si="20">IF(H1282+0.5*J1282&gt;6.5,1,0)</f>
        <v>1</v>
      </c>
      <c r="H1282">
        <v>8</v>
      </c>
      <c r="I1282">
        <v>5</v>
      </c>
      <c r="J1282">
        <v>0</v>
      </c>
      <c r="K1282" s="6" t="s">
        <v>63</v>
      </c>
      <c r="L1282" s="6" t="s">
        <v>79</v>
      </c>
      <c r="M1282">
        <v>184</v>
      </c>
      <c r="N1282" s="1">
        <v>0.47199999999999998</v>
      </c>
      <c r="O1282">
        <v>51</v>
      </c>
      <c r="P1282" s="1">
        <v>0.41099999999999998</v>
      </c>
      <c r="Q1282" s="1">
        <v>0.78300000000000003</v>
      </c>
      <c r="R1282">
        <v>484</v>
      </c>
      <c r="S1282">
        <v>42</v>
      </c>
      <c r="T1282">
        <v>161</v>
      </c>
      <c r="U1282">
        <v>89</v>
      </c>
      <c r="V1282">
        <v>33</v>
      </c>
      <c r="W1282">
        <v>12</v>
      </c>
      <c r="X1282">
        <v>72</v>
      </c>
      <c r="Y1282" s="5">
        <v>1.24</v>
      </c>
    </row>
    <row r="1283" spans="1:25" x14ac:dyDescent="0.25">
      <c r="A1283">
        <v>2021</v>
      </c>
      <c r="B1283" t="s">
        <v>57</v>
      </c>
      <c r="C1283">
        <v>6</v>
      </c>
      <c r="D1283">
        <v>55</v>
      </c>
      <c r="E1283" t="s">
        <v>17</v>
      </c>
      <c r="F1283" t="s">
        <v>43</v>
      </c>
      <c r="G1283">
        <f t="shared" si="20"/>
        <v>0</v>
      </c>
      <c r="H1283">
        <v>5</v>
      </c>
      <c r="I1283">
        <v>8</v>
      </c>
      <c r="J1283">
        <v>0</v>
      </c>
      <c r="K1283" s="6" t="s">
        <v>193</v>
      </c>
      <c r="L1283" s="6" t="s">
        <v>117</v>
      </c>
      <c r="M1283">
        <v>126</v>
      </c>
      <c r="N1283" s="1">
        <v>0.48799999999999999</v>
      </c>
      <c r="O1283">
        <v>30</v>
      </c>
      <c r="P1283" s="1">
        <v>0.38</v>
      </c>
      <c r="Q1283" s="1">
        <v>0.77800000000000002</v>
      </c>
      <c r="R1283">
        <v>324</v>
      </c>
      <c r="S1283">
        <v>46</v>
      </c>
      <c r="T1283">
        <v>92</v>
      </c>
      <c r="U1283">
        <v>87</v>
      </c>
      <c r="V1283">
        <v>23</v>
      </c>
      <c r="W1283">
        <v>26</v>
      </c>
      <c r="X1283">
        <v>48</v>
      </c>
      <c r="Y1283" s="5">
        <v>1.81</v>
      </c>
    </row>
    <row r="1284" spans="1:25" x14ac:dyDescent="0.25">
      <c r="A1284">
        <v>2021</v>
      </c>
      <c r="B1284" t="s">
        <v>57</v>
      </c>
      <c r="C1284">
        <v>6</v>
      </c>
      <c r="D1284">
        <v>56</v>
      </c>
      <c r="E1284" t="s">
        <v>26</v>
      </c>
      <c r="F1284" t="s">
        <v>118</v>
      </c>
      <c r="G1284">
        <f t="shared" si="20"/>
        <v>1</v>
      </c>
      <c r="H1284">
        <v>10</v>
      </c>
      <c r="I1284">
        <v>3</v>
      </c>
      <c r="J1284">
        <v>0</v>
      </c>
      <c r="K1284" s="6" t="s">
        <v>182</v>
      </c>
      <c r="L1284" s="6" t="s">
        <v>76</v>
      </c>
      <c r="M1284">
        <v>236</v>
      </c>
      <c r="N1284" s="1">
        <v>0.48599999999999999</v>
      </c>
      <c r="O1284">
        <v>80</v>
      </c>
      <c r="P1284" s="1">
        <v>0.39600000000000002</v>
      </c>
      <c r="Q1284" s="1">
        <v>0.79400000000000004</v>
      </c>
      <c r="R1284">
        <v>656</v>
      </c>
      <c r="S1284">
        <v>57</v>
      </c>
      <c r="T1284">
        <v>183</v>
      </c>
      <c r="U1284">
        <v>165</v>
      </c>
      <c r="V1284">
        <v>27</v>
      </c>
      <c r="W1284">
        <v>29</v>
      </c>
      <c r="X1284">
        <v>76</v>
      </c>
      <c r="Y1284" s="5">
        <v>2.17</v>
      </c>
    </row>
    <row r="1285" spans="1:25" x14ac:dyDescent="0.25">
      <c r="A1285">
        <v>2021</v>
      </c>
      <c r="B1285" t="s">
        <v>57</v>
      </c>
      <c r="C1285">
        <v>6</v>
      </c>
      <c r="D1285">
        <v>56</v>
      </c>
      <c r="E1285" t="s">
        <v>181</v>
      </c>
      <c r="F1285" t="s">
        <v>49</v>
      </c>
      <c r="G1285">
        <f t="shared" si="20"/>
        <v>0</v>
      </c>
      <c r="H1285">
        <v>3</v>
      </c>
      <c r="I1285">
        <v>10</v>
      </c>
      <c r="J1285">
        <v>0</v>
      </c>
      <c r="K1285" s="6" t="s">
        <v>65</v>
      </c>
      <c r="L1285" s="6" t="s">
        <v>119</v>
      </c>
      <c r="M1285">
        <v>66</v>
      </c>
      <c r="N1285" s="1">
        <v>0.60599999999999998</v>
      </c>
      <c r="O1285">
        <v>14</v>
      </c>
      <c r="P1285" s="1">
        <v>0.45200000000000001</v>
      </c>
      <c r="Q1285" s="1">
        <v>0.77100000000000002</v>
      </c>
      <c r="R1285">
        <v>173</v>
      </c>
      <c r="S1285">
        <v>28</v>
      </c>
      <c r="T1285">
        <v>75</v>
      </c>
      <c r="U1285">
        <v>10</v>
      </c>
      <c r="V1285">
        <v>11</v>
      </c>
      <c r="W1285">
        <v>6</v>
      </c>
      <c r="X1285">
        <v>21</v>
      </c>
      <c r="Y1285" s="5">
        <v>0.48</v>
      </c>
    </row>
    <row r="1286" spans="1:25" x14ac:dyDescent="0.25">
      <c r="A1286">
        <v>2021</v>
      </c>
      <c r="B1286" t="s">
        <v>57</v>
      </c>
      <c r="C1286">
        <v>6</v>
      </c>
      <c r="D1286">
        <v>57</v>
      </c>
      <c r="E1286" t="s">
        <v>95</v>
      </c>
      <c r="F1286" t="s">
        <v>101</v>
      </c>
      <c r="G1286">
        <f t="shared" si="20"/>
        <v>1</v>
      </c>
      <c r="H1286">
        <v>8</v>
      </c>
      <c r="I1286">
        <v>3</v>
      </c>
      <c r="J1286">
        <v>2</v>
      </c>
      <c r="K1286" s="6" t="s">
        <v>191</v>
      </c>
      <c r="L1286" s="6" t="s">
        <v>113</v>
      </c>
      <c r="M1286">
        <v>149</v>
      </c>
      <c r="N1286" s="1">
        <v>0.441</v>
      </c>
      <c r="O1286">
        <v>46</v>
      </c>
      <c r="P1286" s="1">
        <v>0.371</v>
      </c>
      <c r="Q1286" s="1">
        <v>0.75</v>
      </c>
      <c r="R1286">
        <v>410</v>
      </c>
      <c r="S1286">
        <v>37</v>
      </c>
      <c r="T1286">
        <v>109</v>
      </c>
      <c r="U1286">
        <v>100</v>
      </c>
      <c r="V1286">
        <v>28</v>
      </c>
      <c r="W1286">
        <v>19</v>
      </c>
      <c r="X1286">
        <v>51</v>
      </c>
      <c r="Y1286" s="5">
        <v>1.96</v>
      </c>
    </row>
    <row r="1287" spans="1:25" x14ac:dyDescent="0.25">
      <c r="A1287">
        <v>2021</v>
      </c>
      <c r="B1287" t="s">
        <v>57</v>
      </c>
      <c r="C1287">
        <v>6</v>
      </c>
      <c r="D1287">
        <v>57</v>
      </c>
      <c r="E1287" t="s">
        <v>190</v>
      </c>
      <c r="F1287" t="s">
        <v>103</v>
      </c>
      <c r="G1287">
        <f t="shared" si="20"/>
        <v>0</v>
      </c>
      <c r="H1287">
        <v>3</v>
      </c>
      <c r="I1287">
        <v>8</v>
      </c>
      <c r="J1287">
        <v>2</v>
      </c>
      <c r="K1287" s="6" t="s">
        <v>107</v>
      </c>
      <c r="L1287" s="6" t="s">
        <v>108</v>
      </c>
      <c r="M1287">
        <v>149</v>
      </c>
      <c r="N1287" s="1">
        <v>0.46400000000000002</v>
      </c>
      <c r="O1287">
        <v>46</v>
      </c>
      <c r="P1287" s="1">
        <v>0.34599999999999997</v>
      </c>
      <c r="Q1287" s="1">
        <v>0.72299999999999998</v>
      </c>
      <c r="R1287">
        <v>425</v>
      </c>
      <c r="S1287">
        <v>26</v>
      </c>
      <c r="T1287">
        <v>125</v>
      </c>
      <c r="U1287">
        <v>88</v>
      </c>
      <c r="V1287">
        <v>20</v>
      </c>
      <c r="W1287">
        <v>18</v>
      </c>
      <c r="X1287">
        <v>59</v>
      </c>
      <c r="Y1287" s="5">
        <v>1.49</v>
      </c>
    </row>
    <row r="1288" spans="1:25" x14ac:dyDescent="0.25">
      <c r="A1288">
        <v>2021</v>
      </c>
      <c r="B1288" t="s">
        <v>57</v>
      </c>
      <c r="C1288">
        <v>6</v>
      </c>
      <c r="D1288">
        <v>58</v>
      </c>
      <c r="E1288" t="s">
        <v>33</v>
      </c>
      <c r="F1288" t="s">
        <v>42</v>
      </c>
      <c r="G1288">
        <f t="shared" si="20"/>
        <v>1</v>
      </c>
      <c r="H1288">
        <v>8</v>
      </c>
      <c r="I1288">
        <v>5</v>
      </c>
      <c r="J1288">
        <v>0</v>
      </c>
      <c r="K1288" s="6" t="s">
        <v>106</v>
      </c>
      <c r="L1288" s="6" t="s">
        <v>83</v>
      </c>
      <c r="M1288">
        <v>183</v>
      </c>
      <c r="N1288" s="1">
        <v>0.48199999999999998</v>
      </c>
      <c r="O1288">
        <v>52</v>
      </c>
      <c r="P1288" s="1">
        <v>0.36099999999999999</v>
      </c>
      <c r="Q1288" s="1">
        <v>0.80900000000000005</v>
      </c>
      <c r="R1288">
        <v>524</v>
      </c>
      <c r="S1288">
        <v>36</v>
      </c>
      <c r="T1288">
        <v>149</v>
      </c>
      <c r="U1288">
        <v>99</v>
      </c>
      <c r="V1288">
        <v>32</v>
      </c>
      <c r="W1288">
        <v>24</v>
      </c>
      <c r="X1288">
        <v>49</v>
      </c>
      <c r="Y1288" s="5">
        <v>2.02</v>
      </c>
    </row>
    <row r="1289" spans="1:25" x14ac:dyDescent="0.25">
      <c r="A1289">
        <v>2021</v>
      </c>
      <c r="B1289" t="s">
        <v>57</v>
      </c>
      <c r="C1289">
        <v>6</v>
      </c>
      <c r="D1289">
        <v>58</v>
      </c>
      <c r="E1289" t="s">
        <v>94</v>
      </c>
      <c r="F1289" t="s">
        <v>40</v>
      </c>
      <c r="G1289">
        <f t="shared" si="20"/>
        <v>0</v>
      </c>
      <c r="H1289">
        <v>5</v>
      </c>
      <c r="I1289">
        <v>8</v>
      </c>
      <c r="J1289">
        <v>0</v>
      </c>
      <c r="K1289" s="6" t="s">
        <v>72</v>
      </c>
      <c r="L1289" s="6" t="s">
        <v>85</v>
      </c>
      <c r="M1289">
        <v>123</v>
      </c>
      <c r="N1289" s="1">
        <v>0.438</v>
      </c>
      <c r="O1289">
        <v>32</v>
      </c>
      <c r="P1289" s="1">
        <v>0.34799999999999998</v>
      </c>
      <c r="Q1289" s="1">
        <v>0.82</v>
      </c>
      <c r="R1289">
        <v>328</v>
      </c>
      <c r="S1289">
        <v>37</v>
      </c>
      <c r="T1289">
        <v>111</v>
      </c>
      <c r="U1289">
        <v>110</v>
      </c>
      <c r="V1289">
        <v>21</v>
      </c>
      <c r="W1289">
        <v>12</v>
      </c>
      <c r="X1289">
        <v>31</v>
      </c>
      <c r="Y1289" s="5">
        <v>3.55</v>
      </c>
    </row>
    <row r="1290" spans="1:25" x14ac:dyDescent="0.25">
      <c r="A1290">
        <v>2021</v>
      </c>
      <c r="B1290" t="s">
        <v>57</v>
      </c>
      <c r="C1290">
        <v>6</v>
      </c>
      <c r="D1290">
        <v>59</v>
      </c>
      <c r="E1290" t="s">
        <v>98</v>
      </c>
      <c r="F1290" t="s">
        <v>41</v>
      </c>
      <c r="G1290">
        <f t="shared" si="20"/>
        <v>0</v>
      </c>
      <c r="H1290">
        <v>4</v>
      </c>
      <c r="I1290">
        <v>9</v>
      </c>
      <c r="J1290">
        <v>0</v>
      </c>
      <c r="K1290" s="6" t="s">
        <v>104</v>
      </c>
      <c r="L1290" s="6" t="s">
        <v>105</v>
      </c>
      <c r="M1290">
        <v>93</v>
      </c>
      <c r="N1290" s="1">
        <v>0.46500000000000002</v>
      </c>
      <c r="O1290">
        <v>42</v>
      </c>
      <c r="P1290" s="1">
        <v>0.375</v>
      </c>
      <c r="Q1290" s="1">
        <v>0.77300000000000002</v>
      </c>
      <c r="R1290">
        <v>262</v>
      </c>
      <c r="S1290">
        <v>13</v>
      </c>
      <c r="T1290">
        <v>64</v>
      </c>
      <c r="U1290">
        <v>59</v>
      </c>
      <c r="V1290">
        <v>35</v>
      </c>
      <c r="W1290">
        <v>7</v>
      </c>
      <c r="X1290">
        <v>21</v>
      </c>
      <c r="Y1290" s="5">
        <v>2.81</v>
      </c>
    </row>
    <row r="1291" spans="1:25" x14ac:dyDescent="0.25">
      <c r="A1291">
        <v>2021</v>
      </c>
      <c r="B1291" t="s">
        <v>57</v>
      </c>
      <c r="C1291">
        <v>6</v>
      </c>
      <c r="D1291">
        <v>59</v>
      </c>
      <c r="E1291" t="s">
        <v>93</v>
      </c>
      <c r="F1291" t="s">
        <v>189</v>
      </c>
      <c r="G1291">
        <f t="shared" si="20"/>
        <v>1</v>
      </c>
      <c r="H1291">
        <v>9</v>
      </c>
      <c r="I1291">
        <v>4</v>
      </c>
      <c r="J1291">
        <v>0</v>
      </c>
      <c r="K1291" s="6" t="s">
        <v>112</v>
      </c>
      <c r="L1291" s="6" t="s">
        <v>88</v>
      </c>
      <c r="M1291">
        <v>170</v>
      </c>
      <c r="N1291" s="1">
        <v>0.45</v>
      </c>
      <c r="O1291">
        <v>70</v>
      </c>
      <c r="P1291" s="1">
        <v>0.38500000000000001</v>
      </c>
      <c r="Q1291" s="1">
        <v>0.83499999999999996</v>
      </c>
      <c r="R1291">
        <v>496</v>
      </c>
      <c r="S1291">
        <v>36</v>
      </c>
      <c r="T1291">
        <v>140</v>
      </c>
      <c r="U1291">
        <v>103</v>
      </c>
      <c r="V1291">
        <v>25</v>
      </c>
      <c r="W1291">
        <v>24</v>
      </c>
      <c r="X1291">
        <v>45</v>
      </c>
      <c r="Y1291" s="5">
        <v>2.29</v>
      </c>
    </row>
    <row r="1292" spans="1:25" x14ac:dyDescent="0.25">
      <c r="A1292">
        <v>2021</v>
      </c>
      <c r="B1292" t="s">
        <v>57</v>
      </c>
      <c r="C1292">
        <v>6</v>
      </c>
      <c r="D1292">
        <v>60</v>
      </c>
      <c r="E1292" t="s">
        <v>25</v>
      </c>
      <c r="F1292" t="s">
        <v>53</v>
      </c>
      <c r="G1292">
        <f t="shared" si="20"/>
        <v>0</v>
      </c>
      <c r="H1292">
        <v>6</v>
      </c>
      <c r="I1292">
        <v>7</v>
      </c>
      <c r="J1292">
        <v>0</v>
      </c>
      <c r="K1292" s="6" t="s">
        <v>60</v>
      </c>
      <c r="L1292" s="6" t="s">
        <v>75</v>
      </c>
      <c r="M1292">
        <v>153</v>
      </c>
      <c r="N1292" s="1">
        <v>0.47799999999999998</v>
      </c>
      <c r="O1292">
        <v>48</v>
      </c>
      <c r="P1292" s="1">
        <v>0.41399999999999998</v>
      </c>
      <c r="Q1292" s="1">
        <v>0.78400000000000003</v>
      </c>
      <c r="R1292">
        <v>434</v>
      </c>
      <c r="S1292">
        <v>48</v>
      </c>
      <c r="T1292">
        <v>128</v>
      </c>
      <c r="U1292">
        <v>94</v>
      </c>
      <c r="V1292">
        <v>37</v>
      </c>
      <c r="W1292">
        <v>13</v>
      </c>
      <c r="X1292">
        <v>45</v>
      </c>
      <c r="Y1292" s="5">
        <v>2.09</v>
      </c>
    </row>
    <row r="1293" spans="1:25" x14ac:dyDescent="0.25">
      <c r="A1293">
        <v>2021</v>
      </c>
      <c r="B1293" t="s">
        <v>57</v>
      </c>
      <c r="C1293">
        <v>6</v>
      </c>
      <c r="D1293">
        <v>60</v>
      </c>
      <c r="E1293" t="s">
        <v>16</v>
      </c>
      <c r="F1293" t="s">
        <v>51</v>
      </c>
      <c r="G1293">
        <f t="shared" si="20"/>
        <v>1</v>
      </c>
      <c r="H1293">
        <v>7</v>
      </c>
      <c r="I1293">
        <v>6</v>
      </c>
      <c r="J1293">
        <v>0</v>
      </c>
      <c r="K1293" s="6" t="s">
        <v>68</v>
      </c>
      <c r="L1293" s="6" t="s">
        <v>84</v>
      </c>
      <c r="M1293">
        <v>172</v>
      </c>
      <c r="N1293" s="1">
        <v>0.496</v>
      </c>
      <c r="O1293">
        <v>54</v>
      </c>
      <c r="P1293" s="1">
        <v>0.372</v>
      </c>
      <c r="Q1293" s="1">
        <v>0.81699999999999995</v>
      </c>
      <c r="R1293">
        <v>487</v>
      </c>
      <c r="S1293">
        <v>29</v>
      </c>
      <c r="T1293">
        <v>127</v>
      </c>
      <c r="U1293">
        <v>119</v>
      </c>
      <c r="V1293">
        <v>33</v>
      </c>
      <c r="W1293">
        <v>23</v>
      </c>
      <c r="X1293">
        <v>58</v>
      </c>
      <c r="Y1293" s="5">
        <v>2.0499999999999998</v>
      </c>
    </row>
    <row r="1294" spans="1:25" x14ac:dyDescent="0.25">
      <c r="A1294">
        <v>2021</v>
      </c>
      <c r="B1294" t="s">
        <v>57</v>
      </c>
      <c r="C1294">
        <v>7</v>
      </c>
      <c r="D1294">
        <v>61</v>
      </c>
      <c r="E1294" t="s">
        <v>28</v>
      </c>
      <c r="F1294" t="s">
        <v>46</v>
      </c>
      <c r="G1294">
        <f t="shared" si="20"/>
        <v>1</v>
      </c>
      <c r="H1294">
        <v>11</v>
      </c>
      <c r="I1294">
        <v>0</v>
      </c>
      <c r="J1294">
        <v>2</v>
      </c>
      <c r="K1294" s="6" t="s">
        <v>70</v>
      </c>
      <c r="L1294" s="6" t="s">
        <v>87</v>
      </c>
      <c r="M1294">
        <v>234</v>
      </c>
      <c r="N1294" s="1">
        <v>0.50900000000000001</v>
      </c>
      <c r="O1294">
        <v>63</v>
      </c>
      <c r="P1294" s="1">
        <v>0.40600000000000003</v>
      </c>
      <c r="Q1294" s="1">
        <v>0.78700000000000003</v>
      </c>
      <c r="R1294">
        <v>594</v>
      </c>
      <c r="S1294">
        <v>62</v>
      </c>
      <c r="T1294">
        <v>195</v>
      </c>
      <c r="U1294">
        <v>124</v>
      </c>
      <c r="V1294">
        <v>33</v>
      </c>
      <c r="W1294">
        <v>28</v>
      </c>
      <c r="X1294">
        <v>62</v>
      </c>
      <c r="Y1294" s="5">
        <v>2</v>
      </c>
    </row>
    <row r="1295" spans="1:25" x14ac:dyDescent="0.25">
      <c r="A1295">
        <v>2021</v>
      </c>
      <c r="B1295" t="s">
        <v>57</v>
      </c>
      <c r="C1295">
        <v>7</v>
      </c>
      <c r="D1295">
        <v>61</v>
      </c>
      <c r="E1295" t="s">
        <v>21</v>
      </c>
      <c r="F1295" t="s">
        <v>50</v>
      </c>
      <c r="G1295">
        <f t="shared" si="20"/>
        <v>0</v>
      </c>
      <c r="H1295">
        <v>0</v>
      </c>
      <c r="I1295">
        <v>11</v>
      </c>
      <c r="J1295">
        <v>2</v>
      </c>
      <c r="K1295" s="6" t="s">
        <v>64</v>
      </c>
      <c r="L1295" s="6" t="s">
        <v>80</v>
      </c>
      <c r="M1295">
        <v>209</v>
      </c>
      <c r="N1295" s="1">
        <v>0.495</v>
      </c>
      <c r="O1295">
        <v>63</v>
      </c>
      <c r="P1295" s="1">
        <v>0.36</v>
      </c>
      <c r="Q1295" s="1">
        <v>0.77400000000000002</v>
      </c>
      <c r="R1295">
        <v>563</v>
      </c>
      <c r="S1295">
        <v>49</v>
      </c>
      <c r="T1295">
        <v>127</v>
      </c>
      <c r="U1295">
        <v>113</v>
      </c>
      <c r="V1295">
        <v>28</v>
      </c>
      <c r="W1295">
        <v>18</v>
      </c>
      <c r="X1295">
        <v>62</v>
      </c>
      <c r="Y1295" s="5">
        <v>1.82</v>
      </c>
    </row>
    <row r="1296" spans="1:25" x14ac:dyDescent="0.25">
      <c r="A1296">
        <v>2021</v>
      </c>
      <c r="B1296" t="s">
        <v>57</v>
      </c>
      <c r="C1296">
        <v>7</v>
      </c>
      <c r="D1296">
        <v>62</v>
      </c>
      <c r="E1296" t="s">
        <v>97</v>
      </c>
      <c r="F1296" t="s">
        <v>54</v>
      </c>
      <c r="G1296">
        <f t="shared" si="20"/>
        <v>1</v>
      </c>
      <c r="H1296">
        <v>8</v>
      </c>
      <c r="I1296">
        <v>5</v>
      </c>
      <c r="J1296">
        <v>0</v>
      </c>
      <c r="K1296" s="6" t="s">
        <v>114</v>
      </c>
      <c r="L1296" s="6" t="s">
        <v>90</v>
      </c>
      <c r="M1296">
        <v>229</v>
      </c>
      <c r="N1296" s="1">
        <v>0.48299999999999998</v>
      </c>
      <c r="O1296">
        <v>63</v>
      </c>
      <c r="P1296" s="1">
        <v>0.38400000000000001</v>
      </c>
      <c r="Q1296" s="1">
        <v>0.83499999999999996</v>
      </c>
      <c r="R1296">
        <v>668</v>
      </c>
      <c r="S1296">
        <v>35</v>
      </c>
      <c r="T1296">
        <v>160</v>
      </c>
      <c r="U1296">
        <v>156</v>
      </c>
      <c r="V1296">
        <v>31</v>
      </c>
      <c r="W1296">
        <v>20</v>
      </c>
      <c r="X1296">
        <v>90</v>
      </c>
      <c r="Y1296" s="5">
        <v>1.73</v>
      </c>
    </row>
    <row r="1297" spans="1:25" x14ac:dyDescent="0.25">
      <c r="A1297">
        <v>2021</v>
      </c>
      <c r="B1297" t="s">
        <v>57</v>
      </c>
      <c r="C1297">
        <v>7</v>
      </c>
      <c r="D1297">
        <v>62</v>
      </c>
      <c r="E1297" t="s">
        <v>99</v>
      </c>
      <c r="F1297" t="s">
        <v>45</v>
      </c>
      <c r="G1297">
        <f t="shared" si="20"/>
        <v>0</v>
      </c>
      <c r="H1297">
        <v>5</v>
      </c>
      <c r="I1297">
        <v>8</v>
      </c>
      <c r="J1297">
        <v>0</v>
      </c>
      <c r="K1297" s="6" t="s">
        <v>111</v>
      </c>
      <c r="L1297" s="6" t="s">
        <v>89</v>
      </c>
      <c r="M1297">
        <v>181</v>
      </c>
      <c r="N1297" s="1">
        <v>0.49099999999999999</v>
      </c>
      <c r="O1297">
        <v>55</v>
      </c>
      <c r="P1297" s="1">
        <v>0.45800000000000002</v>
      </c>
      <c r="Q1297" s="1">
        <v>0.73799999999999999</v>
      </c>
      <c r="R1297">
        <v>496</v>
      </c>
      <c r="S1297">
        <v>39</v>
      </c>
      <c r="T1297">
        <v>135</v>
      </c>
      <c r="U1297">
        <v>86</v>
      </c>
      <c r="V1297">
        <v>26</v>
      </c>
      <c r="W1297">
        <v>17</v>
      </c>
      <c r="X1297">
        <v>45</v>
      </c>
      <c r="Y1297" s="5">
        <v>1.91</v>
      </c>
    </row>
    <row r="1298" spans="1:25" x14ac:dyDescent="0.25">
      <c r="A1298">
        <v>2021</v>
      </c>
      <c r="B1298" t="s">
        <v>57</v>
      </c>
      <c r="C1298">
        <v>7</v>
      </c>
      <c r="D1298">
        <v>63</v>
      </c>
      <c r="E1298" t="s">
        <v>96</v>
      </c>
      <c r="F1298" t="s">
        <v>102</v>
      </c>
      <c r="G1298">
        <f t="shared" si="20"/>
        <v>1</v>
      </c>
      <c r="H1298">
        <v>9</v>
      </c>
      <c r="I1298">
        <v>4</v>
      </c>
      <c r="J1298">
        <v>0</v>
      </c>
      <c r="K1298" s="6" t="s">
        <v>59</v>
      </c>
      <c r="L1298" s="6" t="s">
        <v>74</v>
      </c>
      <c r="M1298">
        <v>148</v>
      </c>
      <c r="N1298" s="1">
        <v>0.50900000000000001</v>
      </c>
      <c r="O1298">
        <v>44</v>
      </c>
      <c r="P1298" s="1">
        <v>0.436</v>
      </c>
      <c r="Q1298" s="1">
        <v>0.84</v>
      </c>
      <c r="R1298">
        <v>424</v>
      </c>
      <c r="S1298">
        <v>31</v>
      </c>
      <c r="T1298">
        <v>124</v>
      </c>
      <c r="U1298">
        <v>110</v>
      </c>
      <c r="V1298">
        <v>28</v>
      </c>
      <c r="W1298">
        <v>8</v>
      </c>
      <c r="X1298">
        <v>51</v>
      </c>
      <c r="Y1298" s="5">
        <v>2.16</v>
      </c>
    </row>
    <row r="1299" spans="1:25" x14ac:dyDescent="0.25">
      <c r="A1299">
        <v>2021</v>
      </c>
      <c r="B1299" t="s">
        <v>57</v>
      </c>
      <c r="C1299">
        <v>7</v>
      </c>
      <c r="D1299">
        <v>63</v>
      </c>
      <c r="E1299" t="s">
        <v>18</v>
      </c>
      <c r="F1299" t="s">
        <v>52</v>
      </c>
      <c r="G1299">
        <f t="shared" si="20"/>
        <v>0</v>
      </c>
      <c r="H1299">
        <v>4</v>
      </c>
      <c r="I1299">
        <v>9</v>
      </c>
      <c r="J1299">
        <v>0</v>
      </c>
      <c r="K1299" s="6" t="s">
        <v>109</v>
      </c>
      <c r="L1299" s="6" t="s">
        <v>110</v>
      </c>
      <c r="M1299">
        <v>147</v>
      </c>
      <c r="N1299" s="1">
        <v>0.46100000000000002</v>
      </c>
      <c r="O1299">
        <v>43</v>
      </c>
      <c r="P1299" s="1">
        <v>0.36099999999999999</v>
      </c>
      <c r="Q1299" s="1">
        <v>0.745</v>
      </c>
      <c r="R1299">
        <v>372</v>
      </c>
      <c r="S1299">
        <v>34</v>
      </c>
      <c r="T1299">
        <v>115</v>
      </c>
      <c r="U1299">
        <v>90</v>
      </c>
      <c r="V1299">
        <v>26</v>
      </c>
      <c r="W1299">
        <v>11</v>
      </c>
      <c r="X1299">
        <v>37</v>
      </c>
      <c r="Y1299" s="5">
        <v>2.4300000000000002</v>
      </c>
    </row>
    <row r="1300" spans="1:25" x14ac:dyDescent="0.25">
      <c r="A1300">
        <v>2021</v>
      </c>
      <c r="B1300" t="s">
        <v>57</v>
      </c>
      <c r="C1300">
        <v>7</v>
      </c>
      <c r="D1300">
        <v>64</v>
      </c>
      <c r="E1300" t="s">
        <v>23</v>
      </c>
      <c r="F1300" t="s">
        <v>120</v>
      </c>
      <c r="G1300">
        <f t="shared" si="20"/>
        <v>0</v>
      </c>
      <c r="H1300">
        <v>5</v>
      </c>
      <c r="I1300">
        <v>8</v>
      </c>
      <c r="J1300">
        <v>0</v>
      </c>
      <c r="K1300" s="6" t="s">
        <v>193</v>
      </c>
      <c r="L1300" s="6" t="s">
        <v>117</v>
      </c>
      <c r="M1300">
        <v>155</v>
      </c>
      <c r="N1300" s="1">
        <v>0.439</v>
      </c>
      <c r="O1300">
        <v>36</v>
      </c>
      <c r="P1300" s="1">
        <v>0.313</v>
      </c>
      <c r="Q1300" s="1">
        <v>0.82</v>
      </c>
      <c r="R1300">
        <v>428</v>
      </c>
      <c r="S1300">
        <v>53</v>
      </c>
      <c r="T1300">
        <v>156</v>
      </c>
      <c r="U1300">
        <v>93</v>
      </c>
      <c r="V1300">
        <v>32</v>
      </c>
      <c r="W1300">
        <v>29</v>
      </c>
      <c r="X1300">
        <v>42</v>
      </c>
      <c r="Y1300" s="5">
        <v>2.21</v>
      </c>
    </row>
    <row r="1301" spans="1:25" x14ac:dyDescent="0.25">
      <c r="A1301">
        <v>2021</v>
      </c>
      <c r="B1301" t="s">
        <v>57</v>
      </c>
      <c r="C1301">
        <v>7</v>
      </c>
      <c r="D1301">
        <v>64</v>
      </c>
      <c r="E1301" t="s">
        <v>159</v>
      </c>
      <c r="F1301" t="s">
        <v>116</v>
      </c>
      <c r="G1301">
        <f t="shared" si="20"/>
        <v>1</v>
      </c>
      <c r="H1301">
        <v>8</v>
      </c>
      <c r="I1301">
        <v>5</v>
      </c>
      <c r="J1301">
        <v>0</v>
      </c>
      <c r="K1301" s="6" t="s">
        <v>71</v>
      </c>
      <c r="L1301" s="6" t="s">
        <v>121</v>
      </c>
      <c r="M1301">
        <v>233</v>
      </c>
      <c r="N1301" s="1">
        <v>0.44600000000000001</v>
      </c>
      <c r="O1301">
        <v>64</v>
      </c>
      <c r="P1301" s="1">
        <v>0.33700000000000002</v>
      </c>
      <c r="Q1301" s="1">
        <v>0.84099999999999997</v>
      </c>
      <c r="R1301">
        <v>620</v>
      </c>
      <c r="S1301">
        <v>47</v>
      </c>
      <c r="T1301">
        <v>197</v>
      </c>
      <c r="U1301">
        <v>118</v>
      </c>
      <c r="V1301">
        <v>25</v>
      </c>
      <c r="W1301">
        <v>21</v>
      </c>
      <c r="X1301">
        <v>57</v>
      </c>
      <c r="Y1301" s="5">
        <v>2.0699999999999998</v>
      </c>
    </row>
    <row r="1302" spans="1:25" x14ac:dyDescent="0.25">
      <c r="A1302">
        <v>2021</v>
      </c>
      <c r="B1302" t="s">
        <v>57</v>
      </c>
      <c r="C1302">
        <v>7</v>
      </c>
      <c r="D1302">
        <v>65</v>
      </c>
      <c r="E1302" t="s">
        <v>17</v>
      </c>
      <c r="F1302" t="s">
        <v>43</v>
      </c>
      <c r="G1302">
        <f t="shared" si="20"/>
        <v>0</v>
      </c>
      <c r="H1302">
        <v>5</v>
      </c>
      <c r="I1302">
        <v>8</v>
      </c>
      <c r="J1302">
        <v>0</v>
      </c>
      <c r="K1302" s="6" t="s">
        <v>61</v>
      </c>
      <c r="L1302" s="6" t="s">
        <v>77</v>
      </c>
      <c r="M1302">
        <v>112</v>
      </c>
      <c r="N1302" s="1">
        <v>0.47299999999999998</v>
      </c>
      <c r="O1302">
        <v>15</v>
      </c>
      <c r="P1302" s="1">
        <v>0.29399999999999998</v>
      </c>
      <c r="Q1302" s="1">
        <v>0.65100000000000002</v>
      </c>
      <c r="R1302">
        <v>267</v>
      </c>
      <c r="S1302">
        <v>36</v>
      </c>
      <c r="T1302">
        <v>97</v>
      </c>
      <c r="U1302">
        <v>68</v>
      </c>
      <c r="V1302">
        <v>25</v>
      </c>
      <c r="W1302">
        <v>23</v>
      </c>
      <c r="X1302">
        <v>38</v>
      </c>
      <c r="Y1302" s="5">
        <v>1.79</v>
      </c>
    </row>
    <row r="1303" spans="1:25" x14ac:dyDescent="0.25">
      <c r="A1303">
        <v>2021</v>
      </c>
      <c r="B1303" t="s">
        <v>57</v>
      </c>
      <c r="C1303">
        <v>7</v>
      </c>
      <c r="D1303">
        <v>65</v>
      </c>
      <c r="E1303" t="s">
        <v>15</v>
      </c>
      <c r="F1303" t="s">
        <v>48</v>
      </c>
      <c r="G1303">
        <f t="shared" si="20"/>
        <v>1</v>
      </c>
      <c r="H1303">
        <v>8</v>
      </c>
      <c r="I1303">
        <v>5</v>
      </c>
      <c r="J1303">
        <v>0</v>
      </c>
      <c r="K1303" s="6" t="s">
        <v>63</v>
      </c>
      <c r="L1303" s="6" t="s">
        <v>79</v>
      </c>
      <c r="M1303">
        <v>192</v>
      </c>
      <c r="N1303" s="1">
        <v>0.45</v>
      </c>
      <c r="O1303">
        <v>40</v>
      </c>
      <c r="P1303" s="1">
        <v>0.34499999999999997</v>
      </c>
      <c r="Q1303" s="1">
        <v>0.86899999999999999</v>
      </c>
      <c r="R1303">
        <v>517</v>
      </c>
      <c r="S1303">
        <v>26</v>
      </c>
      <c r="T1303">
        <v>114</v>
      </c>
      <c r="U1303">
        <v>99</v>
      </c>
      <c r="V1303">
        <v>22</v>
      </c>
      <c r="W1303">
        <v>18</v>
      </c>
      <c r="X1303">
        <v>47</v>
      </c>
      <c r="Y1303" s="5">
        <v>2.11</v>
      </c>
    </row>
    <row r="1304" spans="1:25" x14ac:dyDescent="0.25">
      <c r="A1304">
        <v>2021</v>
      </c>
      <c r="B1304" t="s">
        <v>57</v>
      </c>
      <c r="C1304">
        <v>7</v>
      </c>
      <c r="D1304">
        <v>66</v>
      </c>
      <c r="E1304" t="s">
        <v>190</v>
      </c>
      <c r="F1304" t="s">
        <v>103</v>
      </c>
      <c r="G1304">
        <f t="shared" si="20"/>
        <v>1</v>
      </c>
      <c r="H1304">
        <v>7</v>
      </c>
      <c r="I1304">
        <v>6</v>
      </c>
      <c r="J1304">
        <v>0</v>
      </c>
      <c r="K1304" s="6" t="s">
        <v>182</v>
      </c>
      <c r="L1304" s="6" t="s">
        <v>76</v>
      </c>
      <c r="M1304">
        <v>193</v>
      </c>
      <c r="N1304" s="1">
        <v>0.48699999999999999</v>
      </c>
      <c r="O1304">
        <v>41</v>
      </c>
      <c r="P1304" s="1">
        <v>0.315</v>
      </c>
      <c r="Q1304" s="1">
        <v>0.77600000000000002</v>
      </c>
      <c r="R1304">
        <v>517</v>
      </c>
      <c r="S1304">
        <v>30</v>
      </c>
      <c r="T1304">
        <v>146</v>
      </c>
      <c r="U1304">
        <v>127</v>
      </c>
      <c r="V1304">
        <v>23</v>
      </c>
      <c r="W1304">
        <v>16</v>
      </c>
      <c r="X1304">
        <v>65</v>
      </c>
      <c r="Y1304" s="5">
        <v>1.95</v>
      </c>
    </row>
    <row r="1305" spans="1:25" x14ac:dyDescent="0.25">
      <c r="A1305">
        <v>2021</v>
      </c>
      <c r="B1305" t="s">
        <v>57</v>
      </c>
      <c r="C1305">
        <v>7</v>
      </c>
      <c r="D1305">
        <v>66</v>
      </c>
      <c r="E1305" t="s">
        <v>181</v>
      </c>
      <c r="F1305" t="s">
        <v>49</v>
      </c>
      <c r="G1305">
        <f t="shared" si="20"/>
        <v>0</v>
      </c>
      <c r="H1305">
        <v>6</v>
      </c>
      <c r="I1305">
        <v>7</v>
      </c>
      <c r="J1305">
        <v>0</v>
      </c>
      <c r="K1305" s="6" t="s">
        <v>191</v>
      </c>
      <c r="L1305" s="6" t="s">
        <v>113</v>
      </c>
      <c r="M1305">
        <v>161</v>
      </c>
      <c r="N1305" s="1">
        <v>0.45900000000000002</v>
      </c>
      <c r="O1305">
        <v>60</v>
      </c>
      <c r="P1305" s="1">
        <v>0.438</v>
      </c>
      <c r="Q1305" s="1">
        <v>0.85299999999999998</v>
      </c>
      <c r="R1305">
        <v>446</v>
      </c>
      <c r="S1305">
        <v>40</v>
      </c>
      <c r="T1305">
        <v>132</v>
      </c>
      <c r="U1305">
        <v>80</v>
      </c>
      <c r="V1305">
        <v>21</v>
      </c>
      <c r="W1305">
        <v>17</v>
      </c>
      <c r="X1305">
        <v>56</v>
      </c>
      <c r="Y1305" s="5">
        <v>1.43</v>
      </c>
    </row>
    <row r="1306" spans="1:25" x14ac:dyDescent="0.25">
      <c r="A1306">
        <v>2021</v>
      </c>
      <c r="B1306" t="s">
        <v>57</v>
      </c>
      <c r="C1306">
        <v>7</v>
      </c>
      <c r="D1306">
        <v>67</v>
      </c>
      <c r="E1306" t="s">
        <v>94</v>
      </c>
      <c r="F1306" t="s">
        <v>40</v>
      </c>
      <c r="G1306">
        <f t="shared" si="20"/>
        <v>0</v>
      </c>
      <c r="H1306">
        <v>6</v>
      </c>
      <c r="I1306">
        <v>7</v>
      </c>
      <c r="J1306">
        <v>0</v>
      </c>
      <c r="K1306" s="6" t="s">
        <v>65</v>
      </c>
      <c r="L1306" s="6" t="s">
        <v>119</v>
      </c>
      <c r="M1306">
        <v>146</v>
      </c>
      <c r="N1306" s="1">
        <v>0.50900000000000001</v>
      </c>
      <c r="O1306">
        <v>39</v>
      </c>
      <c r="P1306" s="1">
        <v>0.433</v>
      </c>
      <c r="Q1306" s="1">
        <v>0.746</v>
      </c>
      <c r="R1306">
        <v>381</v>
      </c>
      <c r="S1306">
        <v>44</v>
      </c>
      <c r="T1306">
        <v>102</v>
      </c>
      <c r="U1306">
        <v>91</v>
      </c>
      <c r="V1306">
        <v>30</v>
      </c>
      <c r="W1306">
        <v>19</v>
      </c>
      <c r="X1306">
        <v>56</v>
      </c>
      <c r="Y1306" s="5">
        <v>1.63</v>
      </c>
    </row>
    <row r="1307" spans="1:25" x14ac:dyDescent="0.25">
      <c r="A1307">
        <v>2021</v>
      </c>
      <c r="B1307" t="s">
        <v>57</v>
      </c>
      <c r="C1307">
        <v>7</v>
      </c>
      <c r="D1307">
        <v>67</v>
      </c>
      <c r="E1307" t="s">
        <v>26</v>
      </c>
      <c r="F1307" t="s">
        <v>118</v>
      </c>
      <c r="G1307">
        <f t="shared" si="20"/>
        <v>1</v>
      </c>
      <c r="H1307">
        <v>7</v>
      </c>
      <c r="I1307">
        <v>6</v>
      </c>
      <c r="J1307">
        <v>0</v>
      </c>
      <c r="K1307" s="6" t="s">
        <v>106</v>
      </c>
      <c r="L1307" s="6" t="s">
        <v>83</v>
      </c>
      <c r="M1307">
        <v>193</v>
      </c>
      <c r="N1307" s="1">
        <v>0.48199999999999998</v>
      </c>
      <c r="O1307">
        <v>56</v>
      </c>
      <c r="P1307" s="1">
        <v>0.376</v>
      </c>
      <c r="Q1307" s="1">
        <v>0.70199999999999996</v>
      </c>
      <c r="R1307">
        <v>508</v>
      </c>
      <c r="S1307">
        <v>35</v>
      </c>
      <c r="T1307">
        <v>168</v>
      </c>
      <c r="U1307">
        <v>124</v>
      </c>
      <c r="V1307">
        <v>26</v>
      </c>
      <c r="W1307">
        <v>21</v>
      </c>
      <c r="X1307">
        <v>63</v>
      </c>
      <c r="Y1307" s="5">
        <v>1.97</v>
      </c>
    </row>
    <row r="1308" spans="1:25" x14ac:dyDescent="0.25">
      <c r="A1308">
        <v>2021</v>
      </c>
      <c r="B1308" t="s">
        <v>57</v>
      </c>
      <c r="C1308">
        <v>7</v>
      </c>
      <c r="D1308">
        <v>68</v>
      </c>
      <c r="E1308" t="s">
        <v>95</v>
      </c>
      <c r="F1308" t="s">
        <v>101</v>
      </c>
      <c r="G1308">
        <f t="shared" si="20"/>
        <v>0</v>
      </c>
      <c r="H1308">
        <v>6</v>
      </c>
      <c r="I1308">
        <v>7</v>
      </c>
      <c r="J1308">
        <v>0</v>
      </c>
      <c r="K1308" s="6" t="s">
        <v>112</v>
      </c>
      <c r="L1308" s="6" t="s">
        <v>88</v>
      </c>
      <c r="M1308">
        <v>153</v>
      </c>
      <c r="N1308" s="1">
        <v>0.442</v>
      </c>
      <c r="O1308">
        <v>35</v>
      </c>
      <c r="P1308" s="1">
        <v>0.26500000000000001</v>
      </c>
      <c r="Q1308" s="1">
        <v>0.70799999999999996</v>
      </c>
      <c r="R1308">
        <v>404</v>
      </c>
      <c r="S1308">
        <v>39</v>
      </c>
      <c r="T1308">
        <v>131</v>
      </c>
      <c r="U1308">
        <v>100</v>
      </c>
      <c r="V1308">
        <v>29</v>
      </c>
      <c r="W1308">
        <v>19</v>
      </c>
      <c r="X1308">
        <v>57</v>
      </c>
      <c r="Y1308" s="5">
        <v>1.75</v>
      </c>
    </row>
    <row r="1309" spans="1:25" x14ac:dyDescent="0.25">
      <c r="A1309">
        <v>2021</v>
      </c>
      <c r="B1309" t="s">
        <v>57</v>
      </c>
      <c r="C1309">
        <v>7</v>
      </c>
      <c r="D1309">
        <v>68</v>
      </c>
      <c r="E1309" t="s">
        <v>98</v>
      </c>
      <c r="F1309" t="s">
        <v>41</v>
      </c>
      <c r="G1309">
        <f t="shared" si="20"/>
        <v>1</v>
      </c>
      <c r="H1309">
        <v>7</v>
      </c>
      <c r="I1309">
        <v>6</v>
      </c>
      <c r="J1309">
        <v>0</v>
      </c>
      <c r="K1309" s="6" t="s">
        <v>107</v>
      </c>
      <c r="L1309" s="6" t="s">
        <v>108</v>
      </c>
      <c r="M1309">
        <v>156</v>
      </c>
      <c r="N1309" s="1">
        <v>0.437</v>
      </c>
      <c r="O1309">
        <v>72</v>
      </c>
      <c r="P1309" s="1">
        <v>0.39300000000000002</v>
      </c>
      <c r="Q1309" s="1">
        <v>0.80300000000000005</v>
      </c>
      <c r="R1309">
        <v>437</v>
      </c>
      <c r="S1309">
        <v>27</v>
      </c>
      <c r="T1309">
        <v>97</v>
      </c>
      <c r="U1309">
        <v>78</v>
      </c>
      <c r="V1309">
        <v>19</v>
      </c>
      <c r="W1309">
        <v>17</v>
      </c>
      <c r="X1309">
        <v>32</v>
      </c>
      <c r="Y1309" s="5">
        <v>2.44</v>
      </c>
    </row>
    <row r="1310" spans="1:25" x14ac:dyDescent="0.25">
      <c r="A1310">
        <v>2021</v>
      </c>
      <c r="B1310" t="s">
        <v>57</v>
      </c>
      <c r="C1310">
        <v>7</v>
      </c>
      <c r="D1310">
        <v>69</v>
      </c>
      <c r="E1310" t="s">
        <v>25</v>
      </c>
      <c r="F1310" t="s">
        <v>53</v>
      </c>
      <c r="G1310">
        <f t="shared" si="20"/>
        <v>0</v>
      </c>
      <c r="H1310">
        <v>4</v>
      </c>
      <c r="I1310">
        <v>9</v>
      </c>
      <c r="J1310">
        <v>0</v>
      </c>
      <c r="K1310" s="6" t="s">
        <v>72</v>
      </c>
      <c r="L1310" s="6" t="s">
        <v>85</v>
      </c>
      <c r="M1310">
        <v>139</v>
      </c>
      <c r="N1310" s="1">
        <v>0.433</v>
      </c>
      <c r="O1310">
        <v>38</v>
      </c>
      <c r="P1310" s="1">
        <v>0.34200000000000003</v>
      </c>
      <c r="Q1310" s="1">
        <v>0.73799999999999999</v>
      </c>
      <c r="R1310">
        <v>361</v>
      </c>
      <c r="S1310">
        <v>40</v>
      </c>
      <c r="T1310">
        <v>126</v>
      </c>
      <c r="U1310">
        <v>78</v>
      </c>
      <c r="V1310">
        <v>29</v>
      </c>
      <c r="W1310">
        <v>15</v>
      </c>
      <c r="X1310">
        <v>43</v>
      </c>
      <c r="Y1310" s="5">
        <v>1.81</v>
      </c>
    </row>
    <row r="1311" spans="1:25" x14ac:dyDescent="0.25">
      <c r="A1311">
        <v>2021</v>
      </c>
      <c r="B1311" t="s">
        <v>57</v>
      </c>
      <c r="C1311">
        <v>7</v>
      </c>
      <c r="D1311">
        <v>69</v>
      </c>
      <c r="E1311" t="s">
        <v>33</v>
      </c>
      <c r="F1311" t="s">
        <v>42</v>
      </c>
      <c r="G1311">
        <f t="shared" si="20"/>
        <v>1</v>
      </c>
      <c r="H1311">
        <v>9</v>
      </c>
      <c r="I1311">
        <v>4</v>
      </c>
      <c r="J1311">
        <v>0</v>
      </c>
      <c r="K1311" s="6" t="s">
        <v>68</v>
      </c>
      <c r="L1311" s="6" t="s">
        <v>84</v>
      </c>
      <c r="M1311">
        <v>176</v>
      </c>
      <c r="N1311" s="1">
        <v>0.48899999999999999</v>
      </c>
      <c r="O1311">
        <v>50</v>
      </c>
      <c r="P1311" s="1">
        <v>0.39400000000000002</v>
      </c>
      <c r="Q1311" s="1">
        <v>0.81599999999999995</v>
      </c>
      <c r="R1311">
        <v>464</v>
      </c>
      <c r="S1311">
        <v>34</v>
      </c>
      <c r="T1311">
        <v>101</v>
      </c>
      <c r="U1311">
        <v>116</v>
      </c>
      <c r="V1311">
        <v>26</v>
      </c>
      <c r="W1311">
        <v>27</v>
      </c>
      <c r="X1311">
        <v>54</v>
      </c>
      <c r="Y1311" s="5">
        <v>2.15</v>
      </c>
    </row>
    <row r="1312" spans="1:25" x14ac:dyDescent="0.25">
      <c r="A1312">
        <v>2021</v>
      </c>
      <c r="B1312" t="s">
        <v>57</v>
      </c>
      <c r="C1312">
        <v>7</v>
      </c>
      <c r="D1312">
        <v>70</v>
      </c>
      <c r="E1312" t="s">
        <v>16</v>
      </c>
      <c r="F1312" t="s">
        <v>51</v>
      </c>
      <c r="G1312">
        <f t="shared" si="20"/>
        <v>0</v>
      </c>
      <c r="H1312">
        <v>6</v>
      </c>
      <c r="I1312">
        <v>7</v>
      </c>
      <c r="J1312">
        <v>0</v>
      </c>
      <c r="K1312" s="6" t="s">
        <v>104</v>
      </c>
      <c r="L1312" s="6" t="s">
        <v>105</v>
      </c>
      <c r="M1312">
        <v>184</v>
      </c>
      <c r="N1312" s="1">
        <v>0.47399999999999998</v>
      </c>
      <c r="O1312">
        <v>68</v>
      </c>
      <c r="P1312" s="1">
        <v>0.41</v>
      </c>
      <c r="Q1312" s="1">
        <v>0.89100000000000001</v>
      </c>
      <c r="R1312">
        <v>526</v>
      </c>
      <c r="S1312">
        <v>40</v>
      </c>
      <c r="T1312">
        <v>155</v>
      </c>
      <c r="U1312">
        <v>124</v>
      </c>
      <c r="V1312">
        <v>40</v>
      </c>
      <c r="W1312">
        <v>22</v>
      </c>
      <c r="X1312">
        <v>76</v>
      </c>
      <c r="Y1312" s="5">
        <v>1.63</v>
      </c>
    </row>
    <row r="1313" spans="1:25" x14ac:dyDescent="0.25">
      <c r="A1313">
        <v>2021</v>
      </c>
      <c r="B1313" t="s">
        <v>57</v>
      </c>
      <c r="C1313">
        <v>7</v>
      </c>
      <c r="D1313">
        <v>70</v>
      </c>
      <c r="E1313" t="s">
        <v>93</v>
      </c>
      <c r="F1313" t="s">
        <v>189</v>
      </c>
      <c r="G1313">
        <f t="shared" si="20"/>
        <v>1</v>
      </c>
      <c r="H1313">
        <v>7</v>
      </c>
      <c r="I1313">
        <v>6</v>
      </c>
      <c r="J1313">
        <v>0</v>
      </c>
      <c r="K1313" s="6" t="s">
        <v>60</v>
      </c>
      <c r="L1313" s="6" t="s">
        <v>75</v>
      </c>
      <c r="M1313">
        <v>178</v>
      </c>
      <c r="N1313" s="1">
        <v>0.51400000000000001</v>
      </c>
      <c r="O1313">
        <v>58</v>
      </c>
      <c r="P1313" s="1">
        <v>0.436</v>
      </c>
      <c r="Q1313" s="1">
        <v>0.77200000000000002</v>
      </c>
      <c r="R1313">
        <v>502</v>
      </c>
      <c r="S1313">
        <v>51</v>
      </c>
      <c r="T1313">
        <v>169</v>
      </c>
      <c r="U1313">
        <v>117</v>
      </c>
      <c r="V1313">
        <v>26</v>
      </c>
      <c r="W1313">
        <v>37</v>
      </c>
      <c r="X1313">
        <v>51</v>
      </c>
      <c r="Y1313" s="5">
        <v>2.29</v>
      </c>
    </row>
    <row r="1314" spans="1:25" x14ac:dyDescent="0.25">
      <c r="A1314">
        <v>2021</v>
      </c>
      <c r="B1314" t="s">
        <v>57</v>
      </c>
      <c r="C1314">
        <v>8</v>
      </c>
      <c r="D1314">
        <v>71</v>
      </c>
      <c r="E1314" t="s">
        <v>97</v>
      </c>
      <c r="F1314" t="s">
        <v>54</v>
      </c>
      <c r="G1314">
        <f t="shared" si="20"/>
        <v>1</v>
      </c>
      <c r="H1314">
        <v>7</v>
      </c>
      <c r="I1314">
        <v>6</v>
      </c>
      <c r="J1314">
        <v>0</v>
      </c>
      <c r="K1314" s="6" t="s">
        <v>70</v>
      </c>
      <c r="L1314" s="6" t="s">
        <v>87</v>
      </c>
      <c r="M1314">
        <v>206</v>
      </c>
      <c r="N1314" s="1">
        <v>0.46400000000000002</v>
      </c>
      <c r="O1314">
        <v>44</v>
      </c>
      <c r="P1314" s="1">
        <v>0.34100000000000003</v>
      </c>
      <c r="Q1314" s="1">
        <v>0.81599999999999995</v>
      </c>
      <c r="R1314">
        <v>616</v>
      </c>
      <c r="S1314">
        <v>37</v>
      </c>
      <c r="T1314">
        <v>159</v>
      </c>
      <c r="U1314">
        <v>130</v>
      </c>
      <c r="V1314">
        <v>29</v>
      </c>
      <c r="W1314">
        <v>17</v>
      </c>
      <c r="X1314">
        <v>72</v>
      </c>
      <c r="Y1314" s="5">
        <v>1.81</v>
      </c>
    </row>
    <row r="1315" spans="1:25" x14ac:dyDescent="0.25">
      <c r="A1315">
        <v>2021</v>
      </c>
      <c r="B1315" t="s">
        <v>57</v>
      </c>
      <c r="C1315">
        <v>8</v>
      </c>
      <c r="D1315">
        <v>71</v>
      </c>
      <c r="E1315" t="s">
        <v>21</v>
      </c>
      <c r="F1315" t="s">
        <v>50</v>
      </c>
      <c r="G1315">
        <f t="shared" si="20"/>
        <v>0</v>
      </c>
      <c r="H1315">
        <v>6</v>
      </c>
      <c r="I1315">
        <v>7</v>
      </c>
      <c r="J1315">
        <v>0</v>
      </c>
      <c r="K1315" s="6" t="s">
        <v>111</v>
      </c>
      <c r="L1315" s="6" t="s">
        <v>89</v>
      </c>
      <c r="M1315">
        <v>200</v>
      </c>
      <c r="N1315" s="1">
        <v>0.51800000000000002</v>
      </c>
      <c r="O1315">
        <v>92</v>
      </c>
      <c r="P1315" s="1">
        <v>0.44900000000000001</v>
      </c>
      <c r="Q1315" s="1">
        <v>0.86</v>
      </c>
      <c r="R1315">
        <v>572</v>
      </c>
      <c r="S1315">
        <v>36</v>
      </c>
      <c r="T1315">
        <v>114</v>
      </c>
      <c r="U1315">
        <v>92</v>
      </c>
      <c r="V1315">
        <v>24</v>
      </c>
      <c r="W1315">
        <v>7</v>
      </c>
      <c r="X1315">
        <v>50</v>
      </c>
      <c r="Y1315" s="5">
        <v>1.84</v>
      </c>
    </row>
    <row r="1316" spans="1:25" x14ac:dyDescent="0.25">
      <c r="A1316">
        <v>2021</v>
      </c>
      <c r="B1316" t="s">
        <v>57</v>
      </c>
      <c r="C1316">
        <v>8</v>
      </c>
      <c r="D1316">
        <v>72</v>
      </c>
      <c r="E1316" t="s">
        <v>18</v>
      </c>
      <c r="F1316" t="s">
        <v>52</v>
      </c>
      <c r="G1316">
        <f t="shared" si="20"/>
        <v>0</v>
      </c>
      <c r="H1316">
        <v>2</v>
      </c>
      <c r="I1316">
        <v>11</v>
      </c>
      <c r="J1316">
        <v>0</v>
      </c>
      <c r="K1316" s="6" t="s">
        <v>64</v>
      </c>
      <c r="L1316" s="6" t="s">
        <v>80</v>
      </c>
      <c r="M1316">
        <v>115</v>
      </c>
      <c r="N1316" s="1">
        <v>0.442</v>
      </c>
      <c r="O1316">
        <v>38</v>
      </c>
      <c r="P1316" s="1">
        <v>0.35499999999999998</v>
      </c>
      <c r="Q1316" s="1">
        <v>0.68400000000000005</v>
      </c>
      <c r="R1316">
        <v>307</v>
      </c>
      <c r="S1316">
        <v>26</v>
      </c>
      <c r="T1316">
        <v>104</v>
      </c>
      <c r="U1316">
        <v>71</v>
      </c>
      <c r="V1316">
        <v>29</v>
      </c>
      <c r="W1316">
        <v>12</v>
      </c>
      <c r="X1316">
        <v>27</v>
      </c>
      <c r="Y1316" s="5">
        <v>2.63</v>
      </c>
    </row>
    <row r="1317" spans="1:25" x14ac:dyDescent="0.25">
      <c r="A1317">
        <v>2021</v>
      </c>
      <c r="B1317" t="s">
        <v>57</v>
      </c>
      <c r="C1317">
        <v>8</v>
      </c>
      <c r="D1317">
        <v>72</v>
      </c>
      <c r="E1317" t="s">
        <v>28</v>
      </c>
      <c r="F1317" t="s">
        <v>46</v>
      </c>
      <c r="G1317">
        <f t="shared" si="20"/>
        <v>1</v>
      </c>
      <c r="H1317">
        <v>11</v>
      </c>
      <c r="I1317">
        <v>2</v>
      </c>
      <c r="J1317">
        <v>0</v>
      </c>
      <c r="K1317" s="6" t="s">
        <v>59</v>
      </c>
      <c r="L1317" s="6" t="s">
        <v>74</v>
      </c>
      <c r="M1317">
        <v>199</v>
      </c>
      <c r="N1317" s="1">
        <v>0.52900000000000003</v>
      </c>
      <c r="O1317">
        <v>53</v>
      </c>
      <c r="P1317" s="1">
        <v>0.39300000000000002</v>
      </c>
      <c r="Q1317" s="1">
        <v>0.84699999999999998</v>
      </c>
      <c r="R1317">
        <v>534</v>
      </c>
      <c r="S1317">
        <v>39</v>
      </c>
      <c r="T1317">
        <v>173</v>
      </c>
      <c r="U1317">
        <v>111</v>
      </c>
      <c r="V1317">
        <v>22</v>
      </c>
      <c r="W1317">
        <v>21</v>
      </c>
      <c r="X1317">
        <v>40</v>
      </c>
      <c r="Y1317" s="5">
        <v>2.77</v>
      </c>
    </row>
    <row r="1318" spans="1:25" x14ac:dyDescent="0.25">
      <c r="A1318">
        <v>2021</v>
      </c>
      <c r="B1318" t="s">
        <v>57</v>
      </c>
      <c r="C1318">
        <v>8</v>
      </c>
      <c r="D1318">
        <v>73</v>
      </c>
      <c r="E1318" t="s">
        <v>99</v>
      </c>
      <c r="F1318" t="s">
        <v>45</v>
      </c>
      <c r="G1318">
        <f t="shared" si="20"/>
        <v>1</v>
      </c>
      <c r="H1318">
        <v>9</v>
      </c>
      <c r="I1318">
        <v>4</v>
      </c>
      <c r="J1318">
        <v>0</v>
      </c>
      <c r="K1318" s="6" t="s">
        <v>193</v>
      </c>
      <c r="L1318" s="6" t="s">
        <v>117</v>
      </c>
      <c r="M1318">
        <v>232</v>
      </c>
      <c r="N1318" s="1">
        <v>0.497</v>
      </c>
      <c r="O1318">
        <v>64</v>
      </c>
      <c r="P1318" s="1">
        <v>0.41599999999999998</v>
      </c>
      <c r="Q1318" s="1">
        <v>0.78</v>
      </c>
      <c r="R1318">
        <v>631</v>
      </c>
      <c r="S1318">
        <v>54</v>
      </c>
      <c r="T1318">
        <v>145</v>
      </c>
      <c r="U1318">
        <v>106</v>
      </c>
      <c r="V1318">
        <v>35</v>
      </c>
      <c r="W1318">
        <v>22</v>
      </c>
      <c r="X1318">
        <v>75</v>
      </c>
      <c r="Y1318" s="5">
        <v>1.41</v>
      </c>
    </row>
    <row r="1319" spans="1:25" x14ac:dyDescent="0.25">
      <c r="A1319">
        <v>2021</v>
      </c>
      <c r="B1319" t="s">
        <v>57</v>
      </c>
      <c r="C1319">
        <v>8</v>
      </c>
      <c r="D1319">
        <v>73</v>
      </c>
      <c r="E1319" t="s">
        <v>159</v>
      </c>
      <c r="F1319" t="s">
        <v>116</v>
      </c>
      <c r="G1319">
        <f t="shared" si="20"/>
        <v>0</v>
      </c>
      <c r="H1319">
        <v>4</v>
      </c>
      <c r="I1319">
        <v>9</v>
      </c>
      <c r="J1319">
        <v>0</v>
      </c>
      <c r="K1319" s="6" t="s">
        <v>114</v>
      </c>
      <c r="L1319" s="6" t="s">
        <v>90</v>
      </c>
      <c r="M1319">
        <v>202</v>
      </c>
      <c r="N1319" s="1">
        <v>0.46700000000000003</v>
      </c>
      <c r="O1319">
        <v>60</v>
      </c>
      <c r="P1319" s="1">
        <v>0.39700000000000002</v>
      </c>
      <c r="Q1319" s="1">
        <v>0.86</v>
      </c>
      <c r="R1319">
        <v>562</v>
      </c>
      <c r="S1319">
        <v>51</v>
      </c>
      <c r="T1319">
        <v>170</v>
      </c>
      <c r="U1319">
        <v>96</v>
      </c>
      <c r="V1319">
        <v>26</v>
      </c>
      <c r="W1319">
        <v>18</v>
      </c>
      <c r="X1319">
        <v>60</v>
      </c>
      <c r="Y1319" s="5">
        <v>1.6</v>
      </c>
    </row>
    <row r="1320" spans="1:25" x14ac:dyDescent="0.25">
      <c r="A1320">
        <v>2021</v>
      </c>
      <c r="B1320" t="s">
        <v>57</v>
      </c>
      <c r="C1320">
        <v>8</v>
      </c>
      <c r="D1320">
        <v>74</v>
      </c>
      <c r="E1320" t="s">
        <v>96</v>
      </c>
      <c r="F1320" t="s">
        <v>102</v>
      </c>
      <c r="G1320">
        <f t="shared" si="20"/>
        <v>1</v>
      </c>
      <c r="H1320">
        <v>9</v>
      </c>
      <c r="I1320">
        <v>4</v>
      </c>
      <c r="J1320">
        <v>0</v>
      </c>
      <c r="K1320" s="6" t="s">
        <v>63</v>
      </c>
      <c r="L1320" s="6" t="s">
        <v>79</v>
      </c>
      <c r="M1320">
        <v>134</v>
      </c>
      <c r="N1320" s="1">
        <v>0.47899999999999998</v>
      </c>
      <c r="O1320">
        <v>31</v>
      </c>
      <c r="P1320" s="1">
        <v>0.32300000000000001</v>
      </c>
      <c r="Q1320" s="1">
        <v>0.81799999999999995</v>
      </c>
      <c r="R1320">
        <v>380</v>
      </c>
      <c r="S1320">
        <v>52</v>
      </c>
      <c r="T1320">
        <v>155</v>
      </c>
      <c r="U1320">
        <v>92</v>
      </c>
      <c r="V1320">
        <v>20</v>
      </c>
      <c r="W1320">
        <v>17</v>
      </c>
      <c r="X1320">
        <v>55</v>
      </c>
      <c r="Y1320" s="5">
        <v>1.67</v>
      </c>
    </row>
    <row r="1321" spans="1:25" x14ac:dyDescent="0.25">
      <c r="A1321">
        <v>2021</v>
      </c>
      <c r="B1321" t="s">
        <v>57</v>
      </c>
      <c r="C1321">
        <v>8</v>
      </c>
      <c r="D1321">
        <v>74</v>
      </c>
      <c r="E1321" t="s">
        <v>17</v>
      </c>
      <c r="F1321" t="s">
        <v>43</v>
      </c>
      <c r="G1321">
        <f t="shared" si="20"/>
        <v>0</v>
      </c>
      <c r="H1321">
        <v>4</v>
      </c>
      <c r="I1321">
        <v>9</v>
      </c>
      <c r="J1321">
        <v>0</v>
      </c>
      <c r="K1321" s="6" t="s">
        <v>109</v>
      </c>
      <c r="L1321" s="6" t="s">
        <v>110</v>
      </c>
      <c r="M1321">
        <v>110</v>
      </c>
      <c r="N1321" s="1">
        <v>0.52600000000000002</v>
      </c>
      <c r="O1321">
        <v>19</v>
      </c>
      <c r="P1321" s="1">
        <v>0.311</v>
      </c>
      <c r="Q1321" s="1">
        <v>0.71399999999999997</v>
      </c>
      <c r="R1321">
        <v>269</v>
      </c>
      <c r="S1321">
        <v>38</v>
      </c>
      <c r="T1321">
        <v>105</v>
      </c>
      <c r="U1321">
        <v>65</v>
      </c>
      <c r="V1321">
        <v>14</v>
      </c>
      <c r="W1321">
        <v>29</v>
      </c>
      <c r="X1321">
        <v>30</v>
      </c>
      <c r="Y1321" s="5">
        <v>2.17</v>
      </c>
    </row>
    <row r="1322" spans="1:25" x14ac:dyDescent="0.25">
      <c r="A1322">
        <v>2021</v>
      </c>
      <c r="B1322" t="s">
        <v>57</v>
      </c>
      <c r="C1322">
        <v>8</v>
      </c>
      <c r="D1322">
        <v>75</v>
      </c>
      <c r="E1322" t="s">
        <v>15</v>
      </c>
      <c r="F1322" t="s">
        <v>48</v>
      </c>
      <c r="G1322">
        <f t="shared" si="20"/>
        <v>0</v>
      </c>
      <c r="H1322">
        <v>5</v>
      </c>
      <c r="I1322">
        <v>8</v>
      </c>
      <c r="J1322">
        <v>0</v>
      </c>
      <c r="K1322" s="6" t="s">
        <v>71</v>
      </c>
      <c r="L1322" s="6" t="s">
        <v>121</v>
      </c>
      <c r="M1322">
        <v>202</v>
      </c>
      <c r="N1322" s="1">
        <v>0.45300000000000001</v>
      </c>
      <c r="O1322">
        <v>66</v>
      </c>
      <c r="P1322" s="1">
        <v>0.36499999999999999</v>
      </c>
      <c r="Q1322" s="1">
        <v>0.86699999999999999</v>
      </c>
      <c r="R1322">
        <v>574</v>
      </c>
      <c r="S1322">
        <v>21</v>
      </c>
      <c r="T1322">
        <v>108</v>
      </c>
      <c r="U1322">
        <v>129</v>
      </c>
      <c r="V1322">
        <v>25</v>
      </c>
      <c r="W1322">
        <v>6</v>
      </c>
      <c r="X1322">
        <v>58</v>
      </c>
      <c r="Y1322" s="5">
        <v>2.2200000000000002</v>
      </c>
    </row>
    <row r="1323" spans="1:25" x14ac:dyDescent="0.25">
      <c r="A1323">
        <v>2021</v>
      </c>
      <c r="B1323" t="s">
        <v>57</v>
      </c>
      <c r="C1323">
        <v>8</v>
      </c>
      <c r="D1323">
        <v>75</v>
      </c>
      <c r="E1323" t="s">
        <v>23</v>
      </c>
      <c r="F1323" t="s">
        <v>120</v>
      </c>
      <c r="G1323">
        <f t="shared" si="20"/>
        <v>1</v>
      </c>
      <c r="H1323">
        <v>8</v>
      </c>
      <c r="I1323">
        <v>5</v>
      </c>
      <c r="J1323">
        <v>0</v>
      </c>
      <c r="K1323" s="6" t="s">
        <v>61</v>
      </c>
      <c r="L1323" s="6" t="s">
        <v>77</v>
      </c>
      <c r="M1323">
        <v>213</v>
      </c>
      <c r="N1323" s="1">
        <v>0.53500000000000003</v>
      </c>
      <c r="O1323">
        <v>65</v>
      </c>
      <c r="P1323" s="1">
        <v>0.46100000000000002</v>
      </c>
      <c r="Q1323" s="1">
        <v>0.73</v>
      </c>
      <c r="R1323">
        <v>575</v>
      </c>
      <c r="S1323">
        <v>44</v>
      </c>
      <c r="T1323">
        <v>162</v>
      </c>
      <c r="U1323">
        <v>97</v>
      </c>
      <c r="V1323">
        <v>24</v>
      </c>
      <c r="W1323">
        <v>15</v>
      </c>
      <c r="X1323">
        <v>54</v>
      </c>
      <c r="Y1323" s="5">
        <v>1.8</v>
      </c>
    </row>
    <row r="1324" spans="1:25" x14ac:dyDescent="0.25">
      <c r="A1324">
        <v>2021</v>
      </c>
      <c r="B1324" t="s">
        <v>57</v>
      </c>
      <c r="C1324">
        <v>8</v>
      </c>
      <c r="D1324">
        <v>76</v>
      </c>
      <c r="E1324" t="s">
        <v>94</v>
      </c>
      <c r="F1324" t="s">
        <v>40</v>
      </c>
      <c r="G1324">
        <f t="shared" si="20"/>
        <v>1</v>
      </c>
      <c r="H1324">
        <v>7</v>
      </c>
      <c r="I1324">
        <v>5</v>
      </c>
      <c r="J1324">
        <v>1</v>
      </c>
      <c r="K1324" s="6" t="s">
        <v>182</v>
      </c>
      <c r="L1324" s="6" t="s">
        <v>76</v>
      </c>
      <c r="M1324">
        <v>170</v>
      </c>
      <c r="N1324" s="1">
        <v>0.51700000000000002</v>
      </c>
      <c r="O1324">
        <v>32</v>
      </c>
      <c r="P1324" s="1">
        <v>0.33700000000000002</v>
      </c>
      <c r="Q1324" s="1">
        <v>0.88100000000000001</v>
      </c>
      <c r="R1324">
        <v>424</v>
      </c>
      <c r="S1324">
        <v>38</v>
      </c>
      <c r="T1324">
        <v>147</v>
      </c>
      <c r="U1324">
        <v>86</v>
      </c>
      <c r="V1324">
        <v>30</v>
      </c>
      <c r="W1324">
        <v>18</v>
      </c>
      <c r="X1324">
        <v>46</v>
      </c>
      <c r="Y1324" s="5">
        <v>1.87</v>
      </c>
    </row>
    <row r="1325" spans="1:25" x14ac:dyDescent="0.25">
      <c r="A1325">
        <v>2021</v>
      </c>
      <c r="B1325" t="s">
        <v>57</v>
      </c>
      <c r="C1325">
        <v>8</v>
      </c>
      <c r="D1325">
        <v>76</v>
      </c>
      <c r="E1325" t="s">
        <v>181</v>
      </c>
      <c r="F1325" t="s">
        <v>49</v>
      </c>
      <c r="G1325">
        <f t="shared" si="20"/>
        <v>0</v>
      </c>
      <c r="H1325">
        <v>5</v>
      </c>
      <c r="I1325">
        <v>7</v>
      </c>
      <c r="J1325">
        <v>1</v>
      </c>
      <c r="K1325" s="6" t="s">
        <v>106</v>
      </c>
      <c r="L1325" s="6" t="s">
        <v>83</v>
      </c>
      <c r="M1325">
        <v>164</v>
      </c>
      <c r="N1325" s="1">
        <v>0.502</v>
      </c>
      <c r="O1325">
        <v>60</v>
      </c>
      <c r="P1325" s="1">
        <v>0.38500000000000001</v>
      </c>
      <c r="Q1325" s="1">
        <v>0.83299999999999996</v>
      </c>
      <c r="R1325">
        <v>443</v>
      </c>
      <c r="S1325">
        <v>38</v>
      </c>
      <c r="T1325">
        <v>113</v>
      </c>
      <c r="U1325">
        <v>69</v>
      </c>
      <c r="V1325">
        <v>20</v>
      </c>
      <c r="W1325">
        <v>9</v>
      </c>
      <c r="X1325">
        <v>31</v>
      </c>
      <c r="Y1325" s="5">
        <v>2.23</v>
      </c>
    </row>
    <row r="1326" spans="1:25" x14ac:dyDescent="0.25">
      <c r="A1326">
        <v>2021</v>
      </c>
      <c r="B1326" t="s">
        <v>57</v>
      </c>
      <c r="C1326">
        <v>8</v>
      </c>
      <c r="D1326">
        <v>77</v>
      </c>
      <c r="E1326" t="s">
        <v>98</v>
      </c>
      <c r="F1326" t="s">
        <v>41</v>
      </c>
      <c r="G1326">
        <f t="shared" si="20"/>
        <v>0</v>
      </c>
      <c r="H1326">
        <v>5</v>
      </c>
      <c r="I1326">
        <v>7</v>
      </c>
      <c r="J1326">
        <v>1</v>
      </c>
      <c r="K1326" s="6" t="s">
        <v>191</v>
      </c>
      <c r="L1326" s="6" t="s">
        <v>113</v>
      </c>
      <c r="M1326">
        <v>134</v>
      </c>
      <c r="N1326" s="1">
        <v>0.45600000000000002</v>
      </c>
      <c r="O1326">
        <v>62</v>
      </c>
      <c r="P1326" s="1">
        <v>0.42199999999999999</v>
      </c>
      <c r="Q1326" s="1">
        <v>0.81</v>
      </c>
      <c r="R1326">
        <v>364</v>
      </c>
      <c r="S1326">
        <v>26</v>
      </c>
      <c r="T1326">
        <v>78</v>
      </c>
      <c r="U1326">
        <v>54</v>
      </c>
      <c r="V1326">
        <v>28</v>
      </c>
      <c r="W1326">
        <v>13</v>
      </c>
      <c r="X1326">
        <v>33</v>
      </c>
      <c r="Y1326" s="5">
        <v>1.64</v>
      </c>
    </row>
    <row r="1327" spans="1:25" x14ac:dyDescent="0.25">
      <c r="A1327">
        <v>2021</v>
      </c>
      <c r="B1327" t="s">
        <v>57</v>
      </c>
      <c r="C1327">
        <v>8</v>
      </c>
      <c r="D1327">
        <v>77</v>
      </c>
      <c r="E1327" t="s">
        <v>190</v>
      </c>
      <c r="F1327" t="s">
        <v>103</v>
      </c>
      <c r="G1327">
        <f t="shared" si="20"/>
        <v>1</v>
      </c>
      <c r="H1327">
        <v>7</v>
      </c>
      <c r="I1327">
        <v>5</v>
      </c>
      <c r="J1327">
        <v>1</v>
      </c>
      <c r="K1327" s="6" t="s">
        <v>112</v>
      </c>
      <c r="L1327" s="6" t="s">
        <v>88</v>
      </c>
      <c r="M1327">
        <v>162</v>
      </c>
      <c r="N1327" s="1">
        <v>0.41399999999999998</v>
      </c>
      <c r="O1327">
        <v>37</v>
      </c>
      <c r="P1327" s="1">
        <v>0.30299999999999999</v>
      </c>
      <c r="Q1327" s="1">
        <v>0.81</v>
      </c>
      <c r="R1327">
        <v>446</v>
      </c>
      <c r="S1327">
        <v>40</v>
      </c>
      <c r="T1327">
        <v>126</v>
      </c>
      <c r="U1327">
        <v>113</v>
      </c>
      <c r="V1327">
        <v>19</v>
      </c>
      <c r="W1327">
        <v>19</v>
      </c>
      <c r="X1327">
        <v>45</v>
      </c>
      <c r="Y1327" s="5">
        <v>2.5099999999999998</v>
      </c>
    </row>
    <row r="1328" spans="1:25" x14ac:dyDescent="0.25">
      <c r="A1328">
        <v>2021</v>
      </c>
      <c r="B1328" t="s">
        <v>57</v>
      </c>
      <c r="C1328">
        <v>8</v>
      </c>
      <c r="D1328">
        <v>78</v>
      </c>
      <c r="E1328" t="s">
        <v>26</v>
      </c>
      <c r="F1328" t="s">
        <v>118</v>
      </c>
      <c r="G1328">
        <f t="shared" si="20"/>
        <v>1</v>
      </c>
      <c r="H1328">
        <v>8</v>
      </c>
      <c r="I1328">
        <v>5</v>
      </c>
      <c r="J1328">
        <v>0</v>
      </c>
      <c r="K1328" s="6" t="s">
        <v>68</v>
      </c>
      <c r="L1328" s="6" t="s">
        <v>84</v>
      </c>
      <c r="M1328">
        <v>179</v>
      </c>
      <c r="N1328" s="1">
        <v>0.44400000000000001</v>
      </c>
      <c r="O1328">
        <v>49</v>
      </c>
      <c r="P1328" s="1">
        <v>0.32</v>
      </c>
      <c r="Q1328" s="1">
        <v>0.74299999999999999</v>
      </c>
      <c r="R1328">
        <v>485</v>
      </c>
      <c r="S1328">
        <v>32</v>
      </c>
      <c r="T1328">
        <v>197</v>
      </c>
      <c r="U1328">
        <v>160</v>
      </c>
      <c r="V1328">
        <v>22</v>
      </c>
      <c r="W1328">
        <v>32</v>
      </c>
      <c r="X1328">
        <v>72</v>
      </c>
      <c r="Y1328" s="5">
        <v>2.2200000000000002</v>
      </c>
    </row>
    <row r="1329" spans="1:25" x14ac:dyDescent="0.25">
      <c r="A1329">
        <v>2021</v>
      </c>
      <c r="B1329" t="s">
        <v>57</v>
      </c>
      <c r="C1329">
        <v>8</v>
      </c>
      <c r="D1329">
        <v>78</v>
      </c>
      <c r="E1329" t="s">
        <v>25</v>
      </c>
      <c r="F1329" t="s">
        <v>53</v>
      </c>
      <c r="G1329">
        <f t="shared" si="20"/>
        <v>0</v>
      </c>
      <c r="H1329">
        <v>5</v>
      </c>
      <c r="I1329">
        <v>8</v>
      </c>
      <c r="J1329">
        <v>0</v>
      </c>
      <c r="K1329" s="6" t="s">
        <v>65</v>
      </c>
      <c r="L1329" s="6" t="s">
        <v>119</v>
      </c>
      <c r="M1329">
        <v>131</v>
      </c>
      <c r="N1329" s="1">
        <v>0.435</v>
      </c>
      <c r="O1329">
        <v>38</v>
      </c>
      <c r="P1329" s="1">
        <v>0.39600000000000002</v>
      </c>
      <c r="Q1329" s="1">
        <v>0.82199999999999995</v>
      </c>
      <c r="R1329">
        <v>360</v>
      </c>
      <c r="S1329">
        <v>45</v>
      </c>
      <c r="T1329">
        <v>89</v>
      </c>
      <c r="U1329">
        <v>102</v>
      </c>
      <c r="V1329">
        <v>17</v>
      </c>
      <c r="W1329">
        <v>12</v>
      </c>
      <c r="X1329">
        <v>43</v>
      </c>
      <c r="Y1329" s="5">
        <v>2.37</v>
      </c>
    </row>
    <row r="1330" spans="1:25" x14ac:dyDescent="0.25">
      <c r="A1330">
        <v>2021</v>
      </c>
      <c r="B1330" t="s">
        <v>57</v>
      </c>
      <c r="C1330">
        <v>8</v>
      </c>
      <c r="D1330">
        <v>79</v>
      </c>
      <c r="E1330" t="s">
        <v>16</v>
      </c>
      <c r="F1330" t="s">
        <v>51</v>
      </c>
      <c r="G1330">
        <f t="shared" si="20"/>
        <v>1</v>
      </c>
      <c r="H1330">
        <v>10</v>
      </c>
      <c r="I1330">
        <v>3</v>
      </c>
      <c r="J1330">
        <v>0</v>
      </c>
      <c r="K1330" s="6" t="s">
        <v>107</v>
      </c>
      <c r="L1330" s="6" t="s">
        <v>108</v>
      </c>
      <c r="M1330">
        <v>192</v>
      </c>
      <c r="N1330" s="1">
        <v>0.47899999999999998</v>
      </c>
      <c r="O1330">
        <v>71</v>
      </c>
      <c r="P1330" s="1">
        <v>0.39400000000000002</v>
      </c>
      <c r="Q1330" s="1">
        <v>0.76300000000000001</v>
      </c>
      <c r="R1330">
        <v>529</v>
      </c>
      <c r="S1330">
        <v>30</v>
      </c>
      <c r="T1330">
        <v>183</v>
      </c>
      <c r="U1330">
        <v>143</v>
      </c>
      <c r="V1330">
        <v>42</v>
      </c>
      <c r="W1330">
        <v>24</v>
      </c>
      <c r="X1330">
        <v>72</v>
      </c>
      <c r="Y1330" s="5">
        <v>1.99</v>
      </c>
    </row>
    <row r="1331" spans="1:25" x14ac:dyDescent="0.25">
      <c r="A1331">
        <v>2021</v>
      </c>
      <c r="B1331" t="s">
        <v>57</v>
      </c>
      <c r="C1331">
        <v>8</v>
      </c>
      <c r="D1331">
        <v>79</v>
      </c>
      <c r="E1331" t="s">
        <v>95</v>
      </c>
      <c r="F1331" t="s">
        <v>101</v>
      </c>
      <c r="G1331">
        <f t="shared" si="20"/>
        <v>0</v>
      </c>
      <c r="H1331">
        <v>3</v>
      </c>
      <c r="I1331">
        <v>10</v>
      </c>
      <c r="J1331">
        <v>0</v>
      </c>
      <c r="K1331" s="6" t="s">
        <v>60</v>
      </c>
      <c r="L1331" s="6" t="s">
        <v>75</v>
      </c>
      <c r="M1331">
        <v>168</v>
      </c>
      <c r="N1331" s="1">
        <v>0.46500000000000002</v>
      </c>
      <c r="O1331">
        <v>46</v>
      </c>
      <c r="P1331" s="1">
        <v>0.34599999999999997</v>
      </c>
      <c r="Q1331" s="1">
        <v>0.73299999999999998</v>
      </c>
      <c r="R1331">
        <v>459</v>
      </c>
      <c r="S1331">
        <v>32</v>
      </c>
      <c r="T1331">
        <v>127</v>
      </c>
      <c r="U1331">
        <v>123</v>
      </c>
      <c r="V1331">
        <v>28</v>
      </c>
      <c r="W1331">
        <v>17</v>
      </c>
      <c r="X1331">
        <v>53</v>
      </c>
      <c r="Y1331" s="5">
        <v>2.3199999999999998</v>
      </c>
    </row>
    <row r="1332" spans="1:25" x14ac:dyDescent="0.25">
      <c r="A1332">
        <v>2021</v>
      </c>
      <c r="B1332" t="s">
        <v>57</v>
      </c>
      <c r="C1332">
        <v>8</v>
      </c>
      <c r="D1332">
        <v>80</v>
      </c>
      <c r="E1332" t="s">
        <v>33</v>
      </c>
      <c r="F1332" t="s">
        <v>42</v>
      </c>
      <c r="G1332">
        <f t="shared" si="20"/>
        <v>1</v>
      </c>
      <c r="H1332">
        <v>7</v>
      </c>
      <c r="I1332">
        <v>6</v>
      </c>
      <c r="J1332">
        <v>0</v>
      </c>
      <c r="K1332" s="6" t="s">
        <v>104</v>
      </c>
      <c r="L1332" s="6" t="s">
        <v>105</v>
      </c>
      <c r="M1332">
        <v>187</v>
      </c>
      <c r="N1332" s="1">
        <v>0.495</v>
      </c>
      <c r="O1332">
        <v>39</v>
      </c>
      <c r="P1332" s="1">
        <v>0.312</v>
      </c>
      <c r="Q1332" s="1">
        <v>0.78200000000000003</v>
      </c>
      <c r="R1332">
        <v>506</v>
      </c>
      <c r="S1332">
        <v>26</v>
      </c>
      <c r="T1332">
        <v>101</v>
      </c>
      <c r="U1332">
        <v>108</v>
      </c>
      <c r="V1332">
        <v>32</v>
      </c>
      <c r="W1332">
        <v>12</v>
      </c>
      <c r="X1332">
        <v>51</v>
      </c>
      <c r="Y1332" s="5">
        <v>2.12</v>
      </c>
    </row>
    <row r="1333" spans="1:25" x14ac:dyDescent="0.25">
      <c r="A1333">
        <v>2021</v>
      </c>
      <c r="B1333" t="s">
        <v>57</v>
      </c>
      <c r="C1333">
        <v>8</v>
      </c>
      <c r="D1333">
        <v>80</v>
      </c>
      <c r="E1333" t="s">
        <v>93</v>
      </c>
      <c r="F1333" t="s">
        <v>189</v>
      </c>
      <c r="G1333">
        <f t="shared" si="20"/>
        <v>0</v>
      </c>
      <c r="H1333">
        <v>6</v>
      </c>
      <c r="I1333">
        <v>7</v>
      </c>
      <c r="J1333">
        <v>0</v>
      </c>
      <c r="K1333" s="6" t="s">
        <v>72</v>
      </c>
      <c r="L1333" s="6" t="s">
        <v>85</v>
      </c>
      <c r="M1333">
        <v>167</v>
      </c>
      <c r="N1333" s="1">
        <v>0.44500000000000001</v>
      </c>
      <c r="O1333">
        <v>59</v>
      </c>
      <c r="P1333" s="1">
        <v>0.40100000000000002</v>
      </c>
      <c r="Q1333" s="1">
        <v>0.83299999999999996</v>
      </c>
      <c r="R1333">
        <v>503</v>
      </c>
      <c r="S1333">
        <v>37</v>
      </c>
      <c r="T1333">
        <v>153</v>
      </c>
      <c r="U1333">
        <v>106</v>
      </c>
      <c r="V1333">
        <v>25</v>
      </c>
      <c r="W1333">
        <v>23</v>
      </c>
      <c r="X1333">
        <v>53</v>
      </c>
      <c r="Y1333" s="5">
        <v>2</v>
      </c>
    </row>
    <row r="1334" spans="1:25" x14ac:dyDescent="0.25">
      <c r="A1334">
        <v>2021</v>
      </c>
      <c r="B1334" t="s">
        <v>57</v>
      </c>
      <c r="C1334">
        <v>9</v>
      </c>
      <c r="D1334">
        <v>81</v>
      </c>
      <c r="E1334" t="s">
        <v>18</v>
      </c>
      <c r="F1334" t="s">
        <v>52</v>
      </c>
      <c r="G1334">
        <f t="shared" si="20"/>
        <v>0</v>
      </c>
      <c r="H1334">
        <v>6</v>
      </c>
      <c r="I1334">
        <v>7</v>
      </c>
      <c r="J1334">
        <v>0</v>
      </c>
      <c r="K1334" s="6" t="s">
        <v>70</v>
      </c>
      <c r="L1334" s="6" t="s">
        <v>87</v>
      </c>
      <c r="M1334">
        <v>108</v>
      </c>
      <c r="N1334" s="1">
        <v>0.47</v>
      </c>
      <c r="O1334">
        <v>37</v>
      </c>
      <c r="P1334" s="1">
        <v>0.38900000000000001</v>
      </c>
      <c r="Q1334" s="1">
        <v>0.86399999999999999</v>
      </c>
      <c r="R1334">
        <v>304</v>
      </c>
      <c r="S1334">
        <v>22</v>
      </c>
      <c r="T1334">
        <v>112</v>
      </c>
      <c r="U1334">
        <v>54</v>
      </c>
      <c r="V1334">
        <v>29</v>
      </c>
      <c r="W1334">
        <v>16</v>
      </c>
      <c r="X1334">
        <v>27</v>
      </c>
      <c r="Y1334" s="5">
        <v>2</v>
      </c>
    </row>
    <row r="1335" spans="1:25" x14ac:dyDescent="0.25">
      <c r="A1335">
        <v>2021</v>
      </c>
      <c r="B1335" t="s">
        <v>57</v>
      </c>
      <c r="C1335">
        <v>9</v>
      </c>
      <c r="D1335">
        <v>81</v>
      </c>
      <c r="E1335" t="s">
        <v>21</v>
      </c>
      <c r="F1335" t="s">
        <v>50</v>
      </c>
      <c r="G1335">
        <f t="shared" si="20"/>
        <v>1</v>
      </c>
      <c r="H1335">
        <v>7</v>
      </c>
      <c r="I1335">
        <v>6</v>
      </c>
      <c r="J1335">
        <v>0</v>
      </c>
      <c r="K1335" s="6" t="s">
        <v>59</v>
      </c>
      <c r="L1335" s="6" t="s">
        <v>74</v>
      </c>
      <c r="M1335">
        <v>148</v>
      </c>
      <c r="N1335" s="1">
        <v>0.44400000000000001</v>
      </c>
      <c r="O1335">
        <v>72</v>
      </c>
      <c r="P1335" s="1">
        <v>0.40400000000000003</v>
      </c>
      <c r="Q1335" s="1">
        <v>0.88</v>
      </c>
      <c r="R1335">
        <v>412</v>
      </c>
      <c r="S1335">
        <v>16</v>
      </c>
      <c r="T1335">
        <v>89</v>
      </c>
      <c r="U1335">
        <v>85</v>
      </c>
      <c r="V1335">
        <v>18</v>
      </c>
      <c r="W1335">
        <v>10</v>
      </c>
      <c r="X1335">
        <v>40</v>
      </c>
      <c r="Y1335" s="5">
        <v>2.13</v>
      </c>
    </row>
    <row r="1336" spans="1:25" x14ac:dyDescent="0.25">
      <c r="A1336">
        <v>2021</v>
      </c>
      <c r="B1336" t="s">
        <v>57</v>
      </c>
      <c r="C1336">
        <v>9</v>
      </c>
      <c r="D1336">
        <v>82</v>
      </c>
      <c r="E1336" t="s">
        <v>97</v>
      </c>
      <c r="F1336" t="s">
        <v>54</v>
      </c>
      <c r="G1336">
        <f t="shared" si="20"/>
        <v>1</v>
      </c>
      <c r="H1336">
        <v>7</v>
      </c>
      <c r="I1336">
        <v>6</v>
      </c>
      <c r="J1336">
        <v>0</v>
      </c>
      <c r="K1336" s="6" t="s">
        <v>193</v>
      </c>
      <c r="L1336" s="6" t="s">
        <v>117</v>
      </c>
      <c r="M1336">
        <v>232</v>
      </c>
      <c r="N1336" s="1">
        <v>0.49199999999999999</v>
      </c>
      <c r="O1336">
        <v>48</v>
      </c>
      <c r="P1336" s="1">
        <v>0.33800000000000002</v>
      </c>
      <c r="Q1336" s="1">
        <v>0.81100000000000005</v>
      </c>
      <c r="R1336">
        <v>688</v>
      </c>
      <c r="S1336">
        <v>28</v>
      </c>
      <c r="T1336">
        <v>170</v>
      </c>
      <c r="U1336">
        <v>150</v>
      </c>
      <c r="V1336">
        <v>32</v>
      </c>
      <c r="W1336">
        <v>15</v>
      </c>
      <c r="X1336">
        <v>100</v>
      </c>
      <c r="Y1336" s="5">
        <v>1.5</v>
      </c>
    </row>
    <row r="1337" spans="1:25" x14ac:dyDescent="0.25">
      <c r="A1337">
        <v>2021</v>
      </c>
      <c r="B1337" t="s">
        <v>57</v>
      </c>
      <c r="C1337">
        <v>9</v>
      </c>
      <c r="D1337">
        <v>82</v>
      </c>
      <c r="E1337" t="s">
        <v>159</v>
      </c>
      <c r="F1337" t="s">
        <v>116</v>
      </c>
      <c r="G1337">
        <f t="shared" si="20"/>
        <v>0</v>
      </c>
      <c r="H1337">
        <v>6</v>
      </c>
      <c r="I1337">
        <v>7</v>
      </c>
      <c r="J1337">
        <v>0</v>
      </c>
      <c r="K1337" s="6" t="s">
        <v>111</v>
      </c>
      <c r="L1337" s="6" t="s">
        <v>89</v>
      </c>
      <c r="M1337">
        <v>185</v>
      </c>
      <c r="N1337" s="1">
        <v>0.49199999999999999</v>
      </c>
      <c r="O1337">
        <v>43</v>
      </c>
      <c r="P1337" s="1">
        <v>0.33600000000000002</v>
      </c>
      <c r="Q1337" s="1">
        <v>0.83299999999999996</v>
      </c>
      <c r="R1337">
        <v>488</v>
      </c>
      <c r="S1337">
        <v>30</v>
      </c>
      <c r="T1337">
        <v>136</v>
      </c>
      <c r="U1337">
        <v>109</v>
      </c>
      <c r="V1337">
        <v>30</v>
      </c>
      <c r="W1337">
        <v>18</v>
      </c>
      <c r="X1337">
        <v>61</v>
      </c>
      <c r="Y1337" s="5">
        <v>1.79</v>
      </c>
    </row>
    <row r="1338" spans="1:25" x14ac:dyDescent="0.25">
      <c r="A1338">
        <v>2021</v>
      </c>
      <c r="B1338" t="s">
        <v>57</v>
      </c>
      <c r="C1338">
        <v>9</v>
      </c>
      <c r="D1338">
        <v>83</v>
      </c>
      <c r="E1338" t="s">
        <v>28</v>
      </c>
      <c r="F1338" t="s">
        <v>46</v>
      </c>
      <c r="G1338">
        <f t="shared" si="20"/>
        <v>1</v>
      </c>
      <c r="H1338">
        <v>11</v>
      </c>
      <c r="I1338">
        <v>2</v>
      </c>
      <c r="J1338">
        <v>0</v>
      </c>
      <c r="K1338" s="6" t="s">
        <v>63</v>
      </c>
      <c r="L1338" s="6" t="s">
        <v>79</v>
      </c>
      <c r="M1338">
        <v>190</v>
      </c>
      <c r="N1338" s="1">
        <v>0.52300000000000002</v>
      </c>
      <c r="O1338">
        <v>32</v>
      </c>
      <c r="P1338" s="1">
        <v>0.311</v>
      </c>
      <c r="Q1338" s="1">
        <v>0.876</v>
      </c>
      <c r="R1338">
        <v>497</v>
      </c>
      <c r="S1338">
        <v>45</v>
      </c>
      <c r="T1338">
        <v>186</v>
      </c>
      <c r="U1338">
        <v>102</v>
      </c>
      <c r="V1338">
        <v>29</v>
      </c>
      <c r="W1338">
        <v>23</v>
      </c>
      <c r="X1338">
        <v>44</v>
      </c>
      <c r="Y1338" s="5">
        <v>2.3199999999999998</v>
      </c>
    </row>
    <row r="1339" spans="1:25" x14ac:dyDescent="0.25">
      <c r="A1339">
        <v>2021</v>
      </c>
      <c r="B1339" t="s">
        <v>57</v>
      </c>
      <c r="C1339">
        <v>9</v>
      </c>
      <c r="D1339">
        <v>83</v>
      </c>
      <c r="E1339" t="s">
        <v>17</v>
      </c>
      <c r="F1339" t="s">
        <v>43</v>
      </c>
      <c r="G1339">
        <f t="shared" si="20"/>
        <v>0</v>
      </c>
      <c r="H1339">
        <v>2</v>
      </c>
      <c r="I1339">
        <v>11</v>
      </c>
      <c r="J1339">
        <v>0</v>
      </c>
      <c r="K1339" s="6" t="s">
        <v>64</v>
      </c>
      <c r="L1339" s="6" t="s">
        <v>80</v>
      </c>
      <c r="M1339">
        <v>98</v>
      </c>
      <c r="N1339" s="1">
        <v>0.46200000000000002</v>
      </c>
      <c r="O1339">
        <v>24</v>
      </c>
      <c r="P1339" s="1">
        <v>0.38100000000000001</v>
      </c>
      <c r="Q1339" s="1">
        <v>0.81799999999999995</v>
      </c>
      <c r="R1339">
        <v>256</v>
      </c>
      <c r="S1339">
        <v>38</v>
      </c>
      <c r="T1339">
        <v>99</v>
      </c>
      <c r="U1339">
        <v>62</v>
      </c>
      <c r="V1339">
        <v>22</v>
      </c>
      <c r="W1339">
        <v>21</v>
      </c>
      <c r="X1339">
        <v>38</v>
      </c>
      <c r="Y1339" s="5">
        <v>1.63</v>
      </c>
    </row>
    <row r="1340" spans="1:25" x14ac:dyDescent="0.25">
      <c r="A1340">
        <v>2021</v>
      </c>
      <c r="B1340" t="s">
        <v>57</v>
      </c>
      <c r="C1340">
        <v>9</v>
      </c>
      <c r="D1340">
        <v>84</v>
      </c>
      <c r="E1340" t="s">
        <v>99</v>
      </c>
      <c r="F1340" t="s">
        <v>45</v>
      </c>
      <c r="G1340">
        <f t="shared" si="20"/>
        <v>1</v>
      </c>
      <c r="H1340">
        <v>11</v>
      </c>
      <c r="I1340">
        <v>2</v>
      </c>
      <c r="J1340">
        <v>0</v>
      </c>
      <c r="K1340" s="6" t="s">
        <v>61</v>
      </c>
      <c r="L1340" s="6" t="s">
        <v>77</v>
      </c>
      <c r="M1340">
        <v>193</v>
      </c>
      <c r="N1340" s="1">
        <v>0.47699999999999998</v>
      </c>
      <c r="O1340">
        <v>73</v>
      </c>
      <c r="P1340" s="1">
        <v>0.44500000000000001</v>
      </c>
      <c r="Q1340" s="1">
        <v>0.84399999999999997</v>
      </c>
      <c r="R1340">
        <v>562</v>
      </c>
      <c r="S1340">
        <v>35</v>
      </c>
      <c r="T1340">
        <v>139</v>
      </c>
      <c r="U1340">
        <v>108</v>
      </c>
      <c r="V1340">
        <v>29</v>
      </c>
      <c r="W1340">
        <v>23</v>
      </c>
      <c r="X1340">
        <v>67</v>
      </c>
      <c r="Y1340" s="5">
        <v>1.61</v>
      </c>
    </row>
    <row r="1341" spans="1:25" x14ac:dyDescent="0.25">
      <c r="A1341">
        <v>2021</v>
      </c>
      <c r="B1341" t="s">
        <v>57</v>
      </c>
      <c r="C1341">
        <v>9</v>
      </c>
      <c r="D1341">
        <v>84</v>
      </c>
      <c r="E1341" t="s">
        <v>15</v>
      </c>
      <c r="F1341" t="s">
        <v>48</v>
      </c>
      <c r="G1341">
        <f t="shared" si="20"/>
        <v>0</v>
      </c>
      <c r="H1341">
        <v>2</v>
      </c>
      <c r="I1341">
        <v>11</v>
      </c>
      <c r="J1341">
        <v>0</v>
      </c>
      <c r="K1341" s="6" t="s">
        <v>114</v>
      </c>
      <c r="L1341" s="6" t="s">
        <v>90</v>
      </c>
      <c r="M1341">
        <v>171</v>
      </c>
      <c r="N1341" s="1">
        <v>0.49299999999999999</v>
      </c>
      <c r="O1341">
        <v>50</v>
      </c>
      <c r="P1341" s="1">
        <v>0.4</v>
      </c>
      <c r="Q1341" s="1">
        <v>0.84399999999999997</v>
      </c>
      <c r="R1341">
        <v>446</v>
      </c>
      <c r="S1341">
        <v>24</v>
      </c>
      <c r="T1341">
        <v>90</v>
      </c>
      <c r="U1341">
        <v>78</v>
      </c>
      <c r="V1341">
        <v>28</v>
      </c>
      <c r="W1341">
        <v>12</v>
      </c>
      <c r="X1341">
        <v>54</v>
      </c>
      <c r="Y1341" s="5">
        <v>1.44</v>
      </c>
    </row>
    <row r="1342" spans="1:25" x14ac:dyDescent="0.25">
      <c r="A1342">
        <v>2021</v>
      </c>
      <c r="B1342" t="s">
        <v>57</v>
      </c>
      <c r="C1342">
        <v>9</v>
      </c>
      <c r="D1342">
        <v>85</v>
      </c>
      <c r="E1342" t="s">
        <v>96</v>
      </c>
      <c r="F1342" t="s">
        <v>102</v>
      </c>
      <c r="G1342">
        <f t="shared" si="20"/>
        <v>0</v>
      </c>
      <c r="H1342">
        <v>5</v>
      </c>
      <c r="I1342">
        <v>8</v>
      </c>
      <c r="J1342">
        <v>0</v>
      </c>
      <c r="K1342" s="6" t="s">
        <v>71</v>
      </c>
      <c r="L1342" s="6" t="s">
        <v>121</v>
      </c>
      <c r="M1342">
        <v>163</v>
      </c>
      <c r="N1342" s="1">
        <v>0.53400000000000003</v>
      </c>
      <c r="O1342">
        <v>39</v>
      </c>
      <c r="P1342" s="1">
        <v>0.41099999999999998</v>
      </c>
      <c r="Q1342" s="1">
        <v>0.78900000000000003</v>
      </c>
      <c r="R1342">
        <v>425</v>
      </c>
      <c r="S1342">
        <v>51</v>
      </c>
      <c r="T1342">
        <v>141</v>
      </c>
      <c r="U1342">
        <v>87</v>
      </c>
      <c r="V1342">
        <v>25</v>
      </c>
      <c r="W1342">
        <v>22</v>
      </c>
      <c r="X1342">
        <v>53</v>
      </c>
      <c r="Y1342" s="5">
        <v>1.64</v>
      </c>
    </row>
    <row r="1343" spans="1:25" x14ac:dyDescent="0.25">
      <c r="A1343">
        <v>2021</v>
      </c>
      <c r="B1343" t="s">
        <v>57</v>
      </c>
      <c r="C1343">
        <v>9</v>
      </c>
      <c r="D1343">
        <v>85</v>
      </c>
      <c r="E1343" t="s">
        <v>23</v>
      </c>
      <c r="F1343" t="s">
        <v>120</v>
      </c>
      <c r="G1343">
        <f t="shared" si="20"/>
        <v>1</v>
      </c>
      <c r="H1343">
        <v>8</v>
      </c>
      <c r="I1343">
        <v>5</v>
      </c>
      <c r="J1343">
        <v>0</v>
      </c>
      <c r="K1343" s="6" t="s">
        <v>109</v>
      </c>
      <c r="L1343" s="6" t="s">
        <v>110</v>
      </c>
      <c r="M1343">
        <v>155</v>
      </c>
      <c r="N1343" s="1">
        <v>0.45500000000000002</v>
      </c>
      <c r="O1343">
        <v>47</v>
      </c>
      <c r="P1343" s="1">
        <v>0.33600000000000002</v>
      </c>
      <c r="Q1343" s="1">
        <v>0.79800000000000004</v>
      </c>
      <c r="R1343">
        <v>424</v>
      </c>
      <c r="S1343">
        <v>53</v>
      </c>
      <c r="T1343">
        <v>144</v>
      </c>
      <c r="U1343">
        <v>97</v>
      </c>
      <c r="V1343">
        <v>19</v>
      </c>
      <c r="W1343">
        <v>25</v>
      </c>
      <c r="X1343">
        <v>48</v>
      </c>
      <c r="Y1343" s="5">
        <v>2.02</v>
      </c>
    </row>
    <row r="1344" spans="1:25" x14ac:dyDescent="0.25">
      <c r="A1344">
        <v>2021</v>
      </c>
      <c r="B1344" t="s">
        <v>57</v>
      </c>
      <c r="C1344">
        <v>9</v>
      </c>
      <c r="D1344">
        <v>86</v>
      </c>
      <c r="E1344" t="s">
        <v>98</v>
      </c>
      <c r="F1344" t="s">
        <v>41</v>
      </c>
      <c r="G1344">
        <f t="shared" si="20"/>
        <v>0</v>
      </c>
      <c r="H1344">
        <v>6</v>
      </c>
      <c r="I1344">
        <v>7</v>
      </c>
      <c r="J1344">
        <v>0</v>
      </c>
      <c r="K1344" s="6" t="s">
        <v>182</v>
      </c>
      <c r="L1344" s="6" t="s">
        <v>76</v>
      </c>
      <c r="M1344">
        <v>117</v>
      </c>
      <c r="N1344" s="1">
        <v>0.46100000000000002</v>
      </c>
      <c r="O1344">
        <v>46</v>
      </c>
      <c r="P1344" s="1">
        <v>0.39300000000000002</v>
      </c>
      <c r="Q1344" s="1">
        <v>0.71399999999999997</v>
      </c>
      <c r="R1344">
        <v>310</v>
      </c>
      <c r="S1344">
        <v>20</v>
      </c>
      <c r="T1344">
        <v>56</v>
      </c>
      <c r="U1344">
        <v>51</v>
      </c>
      <c r="V1344">
        <v>34</v>
      </c>
      <c r="W1344">
        <v>16</v>
      </c>
      <c r="X1344">
        <v>24</v>
      </c>
      <c r="Y1344" s="5">
        <v>2.13</v>
      </c>
    </row>
    <row r="1345" spans="1:25" x14ac:dyDescent="0.25">
      <c r="A1345">
        <v>2021</v>
      </c>
      <c r="B1345" t="s">
        <v>57</v>
      </c>
      <c r="C1345">
        <v>9</v>
      </c>
      <c r="D1345">
        <v>86</v>
      </c>
      <c r="E1345" t="s">
        <v>181</v>
      </c>
      <c r="F1345" t="s">
        <v>49</v>
      </c>
      <c r="G1345">
        <f t="shared" si="20"/>
        <v>1</v>
      </c>
      <c r="H1345">
        <v>7</v>
      </c>
      <c r="I1345">
        <v>6</v>
      </c>
      <c r="J1345">
        <v>0</v>
      </c>
      <c r="K1345" s="6" t="s">
        <v>112</v>
      </c>
      <c r="L1345" s="6" t="s">
        <v>88</v>
      </c>
      <c r="M1345">
        <v>125</v>
      </c>
      <c r="N1345" s="1">
        <v>0.434</v>
      </c>
      <c r="O1345">
        <v>41</v>
      </c>
      <c r="P1345" s="1">
        <v>0.35699999999999998</v>
      </c>
      <c r="Q1345" s="1">
        <v>0.75</v>
      </c>
      <c r="R1345">
        <v>342</v>
      </c>
      <c r="S1345">
        <v>31</v>
      </c>
      <c r="T1345">
        <v>104</v>
      </c>
      <c r="U1345">
        <v>65</v>
      </c>
      <c r="V1345">
        <v>24</v>
      </c>
      <c r="W1345">
        <v>8</v>
      </c>
      <c r="X1345">
        <v>28</v>
      </c>
      <c r="Y1345" s="5">
        <v>2.3199999999999998</v>
      </c>
    </row>
    <row r="1346" spans="1:25" x14ac:dyDescent="0.25">
      <c r="A1346">
        <v>2021</v>
      </c>
      <c r="B1346" t="s">
        <v>57</v>
      </c>
      <c r="C1346">
        <v>9</v>
      </c>
      <c r="D1346">
        <v>87</v>
      </c>
      <c r="E1346" t="s">
        <v>25</v>
      </c>
      <c r="F1346" t="s">
        <v>53</v>
      </c>
      <c r="G1346">
        <f t="shared" ref="G1346:G1409" si="21">IF(H1346+0.5*J1346&gt;6.5,1,0)</f>
        <v>1</v>
      </c>
      <c r="H1346">
        <v>9</v>
      </c>
      <c r="I1346">
        <v>4</v>
      </c>
      <c r="J1346">
        <v>0</v>
      </c>
      <c r="K1346" s="6" t="s">
        <v>106</v>
      </c>
      <c r="L1346" s="6" t="s">
        <v>83</v>
      </c>
      <c r="M1346">
        <v>145</v>
      </c>
      <c r="N1346" s="1">
        <v>0.53700000000000003</v>
      </c>
      <c r="O1346">
        <v>46</v>
      </c>
      <c r="P1346" s="1">
        <v>0.5</v>
      </c>
      <c r="Q1346" s="1">
        <v>0.754</v>
      </c>
      <c r="R1346">
        <v>379</v>
      </c>
      <c r="S1346">
        <v>31</v>
      </c>
      <c r="T1346">
        <v>106</v>
      </c>
      <c r="U1346">
        <v>73</v>
      </c>
      <c r="V1346">
        <v>28</v>
      </c>
      <c r="W1346">
        <v>8</v>
      </c>
      <c r="X1346">
        <v>35</v>
      </c>
      <c r="Y1346" s="5">
        <v>2.09</v>
      </c>
    </row>
    <row r="1347" spans="1:25" x14ac:dyDescent="0.25">
      <c r="A1347">
        <v>2021</v>
      </c>
      <c r="B1347" t="s">
        <v>57</v>
      </c>
      <c r="C1347">
        <v>9</v>
      </c>
      <c r="D1347">
        <v>87</v>
      </c>
      <c r="E1347" t="s">
        <v>94</v>
      </c>
      <c r="F1347" t="s">
        <v>40</v>
      </c>
      <c r="G1347">
        <f t="shared" si="21"/>
        <v>0</v>
      </c>
      <c r="H1347">
        <v>4</v>
      </c>
      <c r="I1347">
        <v>9</v>
      </c>
      <c r="J1347">
        <v>0</v>
      </c>
      <c r="K1347" s="6" t="s">
        <v>68</v>
      </c>
      <c r="L1347" s="6" t="s">
        <v>84</v>
      </c>
      <c r="M1347">
        <v>133</v>
      </c>
      <c r="N1347" s="1">
        <v>0.47199999999999998</v>
      </c>
      <c r="O1347">
        <v>25</v>
      </c>
      <c r="P1347" s="1">
        <v>0.313</v>
      </c>
      <c r="Q1347" s="1">
        <v>0.73</v>
      </c>
      <c r="R1347">
        <v>345</v>
      </c>
      <c r="S1347">
        <v>48</v>
      </c>
      <c r="T1347">
        <v>120</v>
      </c>
      <c r="U1347">
        <v>74</v>
      </c>
      <c r="V1347">
        <v>23</v>
      </c>
      <c r="W1347">
        <v>24</v>
      </c>
      <c r="X1347">
        <v>41</v>
      </c>
      <c r="Y1347" s="5">
        <v>1.8</v>
      </c>
    </row>
    <row r="1348" spans="1:25" x14ac:dyDescent="0.25">
      <c r="A1348">
        <v>2021</v>
      </c>
      <c r="B1348" t="s">
        <v>57</v>
      </c>
      <c r="C1348">
        <v>9</v>
      </c>
      <c r="D1348">
        <v>88</v>
      </c>
      <c r="E1348" t="s">
        <v>190</v>
      </c>
      <c r="F1348" t="s">
        <v>103</v>
      </c>
      <c r="G1348">
        <f t="shared" si="21"/>
        <v>1</v>
      </c>
      <c r="H1348">
        <v>7</v>
      </c>
      <c r="I1348">
        <v>6</v>
      </c>
      <c r="J1348">
        <v>0</v>
      </c>
      <c r="K1348" s="6" t="s">
        <v>60</v>
      </c>
      <c r="L1348" s="6" t="s">
        <v>75</v>
      </c>
      <c r="M1348">
        <v>159</v>
      </c>
      <c r="N1348" s="1">
        <v>0.41299999999999998</v>
      </c>
      <c r="O1348">
        <v>34</v>
      </c>
      <c r="P1348" s="1">
        <v>0.312</v>
      </c>
      <c r="Q1348" s="1">
        <v>0.752</v>
      </c>
      <c r="R1348">
        <v>455</v>
      </c>
      <c r="S1348">
        <v>40</v>
      </c>
      <c r="T1348">
        <v>123</v>
      </c>
      <c r="U1348">
        <v>126</v>
      </c>
      <c r="V1348">
        <v>26</v>
      </c>
      <c r="W1348">
        <v>14</v>
      </c>
      <c r="X1348">
        <v>60</v>
      </c>
      <c r="Y1348" s="5">
        <v>2.1</v>
      </c>
    </row>
    <row r="1349" spans="1:25" x14ac:dyDescent="0.25">
      <c r="A1349">
        <v>2021</v>
      </c>
      <c r="B1349" t="s">
        <v>57</v>
      </c>
      <c r="C1349">
        <v>9</v>
      </c>
      <c r="D1349">
        <v>88</v>
      </c>
      <c r="E1349" t="s">
        <v>16</v>
      </c>
      <c r="F1349" t="s">
        <v>51</v>
      </c>
      <c r="G1349">
        <f t="shared" si="21"/>
        <v>0</v>
      </c>
      <c r="H1349">
        <v>6</v>
      </c>
      <c r="I1349">
        <v>7</v>
      </c>
      <c r="J1349">
        <v>0</v>
      </c>
      <c r="K1349" s="6" t="s">
        <v>191</v>
      </c>
      <c r="L1349" s="6" t="s">
        <v>113</v>
      </c>
      <c r="M1349">
        <v>111</v>
      </c>
      <c r="N1349" s="1">
        <v>0.5</v>
      </c>
      <c r="O1349">
        <v>44</v>
      </c>
      <c r="P1349" s="1">
        <v>0.44400000000000001</v>
      </c>
      <c r="Q1349" s="1">
        <v>0.88200000000000001</v>
      </c>
      <c r="R1349">
        <v>311</v>
      </c>
      <c r="S1349">
        <v>28</v>
      </c>
      <c r="T1349">
        <v>97</v>
      </c>
      <c r="U1349">
        <v>81</v>
      </c>
      <c r="V1349">
        <v>25</v>
      </c>
      <c r="W1349">
        <v>37</v>
      </c>
      <c r="X1349">
        <v>40</v>
      </c>
      <c r="Y1349" s="5">
        <v>2.02</v>
      </c>
    </row>
    <row r="1350" spans="1:25" x14ac:dyDescent="0.25">
      <c r="A1350">
        <v>2021</v>
      </c>
      <c r="B1350" t="s">
        <v>57</v>
      </c>
      <c r="C1350">
        <v>9</v>
      </c>
      <c r="D1350">
        <v>89</v>
      </c>
      <c r="E1350" t="s">
        <v>93</v>
      </c>
      <c r="F1350" t="s">
        <v>189</v>
      </c>
      <c r="G1350">
        <f t="shared" si="21"/>
        <v>1</v>
      </c>
      <c r="H1350">
        <v>8</v>
      </c>
      <c r="I1350">
        <v>3</v>
      </c>
      <c r="J1350">
        <v>2</v>
      </c>
      <c r="K1350" s="6" t="s">
        <v>65</v>
      </c>
      <c r="L1350" s="6" t="s">
        <v>119</v>
      </c>
      <c r="M1350">
        <v>176</v>
      </c>
      <c r="N1350" s="1">
        <v>0.46</v>
      </c>
      <c r="O1350">
        <v>65</v>
      </c>
      <c r="P1350" s="1">
        <v>0.41899999999999998</v>
      </c>
      <c r="Q1350" s="1">
        <v>0.85899999999999999</v>
      </c>
      <c r="R1350">
        <v>478</v>
      </c>
      <c r="S1350">
        <v>36</v>
      </c>
      <c r="T1350">
        <v>138</v>
      </c>
      <c r="U1350">
        <v>125</v>
      </c>
      <c r="V1350">
        <v>28</v>
      </c>
      <c r="W1350">
        <v>14</v>
      </c>
      <c r="X1350">
        <v>51</v>
      </c>
      <c r="Y1350" s="5">
        <v>2.4500000000000002</v>
      </c>
    </row>
    <row r="1351" spans="1:25" x14ac:dyDescent="0.25">
      <c r="A1351">
        <v>2021</v>
      </c>
      <c r="B1351" t="s">
        <v>57</v>
      </c>
      <c r="C1351">
        <v>9</v>
      </c>
      <c r="D1351">
        <v>89</v>
      </c>
      <c r="E1351" t="s">
        <v>26</v>
      </c>
      <c r="F1351" t="s">
        <v>118</v>
      </c>
      <c r="G1351">
        <f t="shared" si="21"/>
        <v>0</v>
      </c>
      <c r="H1351">
        <v>3</v>
      </c>
      <c r="I1351">
        <v>8</v>
      </c>
      <c r="J1351">
        <v>2</v>
      </c>
      <c r="K1351" s="6" t="s">
        <v>104</v>
      </c>
      <c r="L1351" s="6" t="s">
        <v>105</v>
      </c>
      <c r="M1351">
        <v>166</v>
      </c>
      <c r="N1351" s="1">
        <v>0.50800000000000001</v>
      </c>
      <c r="O1351">
        <v>49</v>
      </c>
      <c r="P1351" s="1">
        <v>0.39500000000000002</v>
      </c>
      <c r="Q1351" s="1">
        <v>0.76700000000000002</v>
      </c>
      <c r="R1351">
        <v>427</v>
      </c>
      <c r="S1351">
        <v>36</v>
      </c>
      <c r="T1351">
        <v>184</v>
      </c>
      <c r="U1351">
        <v>112</v>
      </c>
      <c r="V1351">
        <v>28</v>
      </c>
      <c r="W1351">
        <v>20</v>
      </c>
      <c r="X1351">
        <v>58</v>
      </c>
      <c r="Y1351" s="5">
        <v>1.93</v>
      </c>
    </row>
    <row r="1352" spans="1:25" x14ac:dyDescent="0.25">
      <c r="A1352">
        <v>2021</v>
      </c>
      <c r="B1352" t="s">
        <v>57</v>
      </c>
      <c r="C1352">
        <v>9</v>
      </c>
      <c r="D1352">
        <v>90</v>
      </c>
      <c r="E1352" t="s">
        <v>95</v>
      </c>
      <c r="F1352" t="s">
        <v>101</v>
      </c>
      <c r="G1352">
        <f t="shared" si="21"/>
        <v>0</v>
      </c>
      <c r="H1352">
        <v>5</v>
      </c>
      <c r="I1352">
        <v>7</v>
      </c>
      <c r="J1352">
        <v>1</v>
      </c>
      <c r="K1352" s="6" t="s">
        <v>72</v>
      </c>
      <c r="L1352" s="6" t="s">
        <v>85</v>
      </c>
      <c r="M1352">
        <v>147</v>
      </c>
      <c r="N1352" s="1">
        <v>0.48499999999999999</v>
      </c>
      <c r="O1352">
        <v>34</v>
      </c>
      <c r="P1352" s="1">
        <v>0.34300000000000003</v>
      </c>
      <c r="Q1352" s="1">
        <v>0.70099999999999996</v>
      </c>
      <c r="R1352">
        <v>382</v>
      </c>
      <c r="S1352">
        <v>41</v>
      </c>
      <c r="T1352">
        <v>123</v>
      </c>
      <c r="U1352">
        <v>89</v>
      </c>
      <c r="V1352">
        <v>23</v>
      </c>
      <c r="W1352">
        <v>17</v>
      </c>
      <c r="X1352">
        <v>50</v>
      </c>
      <c r="Y1352" s="5">
        <v>1.78</v>
      </c>
    </row>
    <row r="1353" spans="1:25" x14ac:dyDescent="0.25">
      <c r="A1353">
        <v>2021</v>
      </c>
      <c r="B1353" t="s">
        <v>57</v>
      </c>
      <c r="C1353">
        <v>9</v>
      </c>
      <c r="D1353">
        <v>90</v>
      </c>
      <c r="E1353" t="s">
        <v>33</v>
      </c>
      <c r="F1353" t="s">
        <v>42</v>
      </c>
      <c r="G1353">
        <f t="shared" si="21"/>
        <v>1</v>
      </c>
      <c r="H1353">
        <v>7</v>
      </c>
      <c r="I1353">
        <v>5</v>
      </c>
      <c r="J1353">
        <v>1</v>
      </c>
      <c r="K1353" s="6" t="s">
        <v>107</v>
      </c>
      <c r="L1353" s="6" t="s">
        <v>108</v>
      </c>
      <c r="M1353">
        <v>174</v>
      </c>
      <c r="N1353" s="1">
        <v>0.52900000000000003</v>
      </c>
      <c r="O1353">
        <v>43</v>
      </c>
      <c r="P1353" s="1">
        <v>0.377</v>
      </c>
      <c r="Q1353" s="1">
        <v>0.83099999999999996</v>
      </c>
      <c r="R1353">
        <v>494</v>
      </c>
      <c r="S1353">
        <v>28</v>
      </c>
      <c r="T1353">
        <v>75</v>
      </c>
      <c r="U1353">
        <v>73</v>
      </c>
      <c r="V1353">
        <v>23</v>
      </c>
      <c r="W1353">
        <v>12</v>
      </c>
      <c r="X1353">
        <v>47</v>
      </c>
      <c r="Y1353" s="5">
        <v>1.55</v>
      </c>
    </row>
    <row r="1354" spans="1:25" x14ac:dyDescent="0.25">
      <c r="A1354">
        <v>2021</v>
      </c>
      <c r="B1354" t="s">
        <v>57</v>
      </c>
      <c r="C1354">
        <v>10</v>
      </c>
      <c r="D1354">
        <v>91</v>
      </c>
      <c r="E1354" t="s">
        <v>159</v>
      </c>
      <c r="F1354" t="s">
        <v>116</v>
      </c>
      <c r="G1354">
        <f t="shared" si="21"/>
        <v>0</v>
      </c>
      <c r="H1354">
        <v>4</v>
      </c>
      <c r="I1354">
        <v>9</v>
      </c>
      <c r="J1354">
        <v>0</v>
      </c>
      <c r="K1354" s="6" t="s">
        <v>70</v>
      </c>
      <c r="L1354" s="6" t="s">
        <v>87</v>
      </c>
      <c r="M1354">
        <v>183</v>
      </c>
      <c r="N1354" s="1">
        <v>0.49099999999999999</v>
      </c>
      <c r="O1354">
        <v>55</v>
      </c>
      <c r="P1354" s="1">
        <v>0.40699999999999997</v>
      </c>
      <c r="Q1354" s="1">
        <v>0.81100000000000005</v>
      </c>
      <c r="R1354">
        <v>494</v>
      </c>
      <c r="S1354">
        <v>42</v>
      </c>
      <c r="T1354">
        <v>140</v>
      </c>
      <c r="U1354">
        <v>88</v>
      </c>
      <c r="V1354">
        <v>26</v>
      </c>
      <c r="W1354">
        <v>23</v>
      </c>
      <c r="X1354">
        <v>58</v>
      </c>
      <c r="Y1354" s="5">
        <v>1.52</v>
      </c>
    </row>
    <row r="1355" spans="1:25" x14ac:dyDescent="0.25">
      <c r="A1355">
        <v>2021</v>
      </c>
      <c r="B1355" t="s">
        <v>57</v>
      </c>
      <c r="C1355">
        <v>10</v>
      </c>
      <c r="D1355">
        <v>91</v>
      </c>
      <c r="E1355" t="s">
        <v>21</v>
      </c>
      <c r="F1355" t="s">
        <v>50</v>
      </c>
      <c r="G1355">
        <f t="shared" si="21"/>
        <v>1</v>
      </c>
      <c r="H1355">
        <v>9</v>
      </c>
      <c r="I1355">
        <v>4</v>
      </c>
      <c r="J1355">
        <v>0</v>
      </c>
      <c r="K1355" s="6" t="s">
        <v>193</v>
      </c>
      <c r="L1355" s="6" t="s">
        <v>117</v>
      </c>
      <c r="M1355">
        <v>194</v>
      </c>
      <c r="N1355" s="1">
        <v>0.49399999999999999</v>
      </c>
      <c r="O1355">
        <v>73</v>
      </c>
      <c r="P1355" s="1">
        <v>0.39500000000000002</v>
      </c>
      <c r="Q1355" s="1">
        <v>0.85899999999999999</v>
      </c>
      <c r="R1355">
        <v>546</v>
      </c>
      <c r="S1355">
        <v>31</v>
      </c>
      <c r="T1355">
        <v>148</v>
      </c>
      <c r="U1355">
        <v>132</v>
      </c>
      <c r="V1355">
        <v>25</v>
      </c>
      <c r="W1355">
        <v>14</v>
      </c>
      <c r="X1355">
        <v>55</v>
      </c>
      <c r="Y1355" s="5">
        <v>2.4</v>
      </c>
    </row>
    <row r="1356" spans="1:25" x14ac:dyDescent="0.25">
      <c r="A1356">
        <v>2021</v>
      </c>
      <c r="B1356" t="s">
        <v>57</v>
      </c>
      <c r="C1356">
        <v>10</v>
      </c>
      <c r="D1356">
        <v>92</v>
      </c>
      <c r="E1356" t="s">
        <v>17</v>
      </c>
      <c r="F1356" t="s">
        <v>43</v>
      </c>
      <c r="G1356">
        <f t="shared" si="21"/>
        <v>1</v>
      </c>
      <c r="H1356">
        <v>11</v>
      </c>
      <c r="I1356">
        <v>2</v>
      </c>
      <c r="J1356">
        <v>0</v>
      </c>
      <c r="K1356" s="6" t="s">
        <v>59</v>
      </c>
      <c r="L1356" s="6" t="s">
        <v>74</v>
      </c>
      <c r="M1356">
        <v>145</v>
      </c>
      <c r="N1356" s="1">
        <v>0.52900000000000003</v>
      </c>
      <c r="O1356">
        <v>46</v>
      </c>
      <c r="P1356" s="1">
        <v>0.44700000000000001</v>
      </c>
      <c r="Q1356" s="1">
        <v>0.77500000000000002</v>
      </c>
      <c r="R1356">
        <v>391</v>
      </c>
      <c r="S1356">
        <v>31</v>
      </c>
      <c r="T1356">
        <v>130</v>
      </c>
      <c r="U1356">
        <v>104</v>
      </c>
      <c r="V1356">
        <v>40</v>
      </c>
      <c r="W1356">
        <v>20</v>
      </c>
      <c r="X1356">
        <v>66</v>
      </c>
      <c r="Y1356" s="5">
        <v>1.58</v>
      </c>
    </row>
    <row r="1357" spans="1:25" x14ac:dyDescent="0.25">
      <c r="A1357">
        <v>2021</v>
      </c>
      <c r="B1357" t="s">
        <v>57</v>
      </c>
      <c r="C1357">
        <v>10</v>
      </c>
      <c r="D1357">
        <v>92</v>
      </c>
      <c r="E1357" t="s">
        <v>18</v>
      </c>
      <c r="F1357" t="s">
        <v>52</v>
      </c>
      <c r="G1357">
        <f t="shared" si="21"/>
        <v>0</v>
      </c>
      <c r="H1357">
        <v>2</v>
      </c>
      <c r="I1357">
        <v>11</v>
      </c>
      <c r="J1357">
        <v>0</v>
      </c>
      <c r="K1357" s="6" t="s">
        <v>63</v>
      </c>
      <c r="L1357" s="6" t="s">
        <v>79</v>
      </c>
      <c r="M1357">
        <v>106</v>
      </c>
      <c r="N1357" s="1">
        <v>0.47299999999999998</v>
      </c>
      <c r="O1357">
        <v>27</v>
      </c>
      <c r="P1357" s="1">
        <v>0.314</v>
      </c>
      <c r="Q1357" s="1">
        <v>0.69599999999999995</v>
      </c>
      <c r="R1357">
        <v>271</v>
      </c>
      <c r="S1357">
        <v>17</v>
      </c>
      <c r="T1357">
        <v>108</v>
      </c>
      <c r="U1357">
        <v>65</v>
      </c>
      <c r="V1357">
        <v>30</v>
      </c>
      <c r="W1357">
        <v>15</v>
      </c>
      <c r="X1357">
        <v>37</v>
      </c>
      <c r="Y1357" s="5">
        <v>1.76</v>
      </c>
    </row>
    <row r="1358" spans="1:25" x14ac:dyDescent="0.25">
      <c r="A1358">
        <v>2021</v>
      </c>
      <c r="B1358" t="s">
        <v>57</v>
      </c>
      <c r="C1358">
        <v>10</v>
      </c>
      <c r="D1358">
        <v>93</v>
      </c>
      <c r="E1358" t="s">
        <v>97</v>
      </c>
      <c r="F1358" t="s">
        <v>54</v>
      </c>
      <c r="G1358">
        <f t="shared" si="21"/>
        <v>1</v>
      </c>
      <c r="H1358">
        <v>10</v>
      </c>
      <c r="I1358">
        <v>3</v>
      </c>
      <c r="J1358">
        <v>0</v>
      </c>
      <c r="K1358" s="6" t="s">
        <v>61</v>
      </c>
      <c r="L1358" s="6" t="s">
        <v>77</v>
      </c>
      <c r="M1358">
        <v>265</v>
      </c>
      <c r="N1358" s="1">
        <v>0.45300000000000001</v>
      </c>
      <c r="O1358">
        <v>66</v>
      </c>
      <c r="P1358" s="1">
        <v>0.36699999999999999</v>
      </c>
      <c r="Q1358" s="1">
        <v>0.82</v>
      </c>
      <c r="R1358">
        <v>765</v>
      </c>
      <c r="S1358">
        <v>42</v>
      </c>
      <c r="T1358">
        <v>172</v>
      </c>
      <c r="U1358">
        <v>176</v>
      </c>
      <c r="V1358">
        <v>36</v>
      </c>
      <c r="W1358">
        <v>19</v>
      </c>
      <c r="X1358">
        <v>91</v>
      </c>
      <c r="Y1358" s="5">
        <v>1.93</v>
      </c>
    </row>
    <row r="1359" spans="1:25" x14ac:dyDescent="0.25">
      <c r="A1359">
        <v>2021</v>
      </c>
      <c r="B1359" t="s">
        <v>57</v>
      </c>
      <c r="C1359">
        <v>10</v>
      </c>
      <c r="D1359">
        <v>93</v>
      </c>
      <c r="E1359" t="s">
        <v>15</v>
      </c>
      <c r="F1359" t="s">
        <v>48</v>
      </c>
      <c r="G1359">
        <f t="shared" si="21"/>
        <v>0</v>
      </c>
      <c r="H1359">
        <v>3</v>
      </c>
      <c r="I1359">
        <v>10</v>
      </c>
      <c r="J1359">
        <v>0</v>
      </c>
      <c r="K1359" s="6" t="s">
        <v>111</v>
      </c>
      <c r="L1359" s="6" t="s">
        <v>89</v>
      </c>
      <c r="M1359">
        <v>183</v>
      </c>
      <c r="N1359" s="1">
        <v>0.47699999999999998</v>
      </c>
      <c r="O1359">
        <v>44</v>
      </c>
      <c r="P1359" s="1">
        <v>0.34599999999999997</v>
      </c>
      <c r="Q1359" s="1">
        <v>0.86199999999999999</v>
      </c>
      <c r="R1359">
        <v>491</v>
      </c>
      <c r="S1359">
        <v>28</v>
      </c>
      <c r="T1359">
        <v>121</v>
      </c>
      <c r="U1359">
        <v>87</v>
      </c>
      <c r="V1359">
        <v>24</v>
      </c>
      <c r="W1359">
        <v>13</v>
      </c>
      <c r="X1359">
        <v>45</v>
      </c>
      <c r="Y1359" s="5">
        <v>1.93</v>
      </c>
    </row>
    <row r="1360" spans="1:25" x14ac:dyDescent="0.25">
      <c r="A1360">
        <v>2021</v>
      </c>
      <c r="B1360" t="s">
        <v>57</v>
      </c>
      <c r="C1360">
        <v>10</v>
      </c>
      <c r="D1360">
        <v>94</v>
      </c>
      <c r="E1360" t="s">
        <v>28</v>
      </c>
      <c r="F1360" t="s">
        <v>46</v>
      </c>
      <c r="G1360">
        <f t="shared" si="21"/>
        <v>1</v>
      </c>
      <c r="H1360">
        <v>11</v>
      </c>
      <c r="I1360">
        <v>2</v>
      </c>
      <c r="J1360">
        <v>0</v>
      </c>
      <c r="K1360" s="6" t="s">
        <v>71</v>
      </c>
      <c r="L1360" s="6" t="s">
        <v>121</v>
      </c>
      <c r="M1360">
        <v>243</v>
      </c>
      <c r="N1360" s="1">
        <v>0.5</v>
      </c>
      <c r="O1360">
        <v>62</v>
      </c>
      <c r="P1360" s="1">
        <v>0.40799999999999997</v>
      </c>
      <c r="Q1360" s="1">
        <v>0.69099999999999995</v>
      </c>
      <c r="R1360">
        <v>615</v>
      </c>
      <c r="S1360">
        <v>54</v>
      </c>
      <c r="T1360">
        <v>188</v>
      </c>
      <c r="U1360">
        <v>129</v>
      </c>
      <c r="V1360">
        <v>34</v>
      </c>
      <c r="W1360">
        <v>26</v>
      </c>
      <c r="X1360">
        <v>51</v>
      </c>
      <c r="Y1360" s="5">
        <v>2.5299999999999998</v>
      </c>
    </row>
    <row r="1361" spans="1:25" x14ac:dyDescent="0.25">
      <c r="A1361">
        <v>2021</v>
      </c>
      <c r="B1361" t="s">
        <v>57</v>
      </c>
      <c r="C1361">
        <v>10</v>
      </c>
      <c r="D1361">
        <v>94</v>
      </c>
      <c r="E1361" t="s">
        <v>23</v>
      </c>
      <c r="F1361" t="s">
        <v>120</v>
      </c>
      <c r="G1361">
        <f t="shared" si="21"/>
        <v>0</v>
      </c>
      <c r="H1361">
        <v>2</v>
      </c>
      <c r="I1361">
        <v>11</v>
      </c>
      <c r="J1361">
        <v>0</v>
      </c>
      <c r="K1361" s="6" t="s">
        <v>64</v>
      </c>
      <c r="L1361" s="6" t="s">
        <v>80</v>
      </c>
      <c r="M1361">
        <v>147</v>
      </c>
      <c r="N1361" s="1">
        <v>0.495</v>
      </c>
      <c r="O1361">
        <v>42</v>
      </c>
      <c r="P1361" s="1">
        <v>0.372</v>
      </c>
      <c r="Q1361" s="1">
        <v>0.79500000000000004</v>
      </c>
      <c r="R1361">
        <v>394</v>
      </c>
      <c r="S1361">
        <v>33</v>
      </c>
      <c r="T1361">
        <v>125</v>
      </c>
      <c r="U1361">
        <v>78</v>
      </c>
      <c r="V1361">
        <v>25</v>
      </c>
      <c r="W1361">
        <v>12</v>
      </c>
      <c r="X1361">
        <v>32</v>
      </c>
      <c r="Y1361" s="5">
        <v>2.44</v>
      </c>
    </row>
    <row r="1362" spans="1:25" x14ac:dyDescent="0.25">
      <c r="A1362">
        <v>2021</v>
      </c>
      <c r="B1362" t="s">
        <v>57</v>
      </c>
      <c r="C1362">
        <v>10</v>
      </c>
      <c r="D1362">
        <v>95</v>
      </c>
      <c r="E1362" t="s">
        <v>99</v>
      </c>
      <c r="F1362" t="s">
        <v>45</v>
      </c>
      <c r="G1362">
        <f t="shared" si="21"/>
        <v>1</v>
      </c>
      <c r="H1362">
        <v>8</v>
      </c>
      <c r="I1362">
        <v>5</v>
      </c>
      <c r="J1362">
        <v>0</v>
      </c>
      <c r="K1362" s="6" t="s">
        <v>109</v>
      </c>
      <c r="L1362" s="6" t="s">
        <v>110</v>
      </c>
      <c r="M1362">
        <v>186</v>
      </c>
      <c r="N1362" s="1">
        <v>0.495</v>
      </c>
      <c r="O1362">
        <v>44</v>
      </c>
      <c r="P1362" s="1">
        <v>0.33300000000000002</v>
      </c>
      <c r="Q1362" s="1">
        <v>0.77300000000000002</v>
      </c>
      <c r="R1362">
        <v>518</v>
      </c>
      <c r="S1362">
        <v>42</v>
      </c>
      <c r="T1362">
        <v>131</v>
      </c>
      <c r="U1362">
        <v>99</v>
      </c>
      <c r="V1362">
        <v>32</v>
      </c>
      <c r="W1362">
        <v>25</v>
      </c>
      <c r="X1362">
        <v>64</v>
      </c>
      <c r="Y1362" s="5">
        <v>1.55</v>
      </c>
    </row>
    <row r="1363" spans="1:25" x14ac:dyDescent="0.25">
      <c r="A1363">
        <v>2021</v>
      </c>
      <c r="B1363" t="s">
        <v>57</v>
      </c>
      <c r="C1363">
        <v>10</v>
      </c>
      <c r="D1363">
        <v>95</v>
      </c>
      <c r="E1363" t="s">
        <v>96</v>
      </c>
      <c r="F1363" t="s">
        <v>102</v>
      </c>
      <c r="G1363">
        <f t="shared" si="21"/>
        <v>0</v>
      </c>
      <c r="H1363">
        <v>5</v>
      </c>
      <c r="I1363">
        <v>8</v>
      </c>
      <c r="J1363">
        <v>0</v>
      </c>
      <c r="K1363" s="6" t="s">
        <v>114</v>
      </c>
      <c r="L1363" s="6" t="s">
        <v>90</v>
      </c>
      <c r="M1363">
        <v>128</v>
      </c>
      <c r="N1363" s="1">
        <v>0.44900000000000001</v>
      </c>
      <c r="O1363">
        <v>43</v>
      </c>
      <c r="P1363" s="1">
        <v>0.374</v>
      </c>
      <c r="Q1363" s="1">
        <v>0.78700000000000003</v>
      </c>
      <c r="R1363">
        <v>347</v>
      </c>
      <c r="S1363">
        <v>46</v>
      </c>
      <c r="T1363">
        <v>153</v>
      </c>
      <c r="U1363">
        <v>70</v>
      </c>
      <c r="V1363">
        <v>19</v>
      </c>
      <c r="W1363">
        <v>21</v>
      </c>
      <c r="X1363">
        <v>56</v>
      </c>
      <c r="Y1363" s="5">
        <v>1.25</v>
      </c>
    </row>
    <row r="1364" spans="1:25" x14ac:dyDescent="0.25">
      <c r="A1364">
        <v>2021</v>
      </c>
      <c r="B1364" t="s">
        <v>57</v>
      </c>
      <c r="C1364">
        <v>10</v>
      </c>
      <c r="D1364">
        <v>96</v>
      </c>
      <c r="E1364" t="s">
        <v>181</v>
      </c>
      <c r="F1364" t="s">
        <v>49</v>
      </c>
      <c r="G1364">
        <f t="shared" si="21"/>
        <v>1</v>
      </c>
      <c r="H1364">
        <v>8</v>
      </c>
      <c r="I1364">
        <v>4</v>
      </c>
      <c r="J1364">
        <v>1</v>
      </c>
      <c r="K1364" s="6" t="s">
        <v>68</v>
      </c>
      <c r="L1364" s="6" t="s">
        <v>84</v>
      </c>
      <c r="M1364">
        <v>125</v>
      </c>
      <c r="N1364" s="1">
        <v>0.443</v>
      </c>
      <c r="O1364">
        <v>40</v>
      </c>
      <c r="P1364" s="1">
        <v>0.35699999999999998</v>
      </c>
      <c r="Q1364" s="1">
        <v>0.85499999999999998</v>
      </c>
      <c r="R1364">
        <v>349</v>
      </c>
      <c r="S1364">
        <v>45</v>
      </c>
      <c r="T1364">
        <v>129</v>
      </c>
      <c r="U1364">
        <v>62</v>
      </c>
      <c r="V1364">
        <v>29</v>
      </c>
      <c r="W1364">
        <v>6</v>
      </c>
      <c r="X1364">
        <v>39</v>
      </c>
      <c r="Y1364" s="5">
        <v>1.59</v>
      </c>
    </row>
    <row r="1365" spans="1:25" x14ac:dyDescent="0.25">
      <c r="A1365">
        <v>2021</v>
      </c>
      <c r="B1365" t="s">
        <v>57</v>
      </c>
      <c r="C1365">
        <v>10</v>
      </c>
      <c r="D1365">
        <v>96</v>
      </c>
      <c r="E1365" t="s">
        <v>25</v>
      </c>
      <c r="F1365" t="s">
        <v>53</v>
      </c>
      <c r="G1365">
        <f t="shared" si="21"/>
        <v>0</v>
      </c>
      <c r="H1365">
        <v>4</v>
      </c>
      <c r="I1365">
        <v>8</v>
      </c>
      <c r="J1365">
        <v>1</v>
      </c>
      <c r="K1365" s="6" t="s">
        <v>182</v>
      </c>
      <c r="L1365" s="6" t="s">
        <v>76</v>
      </c>
      <c r="M1365">
        <v>110</v>
      </c>
      <c r="N1365" s="1">
        <v>0.45500000000000002</v>
      </c>
      <c r="O1365">
        <v>35</v>
      </c>
      <c r="P1365" s="1">
        <v>0.35699999999999998</v>
      </c>
      <c r="Q1365" s="1">
        <v>0.73499999999999999</v>
      </c>
      <c r="R1365">
        <v>291</v>
      </c>
      <c r="S1365">
        <v>24</v>
      </c>
      <c r="T1365">
        <v>115</v>
      </c>
      <c r="U1365">
        <v>60</v>
      </c>
      <c r="V1365">
        <v>17</v>
      </c>
      <c r="W1365">
        <v>16</v>
      </c>
      <c r="X1365">
        <v>35</v>
      </c>
      <c r="Y1365" s="5">
        <v>1.71</v>
      </c>
    </row>
    <row r="1366" spans="1:25" x14ac:dyDescent="0.25">
      <c r="A1366">
        <v>2021</v>
      </c>
      <c r="B1366" t="s">
        <v>57</v>
      </c>
      <c r="C1366">
        <v>10</v>
      </c>
      <c r="D1366">
        <v>97</v>
      </c>
      <c r="E1366" t="s">
        <v>16</v>
      </c>
      <c r="F1366" t="s">
        <v>51</v>
      </c>
      <c r="G1366">
        <f t="shared" si="21"/>
        <v>1</v>
      </c>
      <c r="H1366">
        <v>10</v>
      </c>
      <c r="I1366">
        <v>3</v>
      </c>
      <c r="J1366">
        <v>0</v>
      </c>
      <c r="K1366" s="6" t="s">
        <v>112</v>
      </c>
      <c r="L1366" s="6" t="s">
        <v>88</v>
      </c>
      <c r="M1366">
        <v>185</v>
      </c>
      <c r="N1366" s="1">
        <v>0.45500000000000002</v>
      </c>
      <c r="O1366">
        <v>58</v>
      </c>
      <c r="P1366" s="1">
        <v>0.36</v>
      </c>
      <c r="Q1366" s="1">
        <v>0.76800000000000002</v>
      </c>
      <c r="R1366">
        <v>504</v>
      </c>
      <c r="S1366">
        <v>37</v>
      </c>
      <c r="T1366">
        <v>164</v>
      </c>
      <c r="U1366">
        <v>147</v>
      </c>
      <c r="V1366">
        <v>37</v>
      </c>
      <c r="W1366">
        <v>37</v>
      </c>
      <c r="X1366">
        <v>77</v>
      </c>
      <c r="Y1366" s="5">
        <v>1.91</v>
      </c>
    </row>
    <row r="1367" spans="1:25" x14ac:dyDescent="0.25">
      <c r="A1367">
        <v>2021</v>
      </c>
      <c r="B1367" t="s">
        <v>57</v>
      </c>
      <c r="C1367">
        <v>10</v>
      </c>
      <c r="D1367">
        <v>97</v>
      </c>
      <c r="E1367" t="s">
        <v>98</v>
      </c>
      <c r="F1367" t="s">
        <v>41</v>
      </c>
      <c r="G1367">
        <f t="shared" si="21"/>
        <v>0</v>
      </c>
      <c r="H1367">
        <v>3</v>
      </c>
      <c r="I1367">
        <v>10</v>
      </c>
      <c r="J1367">
        <v>0</v>
      </c>
      <c r="K1367" s="6" t="s">
        <v>60</v>
      </c>
      <c r="L1367" s="6" t="s">
        <v>75</v>
      </c>
      <c r="M1367">
        <v>127</v>
      </c>
      <c r="N1367" s="1">
        <v>0.46</v>
      </c>
      <c r="O1367">
        <v>41</v>
      </c>
      <c r="P1367" s="1">
        <v>0.34499999999999997</v>
      </c>
      <c r="Q1367" s="1">
        <v>0.87</v>
      </c>
      <c r="R1367">
        <v>335</v>
      </c>
      <c r="S1367">
        <v>22</v>
      </c>
      <c r="T1367">
        <v>76</v>
      </c>
      <c r="U1367">
        <v>47</v>
      </c>
      <c r="V1367">
        <v>24</v>
      </c>
      <c r="W1367">
        <v>15</v>
      </c>
      <c r="X1367">
        <v>28</v>
      </c>
      <c r="Y1367" s="5">
        <v>1.68</v>
      </c>
    </row>
    <row r="1368" spans="1:25" x14ac:dyDescent="0.25">
      <c r="A1368">
        <v>2021</v>
      </c>
      <c r="B1368" t="s">
        <v>57</v>
      </c>
      <c r="C1368">
        <v>10</v>
      </c>
      <c r="D1368">
        <v>98</v>
      </c>
      <c r="E1368" t="s">
        <v>94</v>
      </c>
      <c r="F1368" t="s">
        <v>40</v>
      </c>
      <c r="G1368">
        <f t="shared" si="21"/>
        <v>0</v>
      </c>
      <c r="H1368">
        <v>4</v>
      </c>
      <c r="I1368">
        <v>9</v>
      </c>
      <c r="J1368">
        <v>0</v>
      </c>
      <c r="K1368" s="6" t="s">
        <v>104</v>
      </c>
      <c r="L1368" s="6" t="s">
        <v>105</v>
      </c>
      <c r="M1368">
        <v>170</v>
      </c>
      <c r="N1368" s="1">
        <v>0.47099999999999997</v>
      </c>
      <c r="O1368">
        <v>34</v>
      </c>
      <c r="P1368" s="1">
        <v>0.318</v>
      </c>
      <c r="Q1368" s="1">
        <v>0.73899999999999999</v>
      </c>
      <c r="R1368">
        <v>425</v>
      </c>
      <c r="S1368">
        <v>43</v>
      </c>
      <c r="T1368">
        <v>122</v>
      </c>
      <c r="U1368">
        <v>127</v>
      </c>
      <c r="V1368">
        <v>30</v>
      </c>
      <c r="W1368">
        <v>20</v>
      </c>
      <c r="X1368">
        <v>54</v>
      </c>
      <c r="Y1368" s="5">
        <v>2.35</v>
      </c>
    </row>
    <row r="1369" spans="1:25" x14ac:dyDescent="0.25">
      <c r="A1369">
        <v>2021</v>
      </c>
      <c r="B1369" t="s">
        <v>57</v>
      </c>
      <c r="C1369">
        <v>10</v>
      </c>
      <c r="D1369">
        <v>98</v>
      </c>
      <c r="E1369" t="s">
        <v>93</v>
      </c>
      <c r="F1369" t="s">
        <v>189</v>
      </c>
      <c r="G1369">
        <f t="shared" si="21"/>
        <v>1</v>
      </c>
      <c r="H1369">
        <v>9</v>
      </c>
      <c r="I1369">
        <v>4</v>
      </c>
      <c r="J1369">
        <v>0</v>
      </c>
      <c r="K1369" s="6" t="s">
        <v>106</v>
      </c>
      <c r="L1369" s="6" t="s">
        <v>83</v>
      </c>
      <c r="M1369">
        <v>180</v>
      </c>
      <c r="N1369" s="1">
        <v>0.51700000000000002</v>
      </c>
      <c r="O1369">
        <v>62</v>
      </c>
      <c r="P1369" s="1">
        <v>0.40300000000000002</v>
      </c>
      <c r="Q1369" s="1">
        <v>0.89400000000000002</v>
      </c>
      <c r="R1369">
        <v>506</v>
      </c>
      <c r="S1369">
        <v>32</v>
      </c>
      <c r="T1369">
        <v>135</v>
      </c>
      <c r="U1369">
        <v>91</v>
      </c>
      <c r="V1369">
        <v>22</v>
      </c>
      <c r="W1369">
        <v>21</v>
      </c>
      <c r="X1369">
        <v>43</v>
      </c>
      <c r="Y1369" s="5">
        <v>2.12</v>
      </c>
    </row>
    <row r="1370" spans="1:25" x14ac:dyDescent="0.25">
      <c r="A1370">
        <v>2021</v>
      </c>
      <c r="B1370" t="s">
        <v>57</v>
      </c>
      <c r="C1370">
        <v>10</v>
      </c>
      <c r="D1370">
        <v>99</v>
      </c>
      <c r="E1370" t="s">
        <v>190</v>
      </c>
      <c r="F1370" t="s">
        <v>103</v>
      </c>
      <c r="G1370">
        <f t="shared" si="21"/>
        <v>0</v>
      </c>
      <c r="H1370">
        <v>4</v>
      </c>
      <c r="I1370">
        <v>6</v>
      </c>
      <c r="J1370">
        <v>3</v>
      </c>
      <c r="K1370" s="6" t="s">
        <v>72</v>
      </c>
      <c r="L1370" s="6" t="s">
        <v>85</v>
      </c>
      <c r="M1370">
        <v>199</v>
      </c>
      <c r="N1370" s="1">
        <v>0.50800000000000001</v>
      </c>
      <c r="O1370">
        <v>58</v>
      </c>
      <c r="P1370" s="1">
        <v>0.41399999999999998</v>
      </c>
      <c r="Q1370" s="1">
        <v>0.74199999999999999</v>
      </c>
      <c r="R1370">
        <v>548</v>
      </c>
      <c r="S1370">
        <v>38</v>
      </c>
      <c r="T1370">
        <v>140</v>
      </c>
      <c r="U1370">
        <v>103</v>
      </c>
      <c r="V1370">
        <v>27</v>
      </c>
      <c r="W1370">
        <v>18</v>
      </c>
      <c r="X1370">
        <v>66</v>
      </c>
      <c r="Y1370" s="5">
        <v>1.56</v>
      </c>
    </row>
    <row r="1371" spans="1:25" x14ac:dyDescent="0.25">
      <c r="A1371">
        <v>2021</v>
      </c>
      <c r="B1371" t="s">
        <v>57</v>
      </c>
      <c r="C1371">
        <v>10</v>
      </c>
      <c r="D1371">
        <v>99</v>
      </c>
      <c r="E1371" t="s">
        <v>33</v>
      </c>
      <c r="F1371" t="s">
        <v>42</v>
      </c>
      <c r="G1371">
        <f t="shared" si="21"/>
        <v>1</v>
      </c>
      <c r="H1371">
        <v>6</v>
      </c>
      <c r="I1371">
        <v>4</v>
      </c>
      <c r="J1371">
        <v>3</v>
      </c>
      <c r="K1371" s="6" t="s">
        <v>191</v>
      </c>
      <c r="L1371" s="6" t="s">
        <v>113</v>
      </c>
      <c r="M1371">
        <v>204</v>
      </c>
      <c r="N1371" s="1">
        <v>0.45900000000000002</v>
      </c>
      <c r="O1371">
        <v>58</v>
      </c>
      <c r="P1371" s="1">
        <v>0.33100000000000002</v>
      </c>
      <c r="Q1371" s="1">
        <v>0.77</v>
      </c>
      <c r="R1371">
        <v>563</v>
      </c>
      <c r="S1371">
        <v>38</v>
      </c>
      <c r="T1371">
        <v>140</v>
      </c>
      <c r="U1371">
        <v>125</v>
      </c>
      <c r="V1371">
        <v>19</v>
      </c>
      <c r="W1371">
        <v>17</v>
      </c>
      <c r="X1371">
        <v>65</v>
      </c>
      <c r="Y1371" s="5">
        <v>1.92</v>
      </c>
    </row>
    <row r="1372" spans="1:25" x14ac:dyDescent="0.25">
      <c r="A1372">
        <v>2021</v>
      </c>
      <c r="B1372" t="s">
        <v>57</v>
      </c>
      <c r="C1372">
        <v>10</v>
      </c>
      <c r="D1372">
        <v>100</v>
      </c>
      <c r="E1372" t="s">
        <v>26</v>
      </c>
      <c r="F1372" t="s">
        <v>118</v>
      </c>
      <c r="G1372">
        <f t="shared" si="21"/>
        <v>1</v>
      </c>
      <c r="H1372">
        <v>10</v>
      </c>
      <c r="I1372">
        <v>3</v>
      </c>
      <c r="J1372">
        <v>0</v>
      </c>
      <c r="K1372" s="6" t="s">
        <v>107</v>
      </c>
      <c r="L1372" s="6" t="s">
        <v>108</v>
      </c>
      <c r="M1372">
        <v>184</v>
      </c>
      <c r="N1372" s="1">
        <v>0.48799999999999999</v>
      </c>
      <c r="O1372">
        <v>48</v>
      </c>
      <c r="P1372" s="1">
        <v>0.316</v>
      </c>
      <c r="Q1372" s="1">
        <v>0.71699999999999997</v>
      </c>
      <c r="R1372">
        <v>482</v>
      </c>
      <c r="S1372">
        <v>36</v>
      </c>
      <c r="T1372">
        <v>203</v>
      </c>
      <c r="U1372">
        <v>160</v>
      </c>
      <c r="V1372">
        <v>40</v>
      </c>
      <c r="W1372">
        <v>33</v>
      </c>
      <c r="X1372">
        <v>72</v>
      </c>
      <c r="Y1372" s="5">
        <v>2.2200000000000002</v>
      </c>
    </row>
    <row r="1373" spans="1:25" x14ac:dyDescent="0.25">
      <c r="A1373">
        <v>2021</v>
      </c>
      <c r="B1373" t="s">
        <v>57</v>
      </c>
      <c r="C1373">
        <v>10</v>
      </c>
      <c r="D1373">
        <v>100</v>
      </c>
      <c r="E1373" t="s">
        <v>95</v>
      </c>
      <c r="F1373" t="s">
        <v>101</v>
      </c>
      <c r="G1373">
        <f t="shared" si="21"/>
        <v>0</v>
      </c>
      <c r="H1373">
        <v>3</v>
      </c>
      <c r="I1373">
        <v>10</v>
      </c>
      <c r="J1373">
        <v>0</v>
      </c>
      <c r="K1373" s="6" t="s">
        <v>65</v>
      </c>
      <c r="L1373" s="6" t="s">
        <v>119</v>
      </c>
      <c r="M1373">
        <v>149</v>
      </c>
      <c r="N1373" s="1">
        <v>0.432</v>
      </c>
      <c r="O1373">
        <v>37</v>
      </c>
      <c r="P1373" s="1">
        <v>0.308</v>
      </c>
      <c r="Q1373" s="1">
        <v>0.76200000000000001</v>
      </c>
      <c r="R1373">
        <v>415</v>
      </c>
      <c r="S1373">
        <v>47</v>
      </c>
      <c r="T1373">
        <v>125</v>
      </c>
      <c r="U1373">
        <v>86</v>
      </c>
      <c r="V1373">
        <v>35</v>
      </c>
      <c r="W1373">
        <v>22</v>
      </c>
      <c r="X1373">
        <v>55</v>
      </c>
      <c r="Y1373" s="5">
        <v>1.56</v>
      </c>
    </row>
    <row r="1374" spans="1:25" x14ac:dyDescent="0.25">
      <c r="A1374">
        <v>2021</v>
      </c>
      <c r="B1374" t="s">
        <v>57</v>
      </c>
      <c r="C1374">
        <v>11</v>
      </c>
      <c r="D1374">
        <v>101</v>
      </c>
      <c r="E1374" t="s">
        <v>17</v>
      </c>
      <c r="F1374" t="s">
        <v>43</v>
      </c>
      <c r="G1374">
        <f t="shared" si="21"/>
        <v>0</v>
      </c>
      <c r="H1374">
        <v>6</v>
      </c>
      <c r="I1374">
        <v>6</v>
      </c>
      <c r="J1374">
        <v>1</v>
      </c>
      <c r="K1374" s="6" t="s">
        <v>70</v>
      </c>
      <c r="L1374" s="6" t="s">
        <v>87</v>
      </c>
      <c r="M1374">
        <v>179</v>
      </c>
      <c r="N1374" s="1">
        <v>0.5</v>
      </c>
      <c r="O1374">
        <v>48</v>
      </c>
      <c r="P1374" s="1">
        <v>0.375</v>
      </c>
      <c r="Q1374" s="1">
        <v>0.73299999999999998</v>
      </c>
      <c r="R1374">
        <v>472</v>
      </c>
      <c r="S1374">
        <v>44</v>
      </c>
      <c r="T1374">
        <v>165</v>
      </c>
      <c r="U1374">
        <v>119</v>
      </c>
      <c r="V1374">
        <v>39</v>
      </c>
      <c r="W1374">
        <v>28</v>
      </c>
      <c r="X1374">
        <v>73</v>
      </c>
      <c r="Y1374" s="5">
        <v>1.63</v>
      </c>
    </row>
    <row r="1375" spans="1:25" x14ac:dyDescent="0.25">
      <c r="A1375">
        <v>2021</v>
      </c>
      <c r="B1375" t="s">
        <v>57</v>
      </c>
      <c r="C1375">
        <v>11</v>
      </c>
      <c r="D1375">
        <v>101</v>
      </c>
      <c r="E1375" t="s">
        <v>21</v>
      </c>
      <c r="F1375" t="s">
        <v>50</v>
      </c>
      <c r="G1375">
        <f t="shared" si="21"/>
        <v>0</v>
      </c>
      <c r="H1375">
        <v>6</v>
      </c>
      <c r="I1375">
        <v>6</v>
      </c>
      <c r="J1375">
        <v>1</v>
      </c>
      <c r="K1375" s="6" t="s">
        <v>63</v>
      </c>
      <c r="L1375" s="6" t="s">
        <v>79</v>
      </c>
      <c r="M1375">
        <v>207</v>
      </c>
      <c r="N1375" s="1">
        <v>0.46899999999999997</v>
      </c>
      <c r="O1375">
        <v>67</v>
      </c>
      <c r="P1375" s="1">
        <v>0.36599999999999999</v>
      </c>
      <c r="Q1375" s="1">
        <v>0.77500000000000002</v>
      </c>
      <c r="R1375">
        <v>543</v>
      </c>
      <c r="S1375">
        <v>38</v>
      </c>
      <c r="T1375">
        <v>165</v>
      </c>
      <c r="U1375">
        <v>114</v>
      </c>
      <c r="V1375">
        <v>32</v>
      </c>
      <c r="W1375">
        <v>8</v>
      </c>
      <c r="X1375">
        <v>66</v>
      </c>
      <c r="Y1375" s="5">
        <v>1.73</v>
      </c>
    </row>
    <row r="1376" spans="1:25" x14ac:dyDescent="0.25">
      <c r="A1376">
        <v>2021</v>
      </c>
      <c r="B1376" t="s">
        <v>57</v>
      </c>
      <c r="C1376">
        <v>11</v>
      </c>
      <c r="D1376">
        <v>102</v>
      </c>
      <c r="E1376" t="s">
        <v>15</v>
      </c>
      <c r="F1376" t="s">
        <v>48</v>
      </c>
      <c r="G1376">
        <f t="shared" si="21"/>
        <v>1</v>
      </c>
      <c r="H1376">
        <v>8</v>
      </c>
      <c r="I1376">
        <v>5</v>
      </c>
      <c r="J1376">
        <v>0</v>
      </c>
      <c r="K1376" s="6" t="s">
        <v>193</v>
      </c>
      <c r="L1376" s="6" t="s">
        <v>117</v>
      </c>
      <c r="M1376">
        <v>322</v>
      </c>
      <c r="N1376" s="1">
        <v>0.47399999999999998</v>
      </c>
      <c r="O1376">
        <v>81</v>
      </c>
      <c r="P1376" s="1">
        <v>0.373</v>
      </c>
      <c r="Q1376" s="1">
        <v>0.84</v>
      </c>
      <c r="R1376">
        <v>882</v>
      </c>
      <c r="S1376">
        <v>59</v>
      </c>
      <c r="T1376">
        <v>168</v>
      </c>
      <c r="U1376">
        <v>189</v>
      </c>
      <c r="V1376">
        <v>57</v>
      </c>
      <c r="W1376">
        <v>26</v>
      </c>
      <c r="X1376">
        <v>93</v>
      </c>
      <c r="Y1376" s="5">
        <v>2.0299999999999998</v>
      </c>
    </row>
    <row r="1377" spans="1:25" x14ac:dyDescent="0.25">
      <c r="A1377">
        <v>2021</v>
      </c>
      <c r="B1377" t="s">
        <v>57</v>
      </c>
      <c r="C1377">
        <v>11</v>
      </c>
      <c r="D1377">
        <v>102</v>
      </c>
      <c r="E1377" t="s">
        <v>159</v>
      </c>
      <c r="F1377" t="s">
        <v>116</v>
      </c>
      <c r="G1377">
        <f t="shared" si="21"/>
        <v>0</v>
      </c>
      <c r="H1377">
        <v>5</v>
      </c>
      <c r="I1377">
        <v>8</v>
      </c>
      <c r="J1377">
        <v>0</v>
      </c>
      <c r="K1377" s="6" t="s">
        <v>61</v>
      </c>
      <c r="L1377" s="6" t="s">
        <v>77</v>
      </c>
      <c r="M1377">
        <v>250</v>
      </c>
      <c r="N1377" s="1">
        <v>0.47699999999999998</v>
      </c>
      <c r="O1377">
        <v>79</v>
      </c>
      <c r="P1377" s="1">
        <v>0.39300000000000002</v>
      </c>
      <c r="Q1377" s="1">
        <v>0.78400000000000003</v>
      </c>
      <c r="R1377">
        <v>659</v>
      </c>
      <c r="S1377">
        <v>44</v>
      </c>
      <c r="T1377">
        <v>200</v>
      </c>
      <c r="U1377">
        <v>143</v>
      </c>
      <c r="V1377">
        <v>33</v>
      </c>
      <c r="W1377">
        <v>21</v>
      </c>
      <c r="X1377">
        <v>63</v>
      </c>
      <c r="Y1377" s="5">
        <v>2.27</v>
      </c>
    </row>
    <row r="1378" spans="1:25" x14ac:dyDescent="0.25">
      <c r="A1378">
        <v>2021</v>
      </c>
      <c r="B1378" t="s">
        <v>57</v>
      </c>
      <c r="C1378">
        <v>11</v>
      </c>
      <c r="D1378">
        <v>103</v>
      </c>
      <c r="E1378" t="s">
        <v>18</v>
      </c>
      <c r="F1378" t="s">
        <v>52</v>
      </c>
      <c r="G1378">
        <f t="shared" si="21"/>
        <v>1</v>
      </c>
      <c r="H1378">
        <v>7</v>
      </c>
      <c r="I1378">
        <v>6</v>
      </c>
      <c r="J1378">
        <v>0</v>
      </c>
      <c r="K1378" s="6" t="s">
        <v>71</v>
      </c>
      <c r="L1378" s="6" t="s">
        <v>121</v>
      </c>
      <c r="M1378">
        <v>129</v>
      </c>
      <c r="N1378" s="1">
        <v>0.45400000000000001</v>
      </c>
      <c r="O1378">
        <v>35</v>
      </c>
      <c r="P1378" s="1">
        <v>0.315</v>
      </c>
      <c r="Q1378" s="1">
        <v>0.83099999999999996</v>
      </c>
      <c r="R1378">
        <v>342</v>
      </c>
      <c r="S1378">
        <v>21</v>
      </c>
      <c r="T1378">
        <v>125</v>
      </c>
      <c r="U1378">
        <v>75</v>
      </c>
      <c r="V1378">
        <v>26</v>
      </c>
      <c r="W1378">
        <v>15</v>
      </c>
      <c r="X1378">
        <v>37</v>
      </c>
      <c r="Y1378" s="5">
        <v>2.0299999999999998</v>
      </c>
    </row>
    <row r="1379" spans="1:25" x14ac:dyDescent="0.25">
      <c r="A1379">
        <v>2021</v>
      </c>
      <c r="B1379" t="s">
        <v>57</v>
      </c>
      <c r="C1379">
        <v>11</v>
      </c>
      <c r="D1379">
        <v>103</v>
      </c>
      <c r="E1379" t="s">
        <v>23</v>
      </c>
      <c r="F1379" t="s">
        <v>120</v>
      </c>
      <c r="G1379">
        <f t="shared" si="21"/>
        <v>0</v>
      </c>
      <c r="H1379">
        <v>6</v>
      </c>
      <c r="I1379">
        <v>7</v>
      </c>
      <c r="J1379">
        <v>0</v>
      </c>
      <c r="K1379" s="6" t="s">
        <v>59</v>
      </c>
      <c r="L1379" s="6" t="s">
        <v>74</v>
      </c>
      <c r="M1379">
        <v>158</v>
      </c>
      <c r="N1379" s="1">
        <v>0.432</v>
      </c>
      <c r="O1379">
        <v>32</v>
      </c>
      <c r="P1379" s="1">
        <v>0.246</v>
      </c>
      <c r="Q1379" s="1">
        <v>0.78400000000000003</v>
      </c>
      <c r="R1379">
        <v>424</v>
      </c>
      <c r="S1379">
        <v>42</v>
      </c>
      <c r="T1379">
        <v>182</v>
      </c>
      <c r="U1379">
        <v>109</v>
      </c>
      <c r="V1379">
        <v>25</v>
      </c>
      <c r="W1379">
        <v>18</v>
      </c>
      <c r="X1379">
        <v>75</v>
      </c>
      <c r="Y1379" s="5">
        <v>1.45</v>
      </c>
    </row>
    <row r="1380" spans="1:25" x14ac:dyDescent="0.25">
      <c r="A1380">
        <v>2021</v>
      </c>
      <c r="B1380" t="s">
        <v>57</v>
      </c>
      <c r="C1380">
        <v>11</v>
      </c>
      <c r="D1380">
        <v>104</v>
      </c>
      <c r="E1380" t="s">
        <v>96</v>
      </c>
      <c r="F1380" t="s">
        <v>102</v>
      </c>
      <c r="G1380">
        <f t="shared" si="21"/>
        <v>0</v>
      </c>
      <c r="H1380">
        <v>5</v>
      </c>
      <c r="I1380">
        <v>8</v>
      </c>
      <c r="J1380">
        <v>0</v>
      </c>
      <c r="K1380" s="6" t="s">
        <v>111</v>
      </c>
      <c r="L1380" s="6" t="s">
        <v>89</v>
      </c>
      <c r="M1380">
        <v>213</v>
      </c>
      <c r="N1380" s="1">
        <v>0.48899999999999999</v>
      </c>
      <c r="O1380">
        <v>49</v>
      </c>
      <c r="P1380" s="1">
        <v>0.34499999999999997</v>
      </c>
      <c r="Q1380" s="1">
        <v>0.75</v>
      </c>
      <c r="R1380">
        <v>571</v>
      </c>
      <c r="S1380">
        <v>71</v>
      </c>
      <c r="T1380">
        <v>218</v>
      </c>
      <c r="U1380">
        <v>128</v>
      </c>
      <c r="V1380">
        <v>38</v>
      </c>
      <c r="W1380">
        <v>40</v>
      </c>
      <c r="X1380">
        <v>70</v>
      </c>
      <c r="Y1380" s="5">
        <v>1.83</v>
      </c>
    </row>
    <row r="1381" spans="1:25" x14ac:dyDescent="0.25">
      <c r="A1381">
        <v>2021</v>
      </c>
      <c r="B1381" t="s">
        <v>57</v>
      </c>
      <c r="C1381">
        <v>11</v>
      </c>
      <c r="D1381">
        <v>104</v>
      </c>
      <c r="E1381" t="s">
        <v>97</v>
      </c>
      <c r="F1381" t="s">
        <v>54</v>
      </c>
      <c r="G1381">
        <f t="shared" si="21"/>
        <v>1</v>
      </c>
      <c r="H1381">
        <v>8</v>
      </c>
      <c r="I1381">
        <v>5</v>
      </c>
      <c r="J1381">
        <v>0</v>
      </c>
      <c r="K1381" s="6" t="s">
        <v>109</v>
      </c>
      <c r="L1381" s="6" t="s">
        <v>110</v>
      </c>
      <c r="M1381">
        <v>279</v>
      </c>
      <c r="N1381" s="1">
        <v>0.48899999999999999</v>
      </c>
      <c r="O1381">
        <v>55</v>
      </c>
      <c r="P1381" s="1">
        <v>0.35499999999999998</v>
      </c>
      <c r="Q1381" s="1">
        <v>0.81399999999999995</v>
      </c>
      <c r="R1381">
        <v>788</v>
      </c>
      <c r="S1381">
        <v>30</v>
      </c>
      <c r="T1381">
        <v>201</v>
      </c>
      <c r="U1381">
        <v>202</v>
      </c>
      <c r="V1381">
        <v>30</v>
      </c>
      <c r="W1381">
        <v>19</v>
      </c>
      <c r="X1381">
        <v>106</v>
      </c>
      <c r="Y1381" s="5">
        <v>1.91</v>
      </c>
    </row>
    <row r="1382" spans="1:25" x14ac:dyDescent="0.25">
      <c r="A1382">
        <v>2021</v>
      </c>
      <c r="B1382" t="s">
        <v>57</v>
      </c>
      <c r="C1382">
        <v>11</v>
      </c>
      <c r="D1382">
        <v>105</v>
      </c>
      <c r="E1382" t="s">
        <v>28</v>
      </c>
      <c r="F1382" t="s">
        <v>46</v>
      </c>
      <c r="G1382">
        <f t="shared" si="21"/>
        <v>1</v>
      </c>
      <c r="H1382">
        <v>10</v>
      </c>
      <c r="I1382">
        <v>3</v>
      </c>
      <c r="J1382">
        <v>0</v>
      </c>
      <c r="K1382" s="6" t="s">
        <v>114</v>
      </c>
      <c r="L1382" s="6" t="s">
        <v>90</v>
      </c>
      <c r="M1382">
        <v>323</v>
      </c>
      <c r="N1382" s="1">
        <v>0.498</v>
      </c>
      <c r="O1382">
        <v>68</v>
      </c>
      <c r="P1382" s="1">
        <v>0.34200000000000003</v>
      </c>
      <c r="Q1382" s="1">
        <v>0.69899999999999995</v>
      </c>
      <c r="R1382">
        <v>814</v>
      </c>
      <c r="S1382">
        <v>75</v>
      </c>
      <c r="T1382">
        <v>245</v>
      </c>
      <c r="U1382">
        <v>209</v>
      </c>
      <c r="V1382">
        <v>45</v>
      </c>
      <c r="W1382">
        <v>29</v>
      </c>
      <c r="X1382">
        <v>99</v>
      </c>
      <c r="Y1382" s="5">
        <v>2.11</v>
      </c>
    </row>
    <row r="1383" spans="1:25" x14ac:dyDescent="0.25">
      <c r="A1383">
        <v>2021</v>
      </c>
      <c r="B1383" t="s">
        <v>57</v>
      </c>
      <c r="C1383">
        <v>11</v>
      </c>
      <c r="D1383">
        <v>105</v>
      </c>
      <c r="E1383" t="s">
        <v>99</v>
      </c>
      <c r="F1383" t="s">
        <v>45</v>
      </c>
      <c r="G1383">
        <f t="shared" si="21"/>
        <v>0</v>
      </c>
      <c r="H1383">
        <v>3</v>
      </c>
      <c r="I1383">
        <v>10</v>
      </c>
      <c r="J1383">
        <v>0</v>
      </c>
      <c r="K1383" s="6" t="s">
        <v>64</v>
      </c>
      <c r="L1383" s="6" t="s">
        <v>80</v>
      </c>
      <c r="M1383">
        <v>212</v>
      </c>
      <c r="N1383" s="1">
        <v>0.49299999999999999</v>
      </c>
      <c r="O1383">
        <v>61</v>
      </c>
      <c r="P1383" s="1">
        <v>0.372</v>
      </c>
      <c r="Q1383" s="1">
        <v>0.78400000000000003</v>
      </c>
      <c r="R1383">
        <v>572</v>
      </c>
      <c r="S1383">
        <v>44</v>
      </c>
      <c r="T1383">
        <v>131</v>
      </c>
      <c r="U1383">
        <v>108</v>
      </c>
      <c r="V1383">
        <v>42</v>
      </c>
      <c r="W1383">
        <v>15</v>
      </c>
      <c r="X1383">
        <v>52</v>
      </c>
      <c r="Y1383" s="5">
        <v>2.08</v>
      </c>
    </row>
    <row r="1384" spans="1:25" x14ac:dyDescent="0.25">
      <c r="A1384">
        <v>2021</v>
      </c>
      <c r="B1384" t="s">
        <v>57</v>
      </c>
      <c r="C1384">
        <v>11</v>
      </c>
      <c r="D1384">
        <v>106</v>
      </c>
      <c r="E1384" t="s">
        <v>16</v>
      </c>
      <c r="F1384" t="s">
        <v>51</v>
      </c>
      <c r="G1384">
        <f t="shared" si="21"/>
        <v>1</v>
      </c>
      <c r="H1384">
        <v>7</v>
      </c>
      <c r="I1384">
        <v>5</v>
      </c>
      <c r="J1384">
        <v>1</v>
      </c>
      <c r="K1384" s="6" t="s">
        <v>182</v>
      </c>
      <c r="L1384" s="6" t="s">
        <v>76</v>
      </c>
      <c r="M1384">
        <v>183</v>
      </c>
      <c r="N1384" s="1">
        <v>0.49099999999999999</v>
      </c>
      <c r="O1384">
        <v>72</v>
      </c>
      <c r="P1384" s="1">
        <v>0.42899999999999999</v>
      </c>
      <c r="Q1384" s="1">
        <v>0.81599999999999995</v>
      </c>
      <c r="R1384">
        <v>531</v>
      </c>
      <c r="S1384">
        <v>60</v>
      </c>
      <c r="T1384">
        <v>177</v>
      </c>
      <c r="U1384">
        <v>140</v>
      </c>
      <c r="V1384">
        <v>37</v>
      </c>
      <c r="W1384">
        <v>39</v>
      </c>
      <c r="X1384">
        <v>83</v>
      </c>
      <c r="Y1384" s="5">
        <v>1.69</v>
      </c>
    </row>
    <row r="1385" spans="1:25" x14ac:dyDescent="0.25">
      <c r="A1385">
        <v>2021</v>
      </c>
      <c r="B1385" t="s">
        <v>57</v>
      </c>
      <c r="C1385">
        <v>11</v>
      </c>
      <c r="D1385">
        <v>106</v>
      </c>
      <c r="E1385" t="s">
        <v>181</v>
      </c>
      <c r="F1385" t="s">
        <v>49</v>
      </c>
      <c r="G1385">
        <f t="shared" si="21"/>
        <v>0</v>
      </c>
      <c r="H1385">
        <v>5</v>
      </c>
      <c r="I1385">
        <v>7</v>
      </c>
      <c r="J1385">
        <v>1</v>
      </c>
      <c r="K1385" s="6" t="s">
        <v>60</v>
      </c>
      <c r="L1385" s="6" t="s">
        <v>75</v>
      </c>
      <c r="M1385">
        <v>197</v>
      </c>
      <c r="N1385" s="1">
        <v>0.45700000000000002</v>
      </c>
      <c r="O1385">
        <v>59</v>
      </c>
      <c r="P1385" s="1">
        <v>0.36399999999999999</v>
      </c>
      <c r="Q1385" s="1">
        <v>0.78100000000000003</v>
      </c>
      <c r="R1385">
        <v>528</v>
      </c>
      <c r="S1385">
        <v>62</v>
      </c>
      <c r="T1385">
        <v>184</v>
      </c>
      <c r="U1385">
        <v>95</v>
      </c>
      <c r="V1385">
        <v>37</v>
      </c>
      <c r="W1385">
        <v>14</v>
      </c>
      <c r="X1385">
        <v>54</v>
      </c>
      <c r="Y1385" s="5">
        <v>1.76</v>
      </c>
    </row>
    <row r="1386" spans="1:25" x14ac:dyDescent="0.25">
      <c r="A1386">
        <v>2021</v>
      </c>
      <c r="B1386" t="s">
        <v>57</v>
      </c>
      <c r="C1386">
        <v>11</v>
      </c>
      <c r="D1386">
        <v>107</v>
      </c>
      <c r="E1386" t="s">
        <v>93</v>
      </c>
      <c r="F1386" t="s">
        <v>189</v>
      </c>
      <c r="G1386">
        <f t="shared" si="21"/>
        <v>1</v>
      </c>
      <c r="H1386">
        <v>8</v>
      </c>
      <c r="I1386">
        <v>5</v>
      </c>
      <c r="J1386">
        <v>0</v>
      </c>
      <c r="K1386" s="6" t="s">
        <v>68</v>
      </c>
      <c r="L1386" s="6" t="s">
        <v>84</v>
      </c>
      <c r="M1386">
        <v>257</v>
      </c>
      <c r="N1386" s="1">
        <v>0.48499999999999999</v>
      </c>
      <c r="O1386">
        <v>88</v>
      </c>
      <c r="P1386" s="1">
        <v>0.378</v>
      </c>
      <c r="Q1386" s="1">
        <v>0.82099999999999995</v>
      </c>
      <c r="R1386">
        <v>735</v>
      </c>
      <c r="S1386">
        <v>42</v>
      </c>
      <c r="T1386">
        <v>160</v>
      </c>
      <c r="U1386">
        <v>145</v>
      </c>
      <c r="V1386">
        <v>47</v>
      </c>
      <c r="W1386">
        <v>26</v>
      </c>
      <c r="X1386">
        <v>73</v>
      </c>
      <c r="Y1386" s="5">
        <v>1.99</v>
      </c>
    </row>
    <row r="1387" spans="1:25" x14ac:dyDescent="0.25">
      <c r="A1387">
        <v>2021</v>
      </c>
      <c r="B1387" t="s">
        <v>57</v>
      </c>
      <c r="C1387">
        <v>11</v>
      </c>
      <c r="D1387">
        <v>107</v>
      </c>
      <c r="E1387" t="s">
        <v>25</v>
      </c>
      <c r="F1387" t="s">
        <v>53</v>
      </c>
      <c r="G1387">
        <f t="shared" si="21"/>
        <v>0</v>
      </c>
      <c r="H1387">
        <v>5</v>
      </c>
      <c r="I1387">
        <v>8</v>
      </c>
      <c r="J1387">
        <v>0</v>
      </c>
      <c r="K1387" s="6" t="s">
        <v>104</v>
      </c>
      <c r="L1387" s="6" t="s">
        <v>105</v>
      </c>
      <c r="M1387">
        <v>167</v>
      </c>
      <c r="N1387" s="1">
        <v>0.52800000000000002</v>
      </c>
      <c r="O1387">
        <v>42</v>
      </c>
      <c r="P1387" s="1">
        <v>0.40400000000000003</v>
      </c>
      <c r="Q1387" s="1">
        <v>0.68700000000000006</v>
      </c>
      <c r="R1387">
        <v>422</v>
      </c>
      <c r="S1387">
        <v>49</v>
      </c>
      <c r="T1387">
        <v>121</v>
      </c>
      <c r="U1387">
        <v>81</v>
      </c>
      <c r="V1387">
        <v>21</v>
      </c>
      <c r="W1387">
        <v>21</v>
      </c>
      <c r="X1387">
        <v>40</v>
      </c>
      <c r="Y1387" s="5">
        <v>2.02</v>
      </c>
    </row>
    <row r="1388" spans="1:25" x14ac:dyDescent="0.25">
      <c r="A1388">
        <v>2021</v>
      </c>
      <c r="B1388" t="s">
        <v>57</v>
      </c>
      <c r="C1388">
        <v>11</v>
      </c>
      <c r="D1388">
        <v>108</v>
      </c>
      <c r="E1388" t="s">
        <v>98</v>
      </c>
      <c r="F1388" t="s">
        <v>41</v>
      </c>
      <c r="G1388">
        <f t="shared" si="21"/>
        <v>0</v>
      </c>
      <c r="H1388">
        <v>5</v>
      </c>
      <c r="I1388">
        <v>8</v>
      </c>
      <c r="J1388">
        <v>0</v>
      </c>
      <c r="K1388" s="6" t="s">
        <v>72</v>
      </c>
      <c r="L1388" s="6" t="s">
        <v>85</v>
      </c>
      <c r="M1388">
        <v>143</v>
      </c>
      <c r="N1388" s="1">
        <v>0.433</v>
      </c>
      <c r="O1388">
        <v>52</v>
      </c>
      <c r="P1388" s="1">
        <v>0.371</v>
      </c>
      <c r="Q1388" s="1">
        <v>0.78</v>
      </c>
      <c r="R1388">
        <v>384</v>
      </c>
      <c r="S1388">
        <v>40</v>
      </c>
      <c r="T1388">
        <v>83</v>
      </c>
      <c r="U1388">
        <v>77</v>
      </c>
      <c r="V1388">
        <v>54</v>
      </c>
      <c r="W1388">
        <v>14</v>
      </c>
      <c r="X1388">
        <v>37</v>
      </c>
      <c r="Y1388" s="5">
        <v>2.08</v>
      </c>
    </row>
    <row r="1389" spans="1:25" x14ac:dyDescent="0.25">
      <c r="A1389">
        <v>2021</v>
      </c>
      <c r="B1389" t="s">
        <v>57</v>
      </c>
      <c r="C1389">
        <v>11</v>
      </c>
      <c r="D1389">
        <v>108</v>
      </c>
      <c r="E1389" t="s">
        <v>33</v>
      </c>
      <c r="F1389" t="s">
        <v>42</v>
      </c>
      <c r="G1389">
        <f t="shared" si="21"/>
        <v>1</v>
      </c>
      <c r="H1389">
        <v>8</v>
      </c>
      <c r="I1389">
        <v>5</v>
      </c>
      <c r="J1389">
        <v>0</v>
      </c>
      <c r="K1389" s="6" t="s">
        <v>112</v>
      </c>
      <c r="L1389" s="6" t="s">
        <v>88</v>
      </c>
      <c r="M1389">
        <v>201</v>
      </c>
      <c r="N1389" s="1">
        <v>0.45400000000000001</v>
      </c>
      <c r="O1389">
        <v>53</v>
      </c>
      <c r="P1389" s="1">
        <v>0.32900000000000001</v>
      </c>
      <c r="Q1389" s="1">
        <v>0.78600000000000003</v>
      </c>
      <c r="R1389">
        <v>569</v>
      </c>
      <c r="S1389">
        <v>54</v>
      </c>
      <c r="T1389">
        <v>106</v>
      </c>
      <c r="U1389">
        <v>132</v>
      </c>
      <c r="V1389">
        <v>29</v>
      </c>
      <c r="W1389">
        <v>13</v>
      </c>
      <c r="X1389">
        <v>81</v>
      </c>
      <c r="Y1389" s="5">
        <v>1.63</v>
      </c>
    </row>
    <row r="1390" spans="1:25" x14ac:dyDescent="0.25">
      <c r="A1390">
        <v>2021</v>
      </c>
      <c r="B1390" t="s">
        <v>57</v>
      </c>
      <c r="C1390">
        <v>11</v>
      </c>
      <c r="D1390">
        <v>109</v>
      </c>
      <c r="E1390" t="s">
        <v>95</v>
      </c>
      <c r="F1390" t="s">
        <v>101</v>
      </c>
      <c r="G1390">
        <f t="shared" si="21"/>
        <v>1</v>
      </c>
      <c r="H1390">
        <v>9</v>
      </c>
      <c r="I1390">
        <v>4</v>
      </c>
      <c r="J1390">
        <v>0</v>
      </c>
      <c r="K1390" s="6" t="s">
        <v>106</v>
      </c>
      <c r="L1390" s="6" t="s">
        <v>83</v>
      </c>
      <c r="M1390">
        <v>215</v>
      </c>
      <c r="N1390" s="1">
        <v>0.502</v>
      </c>
      <c r="O1390">
        <v>59</v>
      </c>
      <c r="P1390" s="1">
        <v>0.38100000000000001</v>
      </c>
      <c r="Q1390" s="1">
        <v>0.84</v>
      </c>
      <c r="R1390">
        <v>573</v>
      </c>
      <c r="S1390">
        <v>48</v>
      </c>
      <c r="T1390">
        <v>128</v>
      </c>
      <c r="U1390">
        <v>124</v>
      </c>
      <c r="V1390">
        <v>39</v>
      </c>
      <c r="W1390">
        <v>20</v>
      </c>
      <c r="X1390">
        <v>69</v>
      </c>
      <c r="Y1390" s="5">
        <v>1.8</v>
      </c>
    </row>
    <row r="1391" spans="1:25" x14ac:dyDescent="0.25">
      <c r="A1391">
        <v>2021</v>
      </c>
      <c r="B1391" t="s">
        <v>57</v>
      </c>
      <c r="C1391">
        <v>11</v>
      </c>
      <c r="D1391">
        <v>109</v>
      </c>
      <c r="E1391" t="s">
        <v>94</v>
      </c>
      <c r="F1391" t="s">
        <v>40</v>
      </c>
      <c r="G1391">
        <f t="shared" si="21"/>
        <v>0</v>
      </c>
      <c r="H1391">
        <v>4</v>
      </c>
      <c r="I1391">
        <v>9</v>
      </c>
      <c r="J1391">
        <v>0</v>
      </c>
      <c r="K1391" s="6" t="s">
        <v>107</v>
      </c>
      <c r="L1391" s="6" t="s">
        <v>108</v>
      </c>
      <c r="M1391">
        <v>196</v>
      </c>
      <c r="N1391" s="1">
        <v>0.497</v>
      </c>
      <c r="O1391">
        <v>53</v>
      </c>
      <c r="P1391" s="1">
        <v>0.39600000000000002</v>
      </c>
      <c r="Q1391" s="1">
        <v>0.80900000000000005</v>
      </c>
      <c r="R1391">
        <v>517</v>
      </c>
      <c r="S1391">
        <v>40</v>
      </c>
      <c r="T1391">
        <v>154</v>
      </c>
      <c r="U1391">
        <v>101</v>
      </c>
      <c r="V1391">
        <v>30</v>
      </c>
      <c r="W1391">
        <v>21</v>
      </c>
      <c r="X1391">
        <v>63</v>
      </c>
      <c r="Y1391" s="5">
        <v>1.6</v>
      </c>
    </row>
    <row r="1392" spans="1:25" x14ac:dyDescent="0.25">
      <c r="A1392">
        <v>2021</v>
      </c>
      <c r="B1392" t="s">
        <v>57</v>
      </c>
      <c r="C1392">
        <v>11</v>
      </c>
      <c r="D1392">
        <v>110</v>
      </c>
      <c r="E1392" t="s">
        <v>26</v>
      </c>
      <c r="F1392" t="s">
        <v>118</v>
      </c>
      <c r="G1392">
        <f t="shared" si="21"/>
        <v>1</v>
      </c>
      <c r="H1392">
        <v>7</v>
      </c>
      <c r="I1392">
        <v>6</v>
      </c>
      <c r="J1392">
        <v>0</v>
      </c>
      <c r="K1392" s="6" t="s">
        <v>191</v>
      </c>
      <c r="L1392" s="6" t="s">
        <v>113</v>
      </c>
      <c r="M1392">
        <v>211</v>
      </c>
      <c r="N1392" s="1">
        <v>0.50800000000000001</v>
      </c>
      <c r="O1392">
        <v>64</v>
      </c>
      <c r="P1392" s="1">
        <v>0.41599999999999998</v>
      </c>
      <c r="Q1392" s="1">
        <v>0.73299999999999998</v>
      </c>
      <c r="R1392">
        <v>571</v>
      </c>
      <c r="S1392">
        <v>42</v>
      </c>
      <c r="T1392">
        <v>172</v>
      </c>
      <c r="U1392">
        <v>150</v>
      </c>
      <c r="V1392">
        <v>43</v>
      </c>
      <c r="W1392">
        <v>24</v>
      </c>
      <c r="X1392">
        <v>58</v>
      </c>
      <c r="Y1392" s="5">
        <v>2.59</v>
      </c>
    </row>
    <row r="1393" spans="1:25" x14ac:dyDescent="0.25">
      <c r="A1393">
        <v>2021</v>
      </c>
      <c r="B1393" t="s">
        <v>57</v>
      </c>
      <c r="C1393">
        <v>11</v>
      </c>
      <c r="D1393">
        <v>110</v>
      </c>
      <c r="E1393" t="s">
        <v>190</v>
      </c>
      <c r="F1393" t="s">
        <v>103</v>
      </c>
      <c r="G1393">
        <f t="shared" si="21"/>
        <v>0</v>
      </c>
      <c r="H1393">
        <v>6</v>
      </c>
      <c r="I1393">
        <v>7</v>
      </c>
      <c r="J1393">
        <v>0</v>
      </c>
      <c r="K1393" s="6" t="s">
        <v>65</v>
      </c>
      <c r="L1393" s="6" t="s">
        <v>119</v>
      </c>
      <c r="M1393">
        <v>230</v>
      </c>
      <c r="N1393" s="1">
        <v>0.47299999999999998</v>
      </c>
      <c r="O1393">
        <v>68</v>
      </c>
      <c r="P1393" s="1">
        <v>0.37</v>
      </c>
      <c r="Q1393" s="1">
        <v>0.78300000000000003</v>
      </c>
      <c r="R1393">
        <v>683</v>
      </c>
      <c r="S1393">
        <v>47</v>
      </c>
      <c r="T1393">
        <v>180</v>
      </c>
      <c r="U1393">
        <v>126</v>
      </c>
      <c r="V1393">
        <v>25</v>
      </c>
      <c r="W1393">
        <v>21</v>
      </c>
      <c r="X1393">
        <v>77</v>
      </c>
      <c r="Y1393" s="5">
        <v>1.64</v>
      </c>
    </row>
    <row r="1394" spans="1:25" x14ac:dyDescent="0.25">
      <c r="A1394">
        <v>2021</v>
      </c>
      <c r="B1394" t="s">
        <v>57</v>
      </c>
      <c r="C1394">
        <v>12</v>
      </c>
      <c r="D1394">
        <v>111</v>
      </c>
      <c r="E1394" t="s">
        <v>21</v>
      </c>
      <c r="F1394" t="s">
        <v>50</v>
      </c>
      <c r="G1394">
        <f t="shared" si="21"/>
        <v>0</v>
      </c>
      <c r="H1394">
        <v>2</v>
      </c>
      <c r="I1394">
        <v>10</v>
      </c>
      <c r="J1394">
        <v>1</v>
      </c>
      <c r="K1394" s="6" t="s">
        <v>61</v>
      </c>
      <c r="L1394" s="6" t="s">
        <v>77</v>
      </c>
      <c r="M1394">
        <v>118</v>
      </c>
      <c r="N1394" s="1">
        <v>0.42599999999999999</v>
      </c>
      <c r="O1394">
        <v>44</v>
      </c>
      <c r="P1394" s="1">
        <v>0.36699999999999999</v>
      </c>
      <c r="Q1394" s="1">
        <v>0.78600000000000003</v>
      </c>
      <c r="R1394">
        <v>324</v>
      </c>
      <c r="S1394">
        <v>33</v>
      </c>
      <c r="T1394">
        <v>104</v>
      </c>
      <c r="U1394">
        <v>88</v>
      </c>
      <c r="V1394">
        <v>30</v>
      </c>
      <c r="W1394">
        <v>2</v>
      </c>
      <c r="X1394">
        <v>51</v>
      </c>
      <c r="Y1394" s="5">
        <v>1.73</v>
      </c>
    </row>
    <row r="1395" spans="1:25" x14ac:dyDescent="0.25">
      <c r="A1395">
        <v>2021</v>
      </c>
      <c r="B1395" t="s">
        <v>57</v>
      </c>
      <c r="C1395">
        <v>12</v>
      </c>
      <c r="D1395">
        <v>111</v>
      </c>
      <c r="E1395" t="s">
        <v>15</v>
      </c>
      <c r="F1395" t="s">
        <v>48</v>
      </c>
      <c r="G1395">
        <f t="shared" si="21"/>
        <v>1</v>
      </c>
      <c r="H1395">
        <v>10</v>
      </c>
      <c r="I1395">
        <v>2</v>
      </c>
      <c r="J1395">
        <v>1</v>
      </c>
      <c r="K1395" s="6" t="s">
        <v>70</v>
      </c>
      <c r="L1395" s="6" t="s">
        <v>87</v>
      </c>
      <c r="M1395">
        <v>237</v>
      </c>
      <c r="N1395" s="1">
        <v>0.48399999999999999</v>
      </c>
      <c r="O1395">
        <v>74</v>
      </c>
      <c r="P1395" s="1">
        <v>0.41799999999999998</v>
      </c>
      <c r="Q1395" s="1">
        <v>0.83099999999999996</v>
      </c>
      <c r="R1395">
        <v>651</v>
      </c>
      <c r="S1395">
        <v>33</v>
      </c>
      <c r="T1395">
        <v>111</v>
      </c>
      <c r="U1395">
        <v>137</v>
      </c>
      <c r="V1395">
        <v>25</v>
      </c>
      <c r="W1395">
        <v>12</v>
      </c>
      <c r="X1395">
        <v>65</v>
      </c>
      <c r="Y1395" s="5">
        <v>2.11</v>
      </c>
    </row>
    <row r="1396" spans="1:25" x14ac:dyDescent="0.25">
      <c r="A1396">
        <v>2021</v>
      </c>
      <c r="B1396" t="s">
        <v>57</v>
      </c>
      <c r="C1396">
        <v>12</v>
      </c>
      <c r="D1396">
        <v>112</v>
      </c>
      <c r="E1396" t="s">
        <v>23</v>
      </c>
      <c r="F1396" t="s">
        <v>120</v>
      </c>
      <c r="G1396">
        <f t="shared" si="21"/>
        <v>1</v>
      </c>
      <c r="H1396">
        <v>7</v>
      </c>
      <c r="I1396">
        <v>6</v>
      </c>
      <c r="J1396">
        <v>0</v>
      </c>
      <c r="K1396" s="6" t="s">
        <v>63</v>
      </c>
      <c r="L1396" s="6" t="s">
        <v>79</v>
      </c>
      <c r="M1396">
        <v>172</v>
      </c>
      <c r="N1396" s="1">
        <v>0.47899999999999998</v>
      </c>
      <c r="O1396">
        <v>43</v>
      </c>
      <c r="P1396" s="1">
        <v>0.33600000000000002</v>
      </c>
      <c r="Q1396" s="1">
        <v>0.79800000000000004</v>
      </c>
      <c r="R1396">
        <v>466</v>
      </c>
      <c r="S1396">
        <v>34</v>
      </c>
      <c r="T1396">
        <v>153</v>
      </c>
      <c r="U1396">
        <v>95</v>
      </c>
      <c r="V1396">
        <v>28</v>
      </c>
      <c r="W1396">
        <v>14</v>
      </c>
      <c r="X1396">
        <v>47</v>
      </c>
      <c r="Y1396" s="5">
        <v>2.02</v>
      </c>
    </row>
    <row r="1397" spans="1:25" x14ac:dyDescent="0.25">
      <c r="A1397">
        <v>2021</v>
      </c>
      <c r="B1397" t="s">
        <v>57</v>
      </c>
      <c r="C1397">
        <v>12</v>
      </c>
      <c r="D1397">
        <v>112</v>
      </c>
      <c r="E1397" t="s">
        <v>17</v>
      </c>
      <c r="F1397" t="s">
        <v>43</v>
      </c>
      <c r="G1397">
        <f t="shared" si="21"/>
        <v>0</v>
      </c>
      <c r="H1397">
        <v>6</v>
      </c>
      <c r="I1397">
        <v>7</v>
      </c>
      <c r="J1397">
        <v>0</v>
      </c>
      <c r="K1397" s="6" t="s">
        <v>71</v>
      </c>
      <c r="L1397" s="6" t="s">
        <v>121</v>
      </c>
      <c r="M1397">
        <v>165</v>
      </c>
      <c r="N1397" s="1">
        <v>0.495</v>
      </c>
      <c r="O1397">
        <v>48</v>
      </c>
      <c r="P1397" s="1">
        <v>0.42099999999999999</v>
      </c>
      <c r="Q1397" s="1">
        <v>0.80300000000000005</v>
      </c>
      <c r="R1397">
        <v>435</v>
      </c>
      <c r="S1397">
        <v>56</v>
      </c>
      <c r="T1397">
        <v>121</v>
      </c>
      <c r="U1397">
        <v>90</v>
      </c>
      <c r="V1397">
        <v>27</v>
      </c>
      <c r="W1397">
        <v>27</v>
      </c>
      <c r="X1397">
        <v>71</v>
      </c>
      <c r="Y1397" s="5">
        <v>1.27</v>
      </c>
    </row>
    <row r="1398" spans="1:25" x14ac:dyDescent="0.25">
      <c r="A1398">
        <v>2021</v>
      </c>
      <c r="B1398" t="s">
        <v>57</v>
      </c>
      <c r="C1398">
        <v>12</v>
      </c>
      <c r="D1398">
        <v>113</v>
      </c>
      <c r="E1398" t="s">
        <v>159</v>
      </c>
      <c r="F1398" t="s">
        <v>116</v>
      </c>
      <c r="G1398">
        <f t="shared" si="21"/>
        <v>1</v>
      </c>
      <c r="H1398">
        <v>8</v>
      </c>
      <c r="I1398">
        <v>5</v>
      </c>
      <c r="J1398">
        <v>0</v>
      </c>
      <c r="K1398" s="6" t="s">
        <v>109</v>
      </c>
      <c r="L1398" s="6" t="s">
        <v>110</v>
      </c>
      <c r="M1398">
        <v>243</v>
      </c>
      <c r="N1398" s="1">
        <v>0.48</v>
      </c>
      <c r="O1398">
        <v>87</v>
      </c>
      <c r="P1398" s="1">
        <v>0.41</v>
      </c>
      <c r="Q1398" s="1">
        <v>0.88</v>
      </c>
      <c r="R1398">
        <v>654</v>
      </c>
      <c r="S1398">
        <v>43</v>
      </c>
      <c r="T1398">
        <v>177</v>
      </c>
      <c r="U1398">
        <v>94</v>
      </c>
      <c r="V1398">
        <v>38</v>
      </c>
      <c r="W1398">
        <v>25</v>
      </c>
      <c r="X1398">
        <v>66</v>
      </c>
      <c r="Y1398" s="5">
        <v>1.42</v>
      </c>
    </row>
    <row r="1399" spans="1:25" x14ac:dyDescent="0.25">
      <c r="A1399">
        <v>2021</v>
      </c>
      <c r="B1399" t="s">
        <v>57</v>
      </c>
      <c r="C1399">
        <v>12</v>
      </c>
      <c r="D1399">
        <v>113</v>
      </c>
      <c r="E1399" t="s">
        <v>96</v>
      </c>
      <c r="F1399" t="s">
        <v>102</v>
      </c>
      <c r="G1399">
        <f t="shared" si="21"/>
        <v>0</v>
      </c>
      <c r="H1399">
        <v>5</v>
      </c>
      <c r="I1399">
        <v>8</v>
      </c>
      <c r="J1399">
        <v>0</v>
      </c>
      <c r="K1399" s="6" t="s">
        <v>193</v>
      </c>
      <c r="L1399" s="6" t="s">
        <v>117</v>
      </c>
      <c r="M1399">
        <v>165</v>
      </c>
      <c r="N1399" s="1">
        <v>0.46100000000000002</v>
      </c>
      <c r="O1399">
        <v>41</v>
      </c>
      <c r="P1399" s="1">
        <v>0.32300000000000001</v>
      </c>
      <c r="Q1399" s="1">
        <v>0.80200000000000005</v>
      </c>
      <c r="R1399">
        <v>460</v>
      </c>
      <c r="S1399">
        <v>45</v>
      </c>
      <c r="T1399">
        <v>179</v>
      </c>
      <c r="U1399">
        <v>121</v>
      </c>
      <c r="V1399">
        <v>27</v>
      </c>
      <c r="W1399">
        <v>21</v>
      </c>
      <c r="X1399">
        <v>63</v>
      </c>
      <c r="Y1399" s="5">
        <v>1.92</v>
      </c>
    </row>
    <row r="1400" spans="1:25" x14ac:dyDescent="0.25">
      <c r="A1400">
        <v>2021</v>
      </c>
      <c r="B1400" t="s">
        <v>57</v>
      </c>
      <c r="C1400">
        <v>12</v>
      </c>
      <c r="D1400">
        <v>114</v>
      </c>
      <c r="E1400" t="s">
        <v>99</v>
      </c>
      <c r="F1400" t="s">
        <v>45</v>
      </c>
      <c r="G1400">
        <f t="shared" si="21"/>
        <v>1</v>
      </c>
      <c r="H1400">
        <v>10</v>
      </c>
      <c r="I1400">
        <v>3</v>
      </c>
      <c r="J1400">
        <v>0</v>
      </c>
      <c r="K1400" s="6" t="s">
        <v>59</v>
      </c>
      <c r="L1400" s="6" t="s">
        <v>74</v>
      </c>
      <c r="M1400">
        <v>229</v>
      </c>
      <c r="N1400" s="1">
        <v>0.48599999999999999</v>
      </c>
      <c r="O1400">
        <v>71</v>
      </c>
      <c r="P1400" s="1">
        <v>0.372</v>
      </c>
      <c r="Q1400" s="1">
        <v>0.752</v>
      </c>
      <c r="R1400">
        <v>614</v>
      </c>
      <c r="S1400">
        <v>46</v>
      </c>
      <c r="T1400">
        <v>155</v>
      </c>
      <c r="U1400">
        <v>117</v>
      </c>
      <c r="V1400">
        <v>38</v>
      </c>
      <c r="W1400">
        <v>19</v>
      </c>
      <c r="X1400">
        <v>57</v>
      </c>
      <c r="Y1400" s="5">
        <v>2.0499999999999998</v>
      </c>
    </row>
    <row r="1401" spans="1:25" x14ac:dyDescent="0.25">
      <c r="A1401">
        <v>2021</v>
      </c>
      <c r="B1401" t="s">
        <v>57</v>
      </c>
      <c r="C1401">
        <v>12</v>
      </c>
      <c r="D1401">
        <v>114</v>
      </c>
      <c r="E1401" t="s">
        <v>18</v>
      </c>
      <c r="F1401" t="s">
        <v>52</v>
      </c>
      <c r="G1401">
        <f t="shared" si="21"/>
        <v>0</v>
      </c>
      <c r="H1401">
        <v>3</v>
      </c>
      <c r="I1401">
        <v>10</v>
      </c>
      <c r="J1401">
        <v>0</v>
      </c>
      <c r="K1401" s="6" t="s">
        <v>114</v>
      </c>
      <c r="L1401" s="6" t="s">
        <v>90</v>
      </c>
      <c r="M1401">
        <v>129</v>
      </c>
      <c r="N1401" s="1">
        <v>0.45300000000000001</v>
      </c>
      <c r="O1401">
        <v>38</v>
      </c>
      <c r="P1401" s="1">
        <v>0.311</v>
      </c>
      <c r="Q1401" s="1">
        <v>0.81399999999999995</v>
      </c>
      <c r="R1401">
        <v>331</v>
      </c>
      <c r="S1401">
        <v>25</v>
      </c>
      <c r="T1401">
        <v>102</v>
      </c>
      <c r="U1401">
        <v>80</v>
      </c>
      <c r="V1401">
        <v>20</v>
      </c>
      <c r="W1401">
        <v>11</v>
      </c>
      <c r="X1401">
        <v>33</v>
      </c>
      <c r="Y1401" s="5">
        <v>2.42</v>
      </c>
    </row>
    <row r="1402" spans="1:25" x14ac:dyDescent="0.25">
      <c r="A1402">
        <v>2021</v>
      </c>
      <c r="B1402" t="s">
        <v>57</v>
      </c>
      <c r="C1402">
        <v>12</v>
      </c>
      <c r="D1402">
        <v>115</v>
      </c>
      <c r="E1402" t="s">
        <v>28</v>
      </c>
      <c r="F1402" t="s">
        <v>46</v>
      </c>
      <c r="G1402">
        <f t="shared" si="21"/>
        <v>1</v>
      </c>
      <c r="H1402">
        <v>11</v>
      </c>
      <c r="I1402">
        <v>2</v>
      </c>
      <c r="J1402">
        <v>0</v>
      </c>
      <c r="K1402" s="6" t="s">
        <v>111</v>
      </c>
      <c r="L1402" s="6" t="s">
        <v>89</v>
      </c>
      <c r="M1402">
        <v>248</v>
      </c>
      <c r="N1402" s="1">
        <v>0.46600000000000003</v>
      </c>
      <c r="O1402">
        <v>69</v>
      </c>
      <c r="P1402" s="1">
        <v>0.41599999999999998</v>
      </c>
      <c r="Q1402" s="1">
        <v>0.81499999999999995</v>
      </c>
      <c r="R1402">
        <v>662</v>
      </c>
      <c r="S1402">
        <v>53</v>
      </c>
      <c r="T1402">
        <v>220</v>
      </c>
      <c r="U1402">
        <v>187</v>
      </c>
      <c r="V1402">
        <v>46</v>
      </c>
      <c r="W1402">
        <v>19</v>
      </c>
      <c r="X1402">
        <v>79</v>
      </c>
      <c r="Y1402" s="5">
        <v>2.37</v>
      </c>
    </row>
    <row r="1403" spans="1:25" x14ac:dyDescent="0.25">
      <c r="A1403">
        <v>2021</v>
      </c>
      <c r="B1403" t="s">
        <v>57</v>
      </c>
      <c r="C1403">
        <v>12</v>
      </c>
      <c r="D1403">
        <v>115</v>
      </c>
      <c r="E1403" t="s">
        <v>97</v>
      </c>
      <c r="F1403" t="s">
        <v>54</v>
      </c>
      <c r="G1403">
        <f t="shared" si="21"/>
        <v>0</v>
      </c>
      <c r="H1403">
        <v>2</v>
      </c>
      <c r="I1403">
        <v>11</v>
      </c>
      <c r="J1403">
        <v>0</v>
      </c>
      <c r="K1403" s="6" t="s">
        <v>64</v>
      </c>
      <c r="L1403" s="6" t="s">
        <v>80</v>
      </c>
      <c r="M1403">
        <v>190</v>
      </c>
      <c r="N1403" s="1">
        <v>0.48499999999999999</v>
      </c>
      <c r="O1403">
        <v>40</v>
      </c>
      <c r="P1403" s="1">
        <v>0.33300000000000002</v>
      </c>
      <c r="Q1403" s="1">
        <v>0.80700000000000005</v>
      </c>
      <c r="R1403">
        <v>508</v>
      </c>
      <c r="S1403">
        <v>35</v>
      </c>
      <c r="T1403">
        <v>162</v>
      </c>
      <c r="U1403">
        <v>163</v>
      </c>
      <c r="V1403">
        <v>23</v>
      </c>
      <c r="W1403">
        <v>7</v>
      </c>
      <c r="X1403">
        <v>78</v>
      </c>
      <c r="Y1403" s="5">
        <v>2.09</v>
      </c>
    </row>
    <row r="1404" spans="1:25" x14ac:dyDescent="0.25">
      <c r="A1404">
        <v>2021</v>
      </c>
      <c r="B1404" t="s">
        <v>57</v>
      </c>
      <c r="C1404">
        <v>12</v>
      </c>
      <c r="D1404">
        <v>116</v>
      </c>
      <c r="E1404" t="s">
        <v>181</v>
      </c>
      <c r="F1404" t="s">
        <v>49</v>
      </c>
      <c r="G1404">
        <f t="shared" si="21"/>
        <v>0</v>
      </c>
      <c r="H1404">
        <v>2</v>
      </c>
      <c r="I1404">
        <v>10</v>
      </c>
      <c r="J1404">
        <v>1</v>
      </c>
      <c r="K1404" s="6" t="s">
        <v>104</v>
      </c>
      <c r="L1404" s="6" t="s">
        <v>105</v>
      </c>
      <c r="M1404">
        <v>154</v>
      </c>
      <c r="N1404" s="1">
        <v>0.45200000000000001</v>
      </c>
      <c r="O1404">
        <v>42</v>
      </c>
      <c r="P1404" s="1">
        <v>0.318</v>
      </c>
      <c r="Q1404" s="1">
        <v>0.81699999999999995</v>
      </c>
      <c r="R1404">
        <v>439</v>
      </c>
      <c r="S1404">
        <v>35</v>
      </c>
      <c r="T1404">
        <v>127</v>
      </c>
      <c r="U1404">
        <v>68</v>
      </c>
      <c r="V1404">
        <v>35</v>
      </c>
      <c r="W1404">
        <v>15</v>
      </c>
      <c r="X1404">
        <v>49</v>
      </c>
      <c r="Y1404" s="5">
        <v>1.39</v>
      </c>
    </row>
    <row r="1405" spans="1:25" x14ac:dyDescent="0.25">
      <c r="A1405">
        <v>2021</v>
      </c>
      <c r="B1405" t="s">
        <v>57</v>
      </c>
      <c r="C1405">
        <v>12</v>
      </c>
      <c r="D1405">
        <v>116</v>
      </c>
      <c r="E1405" t="s">
        <v>93</v>
      </c>
      <c r="F1405" t="s">
        <v>189</v>
      </c>
      <c r="G1405">
        <f t="shared" si="21"/>
        <v>1</v>
      </c>
      <c r="H1405">
        <v>10</v>
      </c>
      <c r="I1405">
        <v>2</v>
      </c>
      <c r="J1405">
        <v>1</v>
      </c>
      <c r="K1405" s="6" t="s">
        <v>182</v>
      </c>
      <c r="L1405" s="6" t="s">
        <v>76</v>
      </c>
      <c r="M1405">
        <v>198</v>
      </c>
      <c r="N1405" s="1">
        <v>0.497</v>
      </c>
      <c r="O1405">
        <v>72</v>
      </c>
      <c r="P1405" s="1">
        <v>0.39300000000000002</v>
      </c>
      <c r="Q1405" s="1">
        <v>0.89800000000000002</v>
      </c>
      <c r="R1405">
        <v>565</v>
      </c>
      <c r="S1405">
        <v>35</v>
      </c>
      <c r="T1405">
        <v>143</v>
      </c>
      <c r="U1405">
        <v>88</v>
      </c>
      <c r="V1405">
        <v>32</v>
      </c>
      <c r="W1405">
        <v>22</v>
      </c>
      <c r="X1405">
        <v>50</v>
      </c>
      <c r="Y1405" s="5">
        <v>1.76</v>
      </c>
    </row>
    <row r="1406" spans="1:25" x14ac:dyDescent="0.25">
      <c r="A1406">
        <v>2021</v>
      </c>
      <c r="B1406" t="s">
        <v>57</v>
      </c>
      <c r="C1406">
        <v>12</v>
      </c>
      <c r="D1406">
        <v>117</v>
      </c>
      <c r="E1406" t="s">
        <v>16</v>
      </c>
      <c r="F1406" t="s">
        <v>51</v>
      </c>
      <c r="G1406">
        <f t="shared" si="21"/>
        <v>1</v>
      </c>
      <c r="H1406">
        <v>10</v>
      </c>
      <c r="I1406">
        <v>3</v>
      </c>
      <c r="J1406">
        <v>0</v>
      </c>
      <c r="K1406" s="6" t="s">
        <v>72</v>
      </c>
      <c r="L1406" s="6" t="s">
        <v>85</v>
      </c>
      <c r="M1406">
        <v>203</v>
      </c>
      <c r="N1406" s="1">
        <v>0.49199999999999999</v>
      </c>
      <c r="O1406">
        <v>57</v>
      </c>
      <c r="P1406" s="1">
        <v>0.38500000000000001</v>
      </c>
      <c r="Q1406" s="1">
        <v>0.78</v>
      </c>
      <c r="R1406">
        <v>534</v>
      </c>
      <c r="S1406">
        <v>30</v>
      </c>
      <c r="T1406">
        <v>160</v>
      </c>
      <c r="U1406">
        <v>134</v>
      </c>
      <c r="V1406">
        <v>45</v>
      </c>
      <c r="W1406">
        <v>34</v>
      </c>
      <c r="X1406">
        <v>77</v>
      </c>
      <c r="Y1406" s="5">
        <v>1.74</v>
      </c>
    </row>
    <row r="1407" spans="1:25" x14ac:dyDescent="0.25">
      <c r="A1407">
        <v>2021</v>
      </c>
      <c r="B1407" t="s">
        <v>57</v>
      </c>
      <c r="C1407">
        <v>12</v>
      </c>
      <c r="D1407">
        <v>117</v>
      </c>
      <c r="E1407" t="s">
        <v>33</v>
      </c>
      <c r="F1407" t="s">
        <v>42</v>
      </c>
      <c r="G1407">
        <f t="shared" si="21"/>
        <v>0</v>
      </c>
      <c r="H1407">
        <v>3</v>
      </c>
      <c r="I1407">
        <v>10</v>
      </c>
      <c r="J1407">
        <v>0</v>
      </c>
      <c r="K1407" s="6" t="s">
        <v>60</v>
      </c>
      <c r="L1407" s="6" t="s">
        <v>75</v>
      </c>
      <c r="M1407">
        <v>181</v>
      </c>
      <c r="N1407" s="1">
        <v>0.42599999999999999</v>
      </c>
      <c r="O1407">
        <v>58</v>
      </c>
      <c r="P1407" s="1">
        <v>0.36899999999999999</v>
      </c>
      <c r="Q1407" s="1">
        <v>0.79500000000000004</v>
      </c>
      <c r="R1407">
        <v>513</v>
      </c>
      <c r="S1407">
        <v>37</v>
      </c>
      <c r="T1407">
        <v>133</v>
      </c>
      <c r="U1407">
        <v>131</v>
      </c>
      <c r="V1407">
        <v>29</v>
      </c>
      <c r="W1407">
        <v>21</v>
      </c>
      <c r="X1407">
        <v>83</v>
      </c>
      <c r="Y1407" s="5">
        <v>1.58</v>
      </c>
    </row>
    <row r="1408" spans="1:25" x14ac:dyDescent="0.25">
      <c r="A1408">
        <v>2021</v>
      </c>
      <c r="B1408" t="s">
        <v>57</v>
      </c>
      <c r="C1408">
        <v>12</v>
      </c>
      <c r="D1408">
        <v>118</v>
      </c>
      <c r="E1408" t="s">
        <v>95</v>
      </c>
      <c r="F1408" t="s">
        <v>101</v>
      </c>
      <c r="G1408">
        <f t="shared" si="21"/>
        <v>1</v>
      </c>
      <c r="H1408">
        <v>7</v>
      </c>
      <c r="I1408">
        <v>6</v>
      </c>
      <c r="J1408">
        <v>0</v>
      </c>
      <c r="K1408" s="6" t="s">
        <v>68</v>
      </c>
      <c r="L1408" s="6" t="s">
        <v>84</v>
      </c>
      <c r="M1408">
        <v>163</v>
      </c>
      <c r="N1408" s="1">
        <v>0.495</v>
      </c>
      <c r="O1408">
        <v>50</v>
      </c>
      <c r="P1408" s="1">
        <v>0.39100000000000001</v>
      </c>
      <c r="Q1408" s="1">
        <v>0.71399999999999997</v>
      </c>
      <c r="R1408">
        <v>446</v>
      </c>
      <c r="S1408">
        <v>36</v>
      </c>
      <c r="T1408">
        <v>97</v>
      </c>
      <c r="U1408">
        <v>93</v>
      </c>
      <c r="V1408">
        <v>40</v>
      </c>
      <c r="W1408">
        <v>13</v>
      </c>
      <c r="X1408">
        <v>44</v>
      </c>
      <c r="Y1408" s="5">
        <v>2.11</v>
      </c>
    </row>
    <row r="1409" spans="1:25" x14ac:dyDescent="0.25">
      <c r="A1409">
        <v>2021</v>
      </c>
      <c r="B1409" t="s">
        <v>57</v>
      </c>
      <c r="C1409">
        <v>12</v>
      </c>
      <c r="D1409">
        <v>118</v>
      </c>
      <c r="E1409" t="s">
        <v>25</v>
      </c>
      <c r="F1409" t="s">
        <v>53</v>
      </c>
      <c r="G1409">
        <f t="shared" si="21"/>
        <v>0</v>
      </c>
      <c r="H1409">
        <v>6</v>
      </c>
      <c r="I1409">
        <v>7</v>
      </c>
      <c r="J1409">
        <v>0</v>
      </c>
      <c r="K1409" s="6" t="s">
        <v>107</v>
      </c>
      <c r="L1409" s="6" t="s">
        <v>108</v>
      </c>
      <c r="M1409">
        <v>137</v>
      </c>
      <c r="N1409" s="1">
        <v>0.47599999999999998</v>
      </c>
      <c r="O1409">
        <v>28</v>
      </c>
      <c r="P1409" s="1">
        <v>0.311</v>
      </c>
      <c r="Q1409" s="1">
        <v>0.70299999999999996</v>
      </c>
      <c r="R1409">
        <v>347</v>
      </c>
      <c r="S1409">
        <v>42</v>
      </c>
      <c r="T1409">
        <v>135</v>
      </c>
      <c r="U1409">
        <v>98</v>
      </c>
      <c r="V1409">
        <v>26</v>
      </c>
      <c r="W1409">
        <v>16</v>
      </c>
      <c r="X1409">
        <v>40</v>
      </c>
      <c r="Y1409" s="5">
        <v>2.4500000000000002</v>
      </c>
    </row>
    <row r="1410" spans="1:25" x14ac:dyDescent="0.25">
      <c r="A1410">
        <v>2021</v>
      </c>
      <c r="B1410" t="s">
        <v>57</v>
      </c>
      <c r="C1410">
        <v>12</v>
      </c>
      <c r="D1410">
        <v>119</v>
      </c>
      <c r="E1410" t="s">
        <v>98</v>
      </c>
      <c r="F1410" t="s">
        <v>41</v>
      </c>
      <c r="G1410">
        <f t="shared" ref="G1410:G1473" si="22">IF(H1410+0.5*J1410&gt;6.5,1,0)</f>
        <v>0</v>
      </c>
      <c r="H1410">
        <v>3</v>
      </c>
      <c r="I1410">
        <v>10</v>
      </c>
      <c r="J1410">
        <v>0</v>
      </c>
      <c r="K1410" s="6" t="s">
        <v>65</v>
      </c>
      <c r="L1410" s="6" t="s">
        <v>119</v>
      </c>
      <c r="M1410">
        <v>117</v>
      </c>
      <c r="N1410" s="1">
        <v>0.40200000000000002</v>
      </c>
      <c r="O1410">
        <v>43</v>
      </c>
      <c r="P1410" s="1">
        <v>0.30099999999999999</v>
      </c>
      <c r="Q1410" s="1">
        <v>0.78600000000000003</v>
      </c>
      <c r="R1410">
        <v>321</v>
      </c>
      <c r="S1410">
        <v>20</v>
      </c>
      <c r="T1410">
        <v>96</v>
      </c>
      <c r="U1410">
        <v>66</v>
      </c>
      <c r="V1410">
        <v>30</v>
      </c>
      <c r="W1410">
        <v>21</v>
      </c>
      <c r="X1410">
        <v>34</v>
      </c>
      <c r="Y1410" s="5">
        <v>1.94</v>
      </c>
    </row>
    <row r="1411" spans="1:25" x14ac:dyDescent="0.25">
      <c r="A1411">
        <v>2021</v>
      </c>
      <c r="B1411" t="s">
        <v>57</v>
      </c>
      <c r="C1411">
        <v>12</v>
      </c>
      <c r="D1411">
        <v>119</v>
      </c>
      <c r="E1411" t="s">
        <v>26</v>
      </c>
      <c r="F1411" t="s">
        <v>118</v>
      </c>
      <c r="G1411">
        <f t="shared" si="22"/>
        <v>1</v>
      </c>
      <c r="H1411">
        <v>10</v>
      </c>
      <c r="I1411">
        <v>3</v>
      </c>
      <c r="J1411">
        <v>0</v>
      </c>
      <c r="K1411" s="6" t="s">
        <v>112</v>
      </c>
      <c r="L1411" s="6" t="s">
        <v>88</v>
      </c>
      <c r="M1411">
        <v>156</v>
      </c>
      <c r="N1411" s="1">
        <v>0.51</v>
      </c>
      <c r="O1411">
        <v>55</v>
      </c>
      <c r="P1411" s="1">
        <v>0.39</v>
      </c>
      <c r="Q1411" s="1">
        <v>0.72199999999999998</v>
      </c>
      <c r="R1411">
        <v>445</v>
      </c>
      <c r="S1411">
        <v>45</v>
      </c>
      <c r="T1411">
        <v>202</v>
      </c>
      <c r="U1411">
        <v>142</v>
      </c>
      <c r="V1411">
        <v>26</v>
      </c>
      <c r="W1411">
        <v>25</v>
      </c>
      <c r="X1411">
        <v>73</v>
      </c>
      <c r="Y1411" s="5">
        <v>1.95</v>
      </c>
    </row>
    <row r="1412" spans="1:25" x14ac:dyDescent="0.25">
      <c r="A1412">
        <v>2021</v>
      </c>
      <c r="B1412" t="s">
        <v>57</v>
      </c>
      <c r="C1412">
        <v>12</v>
      </c>
      <c r="D1412">
        <v>120</v>
      </c>
      <c r="E1412" t="s">
        <v>94</v>
      </c>
      <c r="F1412" t="s">
        <v>40</v>
      </c>
      <c r="G1412">
        <f t="shared" si="22"/>
        <v>1</v>
      </c>
      <c r="H1412">
        <v>11</v>
      </c>
      <c r="I1412">
        <v>2</v>
      </c>
      <c r="J1412">
        <v>0</v>
      </c>
      <c r="K1412" s="6" t="s">
        <v>191</v>
      </c>
      <c r="L1412" s="6" t="s">
        <v>113</v>
      </c>
      <c r="M1412">
        <v>208</v>
      </c>
      <c r="N1412" s="1">
        <v>0.52800000000000002</v>
      </c>
      <c r="O1412">
        <v>58</v>
      </c>
      <c r="P1412" s="1">
        <v>0.43</v>
      </c>
      <c r="Q1412" s="1">
        <v>0.81899999999999995</v>
      </c>
      <c r="R1412">
        <v>542</v>
      </c>
      <c r="S1412">
        <v>24</v>
      </c>
      <c r="T1412">
        <v>136</v>
      </c>
      <c r="U1412">
        <v>96</v>
      </c>
      <c r="V1412">
        <v>35</v>
      </c>
      <c r="W1412">
        <v>7</v>
      </c>
      <c r="X1412">
        <v>53</v>
      </c>
      <c r="Y1412" s="5">
        <v>1.81</v>
      </c>
    </row>
    <row r="1413" spans="1:25" x14ac:dyDescent="0.25">
      <c r="A1413">
        <v>2021</v>
      </c>
      <c r="B1413" t="s">
        <v>57</v>
      </c>
      <c r="C1413">
        <v>12</v>
      </c>
      <c r="D1413">
        <v>120</v>
      </c>
      <c r="E1413" t="s">
        <v>190</v>
      </c>
      <c r="F1413" t="s">
        <v>103</v>
      </c>
      <c r="G1413">
        <f t="shared" si="22"/>
        <v>0</v>
      </c>
      <c r="H1413">
        <v>2</v>
      </c>
      <c r="I1413">
        <v>11</v>
      </c>
      <c r="J1413">
        <v>0</v>
      </c>
      <c r="K1413" s="6" t="s">
        <v>106</v>
      </c>
      <c r="L1413" s="6" t="s">
        <v>83</v>
      </c>
      <c r="M1413">
        <v>193</v>
      </c>
      <c r="N1413" s="1">
        <v>0.46</v>
      </c>
      <c r="O1413">
        <v>31</v>
      </c>
      <c r="P1413" s="1">
        <v>0.248</v>
      </c>
      <c r="Q1413" s="1">
        <v>0.71099999999999997</v>
      </c>
      <c r="R1413">
        <v>498</v>
      </c>
      <c r="S1413">
        <v>36</v>
      </c>
      <c r="T1413">
        <v>121</v>
      </c>
      <c r="U1413">
        <v>92</v>
      </c>
      <c r="V1413">
        <v>25</v>
      </c>
      <c r="W1413">
        <v>20</v>
      </c>
      <c r="X1413">
        <v>66</v>
      </c>
      <c r="Y1413" s="5">
        <v>1.39</v>
      </c>
    </row>
    <row r="1414" spans="1:25" x14ac:dyDescent="0.25">
      <c r="A1414">
        <v>2021</v>
      </c>
      <c r="B1414" t="s">
        <v>57</v>
      </c>
      <c r="C1414">
        <v>13</v>
      </c>
      <c r="D1414">
        <f>+D1413+1</f>
        <v>121</v>
      </c>
      <c r="E1414" t="s">
        <v>23</v>
      </c>
      <c r="F1414" t="s">
        <v>120</v>
      </c>
      <c r="G1414">
        <f t="shared" si="22"/>
        <v>0</v>
      </c>
      <c r="H1414">
        <v>6</v>
      </c>
      <c r="I1414">
        <v>6</v>
      </c>
      <c r="J1414">
        <v>1</v>
      </c>
      <c r="K1414" s="6" t="str">
        <f>"vs "&amp;E1415</f>
        <v>vs st.Helens Eruptions</v>
      </c>
      <c r="L1414" s="6" t="str">
        <f>"vs "&amp;F1415</f>
        <v>vs Aris</v>
      </c>
      <c r="M1414">
        <v>157</v>
      </c>
      <c r="N1414" s="1">
        <v>0.45200000000000001</v>
      </c>
      <c r="O1414">
        <v>47</v>
      </c>
      <c r="P1414" s="1">
        <v>0.34599999999999997</v>
      </c>
      <c r="Q1414" s="1">
        <v>0.81599999999999995</v>
      </c>
      <c r="R1414">
        <v>445</v>
      </c>
      <c r="S1414">
        <v>39</v>
      </c>
      <c r="T1414">
        <v>160</v>
      </c>
      <c r="U1414">
        <v>88</v>
      </c>
      <c r="V1414">
        <v>22</v>
      </c>
      <c r="W1414">
        <v>18</v>
      </c>
      <c r="X1414">
        <v>46</v>
      </c>
      <c r="Y1414" s="5">
        <v>1.91</v>
      </c>
    </row>
    <row r="1415" spans="1:25" x14ac:dyDescent="0.25">
      <c r="A1415">
        <v>2021</v>
      </c>
      <c r="B1415" t="s">
        <v>57</v>
      </c>
      <c r="C1415">
        <v>13</v>
      </c>
      <c r="D1415">
        <f>+D1414</f>
        <v>121</v>
      </c>
      <c r="E1415" t="s">
        <v>21</v>
      </c>
      <c r="F1415" t="s">
        <v>50</v>
      </c>
      <c r="G1415">
        <f t="shared" si="22"/>
        <v>0</v>
      </c>
      <c r="H1415">
        <v>6</v>
      </c>
      <c r="I1415">
        <v>6</v>
      </c>
      <c r="J1415">
        <v>1</v>
      </c>
      <c r="K1415" s="6" t="str">
        <f>"vs "&amp;E1414</f>
        <v>vs Pachiana NinjaBees</v>
      </c>
      <c r="L1415" s="6" t="str">
        <f>"vs "&amp;F1414</f>
        <v>vs Spiridaus/Oladipas</v>
      </c>
      <c r="M1415">
        <v>137</v>
      </c>
      <c r="N1415" s="1">
        <v>0.49299999999999999</v>
      </c>
      <c r="O1415">
        <v>47</v>
      </c>
      <c r="P1415" s="1">
        <v>0.41599999999999998</v>
      </c>
      <c r="Q1415" s="1">
        <v>0.85699999999999998</v>
      </c>
      <c r="R1415">
        <v>363</v>
      </c>
      <c r="S1415">
        <v>20</v>
      </c>
      <c r="T1415">
        <v>114</v>
      </c>
      <c r="U1415">
        <v>85</v>
      </c>
      <c r="V1415">
        <v>35</v>
      </c>
      <c r="W1415">
        <v>13</v>
      </c>
      <c r="X1415">
        <v>34</v>
      </c>
      <c r="Y1415" s="5">
        <v>2.5</v>
      </c>
    </row>
    <row r="1416" spans="1:25" x14ac:dyDescent="0.25">
      <c r="A1416">
        <v>2021</v>
      </c>
      <c r="B1416" t="s">
        <v>57</v>
      </c>
      <c r="C1416">
        <v>13</v>
      </c>
      <c r="D1416">
        <f>+D1415+1</f>
        <v>122</v>
      </c>
      <c r="E1416" t="s">
        <v>96</v>
      </c>
      <c r="F1416" t="s">
        <v>102</v>
      </c>
      <c r="G1416">
        <f t="shared" si="22"/>
        <v>0</v>
      </c>
      <c r="H1416">
        <v>6</v>
      </c>
      <c r="I1416">
        <v>7</v>
      </c>
      <c r="J1416">
        <v>0</v>
      </c>
      <c r="K1416" s="6" t="str">
        <f>"vs "&amp;E1417</f>
        <v>vs Salonika Devils</v>
      </c>
      <c r="L1416" s="6" t="str">
        <f>"vs "&amp;F1417</f>
        <v>vs Fountos</v>
      </c>
      <c r="M1416">
        <v>158</v>
      </c>
      <c r="N1416" s="1">
        <v>0.44</v>
      </c>
      <c r="O1416">
        <v>39</v>
      </c>
      <c r="P1416" s="1">
        <v>0.34499999999999997</v>
      </c>
      <c r="Q1416" s="1">
        <v>0.81499999999999995</v>
      </c>
      <c r="R1416">
        <v>452</v>
      </c>
      <c r="S1416">
        <v>69</v>
      </c>
      <c r="T1416">
        <v>171</v>
      </c>
      <c r="U1416">
        <v>123</v>
      </c>
      <c r="V1416">
        <v>32</v>
      </c>
      <c r="W1416">
        <v>19</v>
      </c>
      <c r="X1416">
        <v>67</v>
      </c>
      <c r="Y1416" s="5">
        <v>1.84</v>
      </c>
    </row>
    <row r="1417" spans="1:25" x14ac:dyDescent="0.25">
      <c r="A1417">
        <v>2021</v>
      </c>
      <c r="B1417" t="s">
        <v>57</v>
      </c>
      <c r="C1417">
        <v>13</v>
      </c>
      <c r="D1417">
        <f>+D1416</f>
        <v>122</v>
      </c>
      <c r="E1417" t="s">
        <v>15</v>
      </c>
      <c r="F1417" t="s">
        <v>48</v>
      </c>
      <c r="G1417">
        <f t="shared" si="22"/>
        <v>1</v>
      </c>
      <c r="H1417">
        <v>7</v>
      </c>
      <c r="I1417">
        <v>6</v>
      </c>
      <c r="J1417">
        <v>0</v>
      </c>
      <c r="K1417" s="6" t="str">
        <f>"vs "&amp;E1416</f>
        <v>vs Knights of Ni</v>
      </c>
      <c r="L1417" s="6" t="str">
        <f>"vs "&amp;F1416</f>
        <v>vs Tolios</v>
      </c>
      <c r="M1417">
        <v>200</v>
      </c>
      <c r="N1417" s="1">
        <v>0.47599999999999998</v>
      </c>
      <c r="O1417">
        <v>45</v>
      </c>
      <c r="P1417" s="1">
        <v>0.36899999999999999</v>
      </c>
      <c r="Q1417" s="1">
        <v>0.79200000000000004</v>
      </c>
      <c r="R1417">
        <v>506</v>
      </c>
      <c r="S1417">
        <v>28</v>
      </c>
      <c r="T1417">
        <v>104</v>
      </c>
      <c r="U1417">
        <v>104</v>
      </c>
      <c r="V1417">
        <v>31</v>
      </c>
      <c r="W1417">
        <v>15</v>
      </c>
      <c r="X1417">
        <v>43</v>
      </c>
      <c r="Y1417" s="5">
        <v>2.42</v>
      </c>
    </row>
    <row r="1418" spans="1:25" x14ac:dyDescent="0.25">
      <c r="A1418">
        <v>2021</v>
      </c>
      <c r="B1418" t="s">
        <v>57</v>
      </c>
      <c r="C1418">
        <v>13</v>
      </c>
      <c r="D1418">
        <f>+D1417+1</f>
        <v>123</v>
      </c>
      <c r="E1418" t="s">
        <v>99</v>
      </c>
      <c r="F1418" t="s">
        <v>45</v>
      </c>
      <c r="G1418">
        <f t="shared" si="22"/>
        <v>1</v>
      </c>
      <c r="H1418">
        <v>9</v>
      </c>
      <c r="I1418">
        <v>4</v>
      </c>
      <c r="J1418">
        <v>0</v>
      </c>
      <c r="K1418" s="6" t="str">
        <f>"vs "&amp;E1419</f>
        <v>vs Donkey Rolls</v>
      </c>
      <c r="L1418" s="6" t="str">
        <f>"vs "&amp;F1419</f>
        <v>vs Markos</v>
      </c>
      <c r="M1418">
        <v>235</v>
      </c>
      <c r="N1418" s="1">
        <v>0.48099999999999998</v>
      </c>
      <c r="O1418">
        <v>86</v>
      </c>
      <c r="P1418" s="1">
        <v>0.38900000000000001</v>
      </c>
      <c r="Q1418" s="1">
        <v>0.75700000000000001</v>
      </c>
      <c r="R1418">
        <v>659</v>
      </c>
      <c r="S1418">
        <v>36</v>
      </c>
      <c r="T1418">
        <v>151</v>
      </c>
      <c r="U1418">
        <v>110</v>
      </c>
      <c r="V1418">
        <v>29</v>
      </c>
      <c r="W1418">
        <v>19</v>
      </c>
      <c r="X1418">
        <v>73</v>
      </c>
      <c r="Y1418" s="5">
        <v>1.51</v>
      </c>
    </row>
    <row r="1419" spans="1:25" x14ac:dyDescent="0.25">
      <c r="A1419">
        <v>2021</v>
      </c>
      <c r="B1419" t="s">
        <v>57</v>
      </c>
      <c r="C1419">
        <v>13</v>
      </c>
      <c r="D1419">
        <f>+D1418</f>
        <v>123</v>
      </c>
      <c r="E1419" t="s">
        <v>17</v>
      </c>
      <c r="F1419" t="s">
        <v>43</v>
      </c>
      <c r="G1419">
        <f t="shared" si="22"/>
        <v>0</v>
      </c>
      <c r="H1419">
        <v>4</v>
      </c>
      <c r="I1419">
        <v>9</v>
      </c>
      <c r="J1419">
        <v>0</v>
      </c>
      <c r="K1419" s="6" t="str">
        <f>"vs "&amp;E1418</f>
        <v>vs Tsarlatans</v>
      </c>
      <c r="L1419" s="6" t="str">
        <f>"vs "&amp;F1418</f>
        <v>vs Tzokos</v>
      </c>
      <c r="M1419">
        <v>150</v>
      </c>
      <c r="N1419" s="1">
        <v>0.435</v>
      </c>
      <c r="O1419">
        <v>41</v>
      </c>
      <c r="P1419" s="1">
        <v>0.32800000000000001</v>
      </c>
      <c r="Q1419" s="1">
        <v>0.62</v>
      </c>
      <c r="R1419">
        <v>385</v>
      </c>
      <c r="S1419">
        <v>39</v>
      </c>
      <c r="T1419">
        <v>139</v>
      </c>
      <c r="U1419">
        <v>85</v>
      </c>
      <c r="V1419">
        <v>25</v>
      </c>
      <c r="W1419">
        <v>30</v>
      </c>
      <c r="X1419">
        <v>54</v>
      </c>
      <c r="Y1419" s="5">
        <v>1.57</v>
      </c>
    </row>
    <row r="1420" spans="1:25" x14ac:dyDescent="0.25">
      <c r="A1420">
        <v>2021</v>
      </c>
      <c r="B1420" t="s">
        <v>57</v>
      </c>
      <c r="C1420">
        <v>13</v>
      </c>
      <c r="D1420">
        <f>+D1419+1</f>
        <v>124</v>
      </c>
      <c r="E1420" t="s">
        <v>28</v>
      </c>
      <c r="F1420" t="s">
        <v>46</v>
      </c>
      <c r="G1420">
        <f t="shared" si="22"/>
        <v>1</v>
      </c>
      <c r="H1420">
        <v>8</v>
      </c>
      <c r="I1420">
        <v>5</v>
      </c>
      <c r="J1420">
        <v>0</v>
      </c>
      <c r="K1420" s="6" t="str">
        <f>"vs "&amp;E1421</f>
        <v>vs purple fuzzy apache pirates</v>
      </c>
      <c r="L1420" s="6" t="str">
        <f>"vs "&amp;F1421</f>
        <v>vs pi/Sotiris</v>
      </c>
      <c r="M1420">
        <v>258</v>
      </c>
      <c r="N1420" s="1">
        <v>0.48599999999999999</v>
      </c>
      <c r="O1420">
        <v>58</v>
      </c>
      <c r="P1420" s="1">
        <v>0.35599999999999998</v>
      </c>
      <c r="Q1420" s="1">
        <v>0.78700000000000003</v>
      </c>
      <c r="R1420">
        <v>648</v>
      </c>
      <c r="S1420">
        <v>59</v>
      </c>
      <c r="T1420">
        <v>203</v>
      </c>
      <c r="U1420">
        <v>157</v>
      </c>
      <c r="V1420">
        <v>32</v>
      </c>
      <c r="W1420">
        <v>27</v>
      </c>
      <c r="X1420">
        <v>76</v>
      </c>
      <c r="Y1420" s="5">
        <v>2.0699999999999998</v>
      </c>
    </row>
    <row r="1421" spans="1:25" x14ac:dyDescent="0.25">
      <c r="A1421">
        <v>2021</v>
      </c>
      <c r="B1421" t="s">
        <v>57</v>
      </c>
      <c r="C1421">
        <v>13</v>
      </c>
      <c r="D1421">
        <f>+D1420</f>
        <v>124</v>
      </c>
      <c r="E1421" t="s">
        <v>159</v>
      </c>
      <c r="F1421" t="s">
        <v>116</v>
      </c>
      <c r="G1421">
        <f t="shared" si="22"/>
        <v>0</v>
      </c>
      <c r="H1421">
        <v>5</v>
      </c>
      <c r="I1421">
        <v>8</v>
      </c>
      <c r="J1421">
        <v>0</v>
      </c>
      <c r="K1421" s="6" t="str">
        <f>"vs "&amp;E1420</f>
        <v>vs Steven Adams' Moustache</v>
      </c>
      <c r="L1421" s="6" t="str">
        <f>"vs "&amp;F1420</f>
        <v>vs Johnny</v>
      </c>
      <c r="M1421">
        <v>227</v>
      </c>
      <c r="N1421" s="1">
        <v>0.47699999999999998</v>
      </c>
      <c r="O1421">
        <v>68</v>
      </c>
      <c r="P1421" s="1">
        <v>0.38900000000000001</v>
      </c>
      <c r="Q1421" s="1">
        <v>0.84199999999999997</v>
      </c>
      <c r="R1421">
        <v>586</v>
      </c>
      <c r="S1421">
        <v>45</v>
      </c>
      <c r="T1421">
        <v>168</v>
      </c>
      <c r="U1421">
        <v>103</v>
      </c>
      <c r="V1421">
        <v>21</v>
      </c>
      <c r="W1421">
        <v>25</v>
      </c>
      <c r="X1421">
        <v>48</v>
      </c>
      <c r="Y1421" s="5">
        <v>2.15</v>
      </c>
    </row>
    <row r="1422" spans="1:25" x14ac:dyDescent="0.25">
      <c r="A1422">
        <v>2021</v>
      </c>
      <c r="B1422" t="s">
        <v>57</v>
      </c>
      <c r="C1422">
        <v>13</v>
      </c>
      <c r="D1422">
        <f>+D1421+1</f>
        <v>125</v>
      </c>
      <c r="E1422" t="s">
        <v>97</v>
      </c>
      <c r="F1422" t="s">
        <v>54</v>
      </c>
      <c r="G1422">
        <f t="shared" si="22"/>
        <v>0</v>
      </c>
      <c r="H1422">
        <v>6</v>
      </c>
      <c r="I1422">
        <v>7</v>
      </c>
      <c r="J1422">
        <v>0</v>
      </c>
      <c r="K1422" s="6" t="str">
        <f>"vs "&amp;E1423</f>
        <v>vs The Others</v>
      </c>
      <c r="L1422" s="6" t="str">
        <f>"vs "&amp;F1423</f>
        <v>vs Miggianis</v>
      </c>
      <c r="M1422">
        <v>180</v>
      </c>
      <c r="N1422" s="1">
        <v>0.41399999999999998</v>
      </c>
      <c r="O1422">
        <v>46</v>
      </c>
      <c r="P1422" s="1">
        <v>0.309</v>
      </c>
      <c r="Q1422" s="1">
        <v>0.81599999999999995</v>
      </c>
      <c r="R1422">
        <v>499</v>
      </c>
      <c r="S1422">
        <v>27</v>
      </c>
      <c r="T1422">
        <v>130</v>
      </c>
      <c r="U1422">
        <v>162</v>
      </c>
      <c r="V1422">
        <v>23</v>
      </c>
      <c r="W1422">
        <v>12</v>
      </c>
      <c r="X1422">
        <v>79</v>
      </c>
      <c r="Y1422" s="5">
        <v>2.0499999999999998</v>
      </c>
    </row>
    <row r="1423" spans="1:25" x14ac:dyDescent="0.25">
      <c r="A1423">
        <v>2021</v>
      </c>
      <c r="B1423" t="s">
        <v>57</v>
      </c>
      <c r="C1423">
        <v>13</v>
      </c>
      <c r="D1423">
        <f>+D1422</f>
        <v>125</v>
      </c>
      <c r="E1423" t="s">
        <v>18</v>
      </c>
      <c r="F1423" t="s">
        <v>52</v>
      </c>
      <c r="G1423">
        <f t="shared" si="22"/>
        <v>1</v>
      </c>
      <c r="H1423">
        <v>7</v>
      </c>
      <c r="I1423">
        <v>6</v>
      </c>
      <c r="J1423">
        <v>0</v>
      </c>
      <c r="K1423" s="6" t="str">
        <f>"vs "&amp;E1422</f>
        <v>vs Underdogs</v>
      </c>
      <c r="L1423" s="6" t="str">
        <f>"vs "&amp;F1422</f>
        <v>vs Nonis</v>
      </c>
      <c r="M1423">
        <v>134</v>
      </c>
      <c r="N1423" s="1">
        <v>0.502</v>
      </c>
      <c r="O1423">
        <v>44</v>
      </c>
      <c r="P1423" s="1">
        <v>0.40699999999999997</v>
      </c>
      <c r="Q1423" s="1">
        <v>0.73799999999999999</v>
      </c>
      <c r="R1423">
        <v>343</v>
      </c>
      <c r="S1423">
        <v>28</v>
      </c>
      <c r="T1423">
        <v>94</v>
      </c>
      <c r="U1423">
        <v>74</v>
      </c>
      <c r="V1423">
        <v>34</v>
      </c>
      <c r="W1423">
        <v>14</v>
      </c>
      <c r="X1423">
        <v>32</v>
      </c>
      <c r="Y1423" s="5">
        <v>2.31</v>
      </c>
    </row>
    <row r="1424" spans="1:25" x14ac:dyDescent="0.25">
      <c r="A1424">
        <v>2021</v>
      </c>
      <c r="B1424" t="s">
        <v>57</v>
      </c>
      <c r="C1424">
        <v>13</v>
      </c>
      <c r="D1424">
        <f>+D1423+1</f>
        <v>126</v>
      </c>
      <c r="E1424" t="s">
        <v>33</v>
      </c>
      <c r="F1424" t="s">
        <v>42</v>
      </c>
      <c r="G1424">
        <f t="shared" si="22"/>
        <v>0</v>
      </c>
      <c r="H1424">
        <v>6</v>
      </c>
      <c r="I1424">
        <v>7</v>
      </c>
      <c r="J1424">
        <v>0</v>
      </c>
      <c r="K1424" s="6" t="str">
        <f>"vs "&amp;E1425</f>
        <v>vs Samarina Dudenbros</v>
      </c>
      <c r="L1424" s="6" t="str">
        <f>"vs "&amp;F1425</f>
        <v>vs Sakellariou</v>
      </c>
      <c r="M1424">
        <v>205</v>
      </c>
      <c r="N1424" s="1">
        <v>0.44600000000000001</v>
      </c>
      <c r="O1424">
        <v>57</v>
      </c>
      <c r="P1424" s="1">
        <v>0.33900000000000002</v>
      </c>
      <c r="Q1424" s="1">
        <v>0.754</v>
      </c>
      <c r="R1424">
        <v>571</v>
      </c>
      <c r="S1424">
        <v>38</v>
      </c>
      <c r="T1424">
        <v>161</v>
      </c>
      <c r="U1424">
        <v>137</v>
      </c>
      <c r="V1424">
        <v>32</v>
      </c>
      <c r="W1424">
        <v>25</v>
      </c>
      <c r="X1424">
        <v>71</v>
      </c>
      <c r="Y1424" s="5">
        <v>1.93</v>
      </c>
    </row>
    <row r="1425" spans="1:25" x14ac:dyDescent="0.25">
      <c r="A1425">
        <v>2021</v>
      </c>
      <c r="B1425" t="s">
        <v>57</v>
      </c>
      <c r="C1425">
        <v>13</v>
      </c>
      <c r="D1425">
        <f>+D1424</f>
        <v>126</v>
      </c>
      <c r="E1425" t="s">
        <v>181</v>
      </c>
      <c r="F1425" t="s">
        <v>49</v>
      </c>
      <c r="G1425">
        <f t="shared" si="22"/>
        <v>1</v>
      </c>
      <c r="H1425">
        <v>7</v>
      </c>
      <c r="I1425">
        <v>6</v>
      </c>
      <c r="J1425">
        <v>0</v>
      </c>
      <c r="K1425" s="6" t="str">
        <f>"vs "&amp;E1424</f>
        <v>vs The Guns</v>
      </c>
      <c r="L1425" s="6" t="str">
        <f>"vs "&amp;F1424</f>
        <v>vs Vasilis</v>
      </c>
      <c r="M1425">
        <v>189</v>
      </c>
      <c r="N1425" s="1">
        <v>0.51200000000000001</v>
      </c>
      <c r="O1425">
        <v>58</v>
      </c>
      <c r="P1425" s="1">
        <v>0.433</v>
      </c>
      <c r="Q1425" s="1">
        <v>0.81100000000000005</v>
      </c>
      <c r="R1425">
        <v>496</v>
      </c>
      <c r="S1425">
        <v>55</v>
      </c>
      <c r="T1425">
        <v>137</v>
      </c>
      <c r="U1425">
        <v>93</v>
      </c>
      <c r="V1425">
        <v>20</v>
      </c>
      <c r="W1425">
        <v>16</v>
      </c>
      <c r="X1425">
        <v>38</v>
      </c>
      <c r="Y1425" s="5">
        <v>2.4500000000000002</v>
      </c>
    </row>
    <row r="1426" spans="1:25" x14ac:dyDescent="0.25">
      <c r="A1426">
        <v>2021</v>
      </c>
      <c r="B1426" t="s">
        <v>57</v>
      </c>
      <c r="C1426">
        <v>13</v>
      </c>
      <c r="D1426">
        <f>+D1425+1</f>
        <v>127</v>
      </c>
      <c r="E1426" t="s">
        <v>95</v>
      </c>
      <c r="F1426" t="s">
        <v>101</v>
      </c>
      <c r="G1426">
        <f t="shared" si="22"/>
        <v>1</v>
      </c>
      <c r="H1426">
        <v>7</v>
      </c>
      <c r="I1426">
        <v>6</v>
      </c>
      <c r="J1426">
        <v>0</v>
      </c>
      <c r="K1426" s="6" t="str">
        <f>"vs "&amp;E1427</f>
        <v>vs Guruuu 🐐🐐🐐</v>
      </c>
      <c r="L1426" s="6" t="str">
        <f>"vs "&amp;F1427</f>
        <v>vs Guru</v>
      </c>
      <c r="M1426">
        <v>138</v>
      </c>
      <c r="N1426" s="1">
        <v>0.40100000000000002</v>
      </c>
      <c r="O1426">
        <v>52</v>
      </c>
      <c r="P1426" s="1">
        <v>0.34399999999999997</v>
      </c>
      <c r="Q1426" s="1">
        <v>0.76900000000000002</v>
      </c>
      <c r="R1426">
        <v>378</v>
      </c>
      <c r="S1426">
        <v>36</v>
      </c>
      <c r="T1426">
        <v>110</v>
      </c>
      <c r="U1426">
        <v>97</v>
      </c>
      <c r="V1426">
        <v>31</v>
      </c>
      <c r="W1426">
        <v>12</v>
      </c>
      <c r="X1426">
        <v>51</v>
      </c>
      <c r="Y1426" s="5">
        <v>1.9</v>
      </c>
    </row>
    <row r="1427" spans="1:25" x14ac:dyDescent="0.25">
      <c r="A1427">
        <v>2021</v>
      </c>
      <c r="B1427" t="s">
        <v>57</v>
      </c>
      <c r="C1427">
        <v>13</v>
      </c>
      <c r="D1427">
        <f>+D1426</f>
        <v>127</v>
      </c>
      <c r="E1427" t="s">
        <v>93</v>
      </c>
      <c r="F1427" t="s">
        <v>189</v>
      </c>
      <c r="G1427">
        <f t="shared" si="22"/>
        <v>0</v>
      </c>
      <c r="H1427">
        <v>6</v>
      </c>
      <c r="I1427">
        <v>7</v>
      </c>
      <c r="J1427">
        <v>0</v>
      </c>
      <c r="K1427" s="6" t="str">
        <f>"vs "&amp;E1426</f>
        <v>vs Baltimore Hercules</v>
      </c>
      <c r="L1427" s="6" t="str">
        <f>"vs "&amp;F1426</f>
        <v>vs Sarantos</v>
      </c>
      <c r="M1427">
        <v>122</v>
      </c>
      <c r="N1427" s="1">
        <v>0.40400000000000003</v>
      </c>
      <c r="O1427">
        <v>38</v>
      </c>
      <c r="P1427" s="1">
        <v>0.27</v>
      </c>
      <c r="Q1427" s="1">
        <v>0.88</v>
      </c>
      <c r="R1427">
        <v>348</v>
      </c>
      <c r="S1427">
        <v>38</v>
      </c>
      <c r="T1427">
        <v>106</v>
      </c>
      <c r="U1427">
        <v>73</v>
      </c>
      <c r="V1427">
        <v>19</v>
      </c>
      <c r="W1427">
        <v>25</v>
      </c>
      <c r="X1427">
        <v>34</v>
      </c>
      <c r="Y1427" s="5">
        <v>2.15</v>
      </c>
    </row>
    <row r="1428" spans="1:25" x14ac:dyDescent="0.25">
      <c r="A1428">
        <v>2021</v>
      </c>
      <c r="B1428" t="s">
        <v>57</v>
      </c>
      <c r="C1428">
        <v>13</v>
      </c>
      <c r="D1428">
        <f>+D1427+1</f>
        <v>128</v>
      </c>
      <c r="E1428" t="s">
        <v>26</v>
      </c>
      <c r="F1428" t="s">
        <v>118</v>
      </c>
      <c r="G1428">
        <f t="shared" si="22"/>
        <v>1</v>
      </c>
      <c r="H1428">
        <v>7</v>
      </c>
      <c r="I1428">
        <v>6</v>
      </c>
      <c r="J1428">
        <v>0</v>
      </c>
      <c r="K1428" s="6" t="str">
        <f>"vs "&amp;E1429</f>
        <v>vs The Bridgeburners</v>
      </c>
      <c r="L1428" s="6" t="str">
        <f>"vs "&amp;F1429</f>
        <v>vs Fanis</v>
      </c>
      <c r="M1428">
        <v>127</v>
      </c>
      <c r="N1428" s="1">
        <v>0.47</v>
      </c>
      <c r="O1428">
        <v>46</v>
      </c>
      <c r="P1428" s="1">
        <v>0.42599999999999999</v>
      </c>
      <c r="Q1428" s="1">
        <v>0.67100000000000004</v>
      </c>
      <c r="R1428">
        <v>357</v>
      </c>
      <c r="S1428">
        <v>35</v>
      </c>
      <c r="T1428">
        <v>159</v>
      </c>
      <c r="U1428">
        <v>97</v>
      </c>
      <c r="V1428">
        <v>28</v>
      </c>
      <c r="W1428">
        <v>27</v>
      </c>
      <c r="X1428">
        <v>50</v>
      </c>
      <c r="Y1428" s="5">
        <v>1.94</v>
      </c>
    </row>
    <row r="1429" spans="1:25" x14ac:dyDescent="0.25">
      <c r="A1429">
        <v>2021</v>
      </c>
      <c r="B1429" t="s">
        <v>57</v>
      </c>
      <c r="C1429">
        <v>13</v>
      </c>
      <c r="D1429">
        <f>+D1428</f>
        <v>128</v>
      </c>
      <c r="E1429" t="s">
        <v>16</v>
      </c>
      <c r="F1429" t="s">
        <v>51</v>
      </c>
      <c r="G1429">
        <f t="shared" si="22"/>
        <v>0</v>
      </c>
      <c r="H1429">
        <v>6</v>
      </c>
      <c r="I1429">
        <v>7</v>
      </c>
      <c r="J1429">
        <v>0</v>
      </c>
      <c r="K1429" s="6" t="str">
        <f>"vs "&amp;E1428</f>
        <v>vs Kourayo Vallecano</v>
      </c>
      <c r="L1429" s="6" t="str">
        <f>"vs "&amp;F1428</f>
        <v>vs Ziogas/Christof</v>
      </c>
      <c r="M1429">
        <v>123</v>
      </c>
      <c r="N1429" s="1">
        <v>0.49399999999999999</v>
      </c>
      <c r="O1429">
        <v>36</v>
      </c>
      <c r="P1429" s="1">
        <v>0.40899999999999997</v>
      </c>
      <c r="Q1429" s="1">
        <v>0.72299999999999998</v>
      </c>
      <c r="R1429">
        <v>329</v>
      </c>
      <c r="S1429">
        <v>41</v>
      </c>
      <c r="T1429">
        <v>151</v>
      </c>
      <c r="U1429">
        <v>76</v>
      </c>
      <c r="V1429">
        <v>32</v>
      </c>
      <c r="W1429">
        <v>37</v>
      </c>
      <c r="X1429">
        <v>41</v>
      </c>
      <c r="Y1429" s="5">
        <v>1.85</v>
      </c>
    </row>
    <row r="1430" spans="1:25" x14ac:dyDescent="0.25">
      <c r="A1430">
        <v>2021</v>
      </c>
      <c r="B1430" t="s">
        <v>57</v>
      </c>
      <c r="C1430">
        <v>13</v>
      </c>
      <c r="D1430">
        <f>+D1429+1</f>
        <v>129</v>
      </c>
      <c r="E1430" t="s">
        <v>190</v>
      </c>
      <c r="F1430" t="s">
        <v>103</v>
      </c>
      <c r="G1430">
        <f t="shared" si="22"/>
        <v>1</v>
      </c>
      <c r="H1430">
        <v>11</v>
      </c>
      <c r="I1430">
        <v>2</v>
      </c>
      <c r="J1430">
        <v>0</v>
      </c>
      <c r="K1430" s="6" t="str">
        <f>"vs "&amp;E1431</f>
        <v>vs The Rookies</v>
      </c>
      <c r="L1430" s="6" t="str">
        <f>"vs "&amp;F1431</f>
        <v>vs Kousidis</v>
      </c>
      <c r="M1430">
        <v>211</v>
      </c>
      <c r="N1430" s="1">
        <v>0.52900000000000003</v>
      </c>
      <c r="O1430">
        <v>55</v>
      </c>
      <c r="P1430" s="1">
        <v>0.433</v>
      </c>
      <c r="Q1430" s="1">
        <v>0.80200000000000005</v>
      </c>
      <c r="R1430">
        <v>558</v>
      </c>
      <c r="S1430">
        <v>32</v>
      </c>
      <c r="T1430">
        <v>124</v>
      </c>
      <c r="U1430">
        <v>94</v>
      </c>
      <c r="V1430">
        <v>24</v>
      </c>
      <c r="W1430">
        <v>22</v>
      </c>
      <c r="X1430">
        <v>46</v>
      </c>
      <c r="Y1430" s="5">
        <v>2.04</v>
      </c>
    </row>
    <row r="1431" spans="1:25" x14ac:dyDescent="0.25">
      <c r="A1431">
        <v>2021</v>
      </c>
      <c r="B1431" t="s">
        <v>57</v>
      </c>
      <c r="C1431">
        <v>13</v>
      </c>
      <c r="D1431">
        <f>+D1430</f>
        <v>129</v>
      </c>
      <c r="E1431" t="s">
        <v>25</v>
      </c>
      <c r="F1431" t="s">
        <v>53</v>
      </c>
      <c r="G1431">
        <f t="shared" si="22"/>
        <v>0</v>
      </c>
      <c r="H1431">
        <v>2</v>
      </c>
      <c r="I1431">
        <v>11</v>
      </c>
      <c r="J1431">
        <v>0</v>
      </c>
      <c r="K1431" s="6" t="str">
        <f>"vs "&amp;E1430</f>
        <v>vs Karafli SaiTa</v>
      </c>
      <c r="L1431" s="6" t="str">
        <f>"vs "&amp;F1430</f>
        <v>vs Tassos</v>
      </c>
      <c r="M1431">
        <v>99</v>
      </c>
      <c r="N1431" s="1">
        <v>0.432</v>
      </c>
      <c r="O1431">
        <v>32</v>
      </c>
      <c r="P1431" s="1">
        <v>0.36399999999999999</v>
      </c>
      <c r="Q1431" s="1">
        <v>0.76100000000000001</v>
      </c>
      <c r="R1431">
        <v>281</v>
      </c>
      <c r="S1431">
        <v>37</v>
      </c>
      <c r="T1431">
        <v>96</v>
      </c>
      <c r="U1431">
        <v>46</v>
      </c>
      <c r="V1431">
        <v>16</v>
      </c>
      <c r="W1431">
        <v>21</v>
      </c>
      <c r="X1431">
        <v>27</v>
      </c>
      <c r="Y1431" s="5">
        <v>1.7</v>
      </c>
    </row>
    <row r="1432" spans="1:25" x14ac:dyDescent="0.25">
      <c r="A1432">
        <v>2021</v>
      </c>
      <c r="B1432" t="s">
        <v>57</v>
      </c>
      <c r="C1432">
        <v>13</v>
      </c>
      <c r="D1432">
        <f>+D1431+1</f>
        <v>130</v>
      </c>
      <c r="E1432" t="s">
        <v>94</v>
      </c>
      <c r="F1432" t="s">
        <v>40</v>
      </c>
      <c r="G1432">
        <f t="shared" si="22"/>
        <v>1</v>
      </c>
      <c r="H1432">
        <v>8</v>
      </c>
      <c r="I1432">
        <v>5</v>
      </c>
      <c r="J1432">
        <v>0</v>
      </c>
      <c r="K1432" s="6" t="str">
        <f>"vs "&amp;E1433</f>
        <v>vs Xanthi Ducks 🦆</v>
      </c>
      <c r="L1432" s="6" t="str">
        <f>"vs "&amp;F1433</f>
        <v>vs Kotakis</v>
      </c>
      <c r="M1432">
        <v>138</v>
      </c>
      <c r="N1432" s="1">
        <v>0.45200000000000001</v>
      </c>
      <c r="O1432">
        <v>42</v>
      </c>
      <c r="P1432" s="1">
        <v>0.35299999999999998</v>
      </c>
      <c r="Q1432" s="1">
        <v>0.81599999999999995</v>
      </c>
      <c r="R1432">
        <v>380</v>
      </c>
      <c r="S1432">
        <v>40</v>
      </c>
      <c r="T1432">
        <v>108</v>
      </c>
      <c r="U1432">
        <v>81</v>
      </c>
      <c r="V1432">
        <v>16</v>
      </c>
      <c r="W1432">
        <v>17</v>
      </c>
      <c r="X1432">
        <v>44</v>
      </c>
      <c r="Y1432" s="5">
        <v>1.84</v>
      </c>
    </row>
    <row r="1433" spans="1:25" x14ac:dyDescent="0.25">
      <c r="A1433">
        <v>2021</v>
      </c>
      <c r="B1433" t="s">
        <v>57</v>
      </c>
      <c r="C1433">
        <v>13</v>
      </c>
      <c r="D1433">
        <f>+D1432</f>
        <v>130</v>
      </c>
      <c r="E1433" t="s">
        <v>98</v>
      </c>
      <c r="F1433" t="s">
        <v>41</v>
      </c>
      <c r="G1433">
        <f t="shared" si="22"/>
        <v>0</v>
      </c>
      <c r="H1433">
        <v>5</v>
      </c>
      <c r="I1433">
        <v>8</v>
      </c>
      <c r="J1433">
        <v>0</v>
      </c>
      <c r="K1433" s="6" t="str">
        <f>"vs "&amp;E1432</f>
        <v>vs Fighting Thaddeus</v>
      </c>
      <c r="L1433" s="6" t="str">
        <f>"vs "&amp;F1432</f>
        <v>vs Stavros</v>
      </c>
      <c r="M1433">
        <v>115</v>
      </c>
      <c r="N1433" s="1">
        <v>0.44600000000000001</v>
      </c>
      <c r="O1433">
        <v>45</v>
      </c>
      <c r="P1433" s="1">
        <v>0.36</v>
      </c>
      <c r="Q1433" s="1">
        <v>0.78300000000000003</v>
      </c>
      <c r="R1433">
        <v>311</v>
      </c>
      <c r="S1433">
        <v>20</v>
      </c>
      <c r="T1433">
        <v>83</v>
      </c>
      <c r="U1433">
        <v>58</v>
      </c>
      <c r="V1433">
        <v>22</v>
      </c>
      <c r="W1433">
        <v>11</v>
      </c>
      <c r="X1433">
        <v>25</v>
      </c>
      <c r="Y1433" s="5">
        <v>2.3199999999999998</v>
      </c>
    </row>
    <row r="1434" spans="1:25" x14ac:dyDescent="0.25">
      <c r="A1434">
        <v>2021</v>
      </c>
      <c r="B1434" t="s">
        <v>57</v>
      </c>
      <c r="C1434">
        <v>14</v>
      </c>
      <c r="D1434">
        <f>+D1433+1</f>
        <v>131</v>
      </c>
      <c r="E1434" t="s">
        <v>21</v>
      </c>
      <c r="F1434" t="s">
        <v>50</v>
      </c>
      <c r="G1434">
        <f t="shared" si="22"/>
        <v>1</v>
      </c>
      <c r="H1434">
        <v>9</v>
      </c>
      <c r="I1434">
        <v>4</v>
      </c>
      <c r="J1434">
        <v>0</v>
      </c>
      <c r="K1434" s="6" t="str">
        <f>"vs "&amp;E1435</f>
        <v>vs Knights of Ni</v>
      </c>
      <c r="L1434" s="6" t="str">
        <f>"vs "&amp;F1435</f>
        <v>vs Tolios</v>
      </c>
      <c r="M1434">
        <v>207</v>
      </c>
      <c r="N1434" s="1">
        <v>0.499</v>
      </c>
      <c r="O1434">
        <v>59</v>
      </c>
      <c r="P1434" s="1">
        <v>0.39100000000000001</v>
      </c>
      <c r="Q1434" s="1">
        <v>0.79600000000000004</v>
      </c>
      <c r="R1434">
        <v>555</v>
      </c>
      <c r="S1434">
        <v>45</v>
      </c>
      <c r="T1434">
        <v>154</v>
      </c>
      <c r="U1434">
        <v>134</v>
      </c>
      <c r="V1434">
        <v>35</v>
      </c>
      <c r="W1434">
        <v>21</v>
      </c>
      <c r="X1434">
        <v>76</v>
      </c>
      <c r="Y1434" s="5">
        <v>1.76</v>
      </c>
    </row>
    <row r="1435" spans="1:25" x14ac:dyDescent="0.25">
      <c r="A1435">
        <v>2021</v>
      </c>
      <c r="B1435" t="s">
        <v>57</v>
      </c>
      <c r="C1435">
        <v>14</v>
      </c>
      <c r="D1435">
        <f>+D1434</f>
        <v>131</v>
      </c>
      <c r="E1435" t="s">
        <v>96</v>
      </c>
      <c r="F1435" t="s">
        <v>102</v>
      </c>
      <c r="G1435">
        <f t="shared" si="22"/>
        <v>0</v>
      </c>
      <c r="H1435">
        <v>4</v>
      </c>
      <c r="I1435">
        <v>9</v>
      </c>
      <c r="J1435">
        <v>0</v>
      </c>
      <c r="K1435" s="6" t="str">
        <f>"vs "&amp;E1434</f>
        <v>vs st.Helens Eruptions</v>
      </c>
      <c r="L1435" s="6" t="str">
        <f>"vs "&amp;F1434</f>
        <v>vs Aris</v>
      </c>
      <c r="M1435">
        <v>142</v>
      </c>
      <c r="N1435" s="1">
        <v>0.5</v>
      </c>
      <c r="O1435">
        <v>40</v>
      </c>
      <c r="P1435" s="1">
        <v>0.41699999999999998</v>
      </c>
      <c r="Q1435" s="1">
        <v>0.78200000000000003</v>
      </c>
      <c r="R1435">
        <v>385</v>
      </c>
      <c r="S1435">
        <v>35</v>
      </c>
      <c r="T1435">
        <v>123</v>
      </c>
      <c r="U1435">
        <v>102</v>
      </c>
      <c r="V1435">
        <v>27</v>
      </c>
      <c r="W1435">
        <v>20</v>
      </c>
      <c r="X1435">
        <v>39</v>
      </c>
      <c r="Y1435" s="5">
        <v>2.62</v>
      </c>
    </row>
    <row r="1436" spans="1:25" x14ac:dyDescent="0.25">
      <c r="A1436">
        <v>2021</v>
      </c>
      <c r="B1436" t="s">
        <v>57</v>
      </c>
      <c r="C1436">
        <v>14</v>
      </c>
      <c r="D1436">
        <f>+D1435+1</f>
        <v>132</v>
      </c>
      <c r="E1436" t="s">
        <v>23</v>
      </c>
      <c r="F1436" t="s">
        <v>120</v>
      </c>
      <c r="G1436">
        <f t="shared" si="22"/>
        <v>0</v>
      </c>
      <c r="H1436">
        <v>5</v>
      </c>
      <c r="I1436">
        <v>7</v>
      </c>
      <c r="J1436">
        <v>1</v>
      </c>
      <c r="K1436" s="6" t="str">
        <f>"vs "&amp;E1437</f>
        <v>vs Tsarlatans</v>
      </c>
      <c r="L1436" s="6" t="str">
        <f>"vs "&amp;F1437</f>
        <v>vs Tzokos</v>
      </c>
      <c r="M1436">
        <v>166</v>
      </c>
      <c r="N1436" s="1">
        <v>0.46100000000000002</v>
      </c>
      <c r="O1436">
        <v>65</v>
      </c>
      <c r="P1436" s="1">
        <v>0.41399999999999998</v>
      </c>
      <c r="Q1436" s="1">
        <v>0.92</v>
      </c>
      <c r="R1436">
        <v>478</v>
      </c>
      <c r="S1436">
        <v>34</v>
      </c>
      <c r="T1436">
        <v>138</v>
      </c>
      <c r="U1436">
        <v>99</v>
      </c>
      <c r="V1436">
        <v>24</v>
      </c>
      <c r="W1436">
        <v>16</v>
      </c>
      <c r="X1436">
        <v>51</v>
      </c>
      <c r="Y1436" s="5">
        <v>1.94</v>
      </c>
    </row>
    <row r="1437" spans="1:25" x14ac:dyDescent="0.25">
      <c r="A1437">
        <v>2021</v>
      </c>
      <c r="B1437" t="s">
        <v>57</v>
      </c>
      <c r="C1437">
        <v>14</v>
      </c>
      <c r="D1437">
        <f>+D1436</f>
        <v>132</v>
      </c>
      <c r="E1437" t="s">
        <v>99</v>
      </c>
      <c r="F1437" t="s">
        <v>45</v>
      </c>
      <c r="G1437">
        <f t="shared" si="22"/>
        <v>1</v>
      </c>
      <c r="H1437">
        <v>7</v>
      </c>
      <c r="I1437">
        <v>5</v>
      </c>
      <c r="J1437">
        <v>1</v>
      </c>
      <c r="K1437" s="6" t="str">
        <f>"vs "&amp;E1436</f>
        <v>vs Pachiana NinjaBees</v>
      </c>
      <c r="L1437" s="6" t="str">
        <f>"vs "&amp;F1436</f>
        <v>vs Spiridaus/Oladipas</v>
      </c>
      <c r="M1437">
        <v>189</v>
      </c>
      <c r="N1437" s="1">
        <v>0.46400000000000002</v>
      </c>
      <c r="O1437">
        <v>46</v>
      </c>
      <c r="P1437" s="1">
        <v>0.34599999999999997</v>
      </c>
      <c r="Q1437" s="1">
        <v>0.73399999999999999</v>
      </c>
      <c r="R1437">
        <v>504</v>
      </c>
      <c r="S1437">
        <v>67</v>
      </c>
      <c r="T1437">
        <v>142</v>
      </c>
      <c r="U1437">
        <v>86</v>
      </c>
      <c r="V1437">
        <v>43</v>
      </c>
      <c r="W1437">
        <v>20</v>
      </c>
      <c r="X1437">
        <v>51</v>
      </c>
      <c r="Y1437" s="5">
        <v>1.69</v>
      </c>
    </row>
    <row r="1438" spans="1:25" x14ac:dyDescent="0.25">
      <c r="A1438">
        <v>2021</v>
      </c>
      <c r="B1438" t="s">
        <v>57</v>
      </c>
      <c r="C1438">
        <v>14</v>
      </c>
      <c r="D1438">
        <f>+D1437+1</f>
        <v>133</v>
      </c>
      <c r="E1438" t="s">
        <v>15</v>
      </c>
      <c r="F1438" t="s">
        <v>48</v>
      </c>
      <c r="G1438">
        <f t="shared" si="22"/>
        <v>0</v>
      </c>
      <c r="H1438">
        <v>2</v>
      </c>
      <c r="I1438">
        <v>11</v>
      </c>
      <c r="J1438">
        <v>0</v>
      </c>
      <c r="K1438" s="6" t="str">
        <f>"vs "&amp;E1439</f>
        <v>vs Steven Adams' Moustache</v>
      </c>
      <c r="L1438" s="6" t="str">
        <f>"vs "&amp;F1439</f>
        <v>vs Johnny</v>
      </c>
      <c r="M1438">
        <v>194</v>
      </c>
      <c r="N1438" s="1">
        <v>0.48499999999999999</v>
      </c>
      <c r="O1438">
        <v>43</v>
      </c>
      <c r="P1438" s="1">
        <v>0.33300000000000002</v>
      </c>
      <c r="Q1438" s="1">
        <v>0.89200000000000002</v>
      </c>
      <c r="R1438">
        <v>538</v>
      </c>
      <c r="S1438">
        <v>34</v>
      </c>
      <c r="T1438">
        <v>112</v>
      </c>
      <c r="U1438">
        <v>116</v>
      </c>
      <c r="V1438">
        <v>25</v>
      </c>
      <c r="W1438">
        <v>17</v>
      </c>
      <c r="X1438">
        <v>50</v>
      </c>
      <c r="Y1438" s="5">
        <v>2.3199999999999998</v>
      </c>
    </row>
    <row r="1439" spans="1:25" x14ac:dyDescent="0.25">
      <c r="A1439">
        <v>2021</v>
      </c>
      <c r="B1439" t="s">
        <v>57</v>
      </c>
      <c r="C1439">
        <v>14</v>
      </c>
      <c r="D1439">
        <f>+D1438</f>
        <v>133</v>
      </c>
      <c r="E1439" t="s">
        <v>28</v>
      </c>
      <c r="F1439" t="s">
        <v>46</v>
      </c>
      <c r="G1439">
        <f t="shared" si="22"/>
        <v>1</v>
      </c>
      <c r="H1439">
        <v>11</v>
      </c>
      <c r="I1439">
        <v>2</v>
      </c>
      <c r="J1439">
        <v>0</v>
      </c>
      <c r="K1439" s="6" t="str">
        <f>"vs "&amp;E1438</f>
        <v>vs Salonika Devils</v>
      </c>
      <c r="L1439" s="6" t="str">
        <f>"vs "&amp;F1438</f>
        <v>vs Fountos</v>
      </c>
      <c r="M1439">
        <v>269</v>
      </c>
      <c r="N1439" s="1">
        <v>0.53100000000000003</v>
      </c>
      <c r="O1439">
        <v>63</v>
      </c>
      <c r="P1439" s="1">
        <v>0.40400000000000003</v>
      </c>
      <c r="Q1439" s="1">
        <v>0.77900000000000003</v>
      </c>
      <c r="R1439">
        <v>703</v>
      </c>
      <c r="S1439">
        <v>49</v>
      </c>
      <c r="T1439">
        <v>217</v>
      </c>
      <c r="U1439">
        <v>175</v>
      </c>
      <c r="V1439">
        <v>37</v>
      </c>
      <c r="W1439">
        <v>42</v>
      </c>
      <c r="X1439">
        <v>71</v>
      </c>
      <c r="Y1439" s="5">
        <v>2.46</v>
      </c>
    </row>
    <row r="1440" spans="1:25" x14ac:dyDescent="0.25">
      <c r="A1440">
        <v>2021</v>
      </c>
      <c r="B1440" t="s">
        <v>57</v>
      </c>
      <c r="C1440">
        <v>14</v>
      </c>
      <c r="D1440">
        <f>+D1439+1</f>
        <v>134</v>
      </c>
      <c r="E1440" t="s">
        <v>17</v>
      </c>
      <c r="F1440" t="s">
        <v>43</v>
      </c>
      <c r="G1440">
        <f t="shared" si="22"/>
        <v>0</v>
      </c>
      <c r="H1440">
        <v>5</v>
      </c>
      <c r="I1440">
        <v>8</v>
      </c>
      <c r="J1440">
        <v>0</v>
      </c>
      <c r="K1440" s="6" t="str">
        <f>"vs "&amp;E1441</f>
        <v>vs Underdogs</v>
      </c>
      <c r="L1440" s="6" t="str">
        <f>"vs "&amp;F1441</f>
        <v>vs Nonis</v>
      </c>
      <c r="M1440">
        <v>145</v>
      </c>
      <c r="N1440" s="1">
        <v>0.443</v>
      </c>
      <c r="O1440">
        <v>34</v>
      </c>
      <c r="P1440" s="1">
        <v>0.34</v>
      </c>
      <c r="Q1440" s="1">
        <v>0.76200000000000001</v>
      </c>
      <c r="R1440">
        <v>385</v>
      </c>
      <c r="S1440">
        <v>46</v>
      </c>
      <c r="T1440">
        <v>136</v>
      </c>
      <c r="U1440">
        <v>88</v>
      </c>
      <c r="V1440">
        <v>27</v>
      </c>
      <c r="W1440">
        <v>25</v>
      </c>
      <c r="X1440">
        <v>64</v>
      </c>
      <c r="Y1440" s="5">
        <v>1.38</v>
      </c>
    </row>
    <row r="1441" spans="1:25" x14ac:dyDescent="0.25">
      <c r="A1441">
        <v>2021</v>
      </c>
      <c r="B1441" t="s">
        <v>57</v>
      </c>
      <c r="C1441">
        <v>14</v>
      </c>
      <c r="D1441">
        <f>+D1440</f>
        <v>134</v>
      </c>
      <c r="E1441" t="s">
        <v>97</v>
      </c>
      <c r="F1441" t="s">
        <v>54</v>
      </c>
      <c r="G1441">
        <f t="shared" si="22"/>
        <v>1</v>
      </c>
      <c r="H1441">
        <v>8</v>
      </c>
      <c r="I1441">
        <v>5</v>
      </c>
      <c r="J1441">
        <v>0</v>
      </c>
      <c r="K1441" s="6" t="str">
        <f>"vs "&amp;E1440</f>
        <v>vs Donkey Rolls</v>
      </c>
      <c r="L1441" s="6" t="str">
        <f>"vs "&amp;F1440</f>
        <v>vs Markos</v>
      </c>
      <c r="M1441">
        <v>164</v>
      </c>
      <c r="N1441" s="1">
        <v>0.45400000000000001</v>
      </c>
      <c r="O1441">
        <v>54</v>
      </c>
      <c r="P1441" s="1">
        <v>0.38800000000000001</v>
      </c>
      <c r="Q1441" s="1">
        <v>0.8</v>
      </c>
      <c r="R1441">
        <v>474</v>
      </c>
      <c r="S1441">
        <v>20</v>
      </c>
      <c r="T1441">
        <v>120</v>
      </c>
      <c r="U1441">
        <v>109</v>
      </c>
      <c r="V1441">
        <v>24</v>
      </c>
      <c r="W1441">
        <v>13</v>
      </c>
      <c r="X1441">
        <v>75</v>
      </c>
      <c r="Y1441" s="5">
        <v>1.45</v>
      </c>
    </row>
    <row r="1442" spans="1:25" x14ac:dyDescent="0.25">
      <c r="A1442">
        <v>2021</v>
      </c>
      <c r="B1442" t="s">
        <v>57</v>
      </c>
      <c r="C1442">
        <v>14</v>
      </c>
      <c r="D1442">
        <f>+D1441+1</f>
        <v>135</v>
      </c>
      <c r="E1442" t="s">
        <v>159</v>
      </c>
      <c r="F1442" t="s">
        <v>116</v>
      </c>
      <c r="G1442">
        <f t="shared" si="22"/>
        <v>0</v>
      </c>
      <c r="H1442">
        <v>6</v>
      </c>
      <c r="I1442">
        <v>6</v>
      </c>
      <c r="J1442">
        <v>1</v>
      </c>
      <c r="K1442" s="6" t="str">
        <f>"vs "&amp;E1443</f>
        <v>vs The Others</v>
      </c>
      <c r="L1442" s="6" t="str">
        <f>"vs "&amp;F1443</f>
        <v>vs Miggianis</v>
      </c>
      <c r="M1442">
        <v>205</v>
      </c>
      <c r="N1442" s="1">
        <v>0.44700000000000001</v>
      </c>
      <c r="O1442">
        <v>46</v>
      </c>
      <c r="P1442" s="1">
        <v>0.32900000000000001</v>
      </c>
      <c r="Q1442" s="1">
        <v>0.71299999999999997</v>
      </c>
      <c r="R1442">
        <v>548</v>
      </c>
      <c r="S1442">
        <v>55</v>
      </c>
      <c r="T1442">
        <v>151</v>
      </c>
      <c r="U1442">
        <v>136</v>
      </c>
      <c r="V1442">
        <v>42</v>
      </c>
      <c r="W1442">
        <v>17</v>
      </c>
      <c r="X1442">
        <v>65</v>
      </c>
      <c r="Y1442" s="5">
        <v>2.09</v>
      </c>
    </row>
    <row r="1443" spans="1:25" x14ac:dyDescent="0.25">
      <c r="A1443">
        <v>2021</v>
      </c>
      <c r="B1443" t="s">
        <v>57</v>
      </c>
      <c r="C1443">
        <v>14</v>
      </c>
      <c r="D1443">
        <f>+D1442</f>
        <v>135</v>
      </c>
      <c r="E1443" t="s">
        <v>18</v>
      </c>
      <c r="F1443" t="s">
        <v>52</v>
      </c>
      <c r="G1443">
        <f t="shared" si="22"/>
        <v>0</v>
      </c>
      <c r="H1443">
        <v>6</v>
      </c>
      <c r="I1443">
        <v>6</v>
      </c>
      <c r="J1443">
        <v>1</v>
      </c>
      <c r="K1443" s="6" t="str">
        <f>"vs "&amp;E1442</f>
        <v>vs purple fuzzy apache pirates</v>
      </c>
      <c r="L1443" s="6" t="str">
        <f>"vs "&amp;F1442</f>
        <v>vs pi/Sotiris</v>
      </c>
      <c r="M1443">
        <v>146</v>
      </c>
      <c r="N1443" s="1">
        <v>0.45900000000000002</v>
      </c>
      <c r="O1443">
        <v>46</v>
      </c>
      <c r="P1443" s="1">
        <v>0.35699999999999998</v>
      </c>
      <c r="Q1443" s="1">
        <v>0.82699999999999996</v>
      </c>
      <c r="R1443">
        <v>400</v>
      </c>
      <c r="S1443">
        <v>26</v>
      </c>
      <c r="T1443">
        <v>142</v>
      </c>
      <c r="U1443">
        <v>99</v>
      </c>
      <c r="V1443">
        <v>24</v>
      </c>
      <c r="W1443">
        <v>22</v>
      </c>
      <c r="X1443">
        <v>35</v>
      </c>
      <c r="Y1443" s="5">
        <v>2.83</v>
      </c>
    </row>
    <row r="1444" spans="1:25" x14ac:dyDescent="0.25">
      <c r="A1444">
        <v>2021</v>
      </c>
      <c r="B1444" t="s">
        <v>57</v>
      </c>
      <c r="C1444">
        <v>14</v>
      </c>
      <c r="D1444">
        <f>+D1443+1</f>
        <v>136</v>
      </c>
      <c r="E1444" t="s">
        <v>181</v>
      </c>
      <c r="F1444" t="s">
        <v>49</v>
      </c>
      <c r="G1444">
        <f t="shared" si="22"/>
        <v>1</v>
      </c>
      <c r="H1444">
        <v>8</v>
      </c>
      <c r="I1444">
        <v>5</v>
      </c>
      <c r="J1444">
        <v>0</v>
      </c>
      <c r="K1444" s="6" t="str">
        <f>"vs "&amp;E1445</f>
        <v>vs Baltimore Hercules</v>
      </c>
      <c r="L1444" s="6" t="str">
        <f>"vs "&amp;F1445</f>
        <v>vs Sarantos</v>
      </c>
      <c r="M1444">
        <v>154</v>
      </c>
      <c r="N1444" s="1">
        <v>0.46</v>
      </c>
      <c r="O1444">
        <v>56</v>
      </c>
      <c r="P1444" s="1">
        <v>0.35199999999999998</v>
      </c>
      <c r="Q1444" s="1">
        <v>0.86699999999999999</v>
      </c>
      <c r="R1444">
        <v>429</v>
      </c>
      <c r="S1444">
        <v>29</v>
      </c>
      <c r="T1444">
        <v>141</v>
      </c>
      <c r="U1444">
        <v>79</v>
      </c>
      <c r="V1444">
        <v>26</v>
      </c>
      <c r="W1444">
        <v>19</v>
      </c>
      <c r="X1444">
        <v>30</v>
      </c>
      <c r="Y1444" s="5">
        <v>2.63</v>
      </c>
    </row>
    <row r="1445" spans="1:25" x14ac:dyDescent="0.25">
      <c r="A1445">
        <v>2021</v>
      </c>
      <c r="B1445" t="s">
        <v>57</v>
      </c>
      <c r="C1445">
        <v>14</v>
      </c>
      <c r="D1445">
        <f>+D1444</f>
        <v>136</v>
      </c>
      <c r="E1445" t="s">
        <v>95</v>
      </c>
      <c r="F1445" t="s">
        <v>101</v>
      </c>
      <c r="G1445">
        <f t="shared" si="22"/>
        <v>0</v>
      </c>
      <c r="H1445">
        <v>5</v>
      </c>
      <c r="I1445">
        <v>8</v>
      </c>
      <c r="J1445">
        <v>0</v>
      </c>
      <c r="K1445" s="6" t="str">
        <f>"vs "&amp;E1444</f>
        <v>vs Samarina Dudenbros</v>
      </c>
      <c r="L1445" s="6" t="str">
        <f>"vs "&amp;F1444</f>
        <v>vs Sakellariou</v>
      </c>
      <c r="M1445">
        <v>159</v>
      </c>
      <c r="N1445" s="1">
        <v>0.46400000000000002</v>
      </c>
      <c r="O1445">
        <v>46</v>
      </c>
      <c r="P1445" s="1">
        <v>0.34300000000000003</v>
      </c>
      <c r="Q1445" s="1">
        <v>0.69699999999999995</v>
      </c>
      <c r="R1445">
        <v>410</v>
      </c>
      <c r="S1445">
        <v>15</v>
      </c>
      <c r="T1445">
        <v>106</v>
      </c>
      <c r="U1445">
        <v>86</v>
      </c>
      <c r="V1445">
        <v>35</v>
      </c>
      <c r="W1445">
        <v>22</v>
      </c>
      <c r="X1445">
        <v>51</v>
      </c>
      <c r="Y1445" s="5">
        <v>1.69</v>
      </c>
    </row>
    <row r="1446" spans="1:25" x14ac:dyDescent="0.25">
      <c r="A1446">
        <v>2021</v>
      </c>
      <c r="B1446" t="s">
        <v>57</v>
      </c>
      <c r="C1446">
        <v>14</v>
      </c>
      <c r="D1446">
        <f>+D1445+1</f>
        <v>137</v>
      </c>
      <c r="E1446" t="s">
        <v>33</v>
      </c>
      <c r="F1446" t="s">
        <v>42</v>
      </c>
      <c r="G1446">
        <f t="shared" si="22"/>
        <v>0</v>
      </c>
      <c r="H1446">
        <v>1</v>
      </c>
      <c r="I1446">
        <v>12</v>
      </c>
      <c r="J1446">
        <v>0</v>
      </c>
      <c r="K1446" s="6" t="str">
        <f>"vs "&amp;E1447</f>
        <v>vs Kourayo Vallecano</v>
      </c>
      <c r="L1446" s="6" t="str">
        <f>"vs "&amp;F1447</f>
        <v>vs Ziogas/Christof</v>
      </c>
      <c r="M1446">
        <v>133</v>
      </c>
      <c r="N1446" s="1">
        <v>0.42399999999999999</v>
      </c>
      <c r="O1446">
        <v>45</v>
      </c>
      <c r="P1446" s="1">
        <v>0.34599999999999997</v>
      </c>
      <c r="Q1446" s="1">
        <v>0.745</v>
      </c>
      <c r="R1446">
        <v>384</v>
      </c>
      <c r="S1446">
        <v>21</v>
      </c>
      <c r="T1446">
        <v>96</v>
      </c>
      <c r="U1446">
        <v>71</v>
      </c>
      <c r="V1446">
        <v>26</v>
      </c>
      <c r="W1446">
        <v>15</v>
      </c>
      <c r="X1446">
        <v>37</v>
      </c>
      <c r="Y1446" s="5">
        <v>1.92</v>
      </c>
    </row>
    <row r="1447" spans="1:25" x14ac:dyDescent="0.25">
      <c r="A1447">
        <v>2021</v>
      </c>
      <c r="B1447" t="s">
        <v>57</v>
      </c>
      <c r="C1447">
        <v>14</v>
      </c>
      <c r="D1447">
        <f>+D1446</f>
        <v>137</v>
      </c>
      <c r="E1447" t="s">
        <v>26</v>
      </c>
      <c r="F1447" t="s">
        <v>118</v>
      </c>
      <c r="G1447">
        <f t="shared" si="22"/>
        <v>1</v>
      </c>
      <c r="H1447">
        <v>12</v>
      </c>
      <c r="I1447">
        <v>1</v>
      </c>
      <c r="J1447">
        <v>0</v>
      </c>
      <c r="K1447" s="6" t="str">
        <f>"vs "&amp;E1446</f>
        <v>vs The Guns</v>
      </c>
      <c r="L1447" s="6" t="str">
        <f>"vs "&amp;F1446</f>
        <v>vs Vasilis</v>
      </c>
      <c r="M1447">
        <v>156</v>
      </c>
      <c r="N1447" s="1">
        <v>0.495</v>
      </c>
      <c r="O1447">
        <v>62</v>
      </c>
      <c r="P1447" s="1">
        <v>0.41899999999999998</v>
      </c>
      <c r="Q1447" s="1">
        <v>0.80200000000000005</v>
      </c>
      <c r="R1447">
        <v>455</v>
      </c>
      <c r="S1447">
        <v>33</v>
      </c>
      <c r="T1447">
        <v>173</v>
      </c>
      <c r="U1447">
        <v>130</v>
      </c>
      <c r="V1447">
        <v>28</v>
      </c>
      <c r="W1447">
        <v>24</v>
      </c>
      <c r="X1447">
        <v>57</v>
      </c>
      <c r="Y1447" s="5">
        <v>2.2799999999999998</v>
      </c>
    </row>
    <row r="1448" spans="1:25" x14ac:dyDescent="0.25">
      <c r="A1448">
        <v>2021</v>
      </c>
      <c r="B1448" t="s">
        <v>57</v>
      </c>
      <c r="C1448">
        <v>14</v>
      </c>
      <c r="D1448">
        <f>+D1447+1</f>
        <v>138</v>
      </c>
      <c r="E1448" t="s">
        <v>93</v>
      </c>
      <c r="F1448" t="s">
        <v>189</v>
      </c>
      <c r="G1448">
        <f t="shared" si="22"/>
        <v>1</v>
      </c>
      <c r="H1448">
        <v>8</v>
      </c>
      <c r="I1448">
        <v>4</v>
      </c>
      <c r="J1448">
        <v>1</v>
      </c>
      <c r="K1448" s="6" t="str">
        <f>"vs "&amp;E1449</f>
        <v>vs Karafli SaiTa</v>
      </c>
      <c r="L1448" s="6" t="str">
        <f>"vs "&amp;F1449</f>
        <v>vs Tassos</v>
      </c>
      <c r="M1448">
        <v>174</v>
      </c>
      <c r="N1448" s="1">
        <v>0.47</v>
      </c>
      <c r="O1448">
        <v>51</v>
      </c>
      <c r="P1448" s="1">
        <v>0.38300000000000001</v>
      </c>
      <c r="Q1448" s="1">
        <v>0.82099999999999995</v>
      </c>
      <c r="R1448">
        <v>486</v>
      </c>
      <c r="S1448">
        <v>49</v>
      </c>
      <c r="T1448">
        <v>153</v>
      </c>
      <c r="U1448">
        <v>102</v>
      </c>
      <c r="V1448">
        <v>36</v>
      </c>
      <c r="W1448">
        <v>23</v>
      </c>
      <c r="X1448">
        <v>48</v>
      </c>
      <c r="Y1448" s="5">
        <v>2.13</v>
      </c>
    </row>
    <row r="1449" spans="1:25" x14ac:dyDescent="0.25">
      <c r="A1449">
        <v>2021</v>
      </c>
      <c r="B1449" t="s">
        <v>57</v>
      </c>
      <c r="C1449">
        <v>14</v>
      </c>
      <c r="D1449">
        <f>+D1448</f>
        <v>138</v>
      </c>
      <c r="E1449" t="s">
        <v>190</v>
      </c>
      <c r="F1449" t="s">
        <v>103</v>
      </c>
      <c r="G1449">
        <f t="shared" si="22"/>
        <v>0</v>
      </c>
      <c r="H1449">
        <v>4</v>
      </c>
      <c r="I1449">
        <v>8</v>
      </c>
      <c r="J1449">
        <v>1</v>
      </c>
      <c r="K1449" s="6" t="str">
        <f>"vs "&amp;E1448</f>
        <v>vs Guruuu 🐐🐐🐐</v>
      </c>
      <c r="L1449" s="6" t="str">
        <f>"vs "&amp;F1448</f>
        <v>vs Guru</v>
      </c>
      <c r="M1449">
        <v>175</v>
      </c>
      <c r="N1449" s="1">
        <v>0.48099999999999998</v>
      </c>
      <c r="O1449">
        <v>51</v>
      </c>
      <c r="P1449" s="1">
        <v>0.35899999999999999</v>
      </c>
      <c r="Q1449" s="1">
        <v>0.73599999999999999</v>
      </c>
      <c r="R1449">
        <v>468</v>
      </c>
      <c r="S1449">
        <v>54</v>
      </c>
      <c r="T1449">
        <v>140</v>
      </c>
      <c r="U1449">
        <v>109</v>
      </c>
      <c r="V1449">
        <v>20</v>
      </c>
      <c r="W1449">
        <v>22</v>
      </c>
      <c r="X1449">
        <v>55</v>
      </c>
      <c r="Y1449" s="5">
        <v>1.98</v>
      </c>
    </row>
    <row r="1450" spans="1:25" x14ac:dyDescent="0.25">
      <c r="A1450">
        <v>2021</v>
      </c>
      <c r="B1450" t="s">
        <v>57</v>
      </c>
      <c r="C1450">
        <v>14</v>
      </c>
      <c r="D1450">
        <f>+D1449+1</f>
        <v>139</v>
      </c>
      <c r="E1450" t="s">
        <v>16</v>
      </c>
      <c r="F1450" t="s">
        <v>51</v>
      </c>
      <c r="G1450">
        <f t="shared" si="22"/>
        <v>0</v>
      </c>
      <c r="H1450">
        <v>6</v>
      </c>
      <c r="I1450">
        <v>7</v>
      </c>
      <c r="J1450">
        <v>0</v>
      </c>
      <c r="K1450" s="6" t="str">
        <f>"vs "&amp;E1451</f>
        <v>vs Fighting Thaddeus</v>
      </c>
      <c r="L1450" s="6" t="str">
        <f>"vs "&amp;F1451</f>
        <v>vs Stavros</v>
      </c>
      <c r="M1450">
        <v>134</v>
      </c>
      <c r="N1450" s="1">
        <v>0.46400000000000002</v>
      </c>
      <c r="O1450">
        <v>49</v>
      </c>
      <c r="P1450" s="1">
        <v>0.40200000000000002</v>
      </c>
      <c r="Q1450" s="1">
        <v>0.63100000000000001</v>
      </c>
      <c r="R1450">
        <v>370</v>
      </c>
      <c r="S1450">
        <v>45</v>
      </c>
      <c r="T1450">
        <v>127</v>
      </c>
      <c r="U1450">
        <v>50</v>
      </c>
      <c r="V1450">
        <v>27</v>
      </c>
      <c r="W1450">
        <v>22</v>
      </c>
      <c r="X1450">
        <v>53</v>
      </c>
      <c r="Y1450" s="5">
        <v>0.94</v>
      </c>
    </row>
    <row r="1451" spans="1:25" x14ac:dyDescent="0.25">
      <c r="A1451">
        <v>2021</v>
      </c>
      <c r="B1451" t="s">
        <v>57</v>
      </c>
      <c r="C1451">
        <v>14</v>
      </c>
      <c r="D1451">
        <f>+D1450</f>
        <v>139</v>
      </c>
      <c r="E1451" t="s">
        <v>94</v>
      </c>
      <c r="F1451" t="s">
        <v>40</v>
      </c>
      <c r="G1451">
        <f t="shared" si="22"/>
        <v>1</v>
      </c>
      <c r="H1451">
        <v>7</v>
      </c>
      <c r="I1451">
        <v>6</v>
      </c>
      <c r="J1451">
        <v>0</v>
      </c>
      <c r="K1451" s="6" t="str">
        <f>"vs "&amp;E1450</f>
        <v>vs The Bridgeburners</v>
      </c>
      <c r="L1451" s="6" t="str">
        <f>"vs "&amp;F1450</f>
        <v>vs Fanis</v>
      </c>
      <c r="M1451">
        <v>173</v>
      </c>
      <c r="N1451" s="1">
        <v>0.44900000000000001</v>
      </c>
      <c r="O1451">
        <v>46</v>
      </c>
      <c r="P1451" s="1">
        <v>0.34799999999999998</v>
      </c>
      <c r="Q1451" s="1">
        <v>0.75700000000000001</v>
      </c>
      <c r="R1451">
        <v>445</v>
      </c>
      <c r="S1451">
        <v>39</v>
      </c>
      <c r="T1451">
        <v>103</v>
      </c>
      <c r="U1451">
        <v>89</v>
      </c>
      <c r="V1451">
        <v>34</v>
      </c>
      <c r="W1451">
        <v>14</v>
      </c>
      <c r="X1451">
        <v>43</v>
      </c>
      <c r="Y1451" s="5">
        <v>2.0699999999999998</v>
      </c>
    </row>
    <row r="1452" spans="1:25" x14ac:dyDescent="0.25">
      <c r="A1452">
        <v>2021</v>
      </c>
      <c r="B1452" t="s">
        <v>57</v>
      </c>
      <c r="C1452">
        <v>14</v>
      </c>
      <c r="D1452">
        <f>+D1451+1</f>
        <v>140</v>
      </c>
      <c r="E1452" t="s">
        <v>25</v>
      </c>
      <c r="F1452" t="s">
        <v>53</v>
      </c>
      <c r="G1452">
        <f t="shared" si="22"/>
        <v>0</v>
      </c>
      <c r="H1452">
        <v>5</v>
      </c>
      <c r="I1452">
        <v>8</v>
      </c>
      <c r="J1452">
        <v>0</v>
      </c>
      <c r="K1452" s="6" t="str">
        <f>"vs "&amp;E1453</f>
        <v>vs Xanthi Ducks 🦆</v>
      </c>
      <c r="L1452" s="6" t="str">
        <f>"vs "&amp;F1453</f>
        <v>vs Kotakis</v>
      </c>
      <c r="M1452">
        <v>139</v>
      </c>
      <c r="N1452" s="1">
        <v>0.48299999999999998</v>
      </c>
      <c r="O1452">
        <v>46</v>
      </c>
      <c r="P1452" s="1">
        <v>0.48399999999999999</v>
      </c>
      <c r="Q1452" s="1">
        <v>0.79700000000000004</v>
      </c>
      <c r="R1452">
        <v>375</v>
      </c>
      <c r="S1452">
        <v>40</v>
      </c>
      <c r="T1452">
        <v>123</v>
      </c>
      <c r="U1452">
        <v>64</v>
      </c>
      <c r="V1452">
        <v>19</v>
      </c>
      <c r="W1452">
        <v>22</v>
      </c>
      <c r="X1452">
        <v>44</v>
      </c>
      <c r="Y1452" s="5">
        <v>1.45</v>
      </c>
    </row>
    <row r="1453" spans="1:25" x14ac:dyDescent="0.25">
      <c r="A1453">
        <v>2021</v>
      </c>
      <c r="B1453" t="s">
        <v>57</v>
      </c>
      <c r="C1453">
        <v>14</v>
      </c>
      <c r="D1453">
        <f>+D1452</f>
        <v>140</v>
      </c>
      <c r="E1453" t="s">
        <v>98</v>
      </c>
      <c r="F1453" t="s">
        <v>41</v>
      </c>
      <c r="G1453">
        <f t="shared" si="22"/>
        <v>1</v>
      </c>
      <c r="H1453">
        <v>8</v>
      </c>
      <c r="I1453">
        <v>5</v>
      </c>
      <c r="J1453">
        <v>0</v>
      </c>
      <c r="K1453" s="6" t="str">
        <f>"vs "&amp;E1452</f>
        <v>vs The Rookies</v>
      </c>
      <c r="L1453" s="6" t="str">
        <f>"vs "&amp;F1452</f>
        <v>vs Kousidis</v>
      </c>
      <c r="M1453">
        <v>152</v>
      </c>
      <c r="N1453" s="1">
        <v>0.443</v>
      </c>
      <c r="O1453">
        <v>52</v>
      </c>
      <c r="P1453" s="1">
        <v>0.38800000000000001</v>
      </c>
      <c r="Q1453" s="1">
        <v>0.83299999999999996</v>
      </c>
      <c r="R1453">
        <v>396</v>
      </c>
      <c r="S1453">
        <v>26</v>
      </c>
      <c r="T1453">
        <v>115</v>
      </c>
      <c r="U1453">
        <v>75</v>
      </c>
      <c r="V1453">
        <v>33</v>
      </c>
      <c r="W1453">
        <v>15</v>
      </c>
      <c r="X1453">
        <v>34</v>
      </c>
      <c r="Y1453" s="5">
        <v>2.21</v>
      </c>
    </row>
    <row r="1454" spans="1:25" x14ac:dyDescent="0.25">
      <c r="A1454">
        <v>2021</v>
      </c>
      <c r="B1454" t="s">
        <v>142</v>
      </c>
      <c r="C1454" t="s">
        <v>148</v>
      </c>
      <c r="D1454">
        <f>+D1453+1</f>
        <v>141</v>
      </c>
      <c r="E1454" t="s">
        <v>95</v>
      </c>
      <c r="F1454" t="s">
        <v>101</v>
      </c>
      <c r="G1454">
        <f t="shared" si="22"/>
        <v>1</v>
      </c>
      <c r="H1454">
        <v>8</v>
      </c>
      <c r="I1454">
        <v>5</v>
      </c>
      <c r="J1454">
        <v>0</v>
      </c>
      <c r="K1454" s="6" t="str">
        <f>"vs "&amp;E1455</f>
        <v>vs Underdogs</v>
      </c>
      <c r="L1454" s="6" t="str">
        <f>"vs "&amp;F1455</f>
        <v>vs Nonis</v>
      </c>
      <c r="M1454">
        <v>151</v>
      </c>
      <c r="N1454" s="1">
        <v>0.45800000000000002</v>
      </c>
      <c r="O1454">
        <v>52</v>
      </c>
      <c r="P1454" s="1">
        <v>0.39700000000000002</v>
      </c>
      <c r="Q1454" s="1">
        <v>0.83299999999999996</v>
      </c>
      <c r="R1454">
        <v>409</v>
      </c>
      <c r="S1454">
        <v>25</v>
      </c>
      <c r="T1454">
        <v>91</v>
      </c>
      <c r="U1454">
        <v>98</v>
      </c>
      <c r="V1454">
        <v>32</v>
      </c>
      <c r="W1454">
        <v>16</v>
      </c>
      <c r="X1454">
        <v>39</v>
      </c>
      <c r="Y1454" s="5">
        <v>2.5099999999999998</v>
      </c>
    </row>
    <row r="1455" spans="1:25" x14ac:dyDescent="0.25">
      <c r="A1455">
        <v>2021</v>
      </c>
      <c r="B1455" t="s">
        <v>142</v>
      </c>
      <c r="C1455" t="s">
        <v>148</v>
      </c>
      <c r="D1455">
        <f>+D1454</f>
        <v>141</v>
      </c>
      <c r="E1455" t="s">
        <v>97</v>
      </c>
      <c r="F1455" t="s">
        <v>54</v>
      </c>
      <c r="G1455">
        <f t="shared" si="22"/>
        <v>0</v>
      </c>
      <c r="H1455">
        <v>5</v>
      </c>
      <c r="I1455">
        <v>8</v>
      </c>
      <c r="J1455">
        <v>0</v>
      </c>
      <c r="K1455" s="6" t="str">
        <f>"vs "&amp;E1454</f>
        <v>vs Baltimore Hercules</v>
      </c>
      <c r="L1455" s="6" t="str">
        <f>"vs "&amp;F1454</f>
        <v>vs Sarantos</v>
      </c>
      <c r="M1455">
        <v>169</v>
      </c>
      <c r="N1455" s="1">
        <v>0.45900000000000002</v>
      </c>
      <c r="O1455">
        <v>49</v>
      </c>
      <c r="P1455" s="1">
        <v>0.35799999999999998</v>
      </c>
      <c r="Q1455" s="1">
        <v>0.72499999999999998</v>
      </c>
      <c r="R1455">
        <v>453</v>
      </c>
      <c r="S1455">
        <v>12</v>
      </c>
      <c r="T1455">
        <v>112</v>
      </c>
      <c r="U1455">
        <v>122</v>
      </c>
      <c r="V1455">
        <v>19</v>
      </c>
      <c r="W1455">
        <v>5</v>
      </c>
      <c r="X1455">
        <v>58</v>
      </c>
      <c r="Y1455" s="5">
        <v>2.1</v>
      </c>
    </row>
    <row r="1456" spans="1:25" x14ac:dyDescent="0.25">
      <c r="A1456">
        <v>2021</v>
      </c>
      <c r="B1456" t="s">
        <v>142</v>
      </c>
      <c r="C1456" t="s">
        <v>148</v>
      </c>
      <c r="D1456">
        <f>+D1455+1</f>
        <v>142</v>
      </c>
      <c r="E1456" t="s">
        <v>15</v>
      </c>
      <c r="F1456" t="s">
        <v>48</v>
      </c>
      <c r="G1456">
        <f t="shared" si="22"/>
        <v>0</v>
      </c>
      <c r="H1456">
        <v>4</v>
      </c>
      <c r="I1456">
        <v>6</v>
      </c>
      <c r="J1456">
        <v>3</v>
      </c>
      <c r="K1456" s="6" t="str">
        <f>"vs "&amp;E1457</f>
        <v>vs The Bridgeburners</v>
      </c>
      <c r="L1456" s="6" t="str">
        <f>"vs "&amp;F1457</f>
        <v>vs Fanis</v>
      </c>
      <c r="M1456">
        <v>168</v>
      </c>
      <c r="N1456" s="1">
        <v>0.47499999999999998</v>
      </c>
      <c r="O1456">
        <v>31</v>
      </c>
      <c r="P1456" s="1">
        <v>0.34399999999999997</v>
      </c>
      <c r="Q1456" s="1">
        <v>0.84899999999999998</v>
      </c>
      <c r="R1456">
        <v>474</v>
      </c>
      <c r="S1456">
        <v>46</v>
      </c>
      <c r="T1456">
        <v>104</v>
      </c>
      <c r="U1456">
        <v>90</v>
      </c>
      <c r="V1456">
        <v>27</v>
      </c>
      <c r="W1456">
        <v>7</v>
      </c>
      <c r="X1456">
        <v>54</v>
      </c>
      <c r="Y1456" s="5">
        <v>1.67</v>
      </c>
    </row>
    <row r="1457" spans="1:25" x14ac:dyDescent="0.25">
      <c r="A1457">
        <v>2021</v>
      </c>
      <c r="B1457" t="s">
        <v>142</v>
      </c>
      <c r="C1457" t="s">
        <v>148</v>
      </c>
      <c r="D1457">
        <f>+D1456</f>
        <v>142</v>
      </c>
      <c r="E1457" t="s">
        <v>16</v>
      </c>
      <c r="F1457" t="s">
        <v>51</v>
      </c>
      <c r="G1457">
        <f t="shared" si="22"/>
        <v>1</v>
      </c>
      <c r="H1457">
        <v>6</v>
      </c>
      <c r="I1457">
        <v>4</v>
      </c>
      <c r="J1457">
        <v>3</v>
      </c>
      <c r="K1457" s="6" t="str">
        <f>"vs "&amp;E1456</f>
        <v>vs Salonika Devils</v>
      </c>
      <c r="L1457" s="6" t="str">
        <f>"vs "&amp;F1456</f>
        <v>vs Fountos</v>
      </c>
      <c r="M1457">
        <v>146</v>
      </c>
      <c r="N1457" s="1">
        <v>0.47599999999999998</v>
      </c>
      <c r="O1457">
        <v>42</v>
      </c>
      <c r="P1457" s="1">
        <v>0.38200000000000001</v>
      </c>
      <c r="Q1457" s="1">
        <v>0.71199999999999997</v>
      </c>
      <c r="R1457">
        <v>386</v>
      </c>
      <c r="S1457">
        <v>48</v>
      </c>
      <c r="T1457">
        <v>139</v>
      </c>
      <c r="U1457">
        <v>90</v>
      </c>
      <c r="V1457">
        <v>24</v>
      </c>
      <c r="W1457">
        <v>40</v>
      </c>
      <c r="X1457">
        <v>54</v>
      </c>
      <c r="Y1457" s="5">
        <v>1.67</v>
      </c>
    </row>
    <row r="1458" spans="1:25" x14ac:dyDescent="0.25">
      <c r="A1458">
        <v>2021</v>
      </c>
      <c r="B1458" t="s">
        <v>142</v>
      </c>
      <c r="C1458" t="s">
        <v>148</v>
      </c>
      <c r="D1458">
        <f>+D1457+1</f>
        <v>143</v>
      </c>
      <c r="E1458" t="s">
        <v>159</v>
      </c>
      <c r="F1458" t="s">
        <v>116</v>
      </c>
      <c r="G1458">
        <f t="shared" si="22"/>
        <v>1</v>
      </c>
      <c r="H1458">
        <v>9</v>
      </c>
      <c r="I1458">
        <v>4</v>
      </c>
      <c r="J1458">
        <v>0</v>
      </c>
      <c r="K1458" s="6" t="str">
        <f>"vs "&amp;E1459</f>
        <v>vs The Guns</v>
      </c>
      <c r="L1458" s="6" t="str">
        <f>"vs "&amp;F1459</f>
        <v>vs Vasilis</v>
      </c>
      <c r="M1458">
        <v>282</v>
      </c>
      <c r="N1458" s="1">
        <v>0.49</v>
      </c>
      <c r="O1458">
        <v>67</v>
      </c>
      <c r="P1458" s="1">
        <v>0.33300000000000002</v>
      </c>
      <c r="Q1458" s="1">
        <v>0.74399999999999999</v>
      </c>
      <c r="R1458">
        <v>718</v>
      </c>
      <c r="S1458">
        <v>32</v>
      </c>
      <c r="T1458">
        <v>185</v>
      </c>
      <c r="U1458">
        <v>127</v>
      </c>
      <c r="V1458">
        <v>37</v>
      </c>
      <c r="W1458">
        <v>27</v>
      </c>
      <c r="X1458">
        <v>55</v>
      </c>
      <c r="Y1458" s="5">
        <v>2.31</v>
      </c>
    </row>
    <row r="1459" spans="1:25" x14ac:dyDescent="0.25">
      <c r="A1459">
        <v>2021</v>
      </c>
      <c r="B1459" t="s">
        <v>142</v>
      </c>
      <c r="C1459" t="s">
        <v>148</v>
      </c>
      <c r="D1459">
        <f>+D1458</f>
        <v>143</v>
      </c>
      <c r="E1459" t="s">
        <v>33</v>
      </c>
      <c r="F1459" t="s">
        <v>42</v>
      </c>
      <c r="G1459">
        <f t="shared" si="22"/>
        <v>0</v>
      </c>
      <c r="H1459">
        <v>4</v>
      </c>
      <c r="I1459">
        <v>9</v>
      </c>
      <c r="J1459">
        <v>0</v>
      </c>
      <c r="K1459" s="6" t="str">
        <f>"vs "&amp;E1458</f>
        <v>vs purple fuzzy apache pirates</v>
      </c>
      <c r="L1459" s="6" t="str">
        <f>"vs "&amp;F1458</f>
        <v>vs pi/Sotiris</v>
      </c>
      <c r="M1459">
        <v>172</v>
      </c>
      <c r="N1459" s="1">
        <v>0.496</v>
      </c>
      <c r="O1459">
        <v>43</v>
      </c>
      <c r="P1459" s="1">
        <v>0.371</v>
      </c>
      <c r="Q1459" s="1">
        <v>0.76200000000000001</v>
      </c>
      <c r="R1459">
        <v>483</v>
      </c>
      <c r="S1459">
        <v>22</v>
      </c>
      <c r="T1459">
        <v>93</v>
      </c>
      <c r="U1459">
        <v>99</v>
      </c>
      <c r="V1459">
        <v>30</v>
      </c>
      <c r="W1459">
        <v>13</v>
      </c>
      <c r="X1459">
        <v>47</v>
      </c>
      <c r="Y1459" s="5">
        <v>2.11</v>
      </c>
    </row>
    <row r="1460" spans="1:25" x14ac:dyDescent="0.25">
      <c r="A1460">
        <v>2021</v>
      </c>
      <c r="B1460" t="s">
        <v>142</v>
      </c>
      <c r="C1460" t="s">
        <v>148</v>
      </c>
      <c r="D1460">
        <f>+D1459+1</f>
        <v>144</v>
      </c>
      <c r="E1460" t="s">
        <v>190</v>
      </c>
      <c r="F1460" t="s">
        <v>103</v>
      </c>
      <c r="G1460">
        <f t="shared" si="22"/>
        <v>1</v>
      </c>
      <c r="H1460">
        <v>8</v>
      </c>
      <c r="I1460">
        <v>5</v>
      </c>
      <c r="J1460">
        <v>0</v>
      </c>
      <c r="K1460" s="6" t="str">
        <f>"vs "&amp;E1461</f>
        <v>vs st.Helens Eruptions</v>
      </c>
      <c r="L1460" s="6" t="str">
        <f>"vs "&amp;F1461</f>
        <v>vs Aris</v>
      </c>
      <c r="M1460">
        <v>192</v>
      </c>
      <c r="N1460" s="1">
        <v>0.47299999999999998</v>
      </c>
      <c r="O1460">
        <v>59</v>
      </c>
      <c r="P1460" s="1">
        <v>0.36199999999999999</v>
      </c>
      <c r="Q1460" s="1">
        <v>0.80600000000000005</v>
      </c>
      <c r="R1460">
        <v>543</v>
      </c>
      <c r="S1460">
        <v>44</v>
      </c>
      <c r="T1460">
        <v>159</v>
      </c>
      <c r="U1460">
        <v>132</v>
      </c>
      <c r="V1460">
        <v>19</v>
      </c>
      <c r="W1460">
        <v>21</v>
      </c>
      <c r="X1460">
        <v>79</v>
      </c>
      <c r="Y1460" s="5">
        <v>1.67</v>
      </c>
    </row>
    <row r="1461" spans="1:25" x14ac:dyDescent="0.25">
      <c r="A1461">
        <v>2021</v>
      </c>
      <c r="B1461" t="s">
        <v>142</v>
      </c>
      <c r="C1461" t="s">
        <v>148</v>
      </c>
      <c r="D1461">
        <f>+D1460</f>
        <v>144</v>
      </c>
      <c r="E1461" t="s">
        <v>21</v>
      </c>
      <c r="F1461" t="s">
        <v>50</v>
      </c>
      <c r="G1461">
        <f t="shared" si="22"/>
        <v>0</v>
      </c>
      <c r="H1461">
        <v>5</v>
      </c>
      <c r="I1461">
        <v>8</v>
      </c>
      <c r="J1461">
        <v>0</v>
      </c>
      <c r="K1461" s="6" t="str">
        <f>"vs "&amp;E1460</f>
        <v>vs Karafli SaiTa</v>
      </c>
      <c r="L1461" s="6" t="str">
        <f>"vs "&amp;F1460</f>
        <v>vs Tassos</v>
      </c>
      <c r="M1461">
        <v>166</v>
      </c>
      <c r="N1461" s="1">
        <v>0.45700000000000002</v>
      </c>
      <c r="O1461">
        <v>54</v>
      </c>
      <c r="P1461" s="1">
        <v>0.40300000000000002</v>
      </c>
      <c r="Q1461" s="1">
        <v>0.78900000000000003</v>
      </c>
      <c r="R1461">
        <v>461</v>
      </c>
      <c r="S1461">
        <v>38</v>
      </c>
      <c r="T1461">
        <v>123</v>
      </c>
      <c r="U1461">
        <v>133</v>
      </c>
      <c r="V1461">
        <v>32</v>
      </c>
      <c r="W1461">
        <v>9</v>
      </c>
      <c r="X1461">
        <v>57</v>
      </c>
      <c r="Y1461" s="5">
        <v>2.33</v>
      </c>
    </row>
    <row r="1462" spans="1:25" x14ac:dyDescent="0.25">
      <c r="A1462">
        <v>2021</v>
      </c>
      <c r="B1462" t="s">
        <v>142</v>
      </c>
      <c r="C1462" t="s">
        <v>146</v>
      </c>
      <c r="D1462">
        <f>+D1461+1</f>
        <v>145</v>
      </c>
      <c r="E1462" t="s">
        <v>28</v>
      </c>
      <c r="F1462" t="s">
        <v>46</v>
      </c>
      <c r="G1462">
        <f t="shared" si="22"/>
        <v>1</v>
      </c>
      <c r="H1462">
        <v>8</v>
      </c>
      <c r="I1462">
        <v>5</v>
      </c>
      <c r="J1462">
        <v>0</v>
      </c>
      <c r="K1462" s="6" t="str">
        <f>"vs "&amp;E1463</f>
        <v>vs purple fuzzy apache pirates</v>
      </c>
      <c r="L1462" s="6" t="str">
        <f>"vs "&amp;F1463</f>
        <v>vs pi/Sotiris</v>
      </c>
      <c r="M1462">
        <v>232</v>
      </c>
      <c r="N1462" s="1">
        <v>0.497</v>
      </c>
      <c r="O1462">
        <v>56</v>
      </c>
      <c r="P1462" s="1">
        <v>0.41199999999999998</v>
      </c>
      <c r="Q1462" s="1">
        <v>0.72199999999999998</v>
      </c>
      <c r="R1462">
        <v>603</v>
      </c>
      <c r="S1462">
        <v>63</v>
      </c>
      <c r="T1462">
        <v>205</v>
      </c>
      <c r="U1462">
        <v>142</v>
      </c>
      <c r="V1462">
        <v>37</v>
      </c>
      <c r="W1462">
        <v>23</v>
      </c>
      <c r="X1462">
        <v>50</v>
      </c>
      <c r="Y1462" s="5">
        <v>2.84</v>
      </c>
    </row>
    <row r="1463" spans="1:25" x14ac:dyDescent="0.25">
      <c r="A1463">
        <v>2021</v>
      </c>
      <c r="B1463" t="s">
        <v>142</v>
      </c>
      <c r="C1463" t="s">
        <v>146</v>
      </c>
      <c r="D1463">
        <f>+D1462</f>
        <v>145</v>
      </c>
      <c r="E1463" t="s">
        <v>159</v>
      </c>
      <c r="F1463" t="s">
        <v>116</v>
      </c>
      <c r="G1463">
        <f t="shared" si="22"/>
        <v>0</v>
      </c>
      <c r="H1463">
        <v>5</v>
      </c>
      <c r="I1463">
        <v>8</v>
      </c>
      <c r="J1463">
        <v>0</v>
      </c>
      <c r="K1463" s="6" t="str">
        <f>"vs "&amp;E1462</f>
        <v>vs Steven Adams' Moustache</v>
      </c>
      <c r="L1463" s="6" t="str">
        <f>"vs "&amp;F1462</f>
        <v>vs Johnny</v>
      </c>
      <c r="M1463">
        <v>223</v>
      </c>
      <c r="N1463" s="1">
        <v>0.49299999999999999</v>
      </c>
      <c r="O1463">
        <v>62</v>
      </c>
      <c r="P1463" s="1">
        <v>0.39200000000000002</v>
      </c>
      <c r="Q1463" s="1">
        <v>0.754</v>
      </c>
      <c r="R1463">
        <v>609</v>
      </c>
      <c r="S1463">
        <v>57</v>
      </c>
      <c r="T1463">
        <v>173</v>
      </c>
      <c r="U1463">
        <v>112</v>
      </c>
      <c r="V1463">
        <v>47</v>
      </c>
      <c r="W1463">
        <v>31</v>
      </c>
      <c r="X1463">
        <v>85</v>
      </c>
      <c r="Y1463" s="5">
        <v>1.32</v>
      </c>
    </row>
    <row r="1464" spans="1:25" x14ac:dyDescent="0.25">
      <c r="A1464">
        <v>2021</v>
      </c>
      <c r="B1464" t="s">
        <v>142</v>
      </c>
      <c r="C1464" t="s">
        <v>146</v>
      </c>
      <c r="D1464">
        <f>+D1463+1</f>
        <v>146</v>
      </c>
      <c r="E1464" t="s">
        <v>93</v>
      </c>
      <c r="F1464" t="s">
        <v>189</v>
      </c>
      <c r="G1464">
        <f t="shared" si="22"/>
        <v>1</v>
      </c>
      <c r="H1464">
        <v>9</v>
      </c>
      <c r="I1464">
        <v>4</v>
      </c>
      <c r="J1464">
        <v>0</v>
      </c>
      <c r="K1464" s="6" t="str">
        <f>"vs "&amp;E1465</f>
        <v>vs Baltimore Hercules</v>
      </c>
      <c r="L1464" s="6" t="str">
        <f>"vs "&amp;F1465</f>
        <v>vs Sarantos</v>
      </c>
      <c r="M1464">
        <v>151</v>
      </c>
      <c r="N1464" s="1">
        <v>0.51200000000000001</v>
      </c>
      <c r="O1464">
        <v>47</v>
      </c>
      <c r="P1464" s="1">
        <v>0.42699999999999999</v>
      </c>
      <c r="Q1464" s="1">
        <v>0.84899999999999998</v>
      </c>
      <c r="R1464">
        <v>422</v>
      </c>
      <c r="S1464">
        <v>31</v>
      </c>
      <c r="T1464">
        <v>101</v>
      </c>
      <c r="U1464">
        <v>101</v>
      </c>
      <c r="V1464">
        <v>23</v>
      </c>
      <c r="W1464">
        <v>12</v>
      </c>
      <c r="X1464">
        <v>48</v>
      </c>
      <c r="Y1464" s="5">
        <v>2.1</v>
      </c>
    </row>
    <row r="1465" spans="1:25" x14ac:dyDescent="0.25">
      <c r="A1465">
        <v>2021</v>
      </c>
      <c r="B1465" t="s">
        <v>142</v>
      </c>
      <c r="C1465" t="s">
        <v>146</v>
      </c>
      <c r="D1465">
        <f>+D1464</f>
        <v>146</v>
      </c>
      <c r="E1465" t="s">
        <v>95</v>
      </c>
      <c r="F1465" t="s">
        <v>101</v>
      </c>
      <c r="G1465">
        <f t="shared" si="22"/>
        <v>0</v>
      </c>
      <c r="H1465">
        <v>4</v>
      </c>
      <c r="I1465">
        <v>9</v>
      </c>
      <c r="J1465">
        <v>0</v>
      </c>
      <c r="K1465" s="6" t="str">
        <f>"vs "&amp;E1464</f>
        <v>vs Guruuu 🐐🐐🐐</v>
      </c>
      <c r="L1465" s="6" t="str">
        <f>"vs "&amp;F1464</f>
        <v>vs Guru</v>
      </c>
      <c r="M1465">
        <v>145</v>
      </c>
      <c r="N1465" s="1">
        <v>0.42499999999999999</v>
      </c>
      <c r="O1465">
        <v>49</v>
      </c>
      <c r="P1465" s="1">
        <v>0.36299999999999999</v>
      </c>
      <c r="Q1465" s="1">
        <v>0.77900000000000003</v>
      </c>
      <c r="R1465">
        <v>406</v>
      </c>
      <c r="S1465">
        <v>18</v>
      </c>
      <c r="T1465">
        <v>104</v>
      </c>
      <c r="U1465">
        <v>93</v>
      </c>
      <c r="V1465">
        <v>38</v>
      </c>
      <c r="W1465">
        <v>15</v>
      </c>
      <c r="X1465">
        <v>50</v>
      </c>
      <c r="Y1465" s="5">
        <v>1.86</v>
      </c>
    </row>
    <row r="1466" spans="1:25" x14ac:dyDescent="0.25">
      <c r="A1466">
        <v>2021</v>
      </c>
      <c r="B1466" t="s">
        <v>142</v>
      </c>
      <c r="C1466" t="s">
        <v>146</v>
      </c>
      <c r="D1466">
        <f>+D1465+1</f>
        <v>147</v>
      </c>
      <c r="E1466" t="s">
        <v>99</v>
      </c>
      <c r="F1466" t="s">
        <v>45</v>
      </c>
      <c r="G1466">
        <f t="shared" si="22"/>
        <v>1</v>
      </c>
      <c r="H1466">
        <v>9</v>
      </c>
      <c r="I1466">
        <v>3</v>
      </c>
      <c r="J1466">
        <v>1</v>
      </c>
      <c r="K1466" s="6" t="str">
        <f>"vs "&amp;E1467</f>
        <v>vs The Bridgeburners</v>
      </c>
      <c r="L1466" s="6" t="str">
        <f>"vs "&amp;F1467</f>
        <v>vs Fanis</v>
      </c>
      <c r="M1466">
        <v>199</v>
      </c>
      <c r="N1466" s="1">
        <v>0.52800000000000002</v>
      </c>
      <c r="O1466">
        <v>41</v>
      </c>
      <c r="P1466" s="1">
        <v>0.34499999999999997</v>
      </c>
      <c r="Q1466" s="1">
        <v>0.84099999999999997</v>
      </c>
      <c r="R1466">
        <v>497</v>
      </c>
      <c r="S1466">
        <v>46</v>
      </c>
      <c r="T1466">
        <v>166</v>
      </c>
      <c r="U1466">
        <v>107</v>
      </c>
      <c r="V1466">
        <v>27</v>
      </c>
      <c r="W1466">
        <v>12</v>
      </c>
      <c r="X1466">
        <v>59</v>
      </c>
      <c r="Y1466" s="5">
        <v>1.81</v>
      </c>
    </row>
    <row r="1467" spans="1:25" x14ac:dyDescent="0.25">
      <c r="A1467">
        <v>2021</v>
      </c>
      <c r="B1467" t="s">
        <v>142</v>
      </c>
      <c r="C1467" t="s">
        <v>146</v>
      </c>
      <c r="D1467">
        <f>+D1466</f>
        <v>147</v>
      </c>
      <c r="E1467" t="s">
        <v>16</v>
      </c>
      <c r="F1467" t="s">
        <v>51</v>
      </c>
      <c r="G1467">
        <f t="shared" si="22"/>
        <v>0</v>
      </c>
      <c r="H1467">
        <v>3</v>
      </c>
      <c r="I1467">
        <v>9</v>
      </c>
      <c r="J1467">
        <v>1</v>
      </c>
      <c r="K1467" s="6" t="str">
        <f>"vs "&amp;E1466</f>
        <v>vs Tsarlatans</v>
      </c>
      <c r="L1467" s="6" t="str">
        <f>"vs "&amp;F1466</f>
        <v>vs Tzokos</v>
      </c>
      <c r="M1467">
        <v>112</v>
      </c>
      <c r="N1467" s="1">
        <v>0.48299999999999998</v>
      </c>
      <c r="O1467">
        <v>29</v>
      </c>
      <c r="P1467" s="1">
        <v>0.32600000000000001</v>
      </c>
      <c r="Q1467" s="1">
        <v>0.79800000000000004</v>
      </c>
      <c r="R1467">
        <v>324</v>
      </c>
      <c r="S1467">
        <v>42</v>
      </c>
      <c r="T1467">
        <v>120</v>
      </c>
      <c r="U1467">
        <v>92</v>
      </c>
      <c r="V1467">
        <v>27</v>
      </c>
      <c r="W1467">
        <v>26</v>
      </c>
      <c r="X1467">
        <v>50</v>
      </c>
      <c r="Y1467" s="5">
        <v>1.84</v>
      </c>
    </row>
    <row r="1468" spans="1:25" x14ac:dyDescent="0.25">
      <c r="A1468">
        <v>2021</v>
      </c>
      <c r="B1468" t="s">
        <v>142</v>
      </c>
      <c r="C1468" t="s">
        <v>146</v>
      </c>
      <c r="D1468">
        <f>+D1467+1</f>
        <v>148</v>
      </c>
      <c r="E1468" t="s">
        <v>26</v>
      </c>
      <c r="F1468" t="s">
        <v>118</v>
      </c>
      <c r="G1468">
        <f t="shared" si="22"/>
        <v>1</v>
      </c>
      <c r="H1468">
        <v>8</v>
      </c>
      <c r="I1468">
        <v>5</v>
      </c>
      <c r="J1468">
        <v>0</v>
      </c>
      <c r="K1468" s="6" t="str">
        <f>"vs "&amp;E1469</f>
        <v>vs Karafli SaiTa</v>
      </c>
      <c r="L1468" s="6" t="str">
        <f>"vs "&amp;F1469</f>
        <v>vs Tassos</v>
      </c>
      <c r="M1468">
        <v>139</v>
      </c>
      <c r="N1468" s="1">
        <v>0.47799999999999998</v>
      </c>
      <c r="O1468">
        <v>40</v>
      </c>
      <c r="P1468" s="1">
        <v>0.32300000000000001</v>
      </c>
      <c r="Q1468" s="1">
        <v>0.75</v>
      </c>
      <c r="R1468">
        <v>369</v>
      </c>
      <c r="S1468">
        <v>43</v>
      </c>
      <c r="T1468">
        <v>148</v>
      </c>
      <c r="U1468">
        <v>130</v>
      </c>
      <c r="V1468">
        <v>31</v>
      </c>
      <c r="W1468">
        <v>23</v>
      </c>
      <c r="X1468">
        <v>58</v>
      </c>
      <c r="Y1468" s="5">
        <v>2.2400000000000002</v>
      </c>
    </row>
    <row r="1469" spans="1:25" x14ac:dyDescent="0.25">
      <c r="A1469">
        <v>2021</v>
      </c>
      <c r="B1469" t="s">
        <v>142</v>
      </c>
      <c r="C1469" t="s">
        <v>146</v>
      </c>
      <c r="D1469">
        <f>+D1468</f>
        <v>148</v>
      </c>
      <c r="E1469" t="s">
        <v>190</v>
      </c>
      <c r="F1469" t="s">
        <v>103</v>
      </c>
      <c r="G1469">
        <f t="shared" si="22"/>
        <v>0</v>
      </c>
      <c r="H1469">
        <v>5</v>
      </c>
      <c r="I1469">
        <v>8</v>
      </c>
      <c r="J1469">
        <v>0</v>
      </c>
      <c r="K1469" s="6" t="str">
        <f>"vs "&amp;E1468</f>
        <v>vs Kourayo Vallecano</v>
      </c>
      <c r="L1469" s="6" t="str">
        <f>"vs "&amp;F1468</f>
        <v>vs Ziogas/Christof</v>
      </c>
      <c r="M1469">
        <v>167</v>
      </c>
      <c r="N1469" s="1">
        <v>0.43</v>
      </c>
      <c r="O1469">
        <v>63</v>
      </c>
      <c r="P1469" s="1">
        <v>0.36199999999999999</v>
      </c>
      <c r="Q1469" s="1">
        <v>0.75800000000000001</v>
      </c>
      <c r="R1469">
        <v>469</v>
      </c>
      <c r="S1469">
        <v>19</v>
      </c>
      <c r="T1469">
        <v>130</v>
      </c>
      <c r="U1469">
        <v>106</v>
      </c>
      <c r="V1469">
        <v>22</v>
      </c>
      <c r="W1469">
        <v>14</v>
      </c>
      <c r="X1469">
        <v>76</v>
      </c>
      <c r="Y1469" s="5">
        <v>1.39</v>
      </c>
    </row>
    <row r="1470" spans="1:25" x14ac:dyDescent="0.25">
      <c r="A1470">
        <v>2021</v>
      </c>
      <c r="B1470" t="s">
        <v>142</v>
      </c>
      <c r="C1470" t="s">
        <v>147</v>
      </c>
      <c r="D1470">
        <f>+D1469+1</f>
        <v>149</v>
      </c>
      <c r="E1470" t="s">
        <v>93</v>
      </c>
      <c r="F1470" t="s">
        <v>189</v>
      </c>
      <c r="G1470">
        <f t="shared" si="22"/>
        <v>0</v>
      </c>
      <c r="H1470">
        <v>4</v>
      </c>
      <c r="I1470">
        <v>9</v>
      </c>
      <c r="J1470">
        <v>0</v>
      </c>
      <c r="K1470" s="6" t="str">
        <f>"vs "&amp;E1471</f>
        <v>vs Steven Adams' Moustache</v>
      </c>
      <c r="L1470" s="6" t="str">
        <f>"vs "&amp;F1471</f>
        <v>vs Johnny</v>
      </c>
      <c r="M1470">
        <v>143</v>
      </c>
      <c r="N1470" s="1">
        <v>0.49</v>
      </c>
      <c r="O1470">
        <v>37</v>
      </c>
      <c r="P1470" s="1">
        <v>0.39400000000000002</v>
      </c>
      <c r="Q1470" s="1">
        <v>0.86099999999999999</v>
      </c>
      <c r="R1470">
        <v>385</v>
      </c>
      <c r="S1470">
        <v>29</v>
      </c>
      <c r="T1470">
        <v>88</v>
      </c>
      <c r="U1470">
        <v>81</v>
      </c>
      <c r="V1470">
        <v>29</v>
      </c>
      <c r="W1470">
        <v>12</v>
      </c>
      <c r="X1470">
        <v>39</v>
      </c>
      <c r="Y1470" s="5">
        <v>2.08</v>
      </c>
    </row>
    <row r="1471" spans="1:25" x14ac:dyDescent="0.25">
      <c r="A1471">
        <v>2021</v>
      </c>
      <c r="B1471" t="s">
        <v>142</v>
      </c>
      <c r="C1471" t="s">
        <v>147</v>
      </c>
      <c r="D1471">
        <f>+D1470</f>
        <v>149</v>
      </c>
      <c r="E1471" t="s">
        <v>28</v>
      </c>
      <c r="F1471" t="s">
        <v>46</v>
      </c>
      <c r="G1471">
        <f t="shared" si="22"/>
        <v>1</v>
      </c>
      <c r="H1471">
        <v>9</v>
      </c>
      <c r="I1471">
        <v>4</v>
      </c>
      <c r="J1471">
        <v>0</v>
      </c>
      <c r="K1471" s="6" t="str">
        <f>"vs "&amp;E1470</f>
        <v>vs Guruuu 🐐🐐🐐</v>
      </c>
      <c r="L1471" s="6" t="str">
        <f>"vs "&amp;F1470</f>
        <v>vs Guru</v>
      </c>
      <c r="M1471">
        <v>241</v>
      </c>
      <c r="N1471" s="1">
        <v>0.48299999999999998</v>
      </c>
      <c r="O1471">
        <v>49</v>
      </c>
      <c r="P1471" s="1">
        <v>0.308</v>
      </c>
      <c r="Q1471" s="1">
        <v>0.71599999999999997</v>
      </c>
      <c r="R1471">
        <v>604</v>
      </c>
      <c r="S1471">
        <v>53</v>
      </c>
      <c r="T1471">
        <v>213</v>
      </c>
      <c r="U1471">
        <v>182</v>
      </c>
      <c r="V1471">
        <v>35</v>
      </c>
      <c r="W1471">
        <v>20</v>
      </c>
      <c r="X1471">
        <v>85</v>
      </c>
      <c r="Y1471" s="5">
        <v>2.14</v>
      </c>
    </row>
    <row r="1472" spans="1:25" x14ac:dyDescent="0.25">
      <c r="A1472">
        <v>2021</v>
      </c>
      <c r="B1472" t="s">
        <v>142</v>
      </c>
      <c r="C1472" t="s">
        <v>147</v>
      </c>
      <c r="D1472">
        <f>+D1471+1</f>
        <v>150</v>
      </c>
      <c r="E1472" t="s">
        <v>26</v>
      </c>
      <c r="F1472" t="s">
        <v>118</v>
      </c>
      <c r="G1472">
        <f t="shared" si="22"/>
        <v>1</v>
      </c>
      <c r="H1472">
        <v>9</v>
      </c>
      <c r="I1472">
        <v>4</v>
      </c>
      <c r="J1472">
        <v>0</v>
      </c>
      <c r="K1472" s="6" t="str">
        <f>"vs "&amp;E1473</f>
        <v>vs Tsarlatans</v>
      </c>
      <c r="L1472" s="6" t="str">
        <f>"vs "&amp;F1473</f>
        <v>vs Tzokos</v>
      </c>
      <c r="M1472">
        <v>163</v>
      </c>
      <c r="N1472" s="1">
        <v>0.47699999999999998</v>
      </c>
      <c r="O1472">
        <v>66</v>
      </c>
      <c r="P1472" s="1">
        <v>0.36699999999999999</v>
      </c>
      <c r="Q1472" s="1">
        <v>0.85499999999999998</v>
      </c>
      <c r="R1472">
        <v>445</v>
      </c>
      <c r="S1472">
        <v>27</v>
      </c>
      <c r="T1472">
        <v>208</v>
      </c>
      <c r="U1472">
        <v>163</v>
      </c>
      <c r="V1472">
        <v>27</v>
      </c>
      <c r="W1472">
        <v>15</v>
      </c>
      <c r="X1472">
        <v>54</v>
      </c>
      <c r="Y1472" s="5">
        <v>3.02</v>
      </c>
    </row>
    <row r="1473" spans="1:25" x14ac:dyDescent="0.25">
      <c r="A1473">
        <v>2021</v>
      </c>
      <c r="B1473" t="s">
        <v>142</v>
      </c>
      <c r="C1473" t="s">
        <v>147</v>
      </c>
      <c r="D1473">
        <f>+D1472</f>
        <v>150</v>
      </c>
      <c r="E1473" t="s">
        <v>99</v>
      </c>
      <c r="F1473" t="s">
        <v>45</v>
      </c>
      <c r="G1473">
        <f t="shared" si="22"/>
        <v>0</v>
      </c>
      <c r="H1473">
        <v>4</v>
      </c>
      <c r="I1473">
        <v>9</v>
      </c>
      <c r="J1473">
        <v>0</v>
      </c>
      <c r="K1473" s="6" t="str">
        <f>"vs "&amp;E1472</f>
        <v>vs Kourayo Vallecano</v>
      </c>
      <c r="L1473" s="6" t="str">
        <f>"vs "&amp;F1472</f>
        <v>vs Ziogas/Christof</v>
      </c>
      <c r="M1473">
        <v>145</v>
      </c>
      <c r="N1473" s="1">
        <v>0.41699999999999998</v>
      </c>
      <c r="O1473">
        <v>49</v>
      </c>
      <c r="P1473" s="1">
        <v>0.318</v>
      </c>
      <c r="Q1473" s="1">
        <v>0.86</v>
      </c>
      <c r="R1473">
        <v>388</v>
      </c>
      <c r="S1473">
        <v>33</v>
      </c>
      <c r="T1473">
        <v>117</v>
      </c>
      <c r="U1473">
        <v>124</v>
      </c>
      <c r="V1473">
        <v>31</v>
      </c>
      <c r="W1473">
        <v>11</v>
      </c>
      <c r="X1473">
        <v>50</v>
      </c>
      <c r="Y1473" s="5">
        <v>2.48</v>
      </c>
    </row>
    <row r="1474" spans="1:25" x14ac:dyDescent="0.25">
      <c r="A1474">
        <v>2021</v>
      </c>
      <c r="B1474" t="s">
        <v>142</v>
      </c>
      <c r="C1474" t="s">
        <v>30</v>
      </c>
      <c r="D1474">
        <f>+D1473+1</f>
        <v>151</v>
      </c>
      <c r="E1474" t="s">
        <v>28</v>
      </c>
      <c r="F1474" t="s">
        <v>46</v>
      </c>
      <c r="G1474">
        <f t="shared" ref="G1474:G1537" si="23">IF(H1474+0.5*J1474&gt;6.5,1,0)</f>
        <v>1</v>
      </c>
      <c r="H1474">
        <v>10</v>
      </c>
      <c r="I1474">
        <v>3</v>
      </c>
      <c r="J1474">
        <v>0</v>
      </c>
      <c r="K1474" s="6" t="str">
        <f>"vs "&amp;E1475</f>
        <v>vs Kourayo Vallecano</v>
      </c>
      <c r="L1474" s="6" t="str">
        <f>"vs "&amp;F1475</f>
        <v>vs Ziogas/Christof</v>
      </c>
      <c r="M1474">
        <v>297</v>
      </c>
      <c r="N1474" s="1">
        <v>0.50700000000000001</v>
      </c>
      <c r="O1474">
        <v>56</v>
      </c>
      <c r="P1474" s="1">
        <v>0.373</v>
      </c>
      <c r="Q1474" s="1">
        <v>0.77700000000000002</v>
      </c>
      <c r="R1474">
        <v>758</v>
      </c>
      <c r="S1474">
        <v>80</v>
      </c>
      <c r="T1474">
        <v>244</v>
      </c>
      <c r="U1474">
        <v>169</v>
      </c>
      <c r="V1474">
        <v>36</v>
      </c>
      <c r="W1474">
        <v>37</v>
      </c>
      <c r="X1474">
        <v>72</v>
      </c>
      <c r="Y1474" s="5">
        <v>2.35</v>
      </c>
    </row>
    <row r="1475" spans="1:25" x14ac:dyDescent="0.25">
      <c r="A1475">
        <v>2021</v>
      </c>
      <c r="B1475" t="s">
        <v>142</v>
      </c>
      <c r="C1475" t="s">
        <v>30</v>
      </c>
      <c r="D1475">
        <f>+D1474</f>
        <v>151</v>
      </c>
      <c r="E1475" t="s">
        <v>26</v>
      </c>
      <c r="F1475" t="s">
        <v>118</v>
      </c>
      <c r="G1475">
        <f t="shared" si="23"/>
        <v>0</v>
      </c>
      <c r="H1475">
        <v>3</v>
      </c>
      <c r="I1475">
        <v>10</v>
      </c>
      <c r="J1475">
        <v>0</v>
      </c>
      <c r="K1475" s="6" t="str">
        <f>"vs "&amp;E1474</f>
        <v>vs Steven Adams' Moustache</v>
      </c>
      <c r="L1475" s="6" t="str">
        <f>"vs "&amp;F1474</f>
        <v>vs Johnny</v>
      </c>
      <c r="M1475">
        <v>122</v>
      </c>
      <c r="N1475" s="1">
        <v>0.53</v>
      </c>
      <c r="O1475">
        <v>48</v>
      </c>
      <c r="P1475" s="1">
        <v>0.39700000000000002</v>
      </c>
      <c r="Q1475" s="1">
        <v>0.70599999999999996</v>
      </c>
      <c r="R1475">
        <v>328</v>
      </c>
      <c r="S1475">
        <v>21</v>
      </c>
      <c r="T1475">
        <v>140</v>
      </c>
      <c r="U1475">
        <v>76</v>
      </c>
      <c r="V1475">
        <v>24</v>
      </c>
      <c r="W1475">
        <v>24</v>
      </c>
      <c r="X1475">
        <v>48</v>
      </c>
      <c r="Y1475" s="5">
        <v>1.58</v>
      </c>
    </row>
    <row r="1476" spans="1:25" x14ac:dyDescent="0.25">
      <c r="A1476">
        <v>2021</v>
      </c>
      <c r="B1476" t="s">
        <v>142</v>
      </c>
      <c r="C1476" t="s">
        <v>141</v>
      </c>
      <c r="D1476">
        <f>+D1475+1</f>
        <v>152</v>
      </c>
      <c r="E1476" t="s">
        <v>99</v>
      </c>
      <c r="F1476" t="s">
        <v>45</v>
      </c>
      <c r="G1476">
        <f t="shared" si="23"/>
        <v>0</v>
      </c>
      <c r="H1476">
        <v>3</v>
      </c>
      <c r="I1476">
        <v>10</v>
      </c>
      <c r="J1476">
        <v>0</v>
      </c>
      <c r="K1476" s="6" t="str">
        <f>"vs "&amp;E1477</f>
        <v>vs Guruuu 🐐🐐🐐</v>
      </c>
      <c r="L1476" s="6" t="str">
        <f>"vs "&amp;F1477</f>
        <v>vs Guru</v>
      </c>
      <c r="M1476">
        <v>212</v>
      </c>
      <c r="N1476" s="1">
        <v>0.46800000000000003</v>
      </c>
      <c r="O1476">
        <v>60</v>
      </c>
      <c r="P1476" s="1">
        <v>0.35299999999999998</v>
      </c>
      <c r="Q1476" s="1">
        <v>0.754</v>
      </c>
      <c r="R1476">
        <v>588</v>
      </c>
      <c r="S1476">
        <v>61</v>
      </c>
      <c r="T1476">
        <v>159</v>
      </c>
      <c r="U1476">
        <v>111</v>
      </c>
      <c r="V1476">
        <v>29</v>
      </c>
      <c r="W1476">
        <v>24</v>
      </c>
      <c r="X1476">
        <v>54</v>
      </c>
      <c r="Y1476" s="5">
        <v>2.06</v>
      </c>
    </row>
    <row r="1477" spans="1:25" x14ac:dyDescent="0.25">
      <c r="A1477">
        <v>2021</v>
      </c>
      <c r="B1477" t="s">
        <v>142</v>
      </c>
      <c r="C1477" t="s">
        <v>141</v>
      </c>
      <c r="D1477">
        <f>+D1476</f>
        <v>152</v>
      </c>
      <c r="E1477" t="s">
        <v>93</v>
      </c>
      <c r="F1477" t="s">
        <v>189</v>
      </c>
      <c r="G1477">
        <f t="shared" si="23"/>
        <v>1</v>
      </c>
      <c r="H1477">
        <v>10</v>
      </c>
      <c r="I1477">
        <v>3</v>
      </c>
      <c r="J1477">
        <v>0</v>
      </c>
      <c r="K1477" s="6" t="str">
        <f>"vs "&amp;E1476</f>
        <v>vs Tsarlatans</v>
      </c>
      <c r="L1477" s="6" t="str">
        <f>"vs "&amp;F1476</f>
        <v>vs Tzokos</v>
      </c>
      <c r="M1477">
        <v>220</v>
      </c>
      <c r="N1477" s="1">
        <v>0.51</v>
      </c>
      <c r="O1477">
        <v>61</v>
      </c>
      <c r="P1477" s="1">
        <v>0.42099999999999999</v>
      </c>
      <c r="Q1477" s="1">
        <v>0.92600000000000005</v>
      </c>
      <c r="R1477">
        <v>601</v>
      </c>
      <c r="S1477">
        <v>43</v>
      </c>
      <c r="T1477">
        <v>147</v>
      </c>
      <c r="U1477">
        <v>126</v>
      </c>
      <c r="V1477">
        <v>31</v>
      </c>
      <c r="W1477">
        <v>14</v>
      </c>
      <c r="X1477">
        <v>52</v>
      </c>
      <c r="Y1477" s="5">
        <v>2.42</v>
      </c>
    </row>
    <row r="1478" spans="1:25" x14ac:dyDescent="0.25">
      <c r="A1478">
        <v>2022</v>
      </c>
      <c r="B1478" t="s">
        <v>57</v>
      </c>
      <c r="C1478">
        <v>1</v>
      </c>
      <c r="D1478">
        <v>1</v>
      </c>
      <c r="E1478" t="s">
        <v>28</v>
      </c>
      <c r="F1478" t="s">
        <v>46</v>
      </c>
      <c r="G1478">
        <f t="shared" si="23"/>
        <v>1</v>
      </c>
      <c r="H1478">
        <v>10</v>
      </c>
      <c r="I1478">
        <v>3</v>
      </c>
      <c r="J1478">
        <v>0</v>
      </c>
      <c r="K1478" s="6" t="str">
        <f t="shared" ref="K1478" si="24">"vs "&amp;E1479</f>
        <v>vs The Bad Boys</v>
      </c>
      <c r="L1478" s="6" t="str">
        <f t="shared" ref="L1478" si="25">"vs "&amp;F1479</f>
        <v>vs Arvanitis</v>
      </c>
      <c r="M1478">
        <v>151</v>
      </c>
      <c r="N1478" s="1">
        <v>0.45600000000000002</v>
      </c>
      <c r="O1478">
        <v>44</v>
      </c>
      <c r="P1478" s="1">
        <v>0.38900000000000001</v>
      </c>
      <c r="Q1478" s="1">
        <v>0.75900000000000001</v>
      </c>
      <c r="R1478">
        <v>387</v>
      </c>
      <c r="S1478">
        <v>45</v>
      </c>
      <c r="T1478">
        <v>133</v>
      </c>
      <c r="U1478">
        <v>86</v>
      </c>
      <c r="V1478">
        <v>28</v>
      </c>
      <c r="W1478">
        <v>22</v>
      </c>
      <c r="X1478">
        <v>57</v>
      </c>
      <c r="Y1478" s="5">
        <v>1.51</v>
      </c>
    </row>
    <row r="1479" spans="1:25" x14ac:dyDescent="0.25">
      <c r="A1479">
        <v>2022</v>
      </c>
      <c r="B1479" t="s">
        <v>57</v>
      </c>
      <c r="C1479">
        <v>1</v>
      </c>
      <c r="D1479">
        <v>1</v>
      </c>
      <c r="E1479" t="s">
        <v>154</v>
      </c>
      <c r="F1479" t="s">
        <v>155</v>
      </c>
      <c r="G1479">
        <f t="shared" si="23"/>
        <v>0</v>
      </c>
      <c r="H1479">
        <v>3</v>
      </c>
      <c r="I1479">
        <v>10</v>
      </c>
      <c r="J1479">
        <v>0</v>
      </c>
      <c r="K1479" s="6" t="str">
        <f t="shared" ref="K1479" si="26">"vs "&amp;E1478</f>
        <v>vs Steven Adams' Moustache</v>
      </c>
      <c r="L1479" s="6" t="str">
        <f t="shared" ref="L1479" si="27">"vs "&amp;F1478</f>
        <v>vs Johnny</v>
      </c>
      <c r="M1479">
        <v>82</v>
      </c>
      <c r="N1479" s="1">
        <v>0.40200000000000002</v>
      </c>
      <c r="O1479">
        <v>35</v>
      </c>
      <c r="P1479" s="1">
        <v>0.40699999999999997</v>
      </c>
      <c r="Q1479" s="1">
        <v>0.67500000000000004</v>
      </c>
      <c r="R1479">
        <v>226</v>
      </c>
      <c r="S1479">
        <v>26</v>
      </c>
      <c r="T1479">
        <v>90</v>
      </c>
      <c r="U1479">
        <v>50</v>
      </c>
      <c r="V1479">
        <v>21</v>
      </c>
      <c r="W1479">
        <v>19</v>
      </c>
      <c r="X1479">
        <v>26</v>
      </c>
      <c r="Y1479" s="5">
        <v>1.92</v>
      </c>
    </row>
    <row r="1480" spans="1:25" x14ac:dyDescent="0.25">
      <c r="A1480">
        <v>2022</v>
      </c>
      <c r="B1480" t="s">
        <v>57</v>
      </c>
      <c r="C1480">
        <v>1</v>
      </c>
      <c r="D1480">
        <v>2</v>
      </c>
      <c r="E1480" t="s">
        <v>95</v>
      </c>
      <c r="F1480" t="s">
        <v>101</v>
      </c>
      <c r="G1480">
        <f t="shared" si="23"/>
        <v>1</v>
      </c>
      <c r="H1480">
        <v>10</v>
      </c>
      <c r="I1480">
        <v>3</v>
      </c>
      <c r="J1480">
        <v>0</v>
      </c>
      <c r="K1480" s="6" t="str">
        <f t="shared" ref="K1480" si="28">"vs "&amp;E1481</f>
        <v>vs Xanthi Ducks 🦆</v>
      </c>
      <c r="L1480" s="6" t="str">
        <f t="shared" ref="L1480" si="29">"vs "&amp;F1481</f>
        <v>vs Kotakis</v>
      </c>
      <c r="M1480">
        <v>113</v>
      </c>
      <c r="N1480" s="1">
        <v>0.441</v>
      </c>
      <c r="O1480">
        <v>45</v>
      </c>
      <c r="P1480" s="1">
        <v>0.36899999999999999</v>
      </c>
      <c r="Q1480" s="1">
        <v>0.76600000000000001</v>
      </c>
      <c r="R1480">
        <v>307</v>
      </c>
      <c r="S1480">
        <v>31</v>
      </c>
      <c r="T1480">
        <v>99</v>
      </c>
      <c r="U1480">
        <v>77</v>
      </c>
      <c r="V1480">
        <v>31</v>
      </c>
      <c r="W1480">
        <v>12</v>
      </c>
      <c r="X1480">
        <v>55</v>
      </c>
      <c r="Y1480" s="5">
        <v>1.4</v>
      </c>
    </row>
    <row r="1481" spans="1:25" x14ac:dyDescent="0.25">
      <c r="A1481">
        <v>2022</v>
      </c>
      <c r="B1481" t="s">
        <v>57</v>
      </c>
      <c r="C1481">
        <v>1</v>
      </c>
      <c r="D1481">
        <v>2</v>
      </c>
      <c r="E1481" t="s">
        <v>98</v>
      </c>
      <c r="F1481" t="s">
        <v>41</v>
      </c>
      <c r="G1481">
        <f t="shared" si="23"/>
        <v>0</v>
      </c>
      <c r="H1481">
        <v>3</v>
      </c>
      <c r="I1481">
        <v>10</v>
      </c>
      <c r="J1481">
        <v>0</v>
      </c>
      <c r="K1481" s="6" t="str">
        <f t="shared" ref="K1481" si="30">"vs "&amp;E1480</f>
        <v>vs Baltimore Hercules</v>
      </c>
      <c r="L1481" s="6" t="str">
        <f t="shared" ref="L1481" si="31">"vs "&amp;F1480</f>
        <v>vs Sarantos</v>
      </c>
      <c r="M1481">
        <v>102</v>
      </c>
      <c r="N1481" s="1">
        <v>0.42499999999999999</v>
      </c>
      <c r="O1481">
        <v>29</v>
      </c>
      <c r="P1481" s="1">
        <v>0.32600000000000001</v>
      </c>
      <c r="Q1481" s="1">
        <v>0.74</v>
      </c>
      <c r="R1481">
        <v>270</v>
      </c>
      <c r="S1481">
        <v>21</v>
      </c>
      <c r="T1481">
        <v>97</v>
      </c>
      <c r="U1481">
        <v>43</v>
      </c>
      <c r="V1481">
        <v>29</v>
      </c>
      <c r="W1481">
        <v>18</v>
      </c>
      <c r="X1481">
        <v>28</v>
      </c>
      <c r="Y1481" s="5">
        <v>1.54</v>
      </c>
    </row>
    <row r="1482" spans="1:25" x14ac:dyDescent="0.25">
      <c r="A1482">
        <v>2022</v>
      </c>
      <c r="B1482" t="s">
        <v>57</v>
      </c>
      <c r="C1482">
        <v>1</v>
      </c>
      <c r="D1482">
        <v>3</v>
      </c>
      <c r="E1482" t="s">
        <v>25</v>
      </c>
      <c r="F1482" t="s">
        <v>53</v>
      </c>
      <c r="G1482">
        <f t="shared" si="23"/>
        <v>1</v>
      </c>
      <c r="H1482">
        <v>7</v>
      </c>
      <c r="I1482">
        <v>5</v>
      </c>
      <c r="J1482">
        <v>1</v>
      </c>
      <c r="K1482" s="6" t="str">
        <f t="shared" ref="K1482" si="32">"vs "&amp;E1483</f>
        <v>vs Guruuu 🐐🐐🐐</v>
      </c>
      <c r="L1482" s="6" t="str">
        <f t="shared" ref="L1482" si="33">"vs "&amp;F1483</f>
        <v>vs Guru</v>
      </c>
      <c r="M1482">
        <v>132</v>
      </c>
      <c r="N1482" s="1">
        <v>0.48699999999999999</v>
      </c>
      <c r="O1482">
        <v>27</v>
      </c>
      <c r="P1482" s="1">
        <v>0.32500000000000001</v>
      </c>
      <c r="Q1482" s="1">
        <v>0.67200000000000004</v>
      </c>
      <c r="R1482">
        <v>334</v>
      </c>
      <c r="S1482">
        <v>37</v>
      </c>
      <c r="T1482">
        <v>101</v>
      </c>
      <c r="U1482">
        <v>73</v>
      </c>
      <c r="V1482">
        <v>20</v>
      </c>
      <c r="W1482">
        <v>19</v>
      </c>
      <c r="X1482">
        <v>29</v>
      </c>
      <c r="Y1482" s="5">
        <v>2.52</v>
      </c>
    </row>
    <row r="1483" spans="1:25" x14ac:dyDescent="0.25">
      <c r="A1483">
        <v>2022</v>
      </c>
      <c r="B1483" t="s">
        <v>57</v>
      </c>
      <c r="C1483">
        <v>1</v>
      </c>
      <c r="D1483">
        <v>3</v>
      </c>
      <c r="E1483" t="s">
        <v>93</v>
      </c>
      <c r="F1483" t="s">
        <v>189</v>
      </c>
      <c r="G1483">
        <f t="shared" si="23"/>
        <v>0</v>
      </c>
      <c r="H1483">
        <v>5</v>
      </c>
      <c r="I1483">
        <v>7</v>
      </c>
      <c r="J1483">
        <v>1</v>
      </c>
      <c r="K1483" s="6" t="str">
        <f t="shared" ref="K1483" si="34">"vs "&amp;E1482</f>
        <v>vs The Rookies</v>
      </c>
      <c r="L1483" s="6" t="str">
        <f t="shared" ref="L1483" si="35">"vs "&amp;F1482</f>
        <v>vs Kousidis</v>
      </c>
      <c r="M1483">
        <v>123</v>
      </c>
      <c r="N1483" s="1">
        <v>0.47899999999999998</v>
      </c>
      <c r="O1483">
        <v>27</v>
      </c>
      <c r="P1483" s="1">
        <v>0.28699999999999998</v>
      </c>
      <c r="Q1483" s="1">
        <v>0.83099999999999996</v>
      </c>
      <c r="R1483">
        <v>322</v>
      </c>
      <c r="S1483">
        <v>24</v>
      </c>
      <c r="T1483">
        <v>91</v>
      </c>
      <c r="U1483">
        <v>68</v>
      </c>
      <c r="V1483">
        <v>22</v>
      </c>
      <c r="W1483">
        <v>20</v>
      </c>
      <c r="X1483">
        <v>25</v>
      </c>
      <c r="Y1483" s="5">
        <v>2.72</v>
      </c>
    </row>
    <row r="1484" spans="1:25" x14ac:dyDescent="0.25">
      <c r="A1484">
        <v>2022</v>
      </c>
      <c r="B1484" t="s">
        <v>57</v>
      </c>
      <c r="C1484">
        <v>1</v>
      </c>
      <c r="D1484">
        <v>4</v>
      </c>
      <c r="E1484" t="s">
        <v>15</v>
      </c>
      <c r="F1484" t="s">
        <v>48</v>
      </c>
      <c r="G1484">
        <f t="shared" si="23"/>
        <v>1</v>
      </c>
      <c r="H1484">
        <v>9</v>
      </c>
      <c r="I1484">
        <v>4</v>
      </c>
      <c r="J1484">
        <v>0</v>
      </c>
      <c r="K1484" s="6" t="str">
        <f t="shared" ref="K1484" si="36">"vs "&amp;E1485</f>
        <v>vs Karafli SaiTa</v>
      </c>
      <c r="L1484" s="6" t="str">
        <f t="shared" ref="L1484" si="37">"vs "&amp;F1485</f>
        <v>vs Tassos</v>
      </c>
      <c r="M1484">
        <v>146</v>
      </c>
      <c r="N1484" s="1">
        <v>0.46800000000000003</v>
      </c>
      <c r="O1484">
        <v>43</v>
      </c>
      <c r="P1484" s="1">
        <v>0.38700000000000001</v>
      </c>
      <c r="Q1484" s="1">
        <v>0.65200000000000002</v>
      </c>
      <c r="R1484">
        <v>365</v>
      </c>
      <c r="S1484">
        <v>26</v>
      </c>
      <c r="T1484">
        <v>122</v>
      </c>
      <c r="U1484">
        <v>83</v>
      </c>
      <c r="V1484">
        <v>21</v>
      </c>
      <c r="W1484">
        <v>12</v>
      </c>
      <c r="X1484">
        <v>42</v>
      </c>
      <c r="Y1484" s="5">
        <v>1.98</v>
      </c>
    </row>
    <row r="1485" spans="1:25" x14ac:dyDescent="0.25">
      <c r="A1485">
        <v>2022</v>
      </c>
      <c r="B1485" t="s">
        <v>57</v>
      </c>
      <c r="C1485">
        <v>1</v>
      </c>
      <c r="D1485">
        <v>4</v>
      </c>
      <c r="E1485" t="s">
        <v>190</v>
      </c>
      <c r="F1485" t="s">
        <v>103</v>
      </c>
      <c r="G1485">
        <f t="shared" si="23"/>
        <v>0</v>
      </c>
      <c r="H1485">
        <v>4</v>
      </c>
      <c r="I1485">
        <v>9</v>
      </c>
      <c r="J1485">
        <v>0</v>
      </c>
      <c r="K1485" s="6" t="str">
        <f t="shared" ref="K1485" si="38">"vs "&amp;E1484</f>
        <v>vs Salonika Devils</v>
      </c>
      <c r="L1485" s="6" t="str">
        <f t="shared" ref="L1485" si="39">"vs "&amp;F1484</f>
        <v>vs Fountos</v>
      </c>
      <c r="M1485">
        <v>128</v>
      </c>
      <c r="N1485" s="1">
        <v>0.47399999999999998</v>
      </c>
      <c r="O1485">
        <v>39</v>
      </c>
      <c r="P1485" s="1">
        <v>0.36799999999999999</v>
      </c>
      <c r="Q1485" s="1">
        <v>0.82</v>
      </c>
      <c r="R1485">
        <v>336</v>
      </c>
      <c r="S1485">
        <v>25</v>
      </c>
      <c r="T1485">
        <v>97</v>
      </c>
      <c r="U1485">
        <v>69</v>
      </c>
      <c r="V1485">
        <v>19</v>
      </c>
      <c r="W1485">
        <v>26</v>
      </c>
      <c r="X1485">
        <v>38</v>
      </c>
      <c r="Y1485" s="5">
        <v>1.82</v>
      </c>
    </row>
    <row r="1486" spans="1:25" x14ac:dyDescent="0.25">
      <c r="A1486">
        <v>2022</v>
      </c>
      <c r="B1486" t="s">
        <v>57</v>
      </c>
      <c r="C1486">
        <v>1</v>
      </c>
      <c r="D1486">
        <v>5</v>
      </c>
      <c r="E1486" t="s">
        <v>33</v>
      </c>
      <c r="F1486" t="s">
        <v>42</v>
      </c>
      <c r="G1486">
        <f t="shared" si="23"/>
        <v>0</v>
      </c>
      <c r="H1486">
        <v>2</v>
      </c>
      <c r="I1486">
        <v>11</v>
      </c>
      <c r="J1486">
        <v>0</v>
      </c>
      <c r="K1486" s="6" t="str">
        <f t="shared" ref="K1486" si="40">"vs "&amp;E1487</f>
        <v>vs Kourayo Vallecano</v>
      </c>
      <c r="L1486" s="6" t="str">
        <f t="shared" ref="L1486" si="41">"vs "&amp;F1487</f>
        <v>vs Ziogas/Christof</v>
      </c>
      <c r="M1486">
        <v>89</v>
      </c>
      <c r="N1486" s="1">
        <v>0.379</v>
      </c>
      <c r="O1486">
        <v>36</v>
      </c>
      <c r="P1486" s="1">
        <v>0.316</v>
      </c>
      <c r="Q1486" s="1">
        <v>0.83099999999999996</v>
      </c>
      <c r="R1486">
        <v>268</v>
      </c>
      <c r="S1486">
        <v>23</v>
      </c>
      <c r="T1486">
        <v>90</v>
      </c>
      <c r="U1486">
        <v>93</v>
      </c>
      <c r="V1486">
        <v>18</v>
      </c>
      <c r="W1486">
        <v>8</v>
      </c>
      <c r="X1486">
        <v>50</v>
      </c>
      <c r="Y1486" s="5">
        <v>1.86</v>
      </c>
    </row>
    <row r="1487" spans="1:25" x14ac:dyDescent="0.25">
      <c r="A1487">
        <v>2022</v>
      </c>
      <c r="B1487" t="s">
        <v>57</v>
      </c>
      <c r="C1487">
        <v>1</v>
      </c>
      <c r="D1487">
        <v>5</v>
      </c>
      <c r="E1487" t="s">
        <v>26</v>
      </c>
      <c r="F1487" t="s">
        <v>118</v>
      </c>
      <c r="G1487">
        <f t="shared" si="23"/>
        <v>1</v>
      </c>
      <c r="H1487">
        <v>11</v>
      </c>
      <c r="I1487">
        <v>2</v>
      </c>
      <c r="J1487">
        <v>0</v>
      </c>
      <c r="K1487" s="6" t="str">
        <f t="shared" ref="K1487" si="42">"vs "&amp;E1486</f>
        <v>vs The Guns</v>
      </c>
      <c r="L1487" s="6" t="str">
        <f t="shared" ref="L1487" si="43">"vs "&amp;F1486</f>
        <v>vs Vasilis</v>
      </c>
      <c r="M1487">
        <v>168</v>
      </c>
      <c r="N1487" s="1">
        <v>0.45300000000000001</v>
      </c>
      <c r="O1487">
        <v>53</v>
      </c>
      <c r="P1487" s="1">
        <v>0.376</v>
      </c>
      <c r="Q1487" s="1">
        <v>0.71799999999999997</v>
      </c>
      <c r="R1487">
        <v>473</v>
      </c>
      <c r="S1487">
        <v>30</v>
      </c>
      <c r="T1487">
        <v>135</v>
      </c>
      <c r="U1487">
        <v>127</v>
      </c>
      <c r="V1487">
        <v>31</v>
      </c>
      <c r="W1487">
        <v>22</v>
      </c>
      <c r="X1487">
        <v>67</v>
      </c>
      <c r="Y1487" s="5">
        <v>1.9</v>
      </c>
    </row>
    <row r="1488" spans="1:25" x14ac:dyDescent="0.25">
      <c r="A1488">
        <v>2022</v>
      </c>
      <c r="B1488" t="s">
        <v>57</v>
      </c>
      <c r="C1488">
        <v>1</v>
      </c>
      <c r="D1488">
        <v>6</v>
      </c>
      <c r="E1488" t="s">
        <v>94</v>
      </c>
      <c r="F1488" t="s">
        <v>40</v>
      </c>
      <c r="G1488">
        <f t="shared" si="23"/>
        <v>0</v>
      </c>
      <c r="H1488">
        <v>2</v>
      </c>
      <c r="I1488">
        <v>11</v>
      </c>
      <c r="J1488">
        <v>0</v>
      </c>
      <c r="K1488" s="6" t="str">
        <f t="shared" ref="K1488" si="44">"vs "&amp;E1489</f>
        <v>vs Tsarlatans</v>
      </c>
      <c r="L1488" s="6" t="str">
        <f t="shared" ref="L1488" si="45">"vs "&amp;F1489</f>
        <v>vs Tzokos</v>
      </c>
      <c r="M1488">
        <v>130</v>
      </c>
      <c r="N1488" s="1">
        <v>0.41399999999999998</v>
      </c>
      <c r="O1488">
        <v>50</v>
      </c>
      <c r="P1488" s="1">
        <v>0.34200000000000003</v>
      </c>
      <c r="Q1488" s="1">
        <v>0.73499999999999999</v>
      </c>
      <c r="R1488">
        <v>346</v>
      </c>
      <c r="S1488">
        <v>11</v>
      </c>
      <c r="T1488">
        <v>79</v>
      </c>
      <c r="U1488">
        <v>74</v>
      </c>
      <c r="V1488">
        <v>32</v>
      </c>
      <c r="W1488">
        <v>7</v>
      </c>
      <c r="X1488">
        <v>67</v>
      </c>
      <c r="Y1488" s="5">
        <v>1.1000000000000001</v>
      </c>
    </row>
    <row r="1489" spans="1:25" x14ac:dyDescent="0.25">
      <c r="A1489">
        <v>2022</v>
      </c>
      <c r="B1489" t="s">
        <v>57</v>
      </c>
      <c r="C1489">
        <v>1</v>
      </c>
      <c r="D1489">
        <v>6</v>
      </c>
      <c r="E1489" t="s">
        <v>99</v>
      </c>
      <c r="F1489" t="s">
        <v>45</v>
      </c>
      <c r="G1489">
        <f t="shared" si="23"/>
        <v>1</v>
      </c>
      <c r="H1489">
        <v>11</v>
      </c>
      <c r="I1489">
        <v>2</v>
      </c>
      <c r="J1489">
        <v>0</v>
      </c>
      <c r="K1489" s="6" t="str">
        <f t="shared" ref="K1489" si="46">"vs "&amp;E1488</f>
        <v>vs Fighting Thaddeus</v>
      </c>
      <c r="L1489" s="6" t="str">
        <f t="shared" ref="L1489" si="47">"vs "&amp;F1488</f>
        <v>vs Stavros</v>
      </c>
      <c r="M1489">
        <v>141</v>
      </c>
      <c r="N1489" s="1">
        <v>0.48</v>
      </c>
      <c r="O1489">
        <v>41</v>
      </c>
      <c r="P1489" s="1">
        <v>0.373</v>
      </c>
      <c r="Q1489" s="1">
        <v>0.78700000000000003</v>
      </c>
      <c r="R1489">
        <v>393</v>
      </c>
      <c r="S1489">
        <v>35</v>
      </c>
      <c r="T1489">
        <v>141</v>
      </c>
      <c r="U1489">
        <v>76</v>
      </c>
      <c r="V1489">
        <v>25</v>
      </c>
      <c r="W1489">
        <v>15</v>
      </c>
      <c r="X1489">
        <v>56</v>
      </c>
      <c r="Y1489" s="5">
        <v>1.36</v>
      </c>
    </row>
    <row r="1490" spans="1:25" x14ac:dyDescent="0.25">
      <c r="A1490">
        <v>2022</v>
      </c>
      <c r="B1490" t="s">
        <v>57</v>
      </c>
      <c r="C1490">
        <v>1</v>
      </c>
      <c r="D1490">
        <v>7</v>
      </c>
      <c r="E1490" t="s">
        <v>97</v>
      </c>
      <c r="F1490" t="s">
        <v>54</v>
      </c>
      <c r="G1490">
        <f t="shared" si="23"/>
        <v>1</v>
      </c>
      <c r="H1490">
        <v>12</v>
      </c>
      <c r="I1490">
        <v>1</v>
      </c>
      <c r="J1490">
        <v>0</v>
      </c>
      <c r="K1490" s="6" t="str">
        <f t="shared" ref="K1490" si="48">"vs "&amp;E1491</f>
        <v>vs Samarina Dudenbros</v>
      </c>
      <c r="L1490" s="6" t="str">
        <f t="shared" ref="L1490" si="49">"vs "&amp;F1491</f>
        <v>vs Sakellariou</v>
      </c>
      <c r="M1490">
        <v>142</v>
      </c>
      <c r="N1490" s="1">
        <v>0.47199999999999998</v>
      </c>
      <c r="O1490">
        <v>48</v>
      </c>
      <c r="P1490" s="1">
        <v>0.49</v>
      </c>
      <c r="Q1490" s="1">
        <v>0.78800000000000003</v>
      </c>
      <c r="R1490">
        <v>425</v>
      </c>
      <c r="S1490">
        <v>37</v>
      </c>
      <c r="T1490">
        <v>130</v>
      </c>
      <c r="U1490">
        <v>85</v>
      </c>
      <c r="V1490">
        <v>32</v>
      </c>
      <c r="W1490">
        <v>19</v>
      </c>
      <c r="X1490">
        <v>49</v>
      </c>
      <c r="Y1490" s="5">
        <v>1.73</v>
      </c>
    </row>
    <row r="1491" spans="1:25" x14ac:dyDescent="0.25">
      <c r="A1491">
        <v>2022</v>
      </c>
      <c r="B1491" t="s">
        <v>57</v>
      </c>
      <c r="C1491">
        <v>1</v>
      </c>
      <c r="D1491">
        <v>7</v>
      </c>
      <c r="E1491" t="s">
        <v>181</v>
      </c>
      <c r="F1491" t="s">
        <v>49</v>
      </c>
      <c r="G1491">
        <f t="shared" si="23"/>
        <v>0</v>
      </c>
      <c r="H1491">
        <v>1</v>
      </c>
      <c r="I1491">
        <v>12</v>
      </c>
      <c r="J1491">
        <v>0</v>
      </c>
      <c r="K1491" s="6" t="str">
        <f t="shared" ref="K1491" si="50">"vs "&amp;E1490</f>
        <v>vs Underdogs</v>
      </c>
      <c r="L1491" s="6" t="str">
        <f t="shared" ref="L1491" si="51">"vs "&amp;F1490</f>
        <v>vs Nonis</v>
      </c>
      <c r="M1491">
        <v>113</v>
      </c>
      <c r="N1491" s="1">
        <v>0.40799999999999997</v>
      </c>
      <c r="O1491">
        <v>31</v>
      </c>
      <c r="P1491" s="1">
        <v>0.27</v>
      </c>
      <c r="Q1491" s="1">
        <v>0.71399999999999997</v>
      </c>
      <c r="R1491">
        <v>292</v>
      </c>
      <c r="S1491">
        <v>35</v>
      </c>
      <c r="T1491">
        <v>93</v>
      </c>
      <c r="U1491">
        <v>49</v>
      </c>
      <c r="V1491">
        <v>22</v>
      </c>
      <c r="W1491">
        <v>17</v>
      </c>
      <c r="X1491">
        <v>41</v>
      </c>
      <c r="Y1491" s="5">
        <v>1.2</v>
      </c>
    </row>
    <row r="1492" spans="1:25" x14ac:dyDescent="0.25">
      <c r="A1492">
        <v>2022</v>
      </c>
      <c r="B1492" t="s">
        <v>57</v>
      </c>
      <c r="C1492">
        <v>1</v>
      </c>
      <c r="D1492">
        <v>8</v>
      </c>
      <c r="E1492" t="s">
        <v>96</v>
      </c>
      <c r="F1492" t="s">
        <v>102</v>
      </c>
      <c r="G1492">
        <f t="shared" si="23"/>
        <v>0</v>
      </c>
      <c r="H1492">
        <v>6</v>
      </c>
      <c r="I1492">
        <v>7</v>
      </c>
      <c r="J1492">
        <v>0</v>
      </c>
      <c r="K1492" s="6" t="str">
        <f t="shared" ref="K1492" si="52">"vs "&amp;E1493</f>
        <v>vs Pachiana NinjaBees</v>
      </c>
      <c r="L1492" s="6" t="str">
        <f t="shared" ref="L1492" si="53">"vs "&amp;F1493</f>
        <v>vs Spiridaus/Oladipas</v>
      </c>
      <c r="M1492">
        <v>84</v>
      </c>
      <c r="N1492" s="1">
        <v>0.51500000000000001</v>
      </c>
      <c r="O1492">
        <v>17</v>
      </c>
      <c r="P1492" s="1">
        <v>0.33300000000000002</v>
      </c>
      <c r="Q1492" s="1">
        <v>0.58299999999999996</v>
      </c>
      <c r="R1492">
        <v>206</v>
      </c>
      <c r="S1492">
        <v>26</v>
      </c>
      <c r="T1492">
        <v>75</v>
      </c>
      <c r="U1492">
        <v>44</v>
      </c>
      <c r="V1492">
        <v>22</v>
      </c>
      <c r="W1492">
        <v>16</v>
      </c>
      <c r="X1492">
        <v>27</v>
      </c>
      <c r="Y1492" s="5">
        <v>1.63</v>
      </c>
    </row>
    <row r="1493" spans="1:25" x14ac:dyDescent="0.25">
      <c r="A1493">
        <v>2022</v>
      </c>
      <c r="B1493" t="s">
        <v>57</v>
      </c>
      <c r="C1493">
        <v>1</v>
      </c>
      <c r="D1493">
        <v>8</v>
      </c>
      <c r="E1493" t="s">
        <v>23</v>
      </c>
      <c r="F1493" t="s">
        <v>120</v>
      </c>
      <c r="G1493">
        <f t="shared" si="23"/>
        <v>1</v>
      </c>
      <c r="H1493">
        <v>7</v>
      </c>
      <c r="I1493">
        <v>6</v>
      </c>
      <c r="J1493">
        <v>0</v>
      </c>
      <c r="K1493" s="6" t="str">
        <f t="shared" ref="K1493" si="54">"vs "&amp;E1492</f>
        <v>vs Knights of Ni</v>
      </c>
      <c r="L1493" s="6" t="str">
        <f t="shared" ref="L1493" si="55">"vs "&amp;F1492</f>
        <v>vs Tolios</v>
      </c>
      <c r="M1493">
        <v>107</v>
      </c>
      <c r="N1493" s="1">
        <v>0.48</v>
      </c>
      <c r="O1493">
        <v>20</v>
      </c>
      <c r="P1493" s="1">
        <v>0.30299999999999999</v>
      </c>
      <c r="Q1493" s="1">
        <v>0.81</v>
      </c>
      <c r="R1493">
        <v>281</v>
      </c>
      <c r="S1493">
        <v>32</v>
      </c>
      <c r="T1493">
        <v>88</v>
      </c>
      <c r="U1493">
        <v>42</v>
      </c>
      <c r="V1493">
        <v>31</v>
      </c>
      <c r="W1493">
        <v>11</v>
      </c>
      <c r="X1493">
        <v>34</v>
      </c>
      <c r="Y1493" s="5">
        <v>1.24</v>
      </c>
    </row>
    <row r="1494" spans="1:25" x14ac:dyDescent="0.25">
      <c r="A1494">
        <v>2022</v>
      </c>
      <c r="B1494" t="s">
        <v>57</v>
      </c>
      <c r="C1494">
        <v>1</v>
      </c>
      <c r="D1494">
        <v>9</v>
      </c>
      <c r="E1494" t="s">
        <v>159</v>
      </c>
      <c r="F1494" t="s">
        <v>116</v>
      </c>
      <c r="G1494">
        <f t="shared" si="23"/>
        <v>1</v>
      </c>
      <c r="H1494">
        <v>9</v>
      </c>
      <c r="I1494">
        <v>3</v>
      </c>
      <c r="J1494">
        <v>1</v>
      </c>
      <c r="K1494" s="6" t="str">
        <f t="shared" ref="K1494" si="56">"vs "&amp;E1495</f>
        <v>vs The Bridgeburners</v>
      </c>
      <c r="L1494" s="6" t="str">
        <f t="shared" ref="L1494" si="57">"vs "&amp;F1495</f>
        <v>vs Fanis</v>
      </c>
      <c r="M1494">
        <v>155</v>
      </c>
      <c r="N1494" s="1">
        <v>0.47399999999999998</v>
      </c>
      <c r="O1494">
        <v>42</v>
      </c>
      <c r="P1494" s="1">
        <v>0.38200000000000001</v>
      </c>
      <c r="Q1494" s="1">
        <v>0.81899999999999995</v>
      </c>
      <c r="R1494">
        <v>411</v>
      </c>
      <c r="S1494">
        <v>46</v>
      </c>
      <c r="T1494">
        <v>153</v>
      </c>
      <c r="U1494">
        <v>84</v>
      </c>
      <c r="V1494">
        <v>28</v>
      </c>
      <c r="W1494">
        <v>14</v>
      </c>
      <c r="X1494">
        <v>52</v>
      </c>
      <c r="Y1494" s="5">
        <v>1.62</v>
      </c>
    </row>
    <row r="1495" spans="1:25" x14ac:dyDescent="0.25">
      <c r="A1495">
        <v>2022</v>
      </c>
      <c r="B1495" t="s">
        <v>57</v>
      </c>
      <c r="C1495">
        <v>1</v>
      </c>
      <c r="D1495">
        <v>9</v>
      </c>
      <c r="E1495" t="s">
        <v>16</v>
      </c>
      <c r="F1495" t="s">
        <v>51</v>
      </c>
      <c r="G1495">
        <f t="shared" si="23"/>
        <v>0</v>
      </c>
      <c r="H1495">
        <v>3</v>
      </c>
      <c r="I1495">
        <v>9</v>
      </c>
      <c r="J1495">
        <v>1</v>
      </c>
      <c r="K1495" s="6" t="str">
        <f t="shared" ref="K1495" si="58">"vs "&amp;E1494</f>
        <v>vs purple fuzzy apache pirates</v>
      </c>
      <c r="L1495" s="6" t="str">
        <f t="shared" ref="L1495" si="59">"vs "&amp;F1494</f>
        <v>vs pi/Sotiris</v>
      </c>
      <c r="M1495">
        <v>139</v>
      </c>
      <c r="N1495" s="1">
        <v>0.44700000000000001</v>
      </c>
      <c r="O1495">
        <v>40</v>
      </c>
      <c r="P1495" s="1">
        <v>0.35699999999999998</v>
      </c>
      <c r="Q1495" s="1">
        <v>0.76700000000000002</v>
      </c>
      <c r="R1495">
        <v>364</v>
      </c>
      <c r="S1495">
        <v>27</v>
      </c>
      <c r="T1495">
        <v>111</v>
      </c>
      <c r="U1495">
        <v>84</v>
      </c>
      <c r="V1495">
        <v>24</v>
      </c>
      <c r="W1495">
        <v>18</v>
      </c>
      <c r="X1495">
        <v>39</v>
      </c>
      <c r="Y1495" s="5">
        <v>2.15</v>
      </c>
    </row>
    <row r="1496" spans="1:25" x14ac:dyDescent="0.25">
      <c r="A1496">
        <v>2022</v>
      </c>
      <c r="B1496" t="s">
        <v>57</v>
      </c>
      <c r="C1496">
        <v>1</v>
      </c>
      <c r="D1496">
        <v>10</v>
      </c>
      <c r="E1496" t="s">
        <v>17</v>
      </c>
      <c r="F1496" t="s">
        <v>43</v>
      </c>
      <c r="G1496">
        <f t="shared" si="23"/>
        <v>0</v>
      </c>
      <c r="H1496">
        <v>5</v>
      </c>
      <c r="I1496">
        <v>8</v>
      </c>
      <c r="J1496">
        <v>0</v>
      </c>
      <c r="K1496" s="6" t="str">
        <f t="shared" ref="K1496" si="60">"vs "&amp;E1497</f>
        <v>vs st.Helens Eruptions</v>
      </c>
      <c r="L1496" s="6" t="str">
        <f t="shared" ref="L1496" si="61">"vs "&amp;F1497</f>
        <v>vs Aris</v>
      </c>
      <c r="M1496">
        <v>137</v>
      </c>
      <c r="N1496" s="1">
        <v>0.47599999999999998</v>
      </c>
      <c r="O1496">
        <v>31</v>
      </c>
      <c r="P1496" s="1">
        <v>0.32300000000000001</v>
      </c>
      <c r="Q1496" s="1">
        <v>0.83299999999999996</v>
      </c>
      <c r="R1496">
        <v>340</v>
      </c>
      <c r="S1496">
        <v>40</v>
      </c>
      <c r="T1496">
        <v>90</v>
      </c>
      <c r="U1496">
        <v>73</v>
      </c>
      <c r="V1496">
        <v>14</v>
      </c>
      <c r="W1496">
        <v>9</v>
      </c>
      <c r="X1496">
        <v>41</v>
      </c>
      <c r="Y1496" s="5">
        <v>1.78</v>
      </c>
    </row>
    <row r="1497" spans="1:25" x14ac:dyDescent="0.25">
      <c r="A1497">
        <v>2022</v>
      </c>
      <c r="B1497" t="s">
        <v>57</v>
      </c>
      <c r="C1497">
        <v>1</v>
      </c>
      <c r="D1497">
        <v>10</v>
      </c>
      <c r="E1497" t="s">
        <v>21</v>
      </c>
      <c r="F1497" t="s">
        <v>50</v>
      </c>
      <c r="G1497">
        <f t="shared" si="23"/>
        <v>1</v>
      </c>
      <c r="H1497">
        <v>8</v>
      </c>
      <c r="I1497">
        <v>5</v>
      </c>
      <c r="J1497">
        <v>0</v>
      </c>
      <c r="K1497" s="6" t="str">
        <f t="shared" ref="K1497" si="62">"vs "&amp;E1496</f>
        <v>vs Donkey Rolls</v>
      </c>
      <c r="L1497" s="6" t="str">
        <f t="shared" ref="L1497" si="63">"vs "&amp;F1496</f>
        <v>vs Markos</v>
      </c>
      <c r="M1497">
        <v>150</v>
      </c>
      <c r="N1497" s="1">
        <v>0.45600000000000002</v>
      </c>
      <c r="O1497">
        <v>36</v>
      </c>
      <c r="P1497" s="1">
        <v>0.32700000000000001</v>
      </c>
      <c r="Q1497" s="1">
        <v>0.76300000000000001</v>
      </c>
      <c r="R1497">
        <v>407</v>
      </c>
      <c r="S1497">
        <v>34</v>
      </c>
      <c r="T1497">
        <v>129</v>
      </c>
      <c r="U1497">
        <v>93</v>
      </c>
      <c r="V1497">
        <v>27</v>
      </c>
      <c r="W1497">
        <v>18</v>
      </c>
      <c r="X1497">
        <v>64</v>
      </c>
      <c r="Y1497" s="5">
        <v>1.45</v>
      </c>
    </row>
    <row r="1498" spans="1:25" x14ac:dyDescent="0.25">
      <c r="A1498">
        <v>2022</v>
      </c>
      <c r="B1498" t="s">
        <v>57</v>
      </c>
      <c r="C1498">
        <v>2</v>
      </c>
      <c r="D1498">
        <v>11</v>
      </c>
      <c r="E1498" t="s">
        <v>181</v>
      </c>
      <c r="F1498" t="s">
        <v>49</v>
      </c>
      <c r="G1498">
        <f t="shared" si="23"/>
        <v>0</v>
      </c>
      <c r="H1498">
        <v>3</v>
      </c>
      <c r="I1498">
        <v>10</v>
      </c>
      <c r="J1498">
        <v>0</v>
      </c>
      <c r="K1498" s="6" t="str">
        <f t="shared" ref="K1498" si="64">"vs "&amp;E1499</f>
        <v>vs The Guns</v>
      </c>
      <c r="L1498" s="6" t="str">
        <f t="shared" ref="L1498" si="65">"vs "&amp;F1499</f>
        <v>vs Vasilis</v>
      </c>
      <c r="M1498">
        <v>144</v>
      </c>
      <c r="N1498" s="1">
        <v>0.41099999999999998</v>
      </c>
      <c r="O1498">
        <v>36</v>
      </c>
      <c r="P1498" s="1">
        <v>0.28599999999999998</v>
      </c>
      <c r="Q1498" s="1">
        <v>0.80200000000000005</v>
      </c>
      <c r="R1498">
        <v>393</v>
      </c>
      <c r="S1498">
        <v>29</v>
      </c>
      <c r="T1498">
        <v>97</v>
      </c>
      <c r="U1498">
        <v>67</v>
      </c>
      <c r="V1498">
        <v>36</v>
      </c>
      <c r="W1498">
        <v>19</v>
      </c>
      <c r="X1498">
        <v>47</v>
      </c>
      <c r="Y1498" s="5">
        <v>1.43</v>
      </c>
    </row>
    <row r="1499" spans="1:25" x14ac:dyDescent="0.25">
      <c r="A1499">
        <v>2022</v>
      </c>
      <c r="B1499" t="s">
        <v>57</v>
      </c>
      <c r="C1499">
        <v>2</v>
      </c>
      <c r="D1499">
        <v>11</v>
      </c>
      <c r="E1499" t="s">
        <v>33</v>
      </c>
      <c r="F1499" t="s">
        <v>42</v>
      </c>
      <c r="G1499">
        <f t="shared" si="23"/>
        <v>1</v>
      </c>
      <c r="H1499">
        <v>10</v>
      </c>
      <c r="I1499">
        <v>3</v>
      </c>
      <c r="J1499">
        <v>0</v>
      </c>
      <c r="K1499" s="6" t="str">
        <f t="shared" ref="K1499" si="66">"vs "&amp;E1498</f>
        <v>vs Samarina Dudenbros</v>
      </c>
      <c r="L1499" s="6" t="str">
        <f t="shared" ref="L1499" si="67">"vs "&amp;F1498</f>
        <v>vs Sakellariou</v>
      </c>
      <c r="M1499">
        <v>172</v>
      </c>
      <c r="N1499" s="1">
        <v>0.42099999999999999</v>
      </c>
      <c r="O1499">
        <v>73</v>
      </c>
      <c r="P1499" s="1">
        <v>0.35399999999999998</v>
      </c>
      <c r="Q1499" s="1">
        <v>0.81599999999999995</v>
      </c>
      <c r="R1499">
        <v>488</v>
      </c>
      <c r="S1499">
        <v>26</v>
      </c>
      <c r="T1499">
        <v>156</v>
      </c>
      <c r="U1499">
        <v>142</v>
      </c>
      <c r="V1499">
        <v>39</v>
      </c>
      <c r="W1499">
        <v>13</v>
      </c>
      <c r="X1499">
        <v>73</v>
      </c>
      <c r="Y1499" s="5">
        <v>1.95</v>
      </c>
    </row>
    <row r="1500" spans="1:25" x14ac:dyDescent="0.25">
      <c r="A1500">
        <v>2022</v>
      </c>
      <c r="B1500" t="s">
        <v>57</v>
      </c>
      <c r="C1500">
        <v>2</v>
      </c>
      <c r="D1500">
        <v>12</v>
      </c>
      <c r="E1500" t="s">
        <v>154</v>
      </c>
      <c r="F1500" t="s">
        <v>155</v>
      </c>
      <c r="G1500">
        <f t="shared" si="23"/>
        <v>1</v>
      </c>
      <c r="H1500">
        <v>8</v>
      </c>
      <c r="I1500">
        <v>5</v>
      </c>
      <c r="J1500">
        <v>0</v>
      </c>
      <c r="K1500" s="6" t="str">
        <f t="shared" ref="K1500" si="68">"vs "&amp;E1501</f>
        <v>vs Baltimore Hercules</v>
      </c>
      <c r="L1500" s="6" t="str">
        <f t="shared" ref="L1500" si="69">"vs "&amp;F1501</f>
        <v>vs Sarantos</v>
      </c>
      <c r="M1500">
        <v>142</v>
      </c>
      <c r="N1500" s="1">
        <v>0.46899999999999997</v>
      </c>
      <c r="O1500">
        <v>55</v>
      </c>
      <c r="P1500" s="1">
        <v>0.39</v>
      </c>
      <c r="Q1500" s="1">
        <v>0.79600000000000004</v>
      </c>
      <c r="R1500">
        <v>382</v>
      </c>
      <c r="S1500">
        <v>32</v>
      </c>
      <c r="T1500">
        <v>113</v>
      </c>
      <c r="U1500">
        <v>79</v>
      </c>
      <c r="V1500">
        <v>34</v>
      </c>
      <c r="W1500">
        <v>24</v>
      </c>
      <c r="X1500">
        <v>48</v>
      </c>
      <c r="Y1500" s="5">
        <v>1.65</v>
      </c>
    </row>
    <row r="1501" spans="1:25" x14ac:dyDescent="0.25">
      <c r="A1501">
        <v>2022</v>
      </c>
      <c r="B1501" t="s">
        <v>57</v>
      </c>
      <c r="C1501">
        <v>2</v>
      </c>
      <c r="D1501">
        <v>12</v>
      </c>
      <c r="E1501" t="s">
        <v>95</v>
      </c>
      <c r="F1501" t="s">
        <v>101</v>
      </c>
      <c r="G1501">
        <f t="shared" si="23"/>
        <v>0</v>
      </c>
      <c r="H1501">
        <v>5</v>
      </c>
      <c r="I1501">
        <v>8</v>
      </c>
      <c r="J1501">
        <v>0</v>
      </c>
      <c r="K1501" s="6" t="str">
        <f t="shared" ref="K1501" si="70">"vs "&amp;E1500</f>
        <v>vs The Bad Boys</v>
      </c>
      <c r="L1501" s="6" t="str">
        <f t="shared" ref="L1501" si="71">"vs "&amp;F1500</f>
        <v>vs Arvanitis</v>
      </c>
      <c r="M1501">
        <v>149</v>
      </c>
      <c r="N1501" s="1">
        <v>0.38300000000000001</v>
      </c>
      <c r="O1501">
        <v>38</v>
      </c>
      <c r="P1501" s="1">
        <v>0.23499999999999999</v>
      </c>
      <c r="Q1501" s="1">
        <v>0.74199999999999999</v>
      </c>
      <c r="R1501">
        <v>385</v>
      </c>
      <c r="S1501">
        <v>45</v>
      </c>
      <c r="T1501">
        <v>124</v>
      </c>
      <c r="U1501">
        <v>85</v>
      </c>
      <c r="V1501">
        <v>27</v>
      </c>
      <c r="W1501">
        <v>17</v>
      </c>
      <c r="X1501">
        <v>58</v>
      </c>
      <c r="Y1501" s="5">
        <v>1.47</v>
      </c>
    </row>
    <row r="1502" spans="1:25" x14ac:dyDescent="0.25">
      <c r="A1502">
        <v>2022</v>
      </c>
      <c r="B1502" t="s">
        <v>57</v>
      </c>
      <c r="C1502">
        <v>2</v>
      </c>
      <c r="D1502">
        <v>13</v>
      </c>
      <c r="E1502" t="s">
        <v>96</v>
      </c>
      <c r="F1502" t="s">
        <v>102</v>
      </c>
      <c r="G1502">
        <f t="shared" si="23"/>
        <v>0</v>
      </c>
      <c r="H1502">
        <v>3</v>
      </c>
      <c r="I1502">
        <v>10</v>
      </c>
      <c r="J1502">
        <v>0</v>
      </c>
      <c r="K1502" s="6" t="str">
        <f t="shared" ref="K1502" si="72">"vs "&amp;E1503</f>
        <v>vs Underdogs</v>
      </c>
      <c r="L1502" s="6" t="str">
        <f t="shared" ref="L1502" si="73">"vs "&amp;F1503</f>
        <v>vs Nonis</v>
      </c>
      <c r="M1502">
        <v>78</v>
      </c>
      <c r="N1502" s="1">
        <v>0.45600000000000002</v>
      </c>
      <c r="O1502">
        <v>18</v>
      </c>
      <c r="P1502" s="1">
        <v>0.28599999999999998</v>
      </c>
      <c r="Q1502" s="1">
        <v>0.83299999999999996</v>
      </c>
      <c r="R1502">
        <v>224</v>
      </c>
      <c r="S1502">
        <v>35</v>
      </c>
      <c r="T1502">
        <v>83</v>
      </c>
      <c r="U1502">
        <v>50</v>
      </c>
      <c r="V1502">
        <v>17</v>
      </c>
      <c r="W1502">
        <v>18</v>
      </c>
      <c r="X1502">
        <v>24</v>
      </c>
      <c r="Y1502" s="5">
        <v>2.08</v>
      </c>
    </row>
    <row r="1503" spans="1:25" x14ac:dyDescent="0.25">
      <c r="A1503">
        <v>2022</v>
      </c>
      <c r="B1503" t="s">
        <v>57</v>
      </c>
      <c r="C1503">
        <v>2</v>
      </c>
      <c r="D1503">
        <v>13</v>
      </c>
      <c r="E1503" t="s">
        <v>97</v>
      </c>
      <c r="F1503" t="s">
        <v>54</v>
      </c>
      <c r="G1503">
        <f t="shared" si="23"/>
        <v>1</v>
      </c>
      <c r="H1503">
        <v>10</v>
      </c>
      <c r="I1503">
        <v>3</v>
      </c>
      <c r="J1503">
        <v>0</v>
      </c>
      <c r="K1503" s="6" t="str">
        <f t="shared" ref="K1503" si="74">"vs "&amp;E1502</f>
        <v>vs Knights of Ni</v>
      </c>
      <c r="L1503" s="6" t="str">
        <f t="shared" ref="L1503" si="75">"vs "&amp;F1502</f>
        <v>vs Tolios</v>
      </c>
      <c r="M1503">
        <v>210</v>
      </c>
      <c r="N1503" s="1">
        <v>0.46800000000000003</v>
      </c>
      <c r="O1503">
        <v>37</v>
      </c>
      <c r="P1503" s="1">
        <v>0.29399999999999998</v>
      </c>
      <c r="Q1503" s="1">
        <v>0.80200000000000005</v>
      </c>
      <c r="R1503">
        <v>587</v>
      </c>
      <c r="S1503">
        <v>44</v>
      </c>
      <c r="T1503">
        <v>193</v>
      </c>
      <c r="U1503">
        <v>133</v>
      </c>
      <c r="V1503">
        <v>30</v>
      </c>
      <c r="W1503">
        <v>25</v>
      </c>
      <c r="X1503">
        <v>82</v>
      </c>
      <c r="Y1503" s="5">
        <v>1.62</v>
      </c>
    </row>
    <row r="1504" spans="1:25" x14ac:dyDescent="0.25">
      <c r="A1504">
        <v>2022</v>
      </c>
      <c r="B1504" t="s">
        <v>57</v>
      </c>
      <c r="C1504">
        <v>2</v>
      </c>
      <c r="D1504">
        <v>14</v>
      </c>
      <c r="E1504" t="s">
        <v>93</v>
      </c>
      <c r="F1504" t="s">
        <v>189</v>
      </c>
      <c r="G1504">
        <f t="shared" si="23"/>
        <v>1</v>
      </c>
      <c r="H1504">
        <v>9</v>
      </c>
      <c r="I1504">
        <v>4</v>
      </c>
      <c r="J1504">
        <v>0</v>
      </c>
      <c r="K1504" s="6" t="str">
        <f t="shared" ref="K1504" si="76">"vs "&amp;E1505</f>
        <v>vs Karafli SaiTa</v>
      </c>
      <c r="L1504" s="6" t="str">
        <f t="shared" ref="L1504" si="77">"vs "&amp;F1505</f>
        <v>vs Tassos</v>
      </c>
      <c r="M1504">
        <v>183</v>
      </c>
      <c r="N1504" s="1">
        <v>0.47399999999999998</v>
      </c>
      <c r="O1504">
        <v>52</v>
      </c>
      <c r="P1504" s="1">
        <v>0.34200000000000003</v>
      </c>
      <c r="Q1504" s="1">
        <v>0.85699999999999998</v>
      </c>
      <c r="R1504">
        <v>502</v>
      </c>
      <c r="S1504">
        <v>38</v>
      </c>
      <c r="T1504">
        <v>152</v>
      </c>
      <c r="U1504">
        <v>105</v>
      </c>
      <c r="V1504">
        <v>43</v>
      </c>
      <c r="W1504">
        <v>19</v>
      </c>
      <c r="X1504">
        <v>53</v>
      </c>
      <c r="Y1504" s="5">
        <v>1.98</v>
      </c>
    </row>
    <row r="1505" spans="1:25" x14ac:dyDescent="0.25">
      <c r="A1505">
        <v>2022</v>
      </c>
      <c r="B1505" t="s">
        <v>57</v>
      </c>
      <c r="C1505">
        <v>2</v>
      </c>
      <c r="D1505">
        <v>14</v>
      </c>
      <c r="E1505" t="s">
        <v>190</v>
      </c>
      <c r="F1505" t="s">
        <v>103</v>
      </c>
      <c r="G1505">
        <f t="shared" si="23"/>
        <v>0</v>
      </c>
      <c r="H1505">
        <v>4</v>
      </c>
      <c r="I1505">
        <v>9</v>
      </c>
      <c r="J1505">
        <v>0</v>
      </c>
      <c r="K1505" s="6" t="str">
        <f t="shared" ref="K1505" si="78">"vs "&amp;E1504</f>
        <v>vs Guruuu 🐐🐐🐐</v>
      </c>
      <c r="L1505" s="6" t="str">
        <f t="shared" ref="L1505" si="79">"vs "&amp;F1504</f>
        <v>vs Guru</v>
      </c>
      <c r="M1505">
        <v>173</v>
      </c>
      <c r="N1505" s="1">
        <v>0.42899999999999999</v>
      </c>
      <c r="O1505">
        <v>54</v>
      </c>
      <c r="P1505" s="1">
        <v>0.30199999999999999</v>
      </c>
      <c r="Q1505" s="1">
        <v>0.80600000000000005</v>
      </c>
      <c r="R1505">
        <v>458</v>
      </c>
      <c r="S1505">
        <v>44</v>
      </c>
      <c r="T1505">
        <v>140</v>
      </c>
      <c r="U1505">
        <v>113</v>
      </c>
      <c r="V1505">
        <v>36</v>
      </c>
      <c r="W1505">
        <v>22</v>
      </c>
      <c r="X1505">
        <v>74</v>
      </c>
      <c r="Y1505" s="5">
        <v>1.53</v>
      </c>
    </row>
    <row r="1506" spans="1:25" x14ac:dyDescent="0.25">
      <c r="A1506">
        <v>2022</v>
      </c>
      <c r="B1506" t="s">
        <v>57</v>
      </c>
      <c r="C1506">
        <v>2</v>
      </c>
      <c r="D1506">
        <v>15</v>
      </c>
      <c r="E1506" t="s">
        <v>98</v>
      </c>
      <c r="F1506" t="s">
        <v>41</v>
      </c>
      <c r="G1506">
        <f t="shared" si="23"/>
        <v>0</v>
      </c>
      <c r="H1506">
        <v>4</v>
      </c>
      <c r="I1506">
        <v>9</v>
      </c>
      <c r="J1506">
        <v>0</v>
      </c>
      <c r="K1506" s="6" t="str">
        <f t="shared" ref="K1506" si="80">"vs "&amp;E1507</f>
        <v>vs Kourayo Vallecano</v>
      </c>
      <c r="L1506" s="6" t="str">
        <f t="shared" ref="L1506" si="81">"vs "&amp;F1507</f>
        <v>vs Ziogas/Christof</v>
      </c>
      <c r="M1506">
        <v>113</v>
      </c>
      <c r="N1506" s="1">
        <v>0.39400000000000002</v>
      </c>
      <c r="O1506">
        <v>44</v>
      </c>
      <c r="P1506" s="1">
        <v>0.317</v>
      </c>
      <c r="Q1506" s="1">
        <v>0.71399999999999997</v>
      </c>
      <c r="R1506">
        <v>325</v>
      </c>
      <c r="S1506">
        <v>29</v>
      </c>
      <c r="T1506">
        <v>127</v>
      </c>
      <c r="U1506">
        <v>54</v>
      </c>
      <c r="V1506">
        <v>39</v>
      </c>
      <c r="W1506">
        <v>18</v>
      </c>
      <c r="X1506">
        <v>29</v>
      </c>
      <c r="Y1506" s="5">
        <v>1.86</v>
      </c>
    </row>
    <row r="1507" spans="1:25" x14ac:dyDescent="0.25">
      <c r="A1507">
        <v>2022</v>
      </c>
      <c r="B1507" t="s">
        <v>57</v>
      </c>
      <c r="C1507">
        <v>2</v>
      </c>
      <c r="D1507">
        <v>15</v>
      </c>
      <c r="E1507" t="s">
        <v>26</v>
      </c>
      <c r="F1507" t="s">
        <v>118</v>
      </c>
      <c r="G1507">
        <f t="shared" si="23"/>
        <v>1</v>
      </c>
      <c r="H1507">
        <v>9</v>
      </c>
      <c r="I1507">
        <v>4</v>
      </c>
      <c r="J1507">
        <v>0</v>
      </c>
      <c r="K1507" s="6" t="str">
        <f t="shared" ref="K1507" si="82">"vs "&amp;E1506</f>
        <v>vs Xanthi Ducks 🦆</v>
      </c>
      <c r="L1507" s="6" t="str">
        <f t="shared" ref="L1507" si="83">"vs "&amp;F1506</f>
        <v>vs Kotakis</v>
      </c>
      <c r="M1507">
        <v>142</v>
      </c>
      <c r="N1507" s="1">
        <v>0.436</v>
      </c>
      <c r="O1507">
        <v>46</v>
      </c>
      <c r="P1507" s="1">
        <v>0.33300000000000002</v>
      </c>
      <c r="Q1507" s="1">
        <v>0.71199999999999997</v>
      </c>
      <c r="R1507">
        <v>382</v>
      </c>
      <c r="S1507">
        <v>38</v>
      </c>
      <c r="T1507">
        <v>140</v>
      </c>
      <c r="U1507">
        <v>125</v>
      </c>
      <c r="V1507">
        <v>30</v>
      </c>
      <c r="W1507">
        <v>20</v>
      </c>
      <c r="X1507">
        <v>77</v>
      </c>
      <c r="Y1507" s="5">
        <v>1.62</v>
      </c>
    </row>
    <row r="1508" spans="1:25" x14ac:dyDescent="0.25">
      <c r="A1508">
        <v>2022</v>
      </c>
      <c r="B1508" t="s">
        <v>57</v>
      </c>
      <c r="C1508">
        <v>2</v>
      </c>
      <c r="D1508">
        <v>16</v>
      </c>
      <c r="E1508" t="s">
        <v>159</v>
      </c>
      <c r="F1508" t="s">
        <v>116</v>
      </c>
      <c r="G1508">
        <f t="shared" si="23"/>
        <v>1</v>
      </c>
      <c r="H1508">
        <v>11</v>
      </c>
      <c r="I1508">
        <v>2</v>
      </c>
      <c r="J1508">
        <v>0</v>
      </c>
      <c r="K1508" s="6" t="str">
        <f t="shared" ref="K1508" si="84">"vs "&amp;E1509</f>
        <v>vs Fighting Thaddeus</v>
      </c>
      <c r="L1508" s="6" t="str">
        <f t="shared" ref="L1508" si="85">"vs "&amp;F1509</f>
        <v>vs Stavros</v>
      </c>
      <c r="M1508">
        <v>203</v>
      </c>
      <c r="N1508" s="1">
        <v>0.45800000000000002</v>
      </c>
      <c r="O1508">
        <v>58</v>
      </c>
      <c r="P1508" s="1">
        <v>0.36</v>
      </c>
      <c r="Q1508" s="1">
        <v>0.73099999999999998</v>
      </c>
      <c r="R1508">
        <v>551</v>
      </c>
      <c r="S1508">
        <v>59</v>
      </c>
      <c r="T1508">
        <v>215</v>
      </c>
      <c r="U1508">
        <v>135</v>
      </c>
      <c r="V1508">
        <v>45</v>
      </c>
      <c r="W1508">
        <v>17</v>
      </c>
      <c r="X1508">
        <v>76</v>
      </c>
      <c r="Y1508" s="5">
        <v>1.78</v>
      </c>
    </row>
    <row r="1509" spans="1:25" x14ac:dyDescent="0.25">
      <c r="A1509">
        <v>2022</v>
      </c>
      <c r="B1509" t="s">
        <v>57</v>
      </c>
      <c r="C1509">
        <v>2</v>
      </c>
      <c r="D1509">
        <v>16</v>
      </c>
      <c r="E1509" t="s">
        <v>94</v>
      </c>
      <c r="F1509" t="s">
        <v>40</v>
      </c>
      <c r="G1509">
        <f t="shared" si="23"/>
        <v>0</v>
      </c>
      <c r="H1509">
        <v>2</v>
      </c>
      <c r="I1509">
        <v>11</v>
      </c>
      <c r="J1509">
        <v>0</v>
      </c>
      <c r="K1509" s="6" t="str">
        <f t="shared" ref="K1509" si="86">"vs "&amp;E1508</f>
        <v>vs purple fuzzy apache pirates</v>
      </c>
      <c r="L1509" s="6" t="str">
        <f t="shared" ref="L1509" si="87">"vs "&amp;F1508</f>
        <v>vs pi/Sotiris</v>
      </c>
      <c r="M1509">
        <v>135</v>
      </c>
      <c r="N1509" s="1">
        <v>0.42499999999999999</v>
      </c>
      <c r="O1509">
        <v>50</v>
      </c>
      <c r="P1509" s="1">
        <v>0.35499999999999998</v>
      </c>
      <c r="Q1509" s="1">
        <v>0.77300000000000002</v>
      </c>
      <c r="R1509">
        <v>354</v>
      </c>
      <c r="S1509">
        <v>32</v>
      </c>
      <c r="T1509">
        <v>98</v>
      </c>
      <c r="U1509">
        <v>85</v>
      </c>
      <c r="V1509">
        <v>22</v>
      </c>
      <c r="W1509">
        <v>11</v>
      </c>
      <c r="X1509">
        <v>60</v>
      </c>
      <c r="Y1509" s="5">
        <v>1.42</v>
      </c>
    </row>
    <row r="1510" spans="1:25" x14ac:dyDescent="0.25">
      <c r="A1510">
        <v>2022</v>
      </c>
      <c r="B1510" t="s">
        <v>57</v>
      </c>
      <c r="C1510">
        <v>2</v>
      </c>
      <c r="D1510">
        <v>17</v>
      </c>
      <c r="E1510" t="s">
        <v>23</v>
      </c>
      <c r="F1510" t="s">
        <v>120</v>
      </c>
      <c r="G1510">
        <f t="shared" si="23"/>
        <v>0</v>
      </c>
      <c r="H1510">
        <v>4</v>
      </c>
      <c r="I1510">
        <v>8</v>
      </c>
      <c r="J1510">
        <v>1</v>
      </c>
      <c r="K1510" s="6" t="str">
        <f t="shared" ref="K1510" si="88">"vs "&amp;E1511</f>
        <v>vs Steven Adams' Moustache</v>
      </c>
      <c r="L1510" s="6" t="str">
        <f t="shared" ref="L1510" si="89">"vs "&amp;F1511</f>
        <v>vs Johnny</v>
      </c>
      <c r="M1510">
        <v>142</v>
      </c>
      <c r="N1510" s="1">
        <v>0.48299999999999998</v>
      </c>
      <c r="O1510">
        <v>29</v>
      </c>
      <c r="P1510" s="1">
        <v>0.29299999999999998</v>
      </c>
      <c r="Q1510" s="1">
        <v>0.71599999999999997</v>
      </c>
      <c r="R1510">
        <v>366</v>
      </c>
      <c r="S1510">
        <v>45</v>
      </c>
      <c r="T1510">
        <v>159</v>
      </c>
      <c r="U1510">
        <v>67</v>
      </c>
      <c r="V1510">
        <v>23</v>
      </c>
      <c r="W1510">
        <v>19</v>
      </c>
      <c r="X1510">
        <v>47</v>
      </c>
      <c r="Y1510" s="5">
        <v>1.43</v>
      </c>
    </row>
    <row r="1511" spans="1:25" x14ac:dyDescent="0.25">
      <c r="A1511">
        <v>2022</v>
      </c>
      <c r="B1511" t="s">
        <v>57</v>
      </c>
      <c r="C1511">
        <v>2</v>
      </c>
      <c r="D1511">
        <v>17</v>
      </c>
      <c r="E1511" t="s">
        <v>28</v>
      </c>
      <c r="F1511" t="s">
        <v>46</v>
      </c>
      <c r="G1511">
        <f t="shared" si="23"/>
        <v>1</v>
      </c>
      <c r="H1511">
        <v>8</v>
      </c>
      <c r="I1511">
        <v>4</v>
      </c>
      <c r="J1511">
        <v>1</v>
      </c>
      <c r="K1511" s="6" t="str">
        <f t="shared" ref="K1511" si="90">"vs "&amp;E1510</f>
        <v>vs Pachiana NinjaBees</v>
      </c>
      <c r="L1511" s="6" t="str">
        <f t="shared" ref="L1511" si="91">"vs "&amp;F1510</f>
        <v>vs Spiridaus/Oladipas</v>
      </c>
      <c r="M1511">
        <v>195</v>
      </c>
      <c r="N1511" s="1">
        <v>0.435</v>
      </c>
      <c r="O1511">
        <v>59</v>
      </c>
      <c r="P1511" s="1">
        <v>0.35299999999999998</v>
      </c>
      <c r="Q1511" s="1">
        <v>0.83499999999999996</v>
      </c>
      <c r="R1511">
        <v>530</v>
      </c>
      <c r="S1511">
        <v>39</v>
      </c>
      <c r="T1511">
        <v>159</v>
      </c>
      <c r="U1511">
        <v>103</v>
      </c>
      <c r="V1511">
        <v>39</v>
      </c>
      <c r="W1511">
        <v>18</v>
      </c>
      <c r="X1511">
        <v>56</v>
      </c>
      <c r="Y1511" s="5">
        <v>1.84</v>
      </c>
    </row>
    <row r="1512" spans="1:25" x14ac:dyDescent="0.25">
      <c r="A1512">
        <v>2022</v>
      </c>
      <c r="B1512" t="s">
        <v>57</v>
      </c>
      <c r="C1512">
        <v>2</v>
      </c>
      <c r="D1512">
        <v>18</v>
      </c>
      <c r="E1512" t="s">
        <v>16</v>
      </c>
      <c r="F1512" t="s">
        <v>51</v>
      </c>
      <c r="G1512">
        <f t="shared" si="23"/>
        <v>1</v>
      </c>
      <c r="H1512">
        <v>8</v>
      </c>
      <c r="I1512">
        <v>5</v>
      </c>
      <c r="J1512">
        <v>0</v>
      </c>
      <c r="K1512" s="6" t="str">
        <f t="shared" ref="K1512" si="92">"vs "&amp;E1513</f>
        <v>vs Donkey Rolls</v>
      </c>
      <c r="L1512" s="6" t="str">
        <f t="shared" ref="L1512" si="93">"vs "&amp;F1513</f>
        <v>vs Markos</v>
      </c>
      <c r="M1512">
        <v>182</v>
      </c>
      <c r="N1512" s="1">
        <v>0.43</v>
      </c>
      <c r="O1512">
        <v>61</v>
      </c>
      <c r="P1512" s="1">
        <v>0.33300000000000002</v>
      </c>
      <c r="Q1512" s="1">
        <v>0.76800000000000002</v>
      </c>
      <c r="R1512">
        <v>478</v>
      </c>
      <c r="S1512">
        <v>30</v>
      </c>
      <c r="T1512">
        <v>151</v>
      </c>
      <c r="U1512">
        <v>102</v>
      </c>
      <c r="V1512">
        <v>27</v>
      </c>
      <c r="W1512">
        <v>28</v>
      </c>
      <c r="X1512">
        <v>70</v>
      </c>
      <c r="Y1512" s="5">
        <v>1.46</v>
      </c>
    </row>
    <row r="1513" spans="1:25" x14ac:dyDescent="0.25">
      <c r="A1513">
        <v>2022</v>
      </c>
      <c r="B1513" t="s">
        <v>57</v>
      </c>
      <c r="C1513">
        <v>2</v>
      </c>
      <c r="D1513">
        <v>18</v>
      </c>
      <c r="E1513" t="s">
        <v>17</v>
      </c>
      <c r="F1513" t="s">
        <v>43</v>
      </c>
      <c r="G1513">
        <f t="shared" si="23"/>
        <v>0</v>
      </c>
      <c r="H1513">
        <v>5</v>
      </c>
      <c r="I1513">
        <v>8</v>
      </c>
      <c r="J1513">
        <v>0</v>
      </c>
      <c r="K1513" s="6" t="str">
        <f t="shared" ref="K1513" si="94">"vs "&amp;E1512</f>
        <v>vs The Bridgeburners</v>
      </c>
      <c r="L1513" s="6" t="str">
        <f t="shared" ref="L1513" si="95">"vs "&amp;F1512</f>
        <v>vs Fanis</v>
      </c>
      <c r="M1513">
        <v>147</v>
      </c>
      <c r="N1513" s="1">
        <v>0.48</v>
      </c>
      <c r="O1513">
        <v>36</v>
      </c>
      <c r="P1513" s="1">
        <v>0.371</v>
      </c>
      <c r="Q1513" s="1">
        <v>0.75800000000000001</v>
      </c>
      <c r="R1513">
        <v>380</v>
      </c>
      <c r="S1513">
        <v>36</v>
      </c>
      <c r="T1513">
        <v>106</v>
      </c>
      <c r="U1513">
        <v>96</v>
      </c>
      <c r="V1513">
        <v>22</v>
      </c>
      <c r="W1513">
        <v>17</v>
      </c>
      <c r="X1513">
        <v>65</v>
      </c>
      <c r="Y1513" s="5">
        <v>1.48</v>
      </c>
    </row>
    <row r="1514" spans="1:25" x14ac:dyDescent="0.25">
      <c r="A1514">
        <v>2022</v>
      </c>
      <c r="B1514" t="s">
        <v>57</v>
      </c>
      <c r="C1514">
        <v>2</v>
      </c>
      <c r="D1514">
        <v>19</v>
      </c>
      <c r="E1514" t="s">
        <v>99</v>
      </c>
      <c r="F1514" t="s">
        <v>45</v>
      </c>
      <c r="G1514">
        <f t="shared" si="23"/>
        <v>1</v>
      </c>
      <c r="H1514">
        <v>12</v>
      </c>
      <c r="I1514">
        <v>1</v>
      </c>
      <c r="J1514">
        <v>0</v>
      </c>
      <c r="K1514" s="6" t="str">
        <f t="shared" ref="K1514" si="96">"vs "&amp;E1515</f>
        <v>vs Salonika Devils</v>
      </c>
      <c r="L1514" s="6" t="str">
        <f t="shared" ref="L1514" si="97">"vs "&amp;F1515</f>
        <v>vs Fountos</v>
      </c>
      <c r="M1514">
        <v>230</v>
      </c>
      <c r="N1514" s="1">
        <v>0.49299999999999999</v>
      </c>
      <c r="O1514">
        <v>55</v>
      </c>
      <c r="P1514" s="1">
        <v>0.34399999999999997</v>
      </c>
      <c r="Q1514" s="1">
        <v>0.80500000000000005</v>
      </c>
      <c r="R1514">
        <v>614</v>
      </c>
      <c r="S1514">
        <v>81</v>
      </c>
      <c r="T1514">
        <v>191</v>
      </c>
      <c r="U1514">
        <v>113</v>
      </c>
      <c r="V1514">
        <v>41</v>
      </c>
      <c r="W1514">
        <v>21</v>
      </c>
      <c r="X1514">
        <v>79</v>
      </c>
      <c r="Y1514" s="5">
        <v>1.43</v>
      </c>
    </row>
    <row r="1515" spans="1:25" x14ac:dyDescent="0.25">
      <c r="A1515">
        <v>2022</v>
      </c>
      <c r="B1515" t="s">
        <v>57</v>
      </c>
      <c r="C1515">
        <v>2</v>
      </c>
      <c r="D1515">
        <v>19</v>
      </c>
      <c r="E1515" t="s">
        <v>15</v>
      </c>
      <c r="F1515" t="s">
        <v>48</v>
      </c>
      <c r="G1515">
        <f t="shared" si="23"/>
        <v>0</v>
      </c>
      <c r="H1515">
        <v>1</v>
      </c>
      <c r="I1515">
        <v>12</v>
      </c>
      <c r="J1515">
        <v>0</v>
      </c>
      <c r="K1515" s="6" t="str">
        <f t="shared" ref="K1515" si="98">"vs "&amp;E1514</f>
        <v>vs Tsarlatans</v>
      </c>
      <c r="L1515" s="6" t="str">
        <f t="shared" ref="L1515" si="99">"vs "&amp;F1514</f>
        <v>vs Tzokos</v>
      </c>
      <c r="M1515">
        <v>171</v>
      </c>
      <c r="N1515" s="1">
        <v>0.442</v>
      </c>
      <c r="O1515">
        <v>46</v>
      </c>
      <c r="P1515" s="1">
        <v>0.309</v>
      </c>
      <c r="Q1515" s="1">
        <v>0.69499999999999995</v>
      </c>
      <c r="R1515">
        <v>461</v>
      </c>
      <c r="S1515">
        <v>45</v>
      </c>
      <c r="T1515">
        <v>136</v>
      </c>
      <c r="U1515">
        <v>71</v>
      </c>
      <c r="V1515">
        <v>31</v>
      </c>
      <c r="W1515">
        <v>18</v>
      </c>
      <c r="X1515">
        <v>63</v>
      </c>
      <c r="Y1515" s="5">
        <v>1.1299999999999999</v>
      </c>
    </row>
    <row r="1516" spans="1:25" x14ac:dyDescent="0.25">
      <c r="A1516">
        <v>2022</v>
      </c>
      <c r="B1516" t="s">
        <v>57</v>
      </c>
      <c r="C1516">
        <v>2</v>
      </c>
      <c r="D1516">
        <v>20</v>
      </c>
      <c r="E1516" t="s">
        <v>21</v>
      </c>
      <c r="F1516" t="s">
        <v>50</v>
      </c>
      <c r="G1516">
        <f t="shared" si="23"/>
        <v>1</v>
      </c>
      <c r="H1516">
        <v>10</v>
      </c>
      <c r="I1516">
        <v>3</v>
      </c>
      <c r="J1516">
        <v>0</v>
      </c>
      <c r="K1516" s="6" t="str">
        <f t="shared" ref="K1516" si="100">"vs "&amp;E1517</f>
        <v>vs The Rookies</v>
      </c>
      <c r="L1516" s="6" t="str">
        <f t="shared" ref="L1516" si="101">"vs "&amp;F1517</f>
        <v>vs Kousidis</v>
      </c>
      <c r="M1516">
        <v>173</v>
      </c>
      <c r="N1516" s="1">
        <v>0.43</v>
      </c>
      <c r="O1516">
        <v>63</v>
      </c>
      <c r="P1516" s="1">
        <v>0.36599999999999999</v>
      </c>
      <c r="Q1516" s="1">
        <v>0.86299999999999999</v>
      </c>
      <c r="R1516">
        <v>491</v>
      </c>
      <c r="S1516">
        <v>31</v>
      </c>
      <c r="T1516">
        <v>148</v>
      </c>
      <c r="U1516">
        <v>119</v>
      </c>
      <c r="V1516">
        <v>22</v>
      </c>
      <c r="W1516">
        <v>20</v>
      </c>
      <c r="X1516">
        <v>63</v>
      </c>
      <c r="Y1516" s="5">
        <v>1.89</v>
      </c>
    </row>
    <row r="1517" spans="1:25" x14ac:dyDescent="0.25">
      <c r="A1517">
        <v>2022</v>
      </c>
      <c r="B1517" t="s">
        <v>57</v>
      </c>
      <c r="C1517">
        <v>2</v>
      </c>
      <c r="D1517">
        <v>20</v>
      </c>
      <c r="E1517" t="s">
        <v>25</v>
      </c>
      <c r="F1517" t="s">
        <v>53</v>
      </c>
      <c r="G1517">
        <f t="shared" si="23"/>
        <v>0</v>
      </c>
      <c r="H1517">
        <v>3</v>
      </c>
      <c r="I1517">
        <v>10</v>
      </c>
      <c r="J1517">
        <v>0</v>
      </c>
      <c r="K1517" s="6" t="str">
        <f t="shared" ref="K1517" si="102">"vs "&amp;E1516</f>
        <v>vs st.Helens Eruptions</v>
      </c>
      <c r="L1517" s="6" t="str">
        <f t="shared" ref="L1517" si="103">"vs "&amp;F1516</f>
        <v>vs Aris</v>
      </c>
      <c r="M1517">
        <v>133</v>
      </c>
      <c r="N1517" s="1">
        <v>0.44</v>
      </c>
      <c r="O1517">
        <v>33</v>
      </c>
      <c r="P1517" s="1">
        <v>0.34399999999999997</v>
      </c>
      <c r="Q1517" s="1">
        <v>0.746</v>
      </c>
      <c r="R1517">
        <v>349</v>
      </c>
      <c r="S1517">
        <v>26</v>
      </c>
      <c r="T1517">
        <v>115</v>
      </c>
      <c r="U1517">
        <v>62</v>
      </c>
      <c r="V1517">
        <v>24</v>
      </c>
      <c r="W1517">
        <v>14</v>
      </c>
      <c r="X1517">
        <v>39</v>
      </c>
      <c r="Y1517" s="5">
        <v>1.59</v>
      </c>
    </row>
    <row r="1518" spans="1:25" x14ac:dyDescent="0.25">
      <c r="A1518">
        <v>2022</v>
      </c>
      <c r="B1518" t="s">
        <v>57</v>
      </c>
      <c r="C1518">
        <v>3</v>
      </c>
      <c r="D1518">
        <v>21</v>
      </c>
      <c r="E1518" t="s">
        <v>95</v>
      </c>
      <c r="F1518" t="s">
        <v>101</v>
      </c>
      <c r="G1518">
        <f t="shared" si="23"/>
        <v>0</v>
      </c>
      <c r="H1518">
        <v>5</v>
      </c>
      <c r="I1518">
        <v>8</v>
      </c>
      <c r="J1518">
        <v>0</v>
      </c>
      <c r="K1518" s="6" t="str">
        <f t="shared" ref="K1518" si="104">"vs "&amp;E1519</f>
        <v>vs Steven Adams' Moustache</v>
      </c>
      <c r="L1518" s="6" t="str">
        <f t="shared" ref="L1518" si="105">"vs "&amp;F1519</f>
        <v>vs Johnny</v>
      </c>
      <c r="M1518">
        <v>155</v>
      </c>
      <c r="N1518" s="1">
        <v>0.44900000000000001</v>
      </c>
      <c r="O1518">
        <v>50</v>
      </c>
      <c r="P1518" s="1">
        <v>0.35</v>
      </c>
      <c r="Q1518" s="1">
        <v>0.67200000000000004</v>
      </c>
      <c r="R1518">
        <v>403</v>
      </c>
      <c r="S1518">
        <v>37</v>
      </c>
      <c r="T1518">
        <v>94</v>
      </c>
      <c r="U1518">
        <v>101</v>
      </c>
      <c r="V1518">
        <v>30</v>
      </c>
      <c r="W1518">
        <v>17</v>
      </c>
      <c r="X1518">
        <v>55</v>
      </c>
      <c r="Y1518" s="5">
        <v>1.84</v>
      </c>
    </row>
    <row r="1519" spans="1:25" x14ac:dyDescent="0.25">
      <c r="A1519">
        <v>2022</v>
      </c>
      <c r="B1519" t="s">
        <v>57</v>
      </c>
      <c r="C1519">
        <v>3</v>
      </c>
      <c r="D1519">
        <v>21</v>
      </c>
      <c r="E1519" t="s">
        <v>28</v>
      </c>
      <c r="F1519" t="s">
        <v>46</v>
      </c>
      <c r="G1519">
        <f t="shared" si="23"/>
        <v>1</v>
      </c>
      <c r="H1519">
        <v>8</v>
      </c>
      <c r="I1519">
        <v>5</v>
      </c>
      <c r="J1519">
        <v>0</v>
      </c>
      <c r="K1519" s="6" t="str">
        <f t="shared" ref="K1519" si="106">"vs "&amp;E1518</f>
        <v>vs Baltimore Hercules</v>
      </c>
      <c r="L1519" s="6" t="str">
        <f t="shared" ref="L1519" si="107">"vs "&amp;F1518</f>
        <v>vs Sarantos</v>
      </c>
      <c r="M1519">
        <v>182</v>
      </c>
      <c r="N1519" s="1">
        <v>0.443</v>
      </c>
      <c r="O1519">
        <v>43</v>
      </c>
      <c r="P1519" s="1">
        <v>0.30299999999999999</v>
      </c>
      <c r="Q1519" s="1">
        <v>0.80800000000000005</v>
      </c>
      <c r="R1519">
        <v>470</v>
      </c>
      <c r="S1519">
        <v>50</v>
      </c>
      <c r="T1519">
        <v>155</v>
      </c>
      <c r="U1519">
        <v>139</v>
      </c>
      <c r="V1519">
        <v>26</v>
      </c>
      <c r="W1519">
        <v>14</v>
      </c>
      <c r="X1519">
        <v>51</v>
      </c>
      <c r="Y1519" s="5">
        <v>2.73</v>
      </c>
    </row>
    <row r="1520" spans="1:25" x14ac:dyDescent="0.25">
      <c r="A1520">
        <v>2022</v>
      </c>
      <c r="B1520" t="s">
        <v>57</v>
      </c>
      <c r="C1520">
        <v>3</v>
      </c>
      <c r="D1520">
        <v>22</v>
      </c>
      <c r="E1520" t="s">
        <v>25</v>
      </c>
      <c r="F1520" t="s">
        <v>53</v>
      </c>
      <c r="G1520">
        <f t="shared" si="23"/>
        <v>1</v>
      </c>
      <c r="H1520">
        <v>8</v>
      </c>
      <c r="I1520">
        <v>5</v>
      </c>
      <c r="J1520">
        <v>0</v>
      </c>
      <c r="K1520" s="6" t="str">
        <f t="shared" ref="K1520" si="108">"vs "&amp;E1521</f>
        <v>vs Donkey Rolls</v>
      </c>
      <c r="L1520" s="6" t="str">
        <f t="shared" ref="L1520" si="109">"vs "&amp;F1521</f>
        <v>vs Markos</v>
      </c>
      <c r="M1520">
        <v>163</v>
      </c>
      <c r="N1520" s="1">
        <v>0.46200000000000002</v>
      </c>
      <c r="O1520">
        <v>38</v>
      </c>
      <c r="P1520" s="1">
        <v>0.35799999999999998</v>
      </c>
      <c r="Q1520" s="1">
        <v>0.77900000000000003</v>
      </c>
      <c r="R1520">
        <v>424</v>
      </c>
      <c r="S1520">
        <v>50</v>
      </c>
      <c r="T1520">
        <v>154</v>
      </c>
      <c r="U1520">
        <v>93</v>
      </c>
      <c r="V1520">
        <v>26</v>
      </c>
      <c r="W1520">
        <v>21</v>
      </c>
      <c r="X1520">
        <v>59</v>
      </c>
      <c r="Y1520" s="5">
        <v>1.58</v>
      </c>
    </row>
    <row r="1521" spans="1:25" x14ac:dyDescent="0.25">
      <c r="A1521">
        <v>2022</v>
      </c>
      <c r="B1521" t="s">
        <v>57</v>
      </c>
      <c r="C1521">
        <v>3</v>
      </c>
      <c r="D1521">
        <v>22</v>
      </c>
      <c r="E1521" t="s">
        <v>17</v>
      </c>
      <c r="F1521" t="s">
        <v>43</v>
      </c>
      <c r="G1521">
        <f t="shared" si="23"/>
        <v>0</v>
      </c>
      <c r="H1521">
        <v>5</v>
      </c>
      <c r="I1521">
        <v>8</v>
      </c>
      <c r="J1521">
        <v>0</v>
      </c>
      <c r="K1521" s="6" t="str">
        <f t="shared" ref="K1521" si="110">"vs "&amp;E1520</f>
        <v>vs The Rookies</v>
      </c>
      <c r="L1521" s="6" t="str">
        <f t="shared" ref="L1521" si="111">"vs "&amp;F1520</f>
        <v>vs Kousidis</v>
      </c>
      <c r="M1521">
        <v>148</v>
      </c>
      <c r="N1521" s="1">
        <v>0.502</v>
      </c>
      <c r="O1521">
        <v>45</v>
      </c>
      <c r="P1521" s="1">
        <v>0.437</v>
      </c>
      <c r="Q1521" s="1">
        <v>0.6</v>
      </c>
      <c r="R1521">
        <v>374</v>
      </c>
      <c r="S1521">
        <v>22</v>
      </c>
      <c r="T1521">
        <v>107</v>
      </c>
      <c r="U1521">
        <v>62</v>
      </c>
      <c r="V1521">
        <v>21</v>
      </c>
      <c r="W1521">
        <v>10</v>
      </c>
      <c r="X1521">
        <v>37</v>
      </c>
      <c r="Y1521" s="5">
        <v>1.68</v>
      </c>
    </row>
    <row r="1522" spans="1:25" x14ac:dyDescent="0.25">
      <c r="A1522">
        <v>2022</v>
      </c>
      <c r="B1522" t="s">
        <v>57</v>
      </c>
      <c r="C1522">
        <v>3</v>
      </c>
      <c r="D1522">
        <v>23</v>
      </c>
      <c r="E1522" t="s">
        <v>15</v>
      </c>
      <c r="F1522" t="s">
        <v>48</v>
      </c>
      <c r="G1522">
        <f t="shared" si="23"/>
        <v>0</v>
      </c>
      <c r="H1522">
        <v>4</v>
      </c>
      <c r="I1522">
        <v>9</v>
      </c>
      <c r="J1522">
        <v>0</v>
      </c>
      <c r="K1522" s="6" t="str">
        <f t="shared" ref="K1522" si="112">"vs "&amp;E1523</f>
        <v>vs purple fuzzy apache pirates</v>
      </c>
      <c r="L1522" s="6" t="str">
        <f t="shared" ref="L1522" si="113">"vs "&amp;F1523</f>
        <v>vs pi/Sotiris</v>
      </c>
      <c r="M1522">
        <v>170</v>
      </c>
      <c r="N1522" s="1">
        <v>0.437</v>
      </c>
      <c r="O1522">
        <v>53</v>
      </c>
      <c r="P1522" s="1">
        <v>0.33500000000000002</v>
      </c>
      <c r="Q1522" s="1">
        <v>0.77600000000000002</v>
      </c>
      <c r="R1522">
        <v>431</v>
      </c>
      <c r="S1522">
        <v>39</v>
      </c>
      <c r="T1522">
        <v>141</v>
      </c>
      <c r="U1522">
        <v>108</v>
      </c>
      <c r="V1522">
        <v>24</v>
      </c>
      <c r="W1522">
        <v>10</v>
      </c>
      <c r="X1522">
        <v>55</v>
      </c>
      <c r="Y1522" s="5">
        <v>1.96</v>
      </c>
    </row>
    <row r="1523" spans="1:25" x14ac:dyDescent="0.25">
      <c r="A1523">
        <v>2022</v>
      </c>
      <c r="B1523" t="s">
        <v>57</v>
      </c>
      <c r="C1523">
        <v>3</v>
      </c>
      <c r="D1523">
        <v>23</v>
      </c>
      <c r="E1523" t="s">
        <v>159</v>
      </c>
      <c r="F1523" t="s">
        <v>116</v>
      </c>
      <c r="G1523">
        <f t="shared" si="23"/>
        <v>1</v>
      </c>
      <c r="H1523">
        <v>9</v>
      </c>
      <c r="I1523">
        <v>4</v>
      </c>
      <c r="J1523">
        <v>0</v>
      </c>
      <c r="K1523" s="6" t="str">
        <f t="shared" ref="K1523" si="114">"vs "&amp;E1522</f>
        <v>vs Salonika Devils</v>
      </c>
      <c r="L1523" s="6" t="str">
        <f t="shared" ref="L1523" si="115">"vs "&amp;F1522</f>
        <v>vs Fountos</v>
      </c>
      <c r="M1523">
        <v>211</v>
      </c>
      <c r="N1523" s="1">
        <v>0.46300000000000002</v>
      </c>
      <c r="O1523">
        <v>57</v>
      </c>
      <c r="P1523" s="1">
        <v>0.33300000000000002</v>
      </c>
      <c r="Q1523" s="1">
        <v>0.72199999999999998</v>
      </c>
      <c r="R1523">
        <v>562</v>
      </c>
      <c r="S1523">
        <v>58</v>
      </c>
      <c r="T1523">
        <v>204</v>
      </c>
      <c r="U1523">
        <v>118</v>
      </c>
      <c r="V1523">
        <v>45</v>
      </c>
      <c r="W1523">
        <v>24</v>
      </c>
      <c r="X1523">
        <v>68</v>
      </c>
      <c r="Y1523" s="5">
        <v>1.74</v>
      </c>
    </row>
    <row r="1524" spans="1:25" x14ac:dyDescent="0.25">
      <c r="A1524">
        <v>2022</v>
      </c>
      <c r="B1524" t="s">
        <v>57</v>
      </c>
      <c r="C1524">
        <v>3</v>
      </c>
      <c r="D1524">
        <v>24</v>
      </c>
      <c r="E1524" t="s">
        <v>33</v>
      </c>
      <c r="F1524" t="s">
        <v>42</v>
      </c>
      <c r="G1524">
        <f t="shared" si="23"/>
        <v>1</v>
      </c>
      <c r="H1524">
        <v>8</v>
      </c>
      <c r="I1524">
        <v>5</v>
      </c>
      <c r="J1524">
        <v>0</v>
      </c>
      <c r="K1524" s="6" t="str">
        <f t="shared" ref="K1524" si="116">"vs "&amp;E1525</f>
        <v>vs Knights of Ni</v>
      </c>
      <c r="L1524" s="6" t="str">
        <f t="shared" ref="L1524" si="117">"vs "&amp;F1525</f>
        <v>vs Tolios</v>
      </c>
      <c r="M1524">
        <v>146</v>
      </c>
      <c r="N1524" s="1">
        <v>0.44600000000000001</v>
      </c>
      <c r="O1524">
        <v>69</v>
      </c>
      <c r="P1524" s="1">
        <v>0.40400000000000003</v>
      </c>
      <c r="Q1524" s="1">
        <v>0.85099999999999998</v>
      </c>
      <c r="R1524">
        <v>424</v>
      </c>
      <c r="S1524">
        <v>20</v>
      </c>
      <c r="T1524">
        <v>135</v>
      </c>
      <c r="U1524">
        <v>119</v>
      </c>
      <c r="V1524">
        <v>28</v>
      </c>
      <c r="W1524">
        <v>13</v>
      </c>
      <c r="X1524">
        <v>77</v>
      </c>
      <c r="Y1524" s="5">
        <v>1.55</v>
      </c>
    </row>
    <row r="1525" spans="1:25" x14ac:dyDescent="0.25">
      <c r="A1525">
        <v>2022</v>
      </c>
      <c r="B1525" t="s">
        <v>57</v>
      </c>
      <c r="C1525">
        <v>3</v>
      </c>
      <c r="D1525">
        <v>24</v>
      </c>
      <c r="E1525" t="s">
        <v>96</v>
      </c>
      <c r="F1525" t="s">
        <v>102</v>
      </c>
      <c r="G1525">
        <f t="shared" si="23"/>
        <v>0</v>
      </c>
      <c r="H1525">
        <v>5</v>
      </c>
      <c r="I1525">
        <v>8</v>
      </c>
      <c r="J1525">
        <v>0</v>
      </c>
      <c r="K1525" s="6" t="str">
        <f t="shared" ref="K1525" si="118">"vs "&amp;E1524</f>
        <v>vs The Guns</v>
      </c>
      <c r="L1525" s="6" t="str">
        <f t="shared" ref="L1525" si="119">"vs "&amp;F1524</f>
        <v>vs Vasilis</v>
      </c>
      <c r="M1525">
        <v>100</v>
      </c>
      <c r="N1525" s="1">
        <v>0.45900000000000002</v>
      </c>
      <c r="O1525">
        <v>21</v>
      </c>
      <c r="P1525" s="1">
        <v>0.30399999999999999</v>
      </c>
      <c r="Q1525" s="1">
        <v>0.78300000000000003</v>
      </c>
      <c r="R1525">
        <v>268</v>
      </c>
      <c r="S1525">
        <v>47</v>
      </c>
      <c r="T1525">
        <v>85</v>
      </c>
      <c r="U1525">
        <v>69</v>
      </c>
      <c r="V1525">
        <v>17</v>
      </c>
      <c r="W1525">
        <v>15</v>
      </c>
      <c r="X1525">
        <v>27</v>
      </c>
      <c r="Y1525" s="5">
        <v>2.56</v>
      </c>
    </row>
    <row r="1526" spans="1:25" x14ac:dyDescent="0.25">
      <c r="A1526">
        <v>2022</v>
      </c>
      <c r="B1526" t="s">
        <v>57</v>
      </c>
      <c r="C1526">
        <v>3</v>
      </c>
      <c r="D1526">
        <v>25</v>
      </c>
      <c r="E1526" t="s">
        <v>94</v>
      </c>
      <c r="F1526" t="s">
        <v>40</v>
      </c>
      <c r="G1526">
        <f t="shared" si="23"/>
        <v>0</v>
      </c>
      <c r="H1526">
        <v>1</v>
      </c>
      <c r="I1526">
        <v>12</v>
      </c>
      <c r="J1526">
        <v>0</v>
      </c>
      <c r="K1526" s="6" t="str">
        <f t="shared" ref="K1526" si="120">"vs "&amp;E1527</f>
        <v>vs The Bridgeburners</v>
      </c>
      <c r="L1526" s="6" t="str">
        <f t="shared" ref="L1526" si="121">"vs "&amp;F1527</f>
        <v>vs Fanis</v>
      </c>
      <c r="M1526">
        <v>169</v>
      </c>
      <c r="N1526" s="1">
        <v>0.45900000000000002</v>
      </c>
      <c r="O1526">
        <v>46</v>
      </c>
      <c r="P1526" s="1">
        <v>0.317</v>
      </c>
      <c r="Q1526" s="1">
        <v>0.86599999999999999</v>
      </c>
      <c r="R1526">
        <v>442</v>
      </c>
      <c r="S1526">
        <v>37</v>
      </c>
      <c r="T1526">
        <v>102</v>
      </c>
      <c r="U1526">
        <v>94</v>
      </c>
      <c r="V1526">
        <v>36</v>
      </c>
      <c r="W1526">
        <v>15</v>
      </c>
      <c r="X1526">
        <v>61</v>
      </c>
      <c r="Y1526" s="5">
        <v>1.54</v>
      </c>
    </row>
    <row r="1527" spans="1:25" x14ac:dyDescent="0.25">
      <c r="A1527">
        <v>2022</v>
      </c>
      <c r="B1527" t="s">
        <v>57</v>
      </c>
      <c r="C1527">
        <v>3</v>
      </c>
      <c r="D1527">
        <v>25</v>
      </c>
      <c r="E1527" t="s">
        <v>16</v>
      </c>
      <c r="F1527" t="s">
        <v>51</v>
      </c>
      <c r="G1527">
        <f t="shared" si="23"/>
        <v>1</v>
      </c>
      <c r="H1527">
        <v>12</v>
      </c>
      <c r="I1527">
        <v>1</v>
      </c>
      <c r="J1527">
        <v>0</v>
      </c>
      <c r="K1527" s="6" t="str">
        <f t="shared" ref="K1527" si="122">"vs "&amp;E1526</f>
        <v>vs Fighting Thaddeus</v>
      </c>
      <c r="L1527" s="6" t="str">
        <f t="shared" ref="L1527" si="123">"vs "&amp;F1526</f>
        <v>vs Stavros</v>
      </c>
      <c r="M1527">
        <v>189</v>
      </c>
      <c r="N1527" s="1">
        <v>0.50800000000000001</v>
      </c>
      <c r="O1527">
        <v>65</v>
      </c>
      <c r="P1527" s="1">
        <v>0.42499999999999999</v>
      </c>
      <c r="Q1527" s="1">
        <v>0.84199999999999997</v>
      </c>
      <c r="R1527">
        <v>507</v>
      </c>
      <c r="S1527">
        <v>40</v>
      </c>
      <c r="T1527">
        <v>145</v>
      </c>
      <c r="U1527">
        <v>122</v>
      </c>
      <c r="V1527">
        <v>39</v>
      </c>
      <c r="W1527">
        <v>25</v>
      </c>
      <c r="X1527">
        <v>59</v>
      </c>
      <c r="Y1527" s="5">
        <v>2.0699999999999998</v>
      </c>
    </row>
    <row r="1528" spans="1:25" x14ac:dyDescent="0.25">
      <c r="A1528">
        <v>2022</v>
      </c>
      <c r="B1528" t="s">
        <v>57</v>
      </c>
      <c r="C1528">
        <v>3</v>
      </c>
      <c r="D1528">
        <v>26</v>
      </c>
      <c r="E1528" t="s">
        <v>190</v>
      </c>
      <c r="F1528" t="s">
        <v>103</v>
      </c>
      <c r="G1528">
        <f t="shared" si="23"/>
        <v>1</v>
      </c>
      <c r="H1528">
        <v>10</v>
      </c>
      <c r="I1528">
        <v>3</v>
      </c>
      <c r="J1528">
        <v>0</v>
      </c>
      <c r="K1528" s="6" t="str">
        <f t="shared" ref="K1528" si="124">"vs "&amp;E1529</f>
        <v>vs st.Helens Eruptions</v>
      </c>
      <c r="L1528" s="6" t="str">
        <f t="shared" ref="L1528" si="125">"vs "&amp;F1529</f>
        <v>vs Aris</v>
      </c>
      <c r="M1528">
        <v>189</v>
      </c>
      <c r="N1528" s="1">
        <v>0.47</v>
      </c>
      <c r="O1528">
        <v>74</v>
      </c>
      <c r="P1528" s="1">
        <v>0.45400000000000001</v>
      </c>
      <c r="Q1528" s="1">
        <v>0.82499999999999996</v>
      </c>
      <c r="R1528">
        <v>518</v>
      </c>
      <c r="S1528">
        <v>45</v>
      </c>
      <c r="T1528">
        <v>174</v>
      </c>
      <c r="U1528">
        <v>97</v>
      </c>
      <c r="V1528">
        <v>47</v>
      </c>
      <c r="W1528">
        <v>30</v>
      </c>
      <c r="X1528">
        <v>59</v>
      </c>
      <c r="Y1528" s="5">
        <v>1.64</v>
      </c>
    </row>
    <row r="1529" spans="1:25" x14ac:dyDescent="0.25">
      <c r="A1529">
        <v>2022</v>
      </c>
      <c r="B1529" t="s">
        <v>57</v>
      </c>
      <c r="C1529">
        <v>3</v>
      </c>
      <c r="D1529">
        <v>26</v>
      </c>
      <c r="E1529" t="s">
        <v>21</v>
      </c>
      <c r="F1529" t="s">
        <v>50</v>
      </c>
      <c r="G1529">
        <f t="shared" si="23"/>
        <v>0</v>
      </c>
      <c r="H1529">
        <v>3</v>
      </c>
      <c r="I1529">
        <v>10</v>
      </c>
      <c r="J1529">
        <v>0</v>
      </c>
      <c r="K1529" s="6" t="str">
        <f t="shared" ref="K1529" si="126">"vs "&amp;E1528</f>
        <v>vs Karafli SaiTa</v>
      </c>
      <c r="L1529" s="6" t="str">
        <f t="shared" ref="L1529" si="127">"vs "&amp;F1528</f>
        <v>vs Tassos</v>
      </c>
      <c r="M1529">
        <v>163</v>
      </c>
      <c r="N1529" s="1">
        <v>0.48499999999999999</v>
      </c>
      <c r="O1529">
        <v>55</v>
      </c>
      <c r="P1529" s="1">
        <v>0.39300000000000002</v>
      </c>
      <c r="Q1529" s="1">
        <v>0.81799999999999995</v>
      </c>
      <c r="R1529">
        <v>444</v>
      </c>
      <c r="S1529">
        <v>38</v>
      </c>
      <c r="T1529">
        <v>135</v>
      </c>
      <c r="U1529">
        <v>90</v>
      </c>
      <c r="V1529">
        <v>22</v>
      </c>
      <c r="W1529">
        <v>25</v>
      </c>
      <c r="X1529">
        <v>46</v>
      </c>
      <c r="Y1529" s="5">
        <v>1.96</v>
      </c>
    </row>
    <row r="1530" spans="1:25" x14ac:dyDescent="0.25">
      <c r="A1530">
        <v>2022</v>
      </c>
      <c r="B1530" t="s">
        <v>57</v>
      </c>
      <c r="C1530">
        <v>3</v>
      </c>
      <c r="D1530">
        <v>27</v>
      </c>
      <c r="E1530" t="s">
        <v>97</v>
      </c>
      <c r="F1530" t="s">
        <v>54</v>
      </c>
      <c r="G1530">
        <f t="shared" si="23"/>
        <v>1</v>
      </c>
      <c r="H1530">
        <v>9</v>
      </c>
      <c r="I1530">
        <v>4</v>
      </c>
      <c r="J1530">
        <v>0</v>
      </c>
      <c r="K1530" s="6" t="str">
        <f t="shared" ref="K1530" si="128">"vs "&amp;E1531</f>
        <v>vs Pachiana NinjaBees</v>
      </c>
      <c r="L1530" s="6" t="str">
        <f t="shared" ref="L1530" si="129">"vs "&amp;F1531</f>
        <v>vs Spiridaus/Oladipas</v>
      </c>
      <c r="M1530">
        <v>214</v>
      </c>
      <c r="N1530" s="1">
        <v>0.495</v>
      </c>
      <c r="O1530">
        <v>48</v>
      </c>
      <c r="P1530" s="1">
        <v>0.34300000000000003</v>
      </c>
      <c r="Q1530" s="1">
        <v>0.77500000000000002</v>
      </c>
      <c r="R1530">
        <v>617</v>
      </c>
      <c r="S1530">
        <v>35</v>
      </c>
      <c r="T1530">
        <v>184</v>
      </c>
      <c r="U1530">
        <v>141</v>
      </c>
      <c r="V1530">
        <v>32</v>
      </c>
      <c r="W1530">
        <v>24</v>
      </c>
      <c r="X1530">
        <v>96</v>
      </c>
      <c r="Y1530" s="5">
        <v>1.47</v>
      </c>
    </row>
    <row r="1531" spans="1:25" x14ac:dyDescent="0.25">
      <c r="A1531">
        <v>2022</v>
      </c>
      <c r="B1531" t="s">
        <v>57</v>
      </c>
      <c r="C1531">
        <v>3</v>
      </c>
      <c r="D1531">
        <v>27</v>
      </c>
      <c r="E1531" t="s">
        <v>23</v>
      </c>
      <c r="F1531" t="s">
        <v>120</v>
      </c>
      <c r="G1531">
        <f t="shared" si="23"/>
        <v>0</v>
      </c>
      <c r="H1531">
        <v>4</v>
      </c>
      <c r="I1531">
        <v>9</v>
      </c>
      <c r="J1531">
        <v>0</v>
      </c>
      <c r="K1531" s="6" t="str">
        <f t="shared" ref="K1531" si="130">"vs "&amp;E1530</f>
        <v>vs Underdogs</v>
      </c>
      <c r="L1531" s="6" t="str">
        <f t="shared" ref="L1531" si="131">"vs "&amp;F1530</f>
        <v>vs Nonis</v>
      </c>
      <c r="M1531">
        <v>168</v>
      </c>
      <c r="N1531" s="1">
        <v>0.42699999999999999</v>
      </c>
      <c r="O1531">
        <v>42</v>
      </c>
      <c r="P1531" s="1">
        <v>0.316</v>
      </c>
      <c r="Q1531" s="1">
        <v>0.75700000000000001</v>
      </c>
      <c r="R1531">
        <v>456</v>
      </c>
      <c r="S1531">
        <v>60</v>
      </c>
      <c r="T1531">
        <v>177</v>
      </c>
      <c r="U1531">
        <v>76</v>
      </c>
      <c r="V1531">
        <v>36</v>
      </c>
      <c r="W1531">
        <v>26</v>
      </c>
      <c r="X1531">
        <v>69</v>
      </c>
      <c r="Y1531" s="5">
        <v>1.1000000000000001</v>
      </c>
    </row>
    <row r="1532" spans="1:25" x14ac:dyDescent="0.25">
      <c r="A1532">
        <v>2022</v>
      </c>
      <c r="B1532" t="s">
        <v>57</v>
      </c>
      <c r="C1532">
        <v>3</v>
      </c>
      <c r="D1532">
        <v>28</v>
      </c>
      <c r="E1532" t="s">
        <v>26</v>
      </c>
      <c r="F1532" t="s">
        <v>118</v>
      </c>
      <c r="G1532">
        <f t="shared" si="23"/>
        <v>1</v>
      </c>
      <c r="H1532">
        <v>9</v>
      </c>
      <c r="I1532">
        <v>4</v>
      </c>
      <c r="J1532">
        <v>0</v>
      </c>
      <c r="K1532" s="6" t="str">
        <f t="shared" ref="K1532" si="132">"vs "&amp;E1533</f>
        <v>vs The Bad Boys</v>
      </c>
      <c r="L1532" s="6" t="str">
        <f t="shared" ref="L1532" si="133">"vs "&amp;F1533</f>
        <v>vs Arvanitis</v>
      </c>
      <c r="M1532">
        <v>137</v>
      </c>
      <c r="N1532" s="1">
        <v>0.44500000000000001</v>
      </c>
      <c r="O1532">
        <v>41</v>
      </c>
      <c r="P1532" s="1">
        <v>0.32300000000000001</v>
      </c>
      <c r="Q1532" s="1">
        <v>0.78700000000000003</v>
      </c>
      <c r="R1532">
        <v>374</v>
      </c>
      <c r="S1532">
        <v>28</v>
      </c>
      <c r="T1532">
        <v>136</v>
      </c>
      <c r="U1532">
        <v>125</v>
      </c>
      <c r="V1532">
        <v>30</v>
      </c>
      <c r="W1532">
        <v>17</v>
      </c>
      <c r="X1532">
        <v>59</v>
      </c>
      <c r="Y1532" s="5">
        <v>2.12</v>
      </c>
    </row>
    <row r="1533" spans="1:25" x14ac:dyDescent="0.25">
      <c r="A1533">
        <v>2022</v>
      </c>
      <c r="B1533" t="s">
        <v>57</v>
      </c>
      <c r="C1533">
        <v>3</v>
      </c>
      <c r="D1533">
        <v>28</v>
      </c>
      <c r="E1533" t="s">
        <v>154</v>
      </c>
      <c r="F1533" t="s">
        <v>155</v>
      </c>
      <c r="G1533">
        <f t="shared" si="23"/>
        <v>0</v>
      </c>
      <c r="H1533">
        <v>4</v>
      </c>
      <c r="I1533">
        <v>9</v>
      </c>
      <c r="J1533">
        <v>0</v>
      </c>
      <c r="K1533" s="6" t="str">
        <f t="shared" ref="K1533" si="134">"vs "&amp;E1532</f>
        <v>vs Kourayo Vallecano</v>
      </c>
      <c r="L1533" s="6" t="str">
        <f t="shared" ref="L1533" si="135">"vs "&amp;F1532</f>
        <v>vs Ziogas/Christof</v>
      </c>
      <c r="M1533">
        <v>113</v>
      </c>
      <c r="N1533" s="1">
        <v>0.436</v>
      </c>
      <c r="O1533">
        <v>37</v>
      </c>
      <c r="P1533" s="1">
        <v>0.33600000000000002</v>
      </c>
      <c r="Q1533" s="1">
        <v>0.77100000000000002</v>
      </c>
      <c r="R1533">
        <v>300</v>
      </c>
      <c r="S1533">
        <v>27</v>
      </c>
      <c r="T1533">
        <v>120</v>
      </c>
      <c r="U1533">
        <v>69</v>
      </c>
      <c r="V1533">
        <v>31</v>
      </c>
      <c r="W1533">
        <v>21</v>
      </c>
      <c r="X1533">
        <v>37</v>
      </c>
      <c r="Y1533" s="5">
        <v>1.86</v>
      </c>
    </row>
    <row r="1534" spans="1:25" x14ac:dyDescent="0.25">
      <c r="A1534">
        <v>2022</v>
      </c>
      <c r="B1534" t="s">
        <v>57</v>
      </c>
      <c r="C1534">
        <v>3</v>
      </c>
      <c r="D1534">
        <v>29</v>
      </c>
      <c r="E1534" t="s">
        <v>93</v>
      </c>
      <c r="F1534" t="s">
        <v>189</v>
      </c>
      <c r="G1534">
        <f t="shared" si="23"/>
        <v>0</v>
      </c>
      <c r="H1534">
        <v>3</v>
      </c>
      <c r="I1534">
        <v>10</v>
      </c>
      <c r="J1534">
        <v>0</v>
      </c>
      <c r="K1534" s="6" t="str">
        <f t="shared" ref="K1534" si="136">"vs "&amp;E1535</f>
        <v>vs Tsarlatans</v>
      </c>
      <c r="L1534" s="6" t="str">
        <f t="shared" ref="L1534" si="137">"vs "&amp;F1535</f>
        <v>vs Tzokos</v>
      </c>
      <c r="M1534">
        <v>177</v>
      </c>
      <c r="N1534" s="1">
        <v>0.45</v>
      </c>
      <c r="O1534">
        <v>52</v>
      </c>
      <c r="P1534" s="1">
        <v>0.30099999999999999</v>
      </c>
      <c r="Q1534" s="1">
        <v>0.79500000000000004</v>
      </c>
      <c r="R1534">
        <v>495</v>
      </c>
      <c r="S1534">
        <v>35</v>
      </c>
      <c r="T1534">
        <v>149</v>
      </c>
      <c r="U1534">
        <v>112</v>
      </c>
      <c r="V1534">
        <v>27</v>
      </c>
      <c r="W1534">
        <v>15</v>
      </c>
      <c r="X1534">
        <v>59</v>
      </c>
      <c r="Y1534" s="5">
        <v>1.9</v>
      </c>
    </row>
    <row r="1535" spans="1:25" x14ac:dyDescent="0.25">
      <c r="A1535">
        <v>2022</v>
      </c>
      <c r="B1535" t="s">
        <v>57</v>
      </c>
      <c r="C1535">
        <v>3</v>
      </c>
      <c r="D1535">
        <v>29</v>
      </c>
      <c r="E1535" t="s">
        <v>99</v>
      </c>
      <c r="F1535" t="s">
        <v>45</v>
      </c>
      <c r="G1535">
        <f t="shared" si="23"/>
        <v>1</v>
      </c>
      <c r="H1535">
        <v>10</v>
      </c>
      <c r="I1535">
        <v>3</v>
      </c>
      <c r="J1535">
        <v>0</v>
      </c>
      <c r="K1535" s="6" t="str">
        <f t="shared" ref="K1535" si="138">"vs "&amp;E1534</f>
        <v>vs Guruuu 🐐🐐🐐</v>
      </c>
      <c r="L1535" s="6" t="str">
        <f t="shared" ref="L1535" si="139">"vs "&amp;F1534</f>
        <v>vs Guru</v>
      </c>
      <c r="M1535">
        <v>201</v>
      </c>
      <c r="N1535" s="1">
        <v>0.47299999999999998</v>
      </c>
      <c r="O1535">
        <v>63</v>
      </c>
      <c r="P1535" s="1">
        <v>0.38200000000000001</v>
      </c>
      <c r="Q1535" s="1">
        <v>0.78500000000000003</v>
      </c>
      <c r="R1535">
        <v>549</v>
      </c>
      <c r="S1535">
        <v>47</v>
      </c>
      <c r="T1535">
        <v>187</v>
      </c>
      <c r="U1535">
        <v>113</v>
      </c>
      <c r="V1535">
        <v>35</v>
      </c>
      <c r="W1535">
        <v>21</v>
      </c>
      <c r="X1535">
        <v>69</v>
      </c>
      <c r="Y1535" s="5">
        <v>1.64</v>
      </c>
    </row>
    <row r="1536" spans="1:25" x14ac:dyDescent="0.25">
      <c r="A1536">
        <v>2022</v>
      </c>
      <c r="B1536" t="s">
        <v>57</v>
      </c>
      <c r="C1536">
        <v>3</v>
      </c>
      <c r="D1536">
        <v>30</v>
      </c>
      <c r="E1536" t="s">
        <v>98</v>
      </c>
      <c r="F1536" t="s">
        <v>41</v>
      </c>
      <c r="G1536">
        <f t="shared" si="23"/>
        <v>1</v>
      </c>
      <c r="H1536">
        <v>7</v>
      </c>
      <c r="I1536">
        <v>5</v>
      </c>
      <c r="J1536">
        <v>1</v>
      </c>
      <c r="K1536" s="6" t="str">
        <f t="shared" ref="K1536" si="140">"vs "&amp;E1537</f>
        <v>vs Samarina Dudenbros</v>
      </c>
      <c r="L1536" s="6" t="str">
        <f t="shared" ref="L1536" si="141">"vs "&amp;F1537</f>
        <v>vs Sakellariou</v>
      </c>
      <c r="M1536">
        <v>148</v>
      </c>
      <c r="N1536" s="1">
        <v>0.45100000000000001</v>
      </c>
      <c r="O1536">
        <v>37</v>
      </c>
      <c r="P1536" s="1">
        <v>0.28000000000000003</v>
      </c>
      <c r="Q1536" s="1">
        <v>0.73499999999999999</v>
      </c>
      <c r="R1536">
        <v>369</v>
      </c>
      <c r="S1536">
        <v>29</v>
      </c>
      <c r="T1536">
        <v>92</v>
      </c>
      <c r="U1536">
        <v>53</v>
      </c>
      <c r="V1536">
        <v>39</v>
      </c>
      <c r="W1536">
        <v>23</v>
      </c>
      <c r="X1536">
        <v>65</v>
      </c>
      <c r="Y1536" s="5">
        <v>0.82</v>
      </c>
    </row>
    <row r="1537" spans="1:25" x14ac:dyDescent="0.25">
      <c r="A1537">
        <v>2022</v>
      </c>
      <c r="B1537" t="s">
        <v>57</v>
      </c>
      <c r="C1537">
        <v>3</v>
      </c>
      <c r="D1537">
        <v>30</v>
      </c>
      <c r="E1537" t="s">
        <v>181</v>
      </c>
      <c r="F1537" t="s">
        <v>49</v>
      </c>
      <c r="G1537">
        <f t="shared" si="23"/>
        <v>0</v>
      </c>
      <c r="H1537">
        <v>5</v>
      </c>
      <c r="I1537">
        <v>7</v>
      </c>
      <c r="J1537">
        <v>1</v>
      </c>
      <c r="K1537" s="6" t="str">
        <f t="shared" ref="K1537" si="142">"vs "&amp;E1536</f>
        <v>vs Xanthi Ducks 🦆</v>
      </c>
      <c r="L1537" s="6" t="str">
        <f t="shared" ref="L1537" si="143">"vs "&amp;F1536</f>
        <v>vs Kotakis</v>
      </c>
      <c r="M1537">
        <v>127</v>
      </c>
      <c r="N1537" s="1">
        <v>0.41199999999999998</v>
      </c>
      <c r="O1537">
        <v>33</v>
      </c>
      <c r="P1537" s="1">
        <v>0.26600000000000001</v>
      </c>
      <c r="Q1537" s="1">
        <v>0.76</v>
      </c>
      <c r="R1537">
        <v>363</v>
      </c>
      <c r="S1537">
        <v>29</v>
      </c>
      <c r="T1537">
        <v>102</v>
      </c>
      <c r="U1537">
        <v>64</v>
      </c>
      <c r="V1537">
        <v>37</v>
      </c>
      <c r="W1537">
        <v>18</v>
      </c>
      <c r="X1537">
        <v>38</v>
      </c>
      <c r="Y1537" s="5">
        <v>1.68</v>
      </c>
    </row>
    <row r="1538" spans="1:25" x14ac:dyDescent="0.25">
      <c r="A1538">
        <v>2022</v>
      </c>
      <c r="B1538" t="s">
        <v>57</v>
      </c>
      <c r="C1538">
        <v>4</v>
      </c>
      <c r="D1538">
        <v>31</v>
      </c>
      <c r="E1538" t="s">
        <v>28</v>
      </c>
      <c r="F1538" t="s">
        <v>46</v>
      </c>
      <c r="G1538">
        <f t="shared" ref="G1538:G1601" si="144">IF(H1538+0.5*J1538&gt;6.5,1,0)</f>
        <v>1</v>
      </c>
      <c r="H1538">
        <v>7</v>
      </c>
      <c r="I1538">
        <v>6</v>
      </c>
      <c r="J1538">
        <v>0</v>
      </c>
      <c r="K1538" s="6" t="str">
        <f t="shared" ref="K1538" si="145">"vs "&amp;E1539</f>
        <v>vs Kourayo Vallecano</v>
      </c>
      <c r="L1538" s="6" t="str">
        <f t="shared" ref="L1538" si="146">"vs "&amp;F1539</f>
        <v>vs Ziogas/Christof</v>
      </c>
      <c r="M1538">
        <v>198</v>
      </c>
      <c r="N1538" s="1">
        <v>0.44800000000000001</v>
      </c>
      <c r="O1538">
        <v>35</v>
      </c>
      <c r="P1538" s="1">
        <v>0.28499999999999998</v>
      </c>
      <c r="Q1538" s="1">
        <v>0.73099999999999998</v>
      </c>
      <c r="R1538">
        <v>499</v>
      </c>
      <c r="S1538">
        <v>43</v>
      </c>
      <c r="T1538">
        <v>158</v>
      </c>
      <c r="U1538">
        <v>129</v>
      </c>
      <c r="V1538">
        <v>66</v>
      </c>
      <c r="W1538">
        <v>18</v>
      </c>
      <c r="X1538">
        <v>54</v>
      </c>
      <c r="Y1538" s="5">
        <v>2.39</v>
      </c>
    </row>
    <row r="1539" spans="1:25" x14ac:dyDescent="0.25">
      <c r="A1539">
        <v>2022</v>
      </c>
      <c r="B1539" t="s">
        <v>57</v>
      </c>
      <c r="C1539">
        <v>4</v>
      </c>
      <c r="D1539">
        <v>31</v>
      </c>
      <c r="E1539" t="s">
        <v>26</v>
      </c>
      <c r="F1539" t="s">
        <v>118</v>
      </c>
      <c r="G1539">
        <f t="shared" si="144"/>
        <v>0</v>
      </c>
      <c r="H1539">
        <v>6</v>
      </c>
      <c r="I1539">
        <v>7</v>
      </c>
      <c r="J1539">
        <v>0</v>
      </c>
      <c r="K1539" s="6" t="str">
        <f t="shared" ref="K1539" si="147">"vs "&amp;E1538</f>
        <v>vs Steven Adams' Moustache</v>
      </c>
      <c r="L1539" s="6" t="str">
        <f t="shared" ref="L1539" si="148">"vs "&amp;F1538</f>
        <v>vs Johnny</v>
      </c>
      <c r="M1539">
        <v>169</v>
      </c>
      <c r="N1539" s="1">
        <v>0.44700000000000001</v>
      </c>
      <c r="O1539">
        <v>55</v>
      </c>
      <c r="P1539" s="1">
        <v>0.35</v>
      </c>
      <c r="Q1539" s="1">
        <v>0.747</v>
      </c>
      <c r="R1539">
        <v>455</v>
      </c>
      <c r="S1539">
        <v>33</v>
      </c>
      <c r="T1539">
        <v>147</v>
      </c>
      <c r="U1539">
        <v>150</v>
      </c>
      <c r="V1539">
        <v>30</v>
      </c>
      <c r="W1539">
        <v>23</v>
      </c>
      <c r="X1539">
        <v>57</v>
      </c>
      <c r="Y1539" s="5">
        <v>2.63</v>
      </c>
    </row>
    <row r="1540" spans="1:25" x14ac:dyDescent="0.25">
      <c r="A1540">
        <v>2022</v>
      </c>
      <c r="B1540" t="s">
        <v>57</v>
      </c>
      <c r="C1540">
        <v>4</v>
      </c>
      <c r="D1540">
        <v>32</v>
      </c>
      <c r="E1540" t="s">
        <v>154</v>
      </c>
      <c r="F1540" t="s">
        <v>155</v>
      </c>
      <c r="G1540">
        <f t="shared" si="144"/>
        <v>0</v>
      </c>
      <c r="H1540">
        <v>3</v>
      </c>
      <c r="I1540">
        <v>10</v>
      </c>
      <c r="J1540">
        <v>0</v>
      </c>
      <c r="K1540" s="6" t="str">
        <f t="shared" ref="K1540" si="149">"vs "&amp;E1541</f>
        <v>vs Samarina Dudenbros</v>
      </c>
      <c r="L1540" s="6" t="str">
        <f t="shared" ref="L1540" si="150">"vs "&amp;F1541</f>
        <v>vs Sakellariou</v>
      </c>
      <c r="M1540">
        <v>108</v>
      </c>
      <c r="N1540" s="1">
        <v>0.45600000000000002</v>
      </c>
      <c r="O1540">
        <v>27</v>
      </c>
      <c r="P1540" s="1">
        <v>0.32100000000000001</v>
      </c>
      <c r="Q1540" s="1">
        <v>0.77800000000000002</v>
      </c>
      <c r="R1540">
        <v>271</v>
      </c>
      <c r="S1540">
        <v>38</v>
      </c>
      <c r="T1540">
        <v>78</v>
      </c>
      <c r="U1540">
        <v>66</v>
      </c>
      <c r="V1540">
        <v>21</v>
      </c>
      <c r="W1540">
        <v>13</v>
      </c>
      <c r="X1540">
        <v>20</v>
      </c>
      <c r="Y1540" s="5">
        <v>3.3</v>
      </c>
    </row>
    <row r="1541" spans="1:25" x14ac:dyDescent="0.25">
      <c r="A1541">
        <v>2022</v>
      </c>
      <c r="B1541" t="s">
        <v>57</v>
      </c>
      <c r="C1541">
        <v>4</v>
      </c>
      <c r="D1541">
        <v>32</v>
      </c>
      <c r="E1541" t="s">
        <v>181</v>
      </c>
      <c r="F1541" t="s">
        <v>49</v>
      </c>
      <c r="G1541">
        <f t="shared" si="144"/>
        <v>1</v>
      </c>
      <c r="H1541">
        <v>10</v>
      </c>
      <c r="I1541">
        <v>3</v>
      </c>
      <c r="J1541">
        <v>0</v>
      </c>
      <c r="K1541" s="6" t="str">
        <f t="shared" ref="K1541" si="151">"vs "&amp;E1540</f>
        <v>vs The Bad Boys</v>
      </c>
      <c r="L1541" s="6" t="str">
        <f t="shared" ref="L1541" si="152">"vs "&amp;F1540</f>
        <v>vs Arvanitis</v>
      </c>
      <c r="M1541">
        <v>168</v>
      </c>
      <c r="N1541" s="1">
        <v>0.43099999999999999</v>
      </c>
      <c r="O1541">
        <v>46</v>
      </c>
      <c r="P1541" s="1">
        <v>0.33600000000000002</v>
      </c>
      <c r="Q1541" s="1">
        <v>0.79300000000000004</v>
      </c>
      <c r="R1541">
        <v>447</v>
      </c>
      <c r="S1541">
        <v>45</v>
      </c>
      <c r="T1541">
        <v>137</v>
      </c>
      <c r="U1541">
        <v>90</v>
      </c>
      <c r="V1541">
        <v>41</v>
      </c>
      <c r="W1541">
        <v>18</v>
      </c>
      <c r="X1541">
        <v>50</v>
      </c>
      <c r="Y1541" s="5">
        <v>1.8</v>
      </c>
    </row>
    <row r="1542" spans="1:25" x14ac:dyDescent="0.25">
      <c r="A1542">
        <v>2022</v>
      </c>
      <c r="B1542" t="s">
        <v>57</v>
      </c>
      <c r="C1542">
        <v>4</v>
      </c>
      <c r="D1542">
        <v>33</v>
      </c>
      <c r="E1542" t="s">
        <v>94</v>
      </c>
      <c r="F1542" t="s">
        <v>40</v>
      </c>
      <c r="G1542">
        <f t="shared" si="144"/>
        <v>1</v>
      </c>
      <c r="H1542">
        <v>7</v>
      </c>
      <c r="I1542">
        <v>6</v>
      </c>
      <c r="J1542">
        <v>0</v>
      </c>
      <c r="K1542" s="6" t="str">
        <f t="shared" ref="K1542" si="153">"vs "&amp;E1543</f>
        <v>vs Salonika Devils</v>
      </c>
      <c r="L1542" s="6" t="str">
        <f t="shared" ref="L1542" si="154">"vs "&amp;F1543</f>
        <v>vs Fountos</v>
      </c>
      <c r="M1542">
        <v>154</v>
      </c>
      <c r="N1542" s="1">
        <v>0.441</v>
      </c>
      <c r="O1542">
        <v>45</v>
      </c>
      <c r="P1542" s="1">
        <v>0.29799999999999999</v>
      </c>
      <c r="Q1542" s="1">
        <v>0.71399999999999997</v>
      </c>
      <c r="R1542">
        <v>398</v>
      </c>
      <c r="S1542">
        <v>28</v>
      </c>
      <c r="T1542">
        <v>115</v>
      </c>
      <c r="U1542">
        <v>88</v>
      </c>
      <c r="V1542">
        <v>36</v>
      </c>
      <c r="W1542">
        <v>20</v>
      </c>
      <c r="X1542">
        <v>53</v>
      </c>
      <c r="Y1542" s="5">
        <v>1.66</v>
      </c>
    </row>
    <row r="1543" spans="1:25" x14ac:dyDescent="0.25">
      <c r="A1543">
        <v>2022</v>
      </c>
      <c r="B1543" t="s">
        <v>57</v>
      </c>
      <c r="C1543">
        <v>4</v>
      </c>
      <c r="D1543">
        <v>33</v>
      </c>
      <c r="E1543" t="s">
        <v>15</v>
      </c>
      <c r="F1543" t="s">
        <v>48</v>
      </c>
      <c r="G1543">
        <f t="shared" si="144"/>
        <v>0</v>
      </c>
      <c r="H1543">
        <v>6</v>
      </c>
      <c r="I1543">
        <v>7</v>
      </c>
      <c r="J1543">
        <v>0</v>
      </c>
      <c r="K1543" s="6" t="str">
        <f t="shared" ref="K1543" si="155">"vs "&amp;E1542</f>
        <v>vs Fighting Thaddeus</v>
      </c>
      <c r="L1543" s="6" t="str">
        <f t="shared" ref="L1543" si="156">"vs "&amp;F1542</f>
        <v>vs Stavros</v>
      </c>
      <c r="M1543">
        <v>145</v>
      </c>
      <c r="N1543" s="1">
        <v>0.46200000000000002</v>
      </c>
      <c r="O1543">
        <v>55</v>
      </c>
      <c r="P1543" s="1">
        <v>0.41399999999999998</v>
      </c>
      <c r="Q1543" s="1">
        <v>0.79600000000000004</v>
      </c>
      <c r="R1543">
        <v>388</v>
      </c>
      <c r="S1543">
        <v>27</v>
      </c>
      <c r="T1543">
        <v>85</v>
      </c>
      <c r="U1543">
        <v>62</v>
      </c>
      <c r="V1543">
        <v>23</v>
      </c>
      <c r="W1543">
        <v>12</v>
      </c>
      <c r="X1543">
        <v>34</v>
      </c>
      <c r="Y1543" s="5">
        <v>1.82</v>
      </c>
    </row>
    <row r="1544" spans="1:25" x14ac:dyDescent="0.25">
      <c r="A1544">
        <v>2022</v>
      </c>
      <c r="B1544" t="s">
        <v>57</v>
      </c>
      <c r="C1544">
        <v>4</v>
      </c>
      <c r="D1544">
        <v>34</v>
      </c>
      <c r="E1544" t="s">
        <v>97</v>
      </c>
      <c r="F1544" t="s">
        <v>54</v>
      </c>
      <c r="G1544">
        <f t="shared" si="144"/>
        <v>0</v>
      </c>
      <c r="H1544">
        <v>4</v>
      </c>
      <c r="I1544">
        <v>9</v>
      </c>
      <c r="J1544">
        <v>0</v>
      </c>
      <c r="K1544" s="6" t="str">
        <f t="shared" ref="K1544" si="157">"vs "&amp;E1545</f>
        <v>vs The Guns</v>
      </c>
      <c r="L1544" s="6" t="str">
        <f t="shared" ref="L1544" si="158">"vs "&amp;F1545</f>
        <v>vs Vasilis</v>
      </c>
      <c r="M1544">
        <v>152</v>
      </c>
      <c r="N1544" s="1">
        <v>0.46899999999999997</v>
      </c>
      <c r="O1544">
        <v>44</v>
      </c>
      <c r="P1544" s="1">
        <v>0.38300000000000001</v>
      </c>
      <c r="Q1544" s="1">
        <v>0.78</v>
      </c>
      <c r="R1544">
        <v>433</v>
      </c>
      <c r="S1544">
        <v>32</v>
      </c>
      <c r="T1544">
        <v>134</v>
      </c>
      <c r="U1544">
        <v>103</v>
      </c>
      <c r="V1544">
        <v>33</v>
      </c>
      <c r="W1544">
        <v>10</v>
      </c>
      <c r="X1544">
        <v>61</v>
      </c>
      <c r="Y1544" s="5">
        <v>1.69</v>
      </c>
    </row>
    <row r="1545" spans="1:25" x14ac:dyDescent="0.25">
      <c r="A1545">
        <v>2022</v>
      </c>
      <c r="B1545" t="s">
        <v>57</v>
      </c>
      <c r="C1545">
        <v>4</v>
      </c>
      <c r="D1545">
        <v>34</v>
      </c>
      <c r="E1545" t="s">
        <v>33</v>
      </c>
      <c r="F1545" t="s">
        <v>42</v>
      </c>
      <c r="G1545">
        <f t="shared" si="144"/>
        <v>1</v>
      </c>
      <c r="H1545">
        <v>9</v>
      </c>
      <c r="I1545">
        <v>4</v>
      </c>
      <c r="J1545">
        <v>0</v>
      </c>
      <c r="K1545" s="6" t="str">
        <f t="shared" ref="K1545" si="159">"vs "&amp;E1544</f>
        <v>vs Underdogs</v>
      </c>
      <c r="L1545" s="6" t="str">
        <f t="shared" ref="L1545" si="160">"vs "&amp;F1544</f>
        <v>vs Nonis</v>
      </c>
      <c r="M1545">
        <v>181</v>
      </c>
      <c r="N1545" s="1">
        <v>0.43099999999999999</v>
      </c>
      <c r="O1545">
        <v>81</v>
      </c>
      <c r="P1545" s="1">
        <v>0.37</v>
      </c>
      <c r="Q1545" s="1">
        <v>0.86299999999999999</v>
      </c>
      <c r="R1545">
        <v>525</v>
      </c>
      <c r="S1545">
        <v>17</v>
      </c>
      <c r="T1545">
        <v>157</v>
      </c>
      <c r="U1545">
        <v>145</v>
      </c>
      <c r="V1545">
        <v>36</v>
      </c>
      <c r="W1545">
        <v>13</v>
      </c>
      <c r="X1545">
        <v>84</v>
      </c>
      <c r="Y1545" s="5">
        <v>1.73</v>
      </c>
    </row>
    <row r="1546" spans="1:25" x14ac:dyDescent="0.25">
      <c r="A1546">
        <v>2022</v>
      </c>
      <c r="B1546" t="s">
        <v>57</v>
      </c>
      <c r="C1546">
        <v>4</v>
      </c>
      <c r="D1546">
        <v>35</v>
      </c>
      <c r="E1546" t="s">
        <v>96</v>
      </c>
      <c r="F1546" t="s">
        <v>102</v>
      </c>
      <c r="G1546">
        <f t="shared" si="144"/>
        <v>0</v>
      </c>
      <c r="H1546">
        <v>6</v>
      </c>
      <c r="I1546">
        <v>6</v>
      </c>
      <c r="J1546">
        <v>1</v>
      </c>
      <c r="K1546" s="6" t="str">
        <f t="shared" ref="K1546" si="161">"vs "&amp;E1547</f>
        <v>vs Xanthi Ducks 🦆</v>
      </c>
      <c r="L1546" s="6" t="str">
        <f t="shared" ref="L1546" si="162">"vs "&amp;F1547</f>
        <v>vs Kotakis</v>
      </c>
      <c r="M1546">
        <v>141</v>
      </c>
      <c r="N1546" s="1">
        <v>0.54700000000000004</v>
      </c>
      <c r="O1546">
        <v>33</v>
      </c>
      <c r="P1546" s="1">
        <v>0.40699999999999997</v>
      </c>
      <c r="Q1546" s="1">
        <v>0.78800000000000003</v>
      </c>
      <c r="R1546">
        <v>367</v>
      </c>
      <c r="S1546">
        <v>48</v>
      </c>
      <c r="T1546">
        <v>88</v>
      </c>
      <c r="U1546">
        <v>60</v>
      </c>
      <c r="V1546">
        <v>11</v>
      </c>
      <c r="W1546">
        <v>15</v>
      </c>
      <c r="X1546">
        <v>60</v>
      </c>
      <c r="Y1546" s="5">
        <v>1</v>
      </c>
    </row>
    <row r="1547" spans="1:25" x14ac:dyDescent="0.25">
      <c r="A1547">
        <v>2022</v>
      </c>
      <c r="B1547" t="s">
        <v>57</v>
      </c>
      <c r="C1547">
        <v>4</v>
      </c>
      <c r="D1547">
        <v>35</v>
      </c>
      <c r="E1547" t="s">
        <v>98</v>
      </c>
      <c r="F1547" t="s">
        <v>41</v>
      </c>
      <c r="G1547">
        <f t="shared" si="144"/>
        <v>0</v>
      </c>
      <c r="H1547">
        <v>6</v>
      </c>
      <c r="I1547">
        <v>6</v>
      </c>
      <c r="J1547">
        <v>1</v>
      </c>
      <c r="K1547" s="6" t="str">
        <f t="shared" ref="K1547" si="163">"vs "&amp;E1546</f>
        <v>vs Knights of Ni</v>
      </c>
      <c r="L1547" s="6" t="str">
        <f t="shared" ref="L1547" si="164">"vs "&amp;F1546</f>
        <v>vs Tolios</v>
      </c>
      <c r="M1547">
        <v>134</v>
      </c>
      <c r="N1547" s="1">
        <v>0.46400000000000002</v>
      </c>
      <c r="O1547">
        <v>58</v>
      </c>
      <c r="P1547" s="1">
        <v>0.40600000000000003</v>
      </c>
      <c r="Q1547" s="1">
        <v>0.82499999999999996</v>
      </c>
      <c r="R1547">
        <v>378</v>
      </c>
      <c r="S1547">
        <v>30</v>
      </c>
      <c r="T1547">
        <v>111</v>
      </c>
      <c r="U1547">
        <v>33</v>
      </c>
      <c r="V1547">
        <v>21</v>
      </c>
      <c r="W1547">
        <v>15</v>
      </c>
      <c r="X1547">
        <v>43</v>
      </c>
      <c r="Y1547" s="5">
        <v>0.77</v>
      </c>
    </row>
    <row r="1548" spans="1:25" x14ac:dyDescent="0.25">
      <c r="A1548">
        <v>2022</v>
      </c>
      <c r="B1548" t="s">
        <v>57</v>
      </c>
      <c r="C1548">
        <v>4</v>
      </c>
      <c r="D1548">
        <v>36</v>
      </c>
      <c r="E1548" t="s">
        <v>159</v>
      </c>
      <c r="F1548" t="s">
        <v>116</v>
      </c>
      <c r="G1548">
        <f t="shared" si="144"/>
        <v>1</v>
      </c>
      <c r="H1548">
        <v>8</v>
      </c>
      <c r="I1548">
        <v>5</v>
      </c>
      <c r="J1548">
        <v>0</v>
      </c>
      <c r="K1548" s="6" t="str">
        <f t="shared" ref="K1548" si="165">"vs "&amp;E1549</f>
        <v>vs Guruuu 🐐🐐🐐</v>
      </c>
      <c r="L1548" s="6" t="str">
        <f t="shared" ref="L1548" si="166">"vs "&amp;F1549</f>
        <v>vs Guru</v>
      </c>
      <c r="M1548">
        <v>199</v>
      </c>
      <c r="N1548" s="1">
        <v>0.46100000000000002</v>
      </c>
      <c r="O1548">
        <v>54</v>
      </c>
      <c r="P1548" s="1">
        <v>0.34599999999999997</v>
      </c>
      <c r="Q1548" s="1">
        <v>0.77200000000000002</v>
      </c>
      <c r="R1548">
        <v>523</v>
      </c>
      <c r="S1548">
        <v>43</v>
      </c>
      <c r="T1548">
        <v>189</v>
      </c>
      <c r="U1548">
        <v>133</v>
      </c>
      <c r="V1548">
        <v>24</v>
      </c>
      <c r="W1548">
        <v>11</v>
      </c>
      <c r="X1548">
        <v>65</v>
      </c>
      <c r="Y1548" s="5">
        <v>2.0499999999999998</v>
      </c>
    </row>
    <row r="1549" spans="1:25" x14ac:dyDescent="0.25">
      <c r="A1549">
        <v>2022</v>
      </c>
      <c r="B1549" t="s">
        <v>57</v>
      </c>
      <c r="C1549">
        <v>4</v>
      </c>
      <c r="D1549">
        <v>36</v>
      </c>
      <c r="E1549" t="s">
        <v>93</v>
      </c>
      <c r="F1549" t="s">
        <v>189</v>
      </c>
      <c r="G1549">
        <f t="shared" si="144"/>
        <v>0</v>
      </c>
      <c r="H1549">
        <v>5</v>
      </c>
      <c r="I1549">
        <v>8</v>
      </c>
      <c r="J1549">
        <v>0</v>
      </c>
      <c r="K1549" s="6" t="str">
        <f t="shared" ref="K1549" si="167">"vs "&amp;E1548</f>
        <v>vs purple fuzzy apache pirates</v>
      </c>
      <c r="L1549" s="6" t="str">
        <f t="shared" ref="L1549" si="168">"vs "&amp;F1548</f>
        <v>vs pi/Sotiris</v>
      </c>
      <c r="M1549">
        <v>171</v>
      </c>
      <c r="N1549" s="1">
        <v>0.496</v>
      </c>
      <c r="O1549">
        <v>37</v>
      </c>
      <c r="P1549" s="1">
        <v>0.308</v>
      </c>
      <c r="Q1549" s="1">
        <v>0.82</v>
      </c>
      <c r="R1549">
        <v>452</v>
      </c>
      <c r="S1549">
        <v>36</v>
      </c>
      <c r="T1549">
        <v>155</v>
      </c>
      <c r="U1549">
        <v>100</v>
      </c>
      <c r="V1549">
        <v>16</v>
      </c>
      <c r="W1549">
        <v>20</v>
      </c>
      <c r="X1549">
        <v>47</v>
      </c>
      <c r="Y1549" s="5">
        <v>2.13</v>
      </c>
    </row>
    <row r="1550" spans="1:25" x14ac:dyDescent="0.25">
      <c r="A1550">
        <v>2022</v>
      </c>
      <c r="B1550" t="s">
        <v>57</v>
      </c>
      <c r="C1550">
        <v>4</v>
      </c>
      <c r="D1550">
        <v>37</v>
      </c>
      <c r="E1550" t="s">
        <v>23</v>
      </c>
      <c r="F1550" t="s">
        <v>120</v>
      </c>
      <c r="G1550">
        <f t="shared" si="144"/>
        <v>0</v>
      </c>
      <c r="H1550">
        <v>4</v>
      </c>
      <c r="I1550">
        <v>9</v>
      </c>
      <c r="J1550">
        <v>0</v>
      </c>
      <c r="K1550" s="6" t="str">
        <f t="shared" ref="K1550" si="169">"vs "&amp;E1551</f>
        <v>vs Baltimore Hercules</v>
      </c>
      <c r="L1550" s="6" t="str">
        <f t="shared" ref="L1550" si="170">"vs "&amp;F1551</f>
        <v>vs Sarantos</v>
      </c>
      <c r="M1550">
        <v>156</v>
      </c>
      <c r="N1550" s="1">
        <v>0.44600000000000001</v>
      </c>
      <c r="O1550">
        <v>44</v>
      </c>
      <c r="P1550" s="1">
        <v>0.35199999999999998</v>
      </c>
      <c r="Q1550" s="1">
        <v>0.68400000000000005</v>
      </c>
      <c r="R1550">
        <v>408</v>
      </c>
      <c r="S1550">
        <v>44</v>
      </c>
      <c r="T1550">
        <v>137</v>
      </c>
      <c r="U1550">
        <v>104</v>
      </c>
      <c r="V1550">
        <v>34</v>
      </c>
      <c r="W1550">
        <v>12</v>
      </c>
      <c r="X1550">
        <v>73</v>
      </c>
      <c r="Y1550" s="5">
        <v>1.42</v>
      </c>
    </row>
    <row r="1551" spans="1:25" x14ac:dyDescent="0.25">
      <c r="A1551">
        <v>2022</v>
      </c>
      <c r="B1551" t="s">
        <v>57</v>
      </c>
      <c r="C1551">
        <v>4</v>
      </c>
      <c r="D1551">
        <v>37</v>
      </c>
      <c r="E1551" t="s">
        <v>95</v>
      </c>
      <c r="F1551" t="s">
        <v>101</v>
      </c>
      <c r="G1551">
        <f t="shared" si="144"/>
        <v>1</v>
      </c>
      <c r="H1551">
        <v>9</v>
      </c>
      <c r="I1551">
        <v>4</v>
      </c>
      <c r="J1551">
        <v>0</v>
      </c>
      <c r="K1551" s="6" t="str">
        <f t="shared" ref="K1551" si="171">"vs "&amp;E1550</f>
        <v>vs Pachiana NinjaBees</v>
      </c>
      <c r="L1551" s="6" t="str">
        <f t="shared" ref="L1551" si="172">"vs "&amp;F1550</f>
        <v>vs Spiridaus/Oladipas</v>
      </c>
      <c r="M1551">
        <v>185</v>
      </c>
      <c r="N1551" s="1">
        <v>0.45700000000000002</v>
      </c>
      <c r="O1551">
        <v>54</v>
      </c>
      <c r="P1551" s="1">
        <v>0.32</v>
      </c>
      <c r="Q1551" s="1">
        <v>0.76700000000000002</v>
      </c>
      <c r="R1551">
        <v>503</v>
      </c>
      <c r="S1551">
        <v>37</v>
      </c>
      <c r="T1551">
        <v>125</v>
      </c>
      <c r="U1551">
        <v>95</v>
      </c>
      <c r="V1551">
        <v>35</v>
      </c>
      <c r="W1551">
        <v>14</v>
      </c>
      <c r="X1551">
        <v>54</v>
      </c>
      <c r="Y1551" s="5">
        <v>1.76</v>
      </c>
    </row>
    <row r="1552" spans="1:25" x14ac:dyDescent="0.25">
      <c r="A1552">
        <v>2022</v>
      </c>
      <c r="B1552" t="s">
        <v>57</v>
      </c>
      <c r="C1552">
        <v>4</v>
      </c>
      <c r="D1552">
        <v>38</v>
      </c>
      <c r="E1552" t="s">
        <v>17</v>
      </c>
      <c r="F1552" t="s">
        <v>43</v>
      </c>
      <c r="G1552">
        <f t="shared" si="144"/>
        <v>0</v>
      </c>
      <c r="H1552">
        <v>3</v>
      </c>
      <c r="I1552">
        <v>10</v>
      </c>
      <c r="J1552">
        <v>0</v>
      </c>
      <c r="K1552" s="6" t="str">
        <f t="shared" ref="K1552" si="173">"vs "&amp;E1553</f>
        <v>vs Karafli SaiTa</v>
      </c>
      <c r="L1552" s="6" t="str">
        <f t="shared" ref="L1552" si="174">"vs "&amp;F1553</f>
        <v>vs Tassos</v>
      </c>
      <c r="M1552">
        <v>130</v>
      </c>
      <c r="N1552" s="1">
        <v>0.44400000000000001</v>
      </c>
      <c r="O1552">
        <v>28</v>
      </c>
      <c r="P1552" s="1">
        <v>0.28599999999999998</v>
      </c>
      <c r="Q1552" s="1">
        <v>0.85299999999999998</v>
      </c>
      <c r="R1552">
        <v>346</v>
      </c>
      <c r="S1552">
        <v>14</v>
      </c>
      <c r="T1552">
        <v>95</v>
      </c>
      <c r="U1552">
        <v>79</v>
      </c>
      <c r="V1552">
        <v>21</v>
      </c>
      <c r="W1552">
        <v>8</v>
      </c>
      <c r="X1552">
        <v>29</v>
      </c>
      <c r="Y1552" s="5">
        <v>2.72</v>
      </c>
    </row>
    <row r="1553" spans="1:25" x14ac:dyDescent="0.25">
      <c r="A1553">
        <v>2022</v>
      </c>
      <c r="B1553" t="s">
        <v>57</v>
      </c>
      <c r="C1553">
        <v>4</v>
      </c>
      <c r="D1553">
        <v>38</v>
      </c>
      <c r="E1553" t="s">
        <v>190</v>
      </c>
      <c r="F1553" t="s">
        <v>103</v>
      </c>
      <c r="G1553">
        <f t="shared" si="144"/>
        <v>1</v>
      </c>
      <c r="H1553">
        <v>10</v>
      </c>
      <c r="I1553">
        <v>3</v>
      </c>
      <c r="J1553">
        <v>0</v>
      </c>
      <c r="K1553" s="6" t="str">
        <f t="shared" ref="K1553" si="175">"vs "&amp;E1552</f>
        <v>vs Donkey Rolls</v>
      </c>
      <c r="L1553" s="6" t="str">
        <f t="shared" ref="L1553" si="176">"vs "&amp;F1552</f>
        <v>vs Markos</v>
      </c>
      <c r="M1553">
        <v>187</v>
      </c>
      <c r="N1553" s="1">
        <v>0.46400000000000002</v>
      </c>
      <c r="O1553">
        <v>65</v>
      </c>
      <c r="P1553" s="1">
        <v>0.36899999999999999</v>
      </c>
      <c r="Q1553" s="1">
        <v>0.76700000000000002</v>
      </c>
      <c r="R1553">
        <v>495</v>
      </c>
      <c r="S1553">
        <v>43</v>
      </c>
      <c r="T1553">
        <v>146</v>
      </c>
      <c r="U1553">
        <v>80</v>
      </c>
      <c r="V1553">
        <v>38</v>
      </c>
      <c r="W1553">
        <v>33</v>
      </c>
      <c r="X1553">
        <v>57</v>
      </c>
      <c r="Y1553" s="5">
        <v>1.4</v>
      </c>
    </row>
    <row r="1554" spans="1:25" x14ac:dyDescent="0.25">
      <c r="A1554">
        <v>2022</v>
      </c>
      <c r="B1554" t="s">
        <v>57</v>
      </c>
      <c r="C1554">
        <v>4</v>
      </c>
      <c r="D1554">
        <v>39</v>
      </c>
      <c r="E1554" t="s">
        <v>16</v>
      </c>
      <c r="F1554" t="s">
        <v>51</v>
      </c>
      <c r="G1554">
        <f t="shared" si="144"/>
        <v>1</v>
      </c>
      <c r="H1554">
        <v>9</v>
      </c>
      <c r="I1554">
        <v>4</v>
      </c>
      <c r="J1554">
        <v>0</v>
      </c>
      <c r="K1554" s="6" t="str">
        <f t="shared" ref="K1554" si="177">"vs "&amp;E1555</f>
        <v>vs The Rookies</v>
      </c>
      <c r="L1554" s="6" t="str">
        <f t="shared" ref="L1554" si="178">"vs "&amp;F1555</f>
        <v>vs Kousidis</v>
      </c>
      <c r="M1554">
        <v>199</v>
      </c>
      <c r="N1554" s="1">
        <v>0.45300000000000001</v>
      </c>
      <c r="O1554">
        <v>65</v>
      </c>
      <c r="P1554" s="1">
        <v>0.38</v>
      </c>
      <c r="Q1554" s="1">
        <v>0.76900000000000002</v>
      </c>
      <c r="R1554">
        <v>533</v>
      </c>
      <c r="S1554">
        <v>41</v>
      </c>
      <c r="T1554">
        <v>177</v>
      </c>
      <c r="U1554">
        <v>142</v>
      </c>
      <c r="V1554">
        <v>46</v>
      </c>
      <c r="W1554">
        <v>27</v>
      </c>
      <c r="X1554">
        <v>57</v>
      </c>
      <c r="Y1554" s="5">
        <v>2.4900000000000002</v>
      </c>
    </row>
    <row r="1555" spans="1:25" x14ac:dyDescent="0.25">
      <c r="A1555">
        <v>2022</v>
      </c>
      <c r="B1555" t="s">
        <v>57</v>
      </c>
      <c r="C1555">
        <v>4</v>
      </c>
      <c r="D1555">
        <v>39</v>
      </c>
      <c r="E1555" t="s">
        <v>25</v>
      </c>
      <c r="F1555" t="s">
        <v>53</v>
      </c>
      <c r="G1555">
        <f t="shared" si="144"/>
        <v>0</v>
      </c>
      <c r="H1555">
        <v>4</v>
      </c>
      <c r="I1555">
        <v>9</v>
      </c>
      <c r="J1555">
        <v>0</v>
      </c>
      <c r="K1555" s="6" t="str">
        <f t="shared" ref="K1555" si="179">"vs "&amp;E1554</f>
        <v>vs The Bridgeburners</v>
      </c>
      <c r="L1555" s="6" t="str">
        <f t="shared" ref="L1555" si="180">"vs "&amp;F1554</f>
        <v>vs Fanis</v>
      </c>
      <c r="M1555">
        <v>128</v>
      </c>
      <c r="N1555" s="1">
        <v>0.42399999999999999</v>
      </c>
      <c r="O1555">
        <v>48</v>
      </c>
      <c r="P1555" s="1">
        <v>0.432</v>
      </c>
      <c r="Q1555" s="1">
        <v>0.71199999999999997</v>
      </c>
      <c r="R1555">
        <v>341</v>
      </c>
      <c r="S1555">
        <v>43</v>
      </c>
      <c r="T1555">
        <v>148</v>
      </c>
      <c r="U1555">
        <v>61</v>
      </c>
      <c r="V1555">
        <v>22</v>
      </c>
      <c r="W1555">
        <v>29</v>
      </c>
      <c r="X1555">
        <v>36</v>
      </c>
      <c r="Y1555" s="5">
        <v>1.69</v>
      </c>
    </row>
    <row r="1556" spans="1:25" x14ac:dyDescent="0.25">
      <c r="A1556">
        <v>2022</v>
      </c>
      <c r="B1556" t="s">
        <v>57</v>
      </c>
      <c r="C1556">
        <v>4</v>
      </c>
      <c r="D1556">
        <v>40</v>
      </c>
      <c r="E1556" t="s">
        <v>21</v>
      </c>
      <c r="F1556" t="s">
        <v>50</v>
      </c>
      <c r="G1556">
        <f t="shared" si="144"/>
        <v>0</v>
      </c>
      <c r="H1556">
        <v>2</v>
      </c>
      <c r="I1556">
        <v>11</v>
      </c>
      <c r="J1556">
        <v>0</v>
      </c>
      <c r="K1556" s="6" t="str">
        <f t="shared" ref="K1556" si="181">"vs "&amp;E1557</f>
        <v>vs Tsarlatans</v>
      </c>
      <c r="L1556" s="6" t="str">
        <f t="shared" ref="L1556" si="182">"vs "&amp;F1557</f>
        <v>vs Tzokos</v>
      </c>
      <c r="M1556">
        <v>190</v>
      </c>
      <c r="N1556" s="1">
        <v>0.47399999999999998</v>
      </c>
      <c r="O1556">
        <v>56</v>
      </c>
      <c r="P1556" s="1">
        <v>0.36399999999999999</v>
      </c>
      <c r="Q1556" s="1">
        <v>0.79</v>
      </c>
      <c r="R1556">
        <v>534</v>
      </c>
      <c r="S1556">
        <v>53</v>
      </c>
      <c r="T1556">
        <v>145</v>
      </c>
      <c r="U1556">
        <v>129</v>
      </c>
      <c r="V1556">
        <v>28</v>
      </c>
      <c r="W1556">
        <v>34</v>
      </c>
      <c r="X1556">
        <v>82</v>
      </c>
      <c r="Y1556" s="5">
        <v>1.57</v>
      </c>
    </row>
    <row r="1557" spans="1:25" x14ac:dyDescent="0.25">
      <c r="A1557">
        <v>2022</v>
      </c>
      <c r="B1557" t="s">
        <v>57</v>
      </c>
      <c r="C1557">
        <v>4</v>
      </c>
      <c r="D1557">
        <v>40</v>
      </c>
      <c r="E1557" t="s">
        <v>99</v>
      </c>
      <c r="F1557" t="s">
        <v>45</v>
      </c>
      <c r="G1557">
        <f t="shared" si="144"/>
        <v>1</v>
      </c>
      <c r="H1557">
        <v>11</v>
      </c>
      <c r="I1557">
        <v>2</v>
      </c>
      <c r="J1557">
        <v>0</v>
      </c>
      <c r="K1557" s="6" t="str">
        <f t="shared" ref="K1557" si="183">"vs "&amp;E1556</f>
        <v>vs st.Helens Eruptions</v>
      </c>
      <c r="L1557" s="6" t="str">
        <f t="shared" ref="L1557" si="184">"vs "&amp;F1556</f>
        <v>vs Aris</v>
      </c>
      <c r="M1557">
        <v>219</v>
      </c>
      <c r="N1557" s="1">
        <v>0.48199999999999998</v>
      </c>
      <c r="O1557">
        <v>67</v>
      </c>
      <c r="P1557" s="1">
        <v>0.432</v>
      </c>
      <c r="Q1557" s="1">
        <v>0.82099999999999995</v>
      </c>
      <c r="R1557">
        <v>592</v>
      </c>
      <c r="S1557">
        <v>74</v>
      </c>
      <c r="T1557">
        <v>176</v>
      </c>
      <c r="U1557">
        <v>113</v>
      </c>
      <c r="V1557">
        <v>30</v>
      </c>
      <c r="W1557">
        <v>25</v>
      </c>
      <c r="X1557">
        <v>49</v>
      </c>
      <c r="Y1557" s="5">
        <v>2.31</v>
      </c>
    </row>
    <row r="1558" spans="1:25" x14ac:dyDescent="0.25">
      <c r="A1558">
        <v>2022</v>
      </c>
      <c r="B1558" t="s">
        <v>57</v>
      </c>
      <c r="C1558">
        <v>5</v>
      </c>
      <c r="D1558">
        <v>41</v>
      </c>
      <c r="E1558" t="s">
        <v>181</v>
      </c>
      <c r="F1558" t="s">
        <v>49</v>
      </c>
      <c r="G1558">
        <f t="shared" si="144"/>
        <v>1</v>
      </c>
      <c r="H1558">
        <v>11</v>
      </c>
      <c r="I1558">
        <v>2</v>
      </c>
      <c r="J1558">
        <v>0</v>
      </c>
      <c r="K1558" s="6" t="str">
        <f t="shared" ref="K1558" si="185">"vs "&amp;E1559</f>
        <v>vs Steven Adams' Moustache</v>
      </c>
      <c r="L1558" s="6" t="str">
        <f t="shared" ref="L1558" si="186">"vs "&amp;F1559</f>
        <v>vs Johnny</v>
      </c>
      <c r="M1558">
        <v>203</v>
      </c>
      <c r="N1558" s="1">
        <v>0.46800000000000003</v>
      </c>
      <c r="O1558">
        <v>61</v>
      </c>
      <c r="P1558" s="1">
        <v>0.374</v>
      </c>
      <c r="Q1558" s="1">
        <v>0.81699999999999995</v>
      </c>
      <c r="R1558">
        <v>556</v>
      </c>
      <c r="S1558">
        <v>64</v>
      </c>
      <c r="T1558">
        <v>166</v>
      </c>
      <c r="U1558">
        <v>118</v>
      </c>
      <c r="V1558">
        <v>33</v>
      </c>
      <c r="W1558">
        <v>27</v>
      </c>
      <c r="X1558">
        <v>59</v>
      </c>
      <c r="Y1558" s="5">
        <v>2</v>
      </c>
    </row>
    <row r="1559" spans="1:25" x14ac:dyDescent="0.25">
      <c r="A1559">
        <v>2022</v>
      </c>
      <c r="B1559" t="s">
        <v>57</v>
      </c>
      <c r="C1559">
        <v>5</v>
      </c>
      <c r="D1559">
        <v>41</v>
      </c>
      <c r="E1559" t="s">
        <v>28</v>
      </c>
      <c r="F1559" t="s">
        <v>46</v>
      </c>
      <c r="G1559">
        <f t="shared" si="144"/>
        <v>0</v>
      </c>
      <c r="H1559">
        <v>2</v>
      </c>
      <c r="I1559">
        <v>11</v>
      </c>
      <c r="J1559">
        <v>0</v>
      </c>
      <c r="K1559" s="6" t="str">
        <f t="shared" ref="K1559" si="187">"vs "&amp;E1558</f>
        <v>vs Samarina Dudenbros</v>
      </c>
      <c r="L1559" s="6" t="str">
        <f t="shared" ref="L1559" si="188">"vs "&amp;F1558</f>
        <v>vs Sakellariou</v>
      </c>
      <c r="M1559">
        <v>145</v>
      </c>
      <c r="N1559" s="1">
        <v>0.44600000000000001</v>
      </c>
      <c r="O1559">
        <v>39</v>
      </c>
      <c r="P1559" s="1">
        <v>0.33300000000000002</v>
      </c>
      <c r="Q1559" s="1">
        <v>0.79700000000000004</v>
      </c>
      <c r="R1559">
        <v>384</v>
      </c>
      <c r="S1559">
        <v>30</v>
      </c>
      <c r="T1559">
        <v>119</v>
      </c>
      <c r="U1559">
        <v>113</v>
      </c>
      <c r="V1559">
        <v>29</v>
      </c>
      <c r="W1559">
        <v>13</v>
      </c>
      <c r="X1559">
        <v>45</v>
      </c>
      <c r="Y1559" s="5">
        <v>2.5099999999999998</v>
      </c>
    </row>
    <row r="1560" spans="1:25" x14ac:dyDescent="0.25">
      <c r="A1560">
        <v>2022</v>
      </c>
      <c r="B1560" t="s">
        <v>57</v>
      </c>
      <c r="C1560">
        <v>5</v>
      </c>
      <c r="D1560">
        <v>42</v>
      </c>
      <c r="E1560" t="s">
        <v>15</v>
      </c>
      <c r="F1560" t="s">
        <v>48</v>
      </c>
      <c r="G1560">
        <f t="shared" si="144"/>
        <v>0</v>
      </c>
      <c r="H1560">
        <v>5</v>
      </c>
      <c r="I1560">
        <v>8</v>
      </c>
      <c r="J1560">
        <v>0</v>
      </c>
      <c r="K1560" s="6" t="str">
        <f t="shared" ref="K1560" si="189">"vs "&amp;E1561</f>
        <v>vs The Bridgeburners</v>
      </c>
      <c r="L1560" s="6" t="str">
        <f t="shared" ref="L1560" si="190">"vs "&amp;F1561</f>
        <v>vs Fanis</v>
      </c>
      <c r="M1560">
        <v>169</v>
      </c>
      <c r="N1560" s="1">
        <v>0.42399999999999999</v>
      </c>
      <c r="O1560">
        <v>64</v>
      </c>
      <c r="P1560" s="1">
        <v>0.36199999999999999</v>
      </c>
      <c r="Q1560" s="1">
        <v>0.73199999999999998</v>
      </c>
      <c r="R1560">
        <v>454</v>
      </c>
      <c r="S1560">
        <v>24</v>
      </c>
      <c r="T1560">
        <v>145</v>
      </c>
      <c r="U1560">
        <v>111</v>
      </c>
      <c r="V1560">
        <v>20</v>
      </c>
      <c r="W1560">
        <v>20</v>
      </c>
      <c r="X1560">
        <v>59</v>
      </c>
      <c r="Y1560" s="5">
        <v>1.88</v>
      </c>
    </row>
    <row r="1561" spans="1:25" x14ac:dyDescent="0.25">
      <c r="A1561">
        <v>2022</v>
      </c>
      <c r="B1561" t="s">
        <v>57</v>
      </c>
      <c r="C1561">
        <v>5</v>
      </c>
      <c r="D1561">
        <v>42</v>
      </c>
      <c r="E1561" t="s">
        <v>16</v>
      </c>
      <c r="F1561" t="s">
        <v>51</v>
      </c>
      <c r="G1561">
        <f t="shared" si="144"/>
        <v>1</v>
      </c>
      <c r="H1561">
        <v>8</v>
      </c>
      <c r="I1561">
        <v>5</v>
      </c>
      <c r="J1561">
        <v>0</v>
      </c>
      <c r="K1561" s="6" t="str">
        <f t="shared" ref="K1561" si="191">"vs "&amp;E1560</f>
        <v>vs Salonika Devils</v>
      </c>
      <c r="L1561" s="6" t="str">
        <f t="shared" ref="L1561" si="192">"vs "&amp;F1560</f>
        <v>vs Fountos</v>
      </c>
      <c r="M1561">
        <v>155</v>
      </c>
      <c r="N1561" s="1">
        <v>0.47099999999999997</v>
      </c>
      <c r="O1561">
        <v>32</v>
      </c>
      <c r="P1561" s="1">
        <v>0.33300000000000002</v>
      </c>
      <c r="Q1561" s="1">
        <v>0.85899999999999999</v>
      </c>
      <c r="R1561">
        <v>409</v>
      </c>
      <c r="S1561">
        <v>29</v>
      </c>
      <c r="T1561">
        <v>130</v>
      </c>
      <c r="U1561">
        <v>115</v>
      </c>
      <c r="V1561">
        <v>32</v>
      </c>
      <c r="W1561">
        <v>35</v>
      </c>
      <c r="X1561">
        <v>50</v>
      </c>
      <c r="Y1561" s="5">
        <v>2.2999999999999998</v>
      </c>
    </row>
    <row r="1562" spans="1:25" x14ac:dyDescent="0.25">
      <c r="A1562">
        <v>2022</v>
      </c>
      <c r="B1562" t="s">
        <v>57</v>
      </c>
      <c r="C1562">
        <v>5</v>
      </c>
      <c r="D1562">
        <v>43</v>
      </c>
      <c r="E1562" t="s">
        <v>154</v>
      </c>
      <c r="F1562" t="s">
        <v>155</v>
      </c>
      <c r="G1562">
        <f t="shared" si="144"/>
        <v>0</v>
      </c>
      <c r="H1562">
        <v>6</v>
      </c>
      <c r="I1562">
        <v>7</v>
      </c>
      <c r="J1562">
        <v>0</v>
      </c>
      <c r="K1562" s="6" t="str">
        <f t="shared" ref="K1562" si="193">"vs "&amp;E1563</f>
        <v>vs Knights of Ni</v>
      </c>
      <c r="L1562" s="6" t="str">
        <f t="shared" ref="L1562" si="194">"vs "&amp;F1563</f>
        <v>vs Tolios</v>
      </c>
      <c r="M1562">
        <v>102</v>
      </c>
      <c r="N1562" s="1">
        <v>0.43</v>
      </c>
      <c r="O1562">
        <v>28</v>
      </c>
      <c r="P1562" s="1">
        <v>0.28899999999999998</v>
      </c>
      <c r="Q1562" s="1">
        <v>0.72699999999999998</v>
      </c>
      <c r="R1562">
        <v>248</v>
      </c>
      <c r="S1562">
        <v>28</v>
      </c>
      <c r="T1562">
        <v>98</v>
      </c>
      <c r="U1562">
        <v>61</v>
      </c>
      <c r="V1562">
        <v>28</v>
      </c>
      <c r="W1562">
        <v>24</v>
      </c>
      <c r="X1562">
        <v>23</v>
      </c>
      <c r="Y1562" s="5">
        <v>2.65</v>
      </c>
    </row>
    <row r="1563" spans="1:25" x14ac:dyDescent="0.25">
      <c r="A1563">
        <v>2022</v>
      </c>
      <c r="B1563" t="s">
        <v>57</v>
      </c>
      <c r="C1563">
        <v>5</v>
      </c>
      <c r="D1563">
        <v>43</v>
      </c>
      <c r="E1563" t="s">
        <v>96</v>
      </c>
      <c r="F1563" t="s">
        <v>102</v>
      </c>
      <c r="G1563">
        <f t="shared" si="144"/>
        <v>1</v>
      </c>
      <c r="H1563">
        <v>7</v>
      </c>
      <c r="I1563">
        <v>6</v>
      </c>
      <c r="J1563">
        <v>0</v>
      </c>
      <c r="K1563" s="6" t="str">
        <f t="shared" ref="K1563" si="195">"vs "&amp;E1562</f>
        <v>vs The Bad Boys</v>
      </c>
      <c r="L1563" s="6" t="str">
        <f t="shared" ref="L1563" si="196">"vs "&amp;F1562</f>
        <v>vs Arvanitis</v>
      </c>
      <c r="M1563">
        <v>106</v>
      </c>
      <c r="N1563" s="1">
        <v>0.48</v>
      </c>
      <c r="O1563">
        <v>27</v>
      </c>
      <c r="P1563" s="1">
        <v>0.32500000000000001</v>
      </c>
      <c r="Q1563" s="1">
        <v>0.84599999999999997</v>
      </c>
      <c r="R1563">
        <v>272</v>
      </c>
      <c r="S1563">
        <v>33</v>
      </c>
      <c r="T1563">
        <v>81</v>
      </c>
      <c r="U1563">
        <v>63</v>
      </c>
      <c r="V1563">
        <v>20</v>
      </c>
      <c r="W1563">
        <v>12</v>
      </c>
      <c r="X1563">
        <v>35</v>
      </c>
      <c r="Y1563" s="5">
        <v>1.8</v>
      </c>
    </row>
    <row r="1564" spans="1:25" x14ac:dyDescent="0.25">
      <c r="A1564">
        <v>2022</v>
      </c>
      <c r="B1564" t="s">
        <v>57</v>
      </c>
      <c r="C1564">
        <v>5</v>
      </c>
      <c r="D1564">
        <v>44</v>
      </c>
      <c r="E1564" t="s">
        <v>33</v>
      </c>
      <c r="F1564" t="s">
        <v>42</v>
      </c>
      <c r="G1564">
        <f t="shared" si="144"/>
        <v>0</v>
      </c>
      <c r="H1564">
        <v>4</v>
      </c>
      <c r="I1564">
        <v>9</v>
      </c>
      <c r="J1564">
        <v>0</v>
      </c>
      <c r="K1564" s="6" t="str">
        <f t="shared" ref="K1564" si="197">"vs "&amp;E1565</f>
        <v>vs Pachiana NinjaBees</v>
      </c>
      <c r="L1564" s="6" t="str">
        <f t="shared" ref="L1564" si="198">"vs "&amp;F1565</f>
        <v>vs Spiridaus/Oladipas</v>
      </c>
      <c r="M1564">
        <v>167</v>
      </c>
      <c r="N1564" s="1">
        <v>0.4</v>
      </c>
      <c r="O1564">
        <v>64</v>
      </c>
      <c r="P1564" s="1">
        <v>0.30599999999999999</v>
      </c>
      <c r="Q1564" s="1">
        <v>0.83499999999999996</v>
      </c>
      <c r="R1564">
        <v>514</v>
      </c>
      <c r="S1564">
        <v>21</v>
      </c>
      <c r="T1564">
        <v>126</v>
      </c>
      <c r="U1564">
        <v>134</v>
      </c>
      <c r="V1564">
        <v>29</v>
      </c>
      <c r="W1564">
        <v>15</v>
      </c>
      <c r="X1564">
        <v>74</v>
      </c>
      <c r="Y1564" s="5">
        <v>1.81</v>
      </c>
    </row>
    <row r="1565" spans="1:25" x14ac:dyDescent="0.25">
      <c r="A1565">
        <v>2022</v>
      </c>
      <c r="B1565" t="s">
        <v>57</v>
      </c>
      <c r="C1565">
        <v>5</v>
      </c>
      <c r="D1565">
        <v>44</v>
      </c>
      <c r="E1565" t="s">
        <v>23</v>
      </c>
      <c r="F1565" t="s">
        <v>120</v>
      </c>
      <c r="G1565">
        <f t="shared" si="144"/>
        <v>1</v>
      </c>
      <c r="H1565">
        <v>9</v>
      </c>
      <c r="I1565">
        <v>4</v>
      </c>
      <c r="J1565">
        <v>0</v>
      </c>
      <c r="K1565" s="6" t="str">
        <f t="shared" ref="K1565" si="199">"vs "&amp;E1564</f>
        <v>vs The Guns</v>
      </c>
      <c r="L1565" s="6" t="str">
        <f t="shared" ref="L1565" si="200">"vs "&amp;F1564</f>
        <v>vs Vasilis</v>
      </c>
      <c r="M1565">
        <v>218</v>
      </c>
      <c r="N1565" s="1">
        <v>0.495</v>
      </c>
      <c r="O1565">
        <v>52</v>
      </c>
      <c r="P1565" s="1">
        <v>0.35599999999999998</v>
      </c>
      <c r="Q1565" s="1">
        <v>0.79800000000000004</v>
      </c>
      <c r="R1565">
        <v>575</v>
      </c>
      <c r="S1565">
        <v>47</v>
      </c>
      <c r="T1565">
        <v>189</v>
      </c>
      <c r="U1565">
        <v>98</v>
      </c>
      <c r="V1565">
        <v>32</v>
      </c>
      <c r="W1565">
        <v>24</v>
      </c>
      <c r="X1565">
        <v>64</v>
      </c>
      <c r="Y1565" s="5">
        <v>1.53</v>
      </c>
    </row>
    <row r="1566" spans="1:25" x14ac:dyDescent="0.25">
      <c r="A1566">
        <v>2022</v>
      </c>
      <c r="B1566" t="s">
        <v>57</v>
      </c>
      <c r="C1566">
        <v>5</v>
      </c>
      <c r="D1566">
        <v>45</v>
      </c>
      <c r="E1566" t="s">
        <v>190</v>
      </c>
      <c r="F1566" t="s">
        <v>103</v>
      </c>
      <c r="G1566">
        <f t="shared" si="144"/>
        <v>1</v>
      </c>
      <c r="H1566">
        <v>7</v>
      </c>
      <c r="I1566">
        <v>6</v>
      </c>
      <c r="J1566">
        <v>0</v>
      </c>
      <c r="K1566" s="6" t="str">
        <f t="shared" ref="K1566" si="201">"vs "&amp;E1567</f>
        <v>vs The Rookies</v>
      </c>
      <c r="L1566" s="6" t="str">
        <f t="shared" ref="L1566" si="202">"vs "&amp;F1567</f>
        <v>vs Kousidis</v>
      </c>
      <c r="M1566">
        <v>182</v>
      </c>
      <c r="N1566" s="1">
        <v>0.46800000000000003</v>
      </c>
      <c r="O1566">
        <v>61</v>
      </c>
      <c r="P1566" s="1">
        <v>0.377</v>
      </c>
      <c r="Q1566" s="1">
        <v>0.77800000000000002</v>
      </c>
      <c r="R1566">
        <v>502</v>
      </c>
      <c r="S1566">
        <v>35</v>
      </c>
      <c r="T1566">
        <v>138</v>
      </c>
      <c r="U1566">
        <v>85</v>
      </c>
      <c r="V1566">
        <v>41</v>
      </c>
      <c r="W1566">
        <v>24</v>
      </c>
      <c r="X1566">
        <v>67</v>
      </c>
      <c r="Y1566" s="5">
        <v>1.27</v>
      </c>
    </row>
    <row r="1567" spans="1:25" x14ac:dyDescent="0.25">
      <c r="A1567">
        <v>2022</v>
      </c>
      <c r="B1567" t="s">
        <v>57</v>
      </c>
      <c r="C1567">
        <v>5</v>
      </c>
      <c r="D1567">
        <v>45</v>
      </c>
      <c r="E1567" t="s">
        <v>25</v>
      </c>
      <c r="F1567" t="s">
        <v>53</v>
      </c>
      <c r="G1567">
        <f t="shared" si="144"/>
        <v>0</v>
      </c>
      <c r="H1567">
        <v>6</v>
      </c>
      <c r="I1567">
        <v>7</v>
      </c>
      <c r="J1567">
        <v>0</v>
      </c>
      <c r="K1567" s="6" t="str">
        <f t="shared" ref="K1567" si="203">"vs "&amp;E1566</f>
        <v>vs Karafli SaiTa</v>
      </c>
      <c r="L1567" s="6" t="str">
        <f t="shared" ref="L1567" si="204">"vs "&amp;F1566</f>
        <v>vs Tassos</v>
      </c>
      <c r="M1567">
        <v>154</v>
      </c>
      <c r="N1567" s="1">
        <v>0.46800000000000003</v>
      </c>
      <c r="O1567">
        <v>45</v>
      </c>
      <c r="P1567" s="1">
        <v>0.39100000000000001</v>
      </c>
      <c r="Q1567" s="1">
        <v>0.77300000000000002</v>
      </c>
      <c r="R1567">
        <v>404</v>
      </c>
      <c r="S1567">
        <v>43</v>
      </c>
      <c r="T1567">
        <v>134</v>
      </c>
      <c r="U1567">
        <v>91</v>
      </c>
      <c r="V1567">
        <v>17</v>
      </c>
      <c r="W1567">
        <v>16</v>
      </c>
      <c r="X1567">
        <v>41</v>
      </c>
      <c r="Y1567" s="5">
        <v>2.2200000000000002</v>
      </c>
    </row>
    <row r="1568" spans="1:25" x14ac:dyDescent="0.25">
      <c r="A1568">
        <v>2022</v>
      </c>
      <c r="B1568" t="s">
        <v>57</v>
      </c>
      <c r="C1568">
        <v>5</v>
      </c>
      <c r="D1568">
        <v>46</v>
      </c>
      <c r="E1568" t="s">
        <v>26</v>
      </c>
      <c r="F1568" t="s">
        <v>118</v>
      </c>
      <c r="G1568">
        <f t="shared" si="144"/>
        <v>0</v>
      </c>
      <c r="H1568">
        <v>4</v>
      </c>
      <c r="I1568">
        <v>7</v>
      </c>
      <c r="J1568">
        <v>2</v>
      </c>
      <c r="K1568" s="6" t="str">
        <f t="shared" ref="K1568" si="205">"vs "&amp;E1569</f>
        <v>vs Baltimore Hercules</v>
      </c>
      <c r="L1568" s="6" t="str">
        <f t="shared" ref="L1568" si="206">"vs "&amp;F1569</f>
        <v>vs Sarantos</v>
      </c>
      <c r="M1568">
        <v>157</v>
      </c>
      <c r="N1568" s="1">
        <v>0.46400000000000002</v>
      </c>
      <c r="O1568">
        <v>54</v>
      </c>
      <c r="P1568" s="1">
        <v>0.33800000000000002</v>
      </c>
      <c r="Q1568" s="1">
        <v>0.76200000000000001</v>
      </c>
      <c r="R1568">
        <v>416</v>
      </c>
      <c r="S1568">
        <v>30</v>
      </c>
      <c r="T1568">
        <v>139</v>
      </c>
      <c r="U1568">
        <v>123</v>
      </c>
      <c r="V1568">
        <v>31</v>
      </c>
      <c r="W1568">
        <v>10</v>
      </c>
      <c r="X1568">
        <v>68</v>
      </c>
      <c r="Y1568" s="5">
        <v>1.81</v>
      </c>
    </row>
    <row r="1569" spans="1:25" x14ac:dyDescent="0.25">
      <c r="A1569">
        <v>2022</v>
      </c>
      <c r="B1569" t="s">
        <v>57</v>
      </c>
      <c r="C1569">
        <v>5</v>
      </c>
      <c r="D1569">
        <v>46</v>
      </c>
      <c r="E1569" t="s">
        <v>95</v>
      </c>
      <c r="F1569" t="s">
        <v>101</v>
      </c>
      <c r="G1569">
        <f t="shared" si="144"/>
        <v>1</v>
      </c>
      <c r="H1569">
        <v>7</v>
      </c>
      <c r="I1569">
        <v>4</v>
      </c>
      <c r="J1569">
        <v>2</v>
      </c>
      <c r="K1569" s="6" t="str">
        <f t="shared" ref="K1569" si="207">"vs "&amp;E1568</f>
        <v>vs Kourayo Vallecano</v>
      </c>
      <c r="L1569" s="6" t="str">
        <f t="shared" ref="L1569" si="208">"vs "&amp;F1568</f>
        <v>vs Ziogas/Christof</v>
      </c>
      <c r="M1569">
        <v>157</v>
      </c>
      <c r="N1569" s="1">
        <v>0.42099999999999999</v>
      </c>
      <c r="O1569">
        <v>54</v>
      </c>
      <c r="P1569" s="1">
        <v>0.34399999999999997</v>
      </c>
      <c r="Q1569" s="1">
        <v>0.77</v>
      </c>
      <c r="R1569">
        <v>425</v>
      </c>
      <c r="S1569">
        <v>42</v>
      </c>
      <c r="T1569">
        <v>114</v>
      </c>
      <c r="U1569">
        <v>98</v>
      </c>
      <c r="V1569">
        <v>28</v>
      </c>
      <c r="W1569">
        <v>19</v>
      </c>
      <c r="X1569">
        <v>54</v>
      </c>
      <c r="Y1569" s="5">
        <v>1.81</v>
      </c>
    </row>
    <row r="1570" spans="1:25" x14ac:dyDescent="0.25">
      <c r="A1570">
        <v>2022</v>
      </c>
      <c r="B1570" t="s">
        <v>57</v>
      </c>
      <c r="C1570">
        <v>5</v>
      </c>
      <c r="D1570">
        <v>47</v>
      </c>
      <c r="E1570" t="s">
        <v>93</v>
      </c>
      <c r="F1570" t="s">
        <v>189</v>
      </c>
      <c r="G1570">
        <f t="shared" si="144"/>
        <v>1</v>
      </c>
      <c r="H1570">
        <v>10</v>
      </c>
      <c r="I1570">
        <v>2</v>
      </c>
      <c r="J1570">
        <v>1</v>
      </c>
      <c r="K1570" s="6" t="str">
        <f t="shared" ref="K1570" si="209">"vs "&amp;E1571</f>
        <v>vs Fighting Thaddeus</v>
      </c>
      <c r="L1570" s="6" t="str">
        <f t="shared" ref="L1570" si="210">"vs "&amp;F1571</f>
        <v>vs Stavros</v>
      </c>
      <c r="M1570">
        <v>203</v>
      </c>
      <c r="N1570" s="1">
        <v>0.49199999999999999</v>
      </c>
      <c r="O1570">
        <v>58</v>
      </c>
      <c r="P1570" s="1">
        <v>0.377</v>
      </c>
      <c r="Q1570" s="1">
        <v>0.84799999999999998</v>
      </c>
      <c r="R1570">
        <v>553</v>
      </c>
      <c r="S1570">
        <v>43</v>
      </c>
      <c r="T1570">
        <v>145</v>
      </c>
      <c r="U1570">
        <v>119</v>
      </c>
      <c r="V1570">
        <v>25</v>
      </c>
      <c r="W1570">
        <v>26</v>
      </c>
      <c r="X1570">
        <v>48</v>
      </c>
      <c r="Y1570" s="5">
        <v>2.48</v>
      </c>
    </row>
    <row r="1571" spans="1:25" x14ac:dyDescent="0.25">
      <c r="A1571">
        <v>2022</v>
      </c>
      <c r="B1571" t="s">
        <v>57</v>
      </c>
      <c r="C1571">
        <v>5</v>
      </c>
      <c r="D1571">
        <v>47</v>
      </c>
      <c r="E1571" t="s">
        <v>94</v>
      </c>
      <c r="F1571" t="s">
        <v>40</v>
      </c>
      <c r="G1571">
        <f t="shared" si="144"/>
        <v>0</v>
      </c>
      <c r="H1571">
        <v>2</v>
      </c>
      <c r="I1571">
        <v>10</v>
      </c>
      <c r="J1571">
        <v>1</v>
      </c>
      <c r="K1571" s="6" t="str">
        <f t="shared" ref="K1571" si="211">"vs "&amp;E1570</f>
        <v>vs Guruuu 🐐🐐🐐</v>
      </c>
      <c r="L1571" s="6" t="str">
        <f t="shared" ref="L1571" si="212">"vs "&amp;F1570</f>
        <v>vs Guru</v>
      </c>
      <c r="M1571">
        <v>146</v>
      </c>
      <c r="N1571" s="1">
        <v>0.47699999999999998</v>
      </c>
      <c r="O1571">
        <v>53</v>
      </c>
      <c r="P1571" s="1">
        <v>0.40500000000000003</v>
      </c>
      <c r="Q1571" s="1">
        <v>0.76800000000000002</v>
      </c>
      <c r="R1571">
        <v>398</v>
      </c>
      <c r="S1571">
        <v>28</v>
      </c>
      <c r="T1571">
        <v>96</v>
      </c>
      <c r="U1571">
        <v>76</v>
      </c>
      <c r="V1571">
        <v>25</v>
      </c>
      <c r="W1571">
        <v>10</v>
      </c>
      <c r="X1571">
        <v>47</v>
      </c>
      <c r="Y1571" s="5">
        <v>1.62</v>
      </c>
    </row>
    <row r="1572" spans="1:25" x14ac:dyDescent="0.25">
      <c r="A1572">
        <v>2022</v>
      </c>
      <c r="B1572" t="s">
        <v>57</v>
      </c>
      <c r="C1572">
        <v>5</v>
      </c>
      <c r="D1572">
        <v>48</v>
      </c>
      <c r="E1572" t="s">
        <v>98</v>
      </c>
      <c r="F1572" t="s">
        <v>41</v>
      </c>
      <c r="G1572">
        <f t="shared" si="144"/>
        <v>0</v>
      </c>
      <c r="H1572">
        <v>5</v>
      </c>
      <c r="I1572">
        <v>8</v>
      </c>
      <c r="J1572">
        <v>0</v>
      </c>
      <c r="K1572" s="6" t="str">
        <f t="shared" ref="K1572" si="213">"vs "&amp;E1573</f>
        <v>vs Underdogs</v>
      </c>
      <c r="L1572" s="6" t="str">
        <f t="shared" ref="L1572" si="214">"vs "&amp;F1573</f>
        <v>vs Nonis</v>
      </c>
      <c r="M1572">
        <v>124</v>
      </c>
      <c r="N1572" s="1">
        <v>0.42199999999999999</v>
      </c>
      <c r="O1572">
        <v>42</v>
      </c>
      <c r="P1572" s="1">
        <v>0.32600000000000001</v>
      </c>
      <c r="Q1572" s="1">
        <v>0.71099999999999997</v>
      </c>
      <c r="R1572">
        <v>317</v>
      </c>
      <c r="S1572">
        <v>31</v>
      </c>
      <c r="T1572">
        <v>120</v>
      </c>
      <c r="U1572">
        <v>37</v>
      </c>
      <c r="V1572">
        <v>24</v>
      </c>
      <c r="W1572">
        <v>27</v>
      </c>
      <c r="X1572">
        <v>28</v>
      </c>
      <c r="Y1572" s="5">
        <v>1.32</v>
      </c>
    </row>
    <row r="1573" spans="1:25" x14ac:dyDescent="0.25">
      <c r="A1573">
        <v>2022</v>
      </c>
      <c r="B1573" t="s">
        <v>57</v>
      </c>
      <c r="C1573">
        <v>5</v>
      </c>
      <c r="D1573">
        <v>48</v>
      </c>
      <c r="E1573" t="s">
        <v>97</v>
      </c>
      <c r="F1573" t="s">
        <v>54</v>
      </c>
      <c r="G1573">
        <f t="shared" si="144"/>
        <v>1</v>
      </c>
      <c r="H1573">
        <v>8</v>
      </c>
      <c r="I1573">
        <v>5</v>
      </c>
      <c r="J1573">
        <v>0</v>
      </c>
      <c r="K1573" s="6" t="str">
        <f t="shared" ref="K1573" si="215">"vs "&amp;E1572</f>
        <v>vs Xanthi Ducks 🦆</v>
      </c>
      <c r="L1573" s="6" t="str">
        <f t="shared" ref="L1573" si="216">"vs "&amp;F1572</f>
        <v>vs Kotakis</v>
      </c>
      <c r="M1573">
        <v>160</v>
      </c>
      <c r="N1573" s="1">
        <v>0.47099999999999997</v>
      </c>
      <c r="O1573">
        <v>37</v>
      </c>
      <c r="P1573" s="1">
        <v>0.314</v>
      </c>
      <c r="Q1573" s="1">
        <v>0.79200000000000004</v>
      </c>
      <c r="R1573">
        <v>471</v>
      </c>
      <c r="S1573">
        <v>24</v>
      </c>
      <c r="T1573">
        <v>158</v>
      </c>
      <c r="U1573">
        <v>125</v>
      </c>
      <c r="V1573">
        <v>31</v>
      </c>
      <c r="W1573">
        <v>20</v>
      </c>
      <c r="X1573">
        <v>73</v>
      </c>
      <c r="Y1573" s="5">
        <v>1.71</v>
      </c>
    </row>
    <row r="1574" spans="1:25" x14ac:dyDescent="0.25">
      <c r="A1574">
        <v>2022</v>
      </c>
      <c r="B1574" t="s">
        <v>57</v>
      </c>
      <c r="C1574">
        <v>5</v>
      </c>
      <c r="D1574">
        <v>49</v>
      </c>
      <c r="E1574" t="s">
        <v>99</v>
      </c>
      <c r="F1574" t="s">
        <v>45</v>
      </c>
      <c r="G1574">
        <f t="shared" si="144"/>
        <v>1</v>
      </c>
      <c r="H1574">
        <v>10</v>
      </c>
      <c r="I1574">
        <v>3</v>
      </c>
      <c r="J1574">
        <v>0</v>
      </c>
      <c r="K1574" s="6" t="str">
        <f t="shared" ref="K1574" si="217">"vs "&amp;E1575</f>
        <v>vs Donkey Rolls</v>
      </c>
      <c r="L1574" s="6" t="str">
        <f t="shared" ref="L1574" si="218">"vs "&amp;F1575</f>
        <v>vs Markos</v>
      </c>
      <c r="M1574">
        <v>182</v>
      </c>
      <c r="N1574" s="1">
        <v>0.48799999999999999</v>
      </c>
      <c r="O1574">
        <v>48</v>
      </c>
      <c r="P1574" s="1">
        <v>0.36899999999999999</v>
      </c>
      <c r="Q1574" s="1">
        <v>0.72599999999999998</v>
      </c>
      <c r="R1574">
        <v>489</v>
      </c>
      <c r="S1574">
        <v>59</v>
      </c>
      <c r="T1574">
        <v>160</v>
      </c>
      <c r="U1574">
        <v>93</v>
      </c>
      <c r="V1574">
        <v>23</v>
      </c>
      <c r="W1574">
        <v>16</v>
      </c>
      <c r="X1574">
        <v>60</v>
      </c>
      <c r="Y1574" s="5">
        <v>1.55</v>
      </c>
    </row>
    <row r="1575" spans="1:25" x14ac:dyDescent="0.25">
      <c r="A1575">
        <v>2022</v>
      </c>
      <c r="B1575" t="s">
        <v>57</v>
      </c>
      <c r="C1575">
        <v>5</v>
      </c>
      <c r="D1575">
        <v>49</v>
      </c>
      <c r="E1575" t="s">
        <v>17</v>
      </c>
      <c r="F1575" t="s">
        <v>43</v>
      </c>
      <c r="G1575">
        <f t="shared" si="144"/>
        <v>0</v>
      </c>
      <c r="H1575">
        <v>3</v>
      </c>
      <c r="I1575">
        <v>10</v>
      </c>
      <c r="J1575">
        <v>0</v>
      </c>
      <c r="K1575" s="6" t="str">
        <f t="shared" ref="K1575" si="219">"vs "&amp;E1574</f>
        <v>vs Tsarlatans</v>
      </c>
      <c r="L1575" s="6" t="str">
        <f t="shared" ref="L1575" si="220">"vs "&amp;F1574</f>
        <v>vs Tzokos</v>
      </c>
      <c r="M1575">
        <v>112</v>
      </c>
      <c r="N1575" s="1">
        <v>0.44800000000000001</v>
      </c>
      <c r="O1575">
        <v>32</v>
      </c>
      <c r="P1575" s="1">
        <v>0.34399999999999997</v>
      </c>
      <c r="Q1575" s="1">
        <v>0.82099999999999995</v>
      </c>
      <c r="R1575">
        <v>279</v>
      </c>
      <c r="S1575">
        <v>20</v>
      </c>
      <c r="T1575">
        <v>79</v>
      </c>
      <c r="U1575">
        <v>81</v>
      </c>
      <c r="V1575">
        <v>18</v>
      </c>
      <c r="W1575">
        <v>9</v>
      </c>
      <c r="X1575">
        <v>39</v>
      </c>
      <c r="Y1575" s="5">
        <v>2.08</v>
      </c>
    </row>
    <row r="1576" spans="1:25" x14ac:dyDescent="0.25">
      <c r="A1576">
        <v>2022</v>
      </c>
      <c r="B1576" t="s">
        <v>57</v>
      </c>
      <c r="C1576">
        <v>5</v>
      </c>
      <c r="D1576">
        <v>50</v>
      </c>
      <c r="E1576" t="s">
        <v>21</v>
      </c>
      <c r="F1576" t="s">
        <v>50</v>
      </c>
      <c r="G1576">
        <f t="shared" si="144"/>
        <v>1</v>
      </c>
      <c r="H1576">
        <v>7</v>
      </c>
      <c r="I1576">
        <v>6</v>
      </c>
      <c r="J1576">
        <v>0</v>
      </c>
      <c r="K1576" s="6" t="str">
        <f t="shared" ref="K1576" si="221">"vs "&amp;E1577</f>
        <v>vs purple fuzzy apache pirates</v>
      </c>
      <c r="L1576" s="6" t="str">
        <f t="shared" ref="L1576" si="222">"vs "&amp;F1577</f>
        <v>vs pi/Sotiris</v>
      </c>
      <c r="M1576">
        <v>148</v>
      </c>
      <c r="N1576" s="1">
        <v>0.44400000000000001</v>
      </c>
      <c r="O1576">
        <v>52</v>
      </c>
      <c r="P1576" s="1">
        <v>0.36899999999999999</v>
      </c>
      <c r="Q1576" s="1">
        <v>0.81899999999999995</v>
      </c>
      <c r="R1576">
        <v>443</v>
      </c>
      <c r="S1576">
        <v>25</v>
      </c>
      <c r="T1576">
        <v>117</v>
      </c>
      <c r="U1576">
        <v>135</v>
      </c>
      <c r="V1576">
        <v>30</v>
      </c>
      <c r="W1576">
        <v>14</v>
      </c>
      <c r="X1576">
        <v>56</v>
      </c>
      <c r="Y1576" s="5">
        <v>2.41</v>
      </c>
    </row>
    <row r="1577" spans="1:25" x14ac:dyDescent="0.25">
      <c r="A1577">
        <v>2022</v>
      </c>
      <c r="B1577" t="s">
        <v>57</v>
      </c>
      <c r="C1577">
        <v>5</v>
      </c>
      <c r="D1577">
        <v>50</v>
      </c>
      <c r="E1577" t="s">
        <v>159</v>
      </c>
      <c r="F1577" t="s">
        <v>116</v>
      </c>
      <c r="G1577">
        <f t="shared" si="144"/>
        <v>0</v>
      </c>
      <c r="H1577">
        <v>6</v>
      </c>
      <c r="I1577">
        <v>7</v>
      </c>
      <c r="J1577">
        <v>0</v>
      </c>
      <c r="K1577" s="6" t="str">
        <f t="shared" ref="K1577" si="223">"vs "&amp;E1576</f>
        <v>vs st.Helens Eruptions</v>
      </c>
      <c r="L1577" s="6" t="str">
        <f t="shared" ref="L1577" si="224">"vs "&amp;F1576</f>
        <v>vs Aris</v>
      </c>
      <c r="M1577">
        <v>219</v>
      </c>
      <c r="N1577" s="1">
        <v>0.44</v>
      </c>
      <c r="O1577">
        <v>70</v>
      </c>
      <c r="P1577" s="1">
        <v>0.35</v>
      </c>
      <c r="Q1577" s="1">
        <v>0.72699999999999998</v>
      </c>
      <c r="R1577">
        <v>588</v>
      </c>
      <c r="S1577">
        <v>45</v>
      </c>
      <c r="T1577">
        <v>181</v>
      </c>
      <c r="U1577">
        <v>100</v>
      </c>
      <c r="V1577">
        <v>25</v>
      </c>
      <c r="W1577">
        <v>18</v>
      </c>
      <c r="X1577">
        <v>66</v>
      </c>
      <c r="Y1577" s="5">
        <v>1.52</v>
      </c>
    </row>
    <row r="1578" spans="1:25" x14ac:dyDescent="0.25">
      <c r="A1578">
        <v>2022</v>
      </c>
      <c r="B1578" t="s">
        <v>57</v>
      </c>
      <c r="C1578">
        <v>6</v>
      </c>
      <c r="D1578">
        <v>51</v>
      </c>
      <c r="E1578" t="s">
        <v>28</v>
      </c>
      <c r="F1578" t="s">
        <v>46</v>
      </c>
      <c r="G1578">
        <f t="shared" si="144"/>
        <v>1</v>
      </c>
      <c r="H1578">
        <v>10</v>
      </c>
      <c r="I1578">
        <v>3</v>
      </c>
      <c r="J1578">
        <v>0</v>
      </c>
      <c r="K1578" s="6" t="str">
        <f t="shared" ref="K1578" si="225">"vs "&amp;E1579</f>
        <v>vs Knights of Ni</v>
      </c>
      <c r="L1578" s="6" t="str">
        <f t="shared" ref="L1578" si="226">"vs "&amp;F1579</f>
        <v>vs Tolios</v>
      </c>
      <c r="M1578">
        <v>181</v>
      </c>
      <c r="N1578" s="1">
        <v>0.47</v>
      </c>
      <c r="O1578">
        <v>35</v>
      </c>
      <c r="P1578" s="1">
        <v>0.318</v>
      </c>
      <c r="Q1578" s="1">
        <v>0.58499999999999996</v>
      </c>
      <c r="R1578">
        <v>445</v>
      </c>
      <c r="S1578">
        <v>50</v>
      </c>
      <c r="T1578">
        <v>162</v>
      </c>
      <c r="U1578">
        <v>144</v>
      </c>
      <c r="V1578">
        <v>28</v>
      </c>
      <c r="W1578">
        <v>18</v>
      </c>
      <c r="X1578">
        <v>50</v>
      </c>
      <c r="Y1578" s="5">
        <v>2.88</v>
      </c>
    </row>
    <row r="1579" spans="1:25" x14ac:dyDescent="0.25">
      <c r="A1579">
        <v>2022</v>
      </c>
      <c r="B1579" t="s">
        <v>57</v>
      </c>
      <c r="C1579">
        <v>6</v>
      </c>
      <c r="D1579">
        <v>51</v>
      </c>
      <c r="E1579" t="s">
        <v>96</v>
      </c>
      <c r="F1579" t="s">
        <v>102</v>
      </c>
      <c r="G1579">
        <f t="shared" si="144"/>
        <v>0</v>
      </c>
      <c r="H1579">
        <v>3</v>
      </c>
      <c r="I1579">
        <v>10</v>
      </c>
      <c r="J1579">
        <v>0</v>
      </c>
      <c r="K1579" s="6" t="str">
        <f t="shared" ref="K1579" si="227">"vs "&amp;E1578</f>
        <v>vs Steven Adams' Moustache</v>
      </c>
      <c r="L1579" s="6" t="str">
        <f t="shared" ref="L1579" si="228">"vs "&amp;F1578</f>
        <v>vs Johnny</v>
      </c>
      <c r="M1579">
        <v>91</v>
      </c>
      <c r="N1579" s="1">
        <v>0.433</v>
      </c>
      <c r="O1579">
        <v>27</v>
      </c>
      <c r="P1579" s="1">
        <v>0.32100000000000001</v>
      </c>
      <c r="Q1579" s="1">
        <v>0.79600000000000004</v>
      </c>
      <c r="R1579">
        <v>248</v>
      </c>
      <c r="S1579">
        <v>31</v>
      </c>
      <c r="T1579">
        <v>101</v>
      </c>
      <c r="U1579">
        <v>50</v>
      </c>
      <c r="V1579">
        <v>12</v>
      </c>
      <c r="W1579">
        <v>5</v>
      </c>
      <c r="X1579">
        <v>30</v>
      </c>
      <c r="Y1579" s="5">
        <v>1.67</v>
      </c>
    </row>
    <row r="1580" spans="1:25" x14ac:dyDescent="0.25">
      <c r="A1580">
        <v>2022</v>
      </c>
      <c r="B1580" t="s">
        <v>57</v>
      </c>
      <c r="C1580">
        <v>6</v>
      </c>
      <c r="D1580">
        <v>52</v>
      </c>
      <c r="E1580" t="s">
        <v>95</v>
      </c>
      <c r="F1580" t="s">
        <v>101</v>
      </c>
      <c r="G1580">
        <f t="shared" si="144"/>
        <v>0</v>
      </c>
      <c r="H1580">
        <v>2</v>
      </c>
      <c r="I1580">
        <v>10</v>
      </c>
      <c r="J1580">
        <v>1</v>
      </c>
      <c r="K1580" s="6" t="str">
        <f t="shared" ref="K1580" si="229">"vs "&amp;E1581</f>
        <v>vs Samarina Dudenbros</v>
      </c>
      <c r="L1580" s="6" t="str">
        <f t="shared" ref="L1580" si="230">"vs "&amp;F1581</f>
        <v>vs Sakellariou</v>
      </c>
      <c r="M1580">
        <v>137</v>
      </c>
      <c r="N1580" s="1">
        <v>0.41799999999999998</v>
      </c>
      <c r="O1580">
        <v>49</v>
      </c>
      <c r="P1580" s="1">
        <v>0.33300000000000002</v>
      </c>
      <c r="Q1580" s="1">
        <v>0.83299999999999996</v>
      </c>
      <c r="R1580">
        <v>378</v>
      </c>
      <c r="S1580">
        <v>20</v>
      </c>
      <c r="T1580">
        <v>111</v>
      </c>
      <c r="U1580">
        <v>95</v>
      </c>
      <c r="V1580">
        <v>33</v>
      </c>
      <c r="W1580">
        <v>10</v>
      </c>
      <c r="X1580">
        <v>58</v>
      </c>
      <c r="Y1580" s="5">
        <v>1.64</v>
      </c>
    </row>
    <row r="1581" spans="1:25" x14ac:dyDescent="0.25">
      <c r="A1581">
        <v>2022</v>
      </c>
      <c r="B1581" t="s">
        <v>57</v>
      </c>
      <c r="C1581">
        <v>6</v>
      </c>
      <c r="D1581">
        <v>52</v>
      </c>
      <c r="E1581" t="s">
        <v>181</v>
      </c>
      <c r="F1581" t="s">
        <v>49</v>
      </c>
      <c r="G1581">
        <f t="shared" si="144"/>
        <v>1</v>
      </c>
      <c r="H1581">
        <v>10</v>
      </c>
      <c r="I1581">
        <v>2</v>
      </c>
      <c r="J1581">
        <v>1</v>
      </c>
      <c r="K1581" s="6" t="str">
        <f t="shared" ref="K1581" si="231">"vs "&amp;E1580</f>
        <v>vs Baltimore Hercules</v>
      </c>
      <c r="L1581" s="6" t="str">
        <f t="shared" ref="L1581" si="232">"vs "&amp;F1580</f>
        <v>vs Sarantos</v>
      </c>
      <c r="M1581">
        <v>168</v>
      </c>
      <c r="N1581" s="1">
        <v>0.42899999999999999</v>
      </c>
      <c r="O1581">
        <v>49</v>
      </c>
      <c r="P1581" s="1">
        <v>0.32500000000000001</v>
      </c>
      <c r="Q1581" s="1">
        <v>0.75900000000000001</v>
      </c>
      <c r="R1581">
        <v>470</v>
      </c>
      <c r="S1581">
        <v>41</v>
      </c>
      <c r="T1581">
        <v>142</v>
      </c>
      <c r="U1581">
        <v>103</v>
      </c>
      <c r="V1581">
        <v>38</v>
      </c>
      <c r="W1581">
        <v>16</v>
      </c>
      <c r="X1581">
        <v>47</v>
      </c>
      <c r="Y1581" s="5">
        <v>2.19</v>
      </c>
    </row>
    <row r="1582" spans="1:25" x14ac:dyDescent="0.25">
      <c r="A1582">
        <v>2022</v>
      </c>
      <c r="B1582" t="s">
        <v>57</v>
      </c>
      <c r="C1582">
        <v>6</v>
      </c>
      <c r="D1582">
        <v>53</v>
      </c>
      <c r="E1582" t="s">
        <v>25</v>
      </c>
      <c r="F1582" t="s">
        <v>53</v>
      </c>
      <c r="G1582">
        <f t="shared" si="144"/>
        <v>0</v>
      </c>
      <c r="H1582">
        <v>4</v>
      </c>
      <c r="I1582">
        <v>9</v>
      </c>
      <c r="J1582">
        <v>0</v>
      </c>
      <c r="K1582" s="6" t="str">
        <f t="shared" ref="K1582" si="233">"vs "&amp;E1583</f>
        <v>vs Tsarlatans</v>
      </c>
      <c r="L1582" s="6" t="str">
        <f t="shared" ref="L1582" si="234">"vs "&amp;F1583</f>
        <v>vs Tzokos</v>
      </c>
      <c r="M1582">
        <v>149</v>
      </c>
      <c r="N1582" s="1">
        <v>0.46300000000000002</v>
      </c>
      <c r="O1582">
        <v>38</v>
      </c>
      <c r="P1582" s="1">
        <v>0.34200000000000003</v>
      </c>
      <c r="Q1582" s="1">
        <v>0.71399999999999997</v>
      </c>
      <c r="R1582">
        <v>391</v>
      </c>
      <c r="S1582">
        <v>48</v>
      </c>
      <c r="T1582">
        <v>167</v>
      </c>
      <c r="U1582">
        <v>77</v>
      </c>
      <c r="V1582">
        <v>19</v>
      </c>
      <c r="W1582">
        <v>22</v>
      </c>
      <c r="X1582">
        <v>43</v>
      </c>
      <c r="Y1582" s="5">
        <v>1.79</v>
      </c>
    </row>
    <row r="1583" spans="1:25" x14ac:dyDescent="0.25">
      <c r="A1583">
        <v>2022</v>
      </c>
      <c r="B1583" t="s">
        <v>57</v>
      </c>
      <c r="C1583">
        <v>6</v>
      </c>
      <c r="D1583">
        <v>53</v>
      </c>
      <c r="E1583" t="s">
        <v>99</v>
      </c>
      <c r="F1583" t="s">
        <v>45</v>
      </c>
      <c r="G1583">
        <f t="shared" si="144"/>
        <v>1</v>
      </c>
      <c r="H1583">
        <v>9</v>
      </c>
      <c r="I1583">
        <v>4</v>
      </c>
      <c r="J1583">
        <v>0</v>
      </c>
      <c r="K1583" s="6" t="str">
        <f t="shared" ref="K1583" si="235">"vs "&amp;E1582</f>
        <v>vs The Rookies</v>
      </c>
      <c r="L1583" s="6" t="str">
        <f t="shared" ref="L1583" si="236">"vs "&amp;F1582</f>
        <v>vs Kousidis</v>
      </c>
      <c r="M1583">
        <v>191</v>
      </c>
      <c r="N1583" s="1">
        <v>0.48</v>
      </c>
      <c r="O1583">
        <v>55</v>
      </c>
      <c r="P1583" s="1">
        <v>0.377</v>
      </c>
      <c r="Q1583" s="1">
        <v>0.78100000000000003</v>
      </c>
      <c r="R1583">
        <v>526</v>
      </c>
      <c r="S1583">
        <v>68</v>
      </c>
      <c r="T1583">
        <v>162</v>
      </c>
      <c r="U1583">
        <v>90</v>
      </c>
      <c r="V1583">
        <v>30</v>
      </c>
      <c r="W1583">
        <v>17</v>
      </c>
      <c r="X1583">
        <v>62</v>
      </c>
      <c r="Y1583" s="5">
        <v>1.45</v>
      </c>
    </row>
    <row r="1584" spans="1:25" x14ac:dyDescent="0.25">
      <c r="A1584">
        <v>2022</v>
      </c>
      <c r="B1584" t="s">
        <v>57</v>
      </c>
      <c r="C1584">
        <v>6</v>
      </c>
      <c r="D1584">
        <v>54</v>
      </c>
      <c r="E1584" t="s">
        <v>15</v>
      </c>
      <c r="F1584" t="s">
        <v>48</v>
      </c>
      <c r="G1584">
        <f t="shared" si="144"/>
        <v>0</v>
      </c>
      <c r="H1584">
        <v>6</v>
      </c>
      <c r="I1584">
        <v>7</v>
      </c>
      <c r="J1584">
        <v>0</v>
      </c>
      <c r="K1584" s="6" t="str">
        <f t="shared" ref="K1584" si="237">"vs "&amp;E1585</f>
        <v>vs Guruuu 🐐🐐🐐</v>
      </c>
      <c r="L1584" s="6" t="str">
        <f t="shared" ref="L1584" si="238">"vs "&amp;F1585</f>
        <v>vs Guru</v>
      </c>
      <c r="M1584">
        <v>161</v>
      </c>
      <c r="N1584" s="1">
        <v>0.497</v>
      </c>
      <c r="O1584">
        <v>37</v>
      </c>
      <c r="P1584" s="1">
        <v>0.30599999999999999</v>
      </c>
      <c r="Q1584" s="1">
        <v>0.86699999999999999</v>
      </c>
      <c r="R1584">
        <v>437</v>
      </c>
      <c r="S1584">
        <v>42</v>
      </c>
      <c r="T1584">
        <v>161</v>
      </c>
      <c r="U1584">
        <v>80</v>
      </c>
      <c r="V1584">
        <v>26</v>
      </c>
      <c r="W1584">
        <v>18</v>
      </c>
      <c r="X1584">
        <v>56</v>
      </c>
      <c r="Y1584" s="5">
        <v>1.43</v>
      </c>
    </row>
    <row r="1585" spans="1:25" x14ac:dyDescent="0.25">
      <c r="A1585">
        <v>2022</v>
      </c>
      <c r="B1585" t="s">
        <v>57</v>
      </c>
      <c r="C1585">
        <v>6</v>
      </c>
      <c r="D1585">
        <v>54</v>
      </c>
      <c r="E1585" t="s">
        <v>93</v>
      </c>
      <c r="F1585" t="s">
        <v>189</v>
      </c>
      <c r="G1585">
        <f t="shared" si="144"/>
        <v>1</v>
      </c>
      <c r="H1585">
        <v>7</v>
      </c>
      <c r="I1585">
        <v>6</v>
      </c>
      <c r="J1585">
        <v>0</v>
      </c>
      <c r="K1585" s="6" t="str">
        <f t="shared" ref="K1585" si="239">"vs "&amp;E1584</f>
        <v>vs Salonika Devils</v>
      </c>
      <c r="L1585" s="6" t="str">
        <f t="shared" ref="L1585" si="240">"vs "&amp;F1584</f>
        <v>vs Fountos</v>
      </c>
      <c r="M1585">
        <v>154</v>
      </c>
      <c r="N1585" s="1">
        <v>0.45700000000000002</v>
      </c>
      <c r="O1585">
        <v>52</v>
      </c>
      <c r="P1585" s="1">
        <v>0.36099999999999999</v>
      </c>
      <c r="Q1585" s="1">
        <v>0.86499999999999999</v>
      </c>
      <c r="R1585">
        <v>456</v>
      </c>
      <c r="S1585">
        <v>41</v>
      </c>
      <c r="T1585">
        <v>122</v>
      </c>
      <c r="U1585">
        <v>88</v>
      </c>
      <c r="V1585">
        <v>34</v>
      </c>
      <c r="W1585">
        <v>17</v>
      </c>
      <c r="X1585">
        <v>47</v>
      </c>
      <c r="Y1585" s="5">
        <v>1.87</v>
      </c>
    </row>
    <row r="1586" spans="1:25" x14ac:dyDescent="0.25">
      <c r="A1586">
        <v>2022</v>
      </c>
      <c r="B1586" t="s">
        <v>57</v>
      </c>
      <c r="C1586">
        <v>6</v>
      </c>
      <c r="D1586">
        <v>55</v>
      </c>
      <c r="E1586" t="s">
        <v>33</v>
      </c>
      <c r="F1586" t="s">
        <v>42</v>
      </c>
      <c r="G1586">
        <f t="shared" si="144"/>
        <v>1</v>
      </c>
      <c r="H1586">
        <v>9</v>
      </c>
      <c r="I1586">
        <v>4</v>
      </c>
      <c r="J1586">
        <v>0</v>
      </c>
      <c r="K1586" s="6" t="str">
        <f t="shared" ref="K1586" si="241">"vs "&amp;E1587</f>
        <v>vs Xanthi Ducks 🦆</v>
      </c>
      <c r="L1586" s="6" t="str">
        <f t="shared" ref="L1586" si="242">"vs "&amp;F1587</f>
        <v>vs Kotakis</v>
      </c>
      <c r="M1586">
        <v>151</v>
      </c>
      <c r="N1586" s="1">
        <v>0.40899999999999997</v>
      </c>
      <c r="O1586">
        <v>63</v>
      </c>
      <c r="P1586" s="1">
        <v>0.34100000000000003</v>
      </c>
      <c r="Q1586" s="1">
        <v>0.871</v>
      </c>
      <c r="R1586">
        <v>446</v>
      </c>
      <c r="S1586">
        <v>20</v>
      </c>
      <c r="T1586">
        <v>136</v>
      </c>
      <c r="U1586">
        <v>131</v>
      </c>
      <c r="V1586">
        <v>28</v>
      </c>
      <c r="W1586">
        <v>18</v>
      </c>
      <c r="X1586">
        <v>67</v>
      </c>
      <c r="Y1586" s="5">
        <v>1.96</v>
      </c>
    </row>
    <row r="1587" spans="1:25" x14ac:dyDescent="0.25">
      <c r="A1587">
        <v>2022</v>
      </c>
      <c r="B1587" t="s">
        <v>57</v>
      </c>
      <c r="C1587">
        <v>6</v>
      </c>
      <c r="D1587">
        <v>55</v>
      </c>
      <c r="E1587" t="s">
        <v>98</v>
      </c>
      <c r="F1587" t="s">
        <v>41</v>
      </c>
      <c r="G1587">
        <f t="shared" si="144"/>
        <v>0</v>
      </c>
      <c r="H1587">
        <v>4</v>
      </c>
      <c r="I1587">
        <v>9</v>
      </c>
      <c r="J1587">
        <v>0</v>
      </c>
      <c r="K1587" s="6" t="str">
        <f t="shared" ref="K1587" si="243">"vs "&amp;E1586</f>
        <v>vs The Guns</v>
      </c>
      <c r="L1587" s="6" t="str">
        <f t="shared" ref="L1587" si="244">"vs "&amp;F1586</f>
        <v>vs Vasilis</v>
      </c>
      <c r="M1587">
        <v>91</v>
      </c>
      <c r="N1587" s="1">
        <v>0.41899999999999998</v>
      </c>
      <c r="O1587">
        <v>32</v>
      </c>
      <c r="P1587" s="1">
        <v>0.33700000000000002</v>
      </c>
      <c r="Q1587" s="1">
        <v>0.79600000000000004</v>
      </c>
      <c r="R1587">
        <v>253</v>
      </c>
      <c r="S1587">
        <v>25</v>
      </c>
      <c r="T1587">
        <v>76</v>
      </c>
      <c r="U1587">
        <v>33</v>
      </c>
      <c r="V1587">
        <v>25</v>
      </c>
      <c r="W1587">
        <v>17</v>
      </c>
      <c r="X1587">
        <v>13</v>
      </c>
      <c r="Y1587" s="5">
        <v>2.54</v>
      </c>
    </row>
    <row r="1588" spans="1:25" x14ac:dyDescent="0.25">
      <c r="A1588">
        <v>2022</v>
      </c>
      <c r="B1588" t="s">
        <v>57</v>
      </c>
      <c r="C1588">
        <v>6</v>
      </c>
      <c r="D1588">
        <v>56</v>
      </c>
      <c r="E1588" t="s">
        <v>94</v>
      </c>
      <c r="F1588" t="s">
        <v>40</v>
      </c>
      <c r="G1588">
        <f t="shared" si="144"/>
        <v>0</v>
      </c>
      <c r="H1588">
        <v>1</v>
      </c>
      <c r="I1588">
        <v>12</v>
      </c>
      <c r="J1588">
        <v>0</v>
      </c>
      <c r="K1588" s="6" t="str">
        <f t="shared" ref="K1588" si="245">"vs "&amp;E1589</f>
        <v>vs st.Helens Eruptions</v>
      </c>
      <c r="L1588" s="6" t="str">
        <f t="shared" ref="L1588" si="246">"vs "&amp;F1589</f>
        <v>vs Aris</v>
      </c>
      <c r="M1588">
        <v>169</v>
      </c>
      <c r="N1588" s="1">
        <v>0.45100000000000001</v>
      </c>
      <c r="O1588">
        <v>55</v>
      </c>
      <c r="P1588" s="1">
        <v>0.33700000000000002</v>
      </c>
      <c r="Q1588" s="1">
        <v>0.75</v>
      </c>
      <c r="R1588">
        <v>450</v>
      </c>
      <c r="S1588">
        <v>32</v>
      </c>
      <c r="T1588">
        <v>125</v>
      </c>
      <c r="U1588">
        <v>106</v>
      </c>
      <c r="V1588">
        <v>28</v>
      </c>
      <c r="W1588">
        <v>9</v>
      </c>
      <c r="X1588">
        <v>56</v>
      </c>
      <c r="Y1588" s="5">
        <v>1.89</v>
      </c>
    </row>
    <row r="1589" spans="1:25" x14ac:dyDescent="0.25">
      <c r="A1589">
        <v>2022</v>
      </c>
      <c r="B1589" t="s">
        <v>57</v>
      </c>
      <c r="C1589">
        <v>6</v>
      </c>
      <c r="D1589">
        <v>56</v>
      </c>
      <c r="E1589" t="s">
        <v>21</v>
      </c>
      <c r="F1589" t="s">
        <v>50</v>
      </c>
      <c r="G1589">
        <f t="shared" si="144"/>
        <v>1</v>
      </c>
      <c r="H1589">
        <v>12</v>
      </c>
      <c r="I1589">
        <v>1</v>
      </c>
      <c r="J1589">
        <v>0</v>
      </c>
      <c r="K1589" s="6" t="str">
        <f t="shared" ref="K1589" si="247">"vs "&amp;E1588</f>
        <v>vs Fighting Thaddeus</v>
      </c>
      <c r="L1589" s="6" t="str">
        <f t="shared" ref="L1589" si="248">"vs "&amp;F1588</f>
        <v>vs Stavros</v>
      </c>
      <c r="M1589">
        <v>181</v>
      </c>
      <c r="N1589" s="1">
        <v>0.47599999999999998</v>
      </c>
      <c r="O1589">
        <v>66</v>
      </c>
      <c r="P1589" s="1">
        <v>0.42299999999999999</v>
      </c>
      <c r="Q1589" s="1">
        <v>0.82599999999999996</v>
      </c>
      <c r="R1589">
        <v>499</v>
      </c>
      <c r="S1589">
        <v>39</v>
      </c>
      <c r="T1589">
        <v>168</v>
      </c>
      <c r="U1589">
        <v>129</v>
      </c>
      <c r="V1589">
        <v>36</v>
      </c>
      <c r="W1589">
        <v>18</v>
      </c>
      <c r="X1589">
        <v>66</v>
      </c>
      <c r="Y1589" s="5">
        <v>1.95</v>
      </c>
    </row>
    <row r="1590" spans="1:25" x14ac:dyDescent="0.25">
      <c r="A1590">
        <v>2022</v>
      </c>
      <c r="B1590" t="s">
        <v>57</v>
      </c>
      <c r="C1590">
        <v>6</v>
      </c>
      <c r="D1590">
        <v>57</v>
      </c>
      <c r="E1590" t="s">
        <v>97</v>
      </c>
      <c r="F1590" t="s">
        <v>54</v>
      </c>
      <c r="G1590">
        <f t="shared" si="144"/>
        <v>1</v>
      </c>
      <c r="H1590">
        <v>11</v>
      </c>
      <c r="I1590">
        <v>2</v>
      </c>
      <c r="J1590">
        <v>0</v>
      </c>
      <c r="K1590" s="6" t="str">
        <f t="shared" ref="K1590" si="249">"vs "&amp;E1591</f>
        <v>vs The Bad Boys</v>
      </c>
      <c r="L1590" s="6" t="str">
        <f t="shared" ref="L1590" si="250">"vs "&amp;F1591</f>
        <v>vs Arvanitis</v>
      </c>
      <c r="M1590">
        <v>205</v>
      </c>
      <c r="N1590" s="1">
        <v>0.50700000000000001</v>
      </c>
      <c r="O1590">
        <v>46</v>
      </c>
      <c r="P1590" s="1">
        <v>0.34599999999999997</v>
      </c>
      <c r="Q1590" s="1">
        <v>0.73899999999999999</v>
      </c>
      <c r="R1590">
        <v>578</v>
      </c>
      <c r="S1590">
        <v>38</v>
      </c>
      <c r="T1590">
        <v>162</v>
      </c>
      <c r="U1590">
        <v>124</v>
      </c>
      <c r="V1590">
        <v>28</v>
      </c>
      <c r="W1590">
        <v>25</v>
      </c>
      <c r="X1590">
        <v>60</v>
      </c>
      <c r="Y1590" s="5">
        <v>2.0699999999999998</v>
      </c>
    </row>
    <row r="1591" spans="1:25" x14ac:dyDescent="0.25">
      <c r="A1591">
        <v>2022</v>
      </c>
      <c r="B1591" t="s">
        <v>57</v>
      </c>
      <c r="C1591">
        <v>6</v>
      </c>
      <c r="D1591">
        <v>57</v>
      </c>
      <c r="E1591" t="s">
        <v>154</v>
      </c>
      <c r="F1591" t="s">
        <v>155</v>
      </c>
      <c r="G1591">
        <f t="shared" si="144"/>
        <v>0</v>
      </c>
      <c r="H1591">
        <v>2</v>
      </c>
      <c r="I1591">
        <v>11</v>
      </c>
      <c r="J1591">
        <v>0</v>
      </c>
      <c r="K1591" s="6" t="str">
        <f t="shared" ref="K1591" si="251">"vs "&amp;E1590</f>
        <v>vs Underdogs</v>
      </c>
      <c r="L1591" s="6" t="str">
        <f t="shared" ref="L1591" si="252">"vs "&amp;F1590</f>
        <v>vs Nonis</v>
      </c>
      <c r="M1591">
        <v>90</v>
      </c>
      <c r="N1591" s="1">
        <v>0.42299999999999999</v>
      </c>
      <c r="O1591">
        <v>28</v>
      </c>
      <c r="P1591" s="1">
        <v>0.32600000000000001</v>
      </c>
      <c r="Q1591" s="1">
        <v>0.83299999999999996</v>
      </c>
      <c r="R1591">
        <v>228</v>
      </c>
      <c r="S1591">
        <v>31</v>
      </c>
      <c r="T1591">
        <v>112</v>
      </c>
      <c r="U1591">
        <v>59</v>
      </c>
      <c r="V1591">
        <v>17</v>
      </c>
      <c r="W1591">
        <v>14</v>
      </c>
      <c r="X1591">
        <v>33</v>
      </c>
      <c r="Y1591" s="5">
        <v>1.79</v>
      </c>
    </row>
    <row r="1592" spans="1:25" x14ac:dyDescent="0.25">
      <c r="A1592">
        <v>2022</v>
      </c>
      <c r="B1592" t="s">
        <v>57</v>
      </c>
      <c r="C1592">
        <v>6</v>
      </c>
      <c r="D1592">
        <v>58</v>
      </c>
      <c r="E1592" t="s">
        <v>23</v>
      </c>
      <c r="F1592" t="s">
        <v>120</v>
      </c>
      <c r="G1592">
        <f t="shared" si="144"/>
        <v>1</v>
      </c>
      <c r="H1592">
        <v>8</v>
      </c>
      <c r="I1592">
        <v>4</v>
      </c>
      <c r="J1592">
        <v>1</v>
      </c>
      <c r="K1592" s="6" t="str">
        <f t="shared" ref="K1592" si="253">"vs "&amp;E1593</f>
        <v>vs Kourayo Vallecano</v>
      </c>
      <c r="L1592" s="6" t="str">
        <f t="shared" ref="L1592" si="254">"vs "&amp;F1593</f>
        <v>vs Ziogas/Christof</v>
      </c>
      <c r="M1592">
        <v>214</v>
      </c>
      <c r="N1592" s="1">
        <v>0.48599999999999999</v>
      </c>
      <c r="O1592">
        <v>53</v>
      </c>
      <c r="P1592" s="1">
        <v>0.36299999999999999</v>
      </c>
      <c r="Q1592" s="1">
        <v>0.80200000000000005</v>
      </c>
      <c r="R1592">
        <v>570</v>
      </c>
      <c r="S1592">
        <v>48</v>
      </c>
      <c r="T1592">
        <v>168</v>
      </c>
      <c r="U1592">
        <v>109</v>
      </c>
      <c r="V1592">
        <v>29</v>
      </c>
      <c r="W1592">
        <v>17</v>
      </c>
      <c r="X1592">
        <v>78</v>
      </c>
      <c r="Y1592" s="5">
        <v>1.4</v>
      </c>
    </row>
    <row r="1593" spans="1:25" x14ac:dyDescent="0.25">
      <c r="A1593">
        <v>2022</v>
      </c>
      <c r="B1593" t="s">
        <v>57</v>
      </c>
      <c r="C1593">
        <v>6</v>
      </c>
      <c r="D1593">
        <v>58</v>
      </c>
      <c r="E1593" t="s">
        <v>26</v>
      </c>
      <c r="F1593" t="s">
        <v>118</v>
      </c>
      <c r="G1593">
        <f t="shared" si="144"/>
        <v>0</v>
      </c>
      <c r="H1593">
        <v>4</v>
      </c>
      <c r="I1593">
        <v>8</v>
      </c>
      <c r="J1593">
        <v>1</v>
      </c>
      <c r="K1593" s="6" t="str">
        <f t="shared" ref="K1593" si="255">"vs "&amp;E1592</f>
        <v>vs Pachiana NinjaBees</v>
      </c>
      <c r="L1593" s="6" t="str">
        <f t="shared" ref="L1593" si="256">"vs "&amp;F1592</f>
        <v>vs Spiridaus/Oladipas</v>
      </c>
      <c r="M1593">
        <v>130</v>
      </c>
      <c r="N1593" s="1">
        <v>0.438</v>
      </c>
      <c r="O1593">
        <v>48</v>
      </c>
      <c r="P1593" s="1">
        <v>0.36599999999999999</v>
      </c>
      <c r="Q1593" s="1">
        <v>0.76700000000000002</v>
      </c>
      <c r="R1593">
        <v>374</v>
      </c>
      <c r="S1593">
        <v>27</v>
      </c>
      <c r="T1593">
        <v>120</v>
      </c>
      <c r="U1593">
        <v>110</v>
      </c>
      <c r="V1593">
        <v>24</v>
      </c>
      <c r="W1593">
        <v>17</v>
      </c>
      <c r="X1593">
        <v>62</v>
      </c>
      <c r="Y1593" s="5">
        <v>1.77</v>
      </c>
    </row>
    <row r="1594" spans="1:25" x14ac:dyDescent="0.25">
      <c r="A1594">
        <v>2022</v>
      </c>
      <c r="B1594" t="s">
        <v>57</v>
      </c>
      <c r="C1594">
        <v>6</v>
      </c>
      <c r="D1594">
        <v>59</v>
      </c>
      <c r="E1594" t="s">
        <v>17</v>
      </c>
      <c r="F1594" t="s">
        <v>43</v>
      </c>
      <c r="G1594">
        <f t="shared" si="144"/>
        <v>0</v>
      </c>
      <c r="H1594">
        <v>2</v>
      </c>
      <c r="I1594">
        <v>10</v>
      </c>
      <c r="J1594">
        <v>1</v>
      </c>
      <c r="K1594" s="6" t="str">
        <f t="shared" ref="K1594" si="257">"vs "&amp;E1595</f>
        <v>vs purple fuzzy apache pirates</v>
      </c>
      <c r="L1594" s="6" t="str">
        <f t="shared" ref="L1594" si="258">"vs "&amp;F1595</f>
        <v>vs pi/Sotiris</v>
      </c>
      <c r="M1594">
        <v>93</v>
      </c>
      <c r="N1594" s="1">
        <v>0.40799999999999997</v>
      </c>
      <c r="O1594">
        <v>29</v>
      </c>
      <c r="P1594" s="1">
        <v>0.36699999999999999</v>
      </c>
      <c r="Q1594" s="1">
        <v>0.66700000000000004</v>
      </c>
      <c r="R1594">
        <v>249</v>
      </c>
      <c r="S1594">
        <v>34</v>
      </c>
      <c r="T1594">
        <v>83</v>
      </c>
      <c r="U1594">
        <v>56</v>
      </c>
      <c r="V1594">
        <v>15</v>
      </c>
      <c r="W1594">
        <v>13</v>
      </c>
      <c r="X1594">
        <v>42</v>
      </c>
      <c r="Y1594" s="5">
        <v>1.33</v>
      </c>
    </row>
    <row r="1595" spans="1:25" x14ac:dyDescent="0.25">
      <c r="A1595">
        <v>2022</v>
      </c>
      <c r="B1595" t="s">
        <v>57</v>
      </c>
      <c r="C1595">
        <v>6</v>
      </c>
      <c r="D1595">
        <v>59</v>
      </c>
      <c r="E1595" t="s">
        <v>159</v>
      </c>
      <c r="F1595" t="s">
        <v>116</v>
      </c>
      <c r="G1595">
        <f t="shared" si="144"/>
        <v>1</v>
      </c>
      <c r="H1595">
        <v>10</v>
      </c>
      <c r="I1595">
        <v>2</v>
      </c>
      <c r="J1595">
        <v>1</v>
      </c>
      <c r="K1595" s="6" t="str">
        <f t="shared" ref="K1595" si="259">"vs "&amp;E1594</f>
        <v>vs Donkey Rolls</v>
      </c>
      <c r="L1595" s="6" t="str">
        <f t="shared" ref="L1595" si="260">"vs "&amp;F1594</f>
        <v>vs Markos</v>
      </c>
      <c r="M1595">
        <v>218</v>
      </c>
      <c r="N1595" s="1">
        <v>0.45300000000000001</v>
      </c>
      <c r="O1595">
        <v>59</v>
      </c>
      <c r="P1595" s="1">
        <v>0.33700000000000002</v>
      </c>
      <c r="Q1595" s="1">
        <v>0.80800000000000005</v>
      </c>
      <c r="R1595">
        <v>575</v>
      </c>
      <c r="S1595">
        <v>34</v>
      </c>
      <c r="T1595">
        <v>179</v>
      </c>
      <c r="U1595">
        <v>118</v>
      </c>
      <c r="V1595">
        <v>26</v>
      </c>
      <c r="W1595">
        <v>15</v>
      </c>
      <c r="X1595">
        <v>58</v>
      </c>
      <c r="Y1595" s="5">
        <v>2.0299999999999998</v>
      </c>
    </row>
    <row r="1596" spans="1:25" x14ac:dyDescent="0.25">
      <c r="A1596">
        <v>2022</v>
      </c>
      <c r="B1596" t="s">
        <v>57</v>
      </c>
      <c r="C1596">
        <v>6</v>
      </c>
      <c r="D1596">
        <v>60</v>
      </c>
      <c r="E1596" t="s">
        <v>16</v>
      </c>
      <c r="F1596" t="s">
        <v>51</v>
      </c>
      <c r="G1596">
        <f t="shared" si="144"/>
        <v>0</v>
      </c>
      <c r="H1596">
        <v>6</v>
      </c>
      <c r="I1596">
        <v>7</v>
      </c>
      <c r="J1596">
        <v>0</v>
      </c>
      <c r="K1596" s="6" t="str">
        <f t="shared" ref="K1596" si="261">"vs "&amp;E1597</f>
        <v>vs Karafli SaiTa</v>
      </c>
      <c r="L1596" s="6" t="str">
        <f t="shared" ref="L1596" si="262">"vs "&amp;F1597</f>
        <v>vs Tassos</v>
      </c>
      <c r="M1596">
        <v>139</v>
      </c>
      <c r="N1596" s="1">
        <v>0.38900000000000001</v>
      </c>
      <c r="O1596">
        <v>35</v>
      </c>
      <c r="P1596" s="1">
        <v>0.27600000000000002</v>
      </c>
      <c r="Q1596" s="1">
        <v>0.77200000000000002</v>
      </c>
      <c r="R1596">
        <v>384</v>
      </c>
      <c r="S1596">
        <v>32</v>
      </c>
      <c r="T1596">
        <v>142</v>
      </c>
      <c r="U1596">
        <v>116</v>
      </c>
      <c r="V1596">
        <v>30</v>
      </c>
      <c r="W1596">
        <v>31</v>
      </c>
      <c r="X1596">
        <v>43</v>
      </c>
      <c r="Y1596" s="5">
        <v>2.7</v>
      </c>
    </row>
    <row r="1597" spans="1:25" x14ac:dyDescent="0.25">
      <c r="A1597">
        <v>2022</v>
      </c>
      <c r="B1597" t="s">
        <v>57</v>
      </c>
      <c r="C1597">
        <v>6</v>
      </c>
      <c r="D1597">
        <v>60</v>
      </c>
      <c r="E1597" t="s">
        <v>190</v>
      </c>
      <c r="F1597" t="s">
        <v>103</v>
      </c>
      <c r="G1597">
        <f t="shared" si="144"/>
        <v>1</v>
      </c>
      <c r="H1597">
        <v>7</v>
      </c>
      <c r="I1597">
        <v>6</v>
      </c>
      <c r="J1597">
        <v>0</v>
      </c>
      <c r="K1597" s="6" t="str">
        <f t="shared" ref="K1597" si="263">"vs "&amp;E1596</f>
        <v>vs The Bridgeburners</v>
      </c>
      <c r="L1597" s="6" t="str">
        <f t="shared" ref="L1597" si="264">"vs "&amp;F1596</f>
        <v>vs Fanis</v>
      </c>
      <c r="M1597">
        <v>167</v>
      </c>
      <c r="N1597" s="1">
        <v>0.45600000000000002</v>
      </c>
      <c r="O1597">
        <v>47</v>
      </c>
      <c r="P1597" s="1">
        <v>0.33600000000000002</v>
      </c>
      <c r="Q1597" s="1">
        <v>0.81599999999999995</v>
      </c>
      <c r="R1597">
        <v>452</v>
      </c>
      <c r="S1597">
        <v>50</v>
      </c>
      <c r="T1597">
        <v>122</v>
      </c>
      <c r="U1597">
        <v>98</v>
      </c>
      <c r="V1597">
        <v>25</v>
      </c>
      <c r="W1597">
        <v>29</v>
      </c>
      <c r="X1597">
        <v>47</v>
      </c>
      <c r="Y1597" s="5">
        <v>2.09</v>
      </c>
    </row>
    <row r="1598" spans="1:25" x14ac:dyDescent="0.25">
      <c r="A1598">
        <v>2022</v>
      </c>
      <c r="B1598" t="s">
        <v>57</v>
      </c>
      <c r="C1598">
        <v>7</v>
      </c>
      <c r="D1598">
        <v>61</v>
      </c>
      <c r="E1598" t="s">
        <v>28</v>
      </c>
      <c r="F1598" t="s">
        <v>46</v>
      </c>
      <c r="G1598">
        <f t="shared" si="144"/>
        <v>1</v>
      </c>
      <c r="H1598">
        <v>10</v>
      </c>
      <c r="I1598">
        <v>3</v>
      </c>
      <c r="J1598">
        <v>0</v>
      </c>
      <c r="K1598" s="6" t="str">
        <f t="shared" ref="K1598" si="265">"vs "&amp;E1599</f>
        <v>vs Underdogs</v>
      </c>
      <c r="L1598" s="6" t="str">
        <f t="shared" ref="L1598" si="266">"vs "&amp;F1599</f>
        <v>vs Nonis</v>
      </c>
      <c r="M1598">
        <v>184</v>
      </c>
      <c r="N1598" s="1">
        <v>0.47699999999999998</v>
      </c>
      <c r="O1598">
        <v>51</v>
      </c>
      <c r="P1598" s="1">
        <v>0.40200000000000002</v>
      </c>
      <c r="Q1598" s="1">
        <v>0.74199999999999999</v>
      </c>
      <c r="R1598">
        <v>468</v>
      </c>
      <c r="S1598">
        <v>33</v>
      </c>
      <c r="T1598">
        <v>119</v>
      </c>
      <c r="U1598">
        <v>136</v>
      </c>
      <c r="V1598">
        <v>31</v>
      </c>
      <c r="W1598">
        <v>14</v>
      </c>
      <c r="X1598">
        <v>54</v>
      </c>
      <c r="Y1598" s="5">
        <v>2.52</v>
      </c>
    </row>
    <row r="1599" spans="1:25" x14ac:dyDescent="0.25">
      <c r="A1599">
        <v>2022</v>
      </c>
      <c r="B1599" t="s">
        <v>57</v>
      </c>
      <c r="C1599">
        <v>7</v>
      </c>
      <c r="D1599">
        <v>61</v>
      </c>
      <c r="E1599" t="s">
        <v>97</v>
      </c>
      <c r="F1599" t="s">
        <v>54</v>
      </c>
      <c r="G1599">
        <f t="shared" si="144"/>
        <v>0</v>
      </c>
      <c r="H1599">
        <v>3</v>
      </c>
      <c r="I1599">
        <v>10</v>
      </c>
      <c r="J1599">
        <v>0</v>
      </c>
      <c r="K1599" s="6" t="str">
        <f t="shared" ref="K1599" si="267">"vs "&amp;E1598</f>
        <v>vs Steven Adams' Moustache</v>
      </c>
      <c r="L1599" s="6" t="str">
        <f t="shared" ref="L1599" si="268">"vs "&amp;F1598</f>
        <v>vs Johnny</v>
      </c>
      <c r="M1599">
        <v>159</v>
      </c>
      <c r="N1599" s="1">
        <v>0.45</v>
      </c>
      <c r="O1599">
        <v>31</v>
      </c>
      <c r="P1599" s="1">
        <v>0.33300000000000002</v>
      </c>
      <c r="Q1599" s="1">
        <v>0.72599999999999998</v>
      </c>
      <c r="R1599">
        <v>431</v>
      </c>
      <c r="S1599">
        <v>39</v>
      </c>
      <c r="T1599">
        <v>122</v>
      </c>
      <c r="U1599">
        <v>129</v>
      </c>
      <c r="V1599">
        <v>28</v>
      </c>
      <c r="W1599">
        <v>19</v>
      </c>
      <c r="X1599">
        <v>65</v>
      </c>
      <c r="Y1599" s="5">
        <v>1.98</v>
      </c>
    </row>
    <row r="1600" spans="1:25" x14ac:dyDescent="0.25">
      <c r="A1600">
        <v>2022</v>
      </c>
      <c r="B1600" t="s">
        <v>57</v>
      </c>
      <c r="C1600">
        <v>7</v>
      </c>
      <c r="D1600">
        <v>62</v>
      </c>
      <c r="E1600" t="s">
        <v>181</v>
      </c>
      <c r="F1600" t="s">
        <v>49</v>
      </c>
      <c r="G1600">
        <f t="shared" si="144"/>
        <v>1</v>
      </c>
      <c r="H1600">
        <v>9</v>
      </c>
      <c r="I1600">
        <v>4</v>
      </c>
      <c r="J1600">
        <v>0</v>
      </c>
      <c r="K1600" s="6" t="str">
        <f t="shared" ref="K1600" si="269">"vs "&amp;E1601</f>
        <v>vs Kourayo Vallecano</v>
      </c>
      <c r="L1600" s="6" t="str">
        <f t="shared" ref="L1600" si="270">"vs "&amp;F1601</f>
        <v>vs Ziogas/Christof</v>
      </c>
      <c r="M1600">
        <v>153</v>
      </c>
      <c r="N1600" s="1">
        <v>0.45400000000000001</v>
      </c>
      <c r="O1600">
        <v>63</v>
      </c>
      <c r="P1600" s="1">
        <v>0.39400000000000002</v>
      </c>
      <c r="Q1600" s="1">
        <v>0.877</v>
      </c>
      <c r="R1600">
        <v>440</v>
      </c>
      <c r="S1600">
        <v>25</v>
      </c>
      <c r="T1600">
        <v>117</v>
      </c>
      <c r="U1600">
        <v>61</v>
      </c>
      <c r="V1600">
        <v>28</v>
      </c>
      <c r="W1600">
        <v>17</v>
      </c>
      <c r="X1600">
        <v>31</v>
      </c>
      <c r="Y1600" s="5">
        <v>1.97</v>
      </c>
    </row>
    <row r="1601" spans="1:25" x14ac:dyDescent="0.25">
      <c r="A1601">
        <v>2022</v>
      </c>
      <c r="B1601" t="s">
        <v>57</v>
      </c>
      <c r="C1601">
        <v>7</v>
      </c>
      <c r="D1601">
        <v>62</v>
      </c>
      <c r="E1601" t="s">
        <v>26</v>
      </c>
      <c r="F1601" t="s">
        <v>118</v>
      </c>
      <c r="G1601">
        <f t="shared" si="144"/>
        <v>0</v>
      </c>
      <c r="H1601">
        <v>4</v>
      </c>
      <c r="I1601">
        <v>9</v>
      </c>
      <c r="J1601">
        <v>0</v>
      </c>
      <c r="K1601" s="6" t="str">
        <f t="shared" ref="K1601" si="271">"vs "&amp;E1600</f>
        <v>vs Samarina Dudenbros</v>
      </c>
      <c r="L1601" s="6" t="str">
        <f t="shared" ref="L1601" si="272">"vs "&amp;F1600</f>
        <v>vs Sakellariou</v>
      </c>
      <c r="M1601">
        <v>135</v>
      </c>
      <c r="N1601" s="1">
        <v>0.46400000000000002</v>
      </c>
      <c r="O1601">
        <v>34</v>
      </c>
      <c r="P1601" s="1">
        <v>0.33</v>
      </c>
      <c r="Q1601" s="1">
        <v>0.77600000000000002</v>
      </c>
      <c r="R1601">
        <v>370</v>
      </c>
      <c r="S1601">
        <v>22</v>
      </c>
      <c r="T1601">
        <v>110</v>
      </c>
      <c r="U1601">
        <v>127</v>
      </c>
      <c r="V1601">
        <v>29</v>
      </c>
      <c r="W1601">
        <v>12</v>
      </c>
      <c r="X1601">
        <v>50</v>
      </c>
      <c r="Y1601" s="5">
        <v>2.54</v>
      </c>
    </row>
    <row r="1602" spans="1:25" x14ac:dyDescent="0.25">
      <c r="A1602">
        <v>2022</v>
      </c>
      <c r="B1602" t="s">
        <v>57</v>
      </c>
      <c r="C1602">
        <v>7</v>
      </c>
      <c r="D1602">
        <v>63</v>
      </c>
      <c r="E1602" t="s">
        <v>154</v>
      </c>
      <c r="F1602" t="s">
        <v>155</v>
      </c>
      <c r="G1602">
        <f t="shared" ref="G1602:G1665" si="273">IF(H1602+0.5*J1602&gt;6.5,1,0)</f>
        <v>0</v>
      </c>
      <c r="H1602">
        <v>5</v>
      </c>
      <c r="I1602">
        <v>8</v>
      </c>
      <c r="J1602">
        <v>0</v>
      </c>
      <c r="K1602" s="6" t="str">
        <f t="shared" ref="K1602" si="274">"vs "&amp;E1603</f>
        <v>vs The Guns</v>
      </c>
      <c r="L1602" s="6" t="str">
        <f t="shared" ref="L1602" si="275">"vs "&amp;F1603</f>
        <v>vs Vasilis</v>
      </c>
      <c r="M1602">
        <v>60</v>
      </c>
      <c r="N1602" s="1">
        <v>0.53600000000000003</v>
      </c>
      <c r="O1602">
        <v>19</v>
      </c>
      <c r="P1602" s="1">
        <v>0.38800000000000001</v>
      </c>
      <c r="Q1602" s="1">
        <v>0.75</v>
      </c>
      <c r="R1602">
        <v>151</v>
      </c>
      <c r="S1602">
        <v>15</v>
      </c>
      <c r="T1602">
        <v>52</v>
      </c>
      <c r="U1602">
        <v>23</v>
      </c>
      <c r="V1602">
        <v>9</v>
      </c>
      <c r="W1602">
        <v>15</v>
      </c>
      <c r="X1602">
        <v>8</v>
      </c>
      <c r="Y1602" s="5">
        <v>2.88</v>
      </c>
    </row>
    <row r="1603" spans="1:25" x14ac:dyDescent="0.25">
      <c r="A1603">
        <v>2022</v>
      </c>
      <c r="B1603" t="s">
        <v>57</v>
      </c>
      <c r="C1603">
        <v>7</v>
      </c>
      <c r="D1603">
        <v>63</v>
      </c>
      <c r="E1603" t="s">
        <v>33</v>
      </c>
      <c r="F1603" t="s">
        <v>42</v>
      </c>
      <c r="G1603">
        <f t="shared" si="273"/>
        <v>1</v>
      </c>
      <c r="H1603">
        <v>8</v>
      </c>
      <c r="I1603">
        <v>5</v>
      </c>
      <c r="J1603">
        <v>0</v>
      </c>
      <c r="K1603" s="6" t="str">
        <f t="shared" ref="K1603" si="276">"vs "&amp;E1602</f>
        <v>vs The Bad Boys</v>
      </c>
      <c r="L1603" s="6" t="str">
        <f t="shared" ref="L1603" si="277">"vs "&amp;F1602</f>
        <v>vs Arvanitis</v>
      </c>
      <c r="M1603">
        <v>156</v>
      </c>
      <c r="N1603" s="1">
        <v>0.41099999999999998</v>
      </c>
      <c r="O1603">
        <v>73</v>
      </c>
      <c r="P1603" s="1">
        <v>0.36699999999999999</v>
      </c>
      <c r="Q1603" s="1">
        <v>0.878</v>
      </c>
      <c r="R1603">
        <v>471</v>
      </c>
      <c r="S1603">
        <v>24</v>
      </c>
      <c r="T1603">
        <v>115</v>
      </c>
      <c r="U1603">
        <v>161</v>
      </c>
      <c r="V1603">
        <v>23</v>
      </c>
      <c r="W1603">
        <v>6</v>
      </c>
      <c r="X1603">
        <v>66</v>
      </c>
      <c r="Y1603" s="5">
        <v>2.44</v>
      </c>
    </row>
    <row r="1604" spans="1:25" x14ac:dyDescent="0.25">
      <c r="A1604">
        <v>2022</v>
      </c>
      <c r="B1604" t="s">
        <v>57</v>
      </c>
      <c r="C1604">
        <v>7</v>
      </c>
      <c r="D1604">
        <v>64</v>
      </c>
      <c r="E1604" t="s">
        <v>96</v>
      </c>
      <c r="F1604" t="s">
        <v>102</v>
      </c>
      <c r="G1604">
        <f t="shared" si="273"/>
        <v>0</v>
      </c>
      <c r="H1604">
        <v>4</v>
      </c>
      <c r="I1604">
        <v>9</v>
      </c>
      <c r="J1604">
        <v>0</v>
      </c>
      <c r="K1604" s="6" t="str">
        <f t="shared" ref="K1604" si="278">"vs "&amp;E1605</f>
        <v>vs Baltimore Hercules</v>
      </c>
      <c r="L1604" s="6" t="str">
        <f t="shared" ref="L1604" si="279">"vs "&amp;F1605</f>
        <v>vs Sarantos</v>
      </c>
      <c r="M1604">
        <v>108</v>
      </c>
      <c r="N1604" s="1">
        <v>0.47399999999999998</v>
      </c>
      <c r="O1604">
        <v>35</v>
      </c>
      <c r="P1604" s="1">
        <v>0.38900000000000001</v>
      </c>
      <c r="Q1604" s="1">
        <v>0.78800000000000003</v>
      </c>
      <c r="R1604">
        <v>292</v>
      </c>
      <c r="S1604">
        <v>26</v>
      </c>
      <c r="T1604">
        <v>76</v>
      </c>
      <c r="U1604">
        <v>41</v>
      </c>
      <c r="V1604">
        <v>20</v>
      </c>
      <c r="W1604">
        <v>17</v>
      </c>
      <c r="X1604">
        <v>27</v>
      </c>
      <c r="Y1604" s="5">
        <v>1.52</v>
      </c>
    </row>
    <row r="1605" spans="1:25" x14ac:dyDescent="0.25">
      <c r="A1605">
        <v>2022</v>
      </c>
      <c r="B1605" t="s">
        <v>57</v>
      </c>
      <c r="C1605">
        <v>7</v>
      </c>
      <c r="D1605">
        <v>64</v>
      </c>
      <c r="E1605" t="s">
        <v>95</v>
      </c>
      <c r="F1605" t="s">
        <v>101</v>
      </c>
      <c r="G1605">
        <f t="shared" si="273"/>
        <v>1</v>
      </c>
      <c r="H1605">
        <v>9</v>
      </c>
      <c r="I1605">
        <v>4</v>
      </c>
      <c r="J1605">
        <v>0</v>
      </c>
      <c r="K1605" s="6" t="str">
        <f t="shared" ref="K1605" si="280">"vs "&amp;E1604</f>
        <v>vs Knights of Ni</v>
      </c>
      <c r="L1605" s="6" t="str">
        <f t="shared" ref="L1605" si="281">"vs "&amp;F1604</f>
        <v>vs Tolios</v>
      </c>
      <c r="M1605">
        <v>147</v>
      </c>
      <c r="N1605" s="1">
        <v>0.45200000000000001</v>
      </c>
      <c r="O1605">
        <v>46</v>
      </c>
      <c r="P1605" s="1">
        <v>0.34799999999999998</v>
      </c>
      <c r="Q1605" s="1">
        <v>0.80900000000000005</v>
      </c>
      <c r="R1605">
        <v>395</v>
      </c>
      <c r="S1605">
        <v>25</v>
      </c>
      <c r="T1605">
        <v>93</v>
      </c>
      <c r="U1605">
        <v>121</v>
      </c>
      <c r="V1605">
        <v>42</v>
      </c>
      <c r="W1605">
        <v>19</v>
      </c>
      <c r="X1605">
        <v>48</v>
      </c>
      <c r="Y1605" s="5">
        <v>2.52</v>
      </c>
    </row>
    <row r="1606" spans="1:25" x14ac:dyDescent="0.25">
      <c r="A1606">
        <v>2022</v>
      </c>
      <c r="B1606" t="s">
        <v>57</v>
      </c>
      <c r="C1606">
        <v>7</v>
      </c>
      <c r="D1606">
        <v>65</v>
      </c>
      <c r="E1606" t="s">
        <v>93</v>
      </c>
      <c r="F1606" t="s">
        <v>189</v>
      </c>
      <c r="G1606">
        <f t="shared" si="273"/>
        <v>0</v>
      </c>
      <c r="H1606">
        <v>6</v>
      </c>
      <c r="I1606">
        <v>7</v>
      </c>
      <c r="J1606">
        <v>0</v>
      </c>
      <c r="K1606" s="6" t="str">
        <f t="shared" ref="K1606" si="282">"vs "&amp;E1607</f>
        <v>vs The Bridgeburners</v>
      </c>
      <c r="L1606" s="6" t="str">
        <f t="shared" ref="L1606" si="283">"vs "&amp;F1607</f>
        <v>vs Fanis</v>
      </c>
      <c r="M1606">
        <v>136</v>
      </c>
      <c r="N1606" s="1">
        <v>0.47099999999999997</v>
      </c>
      <c r="O1606">
        <v>47</v>
      </c>
      <c r="P1606" s="1">
        <v>0.38500000000000001</v>
      </c>
      <c r="Q1606" s="1">
        <v>0.79500000000000004</v>
      </c>
      <c r="R1606">
        <v>381</v>
      </c>
      <c r="S1606">
        <v>21</v>
      </c>
      <c r="T1606">
        <v>111</v>
      </c>
      <c r="U1606">
        <v>63</v>
      </c>
      <c r="V1606">
        <v>13</v>
      </c>
      <c r="W1606">
        <v>16</v>
      </c>
      <c r="X1606">
        <v>33</v>
      </c>
      <c r="Y1606" s="5">
        <v>1.91</v>
      </c>
    </row>
    <row r="1607" spans="1:25" x14ac:dyDescent="0.25">
      <c r="A1607">
        <v>2022</v>
      </c>
      <c r="B1607" t="s">
        <v>57</v>
      </c>
      <c r="C1607">
        <v>7</v>
      </c>
      <c r="D1607">
        <v>65</v>
      </c>
      <c r="E1607" t="s">
        <v>16</v>
      </c>
      <c r="F1607" t="s">
        <v>51</v>
      </c>
      <c r="G1607">
        <f t="shared" si="273"/>
        <v>1</v>
      </c>
      <c r="H1607">
        <v>7</v>
      </c>
      <c r="I1607">
        <v>6</v>
      </c>
      <c r="J1607">
        <v>0</v>
      </c>
      <c r="K1607" s="6" t="str">
        <f t="shared" ref="K1607" si="284">"vs "&amp;E1606</f>
        <v>vs Guruuu 🐐🐐🐐</v>
      </c>
      <c r="L1607" s="6" t="str">
        <f t="shared" ref="L1607" si="285">"vs "&amp;F1606</f>
        <v>vs Guru</v>
      </c>
      <c r="M1607">
        <v>151</v>
      </c>
      <c r="N1607" s="1">
        <v>0.45300000000000001</v>
      </c>
      <c r="O1607">
        <v>45</v>
      </c>
      <c r="P1607" s="1">
        <v>0.36</v>
      </c>
      <c r="Q1607" s="1">
        <v>0.747</v>
      </c>
      <c r="R1607">
        <v>406</v>
      </c>
      <c r="S1607">
        <v>53</v>
      </c>
      <c r="T1607">
        <v>122</v>
      </c>
      <c r="U1607">
        <v>116</v>
      </c>
      <c r="V1607">
        <v>21</v>
      </c>
      <c r="W1607">
        <v>13</v>
      </c>
      <c r="X1607">
        <v>51</v>
      </c>
      <c r="Y1607" s="5">
        <v>2.27</v>
      </c>
    </row>
    <row r="1608" spans="1:25" x14ac:dyDescent="0.25">
      <c r="A1608">
        <v>2022</v>
      </c>
      <c r="B1608" t="s">
        <v>57</v>
      </c>
      <c r="C1608">
        <v>7</v>
      </c>
      <c r="D1608">
        <v>66</v>
      </c>
      <c r="E1608" t="s">
        <v>98</v>
      </c>
      <c r="F1608" t="s">
        <v>41</v>
      </c>
      <c r="G1608">
        <f t="shared" si="273"/>
        <v>0</v>
      </c>
      <c r="H1608">
        <v>6</v>
      </c>
      <c r="I1608">
        <v>7</v>
      </c>
      <c r="J1608">
        <v>0</v>
      </c>
      <c r="K1608" s="6" t="str">
        <f t="shared" ref="K1608" si="286">"vs "&amp;E1609</f>
        <v>vs Pachiana NinjaBees</v>
      </c>
      <c r="L1608" s="6" t="str">
        <f t="shared" ref="L1608" si="287">"vs "&amp;F1609</f>
        <v>vs Spiridaus/Oladipas</v>
      </c>
      <c r="M1608">
        <v>110</v>
      </c>
      <c r="N1608" s="1">
        <v>0.435</v>
      </c>
      <c r="O1608">
        <v>40</v>
      </c>
      <c r="P1608" s="1">
        <v>0.36399999999999999</v>
      </c>
      <c r="Q1608" s="1">
        <v>0.75600000000000001</v>
      </c>
      <c r="R1608">
        <v>291</v>
      </c>
      <c r="S1608">
        <v>28</v>
      </c>
      <c r="T1608">
        <v>95</v>
      </c>
      <c r="U1608">
        <v>51</v>
      </c>
      <c r="V1608">
        <v>29</v>
      </c>
      <c r="W1608">
        <v>33</v>
      </c>
      <c r="X1608">
        <v>33</v>
      </c>
      <c r="Y1608" s="5">
        <v>1.55</v>
      </c>
    </row>
    <row r="1609" spans="1:25" x14ac:dyDescent="0.25">
      <c r="A1609">
        <v>2022</v>
      </c>
      <c r="B1609" t="s">
        <v>57</v>
      </c>
      <c r="C1609">
        <v>7</v>
      </c>
      <c r="D1609">
        <v>66</v>
      </c>
      <c r="E1609" t="s">
        <v>23</v>
      </c>
      <c r="F1609" t="s">
        <v>120</v>
      </c>
      <c r="G1609">
        <f t="shared" si="273"/>
        <v>1</v>
      </c>
      <c r="H1609">
        <v>7</v>
      </c>
      <c r="I1609">
        <v>6</v>
      </c>
      <c r="J1609">
        <v>0</v>
      </c>
      <c r="K1609" s="6" t="str">
        <f t="shared" ref="K1609" si="288">"vs "&amp;E1608</f>
        <v>vs Xanthi Ducks 🦆</v>
      </c>
      <c r="L1609" s="6" t="str">
        <f t="shared" ref="L1609" si="289">"vs "&amp;F1608</f>
        <v>vs Kotakis</v>
      </c>
      <c r="M1609">
        <v>163</v>
      </c>
      <c r="N1609" s="1">
        <v>0.54500000000000004</v>
      </c>
      <c r="O1609">
        <v>27</v>
      </c>
      <c r="P1609" s="1">
        <v>0.37</v>
      </c>
      <c r="Q1609" s="1">
        <v>0.75</v>
      </c>
      <c r="R1609">
        <v>416</v>
      </c>
      <c r="S1609">
        <v>35</v>
      </c>
      <c r="T1609">
        <v>118</v>
      </c>
      <c r="U1609">
        <v>62</v>
      </c>
      <c r="V1609">
        <v>18</v>
      </c>
      <c r="W1609">
        <v>30</v>
      </c>
      <c r="X1609">
        <v>48</v>
      </c>
      <c r="Y1609" s="5">
        <v>1.29</v>
      </c>
    </row>
    <row r="1610" spans="1:25" x14ac:dyDescent="0.25">
      <c r="A1610">
        <v>2022</v>
      </c>
      <c r="B1610" t="s">
        <v>57</v>
      </c>
      <c r="C1610">
        <v>7</v>
      </c>
      <c r="D1610">
        <v>67</v>
      </c>
      <c r="E1610" t="s">
        <v>159</v>
      </c>
      <c r="F1610" t="s">
        <v>116</v>
      </c>
      <c r="G1610">
        <f t="shared" si="273"/>
        <v>1</v>
      </c>
      <c r="H1610">
        <v>8</v>
      </c>
      <c r="I1610">
        <v>5</v>
      </c>
      <c r="J1610">
        <v>0</v>
      </c>
      <c r="K1610" s="6" t="str">
        <f t="shared" ref="K1610" si="290">"vs "&amp;E1611</f>
        <v>vs The Rookies</v>
      </c>
      <c r="L1610" s="6" t="str">
        <f t="shared" ref="L1610" si="291">"vs "&amp;F1611</f>
        <v>vs Kousidis</v>
      </c>
      <c r="M1610">
        <v>177</v>
      </c>
      <c r="N1610" s="1">
        <v>0.46</v>
      </c>
      <c r="O1610">
        <v>36</v>
      </c>
      <c r="P1610" s="1">
        <v>0.28299999999999997</v>
      </c>
      <c r="Q1610" s="1">
        <v>0.80900000000000005</v>
      </c>
      <c r="R1610">
        <v>496</v>
      </c>
      <c r="S1610">
        <v>48</v>
      </c>
      <c r="T1610">
        <v>167</v>
      </c>
      <c r="U1610">
        <v>119</v>
      </c>
      <c r="V1610">
        <v>19</v>
      </c>
      <c r="W1610">
        <v>16</v>
      </c>
      <c r="X1610">
        <v>50</v>
      </c>
      <c r="Y1610" s="5">
        <v>2.38</v>
      </c>
    </row>
    <row r="1611" spans="1:25" x14ac:dyDescent="0.25">
      <c r="A1611">
        <v>2022</v>
      </c>
      <c r="B1611" t="s">
        <v>57</v>
      </c>
      <c r="C1611">
        <v>7</v>
      </c>
      <c r="D1611">
        <v>67</v>
      </c>
      <c r="E1611" t="s">
        <v>25</v>
      </c>
      <c r="F1611" t="s">
        <v>53</v>
      </c>
      <c r="G1611">
        <f t="shared" si="273"/>
        <v>0</v>
      </c>
      <c r="H1611">
        <v>5</v>
      </c>
      <c r="I1611">
        <v>8</v>
      </c>
      <c r="J1611">
        <v>0</v>
      </c>
      <c r="K1611" s="6" t="str">
        <f t="shared" ref="K1611" si="292">"vs "&amp;E1610</f>
        <v>vs purple fuzzy apache pirates</v>
      </c>
      <c r="L1611" s="6" t="str">
        <f t="shared" ref="L1611" si="293">"vs "&amp;F1610</f>
        <v>vs pi/Sotiris</v>
      </c>
      <c r="M1611">
        <v>141</v>
      </c>
      <c r="N1611" s="1">
        <v>0.48</v>
      </c>
      <c r="O1611">
        <v>27</v>
      </c>
      <c r="P1611" s="1">
        <v>0.32900000000000001</v>
      </c>
      <c r="Q1611" s="1">
        <v>0.8</v>
      </c>
      <c r="R1611">
        <v>361</v>
      </c>
      <c r="S1611">
        <v>46</v>
      </c>
      <c r="T1611">
        <v>141</v>
      </c>
      <c r="U1611">
        <v>85</v>
      </c>
      <c r="V1611">
        <v>23</v>
      </c>
      <c r="W1611">
        <v>29</v>
      </c>
      <c r="X1611">
        <v>44</v>
      </c>
      <c r="Y1611" s="5">
        <v>1.93</v>
      </c>
    </row>
    <row r="1612" spans="1:25" x14ac:dyDescent="0.25">
      <c r="A1612">
        <v>2022</v>
      </c>
      <c r="B1612" t="s">
        <v>57</v>
      </c>
      <c r="C1612">
        <v>7</v>
      </c>
      <c r="D1612">
        <v>68</v>
      </c>
      <c r="E1612" t="s">
        <v>17</v>
      </c>
      <c r="F1612" t="s">
        <v>43</v>
      </c>
      <c r="G1612">
        <f t="shared" si="273"/>
        <v>0</v>
      </c>
      <c r="H1612">
        <v>6</v>
      </c>
      <c r="I1612">
        <v>7</v>
      </c>
      <c r="J1612">
        <v>0</v>
      </c>
      <c r="K1612" s="6" t="str">
        <f t="shared" ref="K1612" si="294">"vs "&amp;E1613</f>
        <v>vs Fighting Thaddeus</v>
      </c>
      <c r="L1612" s="6" t="str">
        <f t="shared" ref="L1612" si="295">"vs "&amp;F1613</f>
        <v>vs Stavros</v>
      </c>
      <c r="M1612">
        <v>121</v>
      </c>
      <c r="N1612" s="1">
        <v>0.46400000000000002</v>
      </c>
      <c r="O1612">
        <v>34</v>
      </c>
      <c r="P1612" s="1">
        <v>0.37</v>
      </c>
      <c r="Q1612" s="1">
        <v>0.7</v>
      </c>
      <c r="R1612">
        <v>311</v>
      </c>
      <c r="S1612">
        <v>41</v>
      </c>
      <c r="T1612">
        <v>103</v>
      </c>
      <c r="U1612">
        <v>65</v>
      </c>
      <c r="V1612">
        <v>18</v>
      </c>
      <c r="W1612">
        <v>15</v>
      </c>
      <c r="X1612">
        <v>38</v>
      </c>
      <c r="Y1612" s="5">
        <v>1.71</v>
      </c>
    </row>
    <row r="1613" spans="1:25" x14ac:dyDescent="0.25">
      <c r="A1613">
        <v>2022</v>
      </c>
      <c r="B1613" t="s">
        <v>57</v>
      </c>
      <c r="C1613">
        <v>7</v>
      </c>
      <c r="D1613">
        <v>68</v>
      </c>
      <c r="E1613" t="s">
        <v>94</v>
      </c>
      <c r="F1613" t="s">
        <v>40</v>
      </c>
      <c r="G1613">
        <f t="shared" si="273"/>
        <v>1</v>
      </c>
      <c r="H1613">
        <v>7</v>
      </c>
      <c r="I1613">
        <v>6</v>
      </c>
      <c r="J1613">
        <v>0</v>
      </c>
      <c r="K1613" s="6" t="str">
        <f t="shared" ref="K1613" si="296">"vs "&amp;E1612</f>
        <v>vs Donkey Rolls</v>
      </c>
      <c r="L1613" s="6" t="str">
        <f t="shared" ref="L1613" si="297">"vs "&amp;F1612</f>
        <v>vs Markos</v>
      </c>
      <c r="M1613">
        <v>127</v>
      </c>
      <c r="N1613" s="1">
        <v>0.44700000000000001</v>
      </c>
      <c r="O1613">
        <v>51</v>
      </c>
      <c r="P1613" s="1">
        <v>0.39800000000000002</v>
      </c>
      <c r="Q1613" s="1">
        <v>0.78200000000000003</v>
      </c>
      <c r="R1613">
        <v>348</v>
      </c>
      <c r="S1613">
        <v>21</v>
      </c>
      <c r="T1613">
        <v>96</v>
      </c>
      <c r="U1613">
        <v>73</v>
      </c>
      <c r="V1613">
        <v>26</v>
      </c>
      <c r="W1613">
        <v>8</v>
      </c>
      <c r="X1613">
        <v>53</v>
      </c>
      <c r="Y1613" s="5">
        <v>1.38</v>
      </c>
    </row>
    <row r="1614" spans="1:25" x14ac:dyDescent="0.25">
      <c r="A1614">
        <v>2022</v>
      </c>
      <c r="B1614" t="s">
        <v>57</v>
      </c>
      <c r="C1614">
        <v>7</v>
      </c>
      <c r="D1614">
        <v>69</v>
      </c>
      <c r="E1614" t="s">
        <v>99</v>
      </c>
      <c r="F1614" t="s">
        <v>45</v>
      </c>
      <c r="G1614">
        <f t="shared" si="273"/>
        <v>0</v>
      </c>
      <c r="H1614">
        <v>5</v>
      </c>
      <c r="I1614">
        <v>8</v>
      </c>
      <c r="J1614">
        <v>0</v>
      </c>
      <c r="K1614" s="6" t="str">
        <f t="shared" ref="K1614" si="298">"vs "&amp;E1615</f>
        <v>vs Karafli SaiTa</v>
      </c>
      <c r="L1614" s="6" t="str">
        <f t="shared" ref="L1614" si="299">"vs "&amp;F1615</f>
        <v>vs Tassos</v>
      </c>
      <c r="M1614">
        <v>145</v>
      </c>
      <c r="N1614" s="1">
        <v>0.502</v>
      </c>
      <c r="O1614">
        <v>42</v>
      </c>
      <c r="P1614" s="1">
        <v>0.378</v>
      </c>
      <c r="Q1614" s="1">
        <v>0.73699999999999999</v>
      </c>
      <c r="R1614">
        <v>402</v>
      </c>
      <c r="S1614">
        <v>46</v>
      </c>
      <c r="T1614">
        <v>155</v>
      </c>
      <c r="U1614">
        <v>95</v>
      </c>
      <c r="V1614">
        <v>23</v>
      </c>
      <c r="W1614">
        <v>16</v>
      </c>
      <c r="X1614">
        <v>55</v>
      </c>
      <c r="Y1614" s="5">
        <v>1.73</v>
      </c>
    </row>
    <row r="1615" spans="1:25" x14ac:dyDescent="0.25">
      <c r="A1615">
        <v>2022</v>
      </c>
      <c r="B1615" t="s">
        <v>57</v>
      </c>
      <c r="C1615">
        <v>7</v>
      </c>
      <c r="D1615">
        <v>69</v>
      </c>
      <c r="E1615" t="s">
        <v>190</v>
      </c>
      <c r="F1615" t="s">
        <v>103</v>
      </c>
      <c r="G1615">
        <f t="shared" si="273"/>
        <v>1</v>
      </c>
      <c r="H1615">
        <v>8</v>
      </c>
      <c r="I1615">
        <v>5</v>
      </c>
      <c r="J1615">
        <v>0</v>
      </c>
      <c r="K1615" s="6" t="str">
        <f t="shared" ref="K1615" si="300">"vs "&amp;E1614</f>
        <v>vs Tsarlatans</v>
      </c>
      <c r="L1615" s="6" t="str">
        <f t="shared" ref="L1615" si="301">"vs "&amp;F1614</f>
        <v>vs Tzokos</v>
      </c>
      <c r="M1615">
        <v>182</v>
      </c>
      <c r="N1615" s="1">
        <v>0.51</v>
      </c>
      <c r="O1615">
        <v>59</v>
      </c>
      <c r="P1615" s="1">
        <v>0.44400000000000001</v>
      </c>
      <c r="Q1615" s="1">
        <v>0.745</v>
      </c>
      <c r="R1615">
        <v>502</v>
      </c>
      <c r="S1615">
        <v>40</v>
      </c>
      <c r="T1615">
        <v>125</v>
      </c>
      <c r="U1615">
        <v>93</v>
      </c>
      <c r="V1615">
        <v>29</v>
      </c>
      <c r="W1615">
        <v>27</v>
      </c>
      <c r="X1615">
        <v>73</v>
      </c>
      <c r="Y1615" s="5">
        <v>1.27</v>
      </c>
    </row>
    <row r="1616" spans="1:25" x14ac:dyDescent="0.25">
      <c r="A1616">
        <v>2022</v>
      </c>
      <c r="B1616" t="s">
        <v>57</v>
      </c>
      <c r="C1616">
        <v>7</v>
      </c>
      <c r="D1616">
        <v>70</v>
      </c>
      <c r="E1616" t="s">
        <v>21</v>
      </c>
      <c r="F1616" t="s">
        <v>50</v>
      </c>
      <c r="G1616">
        <f t="shared" si="273"/>
        <v>0</v>
      </c>
      <c r="H1616">
        <v>4</v>
      </c>
      <c r="I1616">
        <v>9</v>
      </c>
      <c r="J1616">
        <v>0</v>
      </c>
      <c r="K1616" s="6" t="str">
        <f t="shared" ref="K1616" si="302">"vs "&amp;E1617</f>
        <v>vs Salonika Devils</v>
      </c>
      <c r="L1616" s="6" t="str">
        <f t="shared" ref="L1616" si="303">"vs "&amp;F1617</f>
        <v>vs Fountos</v>
      </c>
      <c r="M1616">
        <v>160</v>
      </c>
      <c r="N1616" s="1">
        <v>0.44800000000000001</v>
      </c>
      <c r="O1616">
        <v>57</v>
      </c>
      <c r="P1616" s="1">
        <v>0.377</v>
      </c>
      <c r="Q1616" s="1">
        <v>0.76300000000000001</v>
      </c>
      <c r="R1616">
        <v>435</v>
      </c>
      <c r="S1616">
        <v>34</v>
      </c>
      <c r="T1616">
        <v>114</v>
      </c>
      <c r="U1616">
        <v>91</v>
      </c>
      <c r="V1616">
        <v>19</v>
      </c>
      <c r="W1616">
        <v>13</v>
      </c>
      <c r="X1616">
        <v>40</v>
      </c>
      <c r="Y1616" s="5">
        <v>2.27</v>
      </c>
    </row>
    <row r="1617" spans="1:25" x14ac:dyDescent="0.25">
      <c r="A1617">
        <v>2022</v>
      </c>
      <c r="B1617" t="s">
        <v>57</v>
      </c>
      <c r="C1617">
        <v>7</v>
      </c>
      <c r="D1617">
        <v>70</v>
      </c>
      <c r="E1617" t="s">
        <v>15</v>
      </c>
      <c r="F1617" t="s">
        <v>48</v>
      </c>
      <c r="G1617">
        <f t="shared" si="273"/>
        <v>1</v>
      </c>
      <c r="H1617">
        <v>9</v>
      </c>
      <c r="I1617">
        <v>4</v>
      </c>
      <c r="J1617">
        <v>0</v>
      </c>
      <c r="K1617" s="6" t="str">
        <f t="shared" ref="K1617" si="304">"vs "&amp;E1616</f>
        <v>vs st.Helens Eruptions</v>
      </c>
      <c r="L1617" s="6" t="str">
        <f t="shared" ref="L1617" si="305">"vs "&amp;F1616</f>
        <v>vs Aris</v>
      </c>
      <c r="M1617">
        <v>186</v>
      </c>
      <c r="N1617" s="1">
        <v>0.49199999999999999</v>
      </c>
      <c r="O1617">
        <v>50</v>
      </c>
      <c r="P1617" s="1">
        <v>0.36199999999999999</v>
      </c>
      <c r="Q1617" s="1">
        <v>0.79700000000000004</v>
      </c>
      <c r="R1617">
        <v>481</v>
      </c>
      <c r="S1617">
        <v>32</v>
      </c>
      <c r="T1617">
        <v>118</v>
      </c>
      <c r="U1617">
        <v>110</v>
      </c>
      <c r="V1617">
        <v>22</v>
      </c>
      <c r="W1617">
        <v>19</v>
      </c>
      <c r="X1617">
        <v>42</v>
      </c>
      <c r="Y1617" s="5">
        <v>2.62</v>
      </c>
    </row>
    <row r="1618" spans="1:25" x14ac:dyDescent="0.25">
      <c r="A1618">
        <v>2022</v>
      </c>
      <c r="B1618" t="s">
        <v>57</v>
      </c>
      <c r="C1618">
        <v>8</v>
      </c>
      <c r="D1618">
        <v>71</v>
      </c>
      <c r="E1618" t="s">
        <v>95</v>
      </c>
      <c r="F1618" t="s">
        <v>101</v>
      </c>
      <c r="G1618">
        <f t="shared" si="273"/>
        <v>1</v>
      </c>
      <c r="H1618">
        <v>7</v>
      </c>
      <c r="I1618">
        <v>6</v>
      </c>
      <c r="J1618">
        <v>0</v>
      </c>
      <c r="K1618" s="6" t="str">
        <f t="shared" ref="K1618" si="306">"vs "&amp;E1619</f>
        <v>vs Underdogs</v>
      </c>
      <c r="L1618" s="6" t="str">
        <f t="shared" ref="L1618" si="307">"vs "&amp;F1619</f>
        <v>vs Nonis</v>
      </c>
      <c r="M1618">
        <v>147</v>
      </c>
      <c r="N1618" s="1">
        <v>0.42499999999999999</v>
      </c>
      <c r="O1618">
        <v>54</v>
      </c>
      <c r="P1618" s="1">
        <v>0.36699999999999999</v>
      </c>
      <c r="Q1618" s="1">
        <v>0.75600000000000001</v>
      </c>
      <c r="R1618">
        <v>413</v>
      </c>
      <c r="S1618">
        <v>29</v>
      </c>
      <c r="T1618">
        <v>89</v>
      </c>
      <c r="U1618">
        <v>115</v>
      </c>
      <c r="V1618">
        <v>37</v>
      </c>
      <c r="W1618">
        <v>17</v>
      </c>
      <c r="X1618">
        <v>49</v>
      </c>
      <c r="Y1618" s="5">
        <v>2.35</v>
      </c>
    </row>
    <row r="1619" spans="1:25" x14ac:dyDescent="0.25">
      <c r="A1619">
        <v>2022</v>
      </c>
      <c r="B1619" t="s">
        <v>57</v>
      </c>
      <c r="C1619">
        <v>8</v>
      </c>
      <c r="D1619">
        <v>71</v>
      </c>
      <c r="E1619" t="s">
        <v>97</v>
      </c>
      <c r="F1619" t="s">
        <v>54</v>
      </c>
      <c r="G1619">
        <f t="shared" si="273"/>
        <v>0</v>
      </c>
      <c r="H1619">
        <v>6</v>
      </c>
      <c r="I1619">
        <v>7</v>
      </c>
      <c r="J1619">
        <v>0</v>
      </c>
      <c r="K1619" s="6" t="str">
        <f t="shared" ref="K1619" si="308">"vs "&amp;E1618</f>
        <v>vs Baltimore Hercules</v>
      </c>
      <c r="L1619" s="6" t="str">
        <f t="shared" ref="L1619" si="309">"vs "&amp;F1618</f>
        <v>vs Sarantos</v>
      </c>
      <c r="M1619">
        <v>205</v>
      </c>
      <c r="N1619" s="1">
        <v>0.48299999999999998</v>
      </c>
      <c r="O1619">
        <v>37</v>
      </c>
      <c r="P1619" s="1">
        <v>0.33900000000000002</v>
      </c>
      <c r="Q1619" s="1">
        <v>0.79100000000000004</v>
      </c>
      <c r="R1619">
        <v>595</v>
      </c>
      <c r="S1619">
        <v>52</v>
      </c>
      <c r="T1619">
        <v>163</v>
      </c>
      <c r="U1619">
        <v>108</v>
      </c>
      <c r="V1619">
        <v>30</v>
      </c>
      <c r="W1619">
        <v>15</v>
      </c>
      <c r="X1619">
        <v>73</v>
      </c>
      <c r="Y1619" s="5">
        <v>1.48</v>
      </c>
    </row>
    <row r="1620" spans="1:25" x14ac:dyDescent="0.25">
      <c r="A1620">
        <v>2022</v>
      </c>
      <c r="B1620" t="s">
        <v>57</v>
      </c>
      <c r="C1620">
        <v>8</v>
      </c>
      <c r="D1620">
        <v>72</v>
      </c>
      <c r="E1620" t="s">
        <v>25</v>
      </c>
      <c r="F1620" t="s">
        <v>53</v>
      </c>
      <c r="G1620">
        <f t="shared" si="273"/>
        <v>1</v>
      </c>
      <c r="H1620">
        <v>7</v>
      </c>
      <c r="I1620">
        <v>6</v>
      </c>
      <c r="J1620">
        <v>0</v>
      </c>
      <c r="K1620" s="6" t="str">
        <f t="shared" ref="K1620" si="310">"vs "&amp;E1621</f>
        <v>vs Fighting Thaddeus</v>
      </c>
      <c r="L1620" s="6" t="str">
        <f t="shared" ref="L1620" si="311">"vs "&amp;F1621</f>
        <v>vs Stavros</v>
      </c>
      <c r="M1620">
        <v>161</v>
      </c>
      <c r="N1620" s="1">
        <v>0.52100000000000002</v>
      </c>
      <c r="O1620">
        <v>55</v>
      </c>
      <c r="P1620" s="1">
        <v>0.5</v>
      </c>
      <c r="Q1620" s="1">
        <v>0.76</v>
      </c>
      <c r="R1620">
        <v>453</v>
      </c>
      <c r="S1620">
        <v>49</v>
      </c>
      <c r="T1620">
        <v>106</v>
      </c>
      <c r="U1620">
        <v>56</v>
      </c>
      <c r="V1620">
        <v>23</v>
      </c>
      <c r="W1620">
        <v>25</v>
      </c>
      <c r="X1620">
        <v>53</v>
      </c>
      <c r="Y1620" s="5">
        <v>1.06</v>
      </c>
    </row>
    <row r="1621" spans="1:25" x14ac:dyDescent="0.25">
      <c r="A1621">
        <v>2022</v>
      </c>
      <c r="B1621" t="s">
        <v>57</v>
      </c>
      <c r="C1621">
        <v>8</v>
      </c>
      <c r="D1621">
        <v>72</v>
      </c>
      <c r="E1621" t="s">
        <v>94</v>
      </c>
      <c r="F1621" t="s">
        <v>40</v>
      </c>
      <c r="G1621">
        <f t="shared" si="273"/>
        <v>0</v>
      </c>
      <c r="H1621">
        <v>6</v>
      </c>
      <c r="I1621">
        <v>7</v>
      </c>
      <c r="J1621">
        <v>0</v>
      </c>
      <c r="K1621" s="6" t="str">
        <f t="shared" ref="K1621" si="312">"vs "&amp;E1620</f>
        <v>vs The Rookies</v>
      </c>
      <c r="L1621" s="6" t="str">
        <f t="shared" ref="L1621" si="313">"vs "&amp;F1620</f>
        <v>vs Kousidis</v>
      </c>
      <c r="M1621">
        <v>146</v>
      </c>
      <c r="N1621" s="1">
        <v>0.46899999999999997</v>
      </c>
      <c r="O1621">
        <v>41</v>
      </c>
      <c r="P1621" s="1">
        <v>0.34499999999999997</v>
      </c>
      <c r="Q1621" s="1">
        <v>0.88300000000000001</v>
      </c>
      <c r="R1621">
        <v>401</v>
      </c>
      <c r="S1621">
        <v>23</v>
      </c>
      <c r="T1621">
        <v>110</v>
      </c>
      <c r="U1621">
        <v>72</v>
      </c>
      <c r="V1621">
        <v>44</v>
      </c>
      <c r="W1621">
        <v>10</v>
      </c>
      <c r="X1621">
        <v>28</v>
      </c>
      <c r="Y1621" s="5">
        <v>2.57</v>
      </c>
    </row>
    <row r="1622" spans="1:25" x14ac:dyDescent="0.25">
      <c r="A1622">
        <v>2022</v>
      </c>
      <c r="B1622" t="s">
        <v>57</v>
      </c>
      <c r="C1622">
        <v>8</v>
      </c>
      <c r="D1622">
        <v>73</v>
      </c>
      <c r="E1622" t="s">
        <v>15</v>
      </c>
      <c r="F1622" t="s">
        <v>48</v>
      </c>
      <c r="G1622">
        <f t="shared" si="273"/>
        <v>1</v>
      </c>
      <c r="H1622">
        <v>8</v>
      </c>
      <c r="I1622">
        <v>5</v>
      </c>
      <c r="J1622">
        <v>0</v>
      </c>
      <c r="K1622" s="6" t="str">
        <f t="shared" ref="K1622" si="314">"vs "&amp;E1623</f>
        <v>vs Donkey Rolls</v>
      </c>
      <c r="L1622" s="6" t="str">
        <f t="shared" ref="L1622" si="315">"vs "&amp;F1623</f>
        <v>vs Markos</v>
      </c>
      <c r="M1622">
        <v>142</v>
      </c>
      <c r="N1622" s="1">
        <v>0.42499999999999999</v>
      </c>
      <c r="O1622">
        <v>44</v>
      </c>
      <c r="P1622" s="1">
        <v>0.35199999999999998</v>
      </c>
      <c r="Q1622" s="1">
        <v>0.82399999999999995</v>
      </c>
      <c r="R1622">
        <v>370</v>
      </c>
      <c r="S1622">
        <v>28</v>
      </c>
      <c r="T1622">
        <v>115</v>
      </c>
      <c r="U1622">
        <v>114</v>
      </c>
      <c r="V1622">
        <v>24</v>
      </c>
      <c r="W1622">
        <v>15</v>
      </c>
      <c r="X1622">
        <v>52</v>
      </c>
      <c r="Y1622" s="5">
        <v>2.19</v>
      </c>
    </row>
    <row r="1623" spans="1:25" x14ac:dyDescent="0.25">
      <c r="A1623">
        <v>2022</v>
      </c>
      <c r="B1623" t="s">
        <v>57</v>
      </c>
      <c r="C1623">
        <v>8</v>
      </c>
      <c r="D1623">
        <v>73</v>
      </c>
      <c r="E1623" t="s">
        <v>17</v>
      </c>
      <c r="F1623" t="s">
        <v>43</v>
      </c>
      <c r="G1623">
        <f t="shared" si="273"/>
        <v>0</v>
      </c>
      <c r="H1623">
        <v>5</v>
      </c>
      <c r="I1623">
        <v>8</v>
      </c>
      <c r="J1623">
        <v>0</v>
      </c>
      <c r="K1623" s="6" t="str">
        <f t="shared" ref="K1623" si="316">"vs "&amp;E1622</f>
        <v>vs Salonika Devils</v>
      </c>
      <c r="L1623" s="6" t="str">
        <f t="shared" ref="L1623" si="317">"vs "&amp;F1622</f>
        <v>vs Fountos</v>
      </c>
      <c r="M1623">
        <v>128</v>
      </c>
      <c r="N1623" s="1">
        <v>0.47399999999999998</v>
      </c>
      <c r="O1623">
        <v>36</v>
      </c>
      <c r="P1623" s="1">
        <v>0.39600000000000002</v>
      </c>
      <c r="Q1623" s="1">
        <v>0.68300000000000005</v>
      </c>
      <c r="R1623">
        <v>333</v>
      </c>
      <c r="S1623">
        <v>44</v>
      </c>
      <c r="T1623">
        <v>103</v>
      </c>
      <c r="U1623">
        <v>77</v>
      </c>
      <c r="V1623">
        <v>14</v>
      </c>
      <c r="W1623">
        <v>23</v>
      </c>
      <c r="X1623">
        <v>46</v>
      </c>
      <c r="Y1623" s="5">
        <v>1.67</v>
      </c>
    </row>
    <row r="1624" spans="1:25" x14ac:dyDescent="0.25">
      <c r="A1624">
        <v>2022</v>
      </c>
      <c r="B1624" t="s">
        <v>57</v>
      </c>
      <c r="C1624">
        <v>8</v>
      </c>
      <c r="D1624">
        <v>74</v>
      </c>
      <c r="E1624" t="s">
        <v>33</v>
      </c>
      <c r="F1624" t="s">
        <v>42</v>
      </c>
      <c r="G1624">
        <f t="shared" si="273"/>
        <v>0</v>
      </c>
      <c r="H1624">
        <v>4</v>
      </c>
      <c r="I1624">
        <v>9</v>
      </c>
      <c r="J1624">
        <v>0</v>
      </c>
      <c r="K1624" s="6" t="str">
        <f t="shared" ref="K1624" si="318">"vs "&amp;E1625</f>
        <v>vs Steven Adams' Moustache</v>
      </c>
      <c r="L1624" s="6" t="str">
        <f t="shared" ref="L1624" si="319">"vs "&amp;F1625</f>
        <v>vs Johnny</v>
      </c>
      <c r="M1624">
        <v>159</v>
      </c>
      <c r="N1624" s="1">
        <v>0.45300000000000001</v>
      </c>
      <c r="O1624">
        <v>78</v>
      </c>
      <c r="P1624" s="1">
        <v>0.40799999999999997</v>
      </c>
      <c r="Q1624" s="1">
        <v>0.83199999999999996</v>
      </c>
      <c r="R1624">
        <v>475</v>
      </c>
      <c r="S1624">
        <v>19</v>
      </c>
      <c r="T1624">
        <v>121</v>
      </c>
      <c r="U1624">
        <v>118</v>
      </c>
      <c r="V1624">
        <v>23</v>
      </c>
      <c r="W1624">
        <v>8</v>
      </c>
      <c r="X1624">
        <v>69</v>
      </c>
      <c r="Y1624" s="5">
        <v>1.71</v>
      </c>
    </row>
    <row r="1625" spans="1:25" x14ac:dyDescent="0.25">
      <c r="A1625">
        <v>2022</v>
      </c>
      <c r="B1625" t="s">
        <v>57</v>
      </c>
      <c r="C1625">
        <v>8</v>
      </c>
      <c r="D1625">
        <v>74</v>
      </c>
      <c r="E1625" t="s">
        <v>28</v>
      </c>
      <c r="F1625" t="s">
        <v>46</v>
      </c>
      <c r="G1625">
        <f t="shared" si="273"/>
        <v>1</v>
      </c>
      <c r="H1625">
        <v>9</v>
      </c>
      <c r="I1625">
        <v>4</v>
      </c>
      <c r="J1625">
        <v>0</v>
      </c>
      <c r="K1625" s="6" t="str">
        <f t="shared" ref="K1625" si="320">"vs "&amp;E1624</f>
        <v>vs The Guns</v>
      </c>
      <c r="L1625" s="6" t="str">
        <f t="shared" ref="L1625" si="321">"vs "&amp;F1624</f>
        <v>vs Vasilis</v>
      </c>
      <c r="M1625">
        <v>169</v>
      </c>
      <c r="N1625" s="1">
        <v>0.45400000000000001</v>
      </c>
      <c r="O1625">
        <v>52</v>
      </c>
      <c r="P1625" s="1">
        <v>0.36899999999999999</v>
      </c>
      <c r="Q1625" s="1">
        <v>0.85099999999999998</v>
      </c>
      <c r="R1625">
        <v>447</v>
      </c>
      <c r="S1625">
        <v>31</v>
      </c>
      <c r="T1625">
        <v>130</v>
      </c>
      <c r="U1625">
        <v>112</v>
      </c>
      <c r="V1625">
        <v>27</v>
      </c>
      <c r="W1625">
        <v>24</v>
      </c>
      <c r="X1625">
        <v>52</v>
      </c>
      <c r="Y1625" s="5">
        <v>2.15</v>
      </c>
    </row>
    <row r="1626" spans="1:25" x14ac:dyDescent="0.25">
      <c r="A1626">
        <v>2022</v>
      </c>
      <c r="B1626" t="s">
        <v>57</v>
      </c>
      <c r="C1626">
        <v>8</v>
      </c>
      <c r="D1626">
        <v>75</v>
      </c>
      <c r="E1626" t="s">
        <v>190</v>
      </c>
      <c r="F1626" t="s">
        <v>103</v>
      </c>
      <c r="G1626">
        <f t="shared" si="273"/>
        <v>1</v>
      </c>
      <c r="H1626">
        <v>8</v>
      </c>
      <c r="I1626">
        <v>5</v>
      </c>
      <c r="J1626">
        <v>0</v>
      </c>
      <c r="K1626" s="6" t="str">
        <f t="shared" ref="K1626" si="322">"vs "&amp;E1627</f>
        <v>vs purple fuzzy apache pirates</v>
      </c>
      <c r="L1626" s="6" t="str">
        <f t="shared" ref="L1626" si="323">"vs "&amp;F1627</f>
        <v>vs pi/Sotiris</v>
      </c>
      <c r="M1626">
        <v>194</v>
      </c>
      <c r="N1626" s="1">
        <v>0.44700000000000001</v>
      </c>
      <c r="O1626">
        <v>60</v>
      </c>
      <c r="P1626" s="1">
        <v>0.34300000000000003</v>
      </c>
      <c r="Q1626" s="1">
        <v>0.81</v>
      </c>
      <c r="R1626">
        <v>546</v>
      </c>
      <c r="S1626">
        <v>48</v>
      </c>
      <c r="T1626">
        <v>126</v>
      </c>
      <c r="U1626">
        <v>145</v>
      </c>
      <c r="V1626">
        <v>45</v>
      </c>
      <c r="W1626">
        <v>30</v>
      </c>
      <c r="X1626">
        <v>71</v>
      </c>
      <c r="Y1626" s="5">
        <v>2.04</v>
      </c>
    </row>
    <row r="1627" spans="1:25" x14ac:dyDescent="0.25">
      <c r="A1627">
        <v>2022</v>
      </c>
      <c r="B1627" t="s">
        <v>57</v>
      </c>
      <c r="C1627">
        <v>8</v>
      </c>
      <c r="D1627">
        <v>75</v>
      </c>
      <c r="E1627" t="s">
        <v>159</v>
      </c>
      <c r="F1627" t="s">
        <v>116</v>
      </c>
      <c r="G1627">
        <f t="shared" si="273"/>
        <v>0</v>
      </c>
      <c r="H1627">
        <v>5</v>
      </c>
      <c r="I1627">
        <v>8</v>
      </c>
      <c r="J1627">
        <v>0</v>
      </c>
      <c r="K1627" s="6" t="str">
        <f t="shared" ref="K1627" si="324">"vs "&amp;E1626</f>
        <v>vs Karafli SaiTa</v>
      </c>
      <c r="L1627" s="6" t="str">
        <f t="shared" ref="L1627" si="325">"vs "&amp;F1626</f>
        <v>vs Tassos</v>
      </c>
      <c r="M1627">
        <v>240</v>
      </c>
      <c r="N1627" s="1">
        <v>0.45500000000000002</v>
      </c>
      <c r="O1627">
        <v>59</v>
      </c>
      <c r="P1627" s="1">
        <v>0.34100000000000003</v>
      </c>
      <c r="Q1627" s="1">
        <v>0.72599999999999998</v>
      </c>
      <c r="R1627">
        <v>616</v>
      </c>
      <c r="S1627">
        <v>36</v>
      </c>
      <c r="T1627">
        <v>205</v>
      </c>
      <c r="U1627">
        <v>178</v>
      </c>
      <c r="V1627">
        <v>41</v>
      </c>
      <c r="W1627">
        <v>24</v>
      </c>
      <c r="X1627">
        <v>105</v>
      </c>
      <c r="Y1627" s="5">
        <v>1.7</v>
      </c>
    </row>
    <row r="1628" spans="1:25" x14ac:dyDescent="0.25">
      <c r="A1628">
        <v>2022</v>
      </c>
      <c r="B1628" t="s">
        <v>57</v>
      </c>
      <c r="C1628">
        <v>8</v>
      </c>
      <c r="D1628">
        <v>76</v>
      </c>
      <c r="E1628" t="s">
        <v>26</v>
      </c>
      <c r="F1628" t="s">
        <v>118</v>
      </c>
      <c r="G1628">
        <f t="shared" si="273"/>
        <v>1</v>
      </c>
      <c r="H1628">
        <v>8</v>
      </c>
      <c r="I1628">
        <v>5</v>
      </c>
      <c r="J1628">
        <v>0</v>
      </c>
      <c r="K1628" s="6" t="str">
        <f t="shared" ref="K1628" si="326">"vs "&amp;E1629</f>
        <v>vs Knights of Ni</v>
      </c>
      <c r="L1628" s="6" t="str">
        <f t="shared" ref="L1628" si="327">"vs "&amp;F1629</f>
        <v>vs Tolios</v>
      </c>
      <c r="M1628">
        <v>159</v>
      </c>
      <c r="N1628" s="1">
        <v>0.47199999999999998</v>
      </c>
      <c r="O1628">
        <v>48</v>
      </c>
      <c r="P1628" s="1">
        <v>0.34499999999999997</v>
      </c>
      <c r="Q1628" s="1">
        <v>0.81</v>
      </c>
      <c r="R1628">
        <v>430</v>
      </c>
      <c r="S1628">
        <v>24</v>
      </c>
      <c r="T1628">
        <v>135</v>
      </c>
      <c r="U1628">
        <v>140</v>
      </c>
      <c r="V1628">
        <v>35</v>
      </c>
      <c r="W1628">
        <v>21</v>
      </c>
      <c r="X1628">
        <v>70</v>
      </c>
      <c r="Y1628" s="5">
        <v>2</v>
      </c>
    </row>
    <row r="1629" spans="1:25" x14ac:dyDescent="0.25">
      <c r="A1629">
        <v>2022</v>
      </c>
      <c r="B1629" t="s">
        <v>57</v>
      </c>
      <c r="C1629">
        <v>8</v>
      </c>
      <c r="D1629">
        <v>76</v>
      </c>
      <c r="E1629" t="s">
        <v>96</v>
      </c>
      <c r="F1629" t="s">
        <v>102</v>
      </c>
      <c r="G1629">
        <f t="shared" si="273"/>
        <v>0</v>
      </c>
      <c r="H1629">
        <v>5</v>
      </c>
      <c r="I1629">
        <v>8</v>
      </c>
      <c r="J1629">
        <v>0</v>
      </c>
      <c r="K1629" s="6" t="str">
        <f t="shared" ref="K1629" si="328">"vs "&amp;E1628</f>
        <v>vs Kourayo Vallecano</v>
      </c>
      <c r="L1629" s="6" t="str">
        <f t="shared" ref="L1629" si="329">"vs "&amp;F1628</f>
        <v>vs Ziogas/Christof</v>
      </c>
      <c r="M1629">
        <v>123</v>
      </c>
      <c r="N1629" s="1">
        <v>0.48599999999999999</v>
      </c>
      <c r="O1629">
        <v>30</v>
      </c>
      <c r="P1629" s="1">
        <v>0.35699999999999998</v>
      </c>
      <c r="Q1629" s="1">
        <v>0.79600000000000004</v>
      </c>
      <c r="R1629">
        <v>319</v>
      </c>
      <c r="S1629">
        <v>44</v>
      </c>
      <c r="T1629">
        <v>98</v>
      </c>
      <c r="U1629">
        <v>49</v>
      </c>
      <c r="V1629">
        <v>21</v>
      </c>
      <c r="W1629">
        <v>13</v>
      </c>
      <c r="X1629">
        <v>24</v>
      </c>
      <c r="Y1629" s="5">
        <v>2.04</v>
      </c>
    </row>
    <row r="1630" spans="1:25" x14ac:dyDescent="0.25">
      <c r="A1630">
        <v>2022</v>
      </c>
      <c r="B1630" t="s">
        <v>57</v>
      </c>
      <c r="C1630">
        <v>8</v>
      </c>
      <c r="D1630">
        <v>77</v>
      </c>
      <c r="E1630" t="s">
        <v>93</v>
      </c>
      <c r="F1630" t="s">
        <v>189</v>
      </c>
      <c r="G1630">
        <f t="shared" si="273"/>
        <v>0</v>
      </c>
      <c r="H1630">
        <v>4</v>
      </c>
      <c r="I1630">
        <v>8</v>
      </c>
      <c r="J1630">
        <v>1</v>
      </c>
      <c r="K1630" s="6" t="str">
        <f t="shared" ref="K1630" si="330">"vs "&amp;E1631</f>
        <v>vs st.Helens Eruptions</v>
      </c>
      <c r="L1630" s="6" t="str">
        <f t="shared" ref="L1630" si="331">"vs "&amp;F1631</f>
        <v>vs Aris</v>
      </c>
      <c r="M1630">
        <v>136</v>
      </c>
      <c r="N1630" s="1">
        <v>0.433</v>
      </c>
      <c r="O1630">
        <v>45</v>
      </c>
      <c r="P1630" s="1">
        <v>0.315</v>
      </c>
      <c r="Q1630" s="1">
        <v>0.91500000000000004</v>
      </c>
      <c r="R1630">
        <v>360</v>
      </c>
      <c r="S1630">
        <v>25</v>
      </c>
      <c r="T1630">
        <v>116</v>
      </c>
      <c r="U1630">
        <v>76</v>
      </c>
      <c r="V1630">
        <v>24</v>
      </c>
      <c r="W1630">
        <v>13</v>
      </c>
      <c r="X1630">
        <v>36</v>
      </c>
      <c r="Y1630" s="5">
        <v>2.11</v>
      </c>
    </row>
    <row r="1631" spans="1:25" x14ac:dyDescent="0.25">
      <c r="A1631">
        <v>2022</v>
      </c>
      <c r="B1631" t="s">
        <v>57</v>
      </c>
      <c r="C1631">
        <v>8</v>
      </c>
      <c r="D1631">
        <v>77</v>
      </c>
      <c r="E1631" t="s">
        <v>21</v>
      </c>
      <c r="F1631" t="s">
        <v>50</v>
      </c>
      <c r="G1631">
        <f t="shared" si="273"/>
        <v>1</v>
      </c>
      <c r="H1631">
        <v>8</v>
      </c>
      <c r="I1631">
        <v>4</v>
      </c>
      <c r="J1631">
        <v>1</v>
      </c>
      <c r="K1631" s="6" t="str">
        <f t="shared" ref="K1631" si="332">"vs "&amp;E1630</f>
        <v>vs Guruuu 🐐🐐🐐</v>
      </c>
      <c r="L1631" s="6" t="str">
        <f t="shared" ref="L1631" si="333">"vs "&amp;F1630</f>
        <v>vs Guru</v>
      </c>
      <c r="M1631">
        <v>147</v>
      </c>
      <c r="N1631" s="1">
        <v>0.45</v>
      </c>
      <c r="O1631">
        <v>53</v>
      </c>
      <c r="P1631" s="1">
        <v>0.34</v>
      </c>
      <c r="Q1631" s="1">
        <v>0.72499999999999998</v>
      </c>
      <c r="R1631">
        <v>413</v>
      </c>
      <c r="S1631">
        <v>45</v>
      </c>
      <c r="T1631">
        <v>139</v>
      </c>
      <c r="U1631">
        <v>112</v>
      </c>
      <c r="V1631">
        <v>20</v>
      </c>
      <c r="W1631">
        <v>13</v>
      </c>
      <c r="X1631">
        <v>78</v>
      </c>
      <c r="Y1631" s="5">
        <v>1.44</v>
      </c>
    </row>
    <row r="1632" spans="1:25" x14ac:dyDescent="0.25">
      <c r="A1632">
        <v>2022</v>
      </c>
      <c r="B1632" t="s">
        <v>57</v>
      </c>
      <c r="C1632">
        <v>8</v>
      </c>
      <c r="D1632">
        <v>78</v>
      </c>
      <c r="E1632" t="s">
        <v>98</v>
      </c>
      <c r="F1632" t="s">
        <v>41</v>
      </c>
      <c r="G1632">
        <f t="shared" si="273"/>
        <v>1</v>
      </c>
      <c r="H1632">
        <v>10</v>
      </c>
      <c r="I1632">
        <v>3</v>
      </c>
      <c r="J1632">
        <v>0</v>
      </c>
      <c r="K1632" s="6" t="str">
        <f t="shared" ref="K1632" si="334">"vs "&amp;E1633</f>
        <v>vs The Bad Boys</v>
      </c>
      <c r="L1632" s="6" t="str">
        <f t="shared" ref="L1632" si="335">"vs "&amp;F1633</f>
        <v>vs Arvanitis</v>
      </c>
      <c r="M1632">
        <v>115</v>
      </c>
      <c r="N1632" s="1">
        <v>0.51100000000000001</v>
      </c>
      <c r="O1632">
        <v>35</v>
      </c>
      <c r="P1632" s="1">
        <v>0.38900000000000001</v>
      </c>
      <c r="Q1632" s="1">
        <v>0.71099999999999997</v>
      </c>
      <c r="R1632">
        <v>292</v>
      </c>
      <c r="S1632">
        <v>19</v>
      </c>
      <c r="T1632">
        <v>97</v>
      </c>
      <c r="U1632">
        <v>48</v>
      </c>
      <c r="V1632">
        <v>31</v>
      </c>
      <c r="W1632">
        <v>25</v>
      </c>
      <c r="X1632">
        <v>26</v>
      </c>
      <c r="Y1632" s="5">
        <v>1.85</v>
      </c>
    </row>
    <row r="1633" spans="1:25" x14ac:dyDescent="0.25">
      <c r="A1633">
        <v>2022</v>
      </c>
      <c r="B1633" t="s">
        <v>57</v>
      </c>
      <c r="C1633">
        <v>8</v>
      </c>
      <c r="D1633">
        <v>78</v>
      </c>
      <c r="E1633" t="s">
        <v>154</v>
      </c>
      <c r="F1633" t="s">
        <v>155</v>
      </c>
      <c r="G1633">
        <f t="shared" si="273"/>
        <v>0</v>
      </c>
      <c r="H1633">
        <v>3</v>
      </c>
      <c r="I1633">
        <v>10</v>
      </c>
      <c r="J1633">
        <v>0</v>
      </c>
      <c r="K1633" s="6" t="str">
        <f t="shared" ref="K1633" si="336">"vs "&amp;E1632</f>
        <v>vs Xanthi Ducks 🦆</v>
      </c>
      <c r="L1633" s="6" t="str">
        <f t="shared" ref="L1633" si="337">"vs "&amp;F1632</f>
        <v>vs Kotakis</v>
      </c>
      <c r="M1633">
        <v>68</v>
      </c>
      <c r="N1633" s="1">
        <v>0.40500000000000003</v>
      </c>
      <c r="O1633">
        <v>24</v>
      </c>
      <c r="P1633" s="1">
        <v>0.32</v>
      </c>
      <c r="Q1633" s="1">
        <v>0.73899999999999999</v>
      </c>
      <c r="R1633">
        <v>177</v>
      </c>
      <c r="S1633">
        <v>21</v>
      </c>
      <c r="T1633">
        <v>61</v>
      </c>
      <c r="U1633">
        <v>24</v>
      </c>
      <c r="V1633">
        <v>17</v>
      </c>
      <c r="W1633">
        <v>22</v>
      </c>
      <c r="X1633">
        <v>24</v>
      </c>
      <c r="Y1633" s="5">
        <v>1</v>
      </c>
    </row>
    <row r="1634" spans="1:25" x14ac:dyDescent="0.25">
      <c r="A1634">
        <v>2022</v>
      </c>
      <c r="B1634" t="s">
        <v>57</v>
      </c>
      <c r="C1634">
        <v>8</v>
      </c>
      <c r="D1634">
        <v>79</v>
      </c>
      <c r="E1634" t="s">
        <v>23</v>
      </c>
      <c r="F1634" t="s">
        <v>120</v>
      </c>
      <c r="G1634">
        <f t="shared" si="273"/>
        <v>1</v>
      </c>
      <c r="H1634">
        <v>8</v>
      </c>
      <c r="I1634">
        <v>4</v>
      </c>
      <c r="J1634">
        <v>1</v>
      </c>
      <c r="K1634" s="6" t="str">
        <f t="shared" ref="K1634" si="338">"vs "&amp;E1635</f>
        <v>vs Samarina Dudenbros</v>
      </c>
      <c r="L1634" s="6" t="str">
        <f t="shared" ref="L1634" si="339">"vs "&amp;F1635</f>
        <v>vs Sakellariou</v>
      </c>
      <c r="M1634">
        <v>179</v>
      </c>
      <c r="N1634" s="1">
        <v>0.49299999999999999</v>
      </c>
      <c r="O1634">
        <v>47</v>
      </c>
      <c r="P1634" s="1">
        <v>0.379</v>
      </c>
      <c r="Q1634" s="1">
        <v>0.77200000000000002</v>
      </c>
      <c r="R1634">
        <v>476</v>
      </c>
      <c r="S1634">
        <v>45</v>
      </c>
      <c r="T1634">
        <v>147</v>
      </c>
      <c r="U1634">
        <v>111</v>
      </c>
      <c r="V1634">
        <v>26</v>
      </c>
      <c r="W1634">
        <v>18</v>
      </c>
      <c r="X1634">
        <v>68</v>
      </c>
      <c r="Y1634" s="5">
        <v>1.63</v>
      </c>
    </row>
    <row r="1635" spans="1:25" x14ac:dyDescent="0.25">
      <c r="A1635">
        <v>2022</v>
      </c>
      <c r="B1635" t="s">
        <v>57</v>
      </c>
      <c r="C1635">
        <v>8</v>
      </c>
      <c r="D1635">
        <v>79</v>
      </c>
      <c r="E1635" t="s">
        <v>181</v>
      </c>
      <c r="F1635" t="s">
        <v>49</v>
      </c>
      <c r="G1635">
        <f t="shared" si="273"/>
        <v>0</v>
      </c>
      <c r="H1635">
        <v>4</v>
      </c>
      <c r="I1635">
        <v>8</v>
      </c>
      <c r="J1635">
        <v>1</v>
      </c>
      <c r="K1635" s="6" t="str">
        <f t="shared" ref="K1635" si="340">"vs "&amp;E1634</f>
        <v>vs Pachiana NinjaBees</v>
      </c>
      <c r="L1635" s="6" t="str">
        <f t="shared" ref="L1635" si="341">"vs "&amp;F1634</f>
        <v>vs Spiridaus/Oladipas</v>
      </c>
      <c r="M1635">
        <v>173</v>
      </c>
      <c r="N1635" s="1">
        <v>0.437</v>
      </c>
      <c r="O1635">
        <v>52</v>
      </c>
      <c r="P1635" s="1">
        <v>0.32700000000000001</v>
      </c>
      <c r="Q1635" s="1">
        <v>0.76800000000000002</v>
      </c>
      <c r="R1635">
        <v>461</v>
      </c>
      <c r="S1635">
        <v>38</v>
      </c>
      <c r="T1635">
        <v>122</v>
      </c>
      <c r="U1635">
        <v>93</v>
      </c>
      <c r="V1635">
        <v>32</v>
      </c>
      <c r="W1635">
        <v>18</v>
      </c>
      <c r="X1635">
        <v>50</v>
      </c>
      <c r="Y1635" s="5">
        <v>1.86</v>
      </c>
    </row>
    <row r="1636" spans="1:25" x14ac:dyDescent="0.25">
      <c r="A1636">
        <v>2022</v>
      </c>
      <c r="B1636" t="s">
        <v>57</v>
      </c>
      <c r="C1636">
        <v>8</v>
      </c>
      <c r="D1636">
        <v>80</v>
      </c>
      <c r="E1636" t="s">
        <v>16</v>
      </c>
      <c r="F1636" t="s">
        <v>51</v>
      </c>
      <c r="G1636">
        <f t="shared" si="273"/>
        <v>0</v>
      </c>
      <c r="H1636">
        <v>5</v>
      </c>
      <c r="I1636">
        <v>7</v>
      </c>
      <c r="J1636">
        <v>1</v>
      </c>
      <c r="K1636" s="6" t="str">
        <f t="shared" ref="K1636" si="342">"vs "&amp;E1637</f>
        <v>vs Tsarlatans</v>
      </c>
      <c r="L1636" s="6" t="str">
        <f t="shared" ref="L1636" si="343">"vs "&amp;F1637</f>
        <v>vs Tzokos</v>
      </c>
      <c r="M1636">
        <v>156</v>
      </c>
      <c r="N1636" s="1">
        <v>0.46400000000000002</v>
      </c>
      <c r="O1636">
        <v>38</v>
      </c>
      <c r="P1636" s="1">
        <v>0.30199999999999999</v>
      </c>
      <c r="Q1636" s="1">
        <v>0.73899999999999999</v>
      </c>
      <c r="R1636">
        <v>401</v>
      </c>
      <c r="S1636">
        <v>26</v>
      </c>
      <c r="T1636">
        <v>123</v>
      </c>
      <c r="U1636">
        <v>103</v>
      </c>
      <c r="V1636">
        <v>36</v>
      </c>
      <c r="W1636">
        <v>22</v>
      </c>
      <c r="X1636">
        <v>52</v>
      </c>
      <c r="Y1636" s="5">
        <v>1.98</v>
      </c>
    </row>
    <row r="1637" spans="1:25" x14ac:dyDescent="0.25">
      <c r="A1637">
        <v>2022</v>
      </c>
      <c r="B1637" t="s">
        <v>57</v>
      </c>
      <c r="C1637">
        <v>8</v>
      </c>
      <c r="D1637">
        <v>80</v>
      </c>
      <c r="E1637" t="s">
        <v>99</v>
      </c>
      <c r="F1637" t="s">
        <v>45</v>
      </c>
      <c r="G1637">
        <f t="shared" si="273"/>
        <v>1</v>
      </c>
      <c r="H1637">
        <v>7</v>
      </c>
      <c r="I1637">
        <v>5</v>
      </c>
      <c r="J1637">
        <v>1</v>
      </c>
      <c r="K1637" s="6" t="str">
        <f t="shared" ref="K1637" si="344">"vs "&amp;E1636</f>
        <v>vs The Bridgeburners</v>
      </c>
      <c r="L1637" s="6" t="str">
        <f t="shared" ref="L1637" si="345">"vs "&amp;F1636</f>
        <v>vs Fanis</v>
      </c>
      <c r="M1637">
        <v>158</v>
      </c>
      <c r="N1637" s="1">
        <v>0.47299999999999998</v>
      </c>
      <c r="O1637">
        <v>41</v>
      </c>
      <c r="P1637" s="1">
        <v>0.33900000000000002</v>
      </c>
      <c r="Q1637" s="1">
        <v>0.74199999999999999</v>
      </c>
      <c r="R1637">
        <v>429</v>
      </c>
      <c r="S1637">
        <v>53</v>
      </c>
      <c r="T1637">
        <v>108</v>
      </c>
      <c r="U1637">
        <v>96</v>
      </c>
      <c r="V1637">
        <v>28</v>
      </c>
      <c r="W1637">
        <v>17</v>
      </c>
      <c r="X1637">
        <v>52</v>
      </c>
      <c r="Y1637" s="5">
        <v>1.85</v>
      </c>
    </row>
    <row r="1638" spans="1:25" x14ac:dyDescent="0.25">
      <c r="A1638">
        <v>2022</v>
      </c>
      <c r="B1638" t="s">
        <v>57</v>
      </c>
      <c r="C1638">
        <v>9</v>
      </c>
      <c r="D1638">
        <v>81</v>
      </c>
      <c r="E1638" t="s">
        <v>28</v>
      </c>
      <c r="F1638" t="s">
        <v>46</v>
      </c>
      <c r="G1638">
        <f t="shared" si="273"/>
        <v>1</v>
      </c>
      <c r="H1638">
        <v>12</v>
      </c>
      <c r="I1638">
        <v>1</v>
      </c>
      <c r="J1638">
        <v>0</v>
      </c>
      <c r="K1638" s="6" t="str">
        <f t="shared" ref="K1638" si="346">"vs "&amp;E1639</f>
        <v>vs Xanthi Ducks 🦆</v>
      </c>
      <c r="L1638" s="6" t="str">
        <f t="shared" ref="L1638" si="347">"vs "&amp;F1639</f>
        <v>vs Kotakis</v>
      </c>
      <c r="M1638">
        <v>201</v>
      </c>
      <c r="N1638" s="1">
        <v>0.499</v>
      </c>
      <c r="O1638">
        <v>53</v>
      </c>
      <c r="P1638" s="1">
        <v>0.39</v>
      </c>
      <c r="Q1638" s="1">
        <v>0.69399999999999995</v>
      </c>
      <c r="R1638">
        <v>505</v>
      </c>
      <c r="S1638">
        <v>35</v>
      </c>
      <c r="T1638">
        <v>114</v>
      </c>
      <c r="U1638">
        <v>131</v>
      </c>
      <c r="V1638">
        <v>36</v>
      </c>
      <c r="W1638">
        <v>15</v>
      </c>
      <c r="X1638">
        <v>48</v>
      </c>
      <c r="Y1638" s="5">
        <v>2.73</v>
      </c>
    </row>
    <row r="1639" spans="1:25" x14ac:dyDescent="0.25">
      <c r="A1639">
        <v>2022</v>
      </c>
      <c r="B1639" t="s">
        <v>57</v>
      </c>
      <c r="C1639">
        <v>9</v>
      </c>
      <c r="D1639">
        <v>81</v>
      </c>
      <c r="E1639" t="s">
        <v>98</v>
      </c>
      <c r="F1639" t="s">
        <v>41</v>
      </c>
      <c r="G1639">
        <f t="shared" si="273"/>
        <v>0</v>
      </c>
      <c r="H1639">
        <v>1</v>
      </c>
      <c r="I1639">
        <v>12</v>
      </c>
      <c r="J1639">
        <v>0</v>
      </c>
      <c r="K1639" s="6" t="str">
        <f t="shared" ref="K1639" si="348">"vs "&amp;E1638</f>
        <v>vs Steven Adams' Moustache</v>
      </c>
      <c r="L1639" s="6" t="str">
        <f t="shared" ref="L1639" si="349">"vs "&amp;F1638</f>
        <v>vs Johnny</v>
      </c>
      <c r="M1639">
        <v>103</v>
      </c>
      <c r="N1639" s="1">
        <v>0.49</v>
      </c>
      <c r="O1639">
        <v>26</v>
      </c>
      <c r="P1639" s="1">
        <v>0.313</v>
      </c>
      <c r="Q1639" s="1">
        <v>0.623</v>
      </c>
      <c r="R1639">
        <v>265</v>
      </c>
      <c r="S1639">
        <v>19</v>
      </c>
      <c r="T1639">
        <v>53</v>
      </c>
      <c r="U1639">
        <v>36</v>
      </c>
      <c r="V1639">
        <v>28</v>
      </c>
      <c r="W1639">
        <v>11</v>
      </c>
      <c r="X1639">
        <v>21</v>
      </c>
      <c r="Y1639" s="5">
        <v>1.71</v>
      </c>
    </row>
    <row r="1640" spans="1:25" x14ac:dyDescent="0.25">
      <c r="A1640">
        <v>2022</v>
      </c>
      <c r="B1640" t="s">
        <v>57</v>
      </c>
      <c r="C1640">
        <v>9</v>
      </c>
      <c r="D1640">
        <v>82</v>
      </c>
      <c r="E1640" t="s">
        <v>95</v>
      </c>
      <c r="F1640" t="s">
        <v>101</v>
      </c>
      <c r="G1640">
        <f t="shared" si="273"/>
        <v>1</v>
      </c>
      <c r="H1640">
        <v>12</v>
      </c>
      <c r="I1640">
        <v>1</v>
      </c>
      <c r="J1640">
        <v>0</v>
      </c>
      <c r="K1640" s="6" t="str">
        <f t="shared" ref="K1640" si="350">"vs "&amp;E1641</f>
        <v>vs The Guns</v>
      </c>
      <c r="L1640" s="6" t="str">
        <f t="shared" ref="L1640" si="351">"vs "&amp;F1641</f>
        <v>vs Vasilis</v>
      </c>
      <c r="M1640">
        <v>150</v>
      </c>
      <c r="N1640" s="1">
        <v>0.48899999999999999</v>
      </c>
      <c r="O1640">
        <v>58</v>
      </c>
      <c r="P1640" s="1">
        <v>0.4</v>
      </c>
      <c r="Q1640" s="1">
        <v>0.77800000000000002</v>
      </c>
      <c r="R1640">
        <v>407</v>
      </c>
      <c r="S1640">
        <v>35</v>
      </c>
      <c r="T1640">
        <v>115</v>
      </c>
      <c r="U1640">
        <v>113</v>
      </c>
      <c r="V1640">
        <v>33</v>
      </c>
      <c r="W1640">
        <v>14</v>
      </c>
      <c r="X1640">
        <v>43</v>
      </c>
      <c r="Y1640" s="5">
        <v>2.63</v>
      </c>
    </row>
    <row r="1641" spans="1:25" x14ac:dyDescent="0.25">
      <c r="A1641">
        <v>2022</v>
      </c>
      <c r="B1641" t="s">
        <v>57</v>
      </c>
      <c r="C1641">
        <v>9</v>
      </c>
      <c r="D1641">
        <v>82</v>
      </c>
      <c r="E1641" t="s">
        <v>33</v>
      </c>
      <c r="F1641" t="s">
        <v>42</v>
      </c>
      <c r="G1641">
        <f t="shared" si="273"/>
        <v>0</v>
      </c>
      <c r="H1641">
        <v>1</v>
      </c>
      <c r="I1641">
        <v>12</v>
      </c>
      <c r="J1641">
        <v>0</v>
      </c>
      <c r="K1641" s="6" t="str">
        <f t="shared" ref="K1641" si="352">"vs "&amp;E1640</f>
        <v>vs Baltimore Hercules</v>
      </c>
      <c r="L1641" s="6" t="str">
        <f t="shared" ref="L1641" si="353">"vs "&amp;F1640</f>
        <v>vs Sarantos</v>
      </c>
      <c r="M1641">
        <v>112</v>
      </c>
      <c r="N1641" s="1">
        <v>0.44400000000000001</v>
      </c>
      <c r="O1641">
        <v>54</v>
      </c>
      <c r="P1641" s="1">
        <v>0.372</v>
      </c>
      <c r="Q1641" s="1">
        <v>0.80800000000000005</v>
      </c>
      <c r="R1641">
        <v>337</v>
      </c>
      <c r="S1641">
        <v>10</v>
      </c>
      <c r="T1641">
        <v>98</v>
      </c>
      <c r="U1641">
        <v>92</v>
      </c>
      <c r="V1641">
        <v>16</v>
      </c>
      <c r="W1641">
        <v>10</v>
      </c>
      <c r="X1641">
        <v>48</v>
      </c>
      <c r="Y1641" s="5">
        <v>1.92</v>
      </c>
    </row>
    <row r="1642" spans="1:25" x14ac:dyDescent="0.25">
      <c r="A1642">
        <v>2022</v>
      </c>
      <c r="B1642" t="s">
        <v>57</v>
      </c>
      <c r="C1642">
        <v>9</v>
      </c>
      <c r="D1642">
        <v>83</v>
      </c>
      <c r="E1642" t="s">
        <v>25</v>
      </c>
      <c r="F1642" t="s">
        <v>53</v>
      </c>
      <c r="G1642">
        <f t="shared" si="273"/>
        <v>0</v>
      </c>
      <c r="H1642">
        <v>5</v>
      </c>
      <c r="I1642">
        <v>7</v>
      </c>
      <c r="J1642">
        <v>1</v>
      </c>
      <c r="K1642" s="6" t="str">
        <f t="shared" ref="K1642" si="354">"vs "&amp;E1643</f>
        <v>vs Salonika Devils</v>
      </c>
      <c r="L1642" s="6" t="str">
        <f t="shared" ref="L1642" si="355">"vs "&amp;F1643</f>
        <v>vs Fountos</v>
      </c>
      <c r="M1642">
        <v>94</v>
      </c>
      <c r="N1642" s="1">
        <v>0.47699999999999998</v>
      </c>
      <c r="O1642">
        <v>19</v>
      </c>
      <c r="P1642" s="1">
        <v>0.36499999999999999</v>
      </c>
      <c r="Q1642" s="1">
        <v>0.78</v>
      </c>
      <c r="R1642">
        <v>239</v>
      </c>
      <c r="S1642">
        <v>32</v>
      </c>
      <c r="T1642">
        <v>95</v>
      </c>
      <c r="U1642">
        <v>42</v>
      </c>
      <c r="V1642">
        <v>16</v>
      </c>
      <c r="W1642">
        <v>10</v>
      </c>
      <c r="X1642">
        <v>29</v>
      </c>
      <c r="Y1642" s="5">
        <v>1.45</v>
      </c>
    </row>
    <row r="1643" spans="1:25" x14ac:dyDescent="0.25">
      <c r="A1643">
        <v>2022</v>
      </c>
      <c r="B1643" t="s">
        <v>57</v>
      </c>
      <c r="C1643">
        <v>9</v>
      </c>
      <c r="D1643">
        <v>83</v>
      </c>
      <c r="E1643" t="s">
        <v>15</v>
      </c>
      <c r="F1643" t="s">
        <v>48</v>
      </c>
      <c r="G1643">
        <f t="shared" si="273"/>
        <v>1</v>
      </c>
      <c r="H1643">
        <v>7</v>
      </c>
      <c r="I1643">
        <v>5</v>
      </c>
      <c r="J1643">
        <v>1</v>
      </c>
      <c r="K1643" s="6" t="str">
        <f t="shared" ref="K1643" si="356">"vs "&amp;E1642</f>
        <v>vs The Rookies</v>
      </c>
      <c r="L1643" s="6" t="str">
        <f t="shared" ref="L1643" si="357">"vs "&amp;F1642</f>
        <v>vs Kousidis</v>
      </c>
      <c r="M1643">
        <v>99</v>
      </c>
      <c r="N1643" s="1">
        <v>0.40600000000000003</v>
      </c>
      <c r="O1643">
        <v>23</v>
      </c>
      <c r="P1643" s="1">
        <v>0.28000000000000003</v>
      </c>
      <c r="Q1643" s="1">
        <v>0.76400000000000001</v>
      </c>
      <c r="R1643">
        <v>263</v>
      </c>
      <c r="S1643">
        <v>16</v>
      </c>
      <c r="T1643">
        <v>79</v>
      </c>
      <c r="U1643">
        <v>75</v>
      </c>
      <c r="V1643">
        <v>21</v>
      </c>
      <c r="W1643">
        <v>14</v>
      </c>
      <c r="X1643">
        <v>29</v>
      </c>
      <c r="Y1643" s="5">
        <v>2.59</v>
      </c>
    </row>
    <row r="1644" spans="1:25" x14ac:dyDescent="0.25">
      <c r="A1644">
        <v>2022</v>
      </c>
      <c r="B1644" t="s">
        <v>57</v>
      </c>
      <c r="C1644">
        <v>9</v>
      </c>
      <c r="D1644">
        <v>84</v>
      </c>
      <c r="E1644" t="s">
        <v>154</v>
      </c>
      <c r="F1644" t="s">
        <v>155</v>
      </c>
      <c r="G1644">
        <f t="shared" si="273"/>
        <v>0</v>
      </c>
      <c r="H1644">
        <v>3</v>
      </c>
      <c r="I1644">
        <v>10</v>
      </c>
      <c r="J1644">
        <v>0</v>
      </c>
      <c r="K1644" s="6" t="str">
        <f t="shared" ref="K1644" si="358">"vs "&amp;E1645</f>
        <v>vs Pachiana NinjaBees</v>
      </c>
      <c r="L1644" s="6" t="str">
        <f t="shared" ref="L1644" si="359">"vs "&amp;F1645</f>
        <v>vs Spiridaus/Oladipas</v>
      </c>
      <c r="M1644">
        <v>77</v>
      </c>
      <c r="N1644" s="1">
        <v>0.41799999999999998</v>
      </c>
      <c r="O1644">
        <v>28</v>
      </c>
      <c r="P1644" s="1">
        <v>0.378</v>
      </c>
      <c r="Q1644" s="1">
        <v>0.75900000000000001</v>
      </c>
      <c r="R1644">
        <v>223</v>
      </c>
      <c r="S1644">
        <v>10</v>
      </c>
      <c r="T1644">
        <v>74</v>
      </c>
      <c r="U1644">
        <v>36</v>
      </c>
      <c r="V1644">
        <v>24</v>
      </c>
      <c r="W1644">
        <v>8</v>
      </c>
      <c r="X1644">
        <v>25</v>
      </c>
      <c r="Y1644" s="5">
        <v>1.44</v>
      </c>
    </row>
    <row r="1645" spans="1:25" x14ac:dyDescent="0.25">
      <c r="A1645">
        <v>2022</v>
      </c>
      <c r="B1645" t="s">
        <v>57</v>
      </c>
      <c r="C1645">
        <v>9</v>
      </c>
      <c r="D1645">
        <v>84</v>
      </c>
      <c r="E1645" t="s">
        <v>23</v>
      </c>
      <c r="F1645" t="s">
        <v>120</v>
      </c>
      <c r="G1645">
        <f t="shared" si="273"/>
        <v>1</v>
      </c>
      <c r="H1645">
        <v>10</v>
      </c>
      <c r="I1645">
        <v>3</v>
      </c>
      <c r="J1645">
        <v>0</v>
      </c>
      <c r="K1645" s="6" t="str">
        <f t="shared" ref="K1645" si="360">"vs "&amp;E1644</f>
        <v>vs The Bad Boys</v>
      </c>
      <c r="L1645" s="6" t="str">
        <f t="shared" ref="L1645" si="361">"vs "&amp;F1644</f>
        <v>vs Arvanitis</v>
      </c>
      <c r="M1645">
        <v>148</v>
      </c>
      <c r="N1645" s="1">
        <v>0.48099999999999998</v>
      </c>
      <c r="O1645">
        <v>29</v>
      </c>
      <c r="P1645" s="1">
        <v>0.27900000000000003</v>
      </c>
      <c r="Q1645" s="1">
        <v>0.75</v>
      </c>
      <c r="R1645">
        <v>379</v>
      </c>
      <c r="S1645">
        <v>42</v>
      </c>
      <c r="T1645">
        <v>125</v>
      </c>
      <c r="U1645">
        <v>124</v>
      </c>
      <c r="V1645">
        <v>29</v>
      </c>
      <c r="W1645">
        <v>20</v>
      </c>
      <c r="X1645">
        <v>53</v>
      </c>
      <c r="Y1645" s="5">
        <v>2.34</v>
      </c>
    </row>
    <row r="1646" spans="1:25" x14ac:dyDescent="0.25">
      <c r="A1646">
        <v>2022</v>
      </c>
      <c r="B1646" t="s">
        <v>57</v>
      </c>
      <c r="C1646">
        <v>9</v>
      </c>
      <c r="D1646">
        <v>85</v>
      </c>
      <c r="E1646" t="s">
        <v>94</v>
      </c>
      <c r="F1646" t="s">
        <v>40</v>
      </c>
      <c r="G1646">
        <f t="shared" si="273"/>
        <v>0</v>
      </c>
      <c r="H1646">
        <v>1</v>
      </c>
      <c r="I1646">
        <v>12</v>
      </c>
      <c r="J1646">
        <v>0</v>
      </c>
      <c r="K1646" s="6" t="str">
        <f t="shared" ref="K1646" si="362">"vs "&amp;E1647</f>
        <v>vs Karafli SaiTa</v>
      </c>
      <c r="L1646" s="6" t="str">
        <f t="shared" ref="L1646" si="363">"vs "&amp;F1647</f>
        <v>vs Tassos</v>
      </c>
      <c r="M1646">
        <v>109</v>
      </c>
      <c r="N1646" s="1">
        <v>0.42399999999999999</v>
      </c>
      <c r="O1646">
        <v>34</v>
      </c>
      <c r="P1646" s="1">
        <v>0.29599999999999999</v>
      </c>
      <c r="Q1646" s="1">
        <v>0.77400000000000002</v>
      </c>
      <c r="R1646">
        <v>317</v>
      </c>
      <c r="S1646">
        <v>33</v>
      </c>
      <c r="T1646">
        <v>126</v>
      </c>
      <c r="U1646">
        <v>72</v>
      </c>
      <c r="V1646">
        <v>22</v>
      </c>
      <c r="W1646">
        <v>20</v>
      </c>
      <c r="X1646">
        <v>44</v>
      </c>
      <c r="Y1646" s="5">
        <v>1.64</v>
      </c>
    </row>
    <row r="1647" spans="1:25" x14ac:dyDescent="0.25">
      <c r="A1647">
        <v>2022</v>
      </c>
      <c r="B1647" t="s">
        <v>57</v>
      </c>
      <c r="C1647">
        <v>9</v>
      </c>
      <c r="D1647">
        <v>85</v>
      </c>
      <c r="E1647" t="s">
        <v>190</v>
      </c>
      <c r="F1647" t="s">
        <v>103</v>
      </c>
      <c r="G1647">
        <f t="shared" si="273"/>
        <v>1</v>
      </c>
      <c r="H1647">
        <v>12</v>
      </c>
      <c r="I1647">
        <v>1</v>
      </c>
      <c r="J1647">
        <v>0</v>
      </c>
      <c r="K1647" s="6" t="str">
        <f t="shared" ref="K1647" si="364">"vs "&amp;E1646</f>
        <v>vs Fighting Thaddeus</v>
      </c>
      <c r="L1647" s="6" t="str">
        <f t="shared" ref="L1647" si="365">"vs "&amp;F1646</f>
        <v>vs Stavros</v>
      </c>
      <c r="M1647">
        <v>197</v>
      </c>
      <c r="N1647" s="1">
        <v>0.505</v>
      </c>
      <c r="O1647">
        <v>47</v>
      </c>
      <c r="P1647" s="1">
        <v>0.35899999999999999</v>
      </c>
      <c r="Q1647" s="1">
        <v>0.86899999999999999</v>
      </c>
      <c r="R1647">
        <v>534</v>
      </c>
      <c r="S1647">
        <v>42</v>
      </c>
      <c r="T1647">
        <v>131</v>
      </c>
      <c r="U1647">
        <v>107</v>
      </c>
      <c r="V1647">
        <v>36</v>
      </c>
      <c r="W1647">
        <v>25</v>
      </c>
      <c r="X1647">
        <v>58</v>
      </c>
      <c r="Y1647" s="5">
        <v>1.84</v>
      </c>
    </row>
    <row r="1648" spans="1:25" x14ac:dyDescent="0.25">
      <c r="A1648">
        <v>2022</v>
      </c>
      <c r="B1648" t="s">
        <v>57</v>
      </c>
      <c r="C1648">
        <v>9</v>
      </c>
      <c r="D1648">
        <v>86</v>
      </c>
      <c r="E1648" t="s">
        <v>97</v>
      </c>
      <c r="F1648" t="s">
        <v>54</v>
      </c>
      <c r="G1648">
        <f t="shared" si="273"/>
        <v>0</v>
      </c>
      <c r="H1648">
        <v>6</v>
      </c>
      <c r="I1648">
        <v>7</v>
      </c>
      <c r="J1648">
        <v>0</v>
      </c>
      <c r="K1648" s="6" t="str">
        <f t="shared" ref="K1648" si="366">"vs "&amp;E1649</f>
        <v>vs Kourayo Vallecano</v>
      </c>
      <c r="L1648" s="6" t="str">
        <f t="shared" ref="L1648" si="367">"vs "&amp;F1649</f>
        <v>vs Ziogas/Christof</v>
      </c>
      <c r="M1648">
        <v>202</v>
      </c>
      <c r="N1648" s="1">
        <v>0.51400000000000001</v>
      </c>
      <c r="O1648">
        <v>45</v>
      </c>
      <c r="P1648" s="1">
        <v>0.36599999999999999</v>
      </c>
      <c r="Q1648" s="1">
        <v>0.80100000000000005</v>
      </c>
      <c r="R1648">
        <v>562</v>
      </c>
      <c r="S1648">
        <v>29</v>
      </c>
      <c r="T1648">
        <v>142</v>
      </c>
      <c r="U1648">
        <v>106</v>
      </c>
      <c r="V1648">
        <v>17</v>
      </c>
      <c r="W1648">
        <v>14</v>
      </c>
      <c r="X1648">
        <v>52</v>
      </c>
      <c r="Y1648" s="5">
        <v>2.04</v>
      </c>
    </row>
    <row r="1649" spans="1:25" x14ac:dyDescent="0.25">
      <c r="A1649">
        <v>2022</v>
      </c>
      <c r="B1649" t="s">
        <v>57</v>
      </c>
      <c r="C1649">
        <v>9</v>
      </c>
      <c r="D1649">
        <v>86</v>
      </c>
      <c r="E1649" t="s">
        <v>26</v>
      </c>
      <c r="F1649" t="s">
        <v>118</v>
      </c>
      <c r="G1649">
        <f t="shared" si="273"/>
        <v>1</v>
      </c>
      <c r="H1649">
        <v>7</v>
      </c>
      <c r="I1649">
        <v>6</v>
      </c>
      <c r="J1649">
        <v>0</v>
      </c>
      <c r="K1649" s="6" t="str">
        <f t="shared" ref="K1649" si="368">"vs "&amp;E1648</f>
        <v>vs Underdogs</v>
      </c>
      <c r="L1649" s="6" t="str">
        <f t="shared" ref="L1649" si="369">"vs "&amp;F1648</f>
        <v>vs Nonis</v>
      </c>
      <c r="M1649">
        <v>159</v>
      </c>
      <c r="N1649" s="1">
        <v>0.44700000000000001</v>
      </c>
      <c r="O1649">
        <v>61</v>
      </c>
      <c r="P1649" s="1">
        <v>0.38600000000000001</v>
      </c>
      <c r="Q1649" s="1">
        <v>0.77800000000000002</v>
      </c>
      <c r="R1649">
        <v>456</v>
      </c>
      <c r="S1649">
        <v>21</v>
      </c>
      <c r="T1649">
        <v>147</v>
      </c>
      <c r="U1649">
        <v>121</v>
      </c>
      <c r="V1649">
        <v>21</v>
      </c>
      <c r="W1649">
        <v>16</v>
      </c>
      <c r="X1649">
        <v>58</v>
      </c>
      <c r="Y1649" s="5">
        <v>2.09</v>
      </c>
    </row>
    <row r="1650" spans="1:25" x14ac:dyDescent="0.25">
      <c r="A1650">
        <v>2022</v>
      </c>
      <c r="B1650" t="s">
        <v>57</v>
      </c>
      <c r="C1650">
        <v>9</v>
      </c>
      <c r="D1650">
        <v>87</v>
      </c>
      <c r="E1650" t="s">
        <v>96</v>
      </c>
      <c r="F1650" t="s">
        <v>102</v>
      </c>
      <c r="G1650">
        <f t="shared" si="273"/>
        <v>0</v>
      </c>
      <c r="H1650">
        <v>2</v>
      </c>
      <c r="I1650">
        <v>11</v>
      </c>
      <c r="J1650">
        <v>0</v>
      </c>
      <c r="K1650" s="6" t="str">
        <f t="shared" ref="K1650" si="370">"vs "&amp;E1651</f>
        <v>vs Samarina Dudenbros</v>
      </c>
      <c r="L1650" s="6" t="str">
        <f t="shared" ref="L1650" si="371">"vs "&amp;F1651</f>
        <v>vs Sakellariou</v>
      </c>
      <c r="M1650">
        <v>73</v>
      </c>
      <c r="N1650" s="1">
        <v>0.46200000000000002</v>
      </c>
      <c r="O1650">
        <v>13</v>
      </c>
      <c r="P1650" s="1">
        <v>0.27700000000000002</v>
      </c>
      <c r="Q1650" s="1">
        <v>0.57599999999999996</v>
      </c>
      <c r="R1650">
        <v>178</v>
      </c>
      <c r="S1650">
        <v>28</v>
      </c>
      <c r="T1650">
        <v>95</v>
      </c>
      <c r="U1650">
        <v>45</v>
      </c>
      <c r="V1650">
        <v>15</v>
      </c>
      <c r="W1650">
        <v>14</v>
      </c>
      <c r="X1650">
        <v>23</v>
      </c>
      <c r="Y1650" s="5">
        <v>1.96</v>
      </c>
    </row>
    <row r="1651" spans="1:25" x14ac:dyDescent="0.25">
      <c r="A1651">
        <v>2022</v>
      </c>
      <c r="B1651" t="s">
        <v>57</v>
      </c>
      <c r="C1651">
        <v>9</v>
      </c>
      <c r="D1651">
        <v>87</v>
      </c>
      <c r="E1651" t="s">
        <v>181</v>
      </c>
      <c r="F1651" t="s">
        <v>49</v>
      </c>
      <c r="G1651">
        <f t="shared" si="273"/>
        <v>1</v>
      </c>
      <c r="H1651">
        <v>11</v>
      </c>
      <c r="I1651">
        <v>2</v>
      </c>
      <c r="J1651">
        <v>0</v>
      </c>
      <c r="K1651" s="6" t="str">
        <f t="shared" ref="K1651" si="372">"vs "&amp;E1650</f>
        <v>vs Knights of Ni</v>
      </c>
      <c r="L1651" s="6" t="str">
        <f t="shared" ref="L1651" si="373">"vs "&amp;F1650</f>
        <v>vs Tolios</v>
      </c>
      <c r="M1651">
        <v>177</v>
      </c>
      <c r="N1651" s="1">
        <v>0.45300000000000001</v>
      </c>
      <c r="O1651">
        <v>65</v>
      </c>
      <c r="P1651" s="1">
        <v>0.35499999999999998</v>
      </c>
      <c r="Q1651" s="1">
        <v>0.83499999999999996</v>
      </c>
      <c r="R1651">
        <v>515</v>
      </c>
      <c r="S1651">
        <v>45</v>
      </c>
      <c r="T1651">
        <v>141</v>
      </c>
      <c r="U1651">
        <v>99</v>
      </c>
      <c r="V1651">
        <v>32</v>
      </c>
      <c r="W1651">
        <v>23</v>
      </c>
      <c r="X1651">
        <v>50</v>
      </c>
      <c r="Y1651" s="5">
        <v>1.98</v>
      </c>
    </row>
    <row r="1652" spans="1:25" x14ac:dyDescent="0.25">
      <c r="A1652">
        <v>2022</v>
      </c>
      <c r="B1652" t="s">
        <v>57</v>
      </c>
      <c r="C1652">
        <v>9</v>
      </c>
      <c r="D1652">
        <v>88</v>
      </c>
      <c r="E1652" t="s">
        <v>159</v>
      </c>
      <c r="F1652" t="s">
        <v>116</v>
      </c>
      <c r="G1652">
        <f t="shared" si="273"/>
        <v>1</v>
      </c>
      <c r="H1652">
        <v>8</v>
      </c>
      <c r="I1652">
        <v>5</v>
      </c>
      <c r="J1652">
        <v>0</v>
      </c>
      <c r="K1652" s="6" t="str">
        <f t="shared" ref="K1652" si="374">"vs "&amp;E1653</f>
        <v>vs Tsarlatans</v>
      </c>
      <c r="L1652" s="6" t="str">
        <f t="shared" ref="L1652" si="375">"vs "&amp;F1653</f>
        <v>vs Tzokos</v>
      </c>
      <c r="M1652">
        <v>201</v>
      </c>
      <c r="N1652" s="1">
        <v>0.498</v>
      </c>
      <c r="O1652">
        <v>61</v>
      </c>
      <c r="P1652" s="1">
        <v>0.39600000000000002</v>
      </c>
      <c r="Q1652" s="1">
        <v>0.77600000000000002</v>
      </c>
      <c r="R1652">
        <v>553</v>
      </c>
      <c r="S1652">
        <v>41</v>
      </c>
      <c r="T1652">
        <v>143</v>
      </c>
      <c r="U1652">
        <v>130</v>
      </c>
      <c r="V1652">
        <v>29</v>
      </c>
      <c r="W1652">
        <v>9</v>
      </c>
      <c r="X1652">
        <v>63</v>
      </c>
      <c r="Y1652" s="5">
        <v>2.06</v>
      </c>
    </row>
    <row r="1653" spans="1:25" x14ac:dyDescent="0.25">
      <c r="A1653">
        <v>2022</v>
      </c>
      <c r="B1653" t="s">
        <v>57</v>
      </c>
      <c r="C1653">
        <v>9</v>
      </c>
      <c r="D1653">
        <v>88</v>
      </c>
      <c r="E1653" t="s">
        <v>99</v>
      </c>
      <c r="F1653" t="s">
        <v>45</v>
      </c>
      <c r="G1653">
        <f t="shared" si="273"/>
        <v>0</v>
      </c>
      <c r="H1653">
        <v>5</v>
      </c>
      <c r="I1653">
        <v>8</v>
      </c>
      <c r="J1653">
        <v>0</v>
      </c>
      <c r="K1653" s="6" t="str">
        <f t="shared" ref="K1653" si="376">"vs "&amp;E1652</f>
        <v>vs purple fuzzy apache pirates</v>
      </c>
      <c r="L1653" s="6" t="str">
        <f t="shared" ref="L1653" si="377">"vs "&amp;F1652</f>
        <v>vs pi/Sotiris</v>
      </c>
      <c r="M1653">
        <v>184</v>
      </c>
      <c r="N1653" s="1">
        <v>0.48699999999999999</v>
      </c>
      <c r="O1653">
        <v>63</v>
      </c>
      <c r="P1653" s="1">
        <v>0.41199999999999998</v>
      </c>
      <c r="Q1653" s="1">
        <v>0.77900000000000003</v>
      </c>
      <c r="R1653">
        <v>498</v>
      </c>
      <c r="S1653">
        <v>38</v>
      </c>
      <c r="T1653">
        <v>140</v>
      </c>
      <c r="U1653">
        <v>98</v>
      </c>
      <c r="V1653">
        <v>38</v>
      </c>
      <c r="W1653">
        <v>18</v>
      </c>
      <c r="X1653">
        <v>69</v>
      </c>
      <c r="Y1653" s="5">
        <v>1.42</v>
      </c>
    </row>
    <row r="1654" spans="1:25" x14ac:dyDescent="0.25">
      <c r="A1654">
        <v>2022</v>
      </c>
      <c r="B1654" t="s">
        <v>57</v>
      </c>
      <c r="C1654">
        <v>9</v>
      </c>
      <c r="D1654">
        <v>89</v>
      </c>
      <c r="E1654" t="s">
        <v>17</v>
      </c>
      <c r="F1654" t="s">
        <v>43</v>
      </c>
      <c r="G1654">
        <f t="shared" si="273"/>
        <v>0</v>
      </c>
      <c r="H1654">
        <v>4</v>
      </c>
      <c r="I1654">
        <v>9</v>
      </c>
      <c r="J1654">
        <v>0</v>
      </c>
      <c r="K1654" s="6" t="str">
        <f t="shared" ref="K1654" si="378">"vs "&amp;E1655</f>
        <v>vs Guruuu 🐐🐐🐐</v>
      </c>
      <c r="L1654" s="6" t="str">
        <f t="shared" ref="L1654" si="379">"vs "&amp;F1655</f>
        <v>vs Guru</v>
      </c>
      <c r="M1654">
        <v>113</v>
      </c>
      <c r="N1654" s="1">
        <v>0.45200000000000001</v>
      </c>
      <c r="O1654">
        <v>37</v>
      </c>
      <c r="P1654" s="1">
        <v>0.374</v>
      </c>
      <c r="Q1654" s="1">
        <v>0.8</v>
      </c>
      <c r="R1654">
        <v>299</v>
      </c>
      <c r="S1654">
        <v>32</v>
      </c>
      <c r="T1654">
        <v>83</v>
      </c>
      <c r="U1654">
        <v>84</v>
      </c>
      <c r="V1654">
        <v>14</v>
      </c>
      <c r="W1654">
        <v>10</v>
      </c>
      <c r="X1654">
        <v>33</v>
      </c>
      <c r="Y1654" s="5">
        <v>2.5499999999999998</v>
      </c>
    </row>
    <row r="1655" spans="1:25" x14ac:dyDescent="0.25">
      <c r="A1655">
        <v>2022</v>
      </c>
      <c r="B1655" t="s">
        <v>57</v>
      </c>
      <c r="C1655">
        <v>9</v>
      </c>
      <c r="D1655">
        <v>89</v>
      </c>
      <c r="E1655" t="s">
        <v>93</v>
      </c>
      <c r="F1655" t="s">
        <v>189</v>
      </c>
      <c r="G1655">
        <f t="shared" si="273"/>
        <v>1</v>
      </c>
      <c r="H1655">
        <v>9</v>
      </c>
      <c r="I1655">
        <v>4</v>
      </c>
      <c r="J1655">
        <v>0</v>
      </c>
      <c r="K1655" s="6" t="str">
        <f t="shared" ref="K1655" si="380">"vs "&amp;E1654</f>
        <v>vs Donkey Rolls</v>
      </c>
      <c r="L1655" s="6" t="str">
        <f t="shared" ref="L1655" si="381">"vs "&amp;F1654</f>
        <v>vs Markos</v>
      </c>
      <c r="M1655">
        <v>185</v>
      </c>
      <c r="N1655" s="1">
        <v>0.47099999999999997</v>
      </c>
      <c r="O1655">
        <v>67</v>
      </c>
      <c r="P1655" s="1">
        <v>0.36</v>
      </c>
      <c r="Q1655" s="1">
        <v>0.82599999999999996</v>
      </c>
      <c r="R1655">
        <v>513</v>
      </c>
      <c r="S1655">
        <v>19</v>
      </c>
      <c r="T1655">
        <v>139</v>
      </c>
      <c r="U1655">
        <v>119</v>
      </c>
      <c r="V1655">
        <v>19</v>
      </c>
      <c r="W1655">
        <v>14</v>
      </c>
      <c r="X1655">
        <v>47</v>
      </c>
      <c r="Y1655" s="5">
        <v>2.5299999999999998</v>
      </c>
    </row>
    <row r="1656" spans="1:25" x14ac:dyDescent="0.25">
      <c r="A1656">
        <v>2022</v>
      </c>
      <c r="B1656" t="s">
        <v>57</v>
      </c>
      <c r="C1656">
        <v>9</v>
      </c>
      <c r="D1656">
        <v>90</v>
      </c>
      <c r="E1656" t="s">
        <v>21</v>
      </c>
      <c r="F1656" t="s">
        <v>50</v>
      </c>
      <c r="G1656">
        <f t="shared" si="273"/>
        <v>0</v>
      </c>
      <c r="H1656">
        <v>5</v>
      </c>
      <c r="I1656">
        <v>7</v>
      </c>
      <c r="J1656">
        <v>1</v>
      </c>
      <c r="K1656" s="6" t="str">
        <f t="shared" ref="K1656" si="382">"vs "&amp;E1657</f>
        <v>vs The Bridgeburners</v>
      </c>
      <c r="L1656" s="6" t="str">
        <f t="shared" ref="L1656" si="383">"vs "&amp;F1657</f>
        <v>vs Fanis</v>
      </c>
      <c r="M1656">
        <v>118</v>
      </c>
      <c r="N1656" s="1">
        <v>0.41299999999999998</v>
      </c>
      <c r="O1656">
        <v>33</v>
      </c>
      <c r="P1656" s="1">
        <v>0.29199999999999998</v>
      </c>
      <c r="Q1656" s="1">
        <v>0.79800000000000004</v>
      </c>
      <c r="R1656">
        <v>336</v>
      </c>
      <c r="S1656">
        <v>38</v>
      </c>
      <c r="T1656">
        <v>117</v>
      </c>
      <c r="U1656">
        <v>93</v>
      </c>
      <c r="V1656">
        <v>21</v>
      </c>
      <c r="W1656">
        <v>21</v>
      </c>
      <c r="X1656">
        <v>65</v>
      </c>
      <c r="Y1656" s="5">
        <v>1.43</v>
      </c>
    </row>
    <row r="1657" spans="1:25" x14ac:dyDescent="0.25">
      <c r="A1657">
        <v>2022</v>
      </c>
      <c r="B1657" t="s">
        <v>57</v>
      </c>
      <c r="C1657">
        <v>9</v>
      </c>
      <c r="D1657">
        <v>90</v>
      </c>
      <c r="E1657" t="s">
        <v>16</v>
      </c>
      <c r="F1657" t="s">
        <v>51</v>
      </c>
      <c r="G1657">
        <f t="shared" si="273"/>
        <v>1</v>
      </c>
      <c r="H1657">
        <v>7</v>
      </c>
      <c r="I1657">
        <v>5</v>
      </c>
      <c r="J1657">
        <v>1</v>
      </c>
      <c r="K1657" s="6" t="str">
        <f t="shared" ref="K1657" si="384">"vs "&amp;E1656</f>
        <v>vs st.Helens Eruptions</v>
      </c>
      <c r="L1657" s="6" t="str">
        <f t="shared" ref="L1657" si="385">"vs "&amp;F1656</f>
        <v>vs Aris</v>
      </c>
      <c r="M1657">
        <v>118</v>
      </c>
      <c r="N1657" s="1">
        <v>0.46300000000000002</v>
      </c>
      <c r="O1657">
        <v>37</v>
      </c>
      <c r="P1657" s="1">
        <v>0.31900000000000001</v>
      </c>
      <c r="Q1657" s="1">
        <v>0.82399999999999995</v>
      </c>
      <c r="R1657">
        <v>329</v>
      </c>
      <c r="S1657">
        <v>29</v>
      </c>
      <c r="T1657">
        <v>110</v>
      </c>
      <c r="U1657">
        <v>65</v>
      </c>
      <c r="V1657">
        <v>19</v>
      </c>
      <c r="W1657">
        <v>24</v>
      </c>
      <c r="X1657">
        <v>33</v>
      </c>
      <c r="Y1657" s="5">
        <v>1.97</v>
      </c>
    </row>
    <row r="1658" spans="1:25" x14ac:dyDescent="0.25">
      <c r="A1658">
        <v>2022</v>
      </c>
      <c r="B1658" t="s">
        <v>57</v>
      </c>
      <c r="C1658">
        <v>10</v>
      </c>
      <c r="D1658">
        <v>91</v>
      </c>
      <c r="E1658" t="s">
        <v>181</v>
      </c>
      <c r="F1658" t="s">
        <v>49</v>
      </c>
      <c r="G1658">
        <f t="shared" si="273"/>
        <v>0</v>
      </c>
      <c r="H1658">
        <v>5</v>
      </c>
      <c r="I1658">
        <v>8</v>
      </c>
      <c r="J1658">
        <v>0</v>
      </c>
      <c r="K1658" s="6" t="str">
        <f t="shared" ref="K1658" si="386">"vs "&amp;E1659</f>
        <v>vs Underdogs</v>
      </c>
      <c r="L1658" s="6" t="str">
        <f t="shared" ref="L1658" si="387">"vs "&amp;F1659</f>
        <v>vs Nonis</v>
      </c>
      <c r="M1658">
        <v>77</v>
      </c>
      <c r="N1658" s="1">
        <v>0.36499999999999999</v>
      </c>
      <c r="O1658">
        <v>33</v>
      </c>
      <c r="P1658" s="1">
        <v>0.30599999999999999</v>
      </c>
      <c r="Q1658" s="1">
        <v>0.81</v>
      </c>
      <c r="R1658">
        <v>238</v>
      </c>
      <c r="S1658">
        <v>13</v>
      </c>
      <c r="T1658">
        <v>90</v>
      </c>
      <c r="U1658">
        <v>63</v>
      </c>
      <c r="V1658">
        <v>23</v>
      </c>
      <c r="W1658">
        <v>11</v>
      </c>
      <c r="X1658">
        <v>36</v>
      </c>
      <c r="Y1658" s="5">
        <v>1.75</v>
      </c>
    </row>
    <row r="1659" spans="1:25" x14ac:dyDescent="0.25">
      <c r="A1659">
        <v>2022</v>
      </c>
      <c r="B1659" t="s">
        <v>57</v>
      </c>
      <c r="C1659">
        <v>10</v>
      </c>
      <c r="D1659">
        <v>91</v>
      </c>
      <c r="E1659" t="s">
        <v>97</v>
      </c>
      <c r="F1659" t="s">
        <v>54</v>
      </c>
      <c r="G1659">
        <f t="shared" si="273"/>
        <v>1</v>
      </c>
      <c r="H1659">
        <v>8</v>
      </c>
      <c r="I1659">
        <v>5</v>
      </c>
      <c r="J1659">
        <v>0</v>
      </c>
      <c r="K1659" s="6" t="str">
        <f t="shared" ref="K1659" si="388">"vs "&amp;E1658</f>
        <v>vs Samarina Dudenbros</v>
      </c>
      <c r="L1659" s="6" t="str">
        <f t="shared" ref="L1659" si="389">"vs "&amp;F1658</f>
        <v>vs Sakellariou</v>
      </c>
      <c r="M1659">
        <v>134</v>
      </c>
      <c r="N1659" s="1">
        <v>0.49299999999999999</v>
      </c>
      <c r="O1659">
        <v>35</v>
      </c>
      <c r="P1659" s="1">
        <v>0.438</v>
      </c>
      <c r="Q1659" s="1">
        <v>0.74299999999999999</v>
      </c>
      <c r="R1659">
        <v>378</v>
      </c>
      <c r="S1659">
        <v>41</v>
      </c>
      <c r="T1659">
        <v>111</v>
      </c>
      <c r="U1659">
        <v>61</v>
      </c>
      <c r="V1659">
        <v>18</v>
      </c>
      <c r="W1659">
        <v>20</v>
      </c>
      <c r="X1659">
        <v>43</v>
      </c>
      <c r="Y1659" s="5">
        <v>1.42</v>
      </c>
    </row>
    <row r="1660" spans="1:25" x14ac:dyDescent="0.25">
      <c r="A1660">
        <v>2022</v>
      </c>
      <c r="B1660" t="s">
        <v>57</v>
      </c>
      <c r="C1660">
        <v>10</v>
      </c>
      <c r="D1660">
        <v>92</v>
      </c>
      <c r="E1660" t="s">
        <v>154</v>
      </c>
      <c r="F1660" t="s">
        <v>155</v>
      </c>
      <c r="G1660">
        <f t="shared" si="273"/>
        <v>0</v>
      </c>
      <c r="H1660">
        <v>3</v>
      </c>
      <c r="I1660">
        <v>9</v>
      </c>
      <c r="J1660">
        <v>1</v>
      </c>
      <c r="K1660" s="6" t="str">
        <f t="shared" ref="K1660" si="390">"vs "&amp;E1661</f>
        <v>vs Steven Adams' Moustache</v>
      </c>
      <c r="L1660" s="6" t="str">
        <f t="shared" ref="L1660" si="391">"vs "&amp;F1661</f>
        <v>vs Johnny</v>
      </c>
      <c r="M1660">
        <v>69</v>
      </c>
      <c r="N1660" s="1">
        <v>0.43099999999999999</v>
      </c>
      <c r="O1660">
        <v>24</v>
      </c>
      <c r="P1660" s="1">
        <v>0.32900000000000001</v>
      </c>
      <c r="Q1660" s="1">
        <v>0.871</v>
      </c>
      <c r="R1660">
        <v>189</v>
      </c>
      <c r="S1660">
        <v>23</v>
      </c>
      <c r="T1660">
        <v>71</v>
      </c>
      <c r="U1660">
        <v>46</v>
      </c>
      <c r="V1660">
        <v>8</v>
      </c>
      <c r="W1660">
        <v>9</v>
      </c>
      <c r="X1660">
        <v>18</v>
      </c>
      <c r="Y1660" s="5">
        <v>2.56</v>
      </c>
    </row>
    <row r="1661" spans="1:25" x14ac:dyDescent="0.25">
      <c r="A1661">
        <v>2022</v>
      </c>
      <c r="B1661" t="s">
        <v>57</v>
      </c>
      <c r="C1661">
        <v>10</v>
      </c>
      <c r="D1661">
        <v>92</v>
      </c>
      <c r="E1661" t="s">
        <v>28</v>
      </c>
      <c r="F1661" t="s">
        <v>46</v>
      </c>
      <c r="G1661">
        <f t="shared" si="273"/>
        <v>1</v>
      </c>
      <c r="H1661">
        <v>9</v>
      </c>
      <c r="I1661">
        <v>3</v>
      </c>
      <c r="J1661">
        <v>1</v>
      </c>
      <c r="K1661" s="6" t="str">
        <f t="shared" ref="K1661" si="392">"vs "&amp;E1660</f>
        <v>vs The Bad Boys</v>
      </c>
      <c r="L1661" s="6" t="str">
        <f t="shared" ref="L1661" si="393">"vs "&amp;F1660</f>
        <v>vs Arvanitis</v>
      </c>
      <c r="M1661">
        <v>148</v>
      </c>
      <c r="N1661" s="1">
        <v>0.498</v>
      </c>
      <c r="O1661">
        <v>38</v>
      </c>
      <c r="P1661" s="1">
        <v>0.36899999999999999</v>
      </c>
      <c r="Q1661" s="1">
        <v>0.747</v>
      </c>
      <c r="R1661">
        <v>393</v>
      </c>
      <c r="S1661">
        <v>27</v>
      </c>
      <c r="T1661">
        <v>93</v>
      </c>
      <c r="U1661">
        <v>85</v>
      </c>
      <c r="V1661">
        <v>29</v>
      </c>
      <c r="W1661">
        <v>9</v>
      </c>
      <c r="X1661">
        <v>44</v>
      </c>
      <c r="Y1661" s="5">
        <v>1.93</v>
      </c>
    </row>
    <row r="1662" spans="1:25" x14ac:dyDescent="0.25">
      <c r="A1662">
        <v>2022</v>
      </c>
      <c r="B1662" t="s">
        <v>57</v>
      </c>
      <c r="C1662">
        <v>10</v>
      </c>
      <c r="D1662">
        <v>93</v>
      </c>
      <c r="E1662" t="s">
        <v>190</v>
      </c>
      <c r="F1662" t="s">
        <v>103</v>
      </c>
      <c r="G1662">
        <f t="shared" si="273"/>
        <v>1</v>
      </c>
      <c r="H1662">
        <v>10</v>
      </c>
      <c r="I1662">
        <v>3</v>
      </c>
      <c r="J1662">
        <v>0</v>
      </c>
      <c r="K1662" s="6" t="str">
        <f t="shared" ref="K1662" si="394">"vs "&amp;E1663</f>
        <v>vs Salonika Devils</v>
      </c>
      <c r="L1662" s="6" t="str">
        <f t="shared" ref="L1662" si="395">"vs "&amp;F1663</f>
        <v>vs Fountos</v>
      </c>
      <c r="M1662">
        <v>156</v>
      </c>
      <c r="N1662" s="1">
        <v>0.46400000000000002</v>
      </c>
      <c r="O1662">
        <v>35</v>
      </c>
      <c r="P1662" s="1">
        <v>0.307</v>
      </c>
      <c r="Q1662" s="1">
        <v>0.84799999999999998</v>
      </c>
      <c r="R1662">
        <v>442</v>
      </c>
      <c r="S1662">
        <v>37</v>
      </c>
      <c r="T1662">
        <v>112</v>
      </c>
      <c r="U1662">
        <v>106</v>
      </c>
      <c r="V1662">
        <v>29</v>
      </c>
      <c r="W1662">
        <v>23</v>
      </c>
      <c r="X1662">
        <v>64</v>
      </c>
      <c r="Y1662" s="5">
        <v>1.66</v>
      </c>
    </row>
    <row r="1663" spans="1:25" x14ac:dyDescent="0.25">
      <c r="A1663">
        <v>2022</v>
      </c>
      <c r="B1663" t="s">
        <v>57</v>
      </c>
      <c r="C1663">
        <v>10</v>
      </c>
      <c r="D1663">
        <v>93</v>
      </c>
      <c r="E1663" t="s">
        <v>15</v>
      </c>
      <c r="F1663" t="s">
        <v>48</v>
      </c>
      <c r="G1663">
        <f t="shared" si="273"/>
        <v>0</v>
      </c>
      <c r="H1663">
        <v>3</v>
      </c>
      <c r="I1663">
        <v>10</v>
      </c>
      <c r="J1663">
        <v>0</v>
      </c>
      <c r="K1663" s="6" t="str">
        <f t="shared" ref="K1663" si="396">"vs "&amp;E1662</f>
        <v>vs Karafli SaiTa</v>
      </c>
      <c r="L1663" s="6" t="str">
        <f t="shared" ref="L1663" si="397">"vs "&amp;F1662</f>
        <v>vs Tassos</v>
      </c>
      <c r="M1663">
        <v>68</v>
      </c>
      <c r="N1663" s="1">
        <v>0.47899999999999998</v>
      </c>
      <c r="O1663">
        <v>15</v>
      </c>
      <c r="P1663" s="1">
        <v>0.3</v>
      </c>
      <c r="Q1663" s="1">
        <v>0.74399999999999999</v>
      </c>
      <c r="R1663">
        <v>183</v>
      </c>
      <c r="S1663">
        <v>12</v>
      </c>
      <c r="T1663">
        <v>69</v>
      </c>
      <c r="U1663">
        <v>33</v>
      </c>
      <c r="V1663">
        <v>5</v>
      </c>
      <c r="W1663">
        <v>6</v>
      </c>
      <c r="X1663">
        <v>17</v>
      </c>
      <c r="Y1663" s="5">
        <v>1.94</v>
      </c>
    </row>
    <row r="1664" spans="1:25" x14ac:dyDescent="0.25">
      <c r="A1664">
        <v>2022</v>
      </c>
      <c r="B1664" t="s">
        <v>57</v>
      </c>
      <c r="C1664">
        <v>10</v>
      </c>
      <c r="D1664">
        <v>94</v>
      </c>
      <c r="E1664" t="s">
        <v>26</v>
      </c>
      <c r="F1664" t="s">
        <v>118</v>
      </c>
      <c r="G1664">
        <f t="shared" si="273"/>
        <v>0</v>
      </c>
      <c r="H1664">
        <v>5</v>
      </c>
      <c r="I1664">
        <v>7</v>
      </c>
      <c r="J1664">
        <v>1</v>
      </c>
      <c r="K1664" s="6" t="str">
        <f t="shared" ref="K1664" si="398">"vs "&amp;E1665</f>
        <v>vs The Guns</v>
      </c>
      <c r="L1664" s="6" t="str">
        <f t="shared" ref="L1664" si="399">"vs "&amp;F1665</f>
        <v>vs Vasilis</v>
      </c>
      <c r="M1664">
        <v>139</v>
      </c>
      <c r="N1664" s="1">
        <v>0.48099999999999998</v>
      </c>
      <c r="O1664">
        <v>39</v>
      </c>
      <c r="P1664" s="1">
        <v>0.32</v>
      </c>
      <c r="Q1664" s="1">
        <v>0.78800000000000003</v>
      </c>
      <c r="R1664">
        <v>369</v>
      </c>
      <c r="S1664">
        <v>20</v>
      </c>
      <c r="T1664">
        <v>114</v>
      </c>
      <c r="U1664">
        <v>103</v>
      </c>
      <c r="V1664">
        <v>25</v>
      </c>
      <c r="W1664">
        <v>18</v>
      </c>
      <c r="X1664">
        <v>52</v>
      </c>
      <c r="Y1664" s="5">
        <v>1.98</v>
      </c>
    </row>
    <row r="1665" spans="1:25" x14ac:dyDescent="0.25">
      <c r="A1665">
        <v>2022</v>
      </c>
      <c r="B1665" t="s">
        <v>57</v>
      </c>
      <c r="C1665">
        <v>10</v>
      </c>
      <c r="D1665">
        <v>94</v>
      </c>
      <c r="E1665" t="s">
        <v>33</v>
      </c>
      <c r="F1665" t="s">
        <v>42</v>
      </c>
      <c r="G1665">
        <f t="shared" si="273"/>
        <v>1</v>
      </c>
      <c r="H1665">
        <v>7</v>
      </c>
      <c r="I1665">
        <v>5</v>
      </c>
      <c r="J1665">
        <v>1</v>
      </c>
      <c r="K1665" s="6" t="str">
        <f t="shared" ref="K1665" si="400">"vs "&amp;E1664</f>
        <v>vs Kourayo Vallecano</v>
      </c>
      <c r="L1665" s="6" t="str">
        <f t="shared" ref="L1665" si="401">"vs "&amp;F1664</f>
        <v>vs Ziogas/Christof</v>
      </c>
      <c r="M1665">
        <v>121</v>
      </c>
      <c r="N1665" s="1">
        <v>0.42899999999999999</v>
      </c>
      <c r="O1665">
        <v>49</v>
      </c>
      <c r="P1665" s="1">
        <v>0.32900000000000001</v>
      </c>
      <c r="Q1665" s="1">
        <v>0.79700000000000004</v>
      </c>
      <c r="R1665">
        <v>350</v>
      </c>
      <c r="S1665">
        <v>20</v>
      </c>
      <c r="T1665">
        <v>100</v>
      </c>
      <c r="U1665">
        <v>115</v>
      </c>
      <c r="V1665">
        <v>28</v>
      </c>
      <c r="W1665">
        <v>13</v>
      </c>
      <c r="X1665">
        <v>36</v>
      </c>
      <c r="Y1665" s="5">
        <v>3.19</v>
      </c>
    </row>
    <row r="1666" spans="1:25" x14ac:dyDescent="0.25">
      <c r="A1666">
        <v>2022</v>
      </c>
      <c r="B1666" t="s">
        <v>57</v>
      </c>
      <c r="C1666">
        <v>10</v>
      </c>
      <c r="D1666">
        <v>95</v>
      </c>
      <c r="E1666" t="s">
        <v>93</v>
      </c>
      <c r="F1666" t="s">
        <v>189</v>
      </c>
      <c r="G1666">
        <f t="shared" ref="G1666:G1729" si="402">IF(H1666+0.5*J1666&gt;6.5,1,0)</f>
        <v>0</v>
      </c>
      <c r="H1666">
        <v>2</v>
      </c>
      <c r="I1666">
        <v>11</v>
      </c>
      <c r="J1666">
        <v>0</v>
      </c>
      <c r="K1666" s="6" t="str">
        <f t="shared" ref="K1666" si="403">"vs "&amp;E1667</f>
        <v>vs The Rookies</v>
      </c>
      <c r="L1666" s="6" t="str">
        <f t="shared" ref="L1666" si="404">"vs "&amp;F1667</f>
        <v>vs Kousidis</v>
      </c>
      <c r="M1666">
        <v>70</v>
      </c>
      <c r="N1666" s="1">
        <v>0.39500000000000002</v>
      </c>
      <c r="O1666">
        <v>34</v>
      </c>
      <c r="P1666" s="1">
        <v>0.36199999999999999</v>
      </c>
      <c r="Q1666" s="1">
        <v>0.8</v>
      </c>
      <c r="R1666">
        <v>198</v>
      </c>
      <c r="S1666">
        <v>22</v>
      </c>
      <c r="T1666">
        <v>53</v>
      </c>
      <c r="U1666">
        <v>37</v>
      </c>
      <c r="V1666">
        <v>12</v>
      </c>
      <c r="W1666">
        <v>7</v>
      </c>
      <c r="X1666">
        <v>27</v>
      </c>
      <c r="Y1666" s="5">
        <v>1.37</v>
      </c>
    </row>
    <row r="1667" spans="1:25" x14ac:dyDescent="0.25">
      <c r="A1667">
        <v>2022</v>
      </c>
      <c r="B1667" t="s">
        <v>57</v>
      </c>
      <c r="C1667">
        <v>10</v>
      </c>
      <c r="D1667">
        <v>95</v>
      </c>
      <c r="E1667" t="s">
        <v>25</v>
      </c>
      <c r="F1667" t="s">
        <v>53</v>
      </c>
      <c r="G1667">
        <f t="shared" si="402"/>
        <v>1</v>
      </c>
      <c r="H1667">
        <v>11</v>
      </c>
      <c r="I1667">
        <v>2</v>
      </c>
      <c r="J1667">
        <v>0</v>
      </c>
      <c r="K1667" s="6" t="str">
        <f t="shared" ref="K1667" si="405">"vs "&amp;E1666</f>
        <v>vs Guruuu 🐐🐐🐐</v>
      </c>
      <c r="L1667" s="6" t="str">
        <f t="shared" ref="L1667" si="406">"vs "&amp;F1666</f>
        <v>vs Guru</v>
      </c>
      <c r="M1667">
        <v>90</v>
      </c>
      <c r="N1667" s="1">
        <v>0.48599999999999999</v>
      </c>
      <c r="O1667">
        <v>21</v>
      </c>
      <c r="P1667" s="1">
        <v>0.38200000000000001</v>
      </c>
      <c r="Q1667" s="1">
        <v>0.72199999999999998</v>
      </c>
      <c r="R1667">
        <v>253</v>
      </c>
      <c r="S1667">
        <v>27</v>
      </c>
      <c r="T1667">
        <v>81</v>
      </c>
      <c r="U1667">
        <v>41</v>
      </c>
      <c r="V1667">
        <v>13</v>
      </c>
      <c r="W1667">
        <v>15</v>
      </c>
      <c r="X1667">
        <v>25</v>
      </c>
      <c r="Y1667" s="5">
        <v>1.64</v>
      </c>
    </row>
    <row r="1668" spans="1:25" x14ac:dyDescent="0.25">
      <c r="A1668">
        <v>2022</v>
      </c>
      <c r="B1668" t="s">
        <v>57</v>
      </c>
      <c r="C1668">
        <v>10</v>
      </c>
      <c r="D1668">
        <v>96</v>
      </c>
      <c r="E1668" t="s">
        <v>98</v>
      </c>
      <c r="F1668" t="s">
        <v>41</v>
      </c>
      <c r="G1668">
        <f t="shared" si="402"/>
        <v>0</v>
      </c>
      <c r="H1668">
        <v>6</v>
      </c>
      <c r="I1668">
        <v>7</v>
      </c>
      <c r="J1668">
        <v>0</v>
      </c>
      <c r="K1668" s="6" t="str">
        <f t="shared" ref="K1668" si="407">"vs "&amp;E1669</f>
        <v>vs Baltimore Hercules</v>
      </c>
      <c r="L1668" s="6" t="str">
        <f t="shared" ref="L1668" si="408">"vs "&amp;F1669</f>
        <v>vs Sarantos</v>
      </c>
      <c r="M1668">
        <v>84</v>
      </c>
      <c r="N1668" s="1">
        <v>0.44</v>
      </c>
      <c r="O1668">
        <v>20</v>
      </c>
      <c r="P1668" s="1">
        <v>0.28599999999999998</v>
      </c>
      <c r="Q1668" s="1">
        <v>0.65600000000000003</v>
      </c>
      <c r="R1668">
        <v>209</v>
      </c>
      <c r="S1668">
        <v>30</v>
      </c>
      <c r="T1668">
        <v>88</v>
      </c>
      <c r="U1668">
        <v>37</v>
      </c>
      <c r="V1668">
        <v>30</v>
      </c>
      <c r="W1668">
        <v>28</v>
      </c>
      <c r="X1668">
        <v>28</v>
      </c>
      <c r="Y1668" s="5">
        <v>1.32</v>
      </c>
    </row>
    <row r="1669" spans="1:25" x14ac:dyDescent="0.25">
      <c r="A1669">
        <v>2022</v>
      </c>
      <c r="B1669" t="s">
        <v>57</v>
      </c>
      <c r="C1669">
        <v>10</v>
      </c>
      <c r="D1669">
        <v>96</v>
      </c>
      <c r="E1669" t="s">
        <v>95</v>
      </c>
      <c r="F1669" t="s">
        <v>101</v>
      </c>
      <c r="G1669">
        <f t="shared" si="402"/>
        <v>1</v>
      </c>
      <c r="H1669">
        <v>7</v>
      </c>
      <c r="I1669">
        <v>6</v>
      </c>
      <c r="J1669">
        <v>0</v>
      </c>
      <c r="K1669" s="6" t="str">
        <f t="shared" ref="K1669" si="409">"vs "&amp;E1668</f>
        <v>vs Xanthi Ducks 🦆</v>
      </c>
      <c r="L1669" s="6" t="str">
        <f t="shared" ref="L1669" si="410">"vs "&amp;F1668</f>
        <v>vs Kotakis</v>
      </c>
      <c r="M1669">
        <v>95</v>
      </c>
      <c r="N1669" s="1">
        <v>0.39400000000000002</v>
      </c>
      <c r="O1669">
        <v>35</v>
      </c>
      <c r="P1669" s="1">
        <v>0.32100000000000001</v>
      </c>
      <c r="Q1669" s="1">
        <v>0.73899999999999999</v>
      </c>
      <c r="R1669">
        <v>259</v>
      </c>
      <c r="S1669">
        <v>23</v>
      </c>
      <c r="T1669">
        <v>76</v>
      </c>
      <c r="U1669">
        <v>59</v>
      </c>
      <c r="V1669">
        <v>18</v>
      </c>
      <c r="W1669">
        <v>7</v>
      </c>
      <c r="X1669">
        <v>36</v>
      </c>
      <c r="Y1669" s="5">
        <v>1.64</v>
      </c>
    </row>
    <row r="1670" spans="1:25" x14ac:dyDescent="0.25">
      <c r="A1670">
        <v>2022</v>
      </c>
      <c r="B1670" t="s">
        <v>57</v>
      </c>
      <c r="C1670">
        <v>10</v>
      </c>
      <c r="D1670">
        <v>97</v>
      </c>
      <c r="E1670" t="s">
        <v>23</v>
      </c>
      <c r="F1670" t="s">
        <v>120</v>
      </c>
      <c r="G1670">
        <f t="shared" si="402"/>
        <v>1</v>
      </c>
      <c r="H1670">
        <v>10</v>
      </c>
      <c r="I1670">
        <v>3</v>
      </c>
      <c r="J1670">
        <v>0</v>
      </c>
      <c r="K1670" s="6" t="str">
        <f t="shared" ref="K1670" si="411">"vs "&amp;E1671</f>
        <v>vs Knights of Ni</v>
      </c>
      <c r="L1670" s="6" t="str">
        <f t="shared" ref="L1670" si="412">"vs "&amp;F1671</f>
        <v>vs Tolios</v>
      </c>
      <c r="M1670">
        <v>157</v>
      </c>
      <c r="N1670" s="1">
        <v>0.497</v>
      </c>
      <c r="O1670">
        <v>51</v>
      </c>
      <c r="P1670" s="1">
        <v>0.39500000000000002</v>
      </c>
      <c r="Q1670" s="1">
        <v>0.871</v>
      </c>
      <c r="R1670">
        <v>446</v>
      </c>
      <c r="S1670">
        <v>25</v>
      </c>
      <c r="T1670">
        <v>109</v>
      </c>
      <c r="U1670">
        <v>88</v>
      </c>
      <c r="V1670">
        <v>28</v>
      </c>
      <c r="W1670">
        <v>19</v>
      </c>
      <c r="X1670">
        <v>48</v>
      </c>
      <c r="Y1670" s="5">
        <v>1.83</v>
      </c>
    </row>
    <row r="1671" spans="1:25" x14ac:dyDescent="0.25">
      <c r="A1671">
        <v>2022</v>
      </c>
      <c r="B1671" t="s">
        <v>57</v>
      </c>
      <c r="C1671">
        <v>10</v>
      </c>
      <c r="D1671">
        <v>97</v>
      </c>
      <c r="E1671" t="s">
        <v>96</v>
      </c>
      <c r="F1671" t="s">
        <v>102</v>
      </c>
      <c r="G1671">
        <f t="shared" si="402"/>
        <v>0</v>
      </c>
      <c r="H1671">
        <v>3</v>
      </c>
      <c r="I1671">
        <v>10</v>
      </c>
      <c r="J1671">
        <v>0</v>
      </c>
      <c r="K1671" s="6" t="str">
        <f t="shared" ref="K1671" si="413">"vs "&amp;E1670</f>
        <v>vs Pachiana NinjaBees</v>
      </c>
      <c r="L1671" s="6" t="str">
        <f t="shared" ref="L1671" si="414">"vs "&amp;F1670</f>
        <v>vs Spiridaus/Oladipas</v>
      </c>
      <c r="M1671">
        <v>57</v>
      </c>
      <c r="N1671" s="1">
        <v>0.46</v>
      </c>
      <c r="O1671">
        <v>6</v>
      </c>
      <c r="P1671" s="1">
        <v>0.222</v>
      </c>
      <c r="Q1671" s="1">
        <v>0.63200000000000001</v>
      </c>
      <c r="R1671">
        <v>132</v>
      </c>
      <c r="S1671">
        <v>27</v>
      </c>
      <c r="T1671">
        <v>54</v>
      </c>
      <c r="U1671">
        <v>27</v>
      </c>
      <c r="V1671">
        <v>9</v>
      </c>
      <c r="W1671">
        <v>13</v>
      </c>
      <c r="X1671">
        <v>14</v>
      </c>
      <c r="Y1671" s="5">
        <v>1.93</v>
      </c>
    </row>
    <row r="1672" spans="1:25" x14ac:dyDescent="0.25">
      <c r="A1672">
        <v>2022</v>
      </c>
      <c r="B1672" t="s">
        <v>57</v>
      </c>
      <c r="C1672">
        <v>10</v>
      </c>
      <c r="D1672">
        <v>98</v>
      </c>
      <c r="E1672" t="s">
        <v>16</v>
      </c>
      <c r="F1672" t="s">
        <v>51</v>
      </c>
      <c r="G1672">
        <f t="shared" si="402"/>
        <v>0</v>
      </c>
      <c r="H1672">
        <v>3</v>
      </c>
      <c r="I1672">
        <v>9</v>
      </c>
      <c r="J1672">
        <v>1</v>
      </c>
      <c r="K1672" s="6" t="str">
        <f t="shared" ref="K1672" si="415">"vs "&amp;E1673</f>
        <v>vs purple fuzzy apache pirates</v>
      </c>
      <c r="L1672" s="6" t="str">
        <f t="shared" ref="L1672" si="416">"vs "&amp;F1673</f>
        <v>vs pi/Sotiris</v>
      </c>
      <c r="M1672">
        <v>94</v>
      </c>
      <c r="N1672" s="1">
        <v>0.41799999999999998</v>
      </c>
      <c r="O1672">
        <v>22</v>
      </c>
      <c r="P1672" s="1">
        <v>0.25900000000000001</v>
      </c>
      <c r="Q1672" s="1">
        <v>0.86199999999999999</v>
      </c>
      <c r="R1672">
        <v>260</v>
      </c>
      <c r="S1672">
        <v>24</v>
      </c>
      <c r="T1672">
        <v>67</v>
      </c>
      <c r="U1672">
        <v>79</v>
      </c>
      <c r="V1672">
        <v>20</v>
      </c>
      <c r="W1672">
        <v>15</v>
      </c>
      <c r="X1672">
        <v>36</v>
      </c>
      <c r="Y1672" s="5">
        <v>2.19</v>
      </c>
    </row>
    <row r="1673" spans="1:25" x14ac:dyDescent="0.25">
      <c r="A1673">
        <v>2022</v>
      </c>
      <c r="B1673" t="s">
        <v>57</v>
      </c>
      <c r="C1673">
        <v>10</v>
      </c>
      <c r="D1673">
        <v>98</v>
      </c>
      <c r="E1673" t="s">
        <v>159</v>
      </c>
      <c r="F1673" t="s">
        <v>116</v>
      </c>
      <c r="G1673">
        <f t="shared" si="402"/>
        <v>1</v>
      </c>
      <c r="H1673">
        <v>9</v>
      </c>
      <c r="I1673">
        <v>3</v>
      </c>
      <c r="J1673">
        <v>1</v>
      </c>
      <c r="K1673" s="6" t="str">
        <f t="shared" ref="K1673" si="417">"vs "&amp;E1672</f>
        <v>vs The Bridgeburners</v>
      </c>
      <c r="L1673" s="6" t="str">
        <f t="shared" ref="L1673" si="418">"vs "&amp;F1672</f>
        <v>vs Fanis</v>
      </c>
      <c r="M1673">
        <v>163</v>
      </c>
      <c r="N1673" s="1">
        <v>0.39500000000000002</v>
      </c>
      <c r="O1673">
        <v>54</v>
      </c>
      <c r="P1673" s="1">
        <v>0.32700000000000001</v>
      </c>
      <c r="Q1673" s="1">
        <v>0.79700000000000004</v>
      </c>
      <c r="R1673">
        <v>474</v>
      </c>
      <c r="S1673">
        <v>39</v>
      </c>
      <c r="T1673">
        <v>167</v>
      </c>
      <c r="U1673">
        <v>145</v>
      </c>
      <c r="V1673">
        <v>31</v>
      </c>
      <c r="W1673">
        <v>15</v>
      </c>
      <c r="X1673">
        <v>57</v>
      </c>
      <c r="Y1673" s="5">
        <v>2.54</v>
      </c>
    </row>
    <row r="1674" spans="1:25" x14ac:dyDescent="0.25">
      <c r="A1674">
        <v>2022</v>
      </c>
      <c r="B1674" t="s">
        <v>57</v>
      </c>
      <c r="C1674">
        <v>10</v>
      </c>
      <c r="D1674">
        <v>99</v>
      </c>
      <c r="E1674" t="s">
        <v>99</v>
      </c>
      <c r="F1674" t="s">
        <v>45</v>
      </c>
      <c r="G1674">
        <f t="shared" si="402"/>
        <v>1</v>
      </c>
      <c r="H1674">
        <v>10</v>
      </c>
      <c r="I1674">
        <v>3</v>
      </c>
      <c r="J1674">
        <v>0</v>
      </c>
      <c r="K1674" s="6" t="str">
        <f t="shared" ref="K1674" si="419">"vs "&amp;E1675</f>
        <v>vs Fighting Thaddeus</v>
      </c>
      <c r="L1674" s="6" t="str">
        <f t="shared" ref="L1674" si="420">"vs "&amp;F1675</f>
        <v>vs Stavros</v>
      </c>
      <c r="M1674">
        <v>92</v>
      </c>
      <c r="N1674" s="1">
        <v>0.41099999999999998</v>
      </c>
      <c r="O1674">
        <v>40</v>
      </c>
      <c r="P1674" s="1">
        <v>0.34799999999999998</v>
      </c>
      <c r="Q1674" s="1">
        <v>0.86699999999999999</v>
      </c>
      <c r="R1674">
        <v>276</v>
      </c>
      <c r="S1674">
        <v>23</v>
      </c>
      <c r="T1674">
        <v>79</v>
      </c>
      <c r="U1674">
        <v>58</v>
      </c>
      <c r="V1674">
        <v>19</v>
      </c>
      <c r="W1674">
        <v>6</v>
      </c>
      <c r="X1674">
        <v>25</v>
      </c>
      <c r="Y1674" s="5">
        <v>2.3199999999999998</v>
      </c>
    </row>
    <row r="1675" spans="1:25" x14ac:dyDescent="0.25">
      <c r="A1675">
        <v>2022</v>
      </c>
      <c r="B1675" t="s">
        <v>57</v>
      </c>
      <c r="C1675">
        <v>10</v>
      </c>
      <c r="D1675">
        <v>99</v>
      </c>
      <c r="E1675" t="s">
        <v>94</v>
      </c>
      <c r="F1675" t="s">
        <v>40</v>
      </c>
      <c r="G1675">
        <f t="shared" si="402"/>
        <v>0</v>
      </c>
      <c r="H1675">
        <v>3</v>
      </c>
      <c r="I1675">
        <v>10</v>
      </c>
      <c r="J1675">
        <v>0</v>
      </c>
      <c r="K1675" s="6" t="str">
        <f t="shared" ref="K1675" si="421">"vs "&amp;E1674</f>
        <v>vs Tsarlatans</v>
      </c>
      <c r="L1675" s="6" t="str">
        <f t="shared" ref="L1675" si="422">"vs "&amp;F1674</f>
        <v>vs Tzokos</v>
      </c>
      <c r="M1675">
        <v>63</v>
      </c>
      <c r="N1675" s="1">
        <v>0.49199999999999999</v>
      </c>
      <c r="O1675">
        <v>20</v>
      </c>
      <c r="P1675" s="1">
        <v>0.40799999999999997</v>
      </c>
      <c r="Q1675" s="1">
        <v>0.76500000000000001</v>
      </c>
      <c r="R1675">
        <v>159</v>
      </c>
      <c r="S1675">
        <v>7</v>
      </c>
      <c r="T1675">
        <v>39</v>
      </c>
      <c r="U1675">
        <v>23</v>
      </c>
      <c r="V1675">
        <v>10</v>
      </c>
      <c r="W1675">
        <v>2</v>
      </c>
      <c r="X1675">
        <v>16</v>
      </c>
      <c r="Y1675" s="5">
        <v>1.44</v>
      </c>
    </row>
    <row r="1676" spans="1:25" x14ac:dyDescent="0.25">
      <c r="A1676">
        <v>2022</v>
      </c>
      <c r="B1676" t="s">
        <v>57</v>
      </c>
      <c r="C1676">
        <v>10</v>
      </c>
      <c r="D1676">
        <v>100</v>
      </c>
      <c r="E1676" t="s">
        <v>21</v>
      </c>
      <c r="F1676" t="s">
        <v>50</v>
      </c>
      <c r="G1676">
        <f t="shared" si="402"/>
        <v>1</v>
      </c>
      <c r="H1676">
        <v>9</v>
      </c>
      <c r="I1676">
        <v>4</v>
      </c>
      <c r="J1676">
        <v>0</v>
      </c>
      <c r="K1676" s="6" t="str">
        <f t="shared" ref="K1676" si="423">"vs "&amp;E1677</f>
        <v>vs Donkey Rolls</v>
      </c>
      <c r="L1676" s="6" t="str">
        <f t="shared" ref="L1676" si="424">"vs "&amp;F1677</f>
        <v>vs Markos</v>
      </c>
      <c r="M1676">
        <v>159</v>
      </c>
      <c r="N1676" s="1">
        <v>0.45300000000000001</v>
      </c>
      <c r="O1676">
        <v>40</v>
      </c>
      <c r="P1676" s="1">
        <v>0.34799999999999998</v>
      </c>
      <c r="Q1676" s="1">
        <v>0.83499999999999996</v>
      </c>
      <c r="R1676">
        <v>434</v>
      </c>
      <c r="S1676">
        <v>26</v>
      </c>
      <c r="T1676">
        <v>107</v>
      </c>
      <c r="U1676">
        <v>105</v>
      </c>
      <c r="V1676">
        <v>28</v>
      </c>
      <c r="W1676">
        <v>12</v>
      </c>
      <c r="X1676">
        <v>54</v>
      </c>
      <c r="Y1676" s="5">
        <v>1.94</v>
      </c>
    </row>
    <row r="1677" spans="1:25" x14ac:dyDescent="0.25">
      <c r="A1677">
        <v>2022</v>
      </c>
      <c r="B1677" t="s">
        <v>57</v>
      </c>
      <c r="C1677">
        <v>10</v>
      </c>
      <c r="D1677">
        <v>100</v>
      </c>
      <c r="E1677" t="s">
        <v>17</v>
      </c>
      <c r="F1677" t="s">
        <v>43</v>
      </c>
      <c r="G1677">
        <f t="shared" si="402"/>
        <v>0</v>
      </c>
      <c r="H1677">
        <v>4</v>
      </c>
      <c r="I1677">
        <v>9</v>
      </c>
      <c r="J1677">
        <v>0</v>
      </c>
      <c r="K1677" s="6" t="str">
        <f t="shared" ref="K1677" si="425">"vs "&amp;E1676</f>
        <v>vs st.Helens Eruptions</v>
      </c>
      <c r="L1677" s="6" t="str">
        <f t="shared" ref="L1677" si="426">"vs "&amp;F1676</f>
        <v>vs Aris</v>
      </c>
      <c r="M1677">
        <v>108</v>
      </c>
      <c r="N1677" s="1">
        <v>0.46800000000000003</v>
      </c>
      <c r="O1677">
        <v>35</v>
      </c>
      <c r="P1677" s="1">
        <v>0.376</v>
      </c>
      <c r="Q1677" s="1">
        <v>0.72899999999999998</v>
      </c>
      <c r="R1677">
        <v>286</v>
      </c>
      <c r="S1677">
        <v>23</v>
      </c>
      <c r="T1677">
        <v>62</v>
      </c>
      <c r="U1677">
        <v>66</v>
      </c>
      <c r="V1677">
        <v>18</v>
      </c>
      <c r="W1677">
        <v>9</v>
      </c>
      <c r="X1677">
        <v>22</v>
      </c>
      <c r="Y1677" s="5">
        <v>3</v>
      </c>
    </row>
    <row r="1678" spans="1:25" x14ac:dyDescent="0.25">
      <c r="A1678">
        <v>2022</v>
      </c>
      <c r="B1678" t="s">
        <v>57</v>
      </c>
      <c r="C1678">
        <v>11</v>
      </c>
      <c r="D1678">
        <v>101</v>
      </c>
      <c r="E1678" t="s">
        <v>28</v>
      </c>
      <c r="F1678" t="s">
        <v>46</v>
      </c>
      <c r="G1678">
        <f t="shared" si="402"/>
        <v>0</v>
      </c>
      <c r="H1678">
        <v>6</v>
      </c>
      <c r="I1678">
        <v>7</v>
      </c>
      <c r="J1678">
        <v>0</v>
      </c>
      <c r="K1678" s="6" t="str">
        <f t="shared" ref="K1678" si="427">"vs "&amp;E1679</f>
        <v>vs Pachiana NinjaBees</v>
      </c>
      <c r="L1678" s="6" t="str">
        <f t="shared" ref="L1678" si="428">"vs "&amp;F1679</f>
        <v>vs Spiridaus/Oladipas</v>
      </c>
      <c r="M1678">
        <v>146</v>
      </c>
      <c r="N1678" s="1">
        <v>0.47099999999999997</v>
      </c>
      <c r="O1678">
        <v>30</v>
      </c>
      <c r="P1678" s="1">
        <v>0.33300000000000002</v>
      </c>
      <c r="Q1678" s="1">
        <v>0.86599999999999999</v>
      </c>
      <c r="R1678">
        <v>393</v>
      </c>
      <c r="S1678">
        <v>50</v>
      </c>
      <c r="T1678">
        <v>164</v>
      </c>
      <c r="U1678">
        <v>118</v>
      </c>
      <c r="V1678">
        <v>33</v>
      </c>
      <c r="W1678">
        <v>19</v>
      </c>
      <c r="X1678">
        <v>45</v>
      </c>
      <c r="Y1678" s="5">
        <v>2.62</v>
      </c>
    </row>
    <row r="1679" spans="1:25" x14ac:dyDescent="0.25">
      <c r="A1679">
        <v>2022</v>
      </c>
      <c r="B1679" t="s">
        <v>57</v>
      </c>
      <c r="C1679">
        <v>11</v>
      </c>
      <c r="D1679">
        <v>101</v>
      </c>
      <c r="E1679" t="s">
        <v>23</v>
      </c>
      <c r="F1679" t="s">
        <v>120</v>
      </c>
      <c r="G1679">
        <f t="shared" si="402"/>
        <v>1</v>
      </c>
      <c r="H1679">
        <v>7</v>
      </c>
      <c r="I1679">
        <v>6</v>
      </c>
      <c r="J1679">
        <v>0</v>
      </c>
      <c r="K1679" s="6" t="str">
        <f t="shared" ref="K1679" si="429">"vs "&amp;E1678</f>
        <v>vs Steven Adams' Moustache</v>
      </c>
      <c r="L1679" s="6" t="str">
        <f t="shared" ref="L1679" si="430">"vs "&amp;F1678</f>
        <v>vs Johnny</v>
      </c>
      <c r="M1679">
        <v>183</v>
      </c>
      <c r="N1679" s="1">
        <v>0.48699999999999999</v>
      </c>
      <c r="O1679">
        <v>56</v>
      </c>
      <c r="P1679" s="1">
        <v>0.39200000000000002</v>
      </c>
      <c r="Q1679" s="1">
        <v>0.74</v>
      </c>
      <c r="R1679">
        <v>519</v>
      </c>
      <c r="S1679">
        <v>39</v>
      </c>
      <c r="T1679">
        <v>107</v>
      </c>
      <c r="U1679">
        <v>90</v>
      </c>
      <c r="V1679">
        <v>37</v>
      </c>
      <c r="W1679">
        <v>27</v>
      </c>
      <c r="X1679">
        <v>55</v>
      </c>
      <c r="Y1679" s="5">
        <v>1.64</v>
      </c>
    </row>
    <row r="1680" spans="1:25" x14ac:dyDescent="0.25">
      <c r="A1680">
        <v>2022</v>
      </c>
      <c r="B1680" t="s">
        <v>57</v>
      </c>
      <c r="C1680">
        <v>11</v>
      </c>
      <c r="D1680">
        <v>102</v>
      </c>
      <c r="E1680" t="s">
        <v>95</v>
      </c>
      <c r="F1680" t="s">
        <v>101</v>
      </c>
      <c r="G1680">
        <f t="shared" si="402"/>
        <v>1</v>
      </c>
      <c r="H1680">
        <v>9</v>
      </c>
      <c r="I1680">
        <v>3</v>
      </c>
      <c r="J1680">
        <v>1</v>
      </c>
      <c r="K1680" s="6" t="str">
        <f t="shared" ref="K1680" si="431">"vs "&amp;E1681</f>
        <v>vs The Bad Boys</v>
      </c>
      <c r="L1680" s="6" t="str">
        <f t="shared" ref="L1680" si="432">"vs "&amp;F1681</f>
        <v>vs Arvanitis</v>
      </c>
      <c r="M1680">
        <v>104</v>
      </c>
      <c r="N1680" s="1">
        <v>0.40200000000000002</v>
      </c>
      <c r="O1680">
        <v>31</v>
      </c>
      <c r="P1680" s="1">
        <v>0.31</v>
      </c>
      <c r="Q1680" s="1">
        <v>0.82699999999999996</v>
      </c>
      <c r="R1680">
        <v>282</v>
      </c>
      <c r="S1680">
        <v>33</v>
      </c>
      <c r="T1680">
        <v>92</v>
      </c>
      <c r="U1680">
        <v>52</v>
      </c>
      <c r="V1680">
        <v>16</v>
      </c>
      <c r="W1680">
        <v>13</v>
      </c>
      <c r="X1680">
        <v>35</v>
      </c>
      <c r="Y1680" s="5">
        <v>1.49</v>
      </c>
    </row>
    <row r="1681" spans="1:25" x14ac:dyDescent="0.25">
      <c r="A1681">
        <v>2022</v>
      </c>
      <c r="B1681" t="s">
        <v>57</v>
      </c>
      <c r="C1681">
        <v>11</v>
      </c>
      <c r="D1681">
        <v>102</v>
      </c>
      <c r="E1681" t="s">
        <v>154</v>
      </c>
      <c r="F1681" t="s">
        <v>155</v>
      </c>
      <c r="G1681">
        <f t="shared" si="402"/>
        <v>0</v>
      </c>
      <c r="H1681">
        <v>3</v>
      </c>
      <c r="I1681">
        <v>9</v>
      </c>
      <c r="J1681">
        <v>1</v>
      </c>
      <c r="K1681" s="6" t="str">
        <f t="shared" ref="K1681" si="433">"vs "&amp;E1680</f>
        <v>vs Baltimore Hercules</v>
      </c>
      <c r="L1681" s="6" t="str">
        <f t="shared" ref="L1681" si="434">"vs "&amp;F1680</f>
        <v>vs Sarantos</v>
      </c>
      <c r="M1681">
        <v>78</v>
      </c>
      <c r="N1681" s="1">
        <v>0.38600000000000001</v>
      </c>
      <c r="O1681">
        <v>24</v>
      </c>
      <c r="P1681" s="1">
        <v>0.26700000000000002</v>
      </c>
      <c r="Q1681" s="1">
        <v>0.86499999999999999</v>
      </c>
      <c r="R1681">
        <v>212</v>
      </c>
      <c r="S1681">
        <v>25</v>
      </c>
      <c r="T1681">
        <v>95</v>
      </c>
      <c r="U1681">
        <v>37</v>
      </c>
      <c r="V1681">
        <v>13</v>
      </c>
      <c r="W1681">
        <v>13</v>
      </c>
      <c r="X1681">
        <v>32</v>
      </c>
      <c r="Y1681" s="5">
        <v>1.1599999999999999</v>
      </c>
    </row>
    <row r="1682" spans="1:25" x14ac:dyDescent="0.25">
      <c r="A1682">
        <v>2022</v>
      </c>
      <c r="B1682" t="s">
        <v>57</v>
      </c>
      <c r="C1682">
        <v>11</v>
      </c>
      <c r="D1682">
        <v>103</v>
      </c>
      <c r="E1682" t="s">
        <v>25</v>
      </c>
      <c r="F1682" t="s">
        <v>53</v>
      </c>
      <c r="G1682">
        <f t="shared" si="402"/>
        <v>0</v>
      </c>
      <c r="H1682">
        <v>3</v>
      </c>
      <c r="I1682">
        <v>9</v>
      </c>
      <c r="J1682">
        <v>1</v>
      </c>
      <c r="K1682" s="6" t="str">
        <f t="shared" ref="K1682" si="435">"vs "&amp;E1683</f>
        <v>vs st.Helens Eruptions</v>
      </c>
      <c r="L1682" s="6" t="str">
        <f t="shared" ref="L1682" si="436">"vs "&amp;F1683</f>
        <v>vs Aris</v>
      </c>
      <c r="M1682">
        <v>124</v>
      </c>
      <c r="N1682" s="1">
        <v>0.44900000000000001</v>
      </c>
      <c r="O1682">
        <v>26</v>
      </c>
      <c r="P1682" s="1">
        <v>0.32500000000000001</v>
      </c>
      <c r="Q1682" s="1">
        <v>0.75600000000000001</v>
      </c>
      <c r="R1682">
        <v>342</v>
      </c>
      <c r="S1682">
        <v>48</v>
      </c>
      <c r="T1682">
        <v>104</v>
      </c>
      <c r="U1682">
        <v>59</v>
      </c>
      <c r="V1682">
        <v>17</v>
      </c>
      <c r="W1682">
        <v>18</v>
      </c>
      <c r="X1682">
        <v>56</v>
      </c>
      <c r="Y1682" s="5">
        <v>1.05</v>
      </c>
    </row>
    <row r="1683" spans="1:25" x14ac:dyDescent="0.25">
      <c r="A1683">
        <v>2022</v>
      </c>
      <c r="B1683" t="s">
        <v>57</v>
      </c>
      <c r="C1683">
        <v>11</v>
      </c>
      <c r="D1683">
        <v>103</v>
      </c>
      <c r="E1683" t="s">
        <v>21</v>
      </c>
      <c r="F1683" t="s">
        <v>50</v>
      </c>
      <c r="G1683">
        <f t="shared" si="402"/>
        <v>1</v>
      </c>
      <c r="H1683">
        <v>9</v>
      </c>
      <c r="I1683">
        <v>3</v>
      </c>
      <c r="J1683">
        <v>1</v>
      </c>
      <c r="K1683" s="6" t="str">
        <f t="shared" ref="K1683" si="437">"vs "&amp;E1682</f>
        <v>vs The Rookies</v>
      </c>
      <c r="L1683" s="6" t="str">
        <f t="shared" ref="L1683" si="438">"vs "&amp;F1682</f>
        <v>vs Kousidis</v>
      </c>
      <c r="M1683">
        <v>143</v>
      </c>
      <c r="N1683" s="1">
        <v>0.46700000000000003</v>
      </c>
      <c r="O1683">
        <v>41</v>
      </c>
      <c r="P1683" s="1">
        <v>0.41</v>
      </c>
      <c r="Q1683" s="1">
        <v>0.73399999999999999</v>
      </c>
      <c r="R1683">
        <v>407</v>
      </c>
      <c r="S1683">
        <v>43</v>
      </c>
      <c r="T1683">
        <v>116</v>
      </c>
      <c r="U1683">
        <v>125</v>
      </c>
      <c r="V1683">
        <v>18</v>
      </c>
      <c r="W1683">
        <v>18</v>
      </c>
      <c r="X1683">
        <v>70</v>
      </c>
      <c r="Y1683" s="5">
        <v>1.79</v>
      </c>
    </row>
    <row r="1684" spans="1:25" x14ac:dyDescent="0.25">
      <c r="A1684">
        <v>2022</v>
      </c>
      <c r="B1684" t="s">
        <v>57</v>
      </c>
      <c r="C1684">
        <v>11</v>
      </c>
      <c r="D1684">
        <v>104</v>
      </c>
      <c r="E1684" t="s">
        <v>15</v>
      </c>
      <c r="F1684" t="s">
        <v>48</v>
      </c>
      <c r="G1684">
        <f t="shared" si="402"/>
        <v>0</v>
      </c>
      <c r="H1684">
        <v>4</v>
      </c>
      <c r="I1684">
        <v>9</v>
      </c>
      <c r="J1684">
        <v>0</v>
      </c>
      <c r="K1684" s="6" t="str">
        <f t="shared" ref="K1684" si="439">"vs "&amp;E1685</f>
        <v>vs Tsarlatans</v>
      </c>
      <c r="L1684" s="6" t="str">
        <f t="shared" ref="L1684" si="440">"vs "&amp;F1685</f>
        <v>vs Tzokos</v>
      </c>
      <c r="M1684">
        <v>101</v>
      </c>
      <c r="N1684" s="1">
        <v>0.498</v>
      </c>
      <c r="O1684">
        <v>27</v>
      </c>
      <c r="P1684" s="1">
        <v>0.375</v>
      </c>
      <c r="Q1684" s="1">
        <v>0.7</v>
      </c>
      <c r="R1684">
        <v>257</v>
      </c>
      <c r="S1684">
        <v>17</v>
      </c>
      <c r="T1684">
        <v>102</v>
      </c>
      <c r="U1684">
        <v>40</v>
      </c>
      <c r="V1684">
        <v>17</v>
      </c>
      <c r="W1684">
        <v>8</v>
      </c>
      <c r="X1684">
        <v>32</v>
      </c>
      <c r="Y1684" s="5">
        <v>1.25</v>
      </c>
    </row>
    <row r="1685" spans="1:25" x14ac:dyDescent="0.25">
      <c r="A1685">
        <v>2022</v>
      </c>
      <c r="B1685" t="s">
        <v>57</v>
      </c>
      <c r="C1685">
        <v>11</v>
      </c>
      <c r="D1685">
        <v>104</v>
      </c>
      <c r="E1685" t="s">
        <v>99</v>
      </c>
      <c r="F1685" t="s">
        <v>45</v>
      </c>
      <c r="G1685">
        <f t="shared" si="402"/>
        <v>1</v>
      </c>
      <c r="H1685">
        <v>9</v>
      </c>
      <c r="I1685">
        <v>4</v>
      </c>
      <c r="J1685">
        <v>0</v>
      </c>
      <c r="K1685" s="6" t="str">
        <f t="shared" ref="K1685" si="441">"vs "&amp;E1684</f>
        <v>vs Salonika Devils</v>
      </c>
      <c r="L1685" s="6" t="str">
        <f t="shared" ref="L1685" si="442">"vs "&amp;F1684</f>
        <v>vs Fountos</v>
      </c>
      <c r="M1685">
        <v>181</v>
      </c>
      <c r="N1685" s="1">
        <v>0.45300000000000001</v>
      </c>
      <c r="O1685">
        <v>68</v>
      </c>
      <c r="P1685" s="1">
        <v>0.36799999999999999</v>
      </c>
      <c r="Q1685" s="1">
        <v>0.76300000000000001</v>
      </c>
      <c r="R1685">
        <v>533</v>
      </c>
      <c r="S1685">
        <v>35</v>
      </c>
      <c r="T1685">
        <v>131</v>
      </c>
      <c r="U1685">
        <v>70</v>
      </c>
      <c r="V1685">
        <v>23</v>
      </c>
      <c r="W1685">
        <v>17</v>
      </c>
      <c r="X1685">
        <v>59</v>
      </c>
      <c r="Y1685" s="5">
        <v>1.19</v>
      </c>
    </row>
    <row r="1686" spans="1:25" x14ac:dyDescent="0.25">
      <c r="A1686">
        <v>2022</v>
      </c>
      <c r="B1686" t="s">
        <v>57</v>
      </c>
      <c r="C1686">
        <v>11</v>
      </c>
      <c r="D1686">
        <v>105</v>
      </c>
      <c r="E1686" t="s">
        <v>33</v>
      </c>
      <c r="F1686" t="s">
        <v>42</v>
      </c>
      <c r="G1686">
        <f t="shared" si="402"/>
        <v>1</v>
      </c>
      <c r="H1686">
        <v>10</v>
      </c>
      <c r="I1686">
        <v>3</v>
      </c>
      <c r="J1686">
        <v>0</v>
      </c>
      <c r="K1686" s="6" t="str">
        <f t="shared" ref="K1686" si="443">"vs "&amp;E1687</f>
        <v>vs Samarina Dudenbros</v>
      </c>
      <c r="L1686" s="6" t="str">
        <f t="shared" ref="L1686" si="444">"vs "&amp;F1687</f>
        <v>vs Sakellariou</v>
      </c>
      <c r="M1686">
        <v>131</v>
      </c>
      <c r="N1686" s="1">
        <v>0.47299999999999998</v>
      </c>
      <c r="O1686">
        <v>54</v>
      </c>
      <c r="P1686" s="1">
        <v>0.40899999999999997</v>
      </c>
      <c r="Q1686" s="1">
        <v>0.86299999999999999</v>
      </c>
      <c r="R1686">
        <v>385</v>
      </c>
      <c r="S1686">
        <v>33</v>
      </c>
      <c r="T1686">
        <v>111</v>
      </c>
      <c r="U1686">
        <v>71</v>
      </c>
      <c r="V1686">
        <v>17</v>
      </c>
      <c r="W1686">
        <v>10</v>
      </c>
      <c r="X1686">
        <v>28</v>
      </c>
      <c r="Y1686" s="5">
        <v>2.54</v>
      </c>
    </row>
    <row r="1687" spans="1:25" x14ac:dyDescent="0.25">
      <c r="A1687">
        <v>2022</v>
      </c>
      <c r="B1687" t="s">
        <v>57</v>
      </c>
      <c r="C1687">
        <v>11</v>
      </c>
      <c r="D1687">
        <v>105</v>
      </c>
      <c r="E1687" t="s">
        <v>181</v>
      </c>
      <c r="F1687" t="s">
        <v>49</v>
      </c>
      <c r="G1687">
        <f t="shared" si="402"/>
        <v>0</v>
      </c>
      <c r="H1687">
        <v>3</v>
      </c>
      <c r="I1687">
        <v>10</v>
      </c>
      <c r="J1687">
        <v>0</v>
      </c>
      <c r="K1687" s="6" t="str">
        <f t="shared" ref="K1687" si="445">"vs "&amp;E1686</f>
        <v>vs The Guns</v>
      </c>
      <c r="L1687" s="6" t="str">
        <f t="shared" ref="L1687" si="446">"vs "&amp;F1686</f>
        <v>vs Vasilis</v>
      </c>
      <c r="M1687">
        <v>129</v>
      </c>
      <c r="N1687" s="1">
        <v>0.46400000000000002</v>
      </c>
      <c r="O1687">
        <v>29</v>
      </c>
      <c r="P1687" s="1">
        <v>0.315</v>
      </c>
      <c r="Q1687" s="1">
        <v>0.73899999999999999</v>
      </c>
      <c r="R1687">
        <v>352</v>
      </c>
      <c r="S1687">
        <v>28</v>
      </c>
      <c r="T1687">
        <v>94</v>
      </c>
      <c r="U1687">
        <v>74</v>
      </c>
      <c r="V1687">
        <v>29</v>
      </c>
      <c r="W1687">
        <v>20</v>
      </c>
      <c r="X1687">
        <v>41</v>
      </c>
      <c r="Y1687" s="5">
        <v>1.8</v>
      </c>
    </row>
    <row r="1688" spans="1:25" x14ac:dyDescent="0.25">
      <c r="A1688">
        <v>2022</v>
      </c>
      <c r="B1688" t="s">
        <v>57</v>
      </c>
      <c r="C1688">
        <v>11</v>
      </c>
      <c r="D1688">
        <v>106</v>
      </c>
      <c r="E1688" t="s">
        <v>94</v>
      </c>
      <c r="F1688" t="s">
        <v>40</v>
      </c>
      <c r="G1688">
        <f t="shared" si="402"/>
        <v>0</v>
      </c>
      <c r="H1688">
        <v>4</v>
      </c>
      <c r="I1688">
        <v>9</v>
      </c>
      <c r="J1688">
        <v>0</v>
      </c>
      <c r="K1688" s="6" t="str">
        <f t="shared" ref="K1688" si="447">"vs "&amp;E1689</f>
        <v>vs purple fuzzy apache pirates</v>
      </c>
      <c r="L1688" s="6" t="str">
        <f t="shared" ref="L1688" si="448">"vs "&amp;F1689</f>
        <v>vs pi/Sotiris</v>
      </c>
      <c r="M1688">
        <v>105</v>
      </c>
      <c r="N1688" s="1">
        <v>0.39800000000000002</v>
      </c>
      <c r="O1688">
        <v>35</v>
      </c>
      <c r="P1688" s="1">
        <v>0.318</v>
      </c>
      <c r="Q1688" s="1">
        <v>0.78800000000000003</v>
      </c>
      <c r="R1688">
        <v>297</v>
      </c>
      <c r="S1688">
        <v>13</v>
      </c>
      <c r="T1688">
        <v>98</v>
      </c>
      <c r="U1688">
        <v>74</v>
      </c>
      <c r="V1688">
        <v>22</v>
      </c>
      <c r="W1688">
        <v>17</v>
      </c>
      <c r="X1688">
        <v>47</v>
      </c>
      <c r="Y1688" s="5">
        <v>1.57</v>
      </c>
    </row>
    <row r="1689" spans="1:25" x14ac:dyDescent="0.25">
      <c r="A1689">
        <v>2022</v>
      </c>
      <c r="B1689" t="s">
        <v>57</v>
      </c>
      <c r="C1689">
        <v>11</v>
      </c>
      <c r="D1689">
        <v>106</v>
      </c>
      <c r="E1689" t="s">
        <v>159</v>
      </c>
      <c r="F1689" t="s">
        <v>116</v>
      </c>
      <c r="G1689">
        <f t="shared" si="402"/>
        <v>1</v>
      </c>
      <c r="H1689">
        <v>9</v>
      </c>
      <c r="I1689">
        <v>4</v>
      </c>
      <c r="J1689">
        <v>0</v>
      </c>
      <c r="K1689" s="6" t="str">
        <f t="shared" ref="K1689" si="449">"vs "&amp;E1688</f>
        <v>vs Fighting Thaddeus</v>
      </c>
      <c r="L1689" s="6" t="str">
        <f t="shared" ref="L1689" si="450">"vs "&amp;F1688</f>
        <v>vs Stavros</v>
      </c>
      <c r="M1689">
        <v>164</v>
      </c>
      <c r="N1689" s="1">
        <v>0.48199999999999998</v>
      </c>
      <c r="O1689">
        <v>64</v>
      </c>
      <c r="P1689" s="1">
        <v>0.42099999999999999</v>
      </c>
      <c r="Q1689" s="1">
        <v>0.77300000000000002</v>
      </c>
      <c r="R1689">
        <v>460</v>
      </c>
      <c r="S1689">
        <v>29</v>
      </c>
      <c r="T1689">
        <v>129</v>
      </c>
      <c r="U1689">
        <v>84</v>
      </c>
      <c r="V1689">
        <v>24</v>
      </c>
      <c r="W1689">
        <v>10</v>
      </c>
      <c r="X1689">
        <v>63</v>
      </c>
      <c r="Y1689" s="5">
        <v>1.33</v>
      </c>
    </row>
    <row r="1690" spans="1:25" x14ac:dyDescent="0.25">
      <c r="A1690">
        <v>2022</v>
      </c>
      <c r="B1690" t="s">
        <v>57</v>
      </c>
      <c r="C1690">
        <v>11</v>
      </c>
      <c r="D1690">
        <v>107</v>
      </c>
      <c r="E1690" t="s">
        <v>190</v>
      </c>
      <c r="F1690" t="s">
        <v>103</v>
      </c>
      <c r="G1690">
        <f t="shared" si="402"/>
        <v>0</v>
      </c>
      <c r="H1690">
        <v>3</v>
      </c>
      <c r="I1690">
        <v>10</v>
      </c>
      <c r="J1690">
        <v>0</v>
      </c>
      <c r="K1690" s="6" t="str">
        <f t="shared" ref="K1690" si="451">"vs "&amp;E1691</f>
        <v>vs Guruuu 🐐🐐🐐</v>
      </c>
      <c r="L1690" s="6" t="str">
        <f t="shared" ref="L1690" si="452">"vs "&amp;F1691</f>
        <v>vs Guru</v>
      </c>
      <c r="M1690">
        <v>100</v>
      </c>
      <c r="N1690" s="1">
        <v>0.45200000000000001</v>
      </c>
      <c r="O1690">
        <v>30</v>
      </c>
      <c r="P1690" s="1">
        <v>0.41099999999999998</v>
      </c>
      <c r="Q1690" s="1">
        <v>0.76700000000000002</v>
      </c>
      <c r="R1690">
        <v>276</v>
      </c>
      <c r="S1690">
        <v>21</v>
      </c>
      <c r="T1690">
        <v>75</v>
      </c>
      <c r="U1690">
        <v>76</v>
      </c>
      <c r="V1690">
        <v>19</v>
      </c>
      <c r="W1690">
        <v>14</v>
      </c>
      <c r="X1690">
        <v>31</v>
      </c>
      <c r="Y1690" s="5">
        <v>2.4500000000000002</v>
      </c>
    </row>
    <row r="1691" spans="1:25" x14ac:dyDescent="0.25">
      <c r="A1691">
        <v>2022</v>
      </c>
      <c r="B1691" t="s">
        <v>57</v>
      </c>
      <c r="C1691">
        <v>11</v>
      </c>
      <c r="D1691">
        <v>107</v>
      </c>
      <c r="E1691" t="s">
        <v>93</v>
      </c>
      <c r="F1691" t="s">
        <v>189</v>
      </c>
      <c r="G1691">
        <f t="shared" si="402"/>
        <v>1</v>
      </c>
      <c r="H1691">
        <v>10</v>
      </c>
      <c r="I1691">
        <v>3</v>
      </c>
      <c r="J1691">
        <v>0</v>
      </c>
      <c r="K1691" s="6" t="str">
        <f t="shared" ref="K1691" si="453">"vs "&amp;E1690</f>
        <v>vs Karafli SaiTa</v>
      </c>
      <c r="L1691" s="6" t="str">
        <f t="shared" ref="L1691" si="454">"vs "&amp;F1690</f>
        <v>vs Tassos</v>
      </c>
      <c r="M1691">
        <v>168</v>
      </c>
      <c r="N1691" s="1">
        <v>0.42299999999999999</v>
      </c>
      <c r="O1691">
        <v>59</v>
      </c>
      <c r="P1691" s="1">
        <v>0.33</v>
      </c>
      <c r="Q1691" s="1">
        <v>0.84699999999999998</v>
      </c>
      <c r="R1691">
        <v>495</v>
      </c>
      <c r="S1691">
        <v>39</v>
      </c>
      <c r="T1691">
        <v>146</v>
      </c>
      <c r="U1691">
        <v>113</v>
      </c>
      <c r="V1691">
        <v>29</v>
      </c>
      <c r="W1691">
        <v>26</v>
      </c>
      <c r="X1691">
        <v>46</v>
      </c>
      <c r="Y1691" s="5">
        <v>2.46</v>
      </c>
    </row>
    <row r="1692" spans="1:25" x14ac:dyDescent="0.25">
      <c r="A1692">
        <v>2022</v>
      </c>
      <c r="B1692" t="s">
        <v>57</v>
      </c>
      <c r="C1692">
        <v>11</v>
      </c>
      <c r="D1692">
        <v>108</v>
      </c>
      <c r="E1692" t="s">
        <v>97</v>
      </c>
      <c r="F1692" t="s">
        <v>54</v>
      </c>
      <c r="G1692">
        <f t="shared" si="402"/>
        <v>1</v>
      </c>
      <c r="H1692">
        <v>8</v>
      </c>
      <c r="I1692">
        <v>5</v>
      </c>
      <c r="J1692">
        <v>0</v>
      </c>
      <c r="K1692" s="6" t="str">
        <f t="shared" ref="K1692" si="455">"vs "&amp;E1693</f>
        <v>vs Knights of Ni</v>
      </c>
      <c r="L1692" s="6" t="str">
        <f t="shared" ref="L1692" si="456">"vs "&amp;F1693</f>
        <v>vs Tolios</v>
      </c>
      <c r="M1692">
        <v>159</v>
      </c>
      <c r="N1692" s="1">
        <v>0.498</v>
      </c>
      <c r="O1692">
        <v>41</v>
      </c>
      <c r="P1692" s="1">
        <v>0.39800000000000002</v>
      </c>
      <c r="Q1692" s="1">
        <v>0.82399999999999995</v>
      </c>
      <c r="R1692">
        <v>476</v>
      </c>
      <c r="S1692">
        <v>39</v>
      </c>
      <c r="T1692">
        <v>134</v>
      </c>
      <c r="U1692">
        <v>88</v>
      </c>
      <c r="V1692">
        <v>20</v>
      </c>
      <c r="W1692">
        <v>19</v>
      </c>
      <c r="X1692">
        <v>47</v>
      </c>
      <c r="Y1692" s="5">
        <v>1.87</v>
      </c>
    </row>
    <row r="1693" spans="1:25" x14ac:dyDescent="0.25">
      <c r="A1693">
        <v>2022</v>
      </c>
      <c r="B1693" t="s">
        <v>57</v>
      </c>
      <c r="C1693">
        <v>11</v>
      </c>
      <c r="D1693">
        <v>108</v>
      </c>
      <c r="E1693" t="s">
        <v>96</v>
      </c>
      <c r="F1693" t="s">
        <v>102</v>
      </c>
      <c r="G1693">
        <f t="shared" si="402"/>
        <v>0</v>
      </c>
      <c r="H1693">
        <v>5</v>
      </c>
      <c r="I1693">
        <v>8</v>
      </c>
      <c r="J1693">
        <v>0</v>
      </c>
      <c r="K1693" s="6" t="str">
        <f t="shared" ref="K1693" si="457">"vs "&amp;E1692</f>
        <v>vs Underdogs</v>
      </c>
      <c r="L1693" s="6" t="str">
        <f t="shared" ref="L1693" si="458">"vs "&amp;F1692</f>
        <v>vs Nonis</v>
      </c>
      <c r="M1693">
        <v>106</v>
      </c>
      <c r="N1693" s="1">
        <v>0.51500000000000001</v>
      </c>
      <c r="O1693">
        <v>26</v>
      </c>
      <c r="P1693" s="1">
        <v>0.38200000000000001</v>
      </c>
      <c r="Q1693" s="1">
        <v>0.67600000000000005</v>
      </c>
      <c r="R1693">
        <v>261</v>
      </c>
      <c r="S1693">
        <v>52</v>
      </c>
      <c r="T1693">
        <v>100</v>
      </c>
      <c r="U1693">
        <v>58</v>
      </c>
      <c r="V1693">
        <v>21</v>
      </c>
      <c r="W1693">
        <v>16</v>
      </c>
      <c r="X1693">
        <v>19</v>
      </c>
      <c r="Y1693" s="5">
        <v>3.05</v>
      </c>
    </row>
    <row r="1694" spans="1:25" x14ac:dyDescent="0.25">
      <c r="A1694">
        <v>2022</v>
      </c>
      <c r="B1694" t="s">
        <v>57</v>
      </c>
      <c r="C1694">
        <v>11</v>
      </c>
      <c r="D1694">
        <v>109</v>
      </c>
      <c r="E1694" t="s">
        <v>26</v>
      </c>
      <c r="F1694" t="s">
        <v>118</v>
      </c>
      <c r="G1694">
        <f t="shared" si="402"/>
        <v>0</v>
      </c>
      <c r="H1694">
        <v>6</v>
      </c>
      <c r="I1694">
        <v>7</v>
      </c>
      <c r="J1694">
        <v>0</v>
      </c>
      <c r="K1694" s="6" t="str">
        <f t="shared" ref="K1694" si="459">"vs "&amp;E1695</f>
        <v>vs Xanthi Ducks 🦆</v>
      </c>
      <c r="L1694" s="6" t="str">
        <f t="shared" ref="L1694" si="460">"vs "&amp;F1695</f>
        <v>vs Kotakis</v>
      </c>
      <c r="M1694">
        <v>119</v>
      </c>
      <c r="N1694" s="1">
        <v>0.45800000000000002</v>
      </c>
      <c r="O1694">
        <v>45</v>
      </c>
      <c r="P1694" s="1">
        <v>0.40500000000000003</v>
      </c>
      <c r="Q1694" s="1">
        <v>0.746</v>
      </c>
      <c r="R1694">
        <v>336</v>
      </c>
      <c r="S1694">
        <v>25</v>
      </c>
      <c r="T1694">
        <v>90</v>
      </c>
      <c r="U1694">
        <v>77</v>
      </c>
      <c r="V1694">
        <v>29</v>
      </c>
      <c r="W1694">
        <v>11</v>
      </c>
      <c r="X1694">
        <v>40</v>
      </c>
      <c r="Y1694" s="5">
        <v>1.93</v>
      </c>
    </row>
    <row r="1695" spans="1:25" x14ac:dyDescent="0.25">
      <c r="A1695">
        <v>2022</v>
      </c>
      <c r="B1695" t="s">
        <v>57</v>
      </c>
      <c r="C1695">
        <v>11</v>
      </c>
      <c r="D1695">
        <v>109</v>
      </c>
      <c r="E1695" t="s">
        <v>98</v>
      </c>
      <c r="F1695" t="s">
        <v>41</v>
      </c>
      <c r="G1695">
        <f t="shared" si="402"/>
        <v>1</v>
      </c>
      <c r="H1695">
        <v>7</v>
      </c>
      <c r="I1695">
        <v>6</v>
      </c>
      <c r="J1695">
        <v>0</v>
      </c>
      <c r="K1695" s="6" t="str">
        <f t="shared" ref="K1695" si="461">"vs "&amp;E1694</f>
        <v>vs Kourayo Vallecano</v>
      </c>
      <c r="L1695" s="6" t="str">
        <f t="shared" ref="L1695" si="462">"vs "&amp;F1694</f>
        <v>vs Ziogas/Christof</v>
      </c>
      <c r="M1695">
        <v>179</v>
      </c>
      <c r="N1695" s="1">
        <v>0.51400000000000001</v>
      </c>
      <c r="O1695">
        <v>38</v>
      </c>
      <c r="P1695" s="1">
        <v>0.32500000000000001</v>
      </c>
      <c r="Q1695" s="1">
        <v>0.74099999999999999</v>
      </c>
      <c r="R1695">
        <v>456</v>
      </c>
      <c r="S1695">
        <v>30</v>
      </c>
      <c r="T1695">
        <v>113</v>
      </c>
      <c r="U1695">
        <v>61</v>
      </c>
      <c r="V1695">
        <v>30</v>
      </c>
      <c r="W1695">
        <v>29</v>
      </c>
      <c r="X1695">
        <v>41</v>
      </c>
      <c r="Y1695" s="5">
        <v>1.49</v>
      </c>
    </row>
    <row r="1696" spans="1:25" x14ac:dyDescent="0.25">
      <c r="A1696">
        <v>2022</v>
      </c>
      <c r="B1696" t="s">
        <v>57</v>
      </c>
      <c r="C1696">
        <v>11</v>
      </c>
      <c r="D1696">
        <v>110</v>
      </c>
      <c r="E1696" t="s">
        <v>17</v>
      </c>
      <c r="F1696" t="s">
        <v>43</v>
      </c>
      <c r="G1696">
        <f t="shared" si="402"/>
        <v>1</v>
      </c>
      <c r="H1696">
        <v>9</v>
      </c>
      <c r="I1696">
        <v>4</v>
      </c>
      <c r="J1696">
        <v>0</v>
      </c>
      <c r="K1696" s="6" t="str">
        <f t="shared" ref="K1696" si="463">"vs "&amp;E1697</f>
        <v>vs The Bridgeburners</v>
      </c>
      <c r="L1696" s="6" t="str">
        <f t="shared" ref="L1696" si="464">"vs "&amp;F1697</f>
        <v>vs Fanis</v>
      </c>
      <c r="M1696">
        <v>143</v>
      </c>
      <c r="N1696" s="1">
        <v>0.47</v>
      </c>
      <c r="O1696">
        <v>39</v>
      </c>
      <c r="P1696" s="1">
        <v>0.45300000000000001</v>
      </c>
      <c r="Q1696" s="1">
        <v>0.69</v>
      </c>
      <c r="R1696">
        <v>374</v>
      </c>
      <c r="S1696">
        <v>24</v>
      </c>
      <c r="T1696">
        <v>78</v>
      </c>
      <c r="U1696">
        <v>92</v>
      </c>
      <c r="V1696">
        <v>13</v>
      </c>
      <c r="W1696">
        <v>9</v>
      </c>
      <c r="X1696">
        <v>39</v>
      </c>
      <c r="Y1696" s="5">
        <v>2.36</v>
      </c>
    </row>
    <row r="1697" spans="1:25" x14ac:dyDescent="0.25">
      <c r="A1697">
        <v>2022</v>
      </c>
      <c r="B1697" t="s">
        <v>57</v>
      </c>
      <c r="C1697">
        <v>11</v>
      </c>
      <c r="D1697">
        <v>110</v>
      </c>
      <c r="E1697" t="s">
        <v>16</v>
      </c>
      <c r="F1697" t="s">
        <v>51</v>
      </c>
      <c r="G1697">
        <f t="shared" si="402"/>
        <v>0</v>
      </c>
      <c r="H1697">
        <v>4</v>
      </c>
      <c r="I1697">
        <v>9</v>
      </c>
      <c r="J1697">
        <v>0</v>
      </c>
      <c r="K1697" s="6" t="str">
        <f t="shared" ref="K1697" si="465">"vs "&amp;E1696</f>
        <v>vs Donkey Rolls</v>
      </c>
      <c r="L1697" s="6" t="str">
        <f t="shared" ref="L1697" si="466">"vs "&amp;F1696</f>
        <v>vs Markos</v>
      </c>
      <c r="M1697">
        <v>90</v>
      </c>
      <c r="N1697" s="1">
        <v>0.443</v>
      </c>
      <c r="O1697">
        <v>29</v>
      </c>
      <c r="P1697" s="1">
        <v>0.36199999999999999</v>
      </c>
      <c r="Q1697" s="1">
        <v>0.82199999999999995</v>
      </c>
      <c r="R1697">
        <v>246</v>
      </c>
      <c r="S1697">
        <v>23</v>
      </c>
      <c r="T1697">
        <v>61</v>
      </c>
      <c r="U1697">
        <v>87</v>
      </c>
      <c r="V1697">
        <v>14</v>
      </c>
      <c r="W1697">
        <v>12</v>
      </c>
      <c r="X1697">
        <v>37</v>
      </c>
      <c r="Y1697" s="5">
        <v>2.35</v>
      </c>
    </row>
    <row r="1698" spans="1:25" x14ac:dyDescent="0.25">
      <c r="A1698">
        <v>2022</v>
      </c>
      <c r="B1698" t="s">
        <v>57</v>
      </c>
      <c r="C1698">
        <v>12</v>
      </c>
      <c r="D1698">
        <v>111</v>
      </c>
      <c r="E1698" t="s">
        <v>28</v>
      </c>
      <c r="F1698" t="s">
        <v>46</v>
      </c>
      <c r="G1698">
        <f t="shared" si="402"/>
        <v>1</v>
      </c>
      <c r="H1698">
        <v>8</v>
      </c>
      <c r="I1698">
        <v>5</v>
      </c>
      <c r="J1698">
        <v>0</v>
      </c>
      <c r="K1698" s="6" t="str">
        <f t="shared" ref="K1698" si="467">"vs "&amp;E1699</f>
        <v>vs Baltimore Hercules</v>
      </c>
      <c r="L1698" s="6" t="str">
        <f t="shared" ref="L1698" si="468">"vs "&amp;F1699</f>
        <v>vs Sarantos</v>
      </c>
      <c r="M1698">
        <v>194</v>
      </c>
      <c r="N1698" s="1">
        <v>0.495</v>
      </c>
      <c r="O1698">
        <v>55</v>
      </c>
      <c r="P1698" s="1">
        <v>0.40400000000000003</v>
      </c>
      <c r="Q1698" s="1">
        <v>0.73699999999999999</v>
      </c>
      <c r="R1698">
        <v>499</v>
      </c>
      <c r="S1698">
        <v>43</v>
      </c>
      <c r="T1698">
        <v>167</v>
      </c>
      <c r="U1698">
        <v>119</v>
      </c>
      <c r="V1698">
        <v>36</v>
      </c>
      <c r="W1698">
        <v>17</v>
      </c>
      <c r="X1698">
        <v>47</v>
      </c>
      <c r="Y1698" s="5">
        <v>2.5299999999999998</v>
      </c>
    </row>
    <row r="1699" spans="1:25" x14ac:dyDescent="0.25">
      <c r="A1699">
        <v>2022</v>
      </c>
      <c r="B1699" t="s">
        <v>57</v>
      </c>
      <c r="C1699">
        <v>12</v>
      </c>
      <c r="D1699">
        <v>111</v>
      </c>
      <c r="E1699" t="s">
        <v>95</v>
      </c>
      <c r="F1699" t="s">
        <v>101</v>
      </c>
      <c r="G1699">
        <f t="shared" si="402"/>
        <v>0</v>
      </c>
      <c r="H1699">
        <v>5</v>
      </c>
      <c r="I1699">
        <v>8</v>
      </c>
      <c r="J1699">
        <v>0</v>
      </c>
      <c r="K1699" s="6" t="str">
        <f t="shared" ref="K1699" si="469">"vs "&amp;E1698</f>
        <v>vs Steven Adams' Moustache</v>
      </c>
      <c r="L1699" s="6" t="str">
        <f t="shared" ref="L1699" si="470">"vs "&amp;F1698</f>
        <v>vs Johnny</v>
      </c>
      <c r="M1699">
        <v>159</v>
      </c>
      <c r="N1699" s="1">
        <v>0.502</v>
      </c>
      <c r="O1699">
        <v>66</v>
      </c>
      <c r="P1699" s="1">
        <v>0.40500000000000003</v>
      </c>
      <c r="Q1699" s="1">
        <v>0.67400000000000004</v>
      </c>
      <c r="R1699">
        <v>415</v>
      </c>
      <c r="S1699">
        <v>23</v>
      </c>
      <c r="T1699">
        <v>112</v>
      </c>
      <c r="U1699">
        <v>66</v>
      </c>
      <c r="V1699">
        <v>29</v>
      </c>
      <c r="W1699">
        <v>19</v>
      </c>
      <c r="X1699">
        <v>37</v>
      </c>
      <c r="Y1699" s="5">
        <v>1.78</v>
      </c>
    </row>
    <row r="1700" spans="1:25" x14ac:dyDescent="0.25">
      <c r="A1700">
        <v>2022</v>
      </c>
      <c r="B1700" t="s">
        <v>57</v>
      </c>
      <c r="C1700">
        <v>12</v>
      </c>
      <c r="D1700">
        <v>112</v>
      </c>
      <c r="E1700" t="s">
        <v>181</v>
      </c>
      <c r="F1700" t="s">
        <v>49</v>
      </c>
      <c r="G1700">
        <f t="shared" si="402"/>
        <v>0</v>
      </c>
      <c r="H1700">
        <v>5</v>
      </c>
      <c r="I1700">
        <v>8</v>
      </c>
      <c r="J1700">
        <v>0</v>
      </c>
      <c r="K1700" s="6" t="str">
        <f t="shared" ref="K1700" si="471">"vs "&amp;E1701</f>
        <v>vs Xanthi Ducks 🦆</v>
      </c>
      <c r="L1700" s="6" t="str">
        <f t="shared" ref="L1700" si="472">"vs "&amp;F1701</f>
        <v>vs Kotakis</v>
      </c>
      <c r="M1700">
        <v>123</v>
      </c>
      <c r="N1700" s="1">
        <v>0.41699999999999998</v>
      </c>
      <c r="O1700">
        <v>36</v>
      </c>
      <c r="P1700" s="1">
        <v>0.32400000000000001</v>
      </c>
      <c r="Q1700" s="1">
        <v>0.79</v>
      </c>
      <c r="R1700">
        <v>331</v>
      </c>
      <c r="S1700">
        <v>39</v>
      </c>
      <c r="T1700">
        <v>95</v>
      </c>
      <c r="U1700">
        <v>93</v>
      </c>
      <c r="V1700">
        <v>36</v>
      </c>
      <c r="W1700">
        <v>15</v>
      </c>
      <c r="X1700">
        <v>45</v>
      </c>
      <c r="Y1700" s="5">
        <v>2.0699999999999998</v>
      </c>
    </row>
    <row r="1701" spans="1:25" x14ac:dyDescent="0.25">
      <c r="A1701">
        <v>2022</v>
      </c>
      <c r="B1701" t="s">
        <v>57</v>
      </c>
      <c r="C1701">
        <v>12</v>
      </c>
      <c r="D1701">
        <v>112</v>
      </c>
      <c r="E1701" t="s">
        <v>98</v>
      </c>
      <c r="F1701" t="s">
        <v>41</v>
      </c>
      <c r="G1701">
        <f t="shared" si="402"/>
        <v>1</v>
      </c>
      <c r="H1701">
        <v>8</v>
      </c>
      <c r="I1701">
        <v>5</v>
      </c>
      <c r="J1701">
        <v>0</v>
      </c>
      <c r="K1701" s="6" t="str">
        <f t="shared" ref="K1701" si="473">"vs "&amp;E1700</f>
        <v>vs Samarina Dudenbros</v>
      </c>
      <c r="L1701" s="6" t="str">
        <f t="shared" ref="L1701" si="474">"vs "&amp;F1700</f>
        <v>vs Sakellariou</v>
      </c>
      <c r="M1701">
        <v>163</v>
      </c>
      <c r="N1701" s="1">
        <v>0.49399999999999999</v>
      </c>
      <c r="O1701">
        <v>41</v>
      </c>
      <c r="P1701" s="1">
        <v>0.34499999999999997</v>
      </c>
      <c r="Q1701" s="1">
        <v>0.73599999999999999</v>
      </c>
      <c r="R1701">
        <v>431</v>
      </c>
      <c r="S1701">
        <v>34</v>
      </c>
      <c r="T1701">
        <v>106</v>
      </c>
      <c r="U1701">
        <v>52</v>
      </c>
      <c r="V1701">
        <v>34</v>
      </c>
      <c r="W1701">
        <v>21</v>
      </c>
      <c r="X1701">
        <v>35</v>
      </c>
      <c r="Y1701" s="5">
        <v>1.49</v>
      </c>
    </row>
    <row r="1702" spans="1:25" x14ac:dyDescent="0.25">
      <c r="A1702">
        <v>2022</v>
      </c>
      <c r="B1702" t="s">
        <v>57</v>
      </c>
      <c r="C1702">
        <v>12</v>
      </c>
      <c r="D1702">
        <v>113</v>
      </c>
      <c r="E1702" t="s">
        <v>154</v>
      </c>
      <c r="F1702" t="s">
        <v>155</v>
      </c>
      <c r="G1702">
        <f t="shared" si="402"/>
        <v>0</v>
      </c>
      <c r="H1702">
        <v>4</v>
      </c>
      <c r="I1702">
        <v>9</v>
      </c>
      <c r="J1702">
        <v>0</v>
      </c>
      <c r="K1702" s="6" t="str">
        <f t="shared" ref="K1702" si="475">"vs "&amp;E1703</f>
        <v>vs Kourayo Vallecano</v>
      </c>
      <c r="L1702" s="6" t="str">
        <f t="shared" ref="L1702" si="476">"vs "&amp;F1703</f>
        <v>vs Ziogas/Christof</v>
      </c>
      <c r="M1702">
        <v>94</v>
      </c>
      <c r="N1702" s="1">
        <v>0.40200000000000002</v>
      </c>
      <c r="O1702">
        <v>33</v>
      </c>
      <c r="P1702" s="1">
        <v>0.30299999999999999</v>
      </c>
      <c r="Q1702" s="1">
        <v>0.83699999999999997</v>
      </c>
      <c r="R1702">
        <v>257</v>
      </c>
      <c r="S1702">
        <v>32</v>
      </c>
      <c r="T1702">
        <v>93</v>
      </c>
      <c r="U1702">
        <v>50</v>
      </c>
      <c r="V1702">
        <v>16</v>
      </c>
      <c r="W1702">
        <v>28</v>
      </c>
      <c r="X1702">
        <v>39</v>
      </c>
      <c r="Y1702" s="5">
        <v>1.28</v>
      </c>
    </row>
    <row r="1703" spans="1:25" x14ac:dyDescent="0.25">
      <c r="A1703">
        <v>2022</v>
      </c>
      <c r="B1703" t="s">
        <v>57</v>
      </c>
      <c r="C1703">
        <v>12</v>
      </c>
      <c r="D1703">
        <v>113</v>
      </c>
      <c r="E1703" t="s">
        <v>26</v>
      </c>
      <c r="F1703" t="s">
        <v>118</v>
      </c>
      <c r="G1703">
        <f t="shared" si="402"/>
        <v>1</v>
      </c>
      <c r="H1703">
        <v>9</v>
      </c>
      <c r="I1703">
        <v>4</v>
      </c>
      <c r="J1703">
        <v>0</v>
      </c>
      <c r="K1703" s="6" t="str">
        <f t="shared" ref="K1703" si="477">"vs "&amp;E1702</f>
        <v>vs The Bad Boys</v>
      </c>
      <c r="L1703" s="6" t="str">
        <f t="shared" ref="L1703" si="478">"vs "&amp;F1702</f>
        <v>vs Arvanitis</v>
      </c>
      <c r="M1703">
        <v>135</v>
      </c>
      <c r="N1703" s="1">
        <v>0.48</v>
      </c>
      <c r="O1703">
        <v>36</v>
      </c>
      <c r="P1703" s="1">
        <v>0.32400000000000001</v>
      </c>
      <c r="Q1703" s="1">
        <v>0.77800000000000002</v>
      </c>
      <c r="R1703">
        <v>348</v>
      </c>
      <c r="S1703">
        <v>30</v>
      </c>
      <c r="T1703">
        <v>114</v>
      </c>
      <c r="U1703">
        <v>108</v>
      </c>
      <c r="V1703">
        <v>27</v>
      </c>
      <c r="W1703">
        <v>14</v>
      </c>
      <c r="X1703">
        <v>44</v>
      </c>
      <c r="Y1703" s="5">
        <v>2.4500000000000002</v>
      </c>
    </row>
    <row r="1704" spans="1:25" x14ac:dyDescent="0.25">
      <c r="A1704">
        <v>2022</v>
      </c>
      <c r="B1704" t="s">
        <v>57</v>
      </c>
      <c r="C1704">
        <v>12</v>
      </c>
      <c r="D1704">
        <v>114</v>
      </c>
      <c r="E1704" t="s">
        <v>96</v>
      </c>
      <c r="F1704" t="s">
        <v>102</v>
      </c>
      <c r="G1704">
        <f t="shared" si="402"/>
        <v>0</v>
      </c>
      <c r="H1704">
        <v>4</v>
      </c>
      <c r="I1704">
        <v>9</v>
      </c>
      <c r="J1704">
        <v>0</v>
      </c>
      <c r="K1704" s="6" t="str">
        <f t="shared" ref="K1704" si="479">"vs "&amp;E1705</f>
        <v>vs The Guns</v>
      </c>
      <c r="L1704" s="6" t="str">
        <f t="shared" ref="L1704" si="480">"vs "&amp;F1705</f>
        <v>vs Vasilis</v>
      </c>
      <c r="M1704">
        <v>101</v>
      </c>
      <c r="N1704" s="1">
        <v>0.44700000000000001</v>
      </c>
      <c r="O1704">
        <v>18</v>
      </c>
      <c r="P1704" s="1">
        <v>0.27300000000000002</v>
      </c>
      <c r="Q1704" s="1">
        <v>0.74399999999999999</v>
      </c>
      <c r="R1704">
        <v>249</v>
      </c>
      <c r="S1704">
        <v>39</v>
      </c>
      <c r="T1704">
        <v>90</v>
      </c>
      <c r="U1704">
        <v>45</v>
      </c>
      <c r="V1704">
        <v>16</v>
      </c>
      <c r="W1704">
        <v>22</v>
      </c>
      <c r="X1704">
        <v>28</v>
      </c>
      <c r="Y1704" s="5">
        <v>1.61</v>
      </c>
    </row>
    <row r="1705" spans="1:25" x14ac:dyDescent="0.25">
      <c r="A1705">
        <v>2022</v>
      </c>
      <c r="B1705" t="s">
        <v>57</v>
      </c>
      <c r="C1705">
        <v>12</v>
      </c>
      <c r="D1705">
        <v>114</v>
      </c>
      <c r="E1705" t="s">
        <v>33</v>
      </c>
      <c r="F1705" t="s">
        <v>42</v>
      </c>
      <c r="G1705">
        <f t="shared" si="402"/>
        <v>1</v>
      </c>
      <c r="H1705">
        <v>9</v>
      </c>
      <c r="I1705">
        <v>4</v>
      </c>
      <c r="J1705">
        <v>0</v>
      </c>
      <c r="K1705" s="6" t="str">
        <f t="shared" ref="K1705" si="481">"vs "&amp;E1704</f>
        <v>vs Knights of Ni</v>
      </c>
      <c r="L1705" s="6" t="str">
        <f t="shared" ref="L1705" si="482">"vs "&amp;F1704</f>
        <v>vs Tolios</v>
      </c>
      <c r="M1705">
        <v>159</v>
      </c>
      <c r="N1705" s="1">
        <v>0.434</v>
      </c>
      <c r="O1705">
        <v>50</v>
      </c>
      <c r="P1705" s="1">
        <v>0.32300000000000001</v>
      </c>
      <c r="Q1705" s="1">
        <v>0.79800000000000004</v>
      </c>
      <c r="R1705">
        <v>451</v>
      </c>
      <c r="S1705">
        <v>27</v>
      </c>
      <c r="T1705">
        <v>150</v>
      </c>
      <c r="U1705">
        <v>141</v>
      </c>
      <c r="V1705">
        <v>27</v>
      </c>
      <c r="W1705">
        <v>11</v>
      </c>
      <c r="X1705">
        <v>55</v>
      </c>
      <c r="Y1705" s="5">
        <v>2.56</v>
      </c>
    </row>
    <row r="1706" spans="1:25" x14ac:dyDescent="0.25">
      <c r="A1706">
        <v>2022</v>
      </c>
      <c r="B1706" t="s">
        <v>57</v>
      </c>
      <c r="C1706">
        <v>12</v>
      </c>
      <c r="D1706">
        <v>115</v>
      </c>
      <c r="E1706" t="s">
        <v>159</v>
      </c>
      <c r="F1706" t="s">
        <v>116</v>
      </c>
      <c r="G1706">
        <f t="shared" si="402"/>
        <v>1</v>
      </c>
      <c r="H1706">
        <v>9</v>
      </c>
      <c r="I1706">
        <v>4</v>
      </c>
      <c r="J1706">
        <v>0</v>
      </c>
      <c r="K1706" s="6" t="str">
        <f t="shared" ref="K1706" si="483">"vs "&amp;E1707</f>
        <v>vs Salonika Devils</v>
      </c>
      <c r="L1706" s="6" t="str">
        <f t="shared" ref="L1706" si="484">"vs "&amp;F1707</f>
        <v>vs Fountos</v>
      </c>
      <c r="M1706">
        <v>214</v>
      </c>
      <c r="N1706" s="1">
        <v>0.45100000000000001</v>
      </c>
      <c r="O1706">
        <v>61</v>
      </c>
      <c r="P1706" s="1">
        <v>0.36699999999999999</v>
      </c>
      <c r="Q1706" s="1">
        <v>0.77100000000000002</v>
      </c>
      <c r="R1706">
        <v>573</v>
      </c>
      <c r="S1706">
        <v>54</v>
      </c>
      <c r="T1706">
        <v>210</v>
      </c>
      <c r="U1706">
        <v>134</v>
      </c>
      <c r="V1706">
        <v>44</v>
      </c>
      <c r="W1706">
        <v>16</v>
      </c>
      <c r="X1706">
        <v>72</v>
      </c>
      <c r="Y1706" s="5">
        <v>1.86</v>
      </c>
    </row>
    <row r="1707" spans="1:25" x14ac:dyDescent="0.25">
      <c r="A1707">
        <v>2022</v>
      </c>
      <c r="B1707" t="s">
        <v>57</v>
      </c>
      <c r="C1707">
        <v>12</v>
      </c>
      <c r="D1707">
        <v>115</v>
      </c>
      <c r="E1707" t="s">
        <v>15</v>
      </c>
      <c r="F1707" t="s">
        <v>48</v>
      </c>
      <c r="G1707">
        <f t="shared" si="402"/>
        <v>0</v>
      </c>
      <c r="H1707">
        <v>4</v>
      </c>
      <c r="I1707">
        <v>9</v>
      </c>
      <c r="J1707">
        <v>0</v>
      </c>
      <c r="K1707" s="6" t="str">
        <f t="shared" ref="K1707" si="485">"vs "&amp;E1706</f>
        <v>vs purple fuzzy apache pirates</v>
      </c>
      <c r="L1707" s="6" t="str">
        <f t="shared" ref="L1707" si="486">"vs "&amp;F1706</f>
        <v>vs pi/Sotiris</v>
      </c>
      <c r="M1707">
        <v>174</v>
      </c>
      <c r="N1707" s="1">
        <v>0.504</v>
      </c>
      <c r="O1707">
        <v>29</v>
      </c>
      <c r="P1707" s="1">
        <v>0.29599999999999999</v>
      </c>
      <c r="Q1707" s="1">
        <v>0.77400000000000002</v>
      </c>
      <c r="R1707">
        <v>459</v>
      </c>
      <c r="S1707">
        <v>46</v>
      </c>
      <c r="T1707">
        <v>157</v>
      </c>
      <c r="U1707">
        <v>78</v>
      </c>
      <c r="V1707">
        <v>32</v>
      </c>
      <c r="W1707">
        <v>17</v>
      </c>
      <c r="X1707">
        <v>52</v>
      </c>
      <c r="Y1707" s="5">
        <v>1.5</v>
      </c>
    </row>
    <row r="1708" spans="1:25" x14ac:dyDescent="0.25">
      <c r="A1708">
        <v>2022</v>
      </c>
      <c r="B1708" t="s">
        <v>57</v>
      </c>
      <c r="C1708">
        <v>12</v>
      </c>
      <c r="D1708">
        <v>116</v>
      </c>
      <c r="E1708" t="s">
        <v>23</v>
      </c>
      <c r="F1708" t="s">
        <v>120</v>
      </c>
      <c r="G1708">
        <f t="shared" si="402"/>
        <v>0</v>
      </c>
      <c r="H1708">
        <v>6</v>
      </c>
      <c r="I1708">
        <v>7</v>
      </c>
      <c r="J1708">
        <v>0</v>
      </c>
      <c r="K1708" s="6" t="str">
        <f t="shared" ref="K1708" si="487">"vs "&amp;E1709</f>
        <v>vs Underdogs</v>
      </c>
      <c r="L1708" s="6" t="str">
        <f t="shared" ref="L1708" si="488">"vs "&amp;F1709</f>
        <v>vs Nonis</v>
      </c>
      <c r="M1708">
        <v>197</v>
      </c>
      <c r="N1708" s="1">
        <v>0.441</v>
      </c>
      <c r="O1708">
        <v>74</v>
      </c>
      <c r="P1708" s="1">
        <v>0.378</v>
      </c>
      <c r="Q1708" s="1">
        <v>0.75900000000000001</v>
      </c>
      <c r="R1708">
        <v>550</v>
      </c>
      <c r="S1708">
        <v>42</v>
      </c>
      <c r="T1708">
        <v>157</v>
      </c>
      <c r="U1708">
        <v>135</v>
      </c>
      <c r="V1708">
        <v>30</v>
      </c>
      <c r="W1708">
        <v>23</v>
      </c>
      <c r="X1708">
        <v>69</v>
      </c>
      <c r="Y1708" s="5">
        <v>1.96</v>
      </c>
    </row>
    <row r="1709" spans="1:25" x14ac:dyDescent="0.25">
      <c r="A1709">
        <v>2022</v>
      </c>
      <c r="B1709" t="s">
        <v>57</v>
      </c>
      <c r="C1709">
        <v>12</v>
      </c>
      <c r="D1709">
        <v>116</v>
      </c>
      <c r="E1709" t="s">
        <v>97</v>
      </c>
      <c r="F1709" t="s">
        <v>54</v>
      </c>
      <c r="G1709">
        <f t="shared" si="402"/>
        <v>1</v>
      </c>
      <c r="H1709">
        <v>7</v>
      </c>
      <c r="I1709">
        <v>6</v>
      </c>
      <c r="J1709">
        <v>0</v>
      </c>
      <c r="K1709" s="6" t="str">
        <f t="shared" ref="K1709" si="489">"vs "&amp;E1708</f>
        <v>vs Pachiana NinjaBees</v>
      </c>
      <c r="L1709" s="6" t="str">
        <f t="shared" ref="L1709" si="490">"vs "&amp;F1708</f>
        <v>vs Spiridaus/Oladipas</v>
      </c>
      <c r="M1709">
        <v>203</v>
      </c>
      <c r="N1709" s="1">
        <v>0.46100000000000002</v>
      </c>
      <c r="O1709">
        <v>48</v>
      </c>
      <c r="P1709" s="1">
        <v>0.35299999999999998</v>
      </c>
      <c r="Q1709" s="1">
        <v>0.81499999999999995</v>
      </c>
      <c r="R1709">
        <v>582</v>
      </c>
      <c r="S1709">
        <v>39</v>
      </c>
      <c r="T1709">
        <v>163</v>
      </c>
      <c r="U1709">
        <v>164</v>
      </c>
      <c r="V1709">
        <v>27</v>
      </c>
      <c r="W1709">
        <v>17</v>
      </c>
      <c r="X1709">
        <v>78</v>
      </c>
      <c r="Y1709" s="5">
        <v>2.1</v>
      </c>
    </row>
    <row r="1710" spans="1:25" x14ac:dyDescent="0.25">
      <c r="A1710">
        <v>2022</v>
      </c>
      <c r="B1710" t="s">
        <v>57</v>
      </c>
      <c r="C1710">
        <v>12</v>
      </c>
      <c r="D1710">
        <v>117</v>
      </c>
      <c r="E1710" t="s">
        <v>17</v>
      </c>
      <c r="F1710" t="s">
        <v>43</v>
      </c>
      <c r="G1710">
        <f t="shared" si="402"/>
        <v>0</v>
      </c>
      <c r="H1710">
        <v>5</v>
      </c>
      <c r="I1710">
        <v>8</v>
      </c>
      <c r="J1710">
        <v>0</v>
      </c>
      <c r="K1710" s="6" t="str">
        <f t="shared" ref="K1710" si="491">"vs "&amp;E1711</f>
        <v>vs The Rookies</v>
      </c>
      <c r="L1710" s="6" t="str">
        <f t="shared" ref="L1710" si="492">"vs "&amp;F1711</f>
        <v>vs Kousidis</v>
      </c>
      <c r="M1710">
        <v>144</v>
      </c>
      <c r="N1710" s="1">
        <v>0.47399999999999998</v>
      </c>
      <c r="O1710">
        <v>22</v>
      </c>
      <c r="P1710" s="1">
        <v>0.32400000000000001</v>
      </c>
      <c r="Q1710" s="1">
        <v>0.70799999999999996</v>
      </c>
      <c r="R1710">
        <v>373</v>
      </c>
      <c r="S1710">
        <v>47</v>
      </c>
      <c r="T1710">
        <v>112</v>
      </c>
      <c r="U1710">
        <v>78</v>
      </c>
      <c r="V1710">
        <v>20</v>
      </c>
      <c r="W1710">
        <v>17</v>
      </c>
      <c r="X1710">
        <v>47</v>
      </c>
      <c r="Y1710" s="5">
        <v>1.66</v>
      </c>
    </row>
    <row r="1711" spans="1:25" x14ac:dyDescent="0.25">
      <c r="A1711">
        <v>2022</v>
      </c>
      <c r="B1711" t="s">
        <v>57</v>
      </c>
      <c r="C1711">
        <v>12</v>
      </c>
      <c r="D1711">
        <v>117</v>
      </c>
      <c r="E1711" t="s">
        <v>25</v>
      </c>
      <c r="F1711" t="s">
        <v>53</v>
      </c>
      <c r="G1711">
        <f t="shared" si="402"/>
        <v>1</v>
      </c>
      <c r="H1711">
        <v>8</v>
      </c>
      <c r="I1711">
        <v>5</v>
      </c>
      <c r="J1711">
        <v>0</v>
      </c>
      <c r="K1711" s="6" t="str">
        <f t="shared" ref="K1711" si="493">"vs "&amp;E1710</f>
        <v>vs Donkey Rolls</v>
      </c>
      <c r="L1711" s="6" t="str">
        <f t="shared" ref="L1711" si="494">"vs "&amp;F1710</f>
        <v>vs Markos</v>
      </c>
      <c r="M1711">
        <v>127</v>
      </c>
      <c r="N1711" s="1">
        <v>0.48499999999999999</v>
      </c>
      <c r="O1711">
        <v>32</v>
      </c>
      <c r="P1711" s="1">
        <v>0.39</v>
      </c>
      <c r="Q1711" s="1">
        <v>0.753</v>
      </c>
      <c r="R1711">
        <v>344</v>
      </c>
      <c r="S1711">
        <v>44</v>
      </c>
      <c r="T1711">
        <v>105</v>
      </c>
      <c r="U1711">
        <v>66</v>
      </c>
      <c r="V1711">
        <v>27</v>
      </c>
      <c r="W1711">
        <v>19</v>
      </c>
      <c r="X1711">
        <v>31</v>
      </c>
      <c r="Y1711" s="5">
        <v>2.13</v>
      </c>
    </row>
    <row r="1712" spans="1:25" x14ac:dyDescent="0.25">
      <c r="A1712">
        <v>2022</v>
      </c>
      <c r="B1712" t="s">
        <v>57</v>
      </c>
      <c r="C1712">
        <v>12</v>
      </c>
      <c r="D1712">
        <v>118</v>
      </c>
      <c r="E1712" t="s">
        <v>16</v>
      </c>
      <c r="F1712" t="s">
        <v>51</v>
      </c>
      <c r="G1712">
        <f t="shared" si="402"/>
        <v>0</v>
      </c>
      <c r="H1712">
        <v>2</v>
      </c>
      <c r="I1712">
        <v>11</v>
      </c>
      <c r="J1712">
        <v>0</v>
      </c>
      <c r="K1712" s="6" t="str">
        <f t="shared" ref="K1712" si="495">"vs "&amp;E1713</f>
        <v>vs Fighting Thaddeus</v>
      </c>
      <c r="L1712" s="6" t="str">
        <f t="shared" ref="L1712" si="496">"vs "&amp;F1713</f>
        <v>vs Stavros</v>
      </c>
      <c r="M1712">
        <v>105</v>
      </c>
      <c r="N1712" s="1">
        <v>0.40400000000000003</v>
      </c>
      <c r="O1712">
        <v>36</v>
      </c>
      <c r="P1712" s="1">
        <v>0.316</v>
      </c>
      <c r="Q1712" s="1">
        <v>0.83299999999999996</v>
      </c>
      <c r="R1712">
        <v>306</v>
      </c>
      <c r="S1712">
        <v>25</v>
      </c>
      <c r="T1712">
        <v>109</v>
      </c>
      <c r="U1712">
        <v>99</v>
      </c>
      <c r="V1712">
        <v>22</v>
      </c>
      <c r="W1712">
        <v>12</v>
      </c>
      <c r="X1712">
        <v>54</v>
      </c>
      <c r="Y1712" s="5">
        <v>1.83</v>
      </c>
    </row>
    <row r="1713" spans="1:25" x14ac:dyDescent="0.25">
      <c r="A1713">
        <v>2022</v>
      </c>
      <c r="B1713" t="s">
        <v>57</v>
      </c>
      <c r="C1713">
        <v>12</v>
      </c>
      <c r="D1713">
        <v>118</v>
      </c>
      <c r="E1713" t="s">
        <v>94</v>
      </c>
      <c r="F1713" t="s">
        <v>40</v>
      </c>
      <c r="G1713">
        <f t="shared" si="402"/>
        <v>1</v>
      </c>
      <c r="H1713">
        <v>11</v>
      </c>
      <c r="I1713">
        <v>2</v>
      </c>
      <c r="J1713">
        <v>0</v>
      </c>
      <c r="K1713" s="6" t="str">
        <f t="shared" ref="K1713" si="497">"vs "&amp;E1712</f>
        <v>vs The Bridgeburners</v>
      </c>
      <c r="L1713" s="6" t="str">
        <f t="shared" ref="L1713" si="498">"vs "&amp;F1712</f>
        <v>vs Fanis</v>
      </c>
      <c r="M1713">
        <v>196</v>
      </c>
      <c r="N1713" s="1">
        <v>0.48299999999999998</v>
      </c>
      <c r="O1713">
        <v>62</v>
      </c>
      <c r="P1713" s="1">
        <v>0.39500000000000002</v>
      </c>
      <c r="Q1713" s="1">
        <v>0.622</v>
      </c>
      <c r="R1713">
        <v>505</v>
      </c>
      <c r="S1713">
        <v>34</v>
      </c>
      <c r="T1713">
        <v>137</v>
      </c>
      <c r="U1713">
        <v>108</v>
      </c>
      <c r="V1713">
        <v>32</v>
      </c>
      <c r="W1713">
        <v>10</v>
      </c>
      <c r="X1713">
        <v>48</v>
      </c>
      <c r="Y1713" s="5">
        <v>2.25</v>
      </c>
    </row>
    <row r="1714" spans="1:25" x14ac:dyDescent="0.25">
      <c r="A1714">
        <v>2022</v>
      </c>
      <c r="B1714" t="s">
        <v>57</v>
      </c>
      <c r="C1714">
        <v>12</v>
      </c>
      <c r="D1714">
        <v>119</v>
      </c>
      <c r="E1714" t="s">
        <v>99</v>
      </c>
      <c r="F1714" t="s">
        <v>45</v>
      </c>
      <c r="G1714">
        <f t="shared" si="402"/>
        <v>1</v>
      </c>
      <c r="H1714">
        <v>8</v>
      </c>
      <c r="I1714">
        <v>4</v>
      </c>
      <c r="J1714">
        <v>1</v>
      </c>
      <c r="K1714" s="6" t="str">
        <f t="shared" ref="K1714" si="499">"vs "&amp;E1715</f>
        <v>vs Guruuu 🐐🐐🐐</v>
      </c>
      <c r="L1714" s="6" t="str">
        <f t="shared" ref="L1714" si="500">"vs "&amp;F1715</f>
        <v>vs Guru</v>
      </c>
      <c r="M1714">
        <v>228</v>
      </c>
      <c r="N1714" s="1">
        <v>0.51600000000000001</v>
      </c>
      <c r="O1714">
        <v>79</v>
      </c>
      <c r="P1714" s="1">
        <v>0.41099999999999998</v>
      </c>
      <c r="Q1714" s="1">
        <v>0.76700000000000002</v>
      </c>
      <c r="R1714">
        <v>624</v>
      </c>
      <c r="S1714">
        <v>42</v>
      </c>
      <c r="T1714">
        <v>149</v>
      </c>
      <c r="U1714">
        <v>116</v>
      </c>
      <c r="V1714">
        <v>35</v>
      </c>
      <c r="W1714">
        <v>12</v>
      </c>
      <c r="X1714">
        <v>63</v>
      </c>
      <c r="Y1714" s="5">
        <v>1.84</v>
      </c>
    </row>
    <row r="1715" spans="1:25" x14ac:dyDescent="0.25">
      <c r="A1715">
        <v>2022</v>
      </c>
      <c r="B1715" t="s">
        <v>57</v>
      </c>
      <c r="C1715">
        <v>12</v>
      </c>
      <c r="D1715">
        <v>119</v>
      </c>
      <c r="E1715" t="s">
        <v>93</v>
      </c>
      <c r="F1715" t="s">
        <v>189</v>
      </c>
      <c r="G1715">
        <f t="shared" si="402"/>
        <v>0</v>
      </c>
      <c r="H1715">
        <v>4</v>
      </c>
      <c r="I1715">
        <v>8</v>
      </c>
      <c r="J1715">
        <v>1</v>
      </c>
      <c r="K1715" s="6" t="str">
        <f t="shared" ref="K1715" si="501">"vs "&amp;E1714</f>
        <v>vs Tsarlatans</v>
      </c>
      <c r="L1715" s="6" t="str">
        <f t="shared" ref="L1715" si="502">"vs "&amp;F1714</f>
        <v>vs Tzokos</v>
      </c>
      <c r="M1715">
        <v>145</v>
      </c>
      <c r="N1715" s="1">
        <v>0.434</v>
      </c>
      <c r="O1715">
        <v>55</v>
      </c>
      <c r="P1715" s="1">
        <v>0.35499999999999998</v>
      </c>
      <c r="Q1715" s="1">
        <v>0.91</v>
      </c>
      <c r="R1715">
        <v>426</v>
      </c>
      <c r="S1715">
        <v>23</v>
      </c>
      <c r="T1715">
        <v>91</v>
      </c>
      <c r="U1715">
        <v>118</v>
      </c>
      <c r="V1715">
        <v>21</v>
      </c>
      <c r="W1715">
        <v>12</v>
      </c>
      <c r="X1715">
        <v>41</v>
      </c>
      <c r="Y1715" s="5">
        <v>2.88</v>
      </c>
    </row>
    <row r="1716" spans="1:25" x14ac:dyDescent="0.25">
      <c r="A1716">
        <v>2022</v>
      </c>
      <c r="B1716" t="s">
        <v>57</v>
      </c>
      <c r="C1716">
        <v>12</v>
      </c>
      <c r="D1716">
        <v>120</v>
      </c>
      <c r="E1716" t="s">
        <v>21</v>
      </c>
      <c r="F1716" t="s">
        <v>50</v>
      </c>
      <c r="G1716">
        <f t="shared" si="402"/>
        <v>0</v>
      </c>
      <c r="H1716">
        <v>2</v>
      </c>
      <c r="I1716">
        <v>11</v>
      </c>
      <c r="J1716">
        <v>0</v>
      </c>
      <c r="K1716" s="6" t="str">
        <f t="shared" ref="K1716" si="503">"vs "&amp;E1717</f>
        <v>vs Karafli SaiTa</v>
      </c>
      <c r="L1716" s="6" t="str">
        <f t="shared" ref="L1716" si="504">"vs "&amp;F1717</f>
        <v>vs Tassos</v>
      </c>
      <c r="M1716">
        <v>144</v>
      </c>
      <c r="N1716" s="1">
        <v>0.41499999999999998</v>
      </c>
      <c r="O1716">
        <v>42</v>
      </c>
      <c r="P1716" s="1">
        <v>0.33900000000000002</v>
      </c>
      <c r="Q1716" s="1">
        <v>0.75700000000000001</v>
      </c>
      <c r="R1716">
        <v>408</v>
      </c>
      <c r="S1716">
        <v>39</v>
      </c>
      <c r="T1716">
        <v>121</v>
      </c>
      <c r="U1716">
        <v>135</v>
      </c>
      <c r="V1716">
        <v>12</v>
      </c>
      <c r="W1716">
        <v>22</v>
      </c>
      <c r="X1716">
        <v>63</v>
      </c>
      <c r="Y1716" s="5">
        <v>2.14</v>
      </c>
    </row>
    <row r="1717" spans="1:25" x14ac:dyDescent="0.25">
      <c r="A1717">
        <v>2022</v>
      </c>
      <c r="B1717" t="s">
        <v>57</v>
      </c>
      <c r="C1717">
        <v>12</v>
      </c>
      <c r="D1717">
        <v>120</v>
      </c>
      <c r="E1717" t="s">
        <v>190</v>
      </c>
      <c r="F1717" t="s">
        <v>103</v>
      </c>
      <c r="G1717">
        <f t="shared" si="402"/>
        <v>1</v>
      </c>
      <c r="H1717">
        <v>11</v>
      </c>
      <c r="I1717">
        <v>2</v>
      </c>
      <c r="J1717">
        <v>0</v>
      </c>
      <c r="K1717" s="6" t="str">
        <f t="shared" ref="K1717" si="505">"vs "&amp;E1716</f>
        <v>vs st.Helens Eruptions</v>
      </c>
      <c r="L1717" s="6" t="str">
        <f t="shared" ref="L1717" si="506">"vs "&amp;F1716</f>
        <v>vs Aris</v>
      </c>
      <c r="M1717">
        <v>181</v>
      </c>
      <c r="N1717" s="1">
        <v>0.441</v>
      </c>
      <c r="O1717">
        <v>57</v>
      </c>
      <c r="P1717" s="1">
        <v>0.36799999999999999</v>
      </c>
      <c r="Q1717" s="1">
        <v>0.84699999999999998</v>
      </c>
      <c r="R1717">
        <v>502</v>
      </c>
      <c r="S1717">
        <v>63</v>
      </c>
      <c r="T1717">
        <v>147</v>
      </c>
      <c r="U1717">
        <v>101</v>
      </c>
      <c r="V1717">
        <v>33</v>
      </c>
      <c r="W1717">
        <v>32</v>
      </c>
      <c r="X1717">
        <v>59</v>
      </c>
      <c r="Y1717" s="5">
        <v>1.71</v>
      </c>
    </row>
    <row r="1718" spans="1:25" x14ac:dyDescent="0.25">
      <c r="A1718">
        <v>2022</v>
      </c>
      <c r="B1718" t="s">
        <v>57</v>
      </c>
      <c r="C1718">
        <v>13</v>
      </c>
      <c r="D1718">
        <v>121</v>
      </c>
      <c r="E1718" t="s">
        <v>95</v>
      </c>
      <c r="F1718" t="s">
        <v>101</v>
      </c>
      <c r="G1718">
        <f t="shared" si="402"/>
        <v>0</v>
      </c>
      <c r="H1718">
        <v>3</v>
      </c>
      <c r="I1718">
        <v>10</v>
      </c>
      <c r="J1718">
        <v>0</v>
      </c>
      <c r="K1718" s="6" t="str">
        <f t="shared" ref="K1718" si="507">"vs "&amp;E1719</f>
        <v>vs Pachiana NinjaBees</v>
      </c>
      <c r="L1718" s="6" t="str">
        <f t="shared" ref="L1718" si="508">"vs "&amp;F1719</f>
        <v>vs Spiridaus/Oladipas</v>
      </c>
      <c r="M1718">
        <v>127</v>
      </c>
      <c r="N1718" s="1">
        <v>0.42099999999999999</v>
      </c>
      <c r="O1718">
        <v>44</v>
      </c>
      <c r="P1718" s="1">
        <v>0.28799999999999998</v>
      </c>
      <c r="Q1718" s="1">
        <v>0.79600000000000004</v>
      </c>
      <c r="R1718">
        <v>341</v>
      </c>
      <c r="S1718">
        <v>23</v>
      </c>
      <c r="T1718">
        <v>95</v>
      </c>
      <c r="U1718">
        <v>90</v>
      </c>
      <c r="V1718">
        <v>23</v>
      </c>
      <c r="W1718">
        <v>12</v>
      </c>
      <c r="X1718">
        <v>48</v>
      </c>
      <c r="Y1718" s="5">
        <v>1.88</v>
      </c>
    </row>
    <row r="1719" spans="1:25" x14ac:dyDescent="0.25">
      <c r="A1719">
        <v>2022</v>
      </c>
      <c r="B1719" t="s">
        <v>57</v>
      </c>
      <c r="C1719">
        <v>13</v>
      </c>
      <c r="D1719">
        <v>121</v>
      </c>
      <c r="E1719" t="s">
        <v>23</v>
      </c>
      <c r="F1719" t="s">
        <v>120</v>
      </c>
      <c r="G1719">
        <f t="shared" si="402"/>
        <v>1</v>
      </c>
      <c r="H1719">
        <v>10</v>
      </c>
      <c r="I1719">
        <v>3</v>
      </c>
      <c r="J1719">
        <v>0</v>
      </c>
      <c r="K1719" s="6" t="str">
        <f t="shared" ref="K1719" si="509">"vs "&amp;E1718</f>
        <v>vs Baltimore Hercules</v>
      </c>
      <c r="L1719" s="6" t="str">
        <f t="shared" ref="L1719" si="510">"vs "&amp;F1718</f>
        <v>vs Sarantos</v>
      </c>
      <c r="M1719">
        <v>211</v>
      </c>
      <c r="N1719" s="1">
        <v>0.49299999999999999</v>
      </c>
      <c r="O1719">
        <v>53</v>
      </c>
      <c r="P1719" s="1">
        <v>0.35299999999999998</v>
      </c>
      <c r="Q1719" s="1">
        <v>0.748</v>
      </c>
      <c r="R1719">
        <v>561</v>
      </c>
      <c r="S1719">
        <v>43</v>
      </c>
      <c r="T1719">
        <v>149</v>
      </c>
      <c r="U1719">
        <v>113</v>
      </c>
      <c r="V1719">
        <v>33</v>
      </c>
      <c r="W1719">
        <v>16</v>
      </c>
      <c r="X1719">
        <v>64</v>
      </c>
      <c r="Y1719" s="5">
        <v>1.77</v>
      </c>
    </row>
    <row r="1720" spans="1:25" x14ac:dyDescent="0.25">
      <c r="A1720">
        <v>2022</v>
      </c>
      <c r="B1720" t="s">
        <v>57</v>
      </c>
      <c r="C1720">
        <v>13</v>
      </c>
      <c r="D1720">
        <v>122</v>
      </c>
      <c r="E1720" t="s">
        <v>25</v>
      </c>
      <c r="F1720" t="s">
        <v>53</v>
      </c>
      <c r="G1720">
        <f t="shared" si="402"/>
        <v>1</v>
      </c>
      <c r="H1720">
        <v>9</v>
      </c>
      <c r="I1720">
        <v>4</v>
      </c>
      <c r="J1720">
        <v>0</v>
      </c>
      <c r="K1720" s="6" t="str">
        <f t="shared" ref="K1720" si="511">"vs "&amp;E1721</f>
        <v>vs The Bridgeburners</v>
      </c>
      <c r="L1720" s="6" t="str">
        <f t="shared" ref="L1720" si="512">"vs "&amp;F1721</f>
        <v>vs Fanis</v>
      </c>
      <c r="M1720">
        <v>140</v>
      </c>
      <c r="N1720" s="1">
        <v>0.498</v>
      </c>
      <c r="O1720">
        <v>39</v>
      </c>
      <c r="P1720" s="1">
        <v>0.375</v>
      </c>
      <c r="Q1720" s="1">
        <v>0.86899999999999999</v>
      </c>
      <c r="R1720">
        <v>372</v>
      </c>
      <c r="S1720">
        <v>33</v>
      </c>
      <c r="T1720">
        <v>88</v>
      </c>
      <c r="U1720">
        <v>82</v>
      </c>
      <c r="V1720">
        <v>16</v>
      </c>
      <c r="W1720">
        <v>12</v>
      </c>
      <c r="X1720">
        <v>31</v>
      </c>
      <c r="Y1720" s="5">
        <v>2.65</v>
      </c>
    </row>
    <row r="1721" spans="1:25" x14ac:dyDescent="0.25">
      <c r="A1721">
        <v>2022</v>
      </c>
      <c r="B1721" t="s">
        <v>57</v>
      </c>
      <c r="C1721">
        <v>13</v>
      </c>
      <c r="D1721">
        <v>122</v>
      </c>
      <c r="E1721" t="s">
        <v>16</v>
      </c>
      <c r="F1721" t="s">
        <v>51</v>
      </c>
      <c r="G1721">
        <f t="shared" si="402"/>
        <v>0</v>
      </c>
      <c r="H1721">
        <v>4</v>
      </c>
      <c r="I1721">
        <v>9</v>
      </c>
      <c r="J1721">
        <v>0</v>
      </c>
      <c r="K1721" s="6" t="str">
        <f t="shared" ref="K1721" si="513">"vs "&amp;E1720</f>
        <v>vs The Rookies</v>
      </c>
      <c r="L1721" s="6" t="str">
        <f t="shared" ref="L1721" si="514">"vs "&amp;F1720</f>
        <v>vs Kousidis</v>
      </c>
      <c r="M1721">
        <v>119</v>
      </c>
      <c r="N1721" s="1">
        <v>0.40100000000000002</v>
      </c>
      <c r="O1721">
        <v>37</v>
      </c>
      <c r="P1721" s="1">
        <v>0.29799999999999999</v>
      </c>
      <c r="Q1721" s="1">
        <v>0.73199999999999998</v>
      </c>
      <c r="R1721">
        <v>327</v>
      </c>
      <c r="S1721">
        <v>36</v>
      </c>
      <c r="T1721">
        <v>105</v>
      </c>
      <c r="U1721">
        <v>70</v>
      </c>
      <c r="V1721">
        <v>29</v>
      </c>
      <c r="W1721">
        <v>16</v>
      </c>
      <c r="X1721">
        <v>44</v>
      </c>
      <c r="Y1721" s="5">
        <v>1.59</v>
      </c>
    </row>
    <row r="1722" spans="1:25" x14ac:dyDescent="0.25">
      <c r="A1722">
        <v>2022</v>
      </c>
      <c r="B1722" t="s">
        <v>57</v>
      </c>
      <c r="C1722">
        <v>13</v>
      </c>
      <c r="D1722">
        <v>123</v>
      </c>
      <c r="E1722" t="s">
        <v>181</v>
      </c>
      <c r="F1722" t="s">
        <v>49</v>
      </c>
      <c r="G1722">
        <f t="shared" si="402"/>
        <v>1</v>
      </c>
      <c r="H1722">
        <v>10</v>
      </c>
      <c r="I1722">
        <v>2</v>
      </c>
      <c r="J1722">
        <v>1</v>
      </c>
      <c r="K1722" s="6" t="str">
        <f t="shared" ref="K1722" si="515">"vs "&amp;E1723</f>
        <v>vs The Bad Boys</v>
      </c>
      <c r="L1722" s="6" t="str">
        <f t="shared" ref="L1722" si="516">"vs "&amp;F1723</f>
        <v>vs Arvanitis</v>
      </c>
      <c r="M1722">
        <v>120</v>
      </c>
      <c r="N1722" s="1">
        <v>0.42599999999999999</v>
      </c>
      <c r="O1722">
        <v>47</v>
      </c>
      <c r="P1722" s="1">
        <v>0.36399999999999999</v>
      </c>
      <c r="Q1722" s="1">
        <v>0.82799999999999996</v>
      </c>
      <c r="R1722">
        <v>364</v>
      </c>
      <c r="S1722">
        <v>32</v>
      </c>
      <c r="T1722">
        <v>124</v>
      </c>
      <c r="U1722">
        <v>63</v>
      </c>
      <c r="V1722">
        <v>19</v>
      </c>
      <c r="W1722">
        <v>12</v>
      </c>
      <c r="X1722">
        <v>57</v>
      </c>
      <c r="Y1722" s="5">
        <v>1.1100000000000001</v>
      </c>
    </row>
    <row r="1723" spans="1:25" x14ac:dyDescent="0.25">
      <c r="A1723">
        <v>2022</v>
      </c>
      <c r="B1723" t="s">
        <v>57</v>
      </c>
      <c r="C1723">
        <v>13</v>
      </c>
      <c r="D1723">
        <v>123</v>
      </c>
      <c r="E1723" t="s">
        <v>154</v>
      </c>
      <c r="F1723" t="s">
        <v>155</v>
      </c>
      <c r="G1723">
        <f t="shared" si="402"/>
        <v>0</v>
      </c>
      <c r="H1723">
        <v>2</v>
      </c>
      <c r="I1723">
        <v>10</v>
      </c>
      <c r="J1723">
        <v>1</v>
      </c>
      <c r="K1723" s="6" t="str">
        <f t="shared" ref="K1723" si="517">"vs "&amp;E1722</f>
        <v>vs Samarina Dudenbros</v>
      </c>
      <c r="L1723" s="6" t="str">
        <f t="shared" ref="L1723" si="518">"vs "&amp;F1722</f>
        <v>vs Sakellariou</v>
      </c>
      <c r="M1723">
        <v>73</v>
      </c>
      <c r="N1723" s="1">
        <v>0.39</v>
      </c>
      <c r="O1723">
        <v>24</v>
      </c>
      <c r="P1723" s="1">
        <v>0.27</v>
      </c>
      <c r="Q1723" s="1">
        <v>0.80800000000000005</v>
      </c>
      <c r="R1723">
        <v>191</v>
      </c>
      <c r="S1723">
        <v>21</v>
      </c>
      <c r="T1723">
        <v>82</v>
      </c>
      <c r="U1723">
        <v>38</v>
      </c>
      <c r="V1723">
        <v>19</v>
      </c>
      <c r="W1723">
        <v>17</v>
      </c>
      <c r="X1723">
        <v>36</v>
      </c>
      <c r="Y1723" s="5">
        <v>1.06</v>
      </c>
    </row>
    <row r="1724" spans="1:25" x14ac:dyDescent="0.25">
      <c r="A1724">
        <v>2022</v>
      </c>
      <c r="B1724" t="s">
        <v>57</v>
      </c>
      <c r="C1724">
        <v>13</v>
      </c>
      <c r="D1724">
        <v>124</v>
      </c>
      <c r="E1724" t="s">
        <v>15</v>
      </c>
      <c r="F1724" t="s">
        <v>48</v>
      </c>
      <c r="G1724">
        <f t="shared" si="402"/>
        <v>0</v>
      </c>
      <c r="H1724">
        <v>6</v>
      </c>
      <c r="I1724">
        <v>7</v>
      </c>
      <c r="J1724">
        <v>0</v>
      </c>
      <c r="K1724" s="6" t="str">
        <f t="shared" ref="K1724" si="519">"vs "&amp;E1725</f>
        <v>vs Fighting Thaddeus</v>
      </c>
      <c r="L1724" s="6" t="str">
        <f t="shared" ref="L1724" si="520">"vs "&amp;F1725</f>
        <v>vs Stavros</v>
      </c>
      <c r="M1724">
        <v>103</v>
      </c>
      <c r="N1724" s="1">
        <v>0.48399999999999999</v>
      </c>
      <c r="O1724">
        <v>26</v>
      </c>
      <c r="P1724" s="1">
        <v>0.377</v>
      </c>
      <c r="Q1724" s="1">
        <v>0.76600000000000001</v>
      </c>
      <c r="R1724">
        <v>268</v>
      </c>
      <c r="S1724">
        <v>23</v>
      </c>
      <c r="T1724">
        <v>77</v>
      </c>
      <c r="U1724">
        <v>58</v>
      </c>
      <c r="V1724">
        <v>12</v>
      </c>
      <c r="W1724">
        <v>15</v>
      </c>
      <c r="X1724">
        <v>37</v>
      </c>
      <c r="Y1724" s="5">
        <v>1.57</v>
      </c>
    </row>
    <row r="1725" spans="1:25" x14ac:dyDescent="0.25">
      <c r="A1725">
        <v>2022</v>
      </c>
      <c r="B1725" t="s">
        <v>57</v>
      </c>
      <c r="C1725">
        <v>13</v>
      </c>
      <c r="D1725">
        <v>124</v>
      </c>
      <c r="E1725" t="s">
        <v>94</v>
      </c>
      <c r="F1725" t="s">
        <v>40</v>
      </c>
      <c r="G1725">
        <f t="shared" si="402"/>
        <v>1</v>
      </c>
      <c r="H1725">
        <v>7</v>
      </c>
      <c r="I1725">
        <v>6</v>
      </c>
      <c r="J1725">
        <v>0</v>
      </c>
      <c r="K1725" s="6" t="str">
        <f t="shared" ref="K1725" si="521">"vs "&amp;E1724</f>
        <v>vs Salonika Devils</v>
      </c>
      <c r="L1725" s="6" t="str">
        <f t="shared" ref="L1725" si="522">"vs "&amp;F1724</f>
        <v>vs Fountos</v>
      </c>
      <c r="M1725">
        <v>136</v>
      </c>
      <c r="N1725" s="1">
        <v>0.41599999999999998</v>
      </c>
      <c r="O1725">
        <v>42</v>
      </c>
      <c r="P1725" s="1">
        <v>0.309</v>
      </c>
      <c r="Q1725" s="1">
        <v>0.78800000000000003</v>
      </c>
      <c r="R1725">
        <v>396</v>
      </c>
      <c r="S1725">
        <v>20</v>
      </c>
      <c r="T1725">
        <v>103</v>
      </c>
      <c r="U1725">
        <v>90</v>
      </c>
      <c r="V1725">
        <v>20</v>
      </c>
      <c r="W1725">
        <v>11</v>
      </c>
      <c r="X1725">
        <v>63</v>
      </c>
      <c r="Y1725" s="5">
        <v>1.43</v>
      </c>
    </row>
    <row r="1726" spans="1:25" x14ac:dyDescent="0.25">
      <c r="A1726">
        <v>2022</v>
      </c>
      <c r="B1726" t="s">
        <v>57</v>
      </c>
      <c r="C1726">
        <v>13</v>
      </c>
      <c r="D1726">
        <v>125</v>
      </c>
      <c r="E1726" t="s">
        <v>33</v>
      </c>
      <c r="F1726" t="s">
        <v>42</v>
      </c>
      <c r="G1726">
        <f t="shared" si="402"/>
        <v>1</v>
      </c>
      <c r="H1726">
        <v>9</v>
      </c>
      <c r="I1726">
        <v>4</v>
      </c>
      <c r="J1726">
        <v>0</v>
      </c>
      <c r="K1726" s="6" t="str">
        <f t="shared" ref="K1726" si="523">"vs "&amp;E1727</f>
        <v>vs Underdogs</v>
      </c>
      <c r="L1726" s="6" t="str">
        <f t="shared" ref="L1726" si="524">"vs "&amp;F1727</f>
        <v>vs Nonis</v>
      </c>
      <c r="M1726">
        <v>183</v>
      </c>
      <c r="N1726" s="1">
        <v>0.48499999999999999</v>
      </c>
      <c r="O1726">
        <v>66</v>
      </c>
      <c r="P1726" s="1">
        <v>0.38600000000000001</v>
      </c>
      <c r="Q1726" s="1">
        <v>0.78400000000000003</v>
      </c>
      <c r="R1726">
        <v>512</v>
      </c>
      <c r="S1726">
        <v>29</v>
      </c>
      <c r="T1726">
        <v>142</v>
      </c>
      <c r="U1726">
        <v>115</v>
      </c>
      <c r="V1726">
        <v>15</v>
      </c>
      <c r="W1726">
        <v>12</v>
      </c>
      <c r="X1726">
        <v>50</v>
      </c>
      <c r="Y1726" s="5">
        <v>2.2999999999999998</v>
      </c>
    </row>
    <row r="1727" spans="1:25" x14ac:dyDescent="0.25">
      <c r="A1727">
        <v>2022</v>
      </c>
      <c r="B1727" t="s">
        <v>57</v>
      </c>
      <c r="C1727">
        <v>13</v>
      </c>
      <c r="D1727">
        <v>125</v>
      </c>
      <c r="E1727" t="s">
        <v>97</v>
      </c>
      <c r="F1727" t="s">
        <v>54</v>
      </c>
      <c r="G1727">
        <f t="shared" si="402"/>
        <v>0</v>
      </c>
      <c r="H1727">
        <v>4</v>
      </c>
      <c r="I1727">
        <v>9</v>
      </c>
      <c r="J1727">
        <v>0</v>
      </c>
      <c r="K1727" s="6" t="str">
        <f t="shared" ref="K1727" si="525">"vs "&amp;E1726</f>
        <v>vs The Guns</v>
      </c>
      <c r="L1727" s="6" t="str">
        <f t="shared" ref="L1727" si="526">"vs "&amp;F1726</f>
        <v>vs Vasilis</v>
      </c>
      <c r="M1727">
        <v>144</v>
      </c>
      <c r="N1727" s="1">
        <v>0.47199999999999998</v>
      </c>
      <c r="O1727">
        <v>44</v>
      </c>
      <c r="P1727" s="1">
        <v>0.36099999999999999</v>
      </c>
      <c r="Q1727" s="1">
        <v>0.86</v>
      </c>
      <c r="R1727">
        <v>455</v>
      </c>
      <c r="S1727">
        <v>21</v>
      </c>
      <c r="T1727">
        <v>140</v>
      </c>
      <c r="U1727">
        <v>117</v>
      </c>
      <c r="V1727">
        <v>23</v>
      </c>
      <c r="W1727">
        <v>17</v>
      </c>
      <c r="X1727">
        <v>60</v>
      </c>
      <c r="Y1727" s="5">
        <v>1.95</v>
      </c>
    </row>
    <row r="1728" spans="1:25" x14ac:dyDescent="0.25">
      <c r="A1728">
        <v>2022</v>
      </c>
      <c r="B1728" t="s">
        <v>57</v>
      </c>
      <c r="C1728">
        <v>13</v>
      </c>
      <c r="D1728">
        <v>126</v>
      </c>
      <c r="E1728" t="s">
        <v>190</v>
      </c>
      <c r="F1728" t="s">
        <v>103</v>
      </c>
      <c r="G1728">
        <f t="shared" si="402"/>
        <v>1</v>
      </c>
      <c r="H1728">
        <v>12</v>
      </c>
      <c r="I1728">
        <v>1</v>
      </c>
      <c r="J1728">
        <v>0</v>
      </c>
      <c r="K1728" s="6" t="str">
        <f t="shared" ref="K1728" si="527">"vs "&amp;E1729</f>
        <v>vs Donkey Rolls</v>
      </c>
      <c r="L1728" s="6" t="str">
        <f t="shared" ref="L1728" si="528">"vs "&amp;F1729</f>
        <v>vs Markos</v>
      </c>
      <c r="M1728">
        <v>181</v>
      </c>
      <c r="N1728" s="1">
        <v>0.47599999999999998</v>
      </c>
      <c r="O1728">
        <v>41</v>
      </c>
      <c r="P1728" s="1">
        <v>0.30399999999999999</v>
      </c>
      <c r="Q1728" s="1">
        <v>0.80800000000000005</v>
      </c>
      <c r="R1728">
        <v>483</v>
      </c>
      <c r="S1728">
        <v>42</v>
      </c>
      <c r="T1728">
        <v>150</v>
      </c>
      <c r="U1728">
        <v>128</v>
      </c>
      <c r="V1728">
        <v>34</v>
      </c>
      <c r="W1728">
        <v>31</v>
      </c>
      <c r="X1728">
        <v>61</v>
      </c>
      <c r="Y1728" s="5">
        <v>2.1</v>
      </c>
    </row>
    <row r="1729" spans="1:25" x14ac:dyDescent="0.25">
      <c r="A1729">
        <v>2022</v>
      </c>
      <c r="B1729" t="s">
        <v>57</v>
      </c>
      <c r="C1729">
        <v>13</v>
      </c>
      <c r="D1729">
        <v>126</v>
      </c>
      <c r="E1729" t="s">
        <v>17</v>
      </c>
      <c r="F1729" t="s">
        <v>43</v>
      </c>
      <c r="G1729">
        <f t="shared" si="402"/>
        <v>0</v>
      </c>
      <c r="H1729">
        <v>1</v>
      </c>
      <c r="I1729">
        <v>12</v>
      </c>
      <c r="J1729">
        <v>0</v>
      </c>
      <c r="K1729" s="6" t="str">
        <f t="shared" ref="K1729" si="529">"vs "&amp;E1728</f>
        <v>vs Karafli SaiTa</v>
      </c>
      <c r="L1729" s="6" t="str">
        <f t="shared" ref="L1729" si="530">"vs "&amp;F1728</f>
        <v>vs Tassos</v>
      </c>
      <c r="M1729">
        <v>108</v>
      </c>
      <c r="N1729" s="1">
        <v>0.40899999999999997</v>
      </c>
      <c r="O1729">
        <v>15</v>
      </c>
      <c r="P1729" s="1">
        <v>0.192</v>
      </c>
      <c r="Q1729" s="1">
        <v>0.79500000000000004</v>
      </c>
      <c r="R1729">
        <v>289</v>
      </c>
      <c r="S1729">
        <v>39</v>
      </c>
      <c r="T1729">
        <v>105</v>
      </c>
      <c r="U1729">
        <v>92</v>
      </c>
      <c r="V1729">
        <v>24</v>
      </c>
      <c r="W1729">
        <v>26</v>
      </c>
      <c r="X1729">
        <v>56</v>
      </c>
      <c r="Y1729" s="5">
        <v>1.64</v>
      </c>
    </row>
    <row r="1730" spans="1:25" x14ac:dyDescent="0.25">
      <c r="A1730">
        <v>2022</v>
      </c>
      <c r="B1730" t="s">
        <v>57</v>
      </c>
      <c r="C1730">
        <v>13</v>
      </c>
      <c r="D1730">
        <v>127</v>
      </c>
      <c r="E1730" t="s">
        <v>26</v>
      </c>
      <c r="F1730" t="s">
        <v>118</v>
      </c>
      <c r="G1730">
        <f t="shared" ref="G1730:G1793" si="531">IF(H1730+0.5*J1730&gt;6.5,1,0)</f>
        <v>0</v>
      </c>
      <c r="H1730">
        <v>2</v>
      </c>
      <c r="I1730">
        <v>11</v>
      </c>
      <c r="J1730">
        <v>0</v>
      </c>
      <c r="K1730" s="6" t="str">
        <f t="shared" ref="K1730" si="532">"vs "&amp;E1731</f>
        <v>vs Steven Adams' Moustache</v>
      </c>
      <c r="L1730" s="6" t="str">
        <f t="shared" ref="L1730" si="533">"vs "&amp;F1731</f>
        <v>vs Johnny</v>
      </c>
      <c r="M1730">
        <v>124</v>
      </c>
      <c r="N1730" s="1">
        <v>0.40500000000000003</v>
      </c>
      <c r="O1730">
        <v>35</v>
      </c>
      <c r="P1730" s="1">
        <v>0.28899999999999998</v>
      </c>
      <c r="Q1730" s="1">
        <v>0.64</v>
      </c>
      <c r="R1730">
        <v>315</v>
      </c>
      <c r="S1730">
        <v>19</v>
      </c>
      <c r="T1730">
        <v>107</v>
      </c>
      <c r="U1730">
        <v>102</v>
      </c>
      <c r="V1730">
        <v>15</v>
      </c>
      <c r="W1730">
        <v>10</v>
      </c>
      <c r="X1730">
        <v>42</v>
      </c>
      <c r="Y1730" s="5">
        <v>2.4300000000000002</v>
      </c>
    </row>
    <row r="1731" spans="1:25" x14ac:dyDescent="0.25">
      <c r="A1731">
        <v>2022</v>
      </c>
      <c r="B1731" t="s">
        <v>57</v>
      </c>
      <c r="C1731">
        <v>13</v>
      </c>
      <c r="D1731">
        <v>127</v>
      </c>
      <c r="E1731" t="s">
        <v>28</v>
      </c>
      <c r="F1731" t="s">
        <v>46</v>
      </c>
      <c r="G1731">
        <f t="shared" si="531"/>
        <v>1</v>
      </c>
      <c r="H1731">
        <v>11</v>
      </c>
      <c r="I1731">
        <v>2</v>
      </c>
      <c r="J1731">
        <v>0</v>
      </c>
      <c r="K1731" s="6" t="str">
        <f t="shared" ref="K1731" si="534">"vs "&amp;E1730</f>
        <v>vs Kourayo Vallecano</v>
      </c>
      <c r="L1731" s="6" t="str">
        <f t="shared" ref="L1731" si="535">"vs "&amp;F1730</f>
        <v>vs Ziogas/Christof</v>
      </c>
      <c r="M1731">
        <v>163</v>
      </c>
      <c r="N1731" s="1">
        <v>0.46800000000000003</v>
      </c>
      <c r="O1731">
        <v>42</v>
      </c>
      <c r="P1731" s="1">
        <v>0.316</v>
      </c>
      <c r="Q1731" s="1">
        <v>0.77400000000000002</v>
      </c>
      <c r="R1731">
        <v>416</v>
      </c>
      <c r="S1731">
        <v>24</v>
      </c>
      <c r="T1731">
        <v>114</v>
      </c>
      <c r="U1731">
        <v>103</v>
      </c>
      <c r="V1731">
        <v>37</v>
      </c>
      <c r="W1731">
        <v>14</v>
      </c>
      <c r="X1731">
        <v>50</v>
      </c>
      <c r="Y1731" s="5">
        <v>2.06</v>
      </c>
    </row>
    <row r="1732" spans="1:25" x14ac:dyDescent="0.25">
      <c r="A1732">
        <v>2022</v>
      </c>
      <c r="B1732" t="s">
        <v>57</v>
      </c>
      <c r="C1732">
        <v>13</v>
      </c>
      <c r="D1732">
        <v>128</v>
      </c>
      <c r="E1732" t="s">
        <v>93</v>
      </c>
      <c r="F1732" t="s">
        <v>189</v>
      </c>
      <c r="G1732">
        <f t="shared" si="531"/>
        <v>0</v>
      </c>
      <c r="H1732">
        <v>4</v>
      </c>
      <c r="I1732">
        <v>9</v>
      </c>
      <c r="J1732">
        <v>0</v>
      </c>
      <c r="K1732" s="6" t="str">
        <f t="shared" ref="K1732" si="536">"vs "&amp;E1733</f>
        <v>vs purple fuzzy apache pirates</v>
      </c>
      <c r="L1732" s="6" t="str">
        <f t="shared" ref="L1732" si="537">"vs "&amp;F1733</f>
        <v>vs pi/Sotiris</v>
      </c>
      <c r="M1732">
        <v>127</v>
      </c>
      <c r="N1732" s="1">
        <v>0.40600000000000003</v>
      </c>
      <c r="O1732">
        <v>54</v>
      </c>
      <c r="P1732" s="1">
        <v>0.34799999999999998</v>
      </c>
      <c r="Q1732" s="1">
        <v>0.83699999999999997</v>
      </c>
      <c r="R1732">
        <v>390</v>
      </c>
      <c r="S1732">
        <v>32</v>
      </c>
      <c r="T1732">
        <v>105</v>
      </c>
      <c r="U1732">
        <v>100</v>
      </c>
      <c r="V1732">
        <v>30</v>
      </c>
      <c r="W1732">
        <v>21</v>
      </c>
      <c r="X1732">
        <v>34</v>
      </c>
      <c r="Y1732" s="5">
        <v>2.94</v>
      </c>
    </row>
    <row r="1733" spans="1:25" x14ac:dyDescent="0.25">
      <c r="A1733">
        <v>2022</v>
      </c>
      <c r="B1733" t="s">
        <v>57</v>
      </c>
      <c r="C1733">
        <v>13</v>
      </c>
      <c r="D1733">
        <v>128</v>
      </c>
      <c r="E1733" t="s">
        <v>159</v>
      </c>
      <c r="F1733" t="s">
        <v>116</v>
      </c>
      <c r="G1733">
        <f t="shared" si="531"/>
        <v>1</v>
      </c>
      <c r="H1733">
        <v>9</v>
      </c>
      <c r="I1733">
        <v>4</v>
      </c>
      <c r="J1733">
        <v>0</v>
      </c>
      <c r="K1733" s="6" t="str">
        <f t="shared" ref="K1733" si="538">"vs "&amp;E1732</f>
        <v>vs Guruuu 🐐🐐🐐</v>
      </c>
      <c r="L1733" s="6" t="str">
        <f t="shared" ref="L1733" si="539">"vs "&amp;F1732</f>
        <v>vs Guru</v>
      </c>
      <c r="M1733">
        <v>228</v>
      </c>
      <c r="N1733" s="1">
        <v>0.51800000000000002</v>
      </c>
      <c r="O1733">
        <v>68</v>
      </c>
      <c r="P1733" s="1">
        <v>0.39100000000000001</v>
      </c>
      <c r="Q1733" s="1">
        <v>0.75800000000000001</v>
      </c>
      <c r="R1733">
        <v>599</v>
      </c>
      <c r="S1733">
        <v>43</v>
      </c>
      <c r="T1733">
        <v>188</v>
      </c>
      <c r="U1733">
        <v>151</v>
      </c>
      <c r="V1733">
        <v>37</v>
      </c>
      <c r="W1733">
        <v>14</v>
      </c>
      <c r="X1733">
        <v>72</v>
      </c>
      <c r="Y1733" s="5">
        <v>2.1</v>
      </c>
    </row>
    <row r="1734" spans="1:25" x14ac:dyDescent="0.25">
      <c r="A1734">
        <v>2022</v>
      </c>
      <c r="B1734" t="s">
        <v>57</v>
      </c>
      <c r="C1734">
        <v>13</v>
      </c>
      <c r="D1734">
        <v>129</v>
      </c>
      <c r="E1734" t="s">
        <v>98</v>
      </c>
      <c r="F1734" t="s">
        <v>41</v>
      </c>
      <c r="G1734">
        <f t="shared" si="531"/>
        <v>0</v>
      </c>
      <c r="H1734">
        <v>4</v>
      </c>
      <c r="I1734">
        <v>9</v>
      </c>
      <c r="J1734">
        <v>0</v>
      </c>
      <c r="K1734" s="6" t="str">
        <f t="shared" ref="K1734" si="540">"vs "&amp;E1735</f>
        <v>vs Knights of Ni</v>
      </c>
      <c r="L1734" s="6" t="str">
        <f t="shared" ref="L1734" si="541">"vs "&amp;F1735</f>
        <v>vs Tolios</v>
      </c>
      <c r="M1734">
        <v>135</v>
      </c>
      <c r="N1734" s="1">
        <v>0.54900000000000004</v>
      </c>
      <c r="O1734">
        <v>23</v>
      </c>
      <c r="P1734" s="1">
        <v>0.34799999999999998</v>
      </c>
      <c r="Q1734" s="1">
        <v>0.66700000000000004</v>
      </c>
      <c r="R1734">
        <v>333</v>
      </c>
      <c r="S1734">
        <v>33</v>
      </c>
      <c r="T1734">
        <v>106</v>
      </c>
      <c r="U1734">
        <v>60</v>
      </c>
      <c r="V1734">
        <v>23</v>
      </c>
      <c r="W1734">
        <v>20</v>
      </c>
      <c r="X1734">
        <v>41</v>
      </c>
      <c r="Y1734" s="5">
        <v>1.46</v>
      </c>
    </row>
    <row r="1735" spans="1:25" x14ac:dyDescent="0.25">
      <c r="A1735">
        <v>2022</v>
      </c>
      <c r="B1735" t="s">
        <v>57</v>
      </c>
      <c r="C1735">
        <v>13</v>
      </c>
      <c r="D1735">
        <v>129</v>
      </c>
      <c r="E1735" t="s">
        <v>96</v>
      </c>
      <c r="F1735" t="s">
        <v>102</v>
      </c>
      <c r="G1735">
        <f t="shared" si="531"/>
        <v>1</v>
      </c>
      <c r="H1735">
        <v>9</v>
      </c>
      <c r="I1735">
        <v>4</v>
      </c>
      <c r="J1735">
        <v>0</v>
      </c>
      <c r="K1735" s="6" t="str">
        <f t="shared" ref="K1735" si="542">"vs "&amp;E1734</f>
        <v>vs Xanthi Ducks 🦆</v>
      </c>
      <c r="L1735" s="6" t="str">
        <f t="shared" ref="L1735" si="543">"vs "&amp;F1734</f>
        <v>vs Kotakis</v>
      </c>
      <c r="M1735">
        <v>127</v>
      </c>
      <c r="N1735" s="1">
        <v>0.52</v>
      </c>
      <c r="O1735">
        <v>25</v>
      </c>
      <c r="P1735" s="1">
        <v>0.34699999999999998</v>
      </c>
      <c r="Q1735" s="1">
        <v>0.75800000000000001</v>
      </c>
      <c r="R1735">
        <v>329</v>
      </c>
      <c r="S1735">
        <v>54</v>
      </c>
      <c r="T1735">
        <v>120</v>
      </c>
      <c r="U1735">
        <v>62</v>
      </c>
      <c r="V1735">
        <v>25</v>
      </c>
      <c r="W1735">
        <v>23</v>
      </c>
      <c r="X1735">
        <v>30</v>
      </c>
      <c r="Y1735" s="5">
        <v>2.0699999999999998</v>
      </c>
    </row>
    <row r="1736" spans="1:25" x14ac:dyDescent="0.25">
      <c r="A1736">
        <v>2022</v>
      </c>
      <c r="B1736" t="s">
        <v>57</v>
      </c>
      <c r="C1736">
        <v>13</v>
      </c>
      <c r="D1736">
        <v>130</v>
      </c>
      <c r="E1736" t="s">
        <v>99</v>
      </c>
      <c r="F1736" t="s">
        <v>45</v>
      </c>
      <c r="G1736">
        <f t="shared" si="531"/>
        <v>1</v>
      </c>
      <c r="H1736">
        <v>10</v>
      </c>
      <c r="I1736">
        <v>2</v>
      </c>
      <c r="J1736">
        <v>1</v>
      </c>
      <c r="K1736" s="6" t="str">
        <f t="shared" ref="K1736" si="544">"vs "&amp;E1737</f>
        <v>vs st.Helens Eruptions</v>
      </c>
      <c r="L1736" s="6" t="str">
        <f t="shared" ref="L1736" si="545">"vs "&amp;F1737</f>
        <v>vs Aris</v>
      </c>
      <c r="M1736">
        <v>166</v>
      </c>
      <c r="N1736" s="1">
        <v>0.47399999999999998</v>
      </c>
      <c r="O1736">
        <v>53</v>
      </c>
      <c r="P1736" s="1">
        <v>0.371</v>
      </c>
      <c r="Q1736" s="1">
        <v>0.75600000000000001</v>
      </c>
      <c r="R1736">
        <v>478</v>
      </c>
      <c r="S1736">
        <v>47</v>
      </c>
      <c r="T1736">
        <v>169</v>
      </c>
      <c r="U1736">
        <v>142</v>
      </c>
      <c r="V1736">
        <v>32</v>
      </c>
      <c r="W1736">
        <v>15</v>
      </c>
      <c r="X1736">
        <v>51</v>
      </c>
      <c r="Y1736" s="5">
        <v>2.78</v>
      </c>
    </row>
    <row r="1737" spans="1:25" x14ac:dyDescent="0.25">
      <c r="A1737">
        <v>2022</v>
      </c>
      <c r="B1737" t="s">
        <v>57</v>
      </c>
      <c r="C1737">
        <v>13</v>
      </c>
      <c r="D1737">
        <v>130</v>
      </c>
      <c r="E1737" t="s">
        <v>21</v>
      </c>
      <c r="F1737" t="s">
        <v>50</v>
      </c>
      <c r="G1737">
        <f t="shared" si="531"/>
        <v>0</v>
      </c>
      <c r="H1737">
        <v>2</v>
      </c>
      <c r="I1737">
        <v>10</v>
      </c>
      <c r="J1737">
        <v>1</v>
      </c>
      <c r="K1737" s="6" t="str">
        <f t="shared" ref="K1737" si="546">"vs "&amp;E1736</f>
        <v>vs Tsarlatans</v>
      </c>
      <c r="L1737" s="6" t="str">
        <f t="shared" ref="L1737" si="547">"vs "&amp;F1736</f>
        <v>vs Tzokos</v>
      </c>
      <c r="M1737">
        <v>147</v>
      </c>
      <c r="N1737" s="1">
        <v>0.42599999999999999</v>
      </c>
      <c r="O1737">
        <v>49</v>
      </c>
      <c r="P1737" s="1">
        <v>0.36</v>
      </c>
      <c r="Q1737" s="1">
        <v>0.85399999999999998</v>
      </c>
      <c r="R1737">
        <v>431</v>
      </c>
      <c r="S1737">
        <v>24</v>
      </c>
      <c r="T1737">
        <v>107</v>
      </c>
      <c r="U1737">
        <v>122</v>
      </c>
      <c r="V1737">
        <v>32</v>
      </c>
      <c r="W1737">
        <v>12</v>
      </c>
      <c r="X1737">
        <v>46</v>
      </c>
      <c r="Y1737" s="5">
        <v>2.65</v>
      </c>
    </row>
    <row r="1738" spans="1:25" x14ac:dyDescent="0.25">
      <c r="A1738">
        <v>2022</v>
      </c>
      <c r="B1738" t="s">
        <v>57</v>
      </c>
      <c r="C1738">
        <v>14</v>
      </c>
      <c r="D1738">
        <v>131</v>
      </c>
      <c r="E1738" t="s">
        <v>28</v>
      </c>
      <c r="F1738" t="s">
        <v>46</v>
      </c>
      <c r="G1738">
        <f t="shared" si="531"/>
        <v>1</v>
      </c>
      <c r="H1738">
        <v>9</v>
      </c>
      <c r="I1738">
        <v>4</v>
      </c>
      <c r="J1738">
        <v>0</v>
      </c>
      <c r="K1738" s="6" t="str">
        <f t="shared" ref="K1738" si="548">"vs "&amp;E1739</f>
        <v>vs Samarina Dudenbros</v>
      </c>
      <c r="L1738" s="6" t="str">
        <f t="shared" ref="L1738" si="549">"vs "&amp;F1739</f>
        <v>vs Sakellariou</v>
      </c>
      <c r="M1738">
        <v>196</v>
      </c>
      <c r="N1738" s="1">
        <v>0.42799999999999999</v>
      </c>
      <c r="O1738">
        <v>47</v>
      </c>
      <c r="P1738" s="1">
        <v>0.28799999999999998</v>
      </c>
      <c r="Q1738" s="1">
        <v>0.83299999999999996</v>
      </c>
      <c r="R1738">
        <v>519</v>
      </c>
      <c r="S1738">
        <v>41</v>
      </c>
      <c r="T1738">
        <v>189</v>
      </c>
      <c r="U1738">
        <v>140</v>
      </c>
      <c r="V1738">
        <v>48</v>
      </c>
      <c r="W1738">
        <v>27</v>
      </c>
      <c r="X1738">
        <v>68</v>
      </c>
      <c r="Y1738" s="5">
        <v>2.06</v>
      </c>
    </row>
    <row r="1739" spans="1:25" x14ac:dyDescent="0.25">
      <c r="A1739">
        <v>2022</v>
      </c>
      <c r="B1739" t="s">
        <v>57</v>
      </c>
      <c r="C1739">
        <v>14</v>
      </c>
      <c r="D1739">
        <v>131</v>
      </c>
      <c r="E1739" t="s">
        <v>181</v>
      </c>
      <c r="F1739" t="s">
        <v>49</v>
      </c>
      <c r="G1739">
        <f t="shared" si="531"/>
        <v>0</v>
      </c>
      <c r="H1739">
        <v>4</v>
      </c>
      <c r="I1739">
        <v>9</v>
      </c>
      <c r="J1739">
        <v>0</v>
      </c>
      <c r="K1739" s="6" t="str">
        <f t="shared" ref="K1739" si="550">"vs "&amp;E1738</f>
        <v>vs Steven Adams' Moustache</v>
      </c>
      <c r="L1739" s="6" t="str">
        <f t="shared" ref="L1739" si="551">"vs "&amp;F1738</f>
        <v>vs Johnny</v>
      </c>
      <c r="M1739">
        <v>181</v>
      </c>
      <c r="N1739" s="1">
        <v>0.443</v>
      </c>
      <c r="O1739">
        <v>43</v>
      </c>
      <c r="P1739" s="1">
        <v>0.28699999999999998</v>
      </c>
      <c r="Q1739" s="1">
        <v>0.753</v>
      </c>
      <c r="R1739">
        <v>478</v>
      </c>
      <c r="S1739">
        <v>51</v>
      </c>
      <c r="T1739">
        <v>153</v>
      </c>
      <c r="U1739">
        <v>91</v>
      </c>
      <c r="V1739">
        <v>29</v>
      </c>
      <c r="W1739">
        <v>30</v>
      </c>
      <c r="X1739">
        <v>57</v>
      </c>
      <c r="Y1739" s="5">
        <v>1.6</v>
      </c>
    </row>
    <row r="1740" spans="1:25" x14ac:dyDescent="0.25">
      <c r="A1740">
        <v>2022</v>
      </c>
      <c r="B1740" t="s">
        <v>57</v>
      </c>
      <c r="C1740">
        <v>14</v>
      </c>
      <c r="D1740">
        <v>132</v>
      </c>
      <c r="E1740" t="s">
        <v>95</v>
      </c>
      <c r="F1740" t="s">
        <v>101</v>
      </c>
      <c r="G1740">
        <f t="shared" si="531"/>
        <v>0</v>
      </c>
      <c r="H1740">
        <v>3</v>
      </c>
      <c r="I1740">
        <v>9</v>
      </c>
      <c r="J1740">
        <v>1</v>
      </c>
      <c r="K1740" s="6" t="str">
        <f t="shared" ref="K1740" si="552">"vs "&amp;E1741</f>
        <v>vs Kourayo Vallecano</v>
      </c>
      <c r="L1740" s="6" t="str">
        <f t="shared" ref="L1740" si="553">"vs "&amp;F1741</f>
        <v>vs Ziogas/Christof</v>
      </c>
      <c r="M1740">
        <v>127</v>
      </c>
      <c r="N1740" s="1">
        <v>0.41499999999999998</v>
      </c>
      <c r="O1740">
        <v>49</v>
      </c>
      <c r="P1740" s="1">
        <v>0.34</v>
      </c>
      <c r="Q1740" s="1">
        <v>0.85699999999999998</v>
      </c>
      <c r="R1740">
        <v>345</v>
      </c>
      <c r="S1740">
        <v>30</v>
      </c>
      <c r="T1740">
        <v>94</v>
      </c>
      <c r="U1740">
        <v>78</v>
      </c>
      <c r="V1740">
        <v>26</v>
      </c>
      <c r="W1740">
        <v>10</v>
      </c>
      <c r="X1740">
        <v>37</v>
      </c>
      <c r="Y1740" s="5">
        <v>2.11</v>
      </c>
    </row>
    <row r="1741" spans="1:25" x14ac:dyDescent="0.25">
      <c r="A1741">
        <v>2022</v>
      </c>
      <c r="B1741" t="s">
        <v>57</v>
      </c>
      <c r="C1741">
        <v>14</v>
      </c>
      <c r="D1741">
        <v>132</v>
      </c>
      <c r="E1741" t="s">
        <v>26</v>
      </c>
      <c r="F1741" t="s">
        <v>118</v>
      </c>
      <c r="G1741">
        <f t="shared" si="531"/>
        <v>1</v>
      </c>
      <c r="H1741">
        <v>9</v>
      </c>
      <c r="I1741">
        <v>3</v>
      </c>
      <c r="J1741">
        <v>1</v>
      </c>
      <c r="K1741" s="6" t="str">
        <f t="shared" ref="K1741" si="554">"vs "&amp;E1740</f>
        <v>vs Baltimore Hercules</v>
      </c>
      <c r="L1741" s="6" t="str">
        <f t="shared" ref="L1741" si="555">"vs "&amp;F1740</f>
        <v>vs Sarantos</v>
      </c>
      <c r="M1741">
        <v>185</v>
      </c>
      <c r="N1741" s="1">
        <v>0.47399999999999998</v>
      </c>
      <c r="O1741">
        <v>65</v>
      </c>
      <c r="P1741" s="1">
        <v>0.38</v>
      </c>
      <c r="Q1741" s="1">
        <v>0.73599999999999999</v>
      </c>
      <c r="R1741">
        <v>530</v>
      </c>
      <c r="S1741">
        <v>33</v>
      </c>
      <c r="T1741">
        <v>130</v>
      </c>
      <c r="U1741">
        <v>140</v>
      </c>
      <c r="V1741">
        <v>35</v>
      </c>
      <c r="W1741">
        <v>10</v>
      </c>
      <c r="X1741">
        <v>72</v>
      </c>
      <c r="Y1741" s="5">
        <v>1.94</v>
      </c>
    </row>
    <row r="1742" spans="1:25" x14ac:dyDescent="0.25">
      <c r="A1742">
        <v>2022</v>
      </c>
      <c r="B1742" t="s">
        <v>57</v>
      </c>
      <c r="C1742">
        <v>14</v>
      </c>
      <c r="D1742">
        <v>133</v>
      </c>
      <c r="E1742" t="s">
        <v>25</v>
      </c>
      <c r="F1742" t="s">
        <v>53</v>
      </c>
      <c r="G1742">
        <f t="shared" si="531"/>
        <v>0</v>
      </c>
      <c r="H1742">
        <v>3</v>
      </c>
      <c r="I1742">
        <v>10</v>
      </c>
      <c r="J1742">
        <v>0</v>
      </c>
      <c r="K1742" s="6" t="str">
        <f t="shared" ref="K1742" si="556">"vs "&amp;E1743</f>
        <v>vs Karafli SaiTa</v>
      </c>
      <c r="L1742" s="6" t="str">
        <f t="shared" ref="L1742" si="557">"vs "&amp;F1743</f>
        <v>vs Tassos</v>
      </c>
      <c r="M1742">
        <v>185</v>
      </c>
      <c r="N1742" s="1">
        <v>0.49099999999999999</v>
      </c>
      <c r="O1742">
        <v>36</v>
      </c>
      <c r="P1742" s="1">
        <v>0.29799999999999999</v>
      </c>
      <c r="Q1742" s="1">
        <v>0.77800000000000002</v>
      </c>
      <c r="R1742">
        <v>483</v>
      </c>
      <c r="S1742">
        <v>51</v>
      </c>
      <c r="T1742">
        <v>167</v>
      </c>
      <c r="U1742">
        <v>82</v>
      </c>
      <c r="V1742">
        <v>19</v>
      </c>
      <c r="W1742">
        <v>23</v>
      </c>
      <c r="X1742">
        <v>49</v>
      </c>
      <c r="Y1742" s="5">
        <v>1.67</v>
      </c>
    </row>
    <row r="1743" spans="1:25" x14ac:dyDescent="0.25">
      <c r="A1743">
        <v>2022</v>
      </c>
      <c r="B1743" t="s">
        <v>57</v>
      </c>
      <c r="C1743">
        <v>14</v>
      </c>
      <c r="D1743">
        <v>133</v>
      </c>
      <c r="E1743" t="s">
        <v>190</v>
      </c>
      <c r="F1743" t="s">
        <v>103</v>
      </c>
      <c r="G1743">
        <f t="shared" si="531"/>
        <v>1</v>
      </c>
      <c r="H1743">
        <v>10</v>
      </c>
      <c r="I1743">
        <v>3</v>
      </c>
      <c r="J1743">
        <v>0</v>
      </c>
      <c r="K1743" s="6" t="str">
        <f t="shared" ref="K1743" si="558">"vs "&amp;E1742</f>
        <v>vs The Rookies</v>
      </c>
      <c r="L1743" s="6" t="str">
        <f t="shared" ref="L1743" si="559">"vs "&amp;F1742</f>
        <v>vs Kousidis</v>
      </c>
      <c r="M1743">
        <v>206</v>
      </c>
      <c r="N1743" s="1">
        <v>0.45400000000000001</v>
      </c>
      <c r="O1743">
        <v>51</v>
      </c>
      <c r="P1743" s="1">
        <v>0.34</v>
      </c>
      <c r="Q1743" s="1">
        <v>0.73499999999999999</v>
      </c>
      <c r="R1743">
        <v>549</v>
      </c>
      <c r="S1743">
        <v>58</v>
      </c>
      <c r="T1743">
        <v>181</v>
      </c>
      <c r="U1743">
        <v>118</v>
      </c>
      <c r="V1743">
        <v>36</v>
      </c>
      <c r="W1743">
        <v>33</v>
      </c>
      <c r="X1743">
        <v>64</v>
      </c>
      <c r="Y1743" s="5">
        <v>1.84</v>
      </c>
    </row>
    <row r="1744" spans="1:25" x14ac:dyDescent="0.25">
      <c r="A1744">
        <v>2022</v>
      </c>
      <c r="B1744" t="s">
        <v>57</v>
      </c>
      <c r="C1744">
        <v>14</v>
      </c>
      <c r="D1744">
        <v>134</v>
      </c>
      <c r="E1744" t="s">
        <v>94</v>
      </c>
      <c r="F1744" t="s">
        <v>40</v>
      </c>
      <c r="G1744">
        <f t="shared" si="531"/>
        <v>1</v>
      </c>
      <c r="H1744">
        <v>7</v>
      </c>
      <c r="I1744">
        <v>6</v>
      </c>
      <c r="J1744">
        <v>0</v>
      </c>
      <c r="K1744" s="6" t="str">
        <f t="shared" ref="K1744" si="560">"vs "&amp;E1745</f>
        <v>vs Guruuu 🐐🐐🐐</v>
      </c>
      <c r="L1744" s="6" t="str">
        <f t="shared" ref="L1744" si="561">"vs "&amp;F1745</f>
        <v>vs Guru</v>
      </c>
      <c r="M1744">
        <v>136</v>
      </c>
      <c r="N1744" s="1">
        <v>0.47099999999999997</v>
      </c>
      <c r="O1744">
        <v>44</v>
      </c>
      <c r="P1744" s="1">
        <v>0.373</v>
      </c>
      <c r="Q1744" s="1">
        <v>0.73599999999999999</v>
      </c>
      <c r="R1744">
        <v>355</v>
      </c>
      <c r="S1744">
        <v>44</v>
      </c>
      <c r="T1744">
        <v>115</v>
      </c>
      <c r="U1744">
        <v>84</v>
      </c>
      <c r="V1744">
        <v>37</v>
      </c>
      <c r="W1744">
        <v>10</v>
      </c>
      <c r="X1744">
        <v>33</v>
      </c>
      <c r="Y1744" s="5">
        <v>2.5499999999999998</v>
      </c>
    </row>
    <row r="1745" spans="1:25" x14ac:dyDescent="0.25">
      <c r="A1745">
        <v>2022</v>
      </c>
      <c r="B1745" t="s">
        <v>57</v>
      </c>
      <c r="C1745">
        <v>14</v>
      </c>
      <c r="D1745">
        <v>134</v>
      </c>
      <c r="E1745" t="s">
        <v>93</v>
      </c>
      <c r="F1745" t="s">
        <v>189</v>
      </c>
      <c r="G1745">
        <f t="shared" si="531"/>
        <v>0</v>
      </c>
      <c r="H1745">
        <v>6</v>
      </c>
      <c r="I1745">
        <v>7</v>
      </c>
      <c r="J1745">
        <v>0</v>
      </c>
      <c r="K1745" s="6" t="str">
        <f t="shared" ref="K1745" si="562">"vs "&amp;E1744</f>
        <v>vs Fighting Thaddeus</v>
      </c>
      <c r="L1745" s="6" t="str">
        <f t="shared" ref="L1745" si="563">"vs "&amp;F1744</f>
        <v>vs Stavros</v>
      </c>
      <c r="M1745">
        <v>131</v>
      </c>
      <c r="N1745" s="1">
        <v>0.434</v>
      </c>
      <c r="O1745">
        <v>52</v>
      </c>
      <c r="P1745" s="1">
        <v>0.4</v>
      </c>
      <c r="Q1745" s="1">
        <v>0.78300000000000003</v>
      </c>
      <c r="R1745">
        <v>361</v>
      </c>
      <c r="S1745">
        <v>34</v>
      </c>
      <c r="T1745">
        <v>141</v>
      </c>
      <c r="U1745">
        <v>79</v>
      </c>
      <c r="V1745">
        <v>26</v>
      </c>
      <c r="W1745">
        <v>15</v>
      </c>
      <c r="X1745">
        <v>34</v>
      </c>
      <c r="Y1745" s="5">
        <v>2.3199999999999998</v>
      </c>
    </row>
    <row r="1746" spans="1:25" x14ac:dyDescent="0.25">
      <c r="A1746">
        <v>2022</v>
      </c>
      <c r="B1746" t="s">
        <v>57</v>
      </c>
      <c r="C1746">
        <v>14</v>
      </c>
      <c r="D1746">
        <v>135</v>
      </c>
      <c r="E1746" t="s">
        <v>97</v>
      </c>
      <c r="F1746" t="s">
        <v>54</v>
      </c>
      <c r="G1746">
        <f t="shared" si="531"/>
        <v>1</v>
      </c>
      <c r="H1746">
        <v>10</v>
      </c>
      <c r="I1746">
        <v>3</v>
      </c>
      <c r="J1746">
        <v>0</v>
      </c>
      <c r="K1746" s="6" t="str">
        <f t="shared" ref="K1746" si="564">"vs "&amp;E1747</f>
        <v>vs Xanthi Ducks 🦆</v>
      </c>
      <c r="L1746" s="6" t="str">
        <f t="shared" ref="L1746" si="565">"vs "&amp;F1747</f>
        <v>vs Kotakis</v>
      </c>
      <c r="M1746">
        <v>226</v>
      </c>
      <c r="N1746" s="1">
        <v>0.48599999999999999</v>
      </c>
      <c r="O1746">
        <v>53</v>
      </c>
      <c r="P1746" s="1">
        <v>0.38100000000000001</v>
      </c>
      <c r="Q1746" s="1">
        <v>0.82199999999999995</v>
      </c>
      <c r="R1746">
        <v>685</v>
      </c>
      <c r="S1746">
        <v>44</v>
      </c>
      <c r="T1746">
        <v>171</v>
      </c>
      <c r="U1746">
        <v>137</v>
      </c>
      <c r="V1746">
        <v>23</v>
      </c>
      <c r="W1746">
        <v>27</v>
      </c>
      <c r="X1746">
        <v>82</v>
      </c>
      <c r="Y1746" s="5">
        <v>1.67</v>
      </c>
    </row>
    <row r="1747" spans="1:25" x14ac:dyDescent="0.25">
      <c r="A1747">
        <v>2022</v>
      </c>
      <c r="B1747" t="s">
        <v>57</v>
      </c>
      <c r="C1747">
        <v>14</v>
      </c>
      <c r="D1747">
        <v>135</v>
      </c>
      <c r="E1747" t="s">
        <v>98</v>
      </c>
      <c r="F1747" t="s">
        <v>41</v>
      </c>
      <c r="G1747">
        <f t="shared" si="531"/>
        <v>0</v>
      </c>
      <c r="H1747">
        <v>3</v>
      </c>
      <c r="I1747">
        <v>10</v>
      </c>
      <c r="J1747">
        <v>0</v>
      </c>
      <c r="K1747" s="6" t="str">
        <f t="shared" ref="K1747" si="566">"vs "&amp;E1746</f>
        <v>vs Underdogs</v>
      </c>
      <c r="L1747" s="6" t="str">
        <f t="shared" ref="L1747" si="567">"vs "&amp;F1746</f>
        <v>vs Nonis</v>
      </c>
      <c r="M1747">
        <v>126</v>
      </c>
      <c r="N1747" s="1">
        <v>0.46700000000000003</v>
      </c>
      <c r="O1747">
        <v>40</v>
      </c>
      <c r="P1747" s="1">
        <v>0.39200000000000002</v>
      </c>
      <c r="Q1747" s="1">
        <v>0.70099999999999996</v>
      </c>
      <c r="R1747">
        <v>339</v>
      </c>
      <c r="S1747">
        <v>30</v>
      </c>
      <c r="T1747">
        <v>113</v>
      </c>
      <c r="U1747">
        <v>51</v>
      </c>
      <c r="V1747">
        <v>27</v>
      </c>
      <c r="W1747">
        <v>24</v>
      </c>
      <c r="X1747">
        <v>36</v>
      </c>
      <c r="Y1747" s="5">
        <v>1.42</v>
      </c>
    </row>
    <row r="1748" spans="1:25" x14ac:dyDescent="0.25">
      <c r="A1748">
        <v>2022</v>
      </c>
      <c r="B1748" t="s">
        <v>57</v>
      </c>
      <c r="C1748">
        <v>14</v>
      </c>
      <c r="D1748">
        <v>136</v>
      </c>
      <c r="E1748" t="s">
        <v>96</v>
      </c>
      <c r="F1748" t="s">
        <v>102</v>
      </c>
      <c r="G1748">
        <f t="shared" si="531"/>
        <v>1</v>
      </c>
      <c r="H1748">
        <v>10</v>
      </c>
      <c r="I1748">
        <v>3</v>
      </c>
      <c r="J1748">
        <v>0</v>
      </c>
      <c r="K1748" s="6" t="str">
        <f t="shared" ref="K1748" si="568">"vs "&amp;E1749</f>
        <v>vs The Bad Boys</v>
      </c>
      <c r="L1748" s="6" t="str">
        <f t="shared" ref="L1748" si="569">"vs "&amp;F1749</f>
        <v>vs Arvanitis</v>
      </c>
      <c r="M1748">
        <v>111</v>
      </c>
      <c r="N1748" s="1">
        <v>0.48699999999999999</v>
      </c>
      <c r="O1748">
        <v>32</v>
      </c>
      <c r="P1748" s="1">
        <v>0.39500000000000002</v>
      </c>
      <c r="Q1748" s="1">
        <v>0.67900000000000005</v>
      </c>
      <c r="R1748">
        <v>290</v>
      </c>
      <c r="S1748">
        <v>37</v>
      </c>
      <c r="T1748">
        <v>84</v>
      </c>
      <c r="U1748">
        <v>55</v>
      </c>
      <c r="V1748">
        <v>19</v>
      </c>
      <c r="W1748">
        <v>11</v>
      </c>
      <c r="X1748">
        <v>30</v>
      </c>
      <c r="Y1748" s="5">
        <v>1.83</v>
      </c>
    </row>
    <row r="1749" spans="1:25" x14ac:dyDescent="0.25">
      <c r="A1749">
        <v>2022</v>
      </c>
      <c r="B1749" t="s">
        <v>57</v>
      </c>
      <c r="C1749">
        <v>14</v>
      </c>
      <c r="D1749">
        <v>136</v>
      </c>
      <c r="E1749" t="s">
        <v>154</v>
      </c>
      <c r="F1749" t="s">
        <v>155</v>
      </c>
      <c r="G1749">
        <f t="shared" si="531"/>
        <v>0</v>
      </c>
      <c r="H1749">
        <v>3</v>
      </c>
      <c r="I1749">
        <v>10</v>
      </c>
      <c r="J1749">
        <v>0</v>
      </c>
      <c r="K1749" s="6" t="str">
        <f t="shared" ref="K1749" si="570">"vs "&amp;E1748</f>
        <v>vs Knights of Ni</v>
      </c>
      <c r="L1749" s="6" t="str">
        <f t="shared" ref="L1749" si="571">"vs "&amp;F1748</f>
        <v>vs Tolios</v>
      </c>
      <c r="M1749">
        <v>70</v>
      </c>
      <c r="N1749" s="1">
        <v>0.41899999999999998</v>
      </c>
      <c r="O1749">
        <v>26</v>
      </c>
      <c r="P1749" s="1">
        <v>0.32500000000000001</v>
      </c>
      <c r="Q1749" s="1">
        <v>0.83299999999999996</v>
      </c>
      <c r="R1749">
        <v>196</v>
      </c>
      <c r="S1749">
        <v>27</v>
      </c>
      <c r="T1749">
        <v>81</v>
      </c>
      <c r="U1749">
        <v>37</v>
      </c>
      <c r="V1749">
        <v>15</v>
      </c>
      <c r="W1749">
        <v>26</v>
      </c>
      <c r="X1749">
        <v>23</v>
      </c>
      <c r="Y1749" s="5">
        <v>1.61</v>
      </c>
    </row>
    <row r="1750" spans="1:25" x14ac:dyDescent="0.25">
      <c r="A1750">
        <v>2022</v>
      </c>
      <c r="B1750" t="s">
        <v>57</v>
      </c>
      <c r="C1750">
        <v>14</v>
      </c>
      <c r="D1750">
        <v>137</v>
      </c>
      <c r="E1750" t="s">
        <v>159</v>
      </c>
      <c r="F1750" t="s">
        <v>116</v>
      </c>
      <c r="G1750">
        <f t="shared" si="531"/>
        <v>0</v>
      </c>
      <c r="H1750">
        <v>5</v>
      </c>
      <c r="I1750">
        <v>7</v>
      </c>
      <c r="J1750">
        <v>1</v>
      </c>
      <c r="K1750" s="6" t="str">
        <f t="shared" ref="K1750" si="572">"vs "&amp;E1751</f>
        <v>vs st.Helens Eruptions</v>
      </c>
      <c r="L1750" s="6" t="str">
        <f t="shared" ref="L1750" si="573">"vs "&amp;F1751</f>
        <v>vs Aris</v>
      </c>
      <c r="M1750">
        <v>199</v>
      </c>
      <c r="N1750" s="1">
        <v>0.47499999999999998</v>
      </c>
      <c r="O1750">
        <v>51</v>
      </c>
      <c r="P1750" s="1">
        <v>0.34</v>
      </c>
      <c r="Q1750" s="1">
        <v>0.78900000000000003</v>
      </c>
      <c r="R1750">
        <v>535</v>
      </c>
      <c r="S1750">
        <v>73</v>
      </c>
      <c r="T1750">
        <v>198</v>
      </c>
      <c r="U1750">
        <v>141</v>
      </c>
      <c r="V1750">
        <v>37</v>
      </c>
      <c r="W1750">
        <v>12</v>
      </c>
      <c r="X1750">
        <v>66</v>
      </c>
      <c r="Y1750" s="5">
        <v>2.14</v>
      </c>
    </row>
    <row r="1751" spans="1:25" x14ac:dyDescent="0.25">
      <c r="A1751">
        <v>2022</v>
      </c>
      <c r="B1751" t="s">
        <v>57</v>
      </c>
      <c r="C1751">
        <v>14</v>
      </c>
      <c r="D1751">
        <v>137</v>
      </c>
      <c r="E1751" t="s">
        <v>21</v>
      </c>
      <c r="F1751" t="s">
        <v>50</v>
      </c>
      <c r="G1751">
        <f t="shared" si="531"/>
        <v>1</v>
      </c>
      <c r="H1751">
        <v>7</v>
      </c>
      <c r="I1751">
        <v>5</v>
      </c>
      <c r="J1751">
        <v>1</v>
      </c>
      <c r="K1751" s="6" t="str">
        <f t="shared" ref="K1751" si="574">"vs "&amp;E1750</f>
        <v>vs purple fuzzy apache pirates</v>
      </c>
      <c r="L1751" s="6" t="str">
        <f t="shared" ref="L1751" si="575">"vs "&amp;F1750</f>
        <v>vs pi/Sotiris</v>
      </c>
      <c r="M1751">
        <v>199</v>
      </c>
      <c r="N1751" s="1">
        <v>0.45600000000000002</v>
      </c>
      <c r="O1751">
        <v>52</v>
      </c>
      <c r="P1751" s="1">
        <v>0.35099999999999998</v>
      </c>
      <c r="Q1751" s="1">
        <v>0.82899999999999996</v>
      </c>
      <c r="R1751">
        <v>566</v>
      </c>
      <c r="S1751">
        <v>32</v>
      </c>
      <c r="T1751">
        <v>130</v>
      </c>
      <c r="U1751">
        <v>146</v>
      </c>
      <c r="V1751">
        <v>32</v>
      </c>
      <c r="W1751">
        <v>11</v>
      </c>
      <c r="X1751">
        <v>60</v>
      </c>
      <c r="Y1751" s="5">
        <v>2.4300000000000002</v>
      </c>
    </row>
    <row r="1752" spans="1:25" x14ac:dyDescent="0.25">
      <c r="A1752">
        <v>2022</v>
      </c>
      <c r="B1752" t="s">
        <v>57</v>
      </c>
      <c r="C1752">
        <v>14</v>
      </c>
      <c r="D1752">
        <v>138</v>
      </c>
      <c r="E1752" t="s">
        <v>23</v>
      </c>
      <c r="F1752" t="s">
        <v>120</v>
      </c>
      <c r="G1752">
        <f t="shared" si="531"/>
        <v>1</v>
      </c>
      <c r="H1752">
        <v>11</v>
      </c>
      <c r="I1752">
        <v>2</v>
      </c>
      <c r="J1752">
        <v>0</v>
      </c>
      <c r="K1752" s="6" t="str">
        <f t="shared" ref="K1752" si="576">"vs "&amp;E1753</f>
        <v>vs The Guns</v>
      </c>
      <c r="L1752" s="6" t="str">
        <f t="shared" ref="L1752" si="577">"vs "&amp;F1753</f>
        <v>vs Vasilis</v>
      </c>
      <c r="M1752">
        <v>234</v>
      </c>
      <c r="N1752" s="1">
        <v>0.48299999999999998</v>
      </c>
      <c r="O1752">
        <v>49</v>
      </c>
      <c r="P1752" s="1">
        <v>0.32700000000000001</v>
      </c>
      <c r="Q1752" s="1">
        <v>0.78800000000000003</v>
      </c>
      <c r="R1752">
        <v>606</v>
      </c>
      <c r="S1752">
        <v>39</v>
      </c>
      <c r="T1752">
        <v>167</v>
      </c>
      <c r="U1752">
        <v>144</v>
      </c>
      <c r="V1752">
        <v>40</v>
      </c>
      <c r="W1752">
        <v>24</v>
      </c>
      <c r="X1752">
        <v>71</v>
      </c>
      <c r="Y1752" s="5">
        <v>2.0299999999999998</v>
      </c>
    </row>
    <row r="1753" spans="1:25" x14ac:dyDescent="0.25">
      <c r="A1753">
        <v>2022</v>
      </c>
      <c r="B1753" t="s">
        <v>57</v>
      </c>
      <c r="C1753">
        <v>14</v>
      </c>
      <c r="D1753">
        <v>138</v>
      </c>
      <c r="E1753" t="s">
        <v>33</v>
      </c>
      <c r="F1753" t="s">
        <v>42</v>
      </c>
      <c r="G1753">
        <f t="shared" si="531"/>
        <v>0</v>
      </c>
      <c r="H1753">
        <v>2</v>
      </c>
      <c r="I1753">
        <v>11</v>
      </c>
      <c r="J1753">
        <v>0</v>
      </c>
      <c r="K1753" s="6" t="str">
        <f t="shared" ref="K1753" si="578">"vs "&amp;E1752</f>
        <v>vs Pachiana NinjaBees</v>
      </c>
      <c r="L1753" s="6" t="str">
        <f t="shared" ref="L1753" si="579">"vs "&amp;F1752</f>
        <v>vs Spiridaus/Oladipas</v>
      </c>
      <c r="M1753">
        <v>182</v>
      </c>
      <c r="N1753" s="1">
        <v>0.44500000000000001</v>
      </c>
      <c r="O1753">
        <v>60</v>
      </c>
      <c r="P1753" s="1">
        <v>0.32600000000000001</v>
      </c>
      <c r="Q1753" s="1">
        <v>0.75900000000000001</v>
      </c>
      <c r="R1753">
        <v>509</v>
      </c>
      <c r="S1753">
        <v>25</v>
      </c>
      <c r="T1753">
        <v>133</v>
      </c>
      <c r="U1753">
        <v>109</v>
      </c>
      <c r="V1753">
        <v>20</v>
      </c>
      <c r="W1753">
        <v>13</v>
      </c>
      <c r="X1753">
        <v>59</v>
      </c>
      <c r="Y1753" s="5">
        <v>1.85</v>
      </c>
    </row>
    <row r="1754" spans="1:25" x14ac:dyDescent="0.25">
      <c r="A1754">
        <v>2022</v>
      </c>
      <c r="B1754" t="s">
        <v>57</v>
      </c>
      <c r="C1754">
        <v>14</v>
      </c>
      <c r="D1754">
        <v>139</v>
      </c>
      <c r="E1754" t="s">
        <v>17</v>
      </c>
      <c r="F1754" t="s">
        <v>43</v>
      </c>
      <c r="G1754">
        <f t="shared" si="531"/>
        <v>0</v>
      </c>
      <c r="H1754">
        <v>6</v>
      </c>
      <c r="I1754">
        <v>7</v>
      </c>
      <c r="J1754">
        <v>0</v>
      </c>
      <c r="K1754" s="6" t="str">
        <f t="shared" ref="K1754" si="580">"vs "&amp;E1755</f>
        <v>vs Tsarlatans</v>
      </c>
      <c r="L1754" s="6" t="str">
        <f t="shared" ref="L1754" si="581">"vs "&amp;F1755</f>
        <v>vs Tzokos</v>
      </c>
      <c r="M1754">
        <v>164</v>
      </c>
      <c r="N1754" s="1">
        <v>0.495</v>
      </c>
      <c r="O1754">
        <v>28</v>
      </c>
      <c r="P1754" s="1">
        <v>0.32600000000000001</v>
      </c>
      <c r="Q1754" s="1">
        <v>0.81</v>
      </c>
      <c r="R1754">
        <v>424</v>
      </c>
      <c r="S1754">
        <v>50</v>
      </c>
      <c r="T1754">
        <v>107</v>
      </c>
      <c r="U1754">
        <v>81</v>
      </c>
      <c r="V1754">
        <v>18</v>
      </c>
      <c r="W1754">
        <v>24</v>
      </c>
      <c r="X1754">
        <v>50</v>
      </c>
      <c r="Y1754" s="5">
        <v>1.62</v>
      </c>
    </row>
    <row r="1755" spans="1:25" x14ac:dyDescent="0.25">
      <c r="A1755">
        <v>2022</v>
      </c>
      <c r="B1755" t="s">
        <v>57</v>
      </c>
      <c r="C1755">
        <v>14</v>
      </c>
      <c r="D1755">
        <v>139</v>
      </c>
      <c r="E1755" t="s">
        <v>99</v>
      </c>
      <c r="F1755" t="s">
        <v>45</v>
      </c>
      <c r="G1755">
        <f t="shared" si="531"/>
        <v>1</v>
      </c>
      <c r="H1755">
        <v>7</v>
      </c>
      <c r="I1755">
        <v>6</v>
      </c>
      <c r="J1755">
        <v>0</v>
      </c>
      <c r="K1755" s="6" t="str">
        <f t="shared" ref="K1755" si="582">"vs "&amp;E1754</f>
        <v>vs Donkey Rolls</v>
      </c>
      <c r="L1755" s="6" t="str">
        <f t="shared" ref="L1755" si="583">"vs "&amp;F1754</f>
        <v>vs Markos</v>
      </c>
      <c r="M1755">
        <v>154</v>
      </c>
      <c r="N1755" s="1">
        <v>0.44800000000000001</v>
      </c>
      <c r="O1755">
        <v>51</v>
      </c>
      <c r="P1755" s="1">
        <v>0.34499999999999997</v>
      </c>
      <c r="Q1755" s="1">
        <v>0.80200000000000005</v>
      </c>
      <c r="R1755">
        <v>448</v>
      </c>
      <c r="S1755">
        <v>42</v>
      </c>
      <c r="T1755">
        <v>115</v>
      </c>
      <c r="U1755">
        <v>165</v>
      </c>
      <c r="V1755">
        <v>29</v>
      </c>
      <c r="W1755">
        <v>16</v>
      </c>
      <c r="X1755">
        <v>66</v>
      </c>
      <c r="Y1755" s="5">
        <v>2.5</v>
      </c>
    </row>
    <row r="1756" spans="1:25" x14ac:dyDescent="0.25">
      <c r="A1756">
        <v>2022</v>
      </c>
      <c r="B1756" t="s">
        <v>57</v>
      </c>
      <c r="C1756">
        <v>14</v>
      </c>
      <c r="D1756">
        <v>140</v>
      </c>
      <c r="E1756" t="s">
        <v>16</v>
      </c>
      <c r="F1756" t="s">
        <v>51</v>
      </c>
      <c r="G1756">
        <f t="shared" si="531"/>
        <v>1</v>
      </c>
      <c r="H1756">
        <v>10</v>
      </c>
      <c r="I1756">
        <v>3</v>
      </c>
      <c r="J1756">
        <v>0</v>
      </c>
      <c r="K1756" s="6" t="str">
        <f t="shared" ref="K1756" si="584">"vs "&amp;E1757</f>
        <v>vs Salonika Devils</v>
      </c>
      <c r="L1756" s="6" t="str">
        <f t="shared" ref="L1756" si="585">"vs "&amp;F1757</f>
        <v>vs Fountos</v>
      </c>
      <c r="M1756">
        <v>163</v>
      </c>
      <c r="N1756" s="1">
        <v>0.41499999999999998</v>
      </c>
      <c r="O1756">
        <v>47</v>
      </c>
      <c r="P1756" s="1">
        <v>0.29699999999999999</v>
      </c>
      <c r="Q1756" s="1">
        <v>0.79500000000000004</v>
      </c>
      <c r="R1756">
        <v>470</v>
      </c>
      <c r="S1756">
        <v>32</v>
      </c>
      <c r="T1756">
        <v>137</v>
      </c>
      <c r="U1756">
        <v>156</v>
      </c>
      <c r="V1756">
        <v>26</v>
      </c>
      <c r="W1756">
        <v>25</v>
      </c>
      <c r="X1756">
        <v>68</v>
      </c>
      <c r="Y1756" s="5">
        <v>2.29</v>
      </c>
    </row>
    <row r="1757" spans="1:25" x14ac:dyDescent="0.25">
      <c r="A1757">
        <v>2022</v>
      </c>
      <c r="B1757" t="s">
        <v>57</v>
      </c>
      <c r="C1757">
        <v>14</v>
      </c>
      <c r="D1757">
        <v>140</v>
      </c>
      <c r="E1757" t="s">
        <v>15</v>
      </c>
      <c r="F1757" t="s">
        <v>48</v>
      </c>
      <c r="G1757">
        <f t="shared" si="531"/>
        <v>0</v>
      </c>
      <c r="H1757">
        <v>3</v>
      </c>
      <c r="I1757">
        <v>10</v>
      </c>
      <c r="J1757">
        <v>0</v>
      </c>
      <c r="K1757" s="6" t="str">
        <f t="shared" ref="K1757" si="586">"vs "&amp;E1756</f>
        <v>vs The Bridgeburners</v>
      </c>
      <c r="L1757" s="6" t="str">
        <f t="shared" ref="L1757" si="587">"vs "&amp;F1756</f>
        <v>vs Fanis</v>
      </c>
      <c r="M1757">
        <v>116</v>
      </c>
      <c r="N1757" s="1">
        <v>0.47</v>
      </c>
      <c r="O1757">
        <v>26</v>
      </c>
      <c r="P1757" s="1">
        <v>0.34699999999999998</v>
      </c>
      <c r="Q1757" s="1">
        <v>0.71</v>
      </c>
      <c r="R1757">
        <v>307</v>
      </c>
      <c r="S1757">
        <v>23</v>
      </c>
      <c r="T1757">
        <v>98</v>
      </c>
      <c r="U1757">
        <v>50</v>
      </c>
      <c r="V1757">
        <v>18</v>
      </c>
      <c r="W1757">
        <v>21</v>
      </c>
      <c r="X1757">
        <v>32</v>
      </c>
      <c r="Y1757" s="5">
        <v>1.56</v>
      </c>
    </row>
    <row r="1758" spans="1:25" x14ac:dyDescent="0.25">
      <c r="A1758">
        <v>2022</v>
      </c>
      <c r="B1758" t="s">
        <v>57</v>
      </c>
      <c r="C1758">
        <v>15</v>
      </c>
      <c r="D1758">
        <v>141</v>
      </c>
      <c r="E1758" t="s">
        <v>181</v>
      </c>
      <c r="F1758" t="s">
        <v>49</v>
      </c>
      <c r="G1758">
        <f t="shared" si="531"/>
        <v>0</v>
      </c>
      <c r="H1758">
        <v>3</v>
      </c>
      <c r="I1758">
        <v>8</v>
      </c>
      <c r="J1758">
        <v>2</v>
      </c>
      <c r="K1758" s="6" t="str">
        <f t="shared" ref="K1758" si="588">"vs "&amp;E1759</f>
        <v>vs Baltimore Hercules</v>
      </c>
      <c r="L1758" s="6" t="str">
        <f t="shared" ref="L1758" si="589">"vs "&amp;F1759</f>
        <v>vs Sarantos</v>
      </c>
      <c r="M1758">
        <v>172</v>
      </c>
      <c r="N1758" s="1">
        <v>0.46600000000000003</v>
      </c>
      <c r="O1758">
        <v>61</v>
      </c>
      <c r="P1758" s="1">
        <v>0.35699999999999998</v>
      </c>
      <c r="Q1758" s="1">
        <v>0.74299999999999999</v>
      </c>
      <c r="R1758">
        <v>460</v>
      </c>
      <c r="S1758">
        <v>41</v>
      </c>
      <c r="T1758">
        <v>125</v>
      </c>
      <c r="U1758">
        <v>106</v>
      </c>
      <c r="V1758">
        <v>28</v>
      </c>
      <c r="W1758">
        <v>16</v>
      </c>
      <c r="X1758">
        <v>56</v>
      </c>
      <c r="Y1758" s="5">
        <v>1.89</v>
      </c>
    </row>
    <row r="1759" spans="1:25" x14ac:dyDescent="0.25">
      <c r="A1759">
        <v>2022</v>
      </c>
      <c r="B1759" t="s">
        <v>57</v>
      </c>
      <c r="C1759">
        <v>15</v>
      </c>
      <c r="D1759">
        <v>141</v>
      </c>
      <c r="E1759" t="s">
        <v>95</v>
      </c>
      <c r="F1759" t="s">
        <v>101</v>
      </c>
      <c r="G1759">
        <f t="shared" si="531"/>
        <v>1</v>
      </c>
      <c r="H1759">
        <v>8</v>
      </c>
      <c r="I1759">
        <v>3</v>
      </c>
      <c r="J1759">
        <v>2</v>
      </c>
      <c r="K1759" s="6" t="str">
        <f t="shared" ref="K1759" si="590">"vs "&amp;E1758</f>
        <v>vs Samarina Dudenbros</v>
      </c>
      <c r="L1759" s="6" t="str">
        <f t="shared" ref="L1759" si="591">"vs "&amp;F1758</f>
        <v>vs Sakellariou</v>
      </c>
      <c r="M1759">
        <v>172</v>
      </c>
      <c r="N1759" s="1">
        <v>0.45500000000000002</v>
      </c>
      <c r="O1759">
        <v>61</v>
      </c>
      <c r="P1759" s="1">
        <v>0.33500000000000002</v>
      </c>
      <c r="Q1759" s="1">
        <v>0.874</v>
      </c>
      <c r="R1759">
        <v>495</v>
      </c>
      <c r="S1759">
        <v>38</v>
      </c>
      <c r="T1759">
        <v>128</v>
      </c>
      <c r="U1759">
        <v>113</v>
      </c>
      <c r="V1759">
        <v>29</v>
      </c>
      <c r="W1759">
        <v>20</v>
      </c>
      <c r="X1759">
        <v>37</v>
      </c>
      <c r="Y1759" s="5">
        <v>3.05</v>
      </c>
    </row>
    <row r="1760" spans="1:25" x14ac:dyDescent="0.25">
      <c r="A1760">
        <v>2022</v>
      </c>
      <c r="B1760" t="s">
        <v>57</v>
      </c>
      <c r="C1760">
        <v>15</v>
      </c>
      <c r="D1760">
        <v>142</v>
      </c>
      <c r="E1760" t="s">
        <v>154</v>
      </c>
      <c r="F1760" t="s">
        <v>155</v>
      </c>
      <c r="G1760">
        <f t="shared" si="531"/>
        <v>0</v>
      </c>
      <c r="H1760">
        <v>3</v>
      </c>
      <c r="I1760">
        <v>9</v>
      </c>
      <c r="J1760">
        <v>1</v>
      </c>
      <c r="K1760" s="6" t="str">
        <f t="shared" ref="K1760" si="592">"vs "&amp;E1761</f>
        <v>vs Underdogs</v>
      </c>
      <c r="L1760" s="6" t="str">
        <f t="shared" ref="L1760" si="593">"vs "&amp;F1761</f>
        <v>vs Nonis</v>
      </c>
      <c r="M1760">
        <v>95</v>
      </c>
      <c r="N1760" s="1">
        <v>0.51400000000000001</v>
      </c>
      <c r="O1760">
        <v>35</v>
      </c>
      <c r="P1760" s="1">
        <v>0.39300000000000002</v>
      </c>
      <c r="Q1760" s="1">
        <v>0.75</v>
      </c>
      <c r="R1760">
        <v>246</v>
      </c>
      <c r="S1760">
        <v>21</v>
      </c>
      <c r="T1760">
        <v>71</v>
      </c>
      <c r="U1760">
        <v>37</v>
      </c>
      <c r="V1760">
        <v>13</v>
      </c>
      <c r="W1760">
        <v>10</v>
      </c>
      <c r="X1760">
        <v>32</v>
      </c>
      <c r="Y1760" s="5">
        <v>1.1599999999999999</v>
      </c>
    </row>
    <row r="1761" spans="1:25" x14ac:dyDescent="0.25">
      <c r="A1761">
        <v>2022</v>
      </c>
      <c r="B1761" t="s">
        <v>57</v>
      </c>
      <c r="C1761">
        <v>15</v>
      </c>
      <c r="D1761">
        <v>142</v>
      </c>
      <c r="E1761" t="s">
        <v>97</v>
      </c>
      <c r="F1761" t="s">
        <v>54</v>
      </c>
      <c r="G1761">
        <f t="shared" si="531"/>
        <v>1</v>
      </c>
      <c r="H1761">
        <v>9</v>
      </c>
      <c r="I1761">
        <v>3</v>
      </c>
      <c r="J1761">
        <v>1</v>
      </c>
      <c r="K1761" s="6" t="str">
        <f t="shared" ref="K1761" si="594">"vs "&amp;E1760</f>
        <v>vs The Bad Boys</v>
      </c>
      <c r="L1761" s="6" t="str">
        <f t="shared" ref="L1761" si="595">"vs "&amp;F1760</f>
        <v>vs Arvanitis</v>
      </c>
      <c r="M1761">
        <v>133</v>
      </c>
      <c r="N1761" s="1">
        <v>0.42899999999999999</v>
      </c>
      <c r="O1761">
        <v>35</v>
      </c>
      <c r="P1761" s="1">
        <v>0.30199999999999999</v>
      </c>
      <c r="Q1761" s="1">
        <v>0.79</v>
      </c>
      <c r="R1761">
        <v>425</v>
      </c>
      <c r="S1761">
        <v>25</v>
      </c>
      <c r="T1761">
        <v>110</v>
      </c>
      <c r="U1761">
        <v>111</v>
      </c>
      <c r="V1761">
        <v>16</v>
      </c>
      <c r="W1761">
        <v>11</v>
      </c>
      <c r="X1761">
        <v>55</v>
      </c>
      <c r="Y1761" s="5">
        <v>2.02</v>
      </c>
    </row>
    <row r="1762" spans="1:25" x14ac:dyDescent="0.25">
      <c r="A1762">
        <v>2022</v>
      </c>
      <c r="B1762" t="s">
        <v>57</v>
      </c>
      <c r="C1762">
        <v>15</v>
      </c>
      <c r="D1762">
        <v>143</v>
      </c>
      <c r="E1762" t="s">
        <v>190</v>
      </c>
      <c r="F1762" t="s">
        <v>103</v>
      </c>
      <c r="G1762">
        <f t="shared" si="531"/>
        <v>1</v>
      </c>
      <c r="H1762">
        <v>7</v>
      </c>
      <c r="I1762">
        <v>6</v>
      </c>
      <c r="J1762">
        <v>0</v>
      </c>
      <c r="K1762" s="6" t="str">
        <f t="shared" ref="K1762" si="596">"vs "&amp;E1763</f>
        <v>vs The Bridgeburners</v>
      </c>
      <c r="L1762" s="6" t="str">
        <f t="shared" ref="L1762" si="597">"vs "&amp;F1763</f>
        <v>vs Fanis</v>
      </c>
      <c r="M1762">
        <v>172</v>
      </c>
      <c r="N1762" s="1">
        <v>0.49299999999999999</v>
      </c>
      <c r="O1762">
        <v>45</v>
      </c>
      <c r="P1762" s="1">
        <v>0.36299999999999999</v>
      </c>
      <c r="Q1762" s="1">
        <v>0.75800000000000001</v>
      </c>
      <c r="R1762">
        <v>461</v>
      </c>
      <c r="S1762">
        <v>44</v>
      </c>
      <c r="T1762">
        <v>142</v>
      </c>
      <c r="U1762">
        <v>107</v>
      </c>
      <c r="V1762">
        <v>34</v>
      </c>
      <c r="W1762">
        <v>32</v>
      </c>
      <c r="X1762">
        <v>47</v>
      </c>
      <c r="Y1762" s="5">
        <v>2.2799999999999998</v>
      </c>
    </row>
    <row r="1763" spans="1:25" x14ac:dyDescent="0.25">
      <c r="A1763">
        <v>2022</v>
      </c>
      <c r="B1763" t="s">
        <v>57</v>
      </c>
      <c r="C1763">
        <v>15</v>
      </c>
      <c r="D1763">
        <v>143</v>
      </c>
      <c r="E1763" t="s">
        <v>16</v>
      </c>
      <c r="F1763" t="s">
        <v>51</v>
      </c>
      <c r="G1763">
        <f t="shared" si="531"/>
        <v>0</v>
      </c>
      <c r="H1763">
        <v>6</v>
      </c>
      <c r="I1763">
        <v>7</v>
      </c>
      <c r="J1763">
        <v>0</v>
      </c>
      <c r="K1763" s="6" t="str">
        <f t="shared" ref="K1763" si="598">"vs "&amp;E1762</f>
        <v>vs Karafli SaiTa</v>
      </c>
      <c r="L1763" s="6" t="str">
        <f t="shared" ref="L1763" si="599">"vs "&amp;F1762</f>
        <v>vs Tassos</v>
      </c>
      <c r="M1763">
        <v>177</v>
      </c>
      <c r="N1763" s="1">
        <v>0.48899999999999999</v>
      </c>
      <c r="O1763">
        <v>51</v>
      </c>
      <c r="P1763" s="1">
        <v>0.35899999999999999</v>
      </c>
      <c r="Q1763" s="1">
        <v>0.75700000000000001</v>
      </c>
      <c r="R1763">
        <v>489</v>
      </c>
      <c r="S1763">
        <v>27</v>
      </c>
      <c r="T1763">
        <v>144</v>
      </c>
      <c r="U1763">
        <v>147</v>
      </c>
      <c r="V1763">
        <v>28</v>
      </c>
      <c r="W1763">
        <v>23</v>
      </c>
      <c r="X1763">
        <v>51</v>
      </c>
      <c r="Y1763" s="5">
        <v>2.88</v>
      </c>
    </row>
    <row r="1764" spans="1:25" x14ac:dyDescent="0.25">
      <c r="A1764">
        <v>2022</v>
      </c>
      <c r="B1764" t="s">
        <v>57</v>
      </c>
      <c r="C1764">
        <v>15</v>
      </c>
      <c r="D1764">
        <v>144</v>
      </c>
      <c r="E1764" t="s">
        <v>96</v>
      </c>
      <c r="F1764" t="s">
        <v>102</v>
      </c>
      <c r="G1764">
        <f t="shared" si="531"/>
        <v>0</v>
      </c>
      <c r="H1764">
        <v>2</v>
      </c>
      <c r="I1764">
        <v>11</v>
      </c>
      <c r="J1764">
        <v>0</v>
      </c>
      <c r="K1764" s="6" t="str">
        <f t="shared" ref="K1764" si="600">"vs "&amp;E1765</f>
        <v>vs Steven Adams' Moustache</v>
      </c>
      <c r="L1764" s="6" t="str">
        <f t="shared" ref="L1764" si="601">"vs "&amp;F1765</f>
        <v>vs Johnny</v>
      </c>
      <c r="M1764">
        <v>85</v>
      </c>
      <c r="N1764" s="1">
        <v>0.43099999999999999</v>
      </c>
      <c r="O1764">
        <v>23</v>
      </c>
      <c r="P1764" s="1">
        <v>0.32900000000000001</v>
      </c>
      <c r="Q1764" s="1">
        <v>0.71899999999999997</v>
      </c>
      <c r="R1764">
        <v>216</v>
      </c>
      <c r="S1764">
        <v>35</v>
      </c>
      <c r="T1764">
        <v>85</v>
      </c>
      <c r="U1764">
        <v>47</v>
      </c>
      <c r="V1764">
        <v>15</v>
      </c>
      <c r="W1764">
        <v>13</v>
      </c>
      <c r="X1764">
        <v>27</v>
      </c>
      <c r="Y1764" s="5">
        <v>1.74</v>
      </c>
    </row>
    <row r="1765" spans="1:25" x14ac:dyDescent="0.25">
      <c r="A1765">
        <v>2022</v>
      </c>
      <c r="B1765" t="s">
        <v>57</v>
      </c>
      <c r="C1765">
        <v>15</v>
      </c>
      <c r="D1765">
        <v>144</v>
      </c>
      <c r="E1765" t="s">
        <v>28</v>
      </c>
      <c r="F1765" t="s">
        <v>46</v>
      </c>
      <c r="G1765">
        <f t="shared" si="531"/>
        <v>1</v>
      </c>
      <c r="H1765">
        <v>11</v>
      </c>
      <c r="I1765">
        <v>2</v>
      </c>
      <c r="J1765">
        <v>0</v>
      </c>
      <c r="K1765" s="6" t="str">
        <f t="shared" ref="K1765" si="602">"vs "&amp;E1764</f>
        <v>vs Knights of Ni</v>
      </c>
      <c r="L1765" s="6" t="str">
        <f t="shared" ref="L1765" si="603">"vs "&amp;F1764</f>
        <v>vs Tolios</v>
      </c>
      <c r="M1765">
        <v>242</v>
      </c>
      <c r="N1765" s="1">
        <v>0.54100000000000004</v>
      </c>
      <c r="O1765">
        <v>56</v>
      </c>
      <c r="P1765" s="1">
        <v>0.42699999999999999</v>
      </c>
      <c r="Q1765" s="1">
        <v>0.66300000000000003</v>
      </c>
      <c r="R1765">
        <v>609</v>
      </c>
      <c r="S1765">
        <v>67</v>
      </c>
      <c r="T1765">
        <v>207</v>
      </c>
      <c r="U1765">
        <v>161</v>
      </c>
      <c r="V1765">
        <v>31</v>
      </c>
      <c r="W1765">
        <v>25</v>
      </c>
      <c r="X1765">
        <v>74</v>
      </c>
      <c r="Y1765" s="5">
        <v>2.1800000000000002</v>
      </c>
    </row>
    <row r="1766" spans="1:25" x14ac:dyDescent="0.25">
      <c r="A1766">
        <v>2022</v>
      </c>
      <c r="B1766" t="s">
        <v>57</v>
      </c>
      <c r="C1766">
        <v>15</v>
      </c>
      <c r="D1766">
        <v>145</v>
      </c>
      <c r="E1766" t="s">
        <v>26</v>
      </c>
      <c r="F1766" t="s">
        <v>118</v>
      </c>
      <c r="G1766">
        <f t="shared" si="531"/>
        <v>0</v>
      </c>
      <c r="H1766">
        <v>3</v>
      </c>
      <c r="I1766">
        <v>10</v>
      </c>
      <c r="J1766">
        <v>0</v>
      </c>
      <c r="K1766" s="6" t="str">
        <f t="shared" ref="K1766" si="604">"vs "&amp;E1767</f>
        <v>vs Pachiana NinjaBees</v>
      </c>
      <c r="L1766" s="6" t="str">
        <f t="shared" ref="L1766" si="605">"vs "&amp;F1767</f>
        <v>vs Spiridaus/Oladipas</v>
      </c>
      <c r="M1766">
        <v>131</v>
      </c>
      <c r="N1766" s="1">
        <v>0.48</v>
      </c>
      <c r="O1766">
        <v>38</v>
      </c>
      <c r="P1766" s="1">
        <v>0.36899999999999999</v>
      </c>
      <c r="Q1766" s="1">
        <v>0.70799999999999996</v>
      </c>
      <c r="R1766">
        <v>346</v>
      </c>
      <c r="S1766">
        <v>21</v>
      </c>
      <c r="T1766">
        <v>113</v>
      </c>
      <c r="U1766">
        <v>91</v>
      </c>
      <c r="V1766">
        <v>25</v>
      </c>
      <c r="W1766">
        <v>8</v>
      </c>
      <c r="X1766">
        <v>57</v>
      </c>
      <c r="Y1766" s="5">
        <v>1.6</v>
      </c>
    </row>
    <row r="1767" spans="1:25" x14ac:dyDescent="0.25">
      <c r="A1767">
        <v>2022</v>
      </c>
      <c r="B1767" t="s">
        <v>57</v>
      </c>
      <c r="C1767">
        <v>15</v>
      </c>
      <c r="D1767">
        <v>145</v>
      </c>
      <c r="E1767" t="s">
        <v>23</v>
      </c>
      <c r="F1767" t="s">
        <v>120</v>
      </c>
      <c r="G1767">
        <f t="shared" si="531"/>
        <v>1</v>
      </c>
      <c r="H1767">
        <v>10</v>
      </c>
      <c r="I1767">
        <v>3</v>
      </c>
      <c r="J1767">
        <v>0</v>
      </c>
      <c r="K1767" s="6" t="str">
        <f t="shared" ref="K1767" si="606">"vs "&amp;E1766</f>
        <v>vs Kourayo Vallecano</v>
      </c>
      <c r="L1767" s="6" t="str">
        <f t="shared" ref="L1767" si="607">"vs "&amp;F1766</f>
        <v>vs Ziogas/Christof</v>
      </c>
      <c r="M1767">
        <v>200</v>
      </c>
      <c r="N1767" s="1">
        <v>0.45500000000000002</v>
      </c>
      <c r="O1767">
        <v>53</v>
      </c>
      <c r="P1767" s="1">
        <v>0.36099999999999999</v>
      </c>
      <c r="Q1767" s="1">
        <v>0.84499999999999997</v>
      </c>
      <c r="R1767">
        <v>551</v>
      </c>
      <c r="S1767">
        <v>41</v>
      </c>
      <c r="T1767">
        <v>158</v>
      </c>
      <c r="U1767">
        <v>120</v>
      </c>
      <c r="V1767">
        <v>35</v>
      </c>
      <c r="W1767">
        <v>21</v>
      </c>
      <c r="X1767">
        <v>67</v>
      </c>
      <c r="Y1767" s="5">
        <v>1.79</v>
      </c>
    </row>
    <row r="1768" spans="1:25" x14ac:dyDescent="0.25">
      <c r="A1768">
        <v>2022</v>
      </c>
      <c r="B1768" t="s">
        <v>57</v>
      </c>
      <c r="C1768">
        <v>15</v>
      </c>
      <c r="D1768">
        <v>146</v>
      </c>
      <c r="E1768" t="s">
        <v>93</v>
      </c>
      <c r="F1768" t="s">
        <v>189</v>
      </c>
      <c r="G1768">
        <f t="shared" si="531"/>
        <v>0</v>
      </c>
      <c r="H1768">
        <v>5</v>
      </c>
      <c r="I1768">
        <v>8</v>
      </c>
      <c r="J1768">
        <v>0</v>
      </c>
      <c r="K1768" s="6" t="str">
        <f t="shared" ref="K1768" si="608">"vs "&amp;E1769</f>
        <v>vs Salonika Devils</v>
      </c>
      <c r="L1768" s="6" t="str">
        <f t="shared" ref="L1768" si="609">"vs "&amp;F1769</f>
        <v>vs Fountos</v>
      </c>
      <c r="M1768">
        <v>94</v>
      </c>
      <c r="N1768" s="1">
        <v>0.437</v>
      </c>
      <c r="O1768">
        <v>25</v>
      </c>
      <c r="P1768" s="1">
        <v>0.29099999999999998</v>
      </c>
      <c r="Q1768" s="1">
        <v>0.82399999999999995</v>
      </c>
      <c r="R1768">
        <v>274</v>
      </c>
      <c r="S1768">
        <v>30</v>
      </c>
      <c r="T1768">
        <v>83</v>
      </c>
      <c r="U1768">
        <v>43</v>
      </c>
      <c r="V1768">
        <v>17</v>
      </c>
      <c r="W1768">
        <v>22</v>
      </c>
      <c r="X1768">
        <v>27</v>
      </c>
      <c r="Y1768" s="5">
        <v>1.59</v>
      </c>
    </row>
    <row r="1769" spans="1:25" x14ac:dyDescent="0.25">
      <c r="A1769">
        <v>2022</v>
      </c>
      <c r="B1769" t="s">
        <v>57</v>
      </c>
      <c r="C1769">
        <v>15</v>
      </c>
      <c r="D1769">
        <v>146</v>
      </c>
      <c r="E1769" t="s">
        <v>15</v>
      </c>
      <c r="F1769" t="s">
        <v>48</v>
      </c>
      <c r="G1769">
        <f t="shared" si="531"/>
        <v>1</v>
      </c>
      <c r="H1769">
        <v>8</v>
      </c>
      <c r="I1769">
        <v>5</v>
      </c>
      <c r="J1769">
        <v>0</v>
      </c>
      <c r="K1769" s="6" t="str">
        <f t="shared" ref="K1769" si="610">"vs "&amp;E1768</f>
        <v>vs Guruuu 🐐🐐🐐</v>
      </c>
      <c r="L1769" s="6" t="str">
        <f t="shared" ref="L1769" si="611">"vs "&amp;F1768</f>
        <v>vs Guru</v>
      </c>
      <c r="M1769">
        <v>122</v>
      </c>
      <c r="N1769" s="1">
        <v>0.49</v>
      </c>
      <c r="O1769">
        <v>29</v>
      </c>
      <c r="P1769" s="1">
        <v>0.377</v>
      </c>
      <c r="Q1769" s="1">
        <v>0.77600000000000002</v>
      </c>
      <c r="R1769">
        <v>318</v>
      </c>
      <c r="S1769">
        <v>23</v>
      </c>
      <c r="T1769">
        <v>87</v>
      </c>
      <c r="U1769">
        <v>56</v>
      </c>
      <c r="V1769">
        <v>16</v>
      </c>
      <c r="W1769">
        <v>8</v>
      </c>
      <c r="X1769">
        <v>31</v>
      </c>
      <c r="Y1769" s="5">
        <v>1.81</v>
      </c>
    </row>
    <row r="1770" spans="1:25" x14ac:dyDescent="0.25">
      <c r="A1770">
        <v>2022</v>
      </c>
      <c r="B1770" t="s">
        <v>57</v>
      </c>
      <c r="C1770">
        <v>15</v>
      </c>
      <c r="D1770">
        <v>147</v>
      </c>
      <c r="E1770" t="s">
        <v>98</v>
      </c>
      <c r="F1770" t="s">
        <v>41</v>
      </c>
      <c r="G1770">
        <f t="shared" si="531"/>
        <v>1</v>
      </c>
      <c r="H1770">
        <v>9</v>
      </c>
      <c r="I1770">
        <v>3</v>
      </c>
      <c r="J1770">
        <v>1</v>
      </c>
      <c r="K1770" s="6" t="str">
        <f t="shared" ref="K1770" si="612">"vs "&amp;E1771</f>
        <v>vs The Guns</v>
      </c>
      <c r="L1770" s="6" t="str">
        <f t="shared" ref="L1770" si="613">"vs "&amp;F1771</f>
        <v>vs Vasilis</v>
      </c>
      <c r="M1770">
        <v>167</v>
      </c>
      <c r="N1770" s="1">
        <v>0.45800000000000002</v>
      </c>
      <c r="O1770">
        <v>45</v>
      </c>
      <c r="P1770" s="1">
        <v>0.32800000000000001</v>
      </c>
      <c r="Q1770" s="1">
        <v>0.73599999999999999</v>
      </c>
      <c r="R1770">
        <v>443</v>
      </c>
      <c r="S1770">
        <v>41</v>
      </c>
      <c r="T1770">
        <v>118</v>
      </c>
      <c r="U1770">
        <v>85</v>
      </c>
      <c r="V1770">
        <v>29</v>
      </c>
      <c r="W1770">
        <v>13</v>
      </c>
      <c r="X1770">
        <v>36</v>
      </c>
      <c r="Y1770" s="5">
        <v>2.36</v>
      </c>
    </row>
    <row r="1771" spans="1:25" x14ac:dyDescent="0.25">
      <c r="A1771">
        <v>2022</v>
      </c>
      <c r="B1771" t="s">
        <v>57</v>
      </c>
      <c r="C1771">
        <v>15</v>
      </c>
      <c r="D1771">
        <v>147</v>
      </c>
      <c r="E1771" t="s">
        <v>33</v>
      </c>
      <c r="F1771" t="s">
        <v>42</v>
      </c>
      <c r="G1771">
        <f t="shared" si="531"/>
        <v>0</v>
      </c>
      <c r="H1771">
        <v>3</v>
      </c>
      <c r="I1771">
        <v>9</v>
      </c>
      <c r="J1771">
        <v>1</v>
      </c>
      <c r="K1771" s="6" t="str">
        <f t="shared" ref="K1771" si="614">"vs "&amp;E1770</f>
        <v>vs Xanthi Ducks 🦆</v>
      </c>
      <c r="L1771" s="6" t="str">
        <f t="shared" ref="L1771" si="615">"vs "&amp;F1770</f>
        <v>vs Kotakis</v>
      </c>
      <c r="M1771">
        <v>136</v>
      </c>
      <c r="N1771" s="1">
        <v>0.44700000000000001</v>
      </c>
      <c r="O1771">
        <v>48</v>
      </c>
      <c r="P1771" s="1">
        <v>0.33300000000000002</v>
      </c>
      <c r="Q1771" s="1">
        <v>0.84299999999999997</v>
      </c>
      <c r="R1771">
        <v>406</v>
      </c>
      <c r="S1771">
        <v>28</v>
      </c>
      <c r="T1771">
        <v>111</v>
      </c>
      <c r="U1771">
        <v>72</v>
      </c>
      <c r="V1771">
        <v>25</v>
      </c>
      <c r="W1771">
        <v>13</v>
      </c>
      <c r="X1771">
        <v>47</v>
      </c>
      <c r="Y1771" s="5">
        <v>1.53</v>
      </c>
    </row>
    <row r="1772" spans="1:25" x14ac:dyDescent="0.25">
      <c r="A1772">
        <v>2022</v>
      </c>
      <c r="B1772" t="s">
        <v>57</v>
      </c>
      <c r="C1772">
        <v>15</v>
      </c>
      <c r="D1772">
        <v>148</v>
      </c>
      <c r="E1772" t="s">
        <v>159</v>
      </c>
      <c r="F1772" t="s">
        <v>116</v>
      </c>
      <c r="G1772">
        <f t="shared" si="531"/>
        <v>1</v>
      </c>
      <c r="H1772">
        <v>7</v>
      </c>
      <c r="I1772">
        <v>6</v>
      </c>
      <c r="J1772">
        <v>0</v>
      </c>
      <c r="K1772" s="6" t="str">
        <f t="shared" ref="K1772" si="616">"vs "&amp;E1773</f>
        <v>vs Donkey Rolls</v>
      </c>
      <c r="L1772" s="6" t="str">
        <f t="shared" ref="L1772" si="617">"vs "&amp;F1773</f>
        <v>vs Markos</v>
      </c>
      <c r="M1772">
        <v>202</v>
      </c>
      <c r="N1772" s="1">
        <v>0.45100000000000001</v>
      </c>
      <c r="O1772">
        <v>47</v>
      </c>
      <c r="P1772" s="1">
        <v>0.29399999999999998</v>
      </c>
      <c r="Q1772" s="1">
        <v>0.77400000000000002</v>
      </c>
      <c r="R1772">
        <v>557</v>
      </c>
      <c r="S1772">
        <v>54</v>
      </c>
      <c r="T1772">
        <v>177</v>
      </c>
      <c r="U1772">
        <v>161</v>
      </c>
      <c r="V1772">
        <v>36</v>
      </c>
      <c r="W1772">
        <v>12</v>
      </c>
      <c r="X1772">
        <v>77</v>
      </c>
      <c r="Y1772" s="5">
        <v>2.09</v>
      </c>
    </row>
    <row r="1773" spans="1:25" x14ac:dyDescent="0.25">
      <c r="A1773">
        <v>2022</v>
      </c>
      <c r="B1773" t="s">
        <v>57</v>
      </c>
      <c r="C1773">
        <v>15</v>
      </c>
      <c r="D1773">
        <v>148</v>
      </c>
      <c r="E1773" t="s">
        <v>17</v>
      </c>
      <c r="F1773" t="s">
        <v>43</v>
      </c>
      <c r="G1773">
        <f t="shared" si="531"/>
        <v>0</v>
      </c>
      <c r="H1773">
        <v>6</v>
      </c>
      <c r="I1773">
        <v>7</v>
      </c>
      <c r="J1773">
        <v>0</v>
      </c>
      <c r="K1773" s="6" t="str">
        <f t="shared" ref="K1773" si="618">"vs "&amp;E1772</f>
        <v>vs purple fuzzy apache pirates</v>
      </c>
      <c r="L1773" s="6" t="str">
        <f t="shared" ref="L1773" si="619">"vs "&amp;F1772</f>
        <v>vs pi/Sotiris</v>
      </c>
      <c r="M1773">
        <v>190</v>
      </c>
      <c r="N1773" s="1">
        <v>0.497</v>
      </c>
      <c r="O1773">
        <v>51</v>
      </c>
      <c r="P1773" s="1">
        <v>0.40500000000000003</v>
      </c>
      <c r="Q1773" s="1">
        <v>0.70499999999999996</v>
      </c>
      <c r="R1773">
        <v>493</v>
      </c>
      <c r="S1773">
        <v>42</v>
      </c>
      <c r="T1773">
        <v>128</v>
      </c>
      <c r="U1773">
        <v>106</v>
      </c>
      <c r="V1773">
        <v>18</v>
      </c>
      <c r="W1773">
        <v>15</v>
      </c>
      <c r="X1773">
        <v>47</v>
      </c>
      <c r="Y1773" s="5">
        <v>2.2599999999999998</v>
      </c>
    </row>
    <row r="1774" spans="1:25" x14ac:dyDescent="0.25">
      <c r="A1774">
        <v>2022</v>
      </c>
      <c r="B1774" t="s">
        <v>57</v>
      </c>
      <c r="C1774">
        <v>15</v>
      </c>
      <c r="D1774">
        <v>149</v>
      </c>
      <c r="E1774" t="s">
        <v>99</v>
      </c>
      <c r="F1774" t="s">
        <v>45</v>
      </c>
      <c r="G1774">
        <f t="shared" si="531"/>
        <v>0</v>
      </c>
      <c r="H1774">
        <v>6</v>
      </c>
      <c r="I1774">
        <v>7</v>
      </c>
      <c r="J1774">
        <v>0</v>
      </c>
      <c r="K1774" s="6" t="str">
        <f t="shared" ref="K1774" si="620">"vs "&amp;E1775</f>
        <v>vs The Rookies</v>
      </c>
      <c r="L1774" s="6" t="str">
        <f t="shared" ref="L1774" si="621">"vs "&amp;F1775</f>
        <v>vs Kousidis</v>
      </c>
      <c r="M1774">
        <v>125</v>
      </c>
      <c r="N1774" s="1">
        <v>0.45800000000000002</v>
      </c>
      <c r="O1774">
        <v>51</v>
      </c>
      <c r="P1774" s="1">
        <v>0.38900000000000001</v>
      </c>
      <c r="Q1774" s="1">
        <v>0.78</v>
      </c>
      <c r="R1774">
        <v>347</v>
      </c>
      <c r="S1774">
        <v>28</v>
      </c>
      <c r="T1774">
        <v>117</v>
      </c>
      <c r="U1774">
        <v>66</v>
      </c>
      <c r="V1774">
        <v>25</v>
      </c>
      <c r="W1774">
        <v>12</v>
      </c>
      <c r="X1774">
        <v>46</v>
      </c>
      <c r="Y1774" s="5">
        <v>1.43</v>
      </c>
    </row>
    <row r="1775" spans="1:25" x14ac:dyDescent="0.25">
      <c r="A1775">
        <v>2022</v>
      </c>
      <c r="B1775" t="s">
        <v>57</v>
      </c>
      <c r="C1775">
        <v>15</v>
      </c>
      <c r="D1775">
        <v>149</v>
      </c>
      <c r="E1775" t="s">
        <v>25</v>
      </c>
      <c r="F1775" t="s">
        <v>53</v>
      </c>
      <c r="G1775">
        <f t="shared" si="531"/>
        <v>1</v>
      </c>
      <c r="H1775">
        <v>7</v>
      </c>
      <c r="I1775">
        <v>6</v>
      </c>
      <c r="J1775">
        <v>0</v>
      </c>
      <c r="K1775" s="6" t="str">
        <f t="shared" ref="K1775" si="622">"vs "&amp;E1774</f>
        <v>vs Tsarlatans</v>
      </c>
      <c r="L1775" s="6" t="str">
        <f t="shared" ref="L1775" si="623">"vs "&amp;F1774</f>
        <v>vs Tzokos</v>
      </c>
      <c r="M1775">
        <v>156</v>
      </c>
      <c r="N1775" s="1">
        <v>0.51500000000000001</v>
      </c>
      <c r="O1775">
        <v>26</v>
      </c>
      <c r="P1775" s="1">
        <v>0.36599999999999999</v>
      </c>
      <c r="Q1775" s="1">
        <v>0.68</v>
      </c>
      <c r="R1775">
        <v>408</v>
      </c>
      <c r="S1775">
        <v>40</v>
      </c>
      <c r="T1775">
        <v>134</v>
      </c>
      <c r="U1775">
        <v>58</v>
      </c>
      <c r="V1775">
        <v>21</v>
      </c>
      <c r="W1775">
        <v>20</v>
      </c>
      <c r="X1775">
        <v>41</v>
      </c>
      <c r="Y1775" s="5">
        <v>1.41</v>
      </c>
    </row>
    <row r="1776" spans="1:25" x14ac:dyDescent="0.25">
      <c r="A1776">
        <v>2022</v>
      </c>
      <c r="B1776" t="s">
        <v>57</v>
      </c>
      <c r="C1776">
        <v>15</v>
      </c>
      <c r="D1776">
        <v>150</v>
      </c>
      <c r="E1776" t="s">
        <v>21</v>
      </c>
      <c r="F1776" t="s">
        <v>50</v>
      </c>
      <c r="G1776">
        <f t="shared" si="531"/>
        <v>1</v>
      </c>
      <c r="H1776">
        <v>9</v>
      </c>
      <c r="I1776">
        <v>4</v>
      </c>
      <c r="J1776">
        <v>0</v>
      </c>
      <c r="K1776" s="6" t="str">
        <f t="shared" ref="K1776" si="624">"vs "&amp;E1777</f>
        <v>vs Fighting Thaddeus</v>
      </c>
      <c r="L1776" s="6" t="str">
        <f t="shared" ref="L1776" si="625">"vs "&amp;F1777</f>
        <v>vs Stavros</v>
      </c>
      <c r="M1776">
        <v>180</v>
      </c>
      <c r="N1776" s="1">
        <v>0.51700000000000002</v>
      </c>
      <c r="O1776">
        <v>52</v>
      </c>
      <c r="P1776" s="1">
        <v>0.41599999999999998</v>
      </c>
      <c r="Q1776" s="1">
        <v>0.80700000000000005</v>
      </c>
      <c r="R1776">
        <v>479</v>
      </c>
      <c r="S1776">
        <v>40</v>
      </c>
      <c r="T1776">
        <v>120</v>
      </c>
      <c r="U1776">
        <v>130</v>
      </c>
      <c r="V1776">
        <v>24</v>
      </c>
      <c r="W1776">
        <v>5</v>
      </c>
      <c r="X1776">
        <v>74</v>
      </c>
      <c r="Y1776" s="5">
        <v>1.76</v>
      </c>
    </row>
    <row r="1777" spans="1:25" x14ac:dyDescent="0.25">
      <c r="A1777">
        <v>2022</v>
      </c>
      <c r="B1777" t="s">
        <v>57</v>
      </c>
      <c r="C1777">
        <v>15</v>
      </c>
      <c r="D1777">
        <v>150</v>
      </c>
      <c r="E1777" t="s">
        <v>94</v>
      </c>
      <c r="F1777" t="s">
        <v>40</v>
      </c>
      <c r="G1777">
        <f t="shared" si="531"/>
        <v>0</v>
      </c>
      <c r="H1777">
        <v>4</v>
      </c>
      <c r="I1777">
        <v>9</v>
      </c>
      <c r="J1777">
        <v>0</v>
      </c>
      <c r="K1777" s="6" t="str">
        <f t="shared" ref="K1777" si="626">"vs "&amp;E1776</f>
        <v>vs st.Helens Eruptions</v>
      </c>
      <c r="L1777" s="6" t="str">
        <f t="shared" ref="L1777" si="627">"vs "&amp;F1776</f>
        <v>vs Aris</v>
      </c>
      <c r="M1777">
        <v>70</v>
      </c>
      <c r="N1777" s="1">
        <v>0.40899999999999997</v>
      </c>
      <c r="O1777">
        <v>23</v>
      </c>
      <c r="P1777" s="1">
        <v>0.32400000000000001</v>
      </c>
      <c r="Q1777" s="1">
        <v>0.85299999999999998</v>
      </c>
      <c r="R1777">
        <v>192</v>
      </c>
      <c r="S1777">
        <v>24</v>
      </c>
      <c r="T1777">
        <v>76</v>
      </c>
      <c r="U1777">
        <v>52</v>
      </c>
      <c r="V1777">
        <v>22</v>
      </c>
      <c r="W1777">
        <v>13</v>
      </c>
      <c r="X1777">
        <v>21</v>
      </c>
      <c r="Y1777" s="5">
        <v>2.48</v>
      </c>
    </row>
    <row r="1778" spans="1:25" x14ac:dyDescent="0.25">
      <c r="A1778">
        <v>2022</v>
      </c>
      <c r="B1778" t="s">
        <v>57</v>
      </c>
      <c r="C1778">
        <v>16</v>
      </c>
      <c r="D1778">
        <v>151</v>
      </c>
      <c r="E1778" t="s">
        <v>95</v>
      </c>
      <c r="F1778" t="s">
        <v>101</v>
      </c>
      <c r="G1778">
        <f t="shared" si="531"/>
        <v>1</v>
      </c>
      <c r="H1778">
        <v>9</v>
      </c>
      <c r="I1778">
        <v>4</v>
      </c>
      <c r="J1778">
        <v>0</v>
      </c>
      <c r="K1778" s="6" t="str">
        <f t="shared" ref="K1778" si="628">"vs "&amp;E1779</f>
        <v>vs Knights of Ni</v>
      </c>
      <c r="L1778" s="6" t="str">
        <f t="shared" ref="L1778" si="629">"vs "&amp;F1779</f>
        <v>vs Tolios</v>
      </c>
      <c r="M1778">
        <v>164</v>
      </c>
      <c r="N1778" s="1">
        <v>0.45300000000000001</v>
      </c>
      <c r="O1778">
        <v>60</v>
      </c>
      <c r="P1778" s="1">
        <v>0.33700000000000002</v>
      </c>
      <c r="Q1778" s="1">
        <v>0.81</v>
      </c>
      <c r="R1778">
        <v>452</v>
      </c>
      <c r="S1778">
        <v>35</v>
      </c>
      <c r="T1778">
        <v>91</v>
      </c>
      <c r="U1778">
        <v>102</v>
      </c>
      <c r="V1778">
        <v>37</v>
      </c>
      <c r="W1778">
        <v>18</v>
      </c>
      <c r="X1778">
        <v>50</v>
      </c>
      <c r="Y1778" s="5">
        <v>2.04</v>
      </c>
    </row>
    <row r="1779" spans="1:25" x14ac:dyDescent="0.25">
      <c r="A1779">
        <v>2022</v>
      </c>
      <c r="B1779" t="s">
        <v>57</v>
      </c>
      <c r="C1779">
        <v>16</v>
      </c>
      <c r="D1779">
        <v>151</v>
      </c>
      <c r="E1779" t="s">
        <v>96</v>
      </c>
      <c r="F1779" t="s">
        <v>102</v>
      </c>
      <c r="G1779">
        <f t="shared" si="531"/>
        <v>0</v>
      </c>
      <c r="H1779">
        <v>4</v>
      </c>
      <c r="I1779">
        <v>9</v>
      </c>
      <c r="J1779">
        <v>0</v>
      </c>
      <c r="K1779" s="6" t="str">
        <f t="shared" ref="K1779" si="630">"vs "&amp;E1778</f>
        <v>vs Baltimore Hercules</v>
      </c>
      <c r="L1779" s="6" t="str">
        <f t="shared" ref="L1779" si="631">"vs "&amp;F1778</f>
        <v>vs Sarantos</v>
      </c>
      <c r="M1779">
        <v>115</v>
      </c>
      <c r="N1779" s="1">
        <v>0.48899999999999999</v>
      </c>
      <c r="O1779">
        <v>32</v>
      </c>
      <c r="P1779" s="1">
        <v>0.35199999999999998</v>
      </c>
      <c r="Q1779" s="1">
        <v>0.64700000000000002</v>
      </c>
      <c r="R1779">
        <v>284</v>
      </c>
      <c r="S1779">
        <v>31</v>
      </c>
      <c r="T1779">
        <v>66</v>
      </c>
      <c r="U1779">
        <v>58</v>
      </c>
      <c r="V1779">
        <v>20</v>
      </c>
      <c r="W1779">
        <v>26</v>
      </c>
      <c r="X1779">
        <v>30</v>
      </c>
      <c r="Y1779" s="5">
        <v>1.93</v>
      </c>
    </row>
    <row r="1780" spans="1:25" x14ac:dyDescent="0.25">
      <c r="A1780">
        <v>2022</v>
      </c>
      <c r="B1780" t="s">
        <v>57</v>
      </c>
      <c r="C1780">
        <v>16</v>
      </c>
      <c r="D1780">
        <v>152</v>
      </c>
      <c r="E1780" t="s">
        <v>25</v>
      </c>
      <c r="F1780" t="s">
        <v>53</v>
      </c>
      <c r="G1780">
        <f t="shared" si="531"/>
        <v>0</v>
      </c>
      <c r="H1780">
        <v>5</v>
      </c>
      <c r="I1780">
        <v>8</v>
      </c>
      <c r="J1780">
        <v>0</v>
      </c>
      <c r="K1780" s="6" t="str">
        <f t="shared" ref="K1780" si="632">"vs "&amp;E1781</f>
        <v>vs purple fuzzy apache pirates</v>
      </c>
      <c r="L1780" s="6" t="str">
        <f t="shared" ref="L1780" si="633">"vs "&amp;F1781</f>
        <v>vs pi/Sotiris</v>
      </c>
      <c r="M1780">
        <v>163</v>
      </c>
      <c r="N1780" s="1">
        <v>0.497</v>
      </c>
      <c r="O1780">
        <v>45</v>
      </c>
      <c r="P1780" s="1">
        <v>0.39100000000000001</v>
      </c>
      <c r="Q1780" s="1">
        <v>0.72399999999999998</v>
      </c>
      <c r="R1780">
        <v>426</v>
      </c>
      <c r="S1780">
        <v>44</v>
      </c>
      <c r="T1780">
        <v>116</v>
      </c>
      <c r="U1780">
        <v>88</v>
      </c>
      <c r="V1780">
        <v>13</v>
      </c>
      <c r="W1780">
        <v>16</v>
      </c>
      <c r="X1780">
        <v>46</v>
      </c>
      <c r="Y1780" s="5">
        <v>1.91</v>
      </c>
    </row>
    <row r="1781" spans="1:25" x14ac:dyDescent="0.25">
      <c r="A1781">
        <v>2022</v>
      </c>
      <c r="B1781" t="s">
        <v>57</v>
      </c>
      <c r="C1781">
        <v>16</v>
      </c>
      <c r="D1781">
        <v>152</v>
      </c>
      <c r="E1781" t="s">
        <v>159</v>
      </c>
      <c r="F1781" t="s">
        <v>116</v>
      </c>
      <c r="G1781">
        <f t="shared" si="531"/>
        <v>1</v>
      </c>
      <c r="H1781">
        <v>8</v>
      </c>
      <c r="I1781">
        <v>5</v>
      </c>
      <c r="J1781">
        <v>0</v>
      </c>
      <c r="K1781" s="6" t="str">
        <f t="shared" ref="K1781" si="634">"vs "&amp;E1780</f>
        <v>vs The Rookies</v>
      </c>
      <c r="L1781" s="6" t="str">
        <f t="shared" ref="L1781" si="635">"vs "&amp;F1780</f>
        <v>vs Kousidis</v>
      </c>
      <c r="M1781">
        <v>218</v>
      </c>
      <c r="N1781" s="1">
        <v>0.46600000000000003</v>
      </c>
      <c r="O1781">
        <v>68</v>
      </c>
      <c r="P1781" s="1">
        <v>0.38900000000000001</v>
      </c>
      <c r="Q1781" s="1">
        <v>0.71</v>
      </c>
      <c r="R1781">
        <v>575</v>
      </c>
      <c r="S1781">
        <v>45</v>
      </c>
      <c r="T1781">
        <v>167</v>
      </c>
      <c r="U1781">
        <v>145</v>
      </c>
      <c r="V1781">
        <v>30</v>
      </c>
      <c r="W1781">
        <v>17</v>
      </c>
      <c r="X1781">
        <v>79</v>
      </c>
      <c r="Y1781" s="5">
        <v>1.84</v>
      </c>
    </row>
    <row r="1782" spans="1:25" x14ac:dyDescent="0.25">
      <c r="A1782">
        <v>2022</v>
      </c>
      <c r="B1782" t="s">
        <v>57</v>
      </c>
      <c r="C1782">
        <v>16</v>
      </c>
      <c r="D1782">
        <v>153</v>
      </c>
      <c r="E1782" t="s">
        <v>15</v>
      </c>
      <c r="F1782" t="s">
        <v>48</v>
      </c>
      <c r="G1782">
        <f t="shared" si="531"/>
        <v>0</v>
      </c>
      <c r="H1782">
        <v>5</v>
      </c>
      <c r="I1782">
        <v>8</v>
      </c>
      <c r="J1782">
        <v>0</v>
      </c>
      <c r="K1782" s="6" t="str">
        <f t="shared" ref="K1782" si="636">"vs "&amp;E1783</f>
        <v>vs st.Helens Eruptions</v>
      </c>
      <c r="L1782" s="6" t="str">
        <f t="shared" ref="L1782" si="637">"vs "&amp;F1783</f>
        <v>vs Aris</v>
      </c>
      <c r="M1782">
        <v>138</v>
      </c>
      <c r="N1782" s="1">
        <v>0.45700000000000002</v>
      </c>
      <c r="O1782">
        <v>37</v>
      </c>
      <c r="P1782" s="1">
        <v>0.34300000000000003</v>
      </c>
      <c r="Q1782" s="1">
        <v>0.80400000000000005</v>
      </c>
      <c r="R1782">
        <v>391</v>
      </c>
      <c r="S1782">
        <v>27</v>
      </c>
      <c r="T1782">
        <v>105</v>
      </c>
      <c r="U1782">
        <v>80</v>
      </c>
      <c r="V1782">
        <v>27</v>
      </c>
      <c r="W1782">
        <v>16</v>
      </c>
      <c r="X1782">
        <v>28</v>
      </c>
      <c r="Y1782" s="5">
        <v>2.86</v>
      </c>
    </row>
    <row r="1783" spans="1:25" x14ac:dyDescent="0.25">
      <c r="A1783">
        <v>2022</v>
      </c>
      <c r="B1783" t="s">
        <v>57</v>
      </c>
      <c r="C1783">
        <v>16</v>
      </c>
      <c r="D1783">
        <v>153</v>
      </c>
      <c r="E1783" t="s">
        <v>21</v>
      </c>
      <c r="F1783" t="s">
        <v>50</v>
      </c>
      <c r="G1783">
        <f t="shared" si="531"/>
        <v>1</v>
      </c>
      <c r="H1783">
        <v>8</v>
      </c>
      <c r="I1783">
        <v>5</v>
      </c>
      <c r="J1783">
        <v>0</v>
      </c>
      <c r="K1783" s="6" t="str">
        <f t="shared" ref="K1783" si="638">"vs "&amp;E1782</f>
        <v>vs Salonika Devils</v>
      </c>
      <c r="L1783" s="6" t="str">
        <f t="shared" ref="L1783" si="639">"vs "&amp;F1782</f>
        <v>vs Fountos</v>
      </c>
      <c r="M1783">
        <v>174</v>
      </c>
      <c r="N1783" s="1">
        <v>0.46800000000000003</v>
      </c>
      <c r="O1783">
        <v>45</v>
      </c>
      <c r="P1783" s="1">
        <v>0.31900000000000001</v>
      </c>
      <c r="Q1783" s="1">
        <v>0.77600000000000002</v>
      </c>
      <c r="R1783">
        <v>469</v>
      </c>
      <c r="S1783">
        <v>48</v>
      </c>
      <c r="T1783">
        <v>118</v>
      </c>
      <c r="U1783">
        <v>121</v>
      </c>
      <c r="V1783">
        <v>34</v>
      </c>
      <c r="W1783">
        <v>14</v>
      </c>
      <c r="X1783">
        <v>65</v>
      </c>
      <c r="Y1783" s="5">
        <v>1.86</v>
      </c>
    </row>
    <row r="1784" spans="1:25" x14ac:dyDescent="0.25">
      <c r="A1784">
        <v>2022</v>
      </c>
      <c r="B1784" t="s">
        <v>57</v>
      </c>
      <c r="C1784">
        <v>16</v>
      </c>
      <c r="D1784">
        <v>154</v>
      </c>
      <c r="E1784" t="s">
        <v>33</v>
      </c>
      <c r="F1784" t="s">
        <v>42</v>
      </c>
      <c r="G1784">
        <f t="shared" si="531"/>
        <v>1</v>
      </c>
      <c r="H1784">
        <v>11</v>
      </c>
      <c r="I1784">
        <v>2</v>
      </c>
      <c r="J1784">
        <v>0</v>
      </c>
      <c r="K1784" s="6" t="str">
        <f t="shared" ref="K1784" si="640">"vs "&amp;E1785</f>
        <v>vs The Bad Boys</v>
      </c>
      <c r="L1784" s="6" t="str">
        <f t="shared" ref="L1784" si="641">"vs "&amp;F1785</f>
        <v>vs Arvanitis</v>
      </c>
      <c r="M1784">
        <v>178</v>
      </c>
      <c r="N1784" s="1">
        <v>0.42</v>
      </c>
      <c r="O1784">
        <v>60</v>
      </c>
      <c r="P1784" s="1">
        <v>0.35299999999999998</v>
      </c>
      <c r="Q1784" s="1">
        <v>0.85399999999999998</v>
      </c>
      <c r="R1784">
        <v>498</v>
      </c>
      <c r="S1784">
        <v>35</v>
      </c>
      <c r="T1784">
        <v>130</v>
      </c>
      <c r="U1784">
        <v>105</v>
      </c>
      <c r="V1784">
        <v>23</v>
      </c>
      <c r="W1784">
        <v>17</v>
      </c>
      <c r="X1784">
        <v>60</v>
      </c>
      <c r="Y1784" s="5">
        <v>1.75</v>
      </c>
    </row>
    <row r="1785" spans="1:25" x14ac:dyDescent="0.25">
      <c r="A1785">
        <v>2022</v>
      </c>
      <c r="B1785" t="s">
        <v>57</v>
      </c>
      <c r="C1785">
        <v>16</v>
      </c>
      <c r="D1785">
        <v>154</v>
      </c>
      <c r="E1785" t="s">
        <v>154</v>
      </c>
      <c r="F1785" t="s">
        <v>155</v>
      </c>
      <c r="G1785">
        <f t="shared" si="531"/>
        <v>0</v>
      </c>
      <c r="H1785">
        <v>2</v>
      </c>
      <c r="I1785">
        <v>11</v>
      </c>
      <c r="J1785">
        <v>0</v>
      </c>
      <c r="K1785" s="6" t="str">
        <f t="shared" ref="K1785" si="642">"vs "&amp;E1784</f>
        <v>vs The Guns</v>
      </c>
      <c r="L1785" s="6" t="str">
        <f t="shared" ref="L1785" si="643">"vs "&amp;F1784</f>
        <v>vs Vasilis</v>
      </c>
      <c r="M1785">
        <v>79</v>
      </c>
      <c r="N1785" s="1">
        <v>0.378</v>
      </c>
      <c r="O1785">
        <v>31</v>
      </c>
      <c r="P1785" s="1">
        <v>0.32600000000000001</v>
      </c>
      <c r="Q1785" s="1">
        <v>0.72499999999999998</v>
      </c>
      <c r="R1785">
        <v>226</v>
      </c>
      <c r="S1785">
        <v>31</v>
      </c>
      <c r="T1785">
        <v>100</v>
      </c>
      <c r="U1785">
        <v>62</v>
      </c>
      <c r="V1785">
        <v>16</v>
      </c>
      <c r="W1785">
        <v>27</v>
      </c>
      <c r="X1785">
        <v>37</v>
      </c>
      <c r="Y1785" s="5">
        <v>1.68</v>
      </c>
    </row>
    <row r="1786" spans="1:25" x14ac:dyDescent="0.25">
      <c r="A1786">
        <v>2022</v>
      </c>
      <c r="B1786" t="s">
        <v>57</v>
      </c>
      <c r="C1786">
        <v>16</v>
      </c>
      <c r="D1786">
        <v>155</v>
      </c>
      <c r="E1786" t="s">
        <v>94</v>
      </c>
      <c r="F1786" t="s">
        <v>40</v>
      </c>
      <c r="G1786">
        <f t="shared" si="531"/>
        <v>0</v>
      </c>
      <c r="H1786">
        <v>5</v>
      </c>
      <c r="I1786">
        <v>8</v>
      </c>
      <c r="J1786">
        <v>0</v>
      </c>
      <c r="K1786" s="6" t="str">
        <f t="shared" ref="K1786" si="644">"vs "&amp;E1787</f>
        <v>vs Donkey Rolls</v>
      </c>
      <c r="L1786" s="6" t="str">
        <f t="shared" ref="L1786" si="645">"vs "&amp;F1787</f>
        <v>vs Markos</v>
      </c>
      <c r="M1786">
        <v>98</v>
      </c>
      <c r="N1786" s="1">
        <v>0.436</v>
      </c>
      <c r="O1786">
        <v>41</v>
      </c>
      <c r="P1786" s="1">
        <v>0.436</v>
      </c>
      <c r="Q1786" s="1">
        <v>0.86699999999999999</v>
      </c>
      <c r="R1786">
        <v>276</v>
      </c>
      <c r="S1786">
        <v>20</v>
      </c>
      <c r="T1786">
        <v>80</v>
      </c>
      <c r="U1786">
        <v>42</v>
      </c>
      <c r="V1786">
        <v>19</v>
      </c>
      <c r="W1786">
        <v>7</v>
      </c>
      <c r="X1786">
        <v>26</v>
      </c>
      <c r="Y1786" s="5">
        <v>1.62</v>
      </c>
    </row>
    <row r="1787" spans="1:25" x14ac:dyDescent="0.25">
      <c r="A1787">
        <v>2022</v>
      </c>
      <c r="B1787" t="s">
        <v>57</v>
      </c>
      <c r="C1787">
        <v>16</v>
      </c>
      <c r="D1787">
        <v>155</v>
      </c>
      <c r="E1787" t="s">
        <v>17</v>
      </c>
      <c r="F1787" t="s">
        <v>43</v>
      </c>
      <c r="G1787">
        <f t="shared" si="531"/>
        <v>1</v>
      </c>
      <c r="H1787">
        <v>8</v>
      </c>
      <c r="I1787">
        <v>5</v>
      </c>
      <c r="J1787">
        <v>0</v>
      </c>
      <c r="K1787" s="6" t="str">
        <f t="shared" ref="K1787" si="646">"vs "&amp;E1786</f>
        <v>vs Fighting Thaddeus</v>
      </c>
      <c r="L1787" s="6" t="str">
        <f t="shared" ref="L1787" si="647">"vs "&amp;F1786</f>
        <v>vs Stavros</v>
      </c>
      <c r="M1787">
        <v>170</v>
      </c>
      <c r="N1787" s="1">
        <v>0.46800000000000003</v>
      </c>
      <c r="O1787">
        <v>34</v>
      </c>
      <c r="P1787" s="1">
        <v>0.312</v>
      </c>
      <c r="Q1787" s="1">
        <v>0.747</v>
      </c>
      <c r="R1787">
        <v>430</v>
      </c>
      <c r="S1787">
        <v>47</v>
      </c>
      <c r="T1787">
        <v>114</v>
      </c>
      <c r="U1787">
        <v>80</v>
      </c>
      <c r="V1787">
        <v>25</v>
      </c>
      <c r="W1787">
        <v>16</v>
      </c>
      <c r="X1787">
        <v>60</v>
      </c>
      <c r="Y1787" s="5">
        <v>1.33</v>
      </c>
    </row>
    <row r="1788" spans="1:25" x14ac:dyDescent="0.25">
      <c r="A1788">
        <v>2022</v>
      </c>
      <c r="B1788" t="s">
        <v>57</v>
      </c>
      <c r="C1788">
        <v>16</v>
      </c>
      <c r="D1788">
        <v>156</v>
      </c>
      <c r="E1788" t="s">
        <v>190</v>
      </c>
      <c r="F1788" t="s">
        <v>103</v>
      </c>
      <c r="G1788">
        <f t="shared" si="531"/>
        <v>1</v>
      </c>
      <c r="H1788">
        <v>8</v>
      </c>
      <c r="I1788">
        <v>5</v>
      </c>
      <c r="J1788">
        <v>0</v>
      </c>
      <c r="K1788" s="6" t="str">
        <f t="shared" ref="K1788" si="648">"vs "&amp;E1789</f>
        <v>vs Tsarlatans</v>
      </c>
      <c r="L1788" s="6" t="str">
        <f t="shared" ref="L1788" si="649">"vs "&amp;F1789</f>
        <v>vs Tzokos</v>
      </c>
      <c r="M1788">
        <v>166</v>
      </c>
      <c r="N1788" s="1">
        <v>0.505</v>
      </c>
      <c r="O1788">
        <v>47</v>
      </c>
      <c r="P1788" s="1">
        <v>0.38500000000000001</v>
      </c>
      <c r="Q1788" s="1">
        <v>0.77900000000000003</v>
      </c>
      <c r="R1788">
        <v>432</v>
      </c>
      <c r="S1788">
        <v>35</v>
      </c>
      <c r="T1788">
        <v>157</v>
      </c>
      <c r="U1788">
        <v>90</v>
      </c>
      <c r="V1788">
        <v>27</v>
      </c>
      <c r="W1788">
        <v>25</v>
      </c>
      <c r="X1788">
        <v>38</v>
      </c>
      <c r="Y1788" s="5">
        <v>2.37</v>
      </c>
    </row>
    <row r="1789" spans="1:25" x14ac:dyDescent="0.25">
      <c r="A1789">
        <v>2022</v>
      </c>
      <c r="B1789" t="s">
        <v>57</v>
      </c>
      <c r="C1789">
        <v>16</v>
      </c>
      <c r="D1789">
        <v>156</v>
      </c>
      <c r="E1789" t="s">
        <v>99</v>
      </c>
      <c r="F1789" t="s">
        <v>45</v>
      </c>
      <c r="G1789">
        <f t="shared" si="531"/>
        <v>0</v>
      </c>
      <c r="H1789">
        <v>5</v>
      </c>
      <c r="I1789">
        <v>8</v>
      </c>
      <c r="J1789">
        <v>0</v>
      </c>
      <c r="K1789" s="6" t="str">
        <f t="shared" ref="K1789" si="650">"vs "&amp;E1788</f>
        <v>vs Karafli SaiTa</v>
      </c>
      <c r="L1789" s="6" t="str">
        <f t="shared" ref="L1789" si="651">"vs "&amp;F1788</f>
        <v>vs Tassos</v>
      </c>
      <c r="M1789">
        <v>177</v>
      </c>
      <c r="N1789" s="1">
        <v>0.46600000000000003</v>
      </c>
      <c r="O1789">
        <v>52</v>
      </c>
      <c r="P1789" s="1">
        <v>0.36899999999999999</v>
      </c>
      <c r="Q1789" s="1">
        <v>0.753</v>
      </c>
      <c r="R1789">
        <v>473</v>
      </c>
      <c r="S1789">
        <v>50</v>
      </c>
      <c r="T1789">
        <v>127</v>
      </c>
      <c r="U1789">
        <v>127</v>
      </c>
      <c r="V1789">
        <v>23</v>
      </c>
      <c r="W1789">
        <v>14</v>
      </c>
      <c r="X1789">
        <v>55</v>
      </c>
      <c r="Y1789" s="5">
        <v>2.31</v>
      </c>
    </row>
    <row r="1790" spans="1:25" x14ac:dyDescent="0.25">
      <c r="A1790">
        <v>2022</v>
      </c>
      <c r="B1790" t="s">
        <v>57</v>
      </c>
      <c r="C1790">
        <v>16</v>
      </c>
      <c r="D1790">
        <v>157</v>
      </c>
      <c r="E1790" t="s">
        <v>97</v>
      </c>
      <c r="F1790" t="s">
        <v>54</v>
      </c>
      <c r="G1790">
        <f t="shared" si="531"/>
        <v>0</v>
      </c>
      <c r="H1790">
        <v>2</v>
      </c>
      <c r="I1790">
        <v>11</v>
      </c>
      <c r="J1790">
        <v>0</v>
      </c>
      <c r="K1790" s="6" t="str">
        <f t="shared" ref="K1790" si="652">"vs "&amp;E1791</f>
        <v>vs Steven Adams' Moustache</v>
      </c>
      <c r="L1790" s="6" t="str">
        <f t="shared" ref="L1790" si="653">"vs "&amp;F1791</f>
        <v>vs Johnny</v>
      </c>
      <c r="M1790">
        <v>161</v>
      </c>
      <c r="N1790" s="1">
        <v>0.47799999999999998</v>
      </c>
      <c r="O1790">
        <v>40</v>
      </c>
      <c r="P1790" s="1">
        <v>0.35699999999999998</v>
      </c>
      <c r="Q1790" s="1">
        <v>0.81499999999999995</v>
      </c>
      <c r="R1790">
        <v>481</v>
      </c>
      <c r="S1790">
        <v>33</v>
      </c>
      <c r="T1790">
        <v>120</v>
      </c>
      <c r="U1790">
        <v>115</v>
      </c>
      <c r="V1790">
        <v>20</v>
      </c>
      <c r="W1790">
        <v>14</v>
      </c>
      <c r="X1790">
        <v>49</v>
      </c>
      <c r="Y1790" s="5">
        <v>2.35</v>
      </c>
    </row>
    <row r="1791" spans="1:25" x14ac:dyDescent="0.25">
      <c r="A1791">
        <v>2022</v>
      </c>
      <c r="B1791" t="s">
        <v>57</v>
      </c>
      <c r="C1791">
        <v>16</v>
      </c>
      <c r="D1791">
        <v>157</v>
      </c>
      <c r="E1791" t="s">
        <v>28</v>
      </c>
      <c r="F1791" t="s">
        <v>46</v>
      </c>
      <c r="G1791">
        <f t="shared" si="531"/>
        <v>1</v>
      </c>
      <c r="H1791">
        <v>11</v>
      </c>
      <c r="I1791">
        <v>2</v>
      </c>
      <c r="J1791">
        <v>0</v>
      </c>
      <c r="K1791" s="6" t="str">
        <f t="shared" ref="K1791" si="654">"vs "&amp;E1790</f>
        <v>vs Underdogs</v>
      </c>
      <c r="L1791" s="6" t="str">
        <f t="shared" ref="L1791" si="655">"vs "&amp;F1790</f>
        <v>vs Nonis</v>
      </c>
      <c r="M1791">
        <v>241</v>
      </c>
      <c r="N1791" s="1">
        <v>0.52100000000000002</v>
      </c>
      <c r="O1791">
        <v>46</v>
      </c>
      <c r="P1791" s="1">
        <v>0.38300000000000001</v>
      </c>
      <c r="Q1791" s="1">
        <v>0.81299999999999994</v>
      </c>
      <c r="R1791">
        <v>602</v>
      </c>
      <c r="S1791">
        <v>49</v>
      </c>
      <c r="T1791">
        <v>191</v>
      </c>
      <c r="U1791">
        <v>156</v>
      </c>
      <c r="V1791">
        <v>35</v>
      </c>
      <c r="W1791">
        <v>26</v>
      </c>
      <c r="X1791">
        <v>60</v>
      </c>
      <c r="Y1791" s="5">
        <v>2.6</v>
      </c>
    </row>
    <row r="1792" spans="1:25" x14ac:dyDescent="0.25">
      <c r="A1792">
        <v>2022</v>
      </c>
      <c r="B1792" t="s">
        <v>57</v>
      </c>
      <c r="C1792">
        <v>16</v>
      </c>
      <c r="D1792">
        <v>158</v>
      </c>
      <c r="E1792" t="s">
        <v>26</v>
      </c>
      <c r="F1792" t="s">
        <v>118</v>
      </c>
      <c r="G1792">
        <f t="shared" si="531"/>
        <v>0</v>
      </c>
      <c r="H1792">
        <v>6</v>
      </c>
      <c r="I1792">
        <v>7</v>
      </c>
      <c r="J1792">
        <v>0</v>
      </c>
      <c r="K1792" s="6" t="str">
        <f t="shared" ref="K1792" si="656">"vs "&amp;E1793</f>
        <v>vs Samarina Dudenbros</v>
      </c>
      <c r="L1792" s="6" t="str">
        <f t="shared" ref="L1792" si="657">"vs "&amp;F1793</f>
        <v>vs Sakellariou</v>
      </c>
      <c r="M1792">
        <v>109</v>
      </c>
      <c r="N1792" s="1">
        <v>0.38200000000000001</v>
      </c>
      <c r="O1792">
        <v>39</v>
      </c>
      <c r="P1792" s="1">
        <v>0.29799999999999999</v>
      </c>
      <c r="Q1792" s="1">
        <v>0.83</v>
      </c>
      <c r="R1792">
        <v>301</v>
      </c>
      <c r="S1792">
        <v>38</v>
      </c>
      <c r="T1792">
        <v>115</v>
      </c>
      <c r="U1792">
        <v>88</v>
      </c>
      <c r="V1792">
        <v>27</v>
      </c>
      <c r="W1792">
        <v>10</v>
      </c>
      <c r="X1792">
        <v>40</v>
      </c>
      <c r="Y1792" s="5">
        <v>2.2000000000000002</v>
      </c>
    </row>
    <row r="1793" spans="1:25" x14ac:dyDescent="0.25">
      <c r="A1793">
        <v>2022</v>
      </c>
      <c r="B1793" t="s">
        <v>57</v>
      </c>
      <c r="C1793">
        <v>16</v>
      </c>
      <c r="D1793">
        <v>158</v>
      </c>
      <c r="E1793" t="s">
        <v>181</v>
      </c>
      <c r="F1793" t="s">
        <v>49</v>
      </c>
      <c r="G1793">
        <f t="shared" si="531"/>
        <v>1</v>
      </c>
      <c r="H1793">
        <v>7</v>
      </c>
      <c r="I1793">
        <v>6</v>
      </c>
      <c r="J1793">
        <v>0</v>
      </c>
      <c r="K1793" s="6" t="str">
        <f t="shared" ref="K1793" si="658">"vs "&amp;E1792</f>
        <v>vs Kourayo Vallecano</v>
      </c>
      <c r="L1793" s="6" t="str">
        <f t="shared" ref="L1793" si="659">"vs "&amp;F1792</f>
        <v>vs Ziogas/Christof</v>
      </c>
      <c r="M1793">
        <v>133</v>
      </c>
      <c r="N1793" s="1">
        <v>0.48199999999999998</v>
      </c>
      <c r="O1793">
        <v>38</v>
      </c>
      <c r="P1793" s="1">
        <v>0.34899999999999998</v>
      </c>
      <c r="Q1793" s="1">
        <v>0.73099999999999998</v>
      </c>
      <c r="R1793">
        <v>342</v>
      </c>
      <c r="S1793">
        <v>33</v>
      </c>
      <c r="T1793">
        <v>132</v>
      </c>
      <c r="U1793">
        <v>105</v>
      </c>
      <c r="V1793">
        <v>24</v>
      </c>
      <c r="W1793">
        <v>23</v>
      </c>
      <c r="X1793">
        <v>50</v>
      </c>
      <c r="Y1793" s="5">
        <v>2.1</v>
      </c>
    </row>
    <row r="1794" spans="1:25" x14ac:dyDescent="0.25">
      <c r="A1794">
        <v>2022</v>
      </c>
      <c r="B1794" t="s">
        <v>57</v>
      </c>
      <c r="C1794">
        <v>16</v>
      </c>
      <c r="D1794">
        <v>159</v>
      </c>
      <c r="E1794" t="s">
        <v>23</v>
      </c>
      <c r="F1794" t="s">
        <v>120</v>
      </c>
      <c r="G1794">
        <f t="shared" ref="G1794:G1857" si="660">IF(H1794+0.5*J1794&gt;6.5,1,0)</f>
        <v>0</v>
      </c>
      <c r="H1794">
        <v>4</v>
      </c>
      <c r="I1794">
        <v>8</v>
      </c>
      <c r="J1794">
        <v>1</v>
      </c>
      <c r="K1794" s="6" t="str">
        <f t="shared" ref="K1794" si="661">"vs "&amp;E1795</f>
        <v>vs Xanthi Ducks 🦆</v>
      </c>
      <c r="L1794" s="6" t="str">
        <f t="shared" ref="L1794" si="662">"vs "&amp;F1795</f>
        <v>vs Kotakis</v>
      </c>
      <c r="M1794">
        <v>179</v>
      </c>
      <c r="N1794" s="1">
        <v>0.441</v>
      </c>
      <c r="O1794">
        <v>42</v>
      </c>
      <c r="P1794" s="1">
        <v>0.30399999999999999</v>
      </c>
      <c r="Q1794" s="1">
        <v>0.752</v>
      </c>
      <c r="R1794">
        <v>482</v>
      </c>
      <c r="S1794">
        <v>52</v>
      </c>
      <c r="T1794">
        <v>144</v>
      </c>
      <c r="U1794">
        <v>110</v>
      </c>
      <c r="V1794">
        <v>31</v>
      </c>
      <c r="W1794">
        <v>16</v>
      </c>
      <c r="X1794">
        <v>52</v>
      </c>
      <c r="Y1794" s="5">
        <v>2.12</v>
      </c>
    </row>
    <row r="1795" spans="1:25" x14ac:dyDescent="0.25">
      <c r="A1795">
        <v>2022</v>
      </c>
      <c r="B1795" t="s">
        <v>57</v>
      </c>
      <c r="C1795">
        <v>16</v>
      </c>
      <c r="D1795">
        <v>159</v>
      </c>
      <c r="E1795" t="s">
        <v>98</v>
      </c>
      <c r="F1795" t="s">
        <v>41</v>
      </c>
      <c r="G1795">
        <f t="shared" si="660"/>
        <v>1</v>
      </c>
      <c r="H1795">
        <v>8</v>
      </c>
      <c r="I1795">
        <v>4</v>
      </c>
      <c r="J1795">
        <v>1</v>
      </c>
      <c r="K1795" s="6" t="str">
        <f t="shared" ref="K1795" si="663">"vs "&amp;E1794</f>
        <v>vs Pachiana NinjaBees</v>
      </c>
      <c r="L1795" s="6" t="str">
        <f t="shared" ref="L1795" si="664">"vs "&amp;F1794</f>
        <v>vs Spiridaus/Oladipas</v>
      </c>
      <c r="M1795">
        <v>167</v>
      </c>
      <c r="N1795" s="1">
        <v>0.45600000000000002</v>
      </c>
      <c r="O1795">
        <v>55</v>
      </c>
      <c r="P1795" s="1">
        <v>0.41</v>
      </c>
      <c r="Q1795" s="1">
        <v>0.78600000000000003</v>
      </c>
      <c r="R1795">
        <v>477</v>
      </c>
      <c r="S1795">
        <v>40</v>
      </c>
      <c r="T1795">
        <v>131</v>
      </c>
      <c r="U1795">
        <v>110</v>
      </c>
      <c r="V1795">
        <v>44</v>
      </c>
      <c r="W1795">
        <v>20</v>
      </c>
      <c r="X1795">
        <v>49</v>
      </c>
      <c r="Y1795" s="5">
        <v>2.2400000000000002</v>
      </c>
    </row>
    <row r="1796" spans="1:25" x14ac:dyDescent="0.25">
      <c r="A1796">
        <v>2022</v>
      </c>
      <c r="B1796" t="s">
        <v>57</v>
      </c>
      <c r="C1796">
        <v>16</v>
      </c>
      <c r="D1796">
        <v>160</v>
      </c>
      <c r="E1796" t="s">
        <v>16</v>
      </c>
      <c r="F1796" t="s">
        <v>51</v>
      </c>
      <c r="G1796">
        <f t="shared" si="660"/>
        <v>1</v>
      </c>
      <c r="H1796">
        <v>10</v>
      </c>
      <c r="I1796">
        <v>3</v>
      </c>
      <c r="J1796">
        <v>0</v>
      </c>
      <c r="K1796" s="6" t="str">
        <f t="shared" ref="K1796" si="665">"vs "&amp;E1797</f>
        <v>vs Guruuu 🐐🐐🐐</v>
      </c>
      <c r="L1796" s="6" t="str">
        <f t="shared" ref="L1796" si="666">"vs "&amp;F1797</f>
        <v>vs Guru</v>
      </c>
      <c r="M1796">
        <v>205</v>
      </c>
      <c r="N1796" s="1">
        <v>0.48699999999999999</v>
      </c>
      <c r="O1796">
        <v>52</v>
      </c>
      <c r="P1796" s="1">
        <v>0.35899999999999999</v>
      </c>
      <c r="Q1796" s="1">
        <v>0.79500000000000004</v>
      </c>
      <c r="R1796">
        <v>551</v>
      </c>
      <c r="S1796">
        <v>44</v>
      </c>
      <c r="T1796">
        <v>156</v>
      </c>
      <c r="U1796">
        <v>148</v>
      </c>
      <c r="V1796">
        <v>42</v>
      </c>
      <c r="W1796">
        <v>29</v>
      </c>
      <c r="X1796">
        <v>66</v>
      </c>
      <c r="Y1796" s="5">
        <v>2.2400000000000002</v>
      </c>
    </row>
    <row r="1797" spans="1:25" x14ac:dyDescent="0.25">
      <c r="A1797">
        <v>2022</v>
      </c>
      <c r="B1797" t="s">
        <v>57</v>
      </c>
      <c r="C1797">
        <v>16</v>
      </c>
      <c r="D1797">
        <v>160</v>
      </c>
      <c r="E1797" t="s">
        <v>93</v>
      </c>
      <c r="F1797" t="s">
        <v>189</v>
      </c>
      <c r="G1797">
        <f t="shared" si="660"/>
        <v>0</v>
      </c>
      <c r="H1797">
        <v>3</v>
      </c>
      <c r="I1797">
        <v>10</v>
      </c>
      <c r="J1797">
        <v>0</v>
      </c>
      <c r="K1797" s="6" t="str">
        <f t="shared" ref="K1797" si="667">"vs "&amp;E1796</f>
        <v>vs The Bridgeburners</v>
      </c>
      <c r="L1797" s="6" t="str">
        <f t="shared" ref="L1797" si="668">"vs "&amp;F1796</f>
        <v>vs Fanis</v>
      </c>
      <c r="M1797">
        <v>127</v>
      </c>
      <c r="N1797" s="1">
        <v>0.5</v>
      </c>
      <c r="O1797">
        <v>45</v>
      </c>
      <c r="P1797" s="1">
        <v>0.441</v>
      </c>
      <c r="Q1797" s="1">
        <v>0.78500000000000003</v>
      </c>
      <c r="R1797">
        <v>350</v>
      </c>
      <c r="S1797">
        <v>43</v>
      </c>
      <c r="T1797">
        <v>139</v>
      </c>
      <c r="U1797">
        <v>79</v>
      </c>
      <c r="V1797">
        <v>28</v>
      </c>
      <c r="W1797">
        <v>11</v>
      </c>
      <c r="X1797">
        <v>38</v>
      </c>
      <c r="Y1797" s="5">
        <v>2.08</v>
      </c>
    </row>
    <row r="1798" spans="1:25" x14ac:dyDescent="0.25">
      <c r="A1798">
        <v>2022</v>
      </c>
      <c r="B1798" t="s">
        <v>57</v>
      </c>
      <c r="C1798">
        <v>17</v>
      </c>
      <c r="D1798">
        <v>161</v>
      </c>
      <c r="E1798" t="s">
        <v>28</v>
      </c>
      <c r="F1798" t="s">
        <v>46</v>
      </c>
      <c r="G1798">
        <f t="shared" si="660"/>
        <v>1</v>
      </c>
      <c r="H1798">
        <v>10</v>
      </c>
      <c r="I1798">
        <v>3</v>
      </c>
      <c r="J1798">
        <v>0</v>
      </c>
      <c r="K1798" s="6" t="str">
        <f t="shared" ref="K1798" si="669">"vs "&amp;E1799</f>
        <v>vs The Guns</v>
      </c>
      <c r="L1798" s="6" t="str">
        <f t="shared" ref="L1798" si="670">"vs "&amp;F1799</f>
        <v>vs Vasilis</v>
      </c>
      <c r="M1798">
        <v>225</v>
      </c>
      <c r="N1798" s="1">
        <v>0.501</v>
      </c>
      <c r="O1798">
        <v>44</v>
      </c>
      <c r="P1798" s="1">
        <v>0.32400000000000001</v>
      </c>
      <c r="Q1798" s="1">
        <v>0.82199999999999995</v>
      </c>
      <c r="R1798">
        <v>568</v>
      </c>
      <c r="S1798">
        <v>58</v>
      </c>
      <c r="T1798">
        <v>205</v>
      </c>
      <c r="U1798">
        <v>144</v>
      </c>
      <c r="V1798">
        <v>35</v>
      </c>
      <c r="W1798">
        <v>15</v>
      </c>
      <c r="X1798">
        <v>82</v>
      </c>
      <c r="Y1798" s="5">
        <v>1.76</v>
      </c>
    </row>
    <row r="1799" spans="1:25" x14ac:dyDescent="0.25">
      <c r="A1799">
        <v>2022</v>
      </c>
      <c r="B1799" t="s">
        <v>57</v>
      </c>
      <c r="C1799">
        <v>17</v>
      </c>
      <c r="D1799">
        <v>161</v>
      </c>
      <c r="E1799" t="s">
        <v>33</v>
      </c>
      <c r="F1799" t="s">
        <v>42</v>
      </c>
      <c r="G1799">
        <f t="shared" si="660"/>
        <v>0</v>
      </c>
      <c r="H1799">
        <v>3</v>
      </c>
      <c r="I1799">
        <v>10</v>
      </c>
      <c r="J1799">
        <v>0</v>
      </c>
      <c r="K1799" s="6" t="str">
        <f t="shared" ref="K1799" si="671">"vs "&amp;E1798</f>
        <v>vs Steven Adams' Moustache</v>
      </c>
      <c r="L1799" s="6" t="str">
        <f t="shared" ref="L1799" si="672">"vs "&amp;F1798</f>
        <v>vs Johnny</v>
      </c>
      <c r="M1799">
        <v>126</v>
      </c>
      <c r="N1799" s="1">
        <v>0.44700000000000001</v>
      </c>
      <c r="O1799">
        <v>38</v>
      </c>
      <c r="P1799" s="1">
        <v>0.33900000000000002</v>
      </c>
      <c r="Q1799" s="1">
        <v>0.76700000000000002</v>
      </c>
      <c r="R1799">
        <v>346</v>
      </c>
      <c r="S1799">
        <v>21</v>
      </c>
      <c r="T1799">
        <v>98</v>
      </c>
      <c r="U1799">
        <v>92</v>
      </c>
      <c r="V1799">
        <v>17</v>
      </c>
      <c r="W1799">
        <v>10</v>
      </c>
      <c r="X1799">
        <v>51</v>
      </c>
      <c r="Y1799" s="5">
        <v>1.8</v>
      </c>
    </row>
    <row r="1800" spans="1:25" x14ac:dyDescent="0.25">
      <c r="A1800">
        <v>2022</v>
      </c>
      <c r="B1800" t="s">
        <v>57</v>
      </c>
      <c r="C1800">
        <v>17</v>
      </c>
      <c r="D1800">
        <v>162</v>
      </c>
      <c r="E1800" t="s">
        <v>181</v>
      </c>
      <c r="F1800" t="s">
        <v>49</v>
      </c>
      <c r="G1800">
        <f t="shared" si="660"/>
        <v>0</v>
      </c>
      <c r="H1800">
        <v>6</v>
      </c>
      <c r="I1800">
        <v>6</v>
      </c>
      <c r="J1800">
        <v>1</v>
      </c>
      <c r="K1800" s="6" t="str">
        <f t="shared" ref="K1800" si="673">"vs "&amp;E1801</f>
        <v>vs Pachiana NinjaBees</v>
      </c>
      <c r="L1800" s="6" t="str">
        <f t="shared" ref="L1800" si="674">"vs "&amp;F1801</f>
        <v>vs Spiridaus/Oladipas</v>
      </c>
      <c r="M1800">
        <v>161</v>
      </c>
      <c r="N1800" s="1">
        <v>0.45600000000000002</v>
      </c>
      <c r="O1800">
        <v>56</v>
      </c>
      <c r="P1800" s="1">
        <v>0.35399999999999998</v>
      </c>
      <c r="Q1800" s="1">
        <v>0.80900000000000005</v>
      </c>
      <c r="R1800">
        <v>454</v>
      </c>
      <c r="S1800">
        <v>25</v>
      </c>
      <c r="T1800">
        <v>131</v>
      </c>
      <c r="U1800">
        <v>94</v>
      </c>
      <c r="V1800">
        <v>33</v>
      </c>
      <c r="W1800">
        <v>14</v>
      </c>
      <c r="X1800">
        <v>41</v>
      </c>
      <c r="Y1800" s="5">
        <v>2.29</v>
      </c>
    </row>
    <row r="1801" spans="1:25" x14ac:dyDescent="0.25">
      <c r="A1801">
        <v>2022</v>
      </c>
      <c r="B1801" t="s">
        <v>57</v>
      </c>
      <c r="C1801">
        <v>17</v>
      </c>
      <c r="D1801">
        <v>162</v>
      </c>
      <c r="E1801" t="s">
        <v>23</v>
      </c>
      <c r="F1801" t="s">
        <v>120</v>
      </c>
      <c r="G1801">
        <f t="shared" si="660"/>
        <v>0</v>
      </c>
      <c r="H1801">
        <v>6</v>
      </c>
      <c r="I1801">
        <v>6</v>
      </c>
      <c r="J1801">
        <v>1</v>
      </c>
      <c r="K1801" s="6" t="str">
        <f t="shared" ref="K1801" si="675">"vs "&amp;E1800</f>
        <v>vs Samarina Dudenbros</v>
      </c>
      <c r="L1801" s="6" t="str">
        <f t="shared" ref="L1801" si="676">"vs "&amp;F1800</f>
        <v>vs Sakellariou</v>
      </c>
      <c r="M1801">
        <v>216</v>
      </c>
      <c r="N1801" s="1">
        <v>0.52700000000000002</v>
      </c>
      <c r="O1801">
        <v>42</v>
      </c>
      <c r="P1801" s="1">
        <v>0.318</v>
      </c>
      <c r="Q1801" s="1">
        <v>0.8</v>
      </c>
      <c r="R1801">
        <v>554</v>
      </c>
      <c r="S1801">
        <v>34</v>
      </c>
      <c r="T1801">
        <v>139</v>
      </c>
      <c r="U1801">
        <v>107</v>
      </c>
      <c r="V1801">
        <v>24</v>
      </c>
      <c r="W1801">
        <v>14</v>
      </c>
      <c r="X1801">
        <v>61</v>
      </c>
      <c r="Y1801" s="5">
        <v>1.75</v>
      </c>
    </row>
    <row r="1802" spans="1:25" x14ac:dyDescent="0.25">
      <c r="A1802">
        <v>2022</v>
      </c>
      <c r="B1802" t="s">
        <v>57</v>
      </c>
      <c r="C1802">
        <v>17</v>
      </c>
      <c r="D1802">
        <v>163</v>
      </c>
      <c r="E1802" t="s">
        <v>154</v>
      </c>
      <c r="F1802" t="s">
        <v>155</v>
      </c>
      <c r="G1802">
        <f t="shared" si="660"/>
        <v>1</v>
      </c>
      <c r="H1802">
        <v>7</v>
      </c>
      <c r="I1802">
        <v>6</v>
      </c>
      <c r="J1802">
        <v>0</v>
      </c>
      <c r="K1802" s="6" t="str">
        <f t="shared" ref="K1802" si="677">"vs "&amp;E1803</f>
        <v>vs Xanthi Ducks 🦆</v>
      </c>
      <c r="L1802" s="6" t="str">
        <f t="shared" ref="L1802" si="678">"vs "&amp;F1803</f>
        <v>vs Kotakis</v>
      </c>
      <c r="M1802">
        <v>145</v>
      </c>
      <c r="N1802" s="1">
        <v>0.46200000000000002</v>
      </c>
      <c r="O1802">
        <v>46</v>
      </c>
      <c r="P1802" s="1">
        <v>0.33100000000000002</v>
      </c>
      <c r="Q1802" s="1">
        <v>0.82299999999999995</v>
      </c>
      <c r="R1802">
        <v>387</v>
      </c>
      <c r="S1802">
        <v>36</v>
      </c>
      <c r="T1802">
        <v>132</v>
      </c>
      <c r="U1802">
        <v>67</v>
      </c>
      <c r="V1802">
        <v>23</v>
      </c>
      <c r="W1802">
        <v>21</v>
      </c>
      <c r="X1802">
        <v>33</v>
      </c>
      <c r="Y1802" s="5">
        <v>2.0299999999999998</v>
      </c>
    </row>
    <row r="1803" spans="1:25" x14ac:dyDescent="0.25">
      <c r="A1803">
        <v>2022</v>
      </c>
      <c r="B1803" t="s">
        <v>57</v>
      </c>
      <c r="C1803">
        <v>17</v>
      </c>
      <c r="D1803">
        <v>163</v>
      </c>
      <c r="E1803" t="s">
        <v>98</v>
      </c>
      <c r="F1803" t="s">
        <v>41</v>
      </c>
      <c r="G1803">
        <f t="shared" si="660"/>
        <v>0</v>
      </c>
      <c r="H1803">
        <v>6</v>
      </c>
      <c r="I1803">
        <v>7</v>
      </c>
      <c r="J1803">
        <v>0</v>
      </c>
      <c r="K1803" s="6" t="str">
        <f t="shared" ref="K1803" si="679">"vs "&amp;E1802</f>
        <v>vs The Bad Boys</v>
      </c>
      <c r="L1803" s="6" t="str">
        <f t="shared" ref="L1803" si="680">"vs "&amp;F1802</f>
        <v>vs Arvanitis</v>
      </c>
      <c r="M1803">
        <v>160</v>
      </c>
      <c r="N1803" s="1">
        <v>0.51</v>
      </c>
      <c r="O1803">
        <v>45</v>
      </c>
      <c r="P1803" s="1">
        <v>0.38100000000000001</v>
      </c>
      <c r="Q1803" s="1">
        <v>0.76900000000000002</v>
      </c>
      <c r="R1803">
        <v>415</v>
      </c>
      <c r="S1803">
        <v>27</v>
      </c>
      <c r="T1803">
        <v>107</v>
      </c>
      <c r="U1803">
        <v>78</v>
      </c>
      <c r="V1803">
        <v>42</v>
      </c>
      <c r="W1803">
        <v>15</v>
      </c>
      <c r="X1803">
        <v>42</v>
      </c>
      <c r="Y1803" s="5">
        <v>1.86</v>
      </c>
    </row>
    <row r="1804" spans="1:25" x14ac:dyDescent="0.25">
      <c r="A1804">
        <v>2022</v>
      </c>
      <c r="B1804" t="s">
        <v>57</v>
      </c>
      <c r="C1804">
        <v>17</v>
      </c>
      <c r="D1804">
        <v>164</v>
      </c>
      <c r="E1804" t="s">
        <v>94</v>
      </c>
      <c r="F1804" t="s">
        <v>40</v>
      </c>
      <c r="G1804">
        <f t="shared" si="660"/>
        <v>0</v>
      </c>
      <c r="H1804">
        <v>5</v>
      </c>
      <c r="I1804">
        <v>7</v>
      </c>
      <c r="J1804">
        <v>1</v>
      </c>
      <c r="K1804" s="6" t="str">
        <f t="shared" ref="K1804" si="681">"vs "&amp;E1805</f>
        <v>vs The Rookies</v>
      </c>
      <c r="L1804" s="6" t="str">
        <f t="shared" ref="L1804" si="682">"vs "&amp;F1805</f>
        <v>vs Kousidis</v>
      </c>
      <c r="M1804">
        <v>116</v>
      </c>
      <c r="N1804" s="1">
        <v>0.44400000000000001</v>
      </c>
      <c r="O1804">
        <v>38</v>
      </c>
      <c r="P1804" s="1">
        <v>0.33</v>
      </c>
      <c r="Q1804" s="1">
        <v>0.92900000000000005</v>
      </c>
      <c r="R1804">
        <v>309</v>
      </c>
      <c r="S1804">
        <v>35</v>
      </c>
      <c r="T1804">
        <v>87</v>
      </c>
      <c r="U1804">
        <v>60</v>
      </c>
      <c r="V1804">
        <v>27</v>
      </c>
      <c r="W1804">
        <v>13</v>
      </c>
      <c r="X1804">
        <v>43</v>
      </c>
      <c r="Y1804" s="5">
        <v>1.4</v>
      </c>
    </row>
    <row r="1805" spans="1:25" x14ac:dyDescent="0.25">
      <c r="A1805">
        <v>2022</v>
      </c>
      <c r="B1805" t="s">
        <v>57</v>
      </c>
      <c r="C1805">
        <v>17</v>
      </c>
      <c r="D1805">
        <v>164</v>
      </c>
      <c r="E1805" t="s">
        <v>25</v>
      </c>
      <c r="F1805" t="s">
        <v>53</v>
      </c>
      <c r="G1805">
        <f t="shared" si="660"/>
        <v>1</v>
      </c>
      <c r="H1805">
        <v>7</v>
      </c>
      <c r="I1805">
        <v>5</v>
      </c>
      <c r="J1805">
        <v>1</v>
      </c>
      <c r="K1805" s="6" t="str">
        <f t="shared" ref="K1805" si="683">"vs "&amp;E1804</f>
        <v>vs Fighting Thaddeus</v>
      </c>
      <c r="L1805" s="6" t="str">
        <f t="shared" ref="L1805" si="684">"vs "&amp;F1804</f>
        <v>vs Stavros</v>
      </c>
      <c r="M1805">
        <v>98</v>
      </c>
      <c r="N1805" s="1">
        <v>0.46200000000000002</v>
      </c>
      <c r="O1805">
        <v>28</v>
      </c>
      <c r="P1805" s="1">
        <v>0.42399999999999999</v>
      </c>
      <c r="Q1805" s="1">
        <v>0.76100000000000001</v>
      </c>
      <c r="R1805">
        <v>275</v>
      </c>
      <c r="S1805">
        <v>40</v>
      </c>
      <c r="T1805">
        <v>99</v>
      </c>
      <c r="U1805">
        <v>60</v>
      </c>
      <c r="V1805">
        <v>18</v>
      </c>
      <c r="W1805">
        <v>15</v>
      </c>
      <c r="X1805">
        <v>32</v>
      </c>
      <c r="Y1805" s="5">
        <v>1.88</v>
      </c>
    </row>
    <row r="1806" spans="1:25" x14ac:dyDescent="0.25">
      <c r="A1806">
        <v>2022</v>
      </c>
      <c r="B1806" t="s">
        <v>57</v>
      </c>
      <c r="C1806">
        <v>17</v>
      </c>
      <c r="D1806">
        <v>165</v>
      </c>
      <c r="E1806" t="s">
        <v>97</v>
      </c>
      <c r="F1806" t="s">
        <v>54</v>
      </c>
      <c r="G1806">
        <f t="shared" si="660"/>
        <v>1</v>
      </c>
      <c r="H1806">
        <v>9</v>
      </c>
      <c r="I1806">
        <v>4</v>
      </c>
      <c r="J1806">
        <v>0</v>
      </c>
      <c r="K1806" s="6" t="str">
        <f t="shared" ref="K1806" si="685">"vs "&amp;E1807</f>
        <v>vs Baltimore Hercules</v>
      </c>
      <c r="L1806" s="6" t="str">
        <f t="shared" ref="L1806" si="686">"vs "&amp;F1807</f>
        <v>vs Sarantos</v>
      </c>
      <c r="M1806">
        <v>128</v>
      </c>
      <c r="N1806" s="1">
        <v>0.48299999999999998</v>
      </c>
      <c r="O1806">
        <v>36</v>
      </c>
      <c r="P1806" s="1">
        <v>0.36399999999999999</v>
      </c>
      <c r="Q1806" s="1">
        <v>0.83499999999999996</v>
      </c>
      <c r="R1806">
        <v>393</v>
      </c>
      <c r="S1806">
        <v>24</v>
      </c>
      <c r="T1806">
        <v>97</v>
      </c>
      <c r="U1806">
        <v>99</v>
      </c>
      <c r="V1806">
        <v>18</v>
      </c>
      <c r="W1806">
        <v>10</v>
      </c>
      <c r="X1806">
        <v>38</v>
      </c>
      <c r="Y1806" s="5">
        <v>2.61</v>
      </c>
    </row>
    <row r="1807" spans="1:25" x14ac:dyDescent="0.25">
      <c r="A1807">
        <v>2022</v>
      </c>
      <c r="B1807" t="s">
        <v>57</v>
      </c>
      <c r="C1807">
        <v>17</v>
      </c>
      <c r="D1807">
        <v>165</v>
      </c>
      <c r="E1807" t="s">
        <v>95</v>
      </c>
      <c r="F1807" t="s">
        <v>101</v>
      </c>
      <c r="G1807">
        <f t="shared" si="660"/>
        <v>0</v>
      </c>
      <c r="H1807">
        <v>4</v>
      </c>
      <c r="I1807">
        <v>9</v>
      </c>
      <c r="J1807">
        <v>0</v>
      </c>
      <c r="K1807" s="6" t="str">
        <f t="shared" ref="K1807" si="687">"vs "&amp;E1806</f>
        <v>vs Underdogs</v>
      </c>
      <c r="L1807" s="6" t="str">
        <f t="shared" ref="L1807" si="688">"vs "&amp;F1806</f>
        <v>vs Nonis</v>
      </c>
      <c r="M1807">
        <v>137</v>
      </c>
      <c r="N1807" s="1">
        <v>0.443</v>
      </c>
      <c r="O1807">
        <v>46</v>
      </c>
      <c r="P1807" s="1">
        <v>0.307</v>
      </c>
      <c r="Q1807" s="1">
        <v>0.74299999999999999</v>
      </c>
      <c r="R1807">
        <v>375</v>
      </c>
      <c r="S1807">
        <v>31</v>
      </c>
      <c r="T1807">
        <v>93</v>
      </c>
      <c r="U1807">
        <v>79</v>
      </c>
      <c r="V1807">
        <v>29</v>
      </c>
      <c r="W1807">
        <v>6</v>
      </c>
      <c r="X1807">
        <v>48</v>
      </c>
      <c r="Y1807" s="5">
        <v>1.65</v>
      </c>
    </row>
    <row r="1808" spans="1:25" x14ac:dyDescent="0.25">
      <c r="A1808">
        <v>2022</v>
      </c>
      <c r="B1808" t="s">
        <v>57</v>
      </c>
      <c r="C1808">
        <v>17</v>
      </c>
      <c r="D1808">
        <v>166</v>
      </c>
      <c r="E1808" t="s">
        <v>96</v>
      </c>
      <c r="F1808" t="s">
        <v>102</v>
      </c>
      <c r="G1808">
        <f t="shared" si="660"/>
        <v>0</v>
      </c>
      <c r="H1808">
        <v>4</v>
      </c>
      <c r="I1808">
        <v>9</v>
      </c>
      <c r="J1808">
        <v>0</v>
      </c>
      <c r="K1808" s="6" t="str">
        <f t="shared" ref="K1808" si="689">"vs "&amp;E1809</f>
        <v>vs Kourayo Vallecano</v>
      </c>
      <c r="L1808" s="6" t="str">
        <f t="shared" ref="L1808" si="690">"vs "&amp;F1809</f>
        <v>vs Ziogas/Christof</v>
      </c>
      <c r="M1808">
        <v>83</v>
      </c>
      <c r="N1808" s="1">
        <v>0.45400000000000001</v>
      </c>
      <c r="O1808">
        <v>19</v>
      </c>
      <c r="P1808" s="1">
        <v>0.311</v>
      </c>
      <c r="Q1808" s="1">
        <v>0.69199999999999995</v>
      </c>
      <c r="R1808">
        <v>203</v>
      </c>
      <c r="S1808">
        <v>44</v>
      </c>
      <c r="T1808">
        <v>70</v>
      </c>
      <c r="U1808">
        <v>38</v>
      </c>
      <c r="V1808">
        <v>14</v>
      </c>
      <c r="W1808">
        <v>17</v>
      </c>
      <c r="X1808">
        <v>25</v>
      </c>
      <c r="Y1808" s="5">
        <v>1.52</v>
      </c>
    </row>
    <row r="1809" spans="1:25" x14ac:dyDescent="0.25">
      <c r="A1809">
        <v>2022</v>
      </c>
      <c r="B1809" t="s">
        <v>57</v>
      </c>
      <c r="C1809">
        <v>17</v>
      </c>
      <c r="D1809">
        <v>166</v>
      </c>
      <c r="E1809" t="s">
        <v>26</v>
      </c>
      <c r="F1809" t="s">
        <v>118</v>
      </c>
      <c r="G1809">
        <f t="shared" si="660"/>
        <v>1</v>
      </c>
      <c r="H1809">
        <v>9</v>
      </c>
      <c r="I1809">
        <v>4</v>
      </c>
      <c r="J1809">
        <v>0</v>
      </c>
      <c r="K1809" s="6" t="str">
        <f t="shared" ref="K1809" si="691">"vs "&amp;E1808</f>
        <v>vs Knights of Ni</v>
      </c>
      <c r="L1809" s="6" t="str">
        <f t="shared" ref="L1809" si="692">"vs "&amp;F1808</f>
        <v>vs Tolios</v>
      </c>
      <c r="M1809">
        <v>151</v>
      </c>
      <c r="N1809" s="1">
        <v>0.442</v>
      </c>
      <c r="O1809">
        <v>47</v>
      </c>
      <c r="P1809" s="1">
        <v>0.32600000000000001</v>
      </c>
      <c r="Q1809" s="1">
        <v>0.69399999999999995</v>
      </c>
      <c r="R1809">
        <v>417</v>
      </c>
      <c r="S1809">
        <v>33</v>
      </c>
      <c r="T1809">
        <v>152</v>
      </c>
      <c r="U1809">
        <v>123</v>
      </c>
      <c r="V1809">
        <v>21</v>
      </c>
      <c r="W1809">
        <v>7</v>
      </c>
      <c r="X1809">
        <v>57</v>
      </c>
      <c r="Y1809" s="5">
        <v>2.16</v>
      </c>
    </row>
    <row r="1810" spans="1:25" x14ac:dyDescent="0.25">
      <c r="A1810">
        <v>2022</v>
      </c>
      <c r="B1810" t="s">
        <v>57</v>
      </c>
      <c r="C1810">
        <v>17</v>
      </c>
      <c r="D1810">
        <v>167</v>
      </c>
      <c r="E1810" t="s">
        <v>159</v>
      </c>
      <c r="F1810" t="s">
        <v>116</v>
      </c>
      <c r="G1810">
        <f t="shared" si="660"/>
        <v>1</v>
      </c>
      <c r="H1810">
        <v>7</v>
      </c>
      <c r="I1810">
        <v>6</v>
      </c>
      <c r="J1810">
        <v>0</v>
      </c>
      <c r="K1810" s="6" t="str">
        <f t="shared" ref="K1810" si="693">"vs "&amp;E1811</f>
        <v>vs Karafli SaiTa</v>
      </c>
      <c r="L1810" s="6" t="str">
        <f t="shared" ref="L1810" si="694">"vs "&amp;F1811</f>
        <v>vs Tassos</v>
      </c>
      <c r="M1810">
        <v>182</v>
      </c>
      <c r="N1810" s="1">
        <v>0.46400000000000002</v>
      </c>
      <c r="O1810">
        <v>42</v>
      </c>
      <c r="P1810" s="1">
        <v>0.33900000000000002</v>
      </c>
      <c r="Q1810" s="1">
        <v>0.81399999999999995</v>
      </c>
      <c r="R1810">
        <v>498</v>
      </c>
      <c r="S1810">
        <v>48</v>
      </c>
      <c r="T1810">
        <v>169</v>
      </c>
      <c r="U1810">
        <v>168</v>
      </c>
      <c r="V1810">
        <v>32</v>
      </c>
      <c r="W1810">
        <v>18</v>
      </c>
      <c r="X1810">
        <v>69</v>
      </c>
      <c r="Y1810" s="5">
        <v>2.4300000000000002</v>
      </c>
    </row>
    <row r="1811" spans="1:25" x14ac:dyDescent="0.25">
      <c r="A1811">
        <v>2022</v>
      </c>
      <c r="B1811" t="s">
        <v>57</v>
      </c>
      <c r="C1811">
        <v>17</v>
      </c>
      <c r="D1811">
        <v>167</v>
      </c>
      <c r="E1811" t="s">
        <v>190</v>
      </c>
      <c r="F1811" t="s">
        <v>103</v>
      </c>
      <c r="G1811">
        <f t="shared" si="660"/>
        <v>0</v>
      </c>
      <c r="H1811">
        <v>6</v>
      </c>
      <c r="I1811">
        <v>7</v>
      </c>
      <c r="J1811">
        <v>0</v>
      </c>
      <c r="K1811" s="6" t="str">
        <f t="shared" ref="K1811" si="695">"vs "&amp;E1810</f>
        <v>vs purple fuzzy apache pirates</v>
      </c>
      <c r="L1811" s="6" t="str">
        <f t="shared" ref="L1811" si="696">"vs "&amp;F1810</f>
        <v>vs pi/Sotiris</v>
      </c>
      <c r="M1811">
        <v>168</v>
      </c>
      <c r="N1811" s="1">
        <v>0.499</v>
      </c>
      <c r="O1811">
        <v>48</v>
      </c>
      <c r="P1811" s="1">
        <v>0.42899999999999999</v>
      </c>
      <c r="Q1811" s="1">
        <v>0.871</v>
      </c>
      <c r="R1811">
        <v>438</v>
      </c>
      <c r="S1811">
        <v>59</v>
      </c>
      <c r="T1811">
        <v>128</v>
      </c>
      <c r="U1811">
        <v>88</v>
      </c>
      <c r="V1811">
        <v>27</v>
      </c>
      <c r="W1811">
        <v>16</v>
      </c>
      <c r="X1811">
        <v>55</v>
      </c>
      <c r="Y1811" s="5">
        <v>1.6</v>
      </c>
    </row>
    <row r="1812" spans="1:25" x14ac:dyDescent="0.25">
      <c r="A1812">
        <v>2022</v>
      </c>
      <c r="B1812" t="s">
        <v>57</v>
      </c>
      <c r="C1812">
        <v>17</v>
      </c>
      <c r="D1812">
        <v>168</v>
      </c>
      <c r="E1812" t="s">
        <v>17</v>
      </c>
      <c r="F1812" t="s">
        <v>43</v>
      </c>
      <c r="G1812">
        <f t="shared" si="660"/>
        <v>1</v>
      </c>
      <c r="H1812">
        <v>9</v>
      </c>
      <c r="I1812">
        <v>4</v>
      </c>
      <c r="J1812">
        <v>0</v>
      </c>
      <c r="K1812" s="6" t="str">
        <f t="shared" ref="K1812" si="697">"vs "&amp;E1813</f>
        <v>vs Salonika Devils</v>
      </c>
      <c r="L1812" s="6" t="str">
        <f t="shared" ref="L1812" si="698">"vs "&amp;F1813</f>
        <v>vs Fountos</v>
      </c>
      <c r="M1812">
        <v>135</v>
      </c>
      <c r="N1812" s="1">
        <v>0.48899999999999999</v>
      </c>
      <c r="O1812">
        <v>27</v>
      </c>
      <c r="P1812" s="1">
        <v>0.30299999999999999</v>
      </c>
      <c r="Q1812" s="1">
        <v>0.70799999999999996</v>
      </c>
      <c r="R1812">
        <v>348</v>
      </c>
      <c r="S1812">
        <v>35</v>
      </c>
      <c r="T1812">
        <v>119</v>
      </c>
      <c r="U1812">
        <v>67</v>
      </c>
      <c r="V1812">
        <v>17</v>
      </c>
      <c r="W1812">
        <v>20</v>
      </c>
      <c r="X1812">
        <v>45</v>
      </c>
      <c r="Y1812" s="5">
        <v>1.49</v>
      </c>
    </row>
    <row r="1813" spans="1:25" x14ac:dyDescent="0.25">
      <c r="A1813">
        <v>2022</v>
      </c>
      <c r="B1813" t="s">
        <v>57</v>
      </c>
      <c r="C1813">
        <v>17</v>
      </c>
      <c r="D1813">
        <v>168</v>
      </c>
      <c r="E1813" t="s">
        <v>15</v>
      </c>
      <c r="F1813" t="s">
        <v>48</v>
      </c>
      <c r="G1813">
        <f t="shared" si="660"/>
        <v>0</v>
      </c>
      <c r="H1813">
        <v>4</v>
      </c>
      <c r="I1813">
        <v>9</v>
      </c>
      <c r="J1813">
        <v>0</v>
      </c>
      <c r="K1813" s="6" t="str">
        <f t="shared" ref="K1813" si="699">"vs "&amp;E1812</f>
        <v>vs Donkey Rolls</v>
      </c>
      <c r="L1813" s="6" t="str">
        <f t="shared" ref="L1813" si="700">"vs "&amp;F1812</f>
        <v>vs Markos</v>
      </c>
      <c r="M1813">
        <v>126</v>
      </c>
      <c r="N1813" s="1">
        <v>0.48799999999999999</v>
      </c>
      <c r="O1813">
        <v>30</v>
      </c>
      <c r="P1813" s="1">
        <v>0.33700000000000002</v>
      </c>
      <c r="Q1813" s="1">
        <v>0.73799999999999999</v>
      </c>
      <c r="R1813">
        <v>327</v>
      </c>
      <c r="S1813">
        <v>26</v>
      </c>
      <c r="T1813">
        <v>89</v>
      </c>
      <c r="U1813">
        <v>65</v>
      </c>
      <c r="V1813">
        <v>14</v>
      </c>
      <c r="W1813">
        <v>15</v>
      </c>
      <c r="X1813">
        <v>44</v>
      </c>
      <c r="Y1813" s="5">
        <v>1.48</v>
      </c>
    </row>
    <row r="1814" spans="1:25" x14ac:dyDescent="0.25">
      <c r="A1814">
        <v>2022</v>
      </c>
      <c r="B1814" t="s">
        <v>57</v>
      </c>
      <c r="C1814">
        <v>17</v>
      </c>
      <c r="D1814">
        <v>169</v>
      </c>
      <c r="E1814" t="s">
        <v>99</v>
      </c>
      <c r="F1814" t="s">
        <v>45</v>
      </c>
      <c r="G1814">
        <f t="shared" si="660"/>
        <v>0</v>
      </c>
      <c r="H1814">
        <v>6</v>
      </c>
      <c r="I1814">
        <v>7</v>
      </c>
      <c r="J1814">
        <v>0</v>
      </c>
      <c r="K1814" s="6" t="str">
        <f t="shared" ref="K1814" si="701">"vs "&amp;E1815</f>
        <v>vs The Bridgeburners</v>
      </c>
      <c r="L1814" s="6" t="str">
        <f t="shared" ref="L1814" si="702">"vs "&amp;F1815</f>
        <v>vs Fanis</v>
      </c>
      <c r="M1814">
        <v>154</v>
      </c>
      <c r="N1814" s="1">
        <v>0.50800000000000001</v>
      </c>
      <c r="O1814">
        <v>48</v>
      </c>
      <c r="P1814" s="1">
        <v>0.375</v>
      </c>
      <c r="Q1814" s="1">
        <v>0.8</v>
      </c>
      <c r="R1814">
        <v>420</v>
      </c>
      <c r="S1814">
        <v>36</v>
      </c>
      <c r="T1814">
        <v>119</v>
      </c>
      <c r="U1814">
        <v>100</v>
      </c>
      <c r="V1814">
        <v>21</v>
      </c>
      <c r="W1814">
        <v>10</v>
      </c>
      <c r="X1814">
        <v>48</v>
      </c>
      <c r="Y1814" s="5">
        <v>2.08</v>
      </c>
    </row>
    <row r="1815" spans="1:25" x14ac:dyDescent="0.25">
      <c r="A1815">
        <v>2022</v>
      </c>
      <c r="B1815" t="s">
        <v>57</v>
      </c>
      <c r="C1815">
        <v>17</v>
      </c>
      <c r="D1815">
        <v>169</v>
      </c>
      <c r="E1815" t="s">
        <v>16</v>
      </c>
      <c r="F1815" t="s">
        <v>51</v>
      </c>
      <c r="G1815">
        <f t="shared" si="660"/>
        <v>1</v>
      </c>
      <c r="H1815">
        <v>7</v>
      </c>
      <c r="I1815">
        <v>6</v>
      </c>
      <c r="J1815">
        <v>0</v>
      </c>
      <c r="K1815" s="6" t="str">
        <f t="shared" ref="K1815" si="703">"vs "&amp;E1814</f>
        <v>vs Tsarlatans</v>
      </c>
      <c r="L1815" s="6" t="str">
        <f t="shared" ref="L1815" si="704">"vs "&amp;F1814</f>
        <v>vs Tzokos</v>
      </c>
      <c r="M1815">
        <v>178</v>
      </c>
      <c r="N1815" s="1">
        <v>0.49</v>
      </c>
      <c r="O1815">
        <v>63</v>
      </c>
      <c r="P1815" s="1">
        <v>0.41399999999999998</v>
      </c>
      <c r="Q1815" s="1">
        <v>0.70399999999999996</v>
      </c>
      <c r="R1815">
        <v>507</v>
      </c>
      <c r="S1815">
        <v>29</v>
      </c>
      <c r="T1815">
        <v>116</v>
      </c>
      <c r="U1815">
        <v>110</v>
      </c>
      <c r="V1815">
        <v>34</v>
      </c>
      <c r="W1815">
        <v>20</v>
      </c>
      <c r="X1815">
        <v>67</v>
      </c>
      <c r="Y1815" s="5">
        <v>1.64</v>
      </c>
    </row>
    <row r="1816" spans="1:25" x14ac:dyDescent="0.25">
      <c r="A1816">
        <v>2022</v>
      </c>
      <c r="B1816" t="s">
        <v>57</v>
      </c>
      <c r="C1816">
        <v>17</v>
      </c>
      <c r="D1816">
        <v>170</v>
      </c>
      <c r="E1816" t="s">
        <v>21</v>
      </c>
      <c r="F1816" t="s">
        <v>50</v>
      </c>
      <c r="G1816">
        <f t="shared" si="660"/>
        <v>1</v>
      </c>
      <c r="H1816">
        <v>7</v>
      </c>
      <c r="I1816">
        <v>6</v>
      </c>
      <c r="J1816">
        <v>0</v>
      </c>
      <c r="K1816" s="6" t="str">
        <f t="shared" ref="K1816" si="705">"vs "&amp;E1817</f>
        <v>vs Guruuu 🐐🐐🐐</v>
      </c>
      <c r="L1816" s="6" t="str">
        <f t="shared" ref="L1816" si="706">"vs "&amp;F1817</f>
        <v>vs Guru</v>
      </c>
      <c r="M1816">
        <v>190</v>
      </c>
      <c r="N1816" s="1">
        <v>0.51500000000000001</v>
      </c>
      <c r="O1816">
        <v>44</v>
      </c>
      <c r="P1816" s="1">
        <v>0.34100000000000003</v>
      </c>
      <c r="Q1816" s="1">
        <v>0.75800000000000001</v>
      </c>
      <c r="R1816">
        <v>524</v>
      </c>
      <c r="S1816">
        <v>37</v>
      </c>
      <c r="T1816">
        <v>108</v>
      </c>
      <c r="U1816">
        <v>107</v>
      </c>
      <c r="V1816">
        <v>18</v>
      </c>
      <c r="W1816">
        <v>8</v>
      </c>
      <c r="X1816">
        <v>53</v>
      </c>
      <c r="Y1816" s="5">
        <v>2.02</v>
      </c>
    </row>
    <row r="1817" spans="1:25" x14ac:dyDescent="0.25">
      <c r="A1817">
        <v>2022</v>
      </c>
      <c r="B1817" t="s">
        <v>57</v>
      </c>
      <c r="C1817">
        <v>17</v>
      </c>
      <c r="D1817">
        <v>170</v>
      </c>
      <c r="E1817" t="s">
        <v>93</v>
      </c>
      <c r="F1817" t="s">
        <v>189</v>
      </c>
      <c r="G1817">
        <f t="shared" si="660"/>
        <v>0</v>
      </c>
      <c r="H1817">
        <v>6</v>
      </c>
      <c r="I1817">
        <v>7</v>
      </c>
      <c r="J1817">
        <v>0</v>
      </c>
      <c r="K1817" s="6" t="str">
        <f t="shared" ref="K1817" si="707">"vs "&amp;E1816</f>
        <v>vs st.Helens Eruptions</v>
      </c>
      <c r="L1817" s="6" t="str">
        <f t="shared" ref="L1817" si="708">"vs "&amp;F1816</f>
        <v>vs Aris</v>
      </c>
      <c r="M1817">
        <v>150</v>
      </c>
      <c r="N1817" s="1">
        <v>0.45700000000000002</v>
      </c>
      <c r="O1817">
        <v>56</v>
      </c>
      <c r="P1817" s="1">
        <v>0.38400000000000001</v>
      </c>
      <c r="Q1817" s="1">
        <v>0.88200000000000001</v>
      </c>
      <c r="R1817">
        <v>431</v>
      </c>
      <c r="S1817">
        <v>25</v>
      </c>
      <c r="T1817">
        <v>106</v>
      </c>
      <c r="U1817">
        <v>85</v>
      </c>
      <c r="V1817">
        <v>28</v>
      </c>
      <c r="W1817">
        <v>20</v>
      </c>
      <c r="X1817">
        <v>46</v>
      </c>
      <c r="Y1817" s="5">
        <v>1.85</v>
      </c>
    </row>
    <row r="1818" spans="1:25" x14ac:dyDescent="0.25">
      <c r="A1818">
        <v>2022</v>
      </c>
      <c r="B1818" t="s">
        <v>57</v>
      </c>
      <c r="C1818">
        <v>18</v>
      </c>
      <c r="D1818">
        <v>171</v>
      </c>
      <c r="E1818" t="s">
        <v>181</v>
      </c>
      <c r="F1818" t="s">
        <v>49</v>
      </c>
      <c r="G1818">
        <f t="shared" si="660"/>
        <v>1</v>
      </c>
      <c r="H1818">
        <v>10</v>
      </c>
      <c r="I1818">
        <v>3</v>
      </c>
      <c r="J1818">
        <v>0</v>
      </c>
      <c r="K1818" s="6" t="str">
        <f t="shared" ref="K1818" si="709">"vs "&amp;E1819</f>
        <v>vs Knights of Ni</v>
      </c>
      <c r="L1818" s="6" t="str">
        <f t="shared" ref="L1818" si="710">"vs "&amp;F1819</f>
        <v>vs Tolios</v>
      </c>
      <c r="M1818">
        <v>209</v>
      </c>
      <c r="N1818" s="1">
        <v>0.46</v>
      </c>
      <c r="O1818">
        <v>57</v>
      </c>
      <c r="P1818" s="1">
        <v>0.35</v>
      </c>
      <c r="Q1818" s="1">
        <v>0.68899999999999995</v>
      </c>
      <c r="R1818">
        <v>546</v>
      </c>
      <c r="S1818">
        <v>45</v>
      </c>
      <c r="T1818">
        <v>151</v>
      </c>
      <c r="U1818">
        <v>134</v>
      </c>
      <c r="V1818">
        <v>49</v>
      </c>
      <c r="W1818">
        <v>16</v>
      </c>
      <c r="X1818">
        <v>52</v>
      </c>
      <c r="Y1818" s="5">
        <v>2.58</v>
      </c>
    </row>
    <row r="1819" spans="1:25" x14ac:dyDescent="0.25">
      <c r="A1819">
        <v>2022</v>
      </c>
      <c r="B1819" t="s">
        <v>57</v>
      </c>
      <c r="C1819">
        <v>18</v>
      </c>
      <c r="D1819">
        <v>171</v>
      </c>
      <c r="E1819" t="s">
        <v>96</v>
      </c>
      <c r="F1819" t="s">
        <v>102</v>
      </c>
      <c r="G1819">
        <f t="shared" si="660"/>
        <v>0</v>
      </c>
      <c r="H1819">
        <v>3</v>
      </c>
      <c r="I1819">
        <v>10</v>
      </c>
      <c r="J1819">
        <v>0</v>
      </c>
      <c r="K1819" s="6" t="str">
        <f t="shared" ref="K1819" si="711">"vs "&amp;E1818</f>
        <v>vs Samarina Dudenbros</v>
      </c>
      <c r="L1819" s="6" t="str">
        <f t="shared" ref="L1819" si="712">"vs "&amp;F1818</f>
        <v>vs Sakellariou</v>
      </c>
      <c r="M1819">
        <v>147</v>
      </c>
      <c r="N1819" s="1">
        <v>0.44400000000000001</v>
      </c>
      <c r="O1819">
        <v>40</v>
      </c>
      <c r="P1819" s="1">
        <v>0.34799999999999998</v>
      </c>
      <c r="Q1819" s="1">
        <v>0.75900000000000001</v>
      </c>
      <c r="R1819">
        <v>394</v>
      </c>
      <c r="S1819">
        <v>33</v>
      </c>
      <c r="T1819">
        <v>100</v>
      </c>
      <c r="U1819">
        <v>92</v>
      </c>
      <c r="V1819">
        <v>27</v>
      </c>
      <c r="W1819">
        <v>11</v>
      </c>
      <c r="X1819">
        <v>34</v>
      </c>
      <c r="Y1819" s="5">
        <v>2.71</v>
      </c>
    </row>
    <row r="1820" spans="1:25" x14ac:dyDescent="0.25">
      <c r="A1820">
        <v>2022</v>
      </c>
      <c r="B1820" t="s">
        <v>57</v>
      </c>
      <c r="C1820">
        <v>18</v>
      </c>
      <c r="D1820">
        <v>172</v>
      </c>
      <c r="E1820" t="s">
        <v>15</v>
      </c>
      <c r="F1820" t="s">
        <v>48</v>
      </c>
      <c r="G1820">
        <f t="shared" si="660"/>
        <v>1</v>
      </c>
      <c r="H1820">
        <v>7</v>
      </c>
      <c r="I1820">
        <v>6</v>
      </c>
      <c r="J1820">
        <v>0</v>
      </c>
      <c r="K1820" s="6" t="str">
        <f t="shared" ref="K1820" si="713">"vs "&amp;E1821</f>
        <v>vs The Rookies</v>
      </c>
      <c r="L1820" s="6" t="str">
        <f t="shared" ref="L1820" si="714">"vs "&amp;F1821</f>
        <v>vs Kousidis</v>
      </c>
      <c r="M1820">
        <v>207</v>
      </c>
      <c r="N1820" s="1">
        <v>0.45300000000000001</v>
      </c>
      <c r="O1820">
        <v>63</v>
      </c>
      <c r="P1820" s="1">
        <v>0.36199999999999999</v>
      </c>
      <c r="Q1820" s="1">
        <v>0.81100000000000005</v>
      </c>
      <c r="R1820">
        <v>550</v>
      </c>
      <c r="S1820">
        <v>55</v>
      </c>
      <c r="T1820">
        <v>149</v>
      </c>
      <c r="U1820">
        <v>118</v>
      </c>
      <c r="V1820">
        <v>38</v>
      </c>
      <c r="W1820">
        <v>20</v>
      </c>
      <c r="X1820">
        <v>64</v>
      </c>
      <c r="Y1820" s="5">
        <v>1.84</v>
      </c>
    </row>
    <row r="1821" spans="1:25" x14ac:dyDescent="0.25">
      <c r="A1821">
        <v>2022</v>
      </c>
      <c r="B1821" t="s">
        <v>57</v>
      </c>
      <c r="C1821">
        <v>18</v>
      </c>
      <c r="D1821">
        <v>172</v>
      </c>
      <c r="E1821" t="s">
        <v>25</v>
      </c>
      <c r="F1821" t="s">
        <v>53</v>
      </c>
      <c r="G1821">
        <f t="shared" si="660"/>
        <v>0</v>
      </c>
      <c r="H1821">
        <v>6</v>
      </c>
      <c r="I1821">
        <v>7</v>
      </c>
      <c r="J1821">
        <v>0</v>
      </c>
      <c r="K1821" s="6" t="str">
        <f t="shared" ref="K1821" si="715">"vs "&amp;E1820</f>
        <v>vs Salonika Devils</v>
      </c>
      <c r="L1821" s="6" t="str">
        <f t="shared" ref="L1821" si="716">"vs "&amp;F1820</f>
        <v>vs Fountos</v>
      </c>
      <c r="M1821">
        <v>180</v>
      </c>
      <c r="N1821" s="1">
        <v>0.56100000000000005</v>
      </c>
      <c r="O1821">
        <v>31</v>
      </c>
      <c r="P1821" s="1">
        <v>0.39200000000000002</v>
      </c>
      <c r="Q1821" s="1">
        <v>0.73599999999999999</v>
      </c>
      <c r="R1821">
        <v>483</v>
      </c>
      <c r="S1821">
        <v>80</v>
      </c>
      <c r="T1821">
        <v>150</v>
      </c>
      <c r="U1821">
        <v>64</v>
      </c>
      <c r="V1821">
        <v>27</v>
      </c>
      <c r="W1821">
        <v>24</v>
      </c>
      <c r="X1821">
        <v>46</v>
      </c>
      <c r="Y1821" s="5">
        <v>1.39</v>
      </c>
    </row>
    <row r="1822" spans="1:25" x14ac:dyDescent="0.25">
      <c r="A1822">
        <v>2022</v>
      </c>
      <c r="B1822" t="s">
        <v>57</v>
      </c>
      <c r="C1822">
        <v>18</v>
      </c>
      <c r="D1822">
        <v>173</v>
      </c>
      <c r="E1822" t="s">
        <v>33</v>
      </c>
      <c r="F1822" t="s">
        <v>42</v>
      </c>
      <c r="G1822">
        <f t="shared" si="660"/>
        <v>1</v>
      </c>
      <c r="H1822">
        <v>9</v>
      </c>
      <c r="I1822">
        <v>4</v>
      </c>
      <c r="J1822">
        <v>0</v>
      </c>
      <c r="K1822" s="6" t="str">
        <f t="shared" ref="K1822" si="717">"vs "&amp;E1823</f>
        <v>vs Baltimore Hercules</v>
      </c>
      <c r="L1822" s="6" t="str">
        <f t="shared" ref="L1822" si="718">"vs "&amp;F1823</f>
        <v>vs Sarantos</v>
      </c>
      <c r="M1822">
        <v>185</v>
      </c>
      <c r="N1822" s="1">
        <v>0.52900000000000003</v>
      </c>
      <c r="O1822">
        <v>43</v>
      </c>
      <c r="P1822" s="1">
        <v>0.36099999999999999</v>
      </c>
      <c r="Q1822" s="1">
        <v>0.71799999999999997</v>
      </c>
      <c r="R1822">
        <v>492</v>
      </c>
      <c r="S1822">
        <v>47</v>
      </c>
      <c r="T1822">
        <v>136</v>
      </c>
      <c r="U1822">
        <v>87</v>
      </c>
      <c r="V1822">
        <v>26</v>
      </c>
      <c r="W1822">
        <v>24</v>
      </c>
      <c r="X1822">
        <v>55</v>
      </c>
      <c r="Y1822" s="5">
        <v>1.58</v>
      </c>
    </row>
    <row r="1823" spans="1:25" x14ac:dyDescent="0.25">
      <c r="A1823">
        <v>2022</v>
      </c>
      <c r="B1823" t="s">
        <v>57</v>
      </c>
      <c r="C1823">
        <v>18</v>
      </c>
      <c r="D1823">
        <v>173</v>
      </c>
      <c r="E1823" t="s">
        <v>95</v>
      </c>
      <c r="F1823" t="s">
        <v>101</v>
      </c>
      <c r="G1823">
        <f t="shared" si="660"/>
        <v>0</v>
      </c>
      <c r="H1823">
        <v>4</v>
      </c>
      <c r="I1823">
        <v>9</v>
      </c>
      <c r="J1823">
        <v>0</v>
      </c>
      <c r="K1823" s="6" t="str">
        <f t="shared" ref="K1823" si="719">"vs "&amp;E1822</f>
        <v>vs The Guns</v>
      </c>
      <c r="L1823" s="6" t="str">
        <f t="shared" ref="L1823" si="720">"vs "&amp;F1822</f>
        <v>vs Vasilis</v>
      </c>
      <c r="M1823">
        <v>142</v>
      </c>
      <c r="N1823" s="1">
        <v>0.495</v>
      </c>
      <c r="O1823">
        <v>48</v>
      </c>
      <c r="P1823" s="1">
        <v>0.32700000000000001</v>
      </c>
      <c r="Q1823" s="1">
        <v>0.72</v>
      </c>
      <c r="R1823">
        <v>399</v>
      </c>
      <c r="S1823">
        <v>32</v>
      </c>
      <c r="T1823">
        <v>107</v>
      </c>
      <c r="U1823">
        <v>79</v>
      </c>
      <c r="V1823">
        <v>25</v>
      </c>
      <c r="W1823">
        <v>21</v>
      </c>
      <c r="X1823">
        <v>33</v>
      </c>
      <c r="Y1823" s="5">
        <v>2.39</v>
      </c>
    </row>
    <row r="1824" spans="1:25" x14ac:dyDescent="0.25">
      <c r="A1824">
        <v>2022</v>
      </c>
      <c r="B1824" t="s">
        <v>57</v>
      </c>
      <c r="C1824">
        <v>18</v>
      </c>
      <c r="D1824">
        <v>174</v>
      </c>
      <c r="E1824" t="s">
        <v>190</v>
      </c>
      <c r="F1824" t="s">
        <v>103</v>
      </c>
      <c r="G1824">
        <f t="shared" si="660"/>
        <v>1</v>
      </c>
      <c r="H1824">
        <v>10</v>
      </c>
      <c r="I1824">
        <v>3</v>
      </c>
      <c r="J1824">
        <v>0</v>
      </c>
      <c r="K1824" s="6" t="str">
        <f t="shared" ref="K1824" si="721">"vs "&amp;E1825</f>
        <v>vs Fighting Thaddeus</v>
      </c>
      <c r="L1824" s="6" t="str">
        <f t="shared" ref="L1824" si="722">"vs "&amp;F1825</f>
        <v>vs Stavros</v>
      </c>
      <c r="M1824">
        <v>186</v>
      </c>
      <c r="N1824" s="1">
        <v>0.45800000000000002</v>
      </c>
      <c r="O1824">
        <v>46</v>
      </c>
      <c r="P1824" s="1">
        <v>0.32600000000000001</v>
      </c>
      <c r="Q1824" s="1">
        <v>0.78</v>
      </c>
      <c r="R1824">
        <v>503</v>
      </c>
      <c r="S1824">
        <v>61</v>
      </c>
      <c r="T1824">
        <v>181</v>
      </c>
      <c r="U1824">
        <v>104</v>
      </c>
      <c r="V1824">
        <v>32</v>
      </c>
      <c r="W1824">
        <v>36</v>
      </c>
      <c r="X1824">
        <v>45</v>
      </c>
      <c r="Y1824" s="5">
        <v>2.31</v>
      </c>
    </row>
    <row r="1825" spans="1:25" x14ac:dyDescent="0.25">
      <c r="A1825">
        <v>2022</v>
      </c>
      <c r="B1825" t="s">
        <v>57</v>
      </c>
      <c r="C1825">
        <v>18</v>
      </c>
      <c r="D1825">
        <v>174</v>
      </c>
      <c r="E1825" t="s">
        <v>94</v>
      </c>
      <c r="F1825" t="s">
        <v>40</v>
      </c>
      <c r="G1825">
        <f t="shared" si="660"/>
        <v>0</v>
      </c>
      <c r="H1825">
        <v>3</v>
      </c>
      <c r="I1825">
        <v>10</v>
      </c>
      <c r="J1825">
        <v>0</v>
      </c>
      <c r="K1825" s="6" t="str">
        <f t="shared" ref="K1825" si="723">"vs "&amp;E1824</f>
        <v>vs Karafli SaiTa</v>
      </c>
      <c r="L1825" s="6" t="str">
        <f t="shared" ref="L1825" si="724">"vs "&amp;F1824</f>
        <v>vs Tassos</v>
      </c>
      <c r="M1825">
        <v>145</v>
      </c>
      <c r="N1825" s="1">
        <v>0.44500000000000001</v>
      </c>
      <c r="O1825">
        <v>59</v>
      </c>
      <c r="P1825" s="1">
        <v>0.376</v>
      </c>
      <c r="Q1825" s="1">
        <v>0.79700000000000004</v>
      </c>
      <c r="R1825">
        <v>396</v>
      </c>
      <c r="S1825">
        <v>48</v>
      </c>
      <c r="T1825">
        <v>105</v>
      </c>
      <c r="U1825">
        <v>63</v>
      </c>
      <c r="V1825">
        <v>29</v>
      </c>
      <c r="W1825">
        <v>14</v>
      </c>
      <c r="X1825">
        <v>46</v>
      </c>
      <c r="Y1825" s="5">
        <v>1.37</v>
      </c>
    </row>
    <row r="1826" spans="1:25" x14ac:dyDescent="0.25">
      <c r="A1826">
        <v>2022</v>
      </c>
      <c r="B1826" t="s">
        <v>57</v>
      </c>
      <c r="C1826">
        <v>18</v>
      </c>
      <c r="D1826">
        <v>175</v>
      </c>
      <c r="E1826" t="s">
        <v>26</v>
      </c>
      <c r="F1826" t="s">
        <v>118</v>
      </c>
      <c r="G1826">
        <f t="shared" si="660"/>
        <v>0</v>
      </c>
      <c r="H1826">
        <v>3</v>
      </c>
      <c r="I1826">
        <v>10</v>
      </c>
      <c r="J1826">
        <v>0</v>
      </c>
      <c r="K1826" s="6" t="str">
        <f t="shared" ref="K1826" si="725">"vs "&amp;E1827</f>
        <v>vs Underdogs</v>
      </c>
      <c r="L1826" s="6" t="str">
        <f t="shared" ref="L1826" si="726">"vs "&amp;F1827</f>
        <v>vs Nonis</v>
      </c>
      <c r="M1826">
        <v>169</v>
      </c>
      <c r="N1826" s="1">
        <v>0.42</v>
      </c>
      <c r="O1826">
        <v>55</v>
      </c>
      <c r="P1826" s="1">
        <v>0.33100000000000002</v>
      </c>
      <c r="Q1826" s="1">
        <v>0.76200000000000001</v>
      </c>
      <c r="R1826">
        <v>486</v>
      </c>
      <c r="S1826">
        <v>32</v>
      </c>
      <c r="T1826">
        <v>162</v>
      </c>
      <c r="U1826">
        <v>157</v>
      </c>
      <c r="V1826">
        <v>33</v>
      </c>
      <c r="W1826">
        <v>12</v>
      </c>
      <c r="X1826">
        <v>76</v>
      </c>
      <c r="Y1826" s="5">
        <v>2.0699999999999998</v>
      </c>
    </row>
    <row r="1827" spans="1:25" x14ac:dyDescent="0.25">
      <c r="A1827">
        <v>2022</v>
      </c>
      <c r="B1827" t="s">
        <v>57</v>
      </c>
      <c r="C1827">
        <v>18</v>
      </c>
      <c r="D1827">
        <v>175</v>
      </c>
      <c r="E1827" t="s">
        <v>97</v>
      </c>
      <c r="F1827" t="s">
        <v>54</v>
      </c>
      <c r="G1827">
        <f t="shared" si="660"/>
        <v>1</v>
      </c>
      <c r="H1827">
        <v>10</v>
      </c>
      <c r="I1827">
        <v>3</v>
      </c>
      <c r="J1827">
        <v>0</v>
      </c>
      <c r="K1827" s="6" t="str">
        <f t="shared" ref="K1827" si="727">"vs "&amp;E1826</f>
        <v>vs Kourayo Vallecano</v>
      </c>
      <c r="L1827" s="6" t="str">
        <f t="shared" ref="L1827" si="728">"vs "&amp;F1826</f>
        <v>vs Ziogas/Christof</v>
      </c>
      <c r="M1827">
        <v>245</v>
      </c>
      <c r="N1827" s="1">
        <v>0.49299999999999999</v>
      </c>
      <c r="O1827">
        <v>64</v>
      </c>
      <c r="P1827" s="1">
        <v>0.36799999999999999</v>
      </c>
      <c r="Q1827" s="1">
        <v>0.82099999999999995</v>
      </c>
      <c r="R1827">
        <v>746</v>
      </c>
      <c r="S1827">
        <v>40</v>
      </c>
      <c r="T1827">
        <v>203</v>
      </c>
      <c r="U1827">
        <v>158</v>
      </c>
      <c r="V1827">
        <v>23</v>
      </c>
      <c r="W1827">
        <v>23</v>
      </c>
      <c r="X1827">
        <v>83</v>
      </c>
      <c r="Y1827" s="5">
        <v>1.9</v>
      </c>
    </row>
    <row r="1828" spans="1:25" x14ac:dyDescent="0.25">
      <c r="A1828">
        <v>2022</v>
      </c>
      <c r="B1828" t="s">
        <v>57</v>
      </c>
      <c r="C1828">
        <v>18</v>
      </c>
      <c r="D1828">
        <v>176</v>
      </c>
      <c r="E1828" t="s">
        <v>93</v>
      </c>
      <c r="F1828" t="s">
        <v>189</v>
      </c>
      <c r="G1828">
        <f t="shared" si="660"/>
        <v>0</v>
      </c>
      <c r="H1828">
        <v>6</v>
      </c>
      <c r="I1828">
        <v>6</v>
      </c>
      <c r="J1828">
        <v>1</v>
      </c>
      <c r="K1828" s="6" t="str">
        <f t="shared" ref="K1828" si="729">"vs "&amp;E1829</f>
        <v>vs Donkey Rolls</v>
      </c>
      <c r="L1828" s="6" t="str">
        <f t="shared" ref="L1828" si="730">"vs "&amp;F1829</f>
        <v>vs Markos</v>
      </c>
      <c r="M1828">
        <v>202</v>
      </c>
      <c r="N1828" s="1">
        <v>0.45800000000000002</v>
      </c>
      <c r="O1828">
        <v>70</v>
      </c>
      <c r="P1828" s="1">
        <v>0.37</v>
      </c>
      <c r="Q1828" s="1">
        <v>0.79800000000000004</v>
      </c>
      <c r="R1828">
        <v>577</v>
      </c>
      <c r="S1828">
        <v>37</v>
      </c>
      <c r="T1828">
        <v>145</v>
      </c>
      <c r="U1828">
        <v>110</v>
      </c>
      <c r="V1828">
        <v>31</v>
      </c>
      <c r="W1828">
        <v>21</v>
      </c>
      <c r="X1828">
        <v>69</v>
      </c>
      <c r="Y1828" s="5">
        <v>1.59</v>
      </c>
    </row>
    <row r="1829" spans="1:25" x14ac:dyDescent="0.25">
      <c r="A1829">
        <v>2022</v>
      </c>
      <c r="B1829" t="s">
        <v>57</v>
      </c>
      <c r="C1829">
        <v>18</v>
      </c>
      <c r="D1829">
        <v>176</v>
      </c>
      <c r="E1829" t="s">
        <v>17</v>
      </c>
      <c r="F1829" t="s">
        <v>43</v>
      </c>
      <c r="G1829">
        <f t="shared" si="660"/>
        <v>0</v>
      </c>
      <c r="H1829">
        <v>6</v>
      </c>
      <c r="I1829">
        <v>6</v>
      </c>
      <c r="J1829">
        <v>1</v>
      </c>
      <c r="K1829" s="6" t="str">
        <f t="shared" ref="K1829" si="731">"vs "&amp;E1828</f>
        <v>vs Guruuu 🐐🐐🐐</v>
      </c>
      <c r="L1829" s="6" t="str">
        <f t="shared" ref="L1829" si="732">"vs "&amp;F1828</f>
        <v>vs Guru</v>
      </c>
      <c r="M1829">
        <v>188</v>
      </c>
      <c r="N1829" s="1">
        <v>0.46</v>
      </c>
      <c r="O1829">
        <v>58</v>
      </c>
      <c r="P1829" s="1">
        <v>0.40600000000000003</v>
      </c>
      <c r="Q1829" s="1">
        <v>0.81200000000000006</v>
      </c>
      <c r="R1829">
        <v>529</v>
      </c>
      <c r="S1829">
        <v>50</v>
      </c>
      <c r="T1829">
        <v>144</v>
      </c>
      <c r="U1829">
        <v>89</v>
      </c>
      <c r="V1829">
        <v>31</v>
      </c>
      <c r="W1829">
        <v>18</v>
      </c>
      <c r="X1829">
        <v>44</v>
      </c>
      <c r="Y1829" s="5">
        <v>2.02</v>
      </c>
    </row>
    <row r="1830" spans="1:25" x14ac:dyDescent="0.25">
      <c r="A1830">
        <v>2022</v>
      </c>
      <c r="B1830" t="s">
        <v>57</v>
      </c>
      <c r="C1830">
        <v>18</v>
      </c>
      <c r="D1830">
        <v>177</v>
      </c>
      <c r="E1830" t="s">
        <v>98</v>
      </c>
      <c r="F1830" t="s">
        <v>41</v>
      </c>
      <c r="G1830">
        <f t="shared" si="660"/>
        <v>0</v>
      </c>
      <c r="H1830">
        <v>4</v>
      </c>
      <c r="I1830">
        <v>9</v>
      </c>
      <c r="J1830">
        <v>0</v>
      </c>
      <c r="K1830" s="6" t="str">
        <f t="shared" ref="K1830" si="733">"vs "&amp;E1831</f>
        <v>vs Steven Adams' Moustache</v>
      </c>
      <c r="L1830" s="6" t="str">
        <f t="shared" ref="L1830" si="734">"vs "&amp;F1831</f>
        <v>vs Johnny</v>
      </c>
      <c r="M1830">
        <v>157</v>
      </c>
      <c r="N1830" s="1">
        <v>0.46</v>
      </c>
      <c r="O1830">
        <v>45</v>
      </c>
      <c r="P1830" s="1">
        <v>0.34899999999999998</v>
      </c>
      <c r="Q1830" s="1">
        <v>0.81699999999999995</v>
      </c>
      <c r="R1830">
        <v>435</v>
      </c>
      <c r="S1830">
        <v>47</v>
      </c>
      <c r="T1830">
        <v>116</v>
      </c>
      <c r="U1830">
        <v>84</v>
      </c>
      <c r="V1830">
        <v>37</v>
      </c>
      <c r="W1830">
        <v>32</v>
      </c>
      <c r="X1830">
        <v>52</v>
      </c>
      <c r="Y1830" s="5">
        <v>1.62</v>
      </c>
    </row>
    <row r="1831" spans="1:25" x14ac:dyDescent="0.25">
      <c r="A1831">
        <v>2022</v>
      </c>
      <c r="B1831" t="s">
        <v>57</v>
      </c>
      <c r="C1831">
        <v>18</v>
      </c>
      <c r="D1831">
        <v>177</v>
      </c>
      <c r="E1831" t="s">
        <v>28</v>
      </c>
      <c r="F1831" t="s">
        <v>46</v>
      </c>
      <c r="G1831">
        <f t="shared" si="660"/>
        <v>1</v>
      </c>
      <c r="H1831">
        <v>9</v>
      </c>
      <c r="I1831">
        <v>4</v>
      </c>
      <c r="J1831">
        <v>0</v>
      </c>
      <c r="K1831" s="6" t="str">
        <f t="shared" ref="K1831" si="735">"vs "&amp;E1830</f>
        <v>vs Xanthi Ducks 🦆</v>
      </c>
      <c r="L1831" s="6" t="str">
        <f t="shared" ref="L1831" si="736">"vs "&amp;F1830</f>
        <v>vs Kotakis</v>
      </c>
      <c r="M1831">
        <v>272</v>
      </c>
      <c r="N1831" s="1">
        <v>0.52700000000000002</v>
      </c>
      <c r="O1831">
        <v>63</v>
      </c>
      <c r="P1831" s="1">
        <v>0.39600000000000002</v>
      </c>
      <c r="Q1831" s="1">
        <v>0.71699999999999997</v>
      </c>
      <c r="R1831">
        <v>711</v>
      </c>
      <c r="S1831">
        <v>56</v>
      </c>
      <c r="T1831">
        <v>189</v>
      </c>
      <c r="U1831">
        <v>151</v>
      </c>
      <c r="V1831">
        <v>34</v>
      </c>
      <c r="W1831">
        <v>29</v>
      </c>
      <c r="X1831">
        <v>74</v>
      </c>
      <c r="Y1831" s="5">
        <v>2.04</v>
      </c>
    </row>
    <row r="1832" spans="1:25" x14ac:dyDescent="0.25">
      <c r="A1832">
        <v>2022</v>
      </c>
      <c r="B1832" t="s">
        <v>57</v>
      </c>
      <c r="C1832">
        <v>18</v>
      </c>
      <c r="D1832">
        <v>178</v>
      </c>
      <c r="E1832" t="s">
        <v>23</v>
      </c>
      <c r="F1832" t="s">
        <v>120</v>
      </c>
      <c r="G1832">
        <f t="shared" si="660"/>
        <v>1</v>
      </c>
      <c r="H1832">
        <v>11</v>
      </c>
      <c r="I1832">
        <v>2</v>
      </c>
      <c r="J1832">
        <v>0</v>
      </c>
      <c r="K1832" s="6" t="str">
        <f t="shared" ref="K1832" si="737">"vs "&amp;E1833</f>
        <v>vs The Bad Boys</v>
      </c>
      <c r="L1832" s="6" t="str">
        <f t="shared" ref="L1832" si="738">"vs "&amp;F1833</f>
        <v>vs Arvanitis</v>
      </c>
      <c r="M1832">
        <v>266</v>
      </c>
      <c r="N1832" s="1">
        <v>0.45400000000000001</v>
      </c>
      <c r="O1832">
        <v>56</v>
      </c>
      <c r="P1832" s="1">
        <v>0.30599999999999999</v>
      </c>
      <c r="Q1832" s="1">
        <v>0.755</v>
      </c>
      <c r="R1832">
        <v>705</v>
      </c>
      <c r="S1832">
        <v>56</v>
      </c>
      <c r="T1832">
        <v>204</v>
      </c>
      <c r="U1832">
        <v>147</v>
      </c>
      <c r="V1832">
        <v>46</v>
      </c>
      <c r="W1832">
        <v>31</v>
      </c>
      <c r="X1832">
        <v>99</v>
      </c>
      <c r="Y1832" s="5">
        <v>1.48</v>
      </c>
    </row>
    <row r="1833" spans="1:25" x14ac:dyDescent="0.25">
      <c r="A1833">
        <v>2022</v>
      </c>
      <c r="B1833" t="s">
        <v>57</v>
      </c>
      <c r="C1833">
        <v>18</v>
      </c>
      <c r="D1833">
        <v>178</v>
      </c>
      <c r="E1833" t="s">
        <v>154</v>
      </c>
      <c r="F1833" t="s">
        <v>155</v>
      </c>
      <c r="G1833">
        <f t="shared" si="660"/>
        <v>0</v>
      </c>
      <c r="H1833">
        <v>2</v>
      </c>
      <c r="I1833">
        <v>11</v>
      </c>
      <c r="J1833">
        <v>0</v>
      </c>
      <c r="K1833" s="6" t="str">
        <f t="shared" ref="K1833" si="739">"vs "&amp;E1832</f>
        <v>vs Pachiana NinjaBees</v>
      </c>
      <c r="L1833" s="6" t="str">
        <f t="shared" ref="L1833" si="740">"vs "&amp;F1832</f>
        <v>vs Spiridaus/Oladipas</v>
      </c>
      <c r="M1833">
        <v>122</v>
      </c>
      <c r="N1833" s="1">
        <v>0.40699999999999997</v>
      </c>
      <c r="O1833">
        <v>39</v>
      </c>
      <c r="P1833" s="1">
        <v>0.27300000000000002</v>
      </c>
      <c r="Q1833" s="1">
        <v>0.754</v>
      </c>
      <c r="R1833">
        <v>332</v>
      </c>
      <c r="S1833">
        <v>36</v>
      </c>
      <c r="T1833">
        <v>126</v>
      </c>
      <c r="U1833">
        <v>72</v>
      </c>
      <c r="V1833">
        <v>32</v>
      </c>
      <c r="W1833">
        <v>23</v>
      </c>
      <c r="X1833">
        <v>44</v>
      </c>
      <c r="Y1833" s="5">
        <v>1.64</v>
      </c>
    </row>
    <row r="1834" spans="1:25" x14ac:dyDescent="0.25">
      <c r="A1834">
        <v>2022</v>
      </c>
      <c r="B1834" t="s">
        <v>57</v>
      </c>
      <c r="C1834">
        <v>18</v>
      </c>
      <c r="D1834">
        <v>179</v>
      </c>
      <c r="E1834" t="s">
        <v>16</v>
      </c>
      <c r="F1834" t="s">
        <v>51</v>
      </c>
      <c r="G1834">
        <f t="shared" si="660"/>
        <v>0</v>
      </c>
      <c r="H1834">
        <v>3</v>
      </c>
      <c r="I1834">
        <v>10</v>
      </c>
      <c r="J1834">
        <v>0</v>
      </c>
      <c r="K1834" s="6" t="str">
        <f t="shared" ref="K1834" si="741">"vs "&amp;E1835</f>
        <v>vs st.Helens Eruptions</v>
      </c>
      <c r="L1834" s="6" t="str">
        <f t="shared" ref="L1834" si="742">"vs "&amp;F1835</f>
        <v>vs Aris</v>
      </c>
      <c r="M1834">
        <v>183</v>
      </c>
      <c r="N1834" s="1">
        <v>0.42</v>
      </c>
      <c r="O1834">
        <v>64</v>
      </c>
      <c r="P1834" s="1">
        <v>0.34</v>
      </c>
      <c r="Q1834" s="1">
        <v>0.84299999999999997</v>
      </c>
      <c r="R1834">
        <v>532</v>
      </c>
      <c r="S1834">
        <v>23</v>
      </c>
      <c r="T1834">
        <v>137</v>
      </c>
      <c r="U1834">
        <v>108</v>
      </c>
      <c r="V1834">
        <v>25</v>
      </c>
      <c r="W1834">
        <v>24</v>
      </c>
      <c r="X1834">
        <v>63</v>
      </c>
      <c r="Y1834" s="5">
        <v>1.71</v>
      </c>
    </row>
    <row r="1835" spans="1:25" x14ac:dyDescent="0.25">
      <c r="A1835">
        <v>2022</v>
      </c>
      <c r="B1835" t="s">
        <v>57</v>
      </c>
      <c r="C1835">
        <v>18</v>
      </c>
      <c r="D1835">
        <v>179</v>
      </c>
      <c r="E1835" t="s">
        <v>21</v>
      </c>
      <c r="F1835" t="s">
        <v>50</v>
      </c>
      <c r="G1835">
        <f t="shared" si="660"/>
        <v>1</v>
      </c>
      <c r="H1835">
        <v>10</v>
      </c>
      <c r="I1835">
        <v>3</v>
      </c>
      <c r="J1835">
        <v>0</v>
      </c>
      <c r="K1835" s="6" t="str">
        <f t="shared" ref="K1835" si="743">"vs "&amp;E1834</f>
        <v>vs The Bridgeburners</v>
      </c>
      <c r="L1835" s="6" t="str">
        <f t="shared" ref="L1835" si="744">"vs "&amp;F1834</f>
        <v>vs Fanis</v>
      </c>
      <c r="M1835">
        <v>253</v>
      </c>
      <c r="N1835" s="1">
        <v>0.47599999999999998</v>
      </c>
      <c r="O1835">
        <v>71</v>
      </c>
      <c r="P1835" s="1">
        <v>0.374</v>
      </c>
      <c r="Q1835" s="1">
        <v>0.78900000000000003</v>
      </c>
      <c r="R1835">
        <v>697</v>
      </c>
      <c r="S1835">
        <v>40</v>
      </c>
      <c r="T1835">
        <v>147</v>
      </c>
      <c r="U1835">
        <v>146</v>
      </c>
      <c r="V1835">
        <v>34</v>
      </c>
      <c r="W1835">
        <v>12</v>
      </c>
      <c r="X1835">
        <v>85</v>
      </c>
      <c r="Y1835" s="5">
        <v>1.72</v>
      </c>
    </row>
    <row r="1836" spans="1:25" x14ac:dyDescent="0.25">
      <c r="A1836">
        <v>2022</v>
      </c>
      <c r="B1836" t="s">
        <v>57</v>
      </c>
      <c r="C1836">
        <v>18</v>
      </c>
      <c r="D1836">
        <v>180</v>
      </c>
      <c r="E1836" t="s">
        <v>99</v>
      </c>
      <c r="F1836" t="s">
        <v>45</v>
      </c>
      <c r="G1836">
        <f t="shared" si="660"/>
        <v>1</v>
      </c>
      <c r="H1836">
        <v>8</v>
      </c>
      <c r="I1836">
        <v>5</v>
      </c>
      <c r="J1836">
        <v>0</v>
      </c>
      <c r="K1836" s="6" t="str">
        <f t="shared" ref="K1836" si="745">"vs "&amp;E1837</f>
        <v>vs purple fuzzy apache pirates</v>
      </c>
      <c r="L1836" s="6" t="str">
        <f t="shared" ref="L1836" si="746">"vs "&amp;F1837</f>
        <v>vs pi/Sotiris</v>
      </c>
      <c r="M1836">
        <v>258</v>
      </c>
      <c r="N1836" s="1">
        <v>0.51400000000000001</v>
      </c>
      <c r="O1836">
        <v>55</v>
      </c>
      <c r="P1836" s="1">
        <v>0.36199999999999999</v>
      </c>
      <c r="Q1836" s="1">
        <v>0.745</v>
      </c>
      <c r="R1836">
        <v>673</v>
      </c>
      <c r="S1836">
        <v>72</v>
      </c>
      <c r="T1836">
        <v>224</v>
      </c>
      <c r="U1836">
        <v>141</v>
      </c>
      <c r="V1836">
        <v>41</v>
      </c>
      <c r="W1836">
        <v>23</v>
      </c>
      <c r="X1836">
        <v>72</v>
      </c>
      <c r="Y1836" s="5">
        <v>1.96</v>
      </c>
    </row>
    <row r="1837" spans="1:25" x14ac:dyDescent="0.25">
      <c r="A1837">
        <v>2022</v>
      </c>
      <c r="B1837" t="s">
        <v>57</v>
      </c>
      <c r="C1837">
        <v>18</v>
      </c>
      <c r="D1837">
        <v>180</v>
      </c>
      <c r="E1837" t="s">
        <v>159</v>
      </c>
      <c r="F1837" t="s">
        <v>116</v>
      </c>
      <c r="G1837">
        <f t="shared" si="660"/>
        <v>0</v>
      </c>
      <c r="H1837">
        <v>5</v>
      </c>
      <c r="I1837">
        <v>8</v>
      </c>
      <c r="J1837">
        <v>0</v>
      </c>
      <c r="K1837" s="6" t="str">
        <f t="shared" ref="K1837" si="747">"vs "&amp;E1836</f>
        <v>vs Tsarlatans</v>
      </c>
      <c r="L1837" s="6" t="str">
        <f t="shared" ref="L1837" si="748">"vs "&amp;F1836</f>
        <v>vs Tzokos</v>
      </c>
      <c r="M1837">
        <v>253</v>
      </c>
      <c r="N1837" s="1">
        <v>0.47899999999999998</v>
      </c>
      <c r="O1837">
        <v>70</v>
      </c>
      <c r="P1837" s="1">
        <v>0.36099999999999999</v>
      </c>
      <c r="Q1837" s="1">
        <v>0.752</v>
      </c>
      <c r="R1837">
        <v>682</v>
      </c>
      <c r="S1837">
        <v>64</v>
      </c>
      <c r="T1837">
        <v>210</v>
      </c>
      <c r="U1837">
        <v>192</v>
      </c>
      <c r="V1837">
        <v>40</v>
      </c>
      <c r="W1837">
        <v>11</v>
      </c>
      <c r="X1837">
        <v>82</v>
      </c>
      <c r="Y1837" s="5">
        <v>2.34</v>
      </c>
    </row>
    <row r="1838" spans="1:25" x14ac:dyDescent="0.25">
      <c r="A1838">
        <v>2022</v>
      </c>
      <c r="B1838" t="s">
        <v>142</v>
      </c>
      <c r="C1838" t="s">
        <v>148</v>
      </c>
      <c r="D1838">
        <v>181</v>
      </c>
      <c r="E1838" t="s">
        <v>95</v>
      </c>
      <c r="F1838" t="s">
        <v>101</v>
      </c>
      <c r="G1838">
        <f t="shared" si="660"/>
        <v>0</v>
      </c>
      <c r="H1838">
        <v>4</v>
      </c>
      <c r="I1838">
        <v>9</v>
      </c>
      <c r="J1838">
        <v>0</v>
      </c>
      <c r="K1838" s="6" t="str">
        <f t="shared" ref="K1838" si="749">"vs "&amp;E1839</f>
        <v>vs The Bridgeburners</v>
      </c>
      <c r="L1838" s="6" t="str">
        <f t="shared" ref="L1838" si="750">"vs "&amp;F1839</f>
        <v>vs Fanis</v>
      </c>
      <c r="M1838">
        <v>82</v>
      </c>
      <c r="N1838" s="1">
        <v>0.50600000000000001</v>
      </c>
      <c r="O1838">
        <v>32</v>
      </c>
      <c r="P1838" s="1">
        <v>0.432</v>
      </c>
      <c r="Q1838" s="1">
        <v>0.69199999999999995</v>
      </c>
      <c r="R1838">
        <v>214</v>
      </c>
      <c r="S1838">
        <v>18</v>
      </c>
      <c r="T1838">
        <v>57</v>
      </c>
      <c r="U1838">
        <v>51</v>
      </c>
      <c r="V1838">
        <v>18</v>
      </c>
      <c r="W1838">
        <v>4</v>
      </c>
      <c r="X1838">
        <v>20</v>
      </c>
      <c r="Y1838" s="5">
        <v>2.5499999999999998</v>
      </c>
    </row>
    <row r="1839" spans="1:25" x14ac:dyDescent="0.25">
      <c r="A1839">
        <v>2022</v>
      </c>
      <c r="B1839" t="s">
        <v>142</v>
      </c>
      <c r="C1839" t="s">
        <v>148</v>
      </c>
      <c r="D1839">
        <v>181</v>
      </c>
      <c r="E1839" t="s">
        <v>16</v>
      </c>
      <c r="F1839" t="s">
        <v>51</v>
      </c>
      <c r="G1839">
        <f t="shared" si="660"/>
        <v>1</v>
      </c>
      <c r="H1839">
        <v>9</v>
      </c>
      <c r="I1839">
        <v>4</v>
      </c>
      <c r="J1839">
        <v>0</v>
      </c>
      <c r="K1839" s="6" t="str">
        <f t="shared" ref="K1839" si="751">"vs "&amp;E1838</f>
        <v>vs Baltimore Hercules</v>
      </c>
      <c r="L1839" s="6" t="str">
        <f t="shared" ref="L1839" si="752">"vs "&amp;F1838</f>
        <v>vs Sarantos</v>
      </c>
      <c r="M1839">
        <v>131</v>
      </c>
      <c r="N1839" s="1">
        <v>0.45300000000000001</v>
      </c>
      <c r="O1839">
        <v>48</v>
      </c>
      <c r="P1839" s="1">
        <v>0.36099999999999999</v>
      </c>
      <c r="Q1839" s="1">
        <v>0.79800000000000004</v>
      </c>
      <c r="R1839">
        <v>385</v>
      </c>
      <c r="S1839">
        <v>25</v>
      </c>
      <c r="T1839">
        <v>105</v>
      </c>
      <c r="U1839">
        <v>88</v>
      </c>
      <c r="V1839">
        <v>30</v>
      </c>
      <c r="W1839">
        <v>17</v>
      </c>
      <c r="X1839">
        <v>41</v>
      </c>
      <c r="Y1839" s="5">
        <v>2.15</v>
      </c>
    </row>
    <row r="1840" spans="1:25" x14ac:dyDescent="0.25">
      <c r="A1840">
        <v>2022</v>
      </c>
      <c r="B1840" t="s">
        <v>142</v>
      </c>
      <c r="C1840" t="s">
        <v>148</v>
      </c>
      <c r="D1840">
        <v>182</v>
      </c>
      <c r="E1840" t="s">
        <v>97</v>
      </c>
      <c r="F1840" t="s">
        <v>54</v>
      </c>
      <c r="G1840">
        <f t="shared" si="660"/>
        <v>1</v>
      </c>
      <c r="H1840">
        <v>9</v>
      </c>
      <c r="I1840">
        <v>4</v>
      </c>
      <c r="J1840">
        <v>0</v>
      </c>
      <c r="K1840" s="6" t="str">
        <f t="shared" ref="K1840" si="753">"vs "&amp;E1841</f>
        <v>vs The Rookies</v>
      </c>
      <c r="L1840" s="6" t="str">
        <f t="shared" ref="L1840" si="754">"vs "&amp;F1841</f>
        <v>vs Kousidis</v>
      </c>
      <c r="M1840">
        <v>210</v>
      </c>
      <c r="N1840" s="1">
        <v>0.498</v>
      </c>
      <c r="O1840">
        <v>62</v>
      </c>
      <c r="P1840" s="1">
        <v>0.38800000000000001</v>
      </c>
      <c r="Q1840" s="1">
        <v>0.82199999999999995</v>
      </c>
      <c r="R1840">
        <v>657</v>
      </c>
      <c r="S1840">
        <v>54</v>
      </c>
      <c r="T1840">
        <v>175</v>
      </c>
      <c r="U1840">
        <v>151</v>
      </c>
      <c r="V1840">
        <v>36</v>
      </c>
      <c r="W1840">
        <v>17</v>
      </c>
      <c r="X1840">
        <v>70</v>
      </c>
      <c r="Y1840" s="5">
        <v>2.16</v>
      </c>
    </row>
    <row r="1841" spans="1:25" x14ac:dyDescent="0.25">
      <c r="A1841">
        <v>2022</v>
      </c>
      <c r="B1841" t="s">
        <v>142</v>
      </c>
      <c r="C1841" t="s">
        <v>148</v>
      </c>
      <c r="D1841">
        <v>182</v>
      </c>
      <c r="E1841" t="s">
        <v>25</v>
      </c>
      <c r="F1841" t="s">
        <v>53</v>
      </c>
      <c r="G1841">
        <f t="shared" si="660"/>
        <v>0</v>
      </c>
      <c r="H1841">
        <v>4</v>
      </c>
      <c r="I1841">
        <v>9</v>
      </c>
      <c r="J1841">
        <v>0</v>
      </c>
      <c r="K1841" s="6" t="str">
        <f t="shared" ref="K1841" si="755">"vs "&amp;E1840</f>
        <v>vs Underdogs</v>
      </c>
      <c r="L1841" s="6" t="str">
        <f t="shared" ref="L1841" si="756">"vs "&amp;F1840</f>
        <v>vs Nonis</v>
      </c>
      <c r="M1841">
        <v>163</v>
      </c>
      <c r="N1841" s="1">
        <v>0.51400000000000001</v>
      </c>
      <c r="O1841">
        <v>30</v>
      </c>
      <c r="P1841" s="1">
        <v>0.36599999999999999</v>
      </c>
      <c r="Q1841" s="1">
        <v>0.745</v>
      </c>
      <c r="R1841">
        <v>426</v>
      </c>
      <c r="S1841">
        <v>62</v>
      </c>
      <c r="T1841">
        <v>123</v>
      </c>
      <c r="U1841">
        <v>72</v>
      </c>
      <c r="V1841">
        <v>20</v>
      </c>
      <c r="W1841">
        <v>23</v>
      </c>
      <c r="X1841">
        <v>48</v>
      </c>
      <c r="Y1841" s="5">
        <v>1.5</v>
      </c>
    </row>
    <row r="1842" spans="1:25" x14ac:dyDescent="0.25">
      <c r="A1842">
        <v>2022</v>
      </c>
      <c r="B1842" t="s">
        <v>142</v>
      </c>
      <c r="C1842" t="s">
        <v>148</v>
      </c>
      <c r="D1842">
        <v>183</v>
      </c>
      <c r="E1842" t="s">
        <v>159</v>
      </c>
      <c r="F1842" t="s">
        <v>116</v>
      </c>
      <c r="G1842">
        <f t="shared" si="660"/>
        <v>1</v>
      </c>
      <c r="H1842">
        <v>12</v>
      </c>
      <c r="I1842">
        <v>1</v>
      </c>
      <c r="J1842">
        <v>0</v>
      </c>
      <c r="K1842" s="6" t="str">
        <f t="shared" ref="K1842" si="757">"vs "&amp;E1843</f>
        <v>vs The Guns</v>
      </c>
      <c r="L1842" s="6" t="str">
        <f t="shared" ref="L1842" si="758">"vs "&amp;F1843</f>
        <v>vs Vasilis</v>
      </c>
      <c r="M1842">
        <v>219</v>
      </c>
      <c r="N1842" s="1">
        <v>0.505</v>
      </c>
      <c r="O1842">
        <v>68</v>
      </c>
      <c r="P1842" s="1">
        <v>0.38600000000000001</v>
      </c>
      <c r="Q1842" s="1">
        <v>0.78</v>
      </c>
      <c r="R1842">
        <v>602</v>
      </c>
      <c r="S1842">
        <v>34</v>
      </c>
      <c r="T1842">
        <v>151</v>
      </c>
      <c r="U1842">
        <v>143</v>
      </c>
      <c r="V1842">
        <v>30</v>
      </c>
      <c r="W1842">
        <v>27</v>
      </c>
      <c r="X1842">
        <v>53</v>
      </c>
      <c r="Y1842" s="5">
        <v>2.7</v>
      </c>
    </row>
    <row r="1843" spans="1:25" x14ac:dyDescent="0.25">
      <c r="A1843">
        <v>2022</v>
      </c>
      <c r="B1843" t="s">
        <v>142</v>
      </c>
      <c r="C1843" t="s">
        <v>148</v>
      </c>
      <c r="D1843">
        <v>183</v>
      </c>
      <c r="E1843" t="s">
        <v>33</v>
      </c>
      <c r="F1843" t="s">
        <v>42</v>
      </c>
      <c r="G1843">
        <f t="shared" si="660"/>
        <v>0</v>
      </c>
      <c r="H1843">
        <v>1</v>
      </c>
      <c r="I1843">
        <v>12</v>
      </c>
      <c r="J1843">
        <v>0</v>
      </c>
      <c r="K1843" s="6" t="str">
        <f t="shared" ref="K1843" si="759">"vs "&amp;E1842</f>
        <v>vs purple fuzzy apache pirates</v>
      </c>
      <c r="L1843" s="6" t="str">
        <f t="shared" ref="L1843" si="760">"vs "&amp;F1842</f>
        <v>vs pi/Sotiris</v>
      </c>
      <c r="M1843">
        <v>98</v>
      </c>
      <c r="N1843" s="1">
        <v>0.45200000000000001</v>
      </c>
      <c r="O1843">
        <v>21</v>
      </c>
      <c r="P1843" s="1">
        <v>0.29199999999999998</v>
      </c>
      <c r="Q1843" s="1">
        <v>0.73</v>
      </c>
      <c r="R1843">
        <v>263</v>
      </c>
      <c r="S1843">
        <v>29</v>
      </c>
      <c r="T1843">
        <v>95</v>
      </c>
      <c r="U1843">
        <v>58</v>
      </c>
      <c r="V1843">
        <v>27</v>
      </c>
      <c r="W1843">
        <v>13</v>
      </c>
      <c r="X1843">
        <v>37</v>
      </c>
      <c r="Y1843" s="5">
        <v>1.57</v>
      </c>
    </row>
    <row r="1844" spans="1:25" x14ac:dyDescent="0.25">
      <c r="A1844">
        <v>2022</v>
      </c>
      <c r="B1844" t="s">
        <v>142</v>
      </c>
      <c r="C1844" t="s">
        <v>148</v>
      </c>
      <c r="D1844">
        <v>184</v>
      </c>
      <c r="E1844" t="s">
        <v>21</v>
      </c>
      <c r="F1844" t="s">
        <v>50</v>
      </c>
      <c r="G1844">
        <f t="shared" si="660"/>
        <v>0</v>
      </c>
      <c r="H1844">
        <v>6</v>
      </c>
      <c r="I1844">
        <v>7</v>
      </c>
      <c r="J1844">
        <v>0</v>
      </c>
      <c r="K1844" s="6" t="str">
        <f t="shared" ref="K1844" si="761">"vs "&amp;E1845</f>
        <v>vs Samarina Dudenbros</v>
      </c>
      <c r="L1844" s="6" t="str">
        <f t="shared" ref="L1844" si="762">"vs "&amp;F1845</f>
        <v>vs Sakellariou</v>
      </c>
      <c r="M1844">
        <v>230</v>
      </c>
      <c r="N1844" s="1">
        <v>0.45200000000000001</v>
      </c>
      <c r="O1844">
        <v>72</v>
      </c>
      <c r="P1844" s="1">
        <v>0.36699999999999999</v>
      </c>
      <c r="Q1844" s="1">
        <v>0.877</v>
      </c>
      <c r="R1844">
        <v>632</v>
      </c>
      <c r="S1844">
        <v>46</v>
      </c>
      <c r="T1844">
        <v>124</v>
      </c>
      <c r="U1844">
        <v>131</v>
      </c>
      <c r="V1844">
        <v>34</v>
      </c>
      <c r="W1844">
        <v>16</v>
      </c>
      <c r="X1844">
        <v>73</v>
      </c>
      <c r="Y1844" s="5">
        <v>1.79</v>
      </c>
    </row>
    <row r="1845" spans="1:25" x14ac:dyDescent="0.25">
      <c r="A1845">
        <v>2022</v>
      </c>
      <c r="B1845" t="s">
        <v>142</v>
      </c>
      <c r="C1845" t="s">
        <v>148</v>
      </c>
      <c r="D1845">
        <v>184</v>
      </c>
      <c r="E1845" t="s">
        <v>181</v>
      </c>
      <c r="F1845" t="s">
        <v>49</v>
      </c>
      <c r="G1845">
        <f t="shared" si="660"/>
        <v>1</v>
      </c>
      <c r="H1845">
        <v>7</v>
      </c>
      <c r="I1845">
        <v>6</v>
      </c>
      <c r="J1845">
        <v>0</v>
      </c>
      <c r="K1845" s="6" t="str">
        <f t="shared" ref="K1845" si="763">"vs "&amp;E1844</f>
        <v>vs st.Helens Eruptions</v>
      </c>
      <c r="L1845" s="6" t="str">
        <f t="shared" ref="L1845" si="764">"vs "&amp;F1844</f>
        <v>vs Aris</v>
      </c>
      <c r="M1845">
        <v>171</v>
      </c>
      <c r="N1845" s="1">
        <v>0.44</v>
      </c>
      <c r="O1845">
        <v>46</v>
      </c>
      <c r="P1845" s="1">
        <v>0.31900000000000001</v>
      </c>
      <c r="Q1845" s="1">
        <v>0.79500000000000004</v>
      </c>
      <c r="R1845">
        <v>454</v>
      </c>
      <c r="S1845">
        <v>56</v>
      </c>
      <c r="T1845">
        <v>136</v>
      </c>
      <c r="U1845">
        <v>135</v>
      </c>
      <c r="V1845">
        <v>39</v>
      </c>
      <c r="W1845">
        <v>21</v>
      </c>
      <c r="X1845">
        <v>69</v>
      </c>
      <c r="Y1845" s="5">
        <v>1.96</v>
      </c>
    </row>
    <row r="1846" spans="1:25" x14ac:dyDescent="0.25">
      <c r="A1846">
        <v>2022</v>
      </c>
      <c r="B1846" t="s">
        <v>142</v>
      </c>
      <c r="C1846" t="s">
        <v>146</v>
      </c>
      <c r="D1846">
        <v>185</v>
      </c>
      <c r="E1846" t="s">
        <v>28</v>
      </c>
      <c r="F1846" t="s">
        <v>46</v>
      </c>
      <c r="G1846">
        <f t="shared" si="660"/>
        <v>1</v>
      </c>
      <c r="H1846">
        <v>7</v>
      </c>
      <c r="I1846">
        <v>6</v>
      </c>
      <c r="J1846">
        <v>0</v>
      </c>
      <c r="K1846" s="6" t="str">
        <f t="shared" ref="K1846" si="765">"vs "&amp;E1847</f>
        <v>vs Samarina Dudenbros</v>
      </c>
      <c r="L1846" s="6" t="str">
        <f t="shared" ref="L1846" si="766">"vs "&amp;F1847</f>
        <v>vs Sakellariou</v>
      </c>
      <c r="M1846">
        <v>207</v>
      </c>
      <c r="N1846" s="1">
        <v>0.51500000000000001</v>
      </c>
      <c r="O1846">
        <v>46</v>
      </c>
      <c r="P1846" s="1">
        <v>0.36199999999999999</v>
      </c>
      <c r="Q1846" s="1">
        <v>0.72099999999999997</v>
      </c>
      <c r="R1846">
        <v>535</v>
      </c>
      <c r="S1846">
        <v>47</v>
      </c>
      <c r="T1846">
        <v>169</v>
      </c>
      <c r="U1846">
        <v>135</v>
      </c>
      <c r="V1846">
        <v>31</v>
      </c>
      <c r="W1846">
        <v>14</v>
      </c>
      <c r="X1846">
        <v>68</v>
      </c>
      <c r="Y1846" s="5">
        <v>1.99</v>
      </c>
    </row>
    <row r="1847" spans="1:25" x14ac:dyDescent="0.25">
      <c r="A1847">
        <v>2022</v>
      </c>
      <c r="B1847" t="s">
        <v>142</v>
      </c>
      <c r="C1847" t="s">
        <v>146</v>
      </c>
      <c r="D1847">
        <v>185</v>
      </c>
      <c r="E1847" t="s">
        <v>181</v>
      </c>
      <c r="F1847" t="s">
        <v>49</v>
      </c>
      <c r="G1847">
        <f t="shared" si="660"/>
        <v>0</v>
      </c>
      <c r="H1847">
        <v>6</v>
      </c>
      <c r="I1847">
        <v>7</v>
      </c>
      <c r="J1847">
        <v>0</v>
      </c>
      <c r="K1847" s="6" t="str">
        <f t="shared" ref="K1847" si="767">"vs "&amp;E1846</f>
        <v>vs Steven Adams' Moustache</v>
      </c>
      <c r="L1847" s="6" t="str">
        <f t="shared" ref="L1847" si="768">"vs "&amp;F1846</f>
        <v>vs Johnny</v>
      </c>
      <c r="M1847">
        <v>195</v>
      </c>
      <c r="N1847" s="1">
        <v>0.47299999999999998</v>
      </c>
      <c r="O1847">
        <v>54</v>
      </c>
      <c r="P1847" s="1">
        <v>0.35099999999999998</v>
      </c>
      <c r="Q1847" s="1">
        <v>0.879</v>
      </c>
      <c r="R1847">
        <v>524</v>
      </c>
      <c r="S1847">
        <v>42</v>
      </c>
      <c r="T1847">
        <v>141</v>
      </c>
      <c r="U1847">
        <v>86</v>
      </c>
      <c r="V1847">
        <v>32</v>
      </c>
      <c r="W1847">
        <v>25</v>
      </c>
      <c r="X1847">
        <v>41</v>
      </c>
      <c r="Y1847" s="5">
        <v>2.1</v>
      </c>
    </row>
    <row r="1848" spans="1:25" x14ac:dyDescent="0.25">
      <c r="A1848">
        <v>2022</v>
      </c>
      <c r="B1848" t="s">
        <v>142</v>
      </c>
      <c r="C1848" t="s">
        <v>146</v>
      </c>
      <c r="D1848">
        <v>186</v>
      </c>
      <c r="E1848" t="s">
        <v>190</v>
      </c>
      <c r="F1848" t="s">
        <v>103</v>
      </c>
      <c r="G1848">
        <f t="shared" si="660"/>
        <v>0</v>
      </c>
      <c r="H1848">
        <v>6</v>
      </c>
      <c r="I1848">
        <v>7</v>
      </c>
      <c r="J1848">
        <v>0</v>
      </c>
      <c r="K1848" s="6" t="str">
        <f t="shared" ref="K1848" si="769">"vs "&amp;E1849</f>
        <v>vs Underdogs</v>
      </c>
      <c r="L1848" s="6" t="str">
        <f t="shared" ref="L1848" si="770">"vs "&amp;F1849</f>
        <v>vs Nonis</v>
      </c>
      <c r="M1848">
        <v>173</v>
      </c>
      <c r="N1848" s="1">
        <v>0.45500000000000002</v>
      </c>
      <c r="O1848">
        <v>46</v>
      </c>
      <c r="P1848" s="1">
        <v>0.33100000000000002</v>
      </c>
      <c r="Q1848" s="1">
        <v>0.85399999999999998</v>
      </c>
      <c r="R1848">
        <v>515</v>
      </c>
      <c r="S1848">
        <v>52</v>
      </c>
      <c r="T1848">
        <v>162</v>
      </c>
      <c r="U1848">
        <v>133</v>
      </c>
      <c r="V1848">
        <v>27</v>
      </c>
      <c r="W1848">
        <v>32</v>
      </c>
      <c r="X1848">
        <v>66</v>
      </c>
      <c r="Y1848" s="5">
        <v>2.02</v>
      </c>
    </row>
    <row r="1849" spans="1:25" x14ac:dyDescent="0.25">
      <c r="A1849">
        <v>2022</v>
      </c>
      <c r="B1849" t="s">
        <v>142</v>
      </c>
      <c r="C1849" t="s">
        <v>146</v>
      </c>
      <c r="D1849">
        <v>186</v>
      </c>
      <c r="E1849" t="s">
        <v>97</v>
      </c>
      <c r="F1849" t="s">
        <v>54</v>
      </c>
      <c r="G1849">
        <f t="shared" si="660"/>
        <v>1</v>
      </c>
      <c r="H1849">
        <v>7</v>
      </c>
      <c r="I1849">
        <v>6</v>
      </c>
      <c r="J1849">
        <v>0</v>
      </c>
      <c r="K1849" s="6" t="str">
        <f t="shared" ref="K1849" si="771">"vs "&amp;E1848</f>
        <v>vs Karafli SaiTa</v>
      </c>
      <c r="L1849" s="6" t="str">
        <f t="shared" ref="L1849" si="772">"vs "&amp;F1848</f>
        <v>vs Tassos</v>
      </c>
      <c r="M1849">
        <v>204</v>
      </c>
      <c r="N1849" s="1">
        <v>0.505</v>
      </c>
      <c r="O1849">
        <v>71</v>
      </c>
      <c r="P1849" s="1">
        <v>0.44900000000000001</v>
      </c>
      <c r="Q1849" s="1">
        <v>0.81200000000000006</v>
      </c>
      <c r="R1849">
        <v>639</v>
      </c>
      <c r="S1849">
        <v>34</v>
      </c>
      <c r="T1849">
        <v>158</v>
      </c>
      <c r="U1849">
        <v>138</v>
      </c>
      <c r="V1849">
        <v>26</v>
      </c>
      <c r="W1849">
        <v>19</v>
      </c>
      <c r="X1849">
        <v>67</v>
      </c>
      <c r="Y1849" s="5">
        <v>2.06</v>
      </c>
    </row>
    <row r="1850" spans="1:25" x14ac:dyDescent="0.25">
      <c r="A1850">
        <v>2022</v>
      </c>
      <c r="B1850" t="s">
        <v>142</v>
      </c>
      <c r="C1850" t="s">
        <v>146</v>
      </c>
      <c r="D1850">
        <v>187</v>
      </c>
      <c r="E1850" t="s">
        <v>23</v>
      </c>
      <c r="F1850" t="s">
        <v>120</v>
      </c>
      <c r="G1850">
        <f t="shared" si="660"/>
        <v>1</v>
      </c>
      <c r="H1850">
        <v>10</v>
      </c>
      <c r="I1850">
        <v>3</v>
      </c>
      <c r="J1850">
        <v>0</v>
      </c>
      <c r="K1850" s="6" t="str">
        <f t="shared" ref="K1850" si="773">"vs "&amp;E1851</f>
        <v>vs purple fuzzy apache pirates</v>
      </c>
      <c r="L1850" s="6" t="str">
        <f t="shared" ref="L1850" si="774">"vs "&amp;F1851</f>
        <v>vs pi/Sotiris</v>
      </c>
      <c r="M1850">
        <v>247</v>
      </c>
      <c r="N1850" s="1">
        <v>0.498</v>
      </c>
      <c r="O1850">
        <v>59</v>
      </c>
      <c r="P1850" s="1">
        <v>0.371</v>
      </c>
      <c r="Q1850" s="1">
        <v>0.80500000000000005</v>
      </c>
      <c r="R1850">
        <v>648</v>
      </c>
      <c r="S1850">
        <v>41</v>
      </c>
      <c r="T1850">
        <v>170</v>
      </c>
      <c r="U1850">
        <v>136</v>
      </c>
      <c r="V1850">
        <v>36</v>
      </c>
      <c r="W1850">
        <v>11</v>
      </c>
      <c r="X1850">
        <v>64</v>
      </c>
      <c r="Y1850" s="5">
        <v>2.13</v>
      </c>
    </row>
    <row r="1851" spans="1:25" x14ac:dyDescent="0.25">
      <c r="A1851">
        <v>2022</v>
      </c>
      <c r="B1851" t="s">
        <v>142</v>
      </c>
      <c r="C1851" t="s">
        <v>146</v>
      </c>
      <c r="D1851">
        <v>187</v>
      </c>
      <c r="E1851" t="s">
        <v>159</v>
      </c>
      <c r="F1851" t="s">
        <v>116</v>
      </c>
      <c r="G1851">
        <f t="shared" si="660"/>
        <v>0</v>
      </c>
      <c r="H1851">
        <v>3</v>
      </c>
      <c r="I1851">
        <v>10</v>
      </c>
      <c r="J1851">
        <v>0</v>
      </c>
      <c r="K1851" s="6" t="str">
        <f t="shared" ref="K1851" si="775">"vs "&amp;E1850</f>
        <v>vs Pachiana NinjaBees</v>
      </c>
      <c r="L1851" s="6" t="str">
        <f t="shared" ref="L1851" si="776">"vs "&amp;F1850</f>
        <v>vs Spiridaus/Oladipas</v>
      </c>
      <c r="M1851">
        <v>184</v>
      </c>
      <c r="N1851" s="1">
        <v>0.46700000000000003</v>
      </c>
      <c r="O1851">
        <v>39</v>
      </c>
      <c r="P1851" s="1">
        <v>0.28299999999999997</v>
      </c>
      <c r="Q1851" s="1">
        <v>0.80600000000000005</v>
      </c>
      <c r="R1851">
        <v>519</v>
      </c>
      <c r="S1851">
        <v>30</v>
      </c>
      <c r="T1851">
        <v>151</v>
      </c>
      <c r="U1851">
        <v>118</v>
      </c>
      <c r="V1851">
        <v>28</v>
      </c>
      <c r="W1851">
        <v>17</v>
      </c>
      <c r="X1851">
        <v>63</v>
      </c>
      <c r="Y1851" s="5">
        <v>1.87</v>
      </c>
    </row>
    <row r="1852" spans="1:25" x14ac:dyDescent="0.25">
      <c r="A1852">
        <v>2022</v>
      </c>
      <c r="B1852" t="s">
        <v>142</v>
      </c>
      <c r="C1852" t="s">
        <v>146</v>
      </c>
      <c r="D1852">
        <v>188</v>
      </c>
      <c r="E1852" t="s">
        <v>99</v>
      </c>
      <c r="F1852" t="s">
        <v>45</v>
      </c>
      <c r="G1852">
        <f t="shared" si="660"/>
        <v>0</v>
      </c>
      <c r="H1852">
        <v>5</v>
      </c>
      <c r="I1852">
        <v>8</v>
      </c>
      <c r="J1852">
        <v>0</v>
      </c>
      <c r="K1852" s="6" t="str">
        <f t="shared" ref="K1852" si="777">"vs "&amp;E1853</f>
        <v>vs The Bridgeburners</v>
      </c>
      <c r="L1852" s="6" t="str">
        <f t="shared" ref="L1852" si="778">"vs "&amp;F1853</f>
        <v>vs Fanis</v>
      </c>
      <c r="M1852">
        <v>134</v>
      </c>
      <c r="N1852" s="1">
        <v>0.435</v>
      </c>
      <c r="O1852">
        <v>31</v>
      </c>
      <c r="P1852" s="1">
        <v>0.28999999999999998</v>
      </c>
      <c r="Q1852" s="1">
        <v>0.81699999999999995</v>
      </c>
      <c r="R1852">
        <v>397</v>
      </c>
      <c r="S1852">
        <v>38</v>
      </c>
      <c r="T1852">
        <v>129</v>
      </c>
      <c r="U1852">
        <v>85</v>
      </c>
      <c r="V1852">
        <v>28</v>
      </c>
      <c r="W1852">
        <v>14</v>
      </c>
      <c r="X1852">
        <v>51</v>
      </c>
      <c r="Y1852" s="5">
        <v>1.67</v>
      </c>
    </row>
    <row r="1853" spans="1:25" x14ac:dyDescent="0.25">
      <c r="A1853">
        <v>2022</v>
      </c>
      <c r="B1853" t="s">
        <v>142</v>
      </c>
      <c r="C1853" t="s">
        <v>146</v>
      </c>
      <c r="D1853">
        <v>188</v>
      </c>
      <c r="E1853" t="s">
        <v>16</v>
      </c>
      <c r="F1853" t="s">
        <v>51</v>
      </c>
      <c r="G1853">
        <f t="shared" si="660"/>
        <v>1</v>
      </c>
      <c r="H1853">
        <v>8</v>
      </c>
      <c r="I1853">
        <v>5</v>
      </c>
      <c r="J1853">
        <v>0</v>
      </c>
      <c r="K1853" s="6" t="str">
        <f t="shared" ref="K1853" si="779">"vs "&amp;E1852</f>
        <v>vs Tsarlatans</v>
      </c>
      <c r="L1853" s="6" t="str">
        <f t="shared" ref="L1853" si="780">"vs "&amp;F1852</f>
        <v>vs Tzokos</v>
      </c>
      <c r="M1853">
        <v>138</v>
      </c>
      <c r="N1853" s="1">
        <v>0.45</v>
      </c>
      <c r="O1853">
        <v>49</v>
      </c>
      <c r="P1853" s="1">
        <v>0.32500000000000001</v>
      </c>
      <c r="Q1853" s="1">
        <v>0.77300000000000002</v>
      </c>
      <c r="R1853">
        <v>393</v>
      </c>
      <c r="S1853">
        <v>15</v>
      </c>
      <c r="T1853">
        <v>109</v>
      </c>
      <c r="U1853">
        <v>94</v>
      </c>
      <c r="V1853">
        <v>30</v>
      </c>
      <c r="W1853">
        <v>12</v>
      </c>
      <c r="X1853">
        <v>47</v>
      </c>
      <c r="Y1853" s="5">
        <v>2</v>
      </c>
    </row>
    <row r="1854" spans="1:25" x14ac:dyDescent="0.25">
      <c r="A1854">
        <v>2022</v>
      </c>
      <c r="B1854" t="s">
        <v>142</v>
      </c>
      <c r="C1854" t="s">
        <v>147</v>
      </c>
      <c r="D1854">
        <v>189</v>
      </c>
      <c r="E1854" t="s">
        <v>28</v>
      </c>
      <c r="F1854" t="s">
        <v>46</v>
      </c>
      <c r="G1854">
        <f t="shared" si="660"/>
        <v>0</v>
      </c>
      <c r="H1854">
        <v>3</v>
      </c>
      <c r="I1854">
        <v>9</v>
      </c>
      <c r="J1854">
        <v>1</v>
      </c>
      <c r="K1854" s="6" t="str">
        <f t="shared" ref="K1854" si="781">"vs "&amp;E1855</f>
        <v>vs Underdogs</v>
      </c>
      <c r="L1854" s="6" t="str">
        <f t="shared" ref="L1854" si="782">"vs "&amp;F1855</f>
        <v>vs Nonis</v>
      </c>
      <c r="M1854">
        <v>188</v>
      </c>
      <c r="N1854" s="1">
        <v>0.46</v>
      </c>
      <c r="O1854">
        <v>46</v>
      </c>
      <c r="P1854" s="1">
        <v>0.39700000000000002</v>
      </c>
      <c r="Q1854" s="1">
        <v>0.747</v>
      </c>
      <c r="R1854">
        <v>490</v>
      </c>
      <c r="S1854">
        <v>49</v>
      </c>
      <c r="T1854">
        <v>165</v>
      </c>
      <c r="U1854">
        <v>101</v>
      </c>
      <c r="V1854">
        <v>33</v>
      </c>
      <c r="W1854">
        <v>18</v>
      </c>
      <c r="X1854">
        <v>46</v>
      </c>
      <c r="Y1854" s="5">
        <v>2.2000000000000002</v>
      </c>
    </row>
    <row r="1855" spans="1:25" x14ac:dyDescent="0.25">
      <c r="A1855">
        <v>2022</v>
      </c>
      <c r="B1855" t="s">
        <v>142</v>
      </c>
      <c r="C1855" t="s">
        <v>147</v>
      </c>
      <c r="D1855">
        <v>189</v>
      </c>
      <c r="E1855" t="s">
        <v>97</v>
      </c>
      <c r="F1855" t="s">
        <v>54</v>
      </c>
      <c r="G1855">
        <f t="shared" si="660"/>
        <v>1</v>
      </c>
      <c r="H1855">
        <v>9</v>
      </c>
      <c r="I1855">
        <v>3</v>
      </c>
      <c r="J1855">
        <v>1</v>
      </c>
      <c r="K1855" s="6" t="str">
        <f t="shared" ref="K1855" si="783">"vs "&amp;E1854</f>
        <v>vs Steven Adams' Moustache</v>
      </c>
      <c r="L1855" s="6" t="str">
        <f t="shared" ref="L1855" si="784">"vs "&amp;F1854</f>
        <v>vs Johnny</v>
      </c>
      <c r="M1855">
        <v>207</v>
      </c>
      <c r="N1855" s="1">
        <v>0.48099999999999998</v>
      </c>
      <c r="O1855">
        <v>57</v>
      </c>
      <c r="P1855" s="1">
        <v>0.36499999999999999</v>
      </c>
      <c r="Q1855" s="1">
        <v>0.81799999999999995</v>
      </c>
      <c r="R1855">
        <v>601</v>
      </c>
      <c r="S1855">
        <v>52</v>
      </c>
      <c r="T1855">
        <v>170</v>
      </c>
      <c r="U1855">
        <v>117</v>
      </c>
      <c r="V1855">
        <v>33</v>
      </c>
      <c r="W1855">
        <v>22</v>
      </c>
      <c r="X1855">
        <v>69</v>
      </c>
      <c r="Y1855" s="5">
        <v>1.7</v>
      </c>
    </row>
    <row r="1856" spans="1:25" x14ac:dyDescent="0.25">
      <c r="A1856">
        <v>2022</v>
      </c>
      <c r="B1856" t="s">
        <v>142</v>
      </c>
      <c r="C1856" t="s">
        <v>147</v>
      </c>
      <c r="D1856">
        <v>190</v>
      </c>
      <c r="E1856" t="s">
        <v>23</v>
      </c>
      <c r="F1856" t="s">
        <v>120</v>
      </c>
      <c r="G1856">
        <f t="shared" si="660"/>
        <v>1</v>
      </c>
      <c r="H1856">
        <v>7</v>
      </c>
      <c r="I1856">
        <v>6</v>
      </c>
      <c r="J1856">
        <v>0</v>
      </c>
      <c r="K1856" s="6" t="str">
        <f t="shared" ref="K1856" si="785">"vs "&amp;E1857</f>
        <v>vs The Bridgeburners</v>
      </c>
      <c r="L1856" s="6" t="str">
        <f t="shared" ref="L1856" si="786">"vs "&amp;F1857</f>
        <v>vs Fanis</v>
      </c>
      <c r="M1856">
        <v>249</v>
      </c>
      <c r="N1856" s="1">
        <v>0.55800000000000005</v>
      </c>
      <c r="O1856">
        <v>56</v>
      </c>
      <c r="P1856" s="1">
        <v>0.43099999999999999</v>
      </c>
      <c r="Q1856" s="1">
        <v>0.85499999999999998</v>
      </c>
      <c r="R1856">
        <v>654</v>
      </c>
      <c r="S1856">
        <v>46</v>
      </c>
      <c r="T1856">
        <v>171</v>
      </c>
      <c r="U1856">
        <v>120</v>
      </c>
      <c r="V1856">
        <v>22</v>
      </c>
      <c r="W1856">
        <v>11</v>
      </c>
      <c r="X1856">
        <v>57</v>
      </c>
      <c r="Y1856" s="5">
        <v>2.11</v>
      </c>
    </row>
    <row r="1857" spans="1:25" x14ac:dyDescent="0.25">
      <c r="A1857">
        <v>2022</v>
      </c>
      <c r="B1857" t="s">
        <v>142</v>
      </c>
      <c r="C1857" t="s">
        <v>147</v>
      </c>
      <c r="D1857">
        <v>190</v>
      </c>
      <c r="E1857" t="s">
        <v>16</v>
      </c>
      <c r="F1857" t="s">
        <v>51</v>
      </c>
      <c r="G1857">
        <f t="shared" si="660"/>
        <v>0</v>
      </c>
      <c r="H1857">
        <v>6</v>
      </c>
      <c r="I1857">
        <v>7</v>
      </c>
      <c r="J1857">
        <v>0</v>
      </c>
      <c r="K1857" s="6" t="str">
        <f t="shared" ref="K1857" si="787">"vs "&amp;E1856</f>
        <v>vs Pachiana NinjaBees</v>
      </c>
      <c r="L1857" s="6" t="str">
        <f t="shared" ref="L1857" si="788">"vs "&amp;F1856</f>
        <v>vs Spiridaus/Oladipas</v>
      </c>
      <c r="M1857">
        <v>146</v>
      </c>
      <c r="N1857" s="1">
        <v>0.46800000000000003</v>
      </c>
      <c r="O1857">
        <v>67</v>
      </c>
      <c r="P1857" s="1">
        <v>0.44400000000000001</v>
      </c>
      <c r="Q1857" s="1">
        <v>0.81299999999999994</v>
      </c>
      <c r="R1857">
        <v>411</v>
      </c>
      <c r="S1857">
        <v>21</v>
      </c>
      <c r="T1857">
        <v>105</v>
      </c>
      <c r="U1857">
        <v>112</v>
      </c>
      <c r="V1857">
        <v>28</v>
      </c>
      <c r="W1857">
        <v>13</v>
      </c>
      <c r="X1857">
        <v>43</v>
      </c>
      <c r="Y1857" s="5">
        <v>2.6</v>
      </c>
    </row>
    <row r="1858" spans="1:25" x14ac:dyDescent="0.25">
      <c r="A1858">
        <v>2022</v>
      </c>
      <c r="B1858" t="s">
        <v>142</v>
      </c>
      <c r="C1858" t="s">
        <v>30</v>
      </c>
      <c r="D1858">
        <v>191</v>
      </c>
      <c r="E1858" t="s">
        <v>23</v>
      </c>
      <c r="F1858" t="s">
        <v>120</v>
      </c>
      <c r="G1858">
        <f t="shared" ref="G1858:G1921" si="789">IF(H1858+0.5*J1858&gt;6.5,1,0)</f>
        <v>1</v>
      </c>
      <c r="H1858">
        <v>9</v>
      </c>
      <c r="I1858">
        <v>4</v>
      </c>
      <c r="J1858">
        <v>0</v>
      </c>
      <c r="K1858" s="6" t="str">
        <f t="shared" ref="K1858" si="790">"vs "&amp;E1859</f>
        <v>vs Underdogs</v>
      </c>
      <c r="L1858" s="6" t="str">
        <f t="shared" ref="L1858" si="791">"vs "&amp;F1859</f>
        <v>vs Nonis</v>
      </c>
      <c r="M1858">
        <v>234</v>
      </c>
      <c r="N1858" s="1">
        <v>0.52800000000000002</v>
      </c>
      <c r="O1858">
        <v>40</v>
      </c>
      <c r="P1858" s="1">
        <v>0.35699999999999998</v>
      </c>
      <c r="Q1858" s="1">
        <v>0.78800000000000003</v>
      </c>
      <c r="R1858">
        <v>616</v>
      </c>
      <c r="S1858">
        <v>49</v>
      </c>
      <c r="T1858">
        <v>139</v>
      </c>
      <c r="U1858">
        <v>125</v>
      </c>
      <c r="V1858">
        <v>33</v>
      </c>
      <c r="W1858">
        <v>15</v>
      </c>
      <c r="X1858">
        <v>69</v>
      </c>
      <c r="Y1858" s="5">
        <v>1.81</v>
      </c>
    </row>
    <row r="1859" spans="1:25" x14ac:dyDescent="0.25">
      <c r="A1859">
        <v>2022</v>
      </c>
      <c r="B1859" t="s">
        <v>142</v>
      </c>
      <c r="C1859" t="s">
        <v>30</v>
      </c>
      <c r="D1859">
        <v>191</v>
      </c>
      <c r="E1859" t="s">
        <v>97</v>
      </c>
      <c r="F1859" t="s">
        <v>54</v>
      </c>
      <c r="G1859">
        <f t="shared" si="789"/>
        <v>0</v>
      </c>
      <c r="H1859">
        <v>4</v>
      </c>
      <c r="I1859">
        <v>9</v>
      </c>
      <c r="J1859">
        <v>0</v>
      </c>
      <c r="K1859" s="6" t="str">
        <f t="shared" ref="K1859" si="792">"vs "&amp;E1858</f>
        <v>vs Pachiana NinjaBees</v>
      </c>
      <c r="L1859" s="6" t="str">
        <f t="shared" ref="L1859" si="793">"vs "&amp;F1858</f>
        <v>vs Spiridaus/Oladipas</v>
      </c>
      <c r="M1859">
        <v>200</v>
      </c>
      <c r="N1859" s="1">
        <v>0.47399999999999998</v>
      </c>
      <c r="O1859">
        <v>55</v>
      </c>
      <c r="P1859" s="1">
        <v>0.33300000000000002</v>
      </c>
      <c r="Q1859" s="1">
        <v>0.80300000000000005</v>
      </c>
      <c r="R1859">
        <v>557</v>
      </c>
      <c r="S1859">
        <v>34</v>
      </c>
      <c r="T1859">
        <v>138</v>
      </c>
      <c r="U1859">
        <v>123</v>
      </c>
      <c r="V1859">
        <v>28</v>
      </c>
      <c r="W1859">
        <v>18</v>
      </c>
      <c r="X1859">
        <v>68</v>
      </c>
      <c r="Y1859" s="5">
        <v>1.81</v>
      </c>
    </row>
    <row r="1860" spans="1:25" x14ac:dyDescent="0.25">
      <c r="A1860">
        <v>2022</v>
      </c>
      <c r="B1860" t="s">
        <v>142</v>
      </c>
      <c r="C1860" t="s">
        <v>141</v>
      </c>
      <c r="D1860">
        <v>192</v>
      </c>
      <c r="E1860" t="s">
        <v>28</v>
      </c>
      <c r="F1860" t="s">
        <v>46</v>
      </c>
      <c r="G1860">
        <f t="shared" si="789"/>
        <v>1</v>
      </c>
      <c r="H1860">
        <v>8</v>
      </c>
      <c r="I1860">
        <v>5</v>
      </c>
      <c r="J1860">
        <v>0</v>
      </c>
      <c r="K1860" s="6" t="str">
        <f t="shared" ref="K1860" si="794">"vs "&amp;E1861</f>
        <v>vs The Bridgeburners</v>
      </c>
      <c r="L1860" s="6" t="str">
        <f t="shared" ref="L1860" si="795">"vs "&amp;F1861</f>
        <v>vs Fanis</v>
      </c>
      <c r="M1860">
        <v>224</v>
      </c>
      <c r="N1860" s="1">
        <v>0.52200000000000002</v>
      </c>
      <c r="O1860">
        <v>51</v>
      </c>
      <c r="P1860" s="1">
        <v>0.39800000000000002</v>
      </c>
      <c r="Q1860" s="1">
        <v>0.80600000000000005</v>
      </c>
      <c r="R1860">
        <v>582</v>
      </c>
      <c r="S1860">
        <v>65</v>
      </c>
      <c r="T1860">
        <v>148</v>
      </c>
      <c r="U1860">
        <v>117</v>
      </c>
      <c r="V1860">
        <v>32</v>
      </c>
      <c r="W1860">
        <v>27</v>
      </c>
      <c r="X1860">
        <v>69</v>
      </c>
      <c r="Y1860" s="5">
        <v>1.7</v>
      </c>
    </row>
    <row r="1861" spans="1:25" x14ac:dyDescent="0.25">
      <c r="A1861">
        <v>2022</v>
      </c>
      <c r="B1861" t="s">
        <v>142</v>
      </c>
      <c r="C1861" t="s">
        <v>141</v>
      </c>
      <c r="D1861">
        <v>192</v>
      </c>
      <c r="E1861" t="s">
        <v>16</v>
      </c>
      <c r="F1861" t="s">
        <v>51</v>
      </c>
      <c r="G1861">
        <f t="shared" si="789"/>
        <v>0</v>
      </c>
      <c r="H1861">
        <v>5</v>
      </c>
      <c r="I1861">
        <v>8</v>
      </c>
      <c r="J1861">
        <v>0</v>
      </c>
      <c r="K1861" s="6" t="str">
        <f t="shared" ref="K1861:L1861" si="796">"vs "&amp;E1860</f>
        <v>vs Steven Adams' Moustache</v>
      </c>
      <c r="L1861" s="6" t="str">
        <f t="shared" si="796"/>
        <v>vs Johnny</v>
      </c>
      <c r="M1861">
        <v>168</v>
      </c>
      <c r="N1861" s="1">
        <v>0.47599999999999998</v>
      </c>
      <c r="O1861">
        <v>65</v>
      </c>
      <c r="P1861" s="1">
        <v>0.42499999999999999</v>
      </c>
      <c r="Q1861" s="1">
        <v>0.76700000000000002</v>
      </c>
      <c r="R1861">
        <v>467</v>
      </c>
      <c r="S1861">
        <v>29</v>
      </c>
      <c r="T1861">
        <v>121</v>
      </c>
      <c r="U1861">
        <v>136</v>
      </c>
      <c r="V1861">
        <v>24</v>
      </c>
      <c r="W1861">
        <v>22</v>
      </c>
      <c r="X1861">
        <v>50</v>
      </c>
      <c r="Y1861" s="5">
        <v>2.72</v>
      </c>
    </row>
    <row r="1862" spans="1:25" x14ac:dyDescent="0.25">
      <c r="A1862">
        <v>2023</v>
      </c>
      <c r="B1862" t="s">
        <v>57</v>
      </c>
      <c r="C1862">
        <v>1</v>
      </c>
      <c r="D1862">
        <v>1</v>
      </c>
      <c r="E1862" t="s">
        <v>158</v>
      </c>
      <c r="F1862" t="s">
        <v>177</v>
      </c>
      <c r="G1862">
        <f t="shared" si="789"/>
        <v>0</v>
      </c>
      <c r="H1862">
        <v>5</v>
      </c>
      <c r="I1862">
        <v>8</v>
      </c>
      <c r="J1862">
        <v>0</v>
      </c>
      <c r="K1862" s="6" t="str">
        <f t="shared" ref="K1862" si="797">"vs "&amp;E1863</f>
        <v>vs Pachiana NinjaBees</v>
      </c>
      <c r="L1862" s="6" t="str">
        <f t="shared" ref="L1862" si="798">"vs "&amp;F1863</f>
        <v>vs Spiridaus/Oladipas</v>
      </c>
      <c r="M1862">
        <v>190</v>
      </c>
      <c r="N1862" s="1">
        <v>0.48199999999999998</v>
      </c>
      <c r="O1862">
        <v>24</v>
      </c>
      <c r="P1862" s="1">
        <v>0.27</v>
      </c>
      <c r="Q1862" s="1">
        <v>0.747</v>
      </c>
      <c r="R1862">
        <v>525</v>
      </c>
      <c r="S1862">
        <v>49</v>
      </c>
      <c r="T1862">
        <v>168</v>
      </c>
      <c r="U1862">
        <v>120</v>
      </c>
      <c r="V1862">
        <v>22</v>
      </c>
      <c r="W1862">
        <v>18</v>
      </c>
      <c r="X1862">
        <v>61</v>
      </c>
      <c r="Y1862" s="5">
        <v>1.97</v>
      </c>
    </row>
    <row r="1863" spans="1:25" x14ac:dyDescent="0.25">
      <c r="A1863">
        <v>2023</v>
      </c>
      <c r="B1863" t="s">
        <v>57</v>
      </c>
      <c r="C1863">
        <v>1</v>
      </c>
      <c r="D1863">
        <v>1</v>
      </c>
      <c r="E1863" t="s">
        <v>23</v>
      </c>
      <c r="F1863" t="s">
        <v>120</v>
      </c>
      <c r="G1863">
        <f t="shared" si="789"/>
        <v>1</v>
      </c>
      <c r="H1863">
        <v>8</v>
      </c>
      <c r="I1863">
        <v>5</v>
      </c>
      <c r="J1863">
        <v>0</v>
      </c>
      <c r="K1863" s="6" t="str">
        <f t="shared" ref="K1863" si="799">"vs "&amp;E1862</f>
        <v>vs LRBP PR3DATORS</v>
      </c>
      <c r="L1863" s="6" t="str">
        <f t="shared" ref="L1863" si="800">"vs "&amp;F1862</f>
        <v>vs Lafa</v>
      </c>
      <c r="M1863">
        <v>177</v>
      </c>
      <c r="N1863" s="1">
        <v>0.5</v>
      </c>
      <c r="O1863">
        <v>36</v>
      </c>
      <c r="P1863" s="1">
        <v>0.39100000000000001</v>
      </c>
      <c r="Q1863" s="1">
        <v>0.80600000000000005</v>
      </c>
      <c r="R1863">
        <v>473</v>
      </c>
      <c r="S1863">
        <v>52</v>
      </c>
      <c r="T1863">
        <v>133</v>
      </c>
      <c r="U1863">
        <v>111</v>
      </c>
      <c r="V1863">
        <v>30</v>
      </c>
      <c r="W1863">
        <v>17</v>
      </c>
      <c r="X1863">
        <v>54</v>
      </c>
      <c r="Y1863" s="5">
        <v>2.06</v>
      </c>
    </row>
    <row r="1864" spans="1:25" x14ac:dyDescent="0.25">
      <c r="A1864">
        <v>2023</v>
      </c>
      <c r="B1864" t="s">
        <v>57</v>
      </c>
      <c r="C1864">
        <v>1</v>
      </c>
      <c r="D1864">
        <v>2</v>
      </c>
      <c r="E1864" t="s">
        <v>25</v>
      </c>
      <c r="F1864" t="s">
        <v>53</v>
      </c>
      <c r="G1864">
        <f t="shared" si="789"/>
        <v>0</v>
      </c>
      <c r="H1864">
        <v>6</v>
      </c>
      <c r="I1864">
        <v>7</v>
      </c>
      <c r="J1864">
        <v>0</v>
      </c>
      <c r="K1864" s="6" t="str">
        <f t="shared" ref="K1864" si="801">"vs "&amp;E1865</f>
        <v>vs The Guns</v>
      </c>
      <c r="L1864" s="6" t="str">
        <f t="shared" ref="L1864" si="802">"vs "&amp;F1865</f>
        <v>vs Vasilis</v>
      </c>
      <c r="M1864">
        <v>141</v>
      </c>
      <c r="N1864" s="1">
        <v>0.47799999999999998</v>
      </c>
      <c r="O1864">
        <v>38</v>
      </c>
      <c r="P1864" s="1">
        <v>0.42699999999999999</v>
      </c>
      <c r="Q1864" s="1">
        <v>0.72599999999999998</v>
      </c>
      <c r="R1864">
        <v>365</v>
      </c>
      <c r="S1864">
        <v>43</v>
      </c>
      <c r="T1864">
        <v>111</v>
      </c>
      <c r="U1864">
        <v>70</v>
      </c>
      <c r="V1864">
        <v>24</v>
      </c>
      <c r="W1864">
        <v>13</v>
      </c>
      <c r="X1864">
        <v>64</v>
      </c>
      <c r="Y1864" s="5">
        <v>1.0900000000000001</v>
      </c>
    </row>
    <row r="1865" spans="1:25" x14ac:dyDescent="0.25">
      <c r="A1865">
        <v>2023</v>
      </c>
      <c r="B1865" t="s">
        <v>57</v>
      </c>
      <c r="C1865">
        <v>1</v>
      </c>
      <c r="D1865">
        <v>2</v>
      </c>
      <c r="E1865" t="s">
        <v>33</v>
      </c>
      <c r="F1865" t="s">
        <v>42</v>
      </c>
      <c r="G1865">
        <f t="shared" si="789"/>
        <v>1</v>
      </c>
      <c r="H1865">
        <v>7</v>
      </c>
      <c r="I1865">
        <v>6</v>
      </c>
      <c r="J1865">
        <v>0</v>
      </c>
      <c r="K1865" s="6" t="str">
        <f t="shared" ref="K1865" si="803">"vs "&amp;E1864</f>
        <v>vs The Rookies</v>
      </c>
      <c r="L1865" s="6" t="str">
        <f t="shared" ref="L1865" si="804">"vs "&amp;F1864</f>
        <v>vs Kousidis</v>
      </c>
      <c r="M1865">
        <v>160</v>
      </c>
      <c r="N1865" s="1">
        <v>0.502</v>
      </c>
      <c r="O1865">
        <v>34</v>
      </c>
      <c r="P1865" s="1">
        <v>0.35399999999999998</v>
      </c>
      <c r="Q1865" s="1">
        <v>0.72</v>
      </c>
      <c r="R1865">
        <v>408</v>
      </c>
      <c r="S1865">
        <v>39</v>
      </c>
      <c r="T1865">
        <v>98</v>
      </c>
      <c r="U1865">
        <v>69</v>
      </c>
      <c r="V1865">
        <v>37</v>
      </c>
      <c r="W1865">
        <v>14</v>
      </c>
      <c r="X1865">
        <v>55</v>
      </c>
      <c r="Y1865" s="5">
        <v>1.25</v>
      </c>
    </row>
    <row r="1866" spans="1:25" x14ac:dyDescent="0.25">
      <c r="A1866">
        <v>2023</v>
      </c>
      <c r="B1866" t="s">
        <v>57</v>
      </c>
      <c r="C1866">
        <v>1</v>
      </c>
      <c r="D1866">
        <v>3</v>
      </c>
      <c r="E1866" t="s">
        <v>154</v>
      </c>
      <c r="F1866" t="s">
        <v>155</v>
      </c>
      <c r="G1866">
        <f t="shared" si="789"/>
        <v>0</v>
      </c>
      <c r="H1866">
        <v>5</v>
      </c>
      <c r="I1866">
        <v>8</v>
      </c>
      <c r="J1866">
        <v>0</v>
      </c>
      <c r="K1866" s="6" t="str">
        <f t="shared" ref="K1866" si="805">"vs "&amp;E1867</f>
        <v>vs st.Helens Eruptions</v>
      </c>
      <c r="L1866" s="6" t="str">
        <f t="shared" ref="L1866" si="806">"vs "&amp;F1867</f>
        <v>vs Aris</v>
      </c>
      <c r="M1866">
        <v>72</v>
      </c>
      <c r="N1866" s="1">
        <v>0.41599999999999998</v>
      </c>
      <c r="O1866">
        <v>18</v>
      </c>
      <c r="P1866" s="1">
        <v>0.3</v>
      </c>
      <c r="Q1866" s="1">
        <v>0.78900000000000003</v>
      </c>
      <c r="R1866">
        <v>207</v>
      </c>
      <c r="S1866">
        <v>19</v>
      </c>
      <c r="T1866">
        <v>64</v>
      </c>
      <c r="U1866">
        <v>48</v>
      </c>
      <c r="V1866">
        <v>25</v>
      </c>
      <c r="W1866">
        <v>15</v>
      </c>
      <c r="X1866">
        <v>33</v>
      </c>
      <c r="Y1866" s="5">
        <v>1.45</v>
      </c>
    </row>
    <row r="1867" spans="1:25" x14ac:dyDescent="0.25">
      <c r="A1867">
        <v>2023</v>
      </c>
      <c r="B1867" t="s">
        <v>57</v>
      </c>
      <c r="C1867">
        <v>1</v>
      </c>
      <c r="D1867">
        <v>3</v>
      </c>
      <c r="E1867" t="s">
        <v>21</v>
      </c>
      <c r="F1867" t="s">
        <v>50</v>
      </c>
      <c r="G1867">
        <f t="shared" si="789"/>
        <v>1</v>
      </c>
      <c r="H1867">
        <v>8</v>
      </c>
      <c r="I1867">
        <v>5</v>
      </c>
      <c r="J1867">
        <v>0</v>
      </c>
      <c r="K1867" s="6" t="str">
        <f t="shared" ref="K1867" si="807">"vs "&amp;E1866</f>
        <v>vs The Bad Boys</v>
      </c>
      <c r="L1867" s="6" t="str">
        <f t="shared" ref="L1867" si="808">"vs "&amp;F1866</f>
        <v>vs Arvanitis</v>
      </c>
      <c r="M1867">
        <v>114</v>
      </c>
      <c r="N1867" s="1">
        <v>0.41299999999999998</v>
      </c>
      <c r="O1867">
        <v>38</v>
      </c>
      <c r="P1867" s="1">
        <v>0.33900000000000002</v>
      </c>
      <c r="Q1867" s="1">
        <v>0.86</v>
      </c>
      <c r="R1867">
        <v>340</v>
      </c>
      <c r="S1867">
        <v>14</v>
      </c>
      <c r="T1867">
        <v>65</v>
      </c>
      <c r="U1867">
        <v>54</v>
      </c>
      <c r="V1867">
        <v>24</v>
      </c>
      <c r="W1867">
        <v>4</v>
      </c>
      <c r="X1867">
        <v>34</v>
      </c>
      <c r="Y1867" s="5">
        <v>1.59</v>
      </c>
    </row>
    <row r="1868" spans="1:25" x14ac:dyDescent="0.25">
      <c r="A1868">
        <v>2023</v>
      </c>
      <c r="B1868" t="s">
        <v>57</v>
      </c>
      <c r="C1868">
        <v>1</v>
      </c>
      <c r="D1868">
        <v>4</v>
      </c>
      <c r="E1868" t="s">
        <v>16</v>
      </c>
      <c r="F1868" t="s">
        <v>51</v>
      </c>
      <c r="G1868">
        <f t="shared" si="789"/>
        <v>0</v>
      </c>
      <c r="H1868">
        <v>3</v>
      </c>
      <c r="I1868">
        <v>10</v>
      </c>
      <c r="J1868">
        <v>0</v>
      </c>
      <c r="K1868" s="6" t="str">
        <f t="shared" ref="K1868" si="809">"vs "&amp;E1869</f>
        <v>vs Steven Adams' Moustache</v>
      </c>
      <c r="L1868" s="6" t="str">
        <f t="shared" ref="L1868" si="810">"vs "&amp;F1869</f>
        <v>vs Johnny</v>
      </c>
      <c r="M1868">
        <v>116</v>
      </c>
      <c r="N1868" s="1">
        <v>0.47199999999999998</v>
      </c>
      <c r="O1868">
        <v>31</v>
      </c>
      <c r="P1868" s="1">
        <v>0.33</v>
      </c>
      <c r="Q1868" s="1">
        <v>0.79500000000000004</v>
      </c>
      <c r="R1868">
        <v>333</v>
      </c>
      <c r="S1868">
        <v>28</v>
      </c>
      <c r="T1868">
        <v>93</v>
      </c>
      <c r="U1868">
        <v>56</v>
      </c>
      <c r="V1868">
        <v>27</v>
      </c>
      <c r="W1868">
        <v>23</v>
      </c>
      <c r="X1868">
        <v>36</v>
      </c>
      <c r="Y1868" s="5">
        <v>1.56</v>
      </c>
    </row>
    <row r="1869" spans="1:25" x14ac:dyDescent="0.25">
      <c r="A1869">
        <v>2023</v>
      </c>
      <c r="B1869" t="s">
        <v>57</v>
      </c>
      <c r="C1869">
        <v>1</v>
      </c>
      <c r="D1869">
        <v>4</v>
      </c>
      <c r="E1869" t="s">
        <v>28</v>
      </c>
      <c r="F1869" t="s">
        <v>46</v>
      </c>
      <c r="G1869">
        <f t="shared" si="789"/>
        <v>1</v>
      </c>
      <c r="H1869">
        <v>10</v>
      </c>
      <c r="I1869">
        <v>3</v>
      </c>
      <c r="J1869">
        <v>0</v>
      </c>
      <c r="K1869" s="6" t="str">
        <f t="shared" ref="K1869" si="811">"vs "&amp;E1868</f>
        <v>vs The Bridgeburners</v>
      </c>
      <c r="L1869" s="6" t="str">
        <f t="shared" ref="L1869" si="812">"vs "&amp;F1868</f>
        <v>vs Fanis</v>
      </c>
      <c r="M1869">
        <v>145</v>
      </c>
      <c r="N1869" s="1">
        <v>0.44900000000000001</v>
      </c>
      <c r="O1869">
        <v>43</v>
      </c>
      <c r="P1869" s="1">
        <v>0.35799999999999998</v>
      </c>
      <c r="Q1869" s="1">
        <v>0.78100000000000003</v>
      </c>
      <c r="R1869">
        <v>390</v>
      </c>
      <c r="S1869">
        <v>37</v>
      </c>
      <c r="T1869">
        <v>128</v>
      </c>
      <c r="U1869">
        <v>131</v>
      </c>
      <c r="V1869">
        <v>31</v>
      </c>
      <c r="W1869">
        <v>24</v>
      </c>
      <c r="X1869">
        <v>51</v>
      </c>
      <c r="Y1869" s="5">
        <v>2.57</v>
      </c>
    </row>
    <row r="1870" spans="1:25" x14ac:dyDescent="0.25">
      <c r="A1870">
        <v>2023</v>
      </c>
      <c r="B1870" t="s">
        <v>57</v>
      </c>
      <c r="C1870">
        <v>1</v>
      </c>
      <c r="D1870">
        <v>5</v>
      </c>
      <c r="E1870" t="s">
        <v>16</v>
      </c>
      <c r="F1870" t="s">
        <v>51</v>
      </c>
      <c r="G1870">
        <f t="shared" si="789"/>
        <v>0</v>
      </c>
      <c r="H1870">
        <v>4</v>
      </c>
      <c r="I1870">
        <v>9</v>
      </c>
      <c r="J1870">
        <v>0</v>
      </c>
      <c r="K1870" s="6" t="str">
        <f t="shared" ref="K1870" si="813">"vs "&amp;E1871</f>
        <v>vs Salonika Devils</v>
      </c>
      <c r="L1870" s="6" t="str">
        <f t="shared" ref="L1870" si="814">"vs "&amp;F1871</f>
        <v>vs Fountos</v>
      </c>
      <c r="M1870">
        <v>116</v>
      </c>
      <c r="N1870" s="1">
        <v>0.47199999999999998</v>
      </c>
      <c r="O1870">
        <v>31</v>
      </c>
      <c r="P1870" s="1">
        <v>0.33</v>
      </c>
      <c r="Q1870" s="1">
        <v>0.79500000000000004</v>
      </c>
      <c r="R1870">
        <v>333</v>
      </c>
      <c r="S1870">
        <v>28</v>
      </c>
      <c r="T1870">
        <v>93</v>
      </c>
      <c r="U1870">
        <v>56</v>
      </c>
      <c r="V1870">
        <v>27</v>
      </c>
      <c r="W1870">
        <v>23</v>
      </c>
      <c r="X1870">
        <v>36</v>
      </c>
      <c r="Y1870" s="5">
        <v>1.56</v>
      </c>
    </row>
    <row r="1871" spans="1:25" x14ac:dyDescent="0.25">
      <c r="A1871">
        <v>2023</v>
      </c>
      <c r="B1871" t="s">
        <v>57</v>
      </c>
      <c r="C1871">
        <v>1</v>
      </c>
      <c r="D1871">
        <v>5</v>
      </c>
      <c r="E1871" t="s">
        <v>15</v>
      </c>
      <c r="F1871" t="s">
        <v>48</v>
      </c>
      <c r="G1871">
        <f t="shared" si="789"/>
        <v>1</v>
      </c>
      <c r="H1871">
        <v>9</v>
      </c>
      <c r="I1871">
        <v>4</v>
      </c>
      <c r="J1871">
        <v>0</v>
      </c>
      <c r="K1871" s="6" t="str">
        <f t="shared" ref="K1871" si="815">"vs "&amp;E1870</f>
        <v>vs The Bridgeburners</v>
      </c>
      <c r="L1871" s="6" t="str">
        <f t="shared" ref="L1871" si="816">"vs "&amp;F1870</f>
        <v>vs Fanis</v>
      </c>
      <c r="M1871">
        <v>142</v>
      </c>
      <c r="N1871" s="1">
        <v>0.49</v>
      </c>
      <c r="O1871">
        <v>33</v>
      </c>
      <c r="P1871" s="1">
        <v>0.35499999999999998</v>
      </c>
      <c r="Q1871" s="1">
        <v>0.79600000000000004</v>
      </c>
      <c r="R1871">
        <v>391</v>
      </c>
      <c r="S1871">
        <v>31</v>
      </c>
      <c r="T1871">
        <v>117</v>
      </c>
      <c r="U1871">
        <v>89</v>
      </c>
      <c r="V1871">
        <v>21</v>
      </c>
      <c r="W1871">
        <v>16</v>
      </c>
      <c r="X1871">
        <v>62</v>
      </c>
      <c r="Y1871" s="5">
        <v>1.44</v>
      </c>
    </row>
    <row r="1872" spans="1:25" x14ac:dyDescent="0.25">
      <c r="A1872">
        <v>2023</v>
      </c>
      <c r="B1872" t="s">
        <v>57</v>
      </c>
      <c r="C1872">
        <v>1</v>
      </c>
      <c r="D1872">
        <v>6</v>
      </c>
      <c r="E1872" t="s">
        <v>26</v>
      </c>
      <c r="F1872" t="s">
        <v>118</v>
      </c>
      <c r="G1872">
        <f t="shared" si="789"/>
        <v>1</v>
      </c>
      <c r="H1872">
        <v>8</v>
      </c>
      <c r="I1872">
        <v>5</v>
      </c>
      <c r="J1872">
        <v>0</v>
      </c>
      <c r="K1872" s="6" t="str">
        <f t="shared" ref="K1872" si="817">"vs "&amp;E1873</f>
        <v>vs st.Helens Eruptions</v>
      </c>
      <c r="L1872" s="6" t="str">
        <f t="shared" ref="L1872" si="818">"vs "&amp;F1873</f>
        <v>vs Aris</v>
      </c>
      <c r="M1872">
        <v>81</v>
      </c>
      <c r="N1872" s="1">
        <v>0.41099999999999998</v>
      </c>
      <c r="O1872">
        <v>31</v>
      </c>
      <c r="P1872" s="1">
        <v>0.35199999999999998</v>
      </c>
      <c r="Q1872" s="1">
        <v>0.878</v>
      </c>
      <c r="R1872">
        <v>229</v>
      </c>
      <c r="S1872">
        <v>16</v>
      </c>
      <c r="T1872">
        <v>74</v>
      </c>
      <c r="U1872">
        <v>81</v>
      </c>
      <c r="V1872">
        <v>21</v>
      </c>
      <c r="W1872">
        <v>11</v>
      </c>
      <c r="X1872">
        <v>23</v>
      </c>
      <c r="Y1872" s="5">
        <v>3.52</v>
      </c>
    </row>
    <row r="1873" spans="1:25" x14ac:dyDescent="0.25">
      <c r="A1873">
        <v>2023</v>
      </c>
      <c r="B1873" t="s">
        <v>57</v>
      </c>
      <c r="C1873">
        <v>1</v>
      </c>
      <c r="D1873">
        <v>6</v>
      </c>
      <c r="E1873" t="s">
        <v>21</v>
      </c>
      <c r="F1873" t="s">
        <v>50</v>
      </c>
      <c r="G1873">
        <f t="shared" si="789"/>
        <v>0</v>
      </c>
      <c r="H1873">
        <v>5</v>
      </c>
      <c r="I1873">
        <v>8</v>
      </c>
      <c r="J1873">
        <v>0</v>
      </c>
      <c r="K1873" s="6" t="str">
        <f t="shared" ref="K1873" si="819">"vs "&amp;E1872</f>
        <v>vs Kourayo Vallecano</v>
      </c>
      <c r="L1873" s="6" t="str">
        <f t="shared" ref="L1873" si="820">"vs "&amp;F1872</f>
        <v>vs Ziogas/Christof</v>
      </c>
      <c r="M1873">
        <v>114</v>
      </c>
      <c r="N1873" s="1">
        <v>0.41299999999999998</v>
      </c>
      <c r="O1873">
        <v>38</v>
      </c>
      <c r="P1873" s="1">
        <v>0.33900000000000002</v>
      </c>
      <c r="Q1873" s="1">
        <v>0.86</v>
      </c>
      <c r="R1873">
        <v>340</v>
      </c>
      <c r="S1873">
        <v>14</v>
      </c>
      <c r="T1873">
        <v>65</v>
      </c>
      <c r="U1873">
        <v>54</v>
      </c>
      <c r="V1873">
        <v>24</v>
      </c>
      <c r="W1873">
        <v>4</v>
      </c>
      <c r="X1873">
        <v>34</v>
      </c>
      <c r="Y1873" s="5">
        <v>1.59</v>
      </c>
    </row>
    <row r="1874" spans="1:25" x14ac:dyDescent="0.25">
      <c r="A1874">
        <v>2023</v>
      </c>
      <c r="B1874" t="s">
        <v>57</v>
      </c>
      <c r="C1874">
        <v>1</v>
      </c>
      <c r="D1874">
        <v>7</v>
      </c>
      <c r="E1874" t="s">
        <v>94</v>
      </c>
      <c r="F1874" t="s">
        <v>40</v>
      </c>
      <c r="G1874">
        <f t="shared" si="789"/>
        <v>1</v>
      </c>
      <c r="H1874">
        <v>9</v>
      </c>
      <c r="I1874">
        <v>4</v>
      </c>
      <c r="J1874">
        <v>0</v>
      </c>
      <c r="K1874" s="6" t="str">
        <f t="shared" ref="K1874" si="821">"vs "&amp;E1875</f>
        <v>vs The Bad Boys</v>
      </c>
      <c r="L1874" s="6" t="str">
        <f t="shared" ref="L1874" si="822">"vs "&amp;F1875</f>
        <v>vs Arvanitis</v>
      </c>
      <c r="M1874">
        <v>121</v>
      </c>
      <c r="N1874" s="1">
        <v>0.42499999999999999</v>
      </c>
      <c r="O1874">
        <v>39</v>
      </c>
      <c r="P1874" s="1">
        <v>0.315</v>
      </c>
      <c r="Q1874" s="1">
        <v>0.81100000000000005</v>
      </c>
      <c r="R1874">
        <v>341</v>
      </c>
      <c r="S1874">
        <v>34</v>
      </c>
      <c r="T1874">
        <v>104</v>
      </c>
      <c r="U1874">
        <v>65</v>
      </c>
      <c r="V1874">
        <v>18</v>
      </c>
      <c r="W1874">
        <v>13</v>
      </c>
      <c r="X1874">
        <v>49</v>
      </c>
      <c r="Y1874" s="5">
        <v>1.33</v>
      </c>
    </row>
    <row r="1875" spans="1:25" x14ac:dyDescent="0.25">
      <c r="A1875">
        <v>2023</v>
      </c>
      <c r="B1875" t="s">
        <v>57</v>
      </c>
      <c r="C1875">
        <v>1</v>
      </c>
      <c r="D1875">
        <v>7</v>
      </c>
      <c r="E1875" t="s">
        <v>154</v>
      </c>
      <c r="F1875" t="s">
        <v>155</v>
      </c>
      <c r="G1875">
        <f t="shared" si="789"/>
        <v>0</v>
      </c>
      <c r="H1875">
        <v>4</v>
      </c>
      <c r="I1875">
        <v>9</v>
      </c>
      <c r="J1875">
        <v>0</v>
      </c>
      <c r="K1875" s="6" t="str">
        <f t="shared" ref="K1875" si="823">"vs "&amp;E1874</f>
        <v>vs Fighting Thaddeus</v>
      </c>
      <c r="L1875" s="6" t="str">
        <f t="shared" ref="L1875" si="824">"vs "&amp;F1874</f>
        <v>vs Stavros</v>
      </c>
      <c r="M1875">
        <v>72</v>
      </c>
      <c r="N1875" s="1">
        <v>0.41599999999999998</v>
      </c>
      <c r="O1875">
        <v>18</v>
      </c>
      <c r="P1875" s="1">
        <v>0.3</v>
      </c>
      <c r="Q1875" s="1">
        <v>0.78900000000000003</v>
      </c>
      <c r="R1875">
        <v>207</v>
      </c>
      <c r="S1875">
        <v>19</v>
      </c>
      <c r="T1875">
        <v>64</v>
      </c>
      <c r="U1875">
        <v>48</v>
      </c>
      <c r="V1875">
        <v>25</v>
      </c>
      <c r="W1875">
        <v>15</v>
      </c>
      <c r="X1875">
        <v>33</v>
      </c>
      <c r="Y1875" s="5">
        <v>1.45</v>
      </c>
    </row>
    <row r="1876" spans="1:25" x14ac:dyDescent="0.25">
      <c r="A1876">
        <v>2023</v>
      </c>
      <c r="B1876" t="s">
        <v>57</v>
      </c>
      <c r="C1876">
        <v>1</v>
      </c>
      <c r="D1876">
        <v>8</v>
      </c>
      <c r="E1876" t="s">
        <v>96</v>
      </c>
      <c r="F1876" t="s">
        <v>102</v>
      </c>
      <c r="G1876">
        <f t="shared" si="789"/>
        <v>0</v>
      </c>
      <c r="H1876">
        <v>3</v>
      </c>
      <c r="I1876">
        <v>10</v>
      </c>
      <c r="J1876">
        <v>0</v>
      </c>
      <c r="K1876" s="6" t="str">
        <f t="shared" ref="K1876" si="825">"vs "&amp;E1877</f>
        <v>vs Steven Adams' Moustache</v>
      </c>
      <c r="L1876" s="6" t="str">
        <f t="shared" ref="L1876" si="826">"vs "&amp;F1877</f>
        <v>vs Johnny</v>
      </c>
      <c r="M1876">
        <v>85</v>
      </c>
      <c r="N1876" s="1">
        <v>0.50600000000000001</v>
      </c>
      <c r="O1876">
        <v>25</v>
      </c>
      <c r="P1876" s="1">
        <v>0.38500000000000001</v>
      </c>
      <c r="Q1876" s="1">
        <v>0.68799999999999994</v>
      </c>
      <c r="R1876">
        <v>217</v>
      </c>
      <c r="S1876">
        <v>27</v>
      </c>
      <c r="T1876">
        <v>78</v>
      </c>
      <c r="U1876">
        <v>45</v>
      </c>
      <c r="V1876">
        <v>17</v>
      </c>
      <c r="W1876">
        <v>16</v>
      </c>
      <c r="X1876">
        <v>25</v>
      </c>
      <c r="Y1876" s="5">
        <v>1.8</v>
      </c>
    </row>
    <row r="1877" spans="1:25" x14ac:dyDescent="0.25">
      <c r="A1877">
        <v>2023</v>
      </c>
      <c r="B1877" t="s">
        <v>57</v>
      </c>
      <c r="C1877">
        <v>1</v>
      </c>
      <c r="D1877">
        <v>8</v>
      </c>
      <c r="E1877" t="s">
        <v>28</v>
      </c>
      <c r="F1877" t="s">
        <v>46</v>
      </c>
      <c r="G1877">
        <f t="shared" si="789"/>
        <v>1</v>
      </c>
      <c r="H1877">
        <v>10</v>
      </c>
      <c r="I1877">
        <v>3</v>
      </c>
      <c r="J1877">
        <v>0</v>
      </c>
      <c r="K1877" s="6" t="str">
        <f t="shared" ref="K1877" si="827">"vs "&amp;E1876</f>
        <v>vs Knights of Ni</v>
      </c>
      <c r="L1877" s="6" t="str">
        <f t="shared" ref="L1877" si="828">"vs "&amp;F1876</f>
        <v>vs Tolios</v>
      </c>
      <c r="M1877">
        <v>145</v>
      </c>
      <c r="N1877" s="1">
        <v>0.44900000000000001</v>
      </c>
      <c r="O1877">
        <v>43</v>
      </c>
      <c r="P1877" s="1">
        <v>0.35799999999999998</v>
      </c>
      <c r="Q1877" s="1">
        <v>0.78100000000000003</v>
      </c>
      <c r="R1877">
        <v>390</v>
      </c>
      <c r="S1877">
        <v>37</v>
      </c>
      <c r="T1877">
        <v>128</v>
      </c>
      <c r="U1877">
        <v>131</v>
      </c>
      <c r="V1877">
        <v>31</v>
      </c>
      <c r="W1877">
        <v>24</v>
      </c>
      <c r="X1877">
        <v>51</v>
      </c>
      <c r="Y1877" s="5">
        <v>2.57</v>
      </c>
    </row>
    <row r="1878" spans="1:25" x14ac:dyDescent="0.25">
      <c r="A1878">
        <v>2023</v>
      </c>
      <c r="B1878" t="s">
        <v>57</v>
      </c>
      <c r="C1878">
        <v>1</v>
      </c>
      <c r="D1878">
        <v>9</v>
      </c>
      <c r="E1878" t="s">
        <v>23</v>
      </c>
      <c r="F1878" t="s">
        <v>120</v>
      </c>
      <c r="G1878">
        <f t="shared" si="789"/>
        <v>1</v>
      </c>
      <c r="H1878">
        <v>8</v>
      </c>
      <c r="I1878">
        <v>5</v>
      </c>
      <c r="J1878">
        <v>0</v>
      </c>
      <c r="K1878" s="6" t="str">
        <f t="shared" ref="K1878" si="829">"vs "&amp;E1879</f>
        <v>vs Xanthi Ducks 🦆</v>
      </c>
      <c r="L1878" s="6" t="str">
        <f t="shared" ref="L1878" si="830">"vs "&amp;F1879</f>
        <v>vs Kotakis</v>
      </c>
      <c r="M1878">
        <v>177</v>
      </c>
      <c r="N1878" s="1">
        <v>0.5</v>
      </c>
      <c r="O1878">
        <v>36</v>
      </c>
      <c r="P1878" s="1">
        <v>0.39100000000000001</v>
      </c>
      <c r="Q1878" s="1">
        <v>0.80600000000000005</v>
      </c>
      <c r="R1878">
        <v>473</v>
      </c>
      <c r="S1878">
        <v>52</v>
      </c>
      <c r="T1878">
        <v>133</v>
      </c>
      <c r="U1878">
        <v>111</v>
      </c>
      <c r="V1878">
        <v>30</v>
      </c>
      <c r="W1878">
        <v>17</v>
      </c>
      <c r="X1878">
        <v>54</v>
      </c>
      <c r="Y1878" s="5">
        <v>2.06</v>
      </c>
    </row>
    <row r="1879" spans="1:25" x14ac:dyDescent="0.25">
      <c r="A1879">
        <v>2023</v>
      </c>
      <c r="B1879" t="s">
        <v>57</v>
      </c>
      <c r="C1879">
        <v>1</v>
      </c>
      <c r="D1879">
        <v>9</v>
      </c>
      <c r="E1879" t="s">
        <v>98</v>
      </c>
      <c r="F1879" t="s">
        <v>41</v>
      </c>
      <c r="G1879">
        <f t="shared" si="789"/>
        <v>0</v>
      </c>
      <c r="H1879">
        <v>5</v>
      </c>
      <c r="I1879">
        <v>8</v>
      </c>
      <c r="J1879">
        <v>0</v>
      </c>
      <c r="K1879" s="6" t="str">
        <f t="shared" ref="K1879" si="831">"vs "&amp;E1878</f>
        <v>vs Pachiana NinjaBees</v>
      </c>
      <c r="L1879" s="6" t="str">
        <f t="shared" ref="L1879" si="832">"vs "&amp;F1878</f>
        <v>vs Spiridaus/Oladipas</v>
      </c>
      <c r="M1879">
        <v>134</v>
      </c>
      <c r="N1879" s="1">
        <v>0.45600000000000002</v>
      </c>
      <c r="O1879">
        <v>39</v>
      </c>
      <c r="P1879" s="1">
        <v>0.34200000000000003</v>
      </c>
      <c r="Q1879" s="1">
        <v>0.73799999999999999</v>
      </c>
      <c r="R1879">
        <v>386</v>
      </c>
      <c r="S1879">
        <v>45</v>
      </c>
      <c r="T1879">
        <v>127</v>
      </c>
      <c r="U1879">
        <v>115</v>
      </c>
      <c r="V1879">
        <v>29</v>
      </c>
      <c r="W1879">
        <v>25</v>
      </c>
      <c r="X1879">
        <v>37</v>
      </c>
      <c r="Y1879" s="5">
        <v>3.11</v>
      </c>
    </row>
    <row r="1880" spans="1:25" x14ac:dyDescent="0.25">
      <c r="A1880">
        <v>2023</v>
      </c>
      <c r="B1880" t="s">
        <v>57</v>
      </c>
      <c r="C1880">
        <v>1</v>
      </c>
      <c r="D1880">
        <v>10</v>
      </c>
      <c r="E1880" t="s">
        <v>181</v>
      </c>
      <c r="F1880" t="s">
        <v>49</v>
      </c>
      <c r="G1880">
        <f t="shared" si="789"/>
        <v>1</v>
      </c>
      <c r="H1880">
        <v>8</v>
      </c>
      <c r="I1880">
        <v>5</v>
      </c>
      <c r="J1880">
        <v>0</v>
      </c>
      <c r="K1880" s="6" t="str">
        <f t="shared" ref="K1880" si="833">"vs "&amp;E1881</f>
        <v>vs Salonika Devils</v>
      </c>
      <c r="L1880" s="6" t="str">
        <f t="shared" ref="L1880" si="834">"vs "&amp;F1881</f>
        <v>vs Fountos</v>
      </c>
      <c r="M1880">
        <v>166</v>
      </c>
      <c r="N1880" s="1">
        <v>0.48099999999999998</v>
      </c>
      <c r="O1880">
        <v>44</v>
      </c>
      <c r="P1880" s="1">
        <v>0.31900000000000001</v>
      </c>
      <c r="Q1880" s="1">
        <v>0.76700000000000002</v>
      </c>
      <c r="R1880">
        <v>445</v>
      </c>
      <c r="S1880">
        <v>26</v>
      </c>
      <c r="T1880">
        <v>116</v>
      </c>
      <c r="U1880">
        <v>94</v>
      </c>
      <c r="V1880">
        <v>23</v>
      </c>
      <c r="W1880">
        <v>21</v>
      </c>
      <c r="X1880">
        <v>61</v>
      </c>
      <c r="Y1880" s="5">
        <v>1.54</v>
      </c>
    </row>
    <row r="1881" spans="1:25" x14ac:dyDescent="0.25">
      <c r="A1881">
        <v>2023</v>
      </c>
      <c r="B1881" t="s">
        <v>57</v>
      </c>
      <c r="C1881">
        <v>1</v>
      </c>
      <c r="D1881">
        <v>10</v>
      </c>
      <c r="E1881" t="s">
        <v>15</v>
      </c>
      <c r="F1881" t="s">
        <v>48</v>
      </c>
      <c r="G1881">
        <f t="shared" si="789"/>
        <v>0</v>
      </c>
      <c r="H1881">
        <v>5</v>
      </c>
      <c r="I1881">
        <v>8</v>
      </c>
      <c r="J1881">
        <v>0</v>
      </c>
      <c r="K1881" s="6" t="str">
        <f t="shared" ref="K1881" si="835">"vs "&amp;E1880</f>
        <v>vs Samarina Dudenbros</v>
      </c>
      <c r="L1881" s="6" t="str">
        <f t="shared" ref="L1881" si="836">"vs "&amp;F1880</f>
        <v>vs Sakellariou</v>
      </c>
      <c r="M1881">
        <v>142</v>
      </c>
      <c r="N1881" s="1">
        <v>0.49</v>
      </c>
      <c r="O1881">
        <v>33</v>
      </c>
      <c r="P1881" s="1">
        <v>0.35499999999999998</v>
      </c>
      <c r="Q1881" s="1">
        <v>0.79600000000000004</v>
      </c>
      <c r="R1881">
        <v>391</v>
      </c>
      <c r="S1881">
        <v>31</v>
      </c>
      <c r="T1881">
        <v>117</v>
      </c>
      <c r="U1881">
        <v>89</v>
      </c>
      <c r="V1881">
        <v>21</v>
      </c>
      <c r="W1881">
        <v>16</v>
      </c>
      <c r="X1881">
        <v>62</v>
      </c>
      <c r="Y1881" s="5">
        <v>1.44</v>
      </c>
    </row>
    <row r="1882" spans="1:25" x14ac:dyDescent="0.25">
      <c r="A1882">
        <v>2023</v>
      </c>
      <c r="B1882" t="s">
        <v>57</v>
      </c>
      <c r="C1882">
        <v>1</v>
      </c>
      <c r="D1882">
        <v>11</v>
      </c>
      <c r="E1882" t="s">
        <v>181</v>
      </c>
      <c r="F1882" t="s">
        <v>49</v>
      </c>
      <c r="G1882">
        <f t="shared" si="789"/>
        <v>1</v>
      </c>
      <c r="H1882">
        <v>8</v>
      </c>
      <c r="I1882">
        <v>5</v>
      </c>
      <c r="J1882">
        <v>0</v>
      </c>
      <c r="K1882" s="6" t="str">
        <f t="shared" ref="K1882" si="837">"vs "&amp;E1883</f>
        <v>vs Baltimore Hercules</v>
      </c>
      <c r="L1882" s="6" t="str">
        <f t="shared" ref="L1882" si="838">"vs "&amp;F1883</f>
        <v>vs Sarantos</v>
      </c>
      <c r="M1882">
        <v>166</v>
      </c>
      <c r="N1882" s="1">
        <v>0.48099999999999998</v>
      </c>
      <c r="O1882">
        <v>44</v>
      </c>
      <c r="P1882" s="1">
        <v>0.31900000000000001</v>
      </c>
      <c r="Q1882" s="1">
        <v>0.76700000000000002</v>
      </c>
      <c r="R1882">
        <v>445</v>
      </c>
      <c r="S1882">
        <v>26</v>
      </c>
      <c r="T1882">
        <v>116</v>
      </c>
      <c r="U1882">
        <v>94</v>
      </c>
      <c r="V1882">
        <v>23</v>
      </c>
      <c r="W1882">
        <v>21</v>
      </c>
      <c r="X1882">
        <v>61</v>
      </c>
      <c r="Y1882" s="5">
        <v>1.54</v>
      </c>
    </row>
    <row r="1883" spans="1:25" x14ac:dyDescent="0.25">
      <c r="A1883">
        <v>2023</v>
      </c>
      <c r="B1883" t="s">
        <v>57</v>
      </c>
      <c r="C1883">
        <v>1</v>
      </c>
      <c r="D1883">
        <v>11</v>
      </c>
      <c r="E1883" t="s">
        <v>95</v>
      </c>
      <c r="F1883" t="s">
        <v>101</v>
      </c>
      <c r="G1883">
        <f t="shared" si="789"/>
        <v>0</v>
      </c>
      <c r="H1883">
        <v>5</v>
      </c>
      <c r="I1883">
        <v>8</v>
      </c>
      <c r="J1883">
        <v>0</v>
      </c>
      <c r="K1883" s="6" t="str">
        <f t="shared" ref="K1883" si="839">"vs "&amp;E1882</f>
        <v>vs Samarina Dudenbros</v>
      </c>
      <c r="L1883" s="6" t="str">
        <f t="shared" ref="L1883" si="840">"vs "&amp;F1882</f>
        <v>vs Sakellariou</v>
      </c>
      <c r="M1883">
        <v>81</v>
      </c>
      <c r="N1883" s="1">
        <v>0.50900000000000001</v>
      </c>
      <c r="O1883">
        <v>24</v>
      </c>
      <c r="P1883" s="1">
        <v>0.38100000000000001</v>
      </c>
      <c r="Q1883" s="1">
        <v>0.58499999999999996</v>
      </c>
      <c r="R1883">
        <v>210</v>
      </c>
      <c r="S1883">
        <v>33</v>
      </c>
      <c r="T1883">
        <v>82</v>
      </c>
      <c r="U1883">
        <v>45</v>
      </c>
      <c r="V1883">
        <v>14</v>
      </c>
      <c r="W1883">
        <v>16</v>
      </c>
      <c r="X1883">
        <v>26</v>
      </c>
      <c r="Y1883" s="5">
        <v>1.73</v>
      </c>
    </row>
    <row r="1884" spans="1:25" x14ac:dyDescent="0.25">
      <c r="A1884">
        <v>2023</v>
      </c>
      <c r="B1884" t="s">
        <v>57</v>
      </c>
      <c r="C1884">
        <v>1</v>
      </c>
      <c r="D1884">
        <v>12</v>
      </c>
      <c r="E1884" t="s">
        <v>95</v>
      </c>
      <c r="F1884" t="s">
        <v>101</v>
      </c>
      <c r="G1884">
        <f t="shared" si="789"/>
        <v>0</v>
      </c>
      <c r="H1884">
        <v>4</v>
      </c>
      <c r="I1884">
        <v>9</v>
      </c>
      <c r="J1884">
        <v>0</v>
      </c>
      <c r="K1884" s="6" t="str">
        <f t="shared" ref="K1884" si="841">"vs "&amp;E1885</f>
        <v>vs Karafli SaiTa</v>
      </c>
      <c r="L1884" s="6" t="str">
        <f t="shared" ref="L1884" si="842">"vs "&amp;F1885</f>
        <v>vs Tassos</v>
      </c>
      <c r="M1884">
        <v>81</v>
      </c>
      <c r="N1884" s="1">
        <v>0.50900000000000001</v>
      </c>
      <c r="O1884">
        <v>24</v>
      </c>
      <c r="P1884" s="1">
        <v>0.38100000000000001</v>
      </c>
      <c r="Q1884" s="1">
        <v>0.58499999999999996</v>
      </c>
      <c r="R1884">
        <v>210</v>
      </c>
      <c r="S1884">
        <v>33</v>
      </c>
      <c r="T1884">
        <v>82</v>
      </c>
      <c r="U1884">
        <v>45</v>
      </c>
      <c r="V1884">
        <v>14</v>
      </c>
      <c r="W1884">
        <v>16</v>
      </c>
      <c r="X1884">
        <v>26</v>
      </c>
      <c r="Y1884" s="5">
        <v>1.73</v>
      </c>
    </row>
    <row r="1885" spans="1:25" x14ac:dyDescent="0.25">
      <c r="A1885">
        <v>2023</v>
      </c>
      <c r="B1885" t="s">
        <v>57</v>
      </c>
      <c r="C1885">
        <v>1</v>
      </c>
      <c r="D1885">
        <v>12</v>
      </c>
      <c r="E1885" t="s">
        <v>190</v>
      </c>
      <c r="F1885" t="s">
        <v>103</v>
      </c>
      <c r="G1885">
        <f t="shared" si="789"/>
        <v>1</v>
      </c>
      <c r="H1885">
        <v>9</v>
      </c>
      <c r="I1885">
        <v>4</v>
      </c>
      <c r="J1885">
        <v>0</v>
      </c>
      <c r="K1885" s="6" t="str">
        <f t="shared" ref="K1885" si="843">"vs "&amp;E1884</f>
        <v>vs Baltimore Hercules</v>
      </c>
      <c r="L1885" s="6" t="str">
        <f t="shared" ref="L1885" si="844">"vs "&amp;F1884</f>
        <v>vs Sarantos</v>
      </c>
      <c r="M1885">
        <v>142</v>
      </c>
      <c r="N1885" s="1">
        <v>0.44400000000000001</v>
      </c>
      <c r="O1885">
        <v>36</v>
      </c>
      <c r="P1885" s="1">
        <v>0.35599999999999998</v>
      </c>
      <c r="Q1885" s="1">
        <v>0.95599999999999996</v>
      </c>
      <c r="R1885">
        <v>406</v>
      </c>
      <c r="S1885">
        <v>40</v>
      </c>
      <c r="T1885">
        <v>106</v>
      </c>
      <c r="U1885">
        <v>101</v>
      </c>
      <c r="V1885">
        <v>26</v>
      </c>
      <c r="W1885">
        <v>13</v>
      </c>
      <c r="X1885">
        <v>51</v>
      </c>
      <c r="Y1885" s="5">
        <v>1.98</v>
      </c>
    </row>
    <row r="1886" spans="1:25" x14ac:dyDescent="0.25">
      <c r="A1886">
        <v>2023</v>
      </c>
      <c r="B1886" t="s">
        <v>57</v>
      </c>
      <c r="C1886">
        <v>1</v>
      </c>
      <c r="D1886">
        <v>13</v>
      </c>
      <c r="E1886" t="s">
        <v>93</v>
      </c>
      <c r="F1886" t="s">
        <v>189</v>
      </c>
      <c r="G1886">
        <f t="shared" si="789"/>
        <v>0</v>
      </c>
      <c r="H1886">
        <v>6</v>
      </c>
      <c r="I1886">
        <v>6</v>
      </c>
      <c r="J1886">
        <v>1</v>
      </c>
      <c r="K1886" s="6" t="str">
        <f t="shared" ref="K1886" si="845">"vs "&amp;E1887</f>
        <v>vs The Rookies</v>
      </c>
      <c r="L1886" s="6" t="str">
        <f t="shared" ref="L1886" si="846">"vs "&amp;F1887</f>
        <v>vs Kousidis</v>
      </c>
      <c r="M1886">
        <v>129</v>
      </c>
      <c r="N1886" s="1">
        <v>0.44600000000000001</v>
      </c>
      <c r="O1886">
        <v>46</v>
      </c>
      <c r="P1886" s="1">
        <v>0.34799999999999998</v>
      </c>
      <c r="Q1886" s="1">
        <v>0.79300000000000004</v>
      </c>
      <c r="R1886">
        <v>373</v>
      </c>
      <c r="S1886">
        <v>20</v>
      </c>
      <c r="T1886">
        <v>85</v>
      </c>
      <c r="U1886">
        <v>92</v>
      </c>
      <c r="V1886">
        <v>20</v>
      </c>
      <c r="W1886">
        <v>13</v>
      </c>
      <c r="X1886">
        <v>52</v>
      </c>
      <c r="Y1886" s="5">
        <v>1.77</v>
      </c>
    </row>
    <row r="1887" spans="1:25" x14ac:dyDescent="0.25">
      <c r="A1887">
        <v>2023</v>
      </c>
      <c r="B1887" t="s">
        <v>57</v>
      </c>
      <c r="C1887">
        <v>1</v>
      </c>
      <c r="D1887">
        <v>13</v>
      </c>
      <c r="E1887" t="s">
        <v>25</v>
      </c>
      <c r="F1887" t="s">
        <v>53</v>
      </c>
      <c r="G1887">
        <f t="shared" si="789"/>
        <v>0</v>
      </c>
      <c r="H1887">
        <v>6</v>
      </c>
      <c r="I1887">
        <v>6</v>
      </c>
      <c r="J1887">
        <v>1</v>
      </c>
      <c r="K1887" s="6" t="str">
        <f t="shared" ref="K1887" si="847">"vs "&amp;E1886</f>
        <v>vs Guruuu 🐐🐐🐐</v>
      </c>
      <c r="L1887" s="6" t="str">
        <f t="shared" ref="L1887" si="848">"vs "&amp;F1886</f>
        <v>vs Guru</v>
      </c>
      <c r="M1887">
        <v>141</v>
      </c>
      <c r="N1887" s="1">
        <v>0.47799999999999998</v>
      </c>
      <c r="O1887">
        <v>38</v>
      </c>
      <c r="P1887" s="1">
        <v>0.42699999999999999</v>
      </c>
      <c r="Q1887" s="1">
        <v>0.72599999999999998</v>
      </c>
      <c r="R1887">
        <v>365</v>
      </c>
      <c r="S1887">
        <v>43</v>
      </c>
      <c r="T1887">
        <v>111</v>
      </c>
      <c r="U1887">
        <v>70</v>
      </c>
      <c r="V1887">
        <v>24</v>
      </c>
      <c r="W1887">
        <v>13</v>
      </c>
      <c r="X1887">
        <v>64</v>
      </c>
      <c r="Y1887" s="5">
        <v>1.0900000000000001</v>
      </c>
    </row>
    <row r="1888" spans="1:25" x14ac:dyDescent="0.25">
      <c r="A1888">
        <v>2023</v>
      </c>
      <c r="B1888" t="s">
        <v>57</v>
      </c>
      <c r="C1888">
        <v>1</v>
      </c>
      <c r="D1888">
        <v>14</v>
      </c>
      <c r="E1888" t="s">
        <v>93</v>
      </c>
      <c r="F1888" t="s">
        <v>189</v>
      </c>
      <c r="G1888">
        <f t="shared" si="789"/>
        <v>1</v>
      </c>
      <c r="H1888">
        <v>7</v>
      </c>
      <c r="I1888">
        <v>6</v>
      </c>
      <c r="J1888">
        <v>0</v>
      </c>
      <c r="K1888" s="6" t="str">
        <f t="shared" ref="K1888" si="849">"vs "&amp;E1889</f>
        <v>vs Knights of Ni</v>
      </c>
      <c r="L1888" s="6" t="str">
        <f t="shared" ref="L1888" si="850">"vs "&amp;F1889</f>
        <v>vs Tolios</v>
      </c>
      <c r="M1888">
        <v>129</v>
      </c>
      <c r="N1888" s="1">
        <v>0.44600000000000001</v>
      </c>
      <c r="O1888">
        <v>46</v>
      </c>
      <c r="P1888" s="1">
        <v>0.34799999999999998</v>
      </c>
      <c r="Q1888" s="1">
        <v>0.79300000000000004</v>
      </c>
      <c r="R1888">
        <v>373</v>
      </c>
      <c r="S1888">
        <v>20</v>
      </c>
      <c r="T1888">
        <v>85</v>
      </c>
      <c r="U1888">
        <v>92</v>
      </c>
      <c r="V1888">
        <v>20</v>
      </c>
      <c r="W1888">
        <v>13</v>
      </c>
      <c r="X1888">
        <v>52</v>
      </c>
      <c r="Y1888" s="5">
        <v>1.77</v>
      </c>
    </row>
    <row r="1889" spans="1:25" x14ac:dyDescent="0.25">
      <c r="A1889">
        <v>2023</v>
      </c>
      <c r="B1889" t="s">
        <v>57</v>
      </c>
      <c r="C1889">
        <v>1</v>
      </c>
      <c r="D1889">
        <v>14</v>
      </c>
      <c r="E1889" t="s">
        <v>96</v>
      </c>
      <c r="F1889" t="s">
        <v>102</v>
      </c>
      <c r="G1889">
        <f t="shared" si="789"/>
        <v>0</v>
      </c>
      <c r="H1889">
        <v>6</v>
      </c>
      <c r="I1889">
        <v>7</v>
      </c>
      <c r="J1889">
        <v>0</v>
      </c>
      <c r="K1889" s="6" t="str">
        <f t="shared" ref="K1889" si="851">"vs "&amp;E1888</f>
        <v>vs Guruuu 🐐🐐🐐</v>
      </c>
      <c r="L1889" s="6" t="str">
        <f t="shared" ref="L1889" si="852">"vs "&amp;F1888</f>
        <v>vs Guru</v>
      </c>
      <c r="M1889">
        <v>85</v>
      </c>
      <c r="N1889" s="1">
        <v>0.50600000000000001</v>
      </c>
      <c r="O1889">
        <v>25</v>
      </c>
      <c r="P1889" s="1">
        <v>0.38500000000000001</v>
      </c>
      <c r="Q1889" s="1">
        <v>0.68799999999999994</v>
      </c>
      <c r="R1889">
        <v>217</v>
      </c>
      <c r="S1889">
        <v>27</v>
      </c>
      <c r="T1889">
        <v>78</v>
      </c>
      <c r="U1889">
        <v>45</v>
      </c>
      <c r="V1889">
        <v>17</v>
      </c>
      <c r="W1889">
        <v>16</v>
      </c>
      <c r="X1889">
        <v>25</v>
      </c>
      <c r="Y1889" s="5">
        <v>1.8</v>
      </c>
    </row>
    <row r="1890" spans="1:25" x14ac:dyDescent="0.25">
      <c r="A1890">
        <v>2023</v>
      </c>
      <c r="B1890" t="s">
        <v>57</v>
      </c>
      <c r="C1890">
        <v>1</v>
      </c>
      <c r="D1890">
        <v>15</v>
      </c>
      <c r="E1890" t="s">
        <v>98</v>
      </c>
      <c r="F1890" t="s">
        <v>41</v>
      </c>
      <c r="G1890">
        <f t="shared" si="789"/>
        <v>1</v>
      </c>
      <c r="H1890">
        <v>7</v>
      </c>
      <c r="I1890">
        <v>6</v>
      </c>
      <c r="J1890">
        <v>0</v>
      </c>
      <c r="K1890" s="6" t="str">
        <f t="shared" ref="K1890" si="853">"vs "&amp;E1891</f>
        <v>vs Tsarlatans</v>
      </c>
      <c r="L1890" s="6" t="str">
        <f t="shared" ref="L1890" si="854">"vs "&amp;F1891</f>
        <v>vs Tzokos</v>
      </c>
      <c r="M1890">
        <v>134</v>
      </c>
      <c r="N1890" s="1">
        <v>0.45600000000000002</v>
      </c>
      <c r="O1890">
        <v>39</v>
      </c>
      <c r="P1890" s="1">
        <v>0.34200000000000003</v>
      </c>
      <c r="Q1890" s="1">
        <v>0.73799999999999999</v>
      </c>
      <c r="R1890">
        <v>386</v>
      </c>
      <c r="S1890">
        <v>45</v>
      </c>
      <c r="T1890">
        <v>127</v>
      </c>
      <c r="U1890">
        <v>115</v>
      </c>
      <c r="V1890">
        <v>29</v>
      </c>
      <c r="W1890">
        <v>25</v>
      </c>
      <c r="X1890">
        <v>37</v>
      </c>
      <c r="Y1890" s="5">
        <v>3.11</v>
      </c>
    </row>
    <row r="1891" spans="1:25" x14ac:dyDescent="0.25">
      <c r="A1891">
        <v>2023</v>
      </c>
      <c r="B1891" t="s">
        <v>57</v>
      </c>
      <c r="C1891">
        <v>1</v>
      </c>
      <c r="D1891">
        <v>15</v>
      </c>
      <c r="E1891" t="s">
        <v>99</v>
      </c>
      <c r="F1891" t="s">
        <v>45</v>
      </c>
      <c r="G1891">
        <f t="shared" si="789"/>
        <v>0</v>
      </c>
      <c r="H1891">
        <v>6</v>
      </c>
      <c r="I1891">
        <v>7</v>
      </c>
      <c r="J1891">
        <v>0</v>
      </c>
      <c r="K1891" s="6" t="str">
        <f t="shared" ref="K1891" si="855">"vs "&amp;E1890</f>
        <v>vs Xanthi Ducks 🦆</v>
      </c>
      <c r="L1891" s="6" t="str">
        <f t="shared" ref="L1891" si="856">"vs "&amp;F1890</f>
        <v>vs Kotakis</v>
      </c>
      <c r="M1891">
        <v>147</v>
      </c>
      <c r="N1891" s="1">
        <v>0.48199999999999998</v>
      </c>
      <c r="O1891">
        <v>42</v>
      </c>
      <c r="P1891" s="1">
        <v>0.38900000000000001</v>
      </c>
      <c r="Q1891" s="1">
        <v>0.76500000000000001</v>
      </c>
      <c r="R1891">
        <v>401</v>
      </c>
      <c r="S1891">
        <v>32</v>
      </c>
      <c r="T1891">
        <v>91</v>
      </c>
      <c r="U1891">
        <v>56</v>
      </c>
      <c r="V1891">
        <v>24</v>
      </c>
      <c r="W1891">
        <v>10</v>
      </c>
      <c r="X1891">
        <v>49</v>
      </c>
      <c r="Y1891" s="5">
        <v>1.1399999999999999</v>
      </c>
    </row>
    <row r="1892" spans="1:25" x14ac:dyDescent="0.25">
      <c r="A1892">
        <v>2023</v>
      </c>
      <c r="B1892" t="s">
        <v>57</v>
      </c>
      <c r="C1892">
        <v>1</v>
      </c>
      <c r="D1892">
        <v>16</v>
      </c>
      <c r="E1892" t="s">
        <v>17</v>
      </c>
      <c r="F1892" t="s">
        <v>43</v>
      </c>
      <c r="G1892">
        <f t="shared" si="789"/>
        <v>0</v>
      </c>
      <c r="H1892">
        <v>6</v>
      </c>
      <c r="I1892">
        <v>7</v>
      </c>
      <c r="J1892">
        <v>0</v>
      </c>
      <c r="K1892" s="6" t="str">
        <f t="shared" ref="K1892" si="857">"vs "&amp;E1893</f>
        <v>vs LRBP PR3DATORS</v>
      </c>
      <c r="L1892" s="6" t="str">
        <f t="shared" ref="L1892" si="858">"vs "&amp;F1893</f>
        <v>vs Lafa</v>
      </c>
      <c r="M1892">
        <v>161</v>
      </c>
      <c r="N1892" s="1">
        <v>0.46899999999999997</v>
      </c>
      <c r="O1892">
        <v>50</v>
      </c>
      <c r="P1892" s="1">
        <v>0.39100000000000001</v>
      </c>
      <c r="Q1892" s="1">
        <v>0.77200000000000002</v>
      </c>
      <c r="R1892">
        <v>450</v>
      </c>
      <c r="S1892">
        <v>36</v>
      </c>
      <c r="T1892">
        <v>141</v>
      </c>
      <c r="U1892">
        <v>91</v>
      </c>
      <c r="V1892">
        <v>15</v>
      </c>
      <c r="W1892">
        <v>27</v>
      </c>
      <c r="X1892">
        <v>40</v>
      </c>
      <c r="Y1892" s="5">
        <v>2.27</v>
      </c>
    </row>
    <row r="1893" spans="1:25" x14ac:dyDescent="0.25">
      <c r="A1893">
        <v>2023</v>
      </c>
      <c r="B1893" t="s">
        <v>57</v>
      </c>
      <c r="C1893">
        <v>1</v>
      </c>
      <c r="D1893">
        <v>16</v>
      </c>
      <c r="E1893" t="s">
        <v>158</v>
      </c>
      <c r="F1893" t="s">
        <v>177</v>
      </c>
      <c r="G1893">
        <f t="shared" si="789"/>
        <v>1</v>
      </c>
      <c r="H1893">
        <v>7</v>
      </c>
      <c r="I1893">
        <v>6</v>
      </c>
      <c r="J1893">
        <v>0</v>
      </c>
      <c r="K1893" s="6" t="str">
        <f t="shared" ref="K1893" si="859">"vs "&amp;E1892</f>
        <v>vs Donkey Rolls</v>
      </c>
      <c r="L1893" s="6" t="str">
        <f t="shared" ref="L1893" si="860">"vs "&amp;F1892</f>
        <v>vs Markos</v>
      </c>
      <c r="M1893">
        <v>190</v>
      </c>
      <c r="N1893" s="1">
        <v>0.48199999999999998</v>
      </c>
      <c r="O1893">
        <v>24</v>
      </c>
      <c r="P1893" s="1">
        <v>0.27</v>
      </c>
      <c r="Q1893" s="1">
        <v>0.747</v>
      </c>
      <c r="R1893">
        <v>525</v>
      </c>
      <c r="S1893">
        <v>49</v>
      </c>
      <c r="T1893">
        <v>168</v>
      </c>
      <c r="U1893">
        <v>120</v>
      </c>
      <c r="V1893">
        <v>22</v>
      </c>
      <c r="W1893">
        <v>18</v>
      </c>
      <c r="X1893">
        <v>61</v>
      </c>
      <c r="Y1893" s="5">
        <v>1.97</v>
      </c>
    </row>
    <row r="1894" spans="1:25" x14ac:dyDescent="0.25">
      <c r="A1894">
        <v>2023</v>
      </c>
      <c r="B1894" t="s">
        <v>57</v>
      </c>
      <c r="C1894">
        <v>1</v>
      </c>
      <c r="D1894">
        <v>17</v>
      </c>
      <c r="E1894" t="s">
        <v>17</v>
      </c>
      <c r="F1894" t="s">
        <v>43</v>
      </c>
      <c r="G1894">
        <f t="shared" si="789"/>
        <v>0</v>
      </c>
      <c r="H1894">
        <v>6</v>
      </c>
      <c r="I1894">
        <v>6</v>
      </c>
      <c r="J1894">
        <v>1</v>
      </c>
      <c r="K1894" s="6" t="str">
        <f t="shared" ref="K1894" si="861">"vs "&amp;E1895</f>
        <v>vs purple fuzzy apache pirates</v>
      </c>
      <c r="L1894" s="6" t="str">
        <f t="shared" ref="L1894" si="862">"vs "&amp;F1895</f>
        <v>vs pi/Sotiris</v>
      </c>
      <c r="M1894">
        <v>161</v>
      </c>
      <c r="N1894" s="1">
        <v>0.46899999999999997</v>
      </c>
      <c r="O1894">
        <v>50</v>
      </c>
      <c r="P1894" s="1">
        <v>0.39100000000000001</v>
      </c>
      <c r="Q1894" s="1">
        <v>0.77200000000000002</v>
      </c>
      <c r="R1894">
        <v>450</v>
      </c>
      <c r="S1894">
        <v>36</v>
      </c>
      <c r="T1894">
        <v>141</v>
      </c>
      <c r="U1894">
        <v>91</v>
      </c>
      <c r="V1894">
        <v>15</v>
      </c>
      <c r="W1894">
        <v>27</v>
      </c>
      <c r="X1894">
        <v>40</v>
      </c>
      <c r="Y1894" s="5">
        <v>2.27</v>
      </c>
    </row>
    <row r="1895" spans="1:25" x14ac:dyDescent="0.25">
      <c r="A1895">
        <v>2023</v>
      </c>
      <c r="B1895" t="s">
        <v>57</v>
      </c>
      <c r="C1895">
        <v>1</v>
      </c>
      <c r="D1895">
        <v>17</v>
      </c>
      <c r="E1895" t="s">
        <v>159</v>
      </c>
      <c r="F1895" t="s">
        <v>116</v>
      </c>
      <c r="G1895">
        <f t="shared" si="789"/>
        <v>0</v>
      </c>
      <c r="H1895">
        <v>6</v>
      </c>
      <c r="I1895">
        <v>6</v>
      </c>
      <c r="J1895">
        <v>1</v>
      </c>
      <c r="K1895" s="6" t="str">
        <f t="shared" ref="K1895" si="863">"vs "&amp;E1894</f>
        <v>vs Donkey Rolls</v>
      </c>
      <c r="L1895" s="6" t="str">
        <f t="shared" ref="L1895" si="864">"vs "&amp;F1894</f>
        <v>vs Markos</v>
      </c>
      <c r="M1895">
        <v>144</v>
      </c>
      <c r="N1895" s="1">
        <v>0.48599999999999999</v>
      </c>
      <c r="O1895">
        <v>33</v>
      </c>
      <c r="P1895" s="1">
        <v>0.39300000000000002</v>
      </c>
      <c r="Q1895" s="1">
        <v>0.78400000000000003</v>
      </c>
      <c r="R1895">
        <v>426</v>
      </c>
      <c r="S1895">
        <v>41</v>
      </c>
      <c r="T1895">
        <v>144</v>
      </c>
      <c r="U1895">
        <v>91</v>
      </c>
      <c r="V1895">
        <v>17</v>
      </c>
      <c r="W1895">
        <v>18</v>
      </c>
      <c r="X1895">
        <v>54</v>
      </c>
      <c r="Y1895" s="5">
        <v>1.69</v>
      </c>
    </row>
    <row r="1896" spans="1:25" x14ac:dyDescent="0.25">
      <c r="A1896">
        <v>2023</v>
      </c>
      <c r="B1896" t="s">
        <v>57</v>
      </c>
      <c r="C1896">
        <v>1</v>
      </c>
      <c r="D1896">
        <v>18</v>
      </c>
      <c r="E1896" t="s">
        <v>190</v>
      </c>
      <c r="F1896" t="s">
        <v>103</v>
      </c>
      <c r="G1896">
        <f t="shared" si="789"/>
        <v>1</v>
      </c>
      <c r="H1896">
        <v>10</v>
      </c>
      <c r="I1896">
        <v>2</v>
      </c>
      <c r="J1896">
        <v>1</v>
      </c>
      <c r="K1896" s="6" t="str">
        <f t="shared" ref="K1896" si="865">"vs "&amp;E1897</f>
        <v>vs Fighting Thaddeus</v>
      </c>
      <c r="L1896" s="6" t="str">
        <f t="shared" ref="L1896" si="866">"vs "&amp;F1897</f>
        <v>vs Stavros</v>
      </c>
      <c r="M1896">
        <v>142</v>
      </c>
      <c r="N1896" s="1">
        <v>0.44400000000000001</v>
      </c>
      <c r="O1896">
        <v>36</v>
      </c>
      <c r="P1896" s="1">
        <v>0.35599999999999998</v>
      </c>
      <c r="Q1896" s="1">
        <v>0.95599999999999996</v>
      </c>
      <c r="R1896">
        <v>406</v>
      </c>
      <c r="S1896">
        <v>40</v>
      </c>
      <c r="T1896">
        <v>106</v>
      </c>
      <c r="U1896">
        <v>101</v>
      </c>
      <c r="V1896">
        <v>26</v>
      </c>
      <c r="W1896">
        <v>13</v>
      </c>
      <c r="X1896">
        <v>51</v>
      </c>
      <c r="Y1896" s="5">
        <v>1.98</v>
      </c>
    </row>
    <row r="1897" spans="1:25" x14ac:dyDescent="0.25">
      <c r="A1897">
        <v>2023</v>
      </c>
      <c r="B1897" t="s">
        <v>57</v>
      </c>
      <c r="C1897">
        <v>1</v>
      </c>
      <c r="D1897">
        <v>18</v>
      </c>
      <c r="E1897" t="s">
        <v>94</v>
      </c>
      <c r="F1897" t="s">
        <v>40</v>
      </c>
      <c r="G1897">
        <f t="shared" si="789"/>
        <v>0</v>
      </c>
      <c r="H1897">
        <v>2</v>
      </c>
      <c r="I1897">
        <v>10</v>
      </c>
      <c r="J1897">
        <v>1</v>
      </c>
      <c r="K1897" s="6" t="str">
        <f t="shared" ref="K1897" si="867">"vs "&amp;E1896</f>
        <v>vs Karafli SaiTa</v>
      </c>
      <c r="L1897" s="6" t="str">
        <f t="shared" ref="L1897" si="868">"vs "&amp;F1896</f>
        <v>vs Tassos</v>
      </c>
      <c r="M1897">
        <v>121</v>
      </c>
      <c r="N1897" s="1">
        <v>0.42499999999999999</v>
      </c>
      <c r="O1897">
        <v>39</v>
      </c>
      <c r="P1897" s="1">
        <v>0.315</v>
      </c>
      <c r="Q1897" s="1">
        <v>0.81100000000000005</v>
      </c>
      <c r="R1897">
        <v>341</v>
      </c>
      <c r="S1897">
        <v>34</v>
      </c>
      <c r="T1897">
        <v>104</v>
      </c>
      <c r="U1897">
        <v>65</v>
      </c>
      <c r="V1897">
        <v>18</v>
      </c>
      <c r="W1897">
        <v>13</v>
      </c>
      <c r="X1897">
        <v>49</v>
      </c>
      <c r="Y1897" s="5">
        <v>1.33</v>
      </c>
    </row>
    <row r="1898" spans="1:25" x14ac:dyDescent="0.25">
      <c r="A1898">
        <v>2023</v>
      </c>
      <c r="B1898" t="s">
        <v>57</v>
      </c>
      <c r="C1898">
        <v>1</v>
      </c>
      <c r="D1898">
        <v>19</v>
      </c>
      <c r="E1898" t="s">
        <v>99</v>
      </c>
      <c r="F1898" t="s">
        <v>45</v>
      </c>
      <c r="G1898">
        <f t="shared" si="789"/>
        <v>1</v>
      </c>
      <c r="H1898">
        <v>8</v>
      </c>
      <c r="I1898">
        <v>5</v>
      </c>
      <c r="J1898">
        <v>0</v>
      </c>
      <c r="K1898" s="6" t="str">
        <f t="shared" ref="K1898" si="869">"vs "&amp;E1899</f>
        <v>vs Kourayo Vallecano</v>
      </c>
      <c r="L1898" s="6" t="str">
        <f t="shared" ref="L1898" si="870">"vs "&amp;F1899</f>
        <v>vs Ziogas/Christof</v>
      </c>
      <c r="M1898">
        <v>147</v>
      </c>
      <c r="N1898" s="1">
        <v>0.48199999999999998</v>
      </c>
      <c r="O1898">
        <v>42</v>
      </c>
      <c r="P1898" s="1">
        <v>0.38900000000000001</v>
      </c>
      <c r="Q1898" s="1">
        <v>0.76500000000000001</v>
      </c>
      <c r="R1898">
        <v>401</v>
      </c>
      <c r="S1898">
        <v>32</v>
      </c>
      <c r="T1898">
        <v>91</v>
      </c>
      <c r="U1898">
        <v>56</v>
      </c>
      <c r="V1898">
        <v>24</v>
      </c>
      <c r="W1898">
        <v>10</v>
      </c>
      <c r="X1898">
        <v>49</v>
      </c>
      <c r="Y1898" s="5">
        <v>1.1399999999999999</v>
      </c>
    </row>
    <row r="1899" spans="1:25" x14ac:dyDescent="0.25">
      <c r="A1899">
        <v>2023</v>
      </c>
      <c r="B1899" t="s">
        <v>57</v>
      </c>
      <c r="C1899">
        <v>1</v>
      </c>
      <c r="D1899">
        <v>19</v>
      </c>
      <c r="E1899" t="s">
        <v>26</v>
      </c>
      <c r="F1899" t="s">
        <v>118</v>
      </c>
      <c r="G1899">
        <f t="shared" si="789"/>
        <v>0</v>
      </c>
      <c r="H1899">
        <v>5</v>
      </c>
      <c r="I1899">
        <v>8</v>
      </c>
      <c r="J1899">
        <v>0</v>
      </c>
      <c r="K1899" s="6" t="str">
        <f t="shared" ref="K1899" si="871">"vs "&amp;E1898</f>
        <v>vs Tsarlatans</v>
      </c>
      <c r="L1899" s="6" t="str">
        <f t="shared" ref="L1899" si="872">"vs "&amp;F1898</f>
        <v>vs Tzokos</v>
      </c>
      <c r="M1899">
        <v>81</v>
      </c>
      <c r="N1899" s="1">
        <v>0.41099999999999998</v>
      </c>
      <c r="O1899">
        <v>31</v>
      </c>
      <c r="P1899" s="1">
        <v>0.35199999999999998</v>
      </c>
      <c r="Q1899" s="1">
        <v>0.878</v>
      </c>
      <c r="R1899">
        <v>229</v>
      </c>
      <c r="S1899">
        <v>16</v>
      </c>
      <c r="T1899">
        <v>74</v>
      </c>
      <c r="U1899">
        <v>81</v>
      </c>
      <c r="V1899">
        <v>21</v>
      </c>
      <c r="W1899">
        <v>11</v>
      </c>
      <c r="X1899">
        <v>23</v>
      </c>
      <c r="Y1899" s="5">
        <v>3.52</v>
      </c>
    </row>
    <row r="1900" spans="1:25" x14ac:dyDescent="0.25">
      <c r="A1900">
        <v>2023</v>
      </c>
      <c r="B1900" t="s">
        <v>57</v>
      </c>
      <c r="C1900">
        <v>1</v>
      </c>
      <c r="D1900">
        <v>20</v>
      </c>
      <c r="E1900" t="s">
        <v>33</v>
      </c>
      <c r="F1900" t="s">
        <v>42</v>
      </c>
      <c r="G1900">
        <f t="shared" si="789"/>
        <v>0</v>
      </c>
      <c r="H1900">
        <v>4</v>
      </c>
      <c r="I1900">
        <v>9</v>
      </c>
      <c r="J1900">
        <v>0</v>
      </c>
      <c r="K1900" s="6" t="str">
        <f t="shared" ref="K1900" si="873">"vs "&amp;E1901</f>
        <v>vs purple fuzzy apache pirates</v>
      </c>
      <c r="L1900" s="6" t="str">
        <f t="shared" ref="L1900" si="874">"vs "&amp;F1901</f>
        <v>vs pi/Sotiris</v>
      </c>
      <c r="M1900">
        <v>160</v>
      </c>
      <c r="N1900" s="1">
        <v>0.502</v>
      </c>
      <c r="O1900">
        <v>34</v>
      </c>
      <c r="P1900" s="1">
        <v>0.35399999999999998</v>
      </c>
      <c r="Q1900" s="1">
        <v>0.72</v>
      </c>
      <c r="R1900">
        <v>408</v>
      </c>
      <c r="S1900">
        <v>39</v>
      </c>
      <c r="T1900">
        <v>98</v>
      </c>
      <c r="U1900">
        <v>69</v>
      </c>
      <c r="V1900">
        <v>37</v>
      </c>
      <c r="W1900">
        <v>14</v>
      </c>
      <c r="X1900">
        <v>55</v>
      </c>
      <c r="Y1900" s="5">
        <v>1.25</v>
      </c>
    </row>
    <row r="1901" spans="1:25" x14ac:dyDescent="0.25">
      <c r="A1901">
        <v>2023</v>
      </c>
      <c r="B1901" t="s">
        <v>57</v>
      </c>
      <c r="C1901">
        <v>1</v>
      </c>
      <c r="D1901">
        <v>20</v>
      </c>
      <c r="E1901" t="s">
        <v>159</v>
      </c>
      <c r="F1901" t="s">
        <v>116</v>
      </c>
      <c r="G1901">
        <f t="shared" si="789"/>
        <v>1</v>
      </c>
      <c r="H1901">
        <v>9</v>
      </c>
      <c r="I1901">
        <v>4</v>
      </c>
      <c r="J1901">
        <v>0</v>
      </c>
      <c r="K1901" s="6" t="str">
        <f t="shared" ref="K1901" si="875">"vs "&amp;E1900</f>
        <v>vs The Guns</v>
      </c>
      <c r="L1901" s="6" t="str">
        <f t="shared" ref="L1901" si="876">"vs "&amp;F1900</f>
        <v>vs Vasilis</v>
      </c>
      <c r="M1901">
        <v>144</v>
      </c>
      <c r="N1901" s="1">
        <v>0.48599999999999999</v>
      </c>
      <c r="O1901">
        <v>33</v>
      </c>
      <c r="P1901" s="1">
        <v>0.39300000000000002</v>
      </c>
      <c r="Q1901" s="1">
        <v>0.78400000000000003</v>
      </c>
      <c r="R1901">
        <v>426</v>
      </c>
      <c r="S1901">
        <v>41</v>
      </c>
      <c r="T1901">
        <v>144</v>
      </c>
      <c r="U1901">
        <v>91</v>
      </c>
      <c r="V1901">
        <v>17</v>
      </c>
      <c r="W1901">
        <v>18</v>
      </c>
      <c r="X1901">
        <v>54</v>
      </c>
      <c r="Y1901" s="5">
        <v>1.69</v>
      </c>
    </row>
    <row r="1902" spans="1:25" x14ac:dyDescent="0.25">
      <c r="A1902">
        <v>2023</v>
      </c>
      <c r="B1902" t="s">
        <v>57</v>
      </c>
      <c r="C1902">
        <v>2</v>
      </c>
      <c r="D1902">
        <v>21</v>
      </c>
      <c r="E1902" t="s">
        <v>158</v>
      </c>
      <c r="F1902" t="s">
        <v>177</v>
      </c>
      <c r="G1902">
        <f t="shared" si="789"/>
        <v>1</v>
      </c>
      <c r="H1902">
        <v>8</v>
      </c>
      <c r="I1902">
        <v>5</v>
      </c>
      <c r="J1902">
        <v>0</v>
      </c>
      <c r="K1902" s="6" t="str">
        <f t="shared" ref="K1902" si="877">"vs "&amp;E1903</f>
        <v>vs The Guns</v>
      </c>
      <c r="L1902" s="6" t="str">
        <f t="shared" ref="L1902" si="878">"vs "&amp;F1903</f>
        <v>vs Vasilis</v>
      </c>
      <c r="M1902">
        <v>200</v>
      </c>
      <c r="N1902" s="1">
        <v>0.48899999999999999</v>
      </c>
      <c r="O1902">
        <v>33</v>
      </c>
      <c r="P1902" s="1">
        <v>0.34699999999999998</v>
      </c>
      <c r="Q1902" s="1">
        <v>0.78400000000000003</v>
      </c>
      <c r="R1902">
        <v>596</v>
      </c>
      <c r="S1902">
        <v>57</v>
      </c>
      <c r="T1902">
        <v>165</v>
      </c>
      <c r="U1902">
        <v>148</v>
      </c>
      <c r="V1902">
        <v>26</v>
      </c>
      <c r="W1902">
        <v>19</v>
      </c>
      <c r="X1902">
        <v>65</v>
      </c>
      <c r="Y1902" s="5">
        <v>2.2799999999999998</v>
      </c>
    </row>
    <row r="1903" spans="1:25" x14ac:dyDescent="0.25">
      <c r="A1903">
        <v>2023</v>
      </c>
      <c r="B1903" t="s">
        <v>57</v>
      </c>
      <c r="C1903">
        <v>2</v>
      </c>
      <c r="D1903">
        <v>21</v>
      </c>
      <c r="E1903" t="s">
        <v>33</v>
      </c>
      <c r="F1903" t="s">
        <v>42</v>
      </c>
      <c r="G1903">
        <f t="shared" si="789"/>
        <v>0</v>
      </c>
      <c r="H1903">
        <v>5</v>
      </c>
      <c r="I1903">
        <v>8</v>
      </c>
      <c r="J1903">
        <v>0</v>
      </c>
      <c r="K1903" s="6" t="str">
        <f t="shared" ref="K1903" si="879">"vs "&amp;E1902</f>
        <v>vs LRBP PR3DATORS</v>
      </c>
      <c r="L1903" s="6" t="str">
        <f t="shared" ref="L1903" si="880">"vs "&amp;F1902</f>
        <v>vs Lafa</v>
      </c>
      <c r="M1903">
        <v>164</v>
      </c>
      <c r="N1903" s="1">
        <v>0.46600000000000003</v>
      </c>
      <c r="O1903">
        <v>45</v>
      </c>
      <c r="P1903" s="1">
        <v>0.35699999999999998</v>
      </c>
      <c r="Q1903" s="1">
        <v>0.82499999999999996</v>
      </c>
      <c r="R1903">
        <v>425</v>
      </c>
      <c r="S1903">
        <v>34</v>
      </c>
      <c r="T1903">
        <v>117</v>
      </c>
      <c r="U1903">
        <v>93</v>
      </c>
      <c r="V1903">
        <v>30</v>
      </c>
      <c r="W1903">
        <v>13</v>
      </c>
      <c r="X1903">
        <v>41</v>
      </c>
      <c r="Y1903" s="5">
        <v>2.27</v>
      </c>
    </row>
    <row r="1904" spans="1:25" x14ac:dyDescent="0.25">
      <c r="A1904">
        <v>2023</v>
      </c>
      <c r="B1904" t="s">
        <v>57</v>
      </c>
      <c r="C1904">
        <v>2</v>
      </c>
      <c r="D1904">
        <v>22</v>
      </c>
      <c r="E1904" t="s">
        <v>159</v>
      </c>
      <c r="F1904" t="s">
        <v>116</v>
      </c>
      <c r="G1904">
        <f t="shared" si="789"/>
        <v>0</v>
      </c>
      <c r="H1904">
        <v>6</v>
      </c>
      <c r="I1904">
        <v>7</v>
      </c>
      <c r="J1904">
        <v>0</v>
      </c>
      <c r="K1904" s="6" t="str">
        <f t="shared" ref="K1904" si="881">"vs "&amp;E1905</f>
        <v>vs Guruuu 🐐🐐🐐</v>
      </c>
      <c r="L1904" s="6" t="str">
        <f t="shared" ref="L1904" si="882">"vs "&amp;F1905</f>
        <v>vs Guru</v>
      </c>
      <c r="M1904">
        <v>186</v>
      </c>
      <c r="N1904" s="1">
        <v>0.48799999999999999</v>
      </c>
      <c r="O1904">
        <v>48</v>
      </c>
      <c r="P1904" s="1">
        <v>0.35299999999999998</v>
      </c>
      <c r="Q1904" s="1">
        <v>0.755</v>
      </c>
      <c r="R1904">
        <v>531</v>
      </c>
      <c r="S1904">
        <v>40</v>
      </c>
      <c r="T1904">
        <v>162</v>
      </c>
      <c r="U1904">
        <v>102</v>
      </c>
      <c r="V1904">
        <v>21</v>
      </c>
      <c r="W1904">
        <v>20</v>
      </c>
      <c r="X1904">
        <v>70</v>
      </c>
      <c r="Y1904" s="5">
        <v>1.46</v>
      </c>
    </row>
    <row r="1905" spans="1:25" x14ac:dyDescent="0.25">
      <c r="A1905">
        <v>2023</v>
      </c>
      <c r="B1905" t="s">
        <v>57</v>
      </c>
      <c r="C1905">
        <v>2</v>
      </c>
      <c r="D1905">
        <v>22</v>
      </c>
      <c r="E1905" t="s">
        <v>93</v>
      </c>
      <c r="F1905" t="s">
        <v>189</v>
      </c>
      <c r="G1905">
        <f t="shared" si="789"/>
        <v>1</v>
      </c>
      <c r="H1905">
        <v>7</v>
      </c>
      <c r="I1905">
        <v>6</v>
      </c>
      <c r="J1905">
        <v>0</v>
      </c>
      <c r="K1905" s="6" t="str">
        <f t="shared" ref="K1905" si="883">"vs "&amp;E1904</f>
        <v>vs purple fuzzy apache pirates</v>
      </c>
      <c r="L1905" s="6" t="str">
        <f t="shared" ref="L1905" si="884">"vs "&amp;F1904</f>
        <v>vs pi/Sotiris</v>
      </c>
      <c r="M1905">
        <v>174</v>
      </c>
      <c r="N1905" s="1">
        <v>0.45200000000000001</v>
      </c>
      <c r="O1905">
        <v>60</v>
      </c>
      <c r="P1905" s="1">
        <v>0.34899999999999998</v>
      </c>
      <c r="Q1905" s="1">
        <v>0.86799999999999999</v>
      </c>
      <c r="R1905">
        <v>513</v>
      </c>
      <c r="S1905">
        <v>25</v>
      </c>
      <c r="T1905">
        <v>110</v>
      </c>
      <c r="U1905">
        <v>112</v>
      </c>
      <c r="V1905">
        <v>38</v>
      </c>
      <c r="W1905">
        <v>25</v>
      </c>
      <c r="X1905">
        <v>60</v>
      </c>
      <c r="Y1905" s="5">
        <v>1.87</v>
      </c>
    </row>
    <row r="1906" spans="1:25" x14ac:dyDescent="0.25">
      <c r="A1906">
        <v>2023</v>
      </c>
      <c r="B1906" t="s">
        <v>57</v>
      </c>
      <c r="C1906">
        <v>2</v>
      </c>
      <c r="D1906">
        <v>23</v>
      </c>
      <c r="E1906" t="s">
        <v>25</v>
      </c>
      <c r="F1906" t="s">
        <v>53</v>
      </c>
      <c r="G1906">
        <f t="shared" si="789"/>
        <v>0</v>
      </c>
      <c r="H1906">
        <v>5</v>
      </c>
      <c r="I1906">
        <v>8</v>
      </c>
      <c r="J1906">
        <v>0</v>
      </c>
      <c r="K1906" s="6" t="str">
        <f t="shared" ref="K1906" si="885">"vs "&amp;E1907</f>
        <v>vs Steven Adams' Moustache</v>
      </c>
      <c r="L1906" s="6" t="str">
        <f t="shared" ref="L1906" si="886">"vs "&amp;F1907</f>
        <v>vs Johnny</v>
      </c>
      <c r="M1906">
        <v>208</v>
      </c>
      <c r="N1906" s="1">
        <v>0.45800000000000002</v>
      </c>
      <c r="O1906">
        <v>53</v>
      </c>
      <c r="P1906" s="1">
        <v>0.34399999999999997</v>
      </c>
      <c r="Q1906" s="1">
        <v>0.80600000000000005</v>
      </c>
      <c r="R1906">
        <v>594</v>
      </c>
      <c r="S1906">
        <v>50</v>
      </c>
      <c r="T1906">
        <v>141</v>
      </c>
      <c r="U1906">
        <v>114</v>
      </c>
      <c r="V1906">
        <v>25</v>
      </c>
      <c r="W1906">
        <v>26</v>
      </c>
      <c r="X1906">
        <v>86</v>
      </c>
      <c r="Y1906" s="5">
        <v>1.33</v>
      </c>
    </row>
    <row r="1907" spans="1:25" x14ac:dyDescent="0.25">
      <c r="A1907">
        <v>2023</v>
      </c>
      <c r="B1907" t="s">
        <v>57</v>
      </c>
      <c r="C1907">
        <v>2</v>
      </c>
      <c r="D1907">
        <v>23</v>
      </c>
      <c r="E1907" t="s">
        <v>28</v>
      </c>
      <c r="F1907" t="s">
        <v>46</v>
      </c>
      <c r="G1907">
        <f t="shared" si="789"/>
        <v>1</v>
      </c>
      <c r="H1907">
        <v>8</v>
      </c>
      <c r="I1907">
        <v>5</v>
      </c>
      <c r="J1907">
        <v>0</v>
      </c>
      <c r="K1907" s="6" t="str">
        <f t="shared" ref="K1907" si="887">"vs "&amp;E1906</f>
        <v>vs The Rookies</v>
      </c>
      <c r="L1907" s="6" t="str">
        <f t="shared" ref="L1907" si="888">"vs "&amp;F1906</f>
        <v>vs Kousidis</v>
      </c>
      <c r="M1907">
        <v>191</v>
      </c>
      <c r="N1907" s="1">
        <v>0.45400000000000001</v>
      </c>
      <c r="O1907">
        <v>56</v>
      </c>
      <c r="P1907" s="1">
        <v>0.36599999999999999</v>
      </c>
      <c r="Q1907" s="1">
        <v>0.82399999999999995</v>
      </c>
      <c r="R1907">
        <v>560</v>
      </c>
      <c r="S1907">
        <v>46</v>
      </c>
      <c r="T1907">
        <v>128</v>
      </c>
      <c r="U1907">
        <v>151</v>
      </c>
      <c r="V1907">
        <v>39</v>
      </c>
      <c r="W1907">
        <v>28</v>
      </c>
      <c r="X1907">
        <v>58</v>
      </c>
      <c r="Y1907" s="5">
        <v>2.6</v>
      </c>
    </row>
    <row r="1908" spans="1:25" x14ac:dyDescent="0.25">
      <c r="A1908">
        <v>2023</v>
      </c>
      <c r="B1908" t="s">
        <v>57</v>
      </c>
      <c r="C1908">
        <v>2</v>
      </c>
      <c r="D1908">
        <v>24</v>
      </c>
      <c r="E1908" t="s">
        <v>26</v>
      </c>
      <c r="F1908" t="s">
        <v>118</v>
      </c>
      <c r="G1908">
        <f t="shared" si="789"/>
        <v>1</v>
      </c>
      <c r="H1908">
        <v>8</v>
      </c>
      <c r="I1908">
        <v>5</v>
      </c>
      <c r="J1908">
        <v>0</v>
      </c>
      <c r="K1908" s="6" t="str">
        <f t="shared" ref="K1908" si="889">"vs "&amp;E1909</f>
        <v>vs The Bad Boys</v>
      </c>
      <c r="L1908" s="6" t="str">
        <f t="shared" ref="L1908" si="890">"vs "&amp;F1909</f>
        <v>vs Arvanitis</v>
      </c>
      <c r="M1908">
        <v>129</v>
      </c>
      <c r="N1908" s="1">
        <v>0.41599999999999998</v>
      </c>
      <c r="O1908">
        <v>46</v>
      </c>
      <c r="P1908" s="1">
        <v>0.313</v>
      </c>
      <c r="Q1908" s="1">
        <v>0.68500000000000005</v>
      </c>
      <c r="R1908">
        <v>341</v>
      </c>
      <c r="S1908">
        <v>28</v>
      </c>
      <c r="T1908">
        <v>104</v>
      </c>
      <c r="U1908">
        <v>87</v>
      </c>
      <c r="V1908">
        <v>20</v>
      </c>
      <c r="W1908">
        <v>7</v>
      </c>
      <c r="X1908">
        <v>43</v>
      </c>
      <c r="Y1908" s="5">
        <v>2.02</v>
      </c>
    </row>
    <row r="1909" spans="1:25" x14ac:dyDescent="0.25">
      <c r="A1909">
        <v>2023</v>
      </c>
      <c r="B1909" t="s">
        <v>57</v>
      </c>
      <c r="C1909">
        <v>2</v>
      </c>
      <c r="D1909">
        <v>24</v>
      </c>
      <c r="E1909" t="s">
        <v>154</v>
      </c>
      <c r="F1909" t="s">
        <v>155</v>
      </c>
      <c r="G1909">
        <f t="shared" si="789"/>
        <v>0</v>
      </c>
      <c r="H1909">
        <v>5</v>
      </c>
      <c r="I1909">
        <v>8</v>
      </c>
      <c r="J1909">
        <v>0</v>
      </c>
      <c r="K1909" s="6" t="str">
        <f t="shared" ref="K1909" si="891">"vs "&amp;E1908</f>
        <v>vs Kourayo Vallecano</v>
      </c>
      <c r="L1909" s="6" t="str">
        <f t="shared" ref="L1909" si="892">"vs "&amp;F1908</f>
        <v>vs Ziogas/Christof</v>
      </c>
      <c r="M1909">
        <v>102</v>
      </c>
      <c r="N1909" s="1">
        <v>0.42699999999999999</v>
      </c>
      <c r="O1909">
        <v>35</v>
      </c>
      <c r="P1909" s="1">
        <v>0.36799999999999999</v>
      </c>
      <c r="Q1909" s="1">
        <v>0.61399999999999999</v>
      </c>
      <c r="R1909">
        <v>274</v>
      </c>
      <c r="S1909">
        <v>44</v>
      </c>
      <c r="T1909">
        <v>83</v>
      </c>
      <c r="U1909">
        <v>39</v>
      </c>
      <c r="V1909">
        <v>17</v>
      </c>
      <c r="W1909">
        <v>27</v>
      </c>
      <c r="X1909">
        <v>38</v>
      </c>
      <c r="Y1909" s="5">
        <v>1.03</v>
      </c>
    </row>
    <row r="1910" spans="1:25" x14ac:dyDescent="0.25">
      <c r="A1910">
        <v>2023</v>
      </c>
      <c r="B1910" t="s">
        <v>57</v>
      </c>
      <c r="C1910">
        <v>2</v>
      </c>
      <c r="D1910">
        <v>25</v>
      </c>
      <c r="E1910" t="s">
        <v>94</v>
      </c>
      <c r="F1910" t="s">
        <v>40</v>
      </c>
      <c r="G1910">
        <f t="shared" si="789"/>
        <v>1</v>
      </c>
      <c r="H1910">
        <v>10</v>
      </c>
      <c r="I1910">
        <v>3</v>
      </c>
      <c r="J1910">
        <v>0</v>
      </c>
      <c r="K1910" s="6" t="str">
        <f t="shared" ref="K1910" si="893">"vs "&amp;E1911</f>
        <v>vs Samarina Dudenbros</v>
      </c>
      <c r="L1910" s="6" t="str">
        <f t="shared" ref="L1910" si="894">"vs "&amp;F1911</f>
        <v>vs Sakellariou</v>
      </c>
      <c r="M1910">
        <v>165</v>
      </c>
      <c r="N1910" s="1">
        <v>0.47599999999999998</v>
      </c>
      <c r="O1910">
        <v>61</v>
      </c>
      <c r="P1910" s="1">
        <v>0.379</v>
      </c>
      <c r="Q1910" s="1">
        <v>0.72</v>
      </c>
      <c r="R1910">
        <v>445</v>
      </c>
      <c r="S1910">
        <v>38</v>
      </c>
      <c r="T1910">
        <v>132</v>
      </c>
      <c r="U1910">
        <v>84</v>
      </c>
      <c r="V1910">
        <v>17</v>
      </c>
      <c r="W1910">
        <v>20</v>
      </c>
      <c r="X1910">
        <v>46</v>
      </c>
      <c r="Y1910" s="5">
        <v>1.83</v>
      </c>
    </row>
    <row r="1911" spans="1:25" x14ac:dyDescent="0.25">
      <c r="A1911">
        <v>2023</v>
      </c>
      <c r="B1911" t="s">
        <v>57</v>
      </c>
      <c r="C1911">
        <v>2</v>
      </c>
      <c r="D1911">
        <v>25</v>
      </c>
      <c r="E1911" t="s">
        <v>181</v>
      </c>
      <c r="F1911" t="s">
        <v>49</v>
      </c>
      <c r="G1911">
        <f t="shared" si="789"/>
        <v>0</v>
      </c>
      <c r="H1911">
        <v>3</v>
      </c>
      <c r="I1911">
        <v>10</v>
      </c>
      <c r="J1911">
        <v>0</v>
      </c>
      <c r="K1911" s="6" t="str">
        <f t="shared" ref="K1911" si="895">"vs "&amp;E1910</f>
        <v>vs Fighting Thaddeus</v>
      </c>
      <c r="L1911" s="6" t="str">
        <f t="shared" ref="L1911" si="896">"vs "&amp;F1910</f>
        <v>vs Stavros</v>
      </c>
      <c r="M1911">
        <v>161</v>
      </c>
      <c r="N1911" s="1">
        <v>0.46300000000000002</v>
      </c>
      <c r="O1911">
        <v>48</v>
      </c>
      <c r="P1911" s="1">
        <v>0.36099999999999999</v>
      </c>
      <c r="Q1911" s="1">
        <v>0.84699999999999998</v>
      </c>
      <c r="R1911">
        <v>442</v>
      </c>
      <c r="S1911">
        <v>30</v>
      </c>
      <c r="T1911">
        <v>110</v>
      </c>
      <c r="U1911">
        <v>87</v>
      </c>
      <c r="V1911">
        <v>26</v>
      </c>
      <c r="W1911">
        <v>12</v>
      </c>
      <c r="X1911">
        <v>60</v>
      </c>
      <c r="Y1911" s="5">
        <v>1.45</v>
      </c>
    </row>
    <row r="1912" spans="1:25" x14ac:dyDescent="0.25">
      <c r="A1912">
        <v>2023</v>
      </c>
      <c r="B1912" t="s">
        <v>57</v>
      </c>
      <c r="C1912">
        <v>2</v>
      </c>
      <c r="D1912">
        <v>26</v>
      </c>
      <c r="E1912" t="s">
        <v>15</v>
      </c>
      <c r="F1912" t="s">
        <v>48</v>
      </c>
      <c r="G1912">
        <f t="shared" si="789"/>
        <v>1</v>
      </c>
      <c r="H1912">
        <v>9</v>
      </c>
      <c r="I1912">
        <v>4</v>
      </c>
      <c r="J1912">
        <v>0</v>
      </c>
      <c r="K1912" s="6" t="str">
        <f t="shared" ref="K1912" si="897">"vs "&amp;E1913</f>
        <v>vs Knights of Ni</v>
      </c>
      <c r="L1912" s="6" t="str">
        <f t="shared" ref="L1912" si="898">"vs "&amp;F1913</f>
        <v>vs Tolios</v>
      </c>
      <c r="M1912">
        <v>161</v>
      </c>
      <c r="N1912" s="1">
        <v>0.48299999999999998</v>
      </c>
      <c r="O1912">
        <v>50</v>
      </c>
      <c r="P1912" s="1">
        <v>0.373</v>
      </c>
      <c r="Q1912" s="1">
        <v>0.82099999999999995</v>
      </c>
      <c r="R1912">
        <v>436</v>
      </c>
      <c r="S1912">
        <v>24</v>
      </c>
      <c r="T1912">
        <v>116</v>
      </c>
      <c r="U1912">
        <v>105</v>
      </c>
      <c r="V1912">
        <v>24</v>
      </c>
      <c r="W1912">
        <v>10</v>
      </c>
      <c r="X1912">
        <v>41</v>
      </c>
      <c r="Y1912" s="5">
        <v>2.56</v>
      </c>
    </row>
    <row r="1913" spans="1:25" x14ac:dyDescent="0.25">
      <c r="A1913">
        <v>2023</v>
      </c>
      <c r="B1913" t="s">
        <v>57</v>
      </c>
      <c r="C1913">
        <v>2</v>
      </c>
      <c r="D1913">
        <v>26</v>
      </c>
      <c r="E1913" t="s">
        <v>96</v>
      </c>
      <c r="F1913" t="s">
        <v>102</v>
      </c>
      <c r="G1913">
        <f t="shared" si="789"/>
        <v>0</v>
      </c>
      <c r="H1913">
        <v>4</v>
      </c>
      <c r="I1913">
        <v>9</v>
      </c>
      <c r="J1913">
        <v>0</v>
      </c>
      <c r="K1913" s="6" t="str">
        <f t="shared" ref="K1913" si="899">"vs "&amp;E1912</f>
        <v>vs Salonika Devils</v>
      </c>
      <c r="L1913" s="6" t="str">
        <f t="shared" ref="L1913" si="900">"vs "&amp;F1912</f>
        <v>vs Fountos</v>
      </c>
      <c r="M1913">
        <v>95</v>
      </c>
      <c r="N1913" s="1">
        <v>0.41099999999999998</v>
      </c>
      <c r="O1913">
        <v>25</v>
      </c>
      <c r="P1913" s="1">
        <v>0.34200000000000003</v>
      </c>
      <c r="Q1913" s="1">
        <v>0.62</v>
      </c>
      <c r="R1913">
        <v>246</v>
      </c>
      <c r="S1913">
        <v>58</v>
      </c>
      <c r="T1913">
        <v>120</v>
      </c>
      <c r="U1913">
        <v>66</v>
      </c>
      <c r="V1913">
        <v>21</v>
      </c>
      <c r="W1913">
        <v>20</v>
      </c>
      <c r="X1913">
        <v>36</v>
      </c>
      <c r="Y1913" s="5">
        <v>1.83</v>
      </c>
    </row>
    <row r="1914" spans="1:25" x14ac:dyDescent="0.25">
      <c r="A1914">
        <v>2023</v>
      </c>
      <c r="B1914" t="s">
        <v>57</v>
      </c>
      <c r="C1914">
        <v>2</v>
      </c>
      <c r="D1914">
        <v>27</v>
      </c>
      <c r="E1914" t="s">
        <v>95</v>
      </c>
      <c r="F1914" t="s">
        <v>101</v>
      </c>
      <c r="G1914">
        <f t="shared" si="789"/>
        <v>0</v>
      </c>
      <c r="H1914">
        <v>4</v>
      </c>
      <c r="I1914">
        <v>9</v>
      </c>
      <c r="J1914">
        <v>0</v>
      </c>
      <c r="K1914" s="6" t="str">
        <f t="shared" ref="K1914" si="901">"vs "&amp;E1915</f>
        <v>vs The Bridgeburners</v>
      </c>
      <c r="L1914" s="6" t="str">
        <f t="shared" ref="L1914" si="902">"vs "&amp;F1915</f>
        <v>vs Fanis</v>
      </c>
      <c r="M1914">
        <v>116</v>
      </c>
      <c r="N1914" s="1">
        <v>0.41299999999999998</v>
      </c>
      <c r="O1914">
        <v>43</v>
      </c>
      <c r="P1914" s="1">
        <v>0.31900000000000001</v>
      </c>
      <c r="Q1914" s="1">
        <v>0.65800000000000003</v>
      </c>
      <c r="R1914">
        <v>325</v>
      </c>
      <c r="S1914">
        <v>31</v>
      </c>
      <c r="T1914">
        <v>108</v>
      </c>
      <c r="U1914">
        <v>80</v>
      </c>
      <c r="V1914">
        <v>26</v>
      </c>
      <c r="W1914">
        <v>22</v>
      </c>
      <c r="X1914">
        <v>28</v>
      </c>
      <c r="Y1914" s="5">
        <v>2.86</v>
      </c>
    </row>
    <row r="1915" spans="1:25" x14ac:dyDescent="0.25">
      <c r="A1915">
        <v>2023</v>
      </c>
      <c r="B1915" t="s">
        <v>57</v>
      </c>
      <c r="C1915">
        <v>2</v>
      </c>
      <c r="D1915">
        <v>27</v>
      </c>
      <c r="E1915" t="s">
        <v>16</v>
      </c>
      <c r="F1915" t="s">
        <v>51</v>
      </c>
      <c r="G1915">
        <f t="shared" si="789"/>
        <v>1</v>
      </c>
      <c r="H1915">
        <v>9</v>
      </c>
      <c r="I1915">
        <v>4</v>
      </c>
      <c r="J1915">
        <v>0</v>
      </c>
      <c r="K1915" s="6" t="str">
        <f t="shared" ref="K1915" si="903">"vs "&amp;E1914</f>
        <v>vs Baltimore Hercules</v>
      </c>
      <c r="L1915" s="6" t="str">
        <f t="shared" ref="L1915" si="904">"vs "&amp;F1914</f>
        <v>vs Sarantos</v>
      </c>
      <c r="M1915">
        <v>179</v>
      </c>
      <c r="N1915" s="1">
        <v>0.499</v>
      </c>
      <c r="O1915">
        <v>52</v>
      </c>
      <c r="P1915" s="1">
        <v>0.377</v>
      </c>
      <c r="Q1915" s="1">
        <v>0.76600000000000001</v>
      </c>
      <c r="R1915">
        <v>482</v>
      </c>
      <c r="S1915">
        <v>26</v>
      </c>
      <c r="T1915">
        <v>144</v>
      </c>
      <c r="U1915">
        <v>103</v>
      </c>
      <c r="V1915">
        <v>39</v>
      </c>
      <c r="W1915">
        <v>16</v>
      </c>
      <c r="X1915">
        <v>43</v>
      </c>
      <c r="Y1915" s="5">
        <v>2.4</v>
      </c>
    </row>
    <row r="1916" spans="1:25" x14ac:dyDescent="0.25">
      <c r="A1916">
        <v>2023</v>
      </c>
      <c r="B1916" t="s">
        <v>57</v>
      </c>
      <c r="C1916">
        <v>2</v>
      </c>
      <c r="D1916">
        <v>28</v>
      </c>
      <c r="E1916" t="s">
        <v>21</v>
      </c>
      <c r="F1916" t="s">
        <v>50</v>
      </c>
      <c r="G1916">
        <f t="shared" si="789"/>
        <v>0</v>
      </c>
      <c r="H1916">
        <v>4</v>
      </c>
      <c r="I1916">
        <v>9</v>
      </c>
      <c r="J1916">
        <v>0</v>
      </c>
      <c r="K1916" s="6" t="str">
        <f t="shared" ref="K1916" si="905">"vs "&amp;E1917</f>
        <v>vs Karafli SaiTa</v>
      </c>
      <c r="L1916" s="6" t="str">
        <f t="shared" ref="L1916" si="906">"vs "&amp;F1917</f>
        <v>vs Tassos</v>
      </c>
      <c r="M1916">
        <v>171</v>
      </c>
      <c r="N1916" s="1">
        <v>0.45500000000000002</v>
      </c>
      <c r="O1916">
        <v>60</v>
      </c>
      <c r="P1916" s="1">
        <v>0.36099999999999999</v>
      </c>
      <c r="Q1916" s="1">
        <v>0.85799999999999998</v>
      </c>
      <c r="R1916">
        <v>493</v>
      </c>
      <c r="S1916">
        <v>23</v>
      </c>
      <c r="T1916">
        <v>107</v>
      </c>
      <c r="U1916">
        <v>123</v>
      </c>
      <c r="V1916">
        <v>22</v>
      </c>
      <c r="W1916">
        <v>13</v>
      </c>
      <c r="X1916">
        <v>52</v>
      </c>
      <c r="Y1916" s="5">
        <v>2.37</v>
      </c>
    </row>
    <row r="1917" spans="1:25" x14ac:dyDescent="0.25">
      <c r="A1917">
        <v>2023</v>
      </c>
      <c r="B1917" t="s">
        <v>57</v>
      </c>
      <c r="C1917">
        <v>2</v>
      </c>
      <c r="D1917">
        <v>28</v>
      </c>
      <c r="E1917" t="s">
        <v>190</v>
      </c>
      <c r="F1917" t="s">
        <v>103</v>
      </c>
      <c r="G1917">
        <f t="shared" si="789"/>
        <v>1</v>
      </c>
      <c r="H1917">
        <v>9</v>
      </c>
      <c r="I1917">
        <v>4</v>
      </c>
      <c r="J1917">
        <v>0</v>
      </c>
      <c r="K1917" s="6" t="str">
        <f t="shared" ref="K1917" si="907">"vs "&amp;E1916</f>
        <v>vs st.Helens Eruptions</v>
      </c>
      <c r="L1917" s="6" t="str">
        <f t="shared" ref="L1917" si="908">"vs "&amp;F1916</f>
        <v>vs Aris</v>
      </c>
      <c r="M1917">
        <v>244</v>
      </c>
      <c r="N1917" s="1">
        <v>0.49299999999999999</v>
      </c>
      <c r="O1917">
        <v>57</v>
      </c>
      <c r="P1917" s="1">
        <v>0.36099999999999999</v>
      </c>
      <c r="Q1917" s="1">
        <v>0.86499999999999999</v>
      </c>
      <c r="R1917">
        <v>660</v>
      </c>
      <c r="S1917">
        <v>56</v>
      </c>
      <c r="T1917">
        <v>166</v>
      </c>
      <c r="U1917">
        <v>154</v>
      </c>
      <c r="V1917">
        <v>35</v>
      </c>
      <c r="W1917">
        <v>25</v>
      </c>
      <c r="X1917">
        <v>68</v>
      </c>
      <c r="Y1917" s="5">
        <v>2.2599999999999998</v>
      </c>
    </row>
    <row r="1918" spans="1:25" x14ac:dyDescent="0.25">
      <c r="A1918">
        <v>2023</v>
      </c>
      <c r="B1918" t="s">
        <v>57</v>
      </c>
      <c r="C1918">
        <v>2</v>
      </c>
      <c r="D1918">
        <v>29</v>
      </c>
      <c r="E1918" t="s">
        <v>98</v>
      </c>
      <c r="F1918" t="s">
        <v>41</v>
      </c>
      <c r="G1918">
        <f t="shared" si="789"/>
        <v>1</v>
      </c>
      <c r="H1918">
        <v>8</v>
      </c>
      <c r="I1918">
        <v>5</v>
      </c>
      <c r="J1918">
        <v>0</v>
      </c>
      <c r="K1918" s="6" t="str">
        <f t="shared" ref="K1918" si="909">"vs "&amp;E1919</f>
        <v>vs Donkey Rolls</v>
      </c>
      <c r="L1918" s="6" t="str">
        <f t="shared" ref="L1918" si="910">"vs "&amp;F1919</f>
        <v>vs Markos</v>
      </c>
      <c r="M1918">
        <v>155</v>
      </c>
      <c r="N1918" s="1">
        <v>0.52400000000000002</v>
      </c>
      <c r="O1918">
        <v>40</v>
      </c>
      <c r="P1918" s="1">
        <v>0.4</v>
      </c>
      <c r="Q1918" s="1">
        <v>0.81</v>
      </c>
      <c r="R1918">
        <v>401</v>
      </c>
      <c r="S1918">
        <v>65</v>
      </c>
      <c r="T1918">
        <v>161</v>
      </c>
      <c r="U1918">
        <v>106</v>
      </c>
      <c r="V1918">
        <v>23</v>
      </c>
      <c r="W1918">
        <v>30</v>
      </c>
      <c r="X1918">
        <v>58</v>
      </c>
      <c r="Y1918" s="5">
        <v>1.83</v>
      </c>
    </row>
    <row r="1919" spans="1:25" x14ac:dyDescent="0.25">
      <c r="A1919">
        <v>2023</v>
      </c>
      <c r="B1919" t="s">
        <v>57</v>
      </c>
      <c r="C1919">
        <v>2</v>
      </c>
      <c r="D1919">
        <v>29</v>
      </c>
      <c r="E1919" t="s">
        <v>17</v>
      </c>
      <c r="F1919" t="s">
        <v>43</v>
      </c>
      <c r="G1919">
        <f t="shared" si="789"/>
        <v>0</v>
      </c>
      <c r="H1919">
        <v>5</v>
      </c>
      <c r="I1919">
        <v>8</v>
      </c>
      <c r="J1919">
        <v>0</v>
      </c>
      <c r="K1919" s="6" t="str">
        <f t="shared" ref="K1919" si="911">"vs "&amp;E1918</f>
        <v>vs Xanthi Ducks 🦆</v>
      </c>
      <c r="L1919" s="6" t="str">
        <f t="shared" ref="L1919" si="912">"vs "&amp;F1918</f>
        <v>vs Kotakis</v>
      </c>
      <c r="M1919">
        <v>194</v>
      </c>
      <c r="N1919" s="1">
        <v>0.47499999999999998</v>
      </c>
      <c r="O1919">
        <v>64</v>
      </c>
      <c r="P1919" s="1">
        <v>0.379</v>
      </c>
      <c r="Q1919" s="1">
        <v>0.80500000000000005</v>
      </c>
      <c r="R1919">
        <v>543</v>
      </c>
      <c r="S1919">
        <v>49</v>
      </c>
      <c r="T1919">
        <v>175</v>
      </c>
      <c r="U1919">
        <v>88</v>
      </c>
      <c r="V1919">
        <v>21</v>
      </c>
      <c r="W1919">
        <v>18</v>
      </c>
      <c r="X1919">
        <v>51</v>
      </c>
      <c r="Y1919" s="5">
        <v>1.73</v>
      </c>
    </row>
    <row r="1920" spans="1:25" x14ac:dyDescent="0.25">
      <c r="A1920">
        <v>2023</v>
      </c>
      <c r="B1920" t="s">
        <v>57</v>
      </c>
      <c r="C1920">
        <v>2</v>
      </c>
      <c r="D1920">
        <v>30</v>
      </c>
      <c r="E1920" t="s">
        <v>99</v>
      </c>
      <c r="F1920" t="s">
        <v>45</v>
      </c>
      <c r="G1920">
        <f t="shared" si="789"/>
        <v>1</v>
      </c>
      <c r="H1920">
        <v>7</v>
      </c>
      <c r="I1920">
        <v>5</v>
      </c>
      <c r="J1920">
        <v>1</v>
      </c>
      <c r="K1920" s="6" t="str">
        <f t="shared" ref="K1920" si="913">"vs "&amp;E1921</f>
        <v>vs Pachiana NinjaBees</v>
      </c>
      <c r="L1920" s="6" t="str">
        <f t="shared" ref="L1920" si="914">"vs "&amp;F1921</f>
        <v>vs Spiridaus/Oladipas</v>
      </c>
      <c r="M1920">
        <v>180</v>
      </c>
      <c r="N1920" s="1">
        <v>0.48299999999999998</v>
      </c>
      <c r="O1920">
        <v>55</v>
      </c>
      <c r="P1920" s="1">
        <v>0.39900000000000002</v>
      </c>
      <c r="Q1920" s="1">
        <v>0.73299999999999998</v>
      </c>
      <c r="R1920">
        <v>470</v>
      </c>
      <c r="S1920">
        <v>41</v>
      </c>
      <c r="T1920">
        <v>114</v>
      </c>
      <c r="U1920">
        <v>93</v>
      </c>
      <c r="V1920">
        <v>25</v>
      </c>
      <c r="W1920">
        <v>13</v>
      </c>
      <c r="X1920">
        <v>49</v>
      </c>
      <c r="Y1920" s="5">
        <v>1.9</v>
      </c>
    </row>
    <row r="1921" spans="1:25" x14ac:dyDescent="0.25">
      <c r="A1921">
        <v>2023</v>
      </c>
      <c r="B1921" t="s">
        <v>57</v>
      </c>
      <c r="C1921">
        <v>2</v>
      </c>
      <c r="D1921">
        <v>30</v>
      </c>
      <c r="E1921" t="s">
        <v>23</v>
      </c>
      <c r="F1921" t="s">
        <v>120</v>
      </c>
      <c r="G1921">
        <f t="shared" si="789"/>
        <v>0</v>
      </c>
      <c r="H1921">
        <v>5</v>
      </c>
      <c r="I1921">
        <v>7</v>
      </c>
      <c r="J1921">
        <v>1</v>
      </c>
      <c r="K1921" s="6" t="str">
        <f t="shared" ref="K1921" si="915">"vs "&amp;E1920</f>
        <v>vs Tsarlatans</v>
      </c>
      <c r="L1921" s="6" t="str">
        <f t="shared" ref="L1921" si="916">"vs "&amp;F1920</f>
        <v>vs Tzokos</v>
      </c>
      <c r="M1921">
        <v>162</v>
      </c>
      <c r="N1921" s="1">
        <v>0.47499999999999998</v>
      </c>
      <c r="O1921">
        <v>28</v>
      </c>
      <c r="P1921" s="1">
        <v>0.32200000000000001</v>
      </c>
      <c r="Q1921" s="1">
        <v>0.83299999999999996</v>
      </c>
      <c r="R1921">
        <v>437</v>
      </c>
      <c r="S1921">
        <v>44</v>
      </c>
      <c r="T1921">
        <v>146</v>
      </c>
      <c r="U1921">
        <v>116</v>
      </c>
      <c r="V1921">
        <v>25</v>
      </c>
      <c r="W1921">
        <v>8</v>
      </c>
      <c r="X1921">
        <v>55</v>
      </c>
      <c r="Y1921" s="5">
        <v>2.11</v>
      </c>
    </row>
    <row r="1922" spans="1:25" x14ac:dyDescent="0.25">
      <c r="A1922">
        <v>2023</v>
      </c>
      <c r="B1922" t="s">
        <v>57</v>
      </c>
      <c r="C1922">
        <v>3</v>
      </c>
      <c r="D1922">
        <v>31</v>
      </c>
      <c r="E1922" t="s">
        <v>25</v>
      </c>
      <c r="F1922" t="s">
        <v>53</v>
      </c>
      <c r="G1922">
        <f t="shared" ref="G1922:G1985" si="917">IF(H1922+0.5*J1922&gt;6.5,1,0)</f>
        <v>0</v>
      </c>
      <c r="H1922">
        <v>3</v>
      </c>
      <c r="I1922">
        <v>8</v>
      </c>
      <c r="J1922">
        <v>2</v>
      </c>
      <c r="K1922" s="6" t="str">
        <f t="shared" ref="K1922" si="918">"vs "&amp;E1923</f>
        <v>vs Salonika Devils</v>
      </c>
      <c r="L1922" s="6" t="str">
        <f t="shared" ref="L1922" si="919">"vs "&amp;F1923</f>
        <v>vs Fountos</v>
      </c>
      <c r="M1922">
        <v>148</v>
      </c>
      <c r="N1922" s="1">
        <v>0.48699999999999999</v>
      </c>
      <c r="O1922">
        <v>32</v>
      </c>
      <c r="P1922" s="1">
        <v>0.34799999999999998</v>
      </c>
      <c r="Q1922" s="1">
        <v>0.75900000000000001</v>
      </c>
      <c r="R1922">
        <v>394</v>
      </c>
      <c r="S1922">
        <v>24</v>
      </c>
      <c r="T1922">
        <v>119</v>
      </c>
      <c r="U1922">
        <v>86</v>
      </c>
      <c r="V1922">
        <v>29</v>
      </c>
      <c r="W1922">
        <v>17</v>
      </c>
      <c r="X1922">
        <v>58</v>
      </c>
      <c r="Y1922" s="5">
        <v>1.48</v>
      </c>
    </row>
    <row r="1923" spans="1:25" x14ac:dyDescent="0.25">
      <c r="A1923">
        <v>2023</v>
      </c>
      <c r="B1923" t="s">
        <v>57</v>
      </c>
      <c r="C1923">
        <v>3</v>
      </c>
      <c r="D1923">
        <v>31</v>
      </c>
      <c r="E1923" t="s">
        <v>15</v>
      </c>
      <c r="F1923" t="s">
        <v>48</v>
      </c>
      <c r="G1923">
        <f t="shared" si="917"/>
        <v>1</v>
      </c>
      <c r="H1923">
        <v>8</v>
      </c>
      <c r="I1923">
        <v>3</v>
      </c>
      <c r="J1923">
        <v>2</v>
      </c>
      <c r="K1923" s="6" t="str">
        <f t="shared" ref="K1923" si="920">"vs "&amp;E1922</f>
        <v>vs The Rookies</v>
      </c>
      <c r="L1923" s="6" t="str">
        <f t="shared" ref="L1923" si="921">"vs "&amp;F1922</f>
        <v>vs Kousidis</v>
      </c>
      <c r="M1923">
        <v>186</v>
      </c>
      <c r="N1923" s="1">
        <v>0.48299999999999998</v>
      </c>
      <c r="O1923">
        <v>54</v>
      </c>
      <c r="P1923" s="1">
        <v>0.38</v>
      </c>
      <c r="Q1923" s="1">
        <v>0.83</v>
      </c>
      <c r="R1923">
        <v>514</v>
      </c>
      <c r="S1923">
        <v>24</v>
      </c>
      <c r="T1923">
        <v>122</v>
      </c>
      <c r="U1923">
        <v>107</v>
      </c>
      <c r="V1923">
        <v>23</v>
      </c>
      <c r="W1923">
        <v>17</v>
      </c>
      <c r="X1923">
        <v>69</v>
      </c>
      <c r="Y1923" s="5">
        <v>1.55</v>
      </c>
    </row>
    <row r="1924" spans="1:25" x14ac:dyDescent="0.25">
      <c r="A1924">
        <v>2023</v>
      </c>
      <c r="B1924" t="s">
        <v>57</v>
      </c>
      <c r="C1924">
        <v>3</v>
      </c>
      <c r="D1924">
        <v>32</v>
      </c>
      <c r="E1924" t="s">
        <v>16</v>
      </c>
      <c r="F1924" t="s">
        <v>51</v>
      </c>
      <c r="G1924">
        <f t="shared" si="917"/>
        <v>1</v>
      </c>
      <c r="H1924">
        <v>8</v>
      </c>
      <c r="I1924">
        <v>5</v>
      </c>
      <c r="J1924">
        <v>0</v>
      </c>
      <c r="K1924" s="6" t="str">
        <f t="shared" ref="K1924" si="922">"vs "&amp;E1925</f>
        <v>vs Fighting Thaddeus</v>
      </c>
      <c r="L1924" s="6" t="str">
        <f t="shared" ref="L1924" si="923">"vs "&amp;F1925</f>
        <v>vs Stavros</v>
      </c>
      <c r="M1924">
        <v>135</v>
      </c>
      <c r="N1924" s="1">
        <v>0.45200000000000001</v>
      </c>
      <c r="O1924">
        <v>36</v>
      </c>
      <c r="P1924" s="1">
        <v>0.32100000000000001</v>
      </c>
      <c r="Q1924" s="1">
        <v>0.75900000000000001</v>
      </c>
      <c r="R1924">
        <v>366</v>
      </c>
      <c r="S1924">
        <v>35</v>
      </c>
      <c r="T1924">
        <v>113</v>
      </c>
      <c r="U1924">
        <v>94</v>
      </c>
      <c r="V1924">
        <v>29</v>
      </c>
      <c r="W1924">
        <v>25</v>
      </c>
      <c r="X1924">
        <v>43</v>
      </c>
      <c r="Y1924" s="5">
        <v>2.19</v>
      </c>
    </row>
    <row r="1925" spans="1:25" x14ac:dyDescent="0.25">
      <c r="A1925">
        <v>2023</v>
      </c>
      <c r="B1925" t="s">
        <v>57</v>
      </c>
      <c r="C1925">
        <v>3</v>
      </c>
      <c r="D1925">
        <v>32</v>
      </c>
      <c r="E1925" t="s">
        <v>94</v>
      </c>
      <c r="F1925" t="s">
        <v>40</v>
      </c>
      <c r="G1925">
        <f t="shared" si="917"/>
        <v>0</v>
      </c>
      <c r="H1925">
        <v>5</v>
      </c>
      <c r="I1925">
        <v>8</v>
      </c>
      <c r="J1925">
        <v>0</v>
      </c>
      <c r="K1925" s="6" t="str">
        <f t="shared" ref="K1925" si="924">"vs "&amp;E1924</f>
        <v>vs The Bridgeburners</v>
      </c>
      <c r="L1925" s="6" t="str">
        <f t="shared" ref="L1925" si="925">"vs "&amp;F1924</f>
        <v>vs Fanis</v>
      </c>
      <c r="M1925">
        <v>121</v>
      </c>
      <c r="N1925" s="1">
        <v>0.48399999999999999</v>
      </c>
      <c r="O1925">
        <v>43</v>
      </c>
      <c r="P1925" s="1">
        <v>0.377</v>
      </c>
      <c r="Q1925" s="1">
        <v>0.83299999999999996</v>
      </c>
      <c r="R1925">
        <v>325</v>
      </c>
      <c r="S1925">
        <v>27</v>
      </c>
      <c r="T1925">
        <v>97</v>
      </c>
      <c r="U1925">
        <v>66</v>
      </c>
      <c r="V1925">
        <v>19</v>
      </c>
      <c r="W1925">
        <v>9</v>
      </c>
      <c r="X1925">
        <v>33</v>
      </c>
      <c r="Y1925" s="5">
        <v>2</v>
      </c>
    </row>
    <row r="1926" spans="1:25" x14ac:dyDescent="0.25">
      <c r="A1926">
        <v>2023</v>
      </c>
      <c r="B1926" t="s">
        <v>57</v>
      </c>
      <c r="C1926">
        <v>3</v>
      </c>
      <c r="D1926">
        <v>33</v>
      </c>
      <c r="E1926" t="s">
        <v>96</v>
      </c>
      <c r="F1926" t="s">
        <v>102</v>
      </c>
      <c r="G1926">
        <f t="shared" si="917"/>
        <v>0</v>
      </c>
      <c r="H1926">
        <v>5</v>
      </c>
      <c r="I1926">
        <v>8</v>
      </c>
      <c r="J1926">
        <v>0</v>
      </c>
      <c r="K1926" s="6" t="str">
        <f t="shared" ref="K1926" si="926">"vs "&amp;E1927</f>
        <v>vs Baltimore Hercules</v>
      </c>
      <c r="L1926" s="6" t="str">
        <f t="shared" ref="L1926" si="927">"vs "&amp;F1927</f>
        <v>vs Sarantos</v>
      </c>
      <c r="M1926">
        <v>108</v>
      </c>
      <c r="N1926" s="1">
        <v>0.51900000000000002</v>
      </c>
      <c r="O1926">
        <v>24</v>
      </c>
      <c r="P1926" s="1">
        <v>0.33800000000000002</v>
      </c>
      <c r="Q1926" s="1">
        <v>0.75800000000000001</v>
      </c>
      <c r="R1926">
        <v>287</v>
      </c>
      <c r="S1926">
        <v>35</v>
      </c>
      <c r="T1926">
        <v>91</v>
      </c>
      <c r="U1926">
        <v>37</v>
      </c>
      <c r="V1926">
        <v>22</v>
      </c>
      <c r="W1926">
        <v>15</v>
      </c>
      <c r="X1926">
        <v>29</v>
      </c>
      <c r="Y1926" s="5">
        <v>1.28</v>
      </c>
    </row>
    <row r="1927" spans="1:25" x14ac:dyDescent="0.25">
      <c r="A1927">
        <v>2023</v>
      </c>
      <c r="B1927" t="s">
        <v>57</v>
      </c>
      <c r="C1927">
        <v>3</v>
      </c>
      <c r="D1927">
        <v>33</v>
      </c>
      <c r="E1927" t="s">
        <v>95</v>
      </c>
      <c r="F1927" t="s">
        <v>101</v>
      </c>
      <c r="G1927">
        <f t="shared" si="917"/>
        <v>1</v>
      </c>
      <c r="H1927">
        <v>8</v>
      </c>
      <c r="I1927">
        <v>5</v>
      </c>
      <c r="J1927">
        <v>0</v>
      </c>
      <c r="K1927" s="6" t="str">
        <f t="shared" ref="K1927" si="928">"vs "&amp;E1926</f>
        <v>vs Knights of Ni</v>
      </c>
      <c r="L1927" s="6" t="str">
        <f t="shared" ref="L1927" si="929">"vs "&amp;F1926</f>
        <v>vs Tolios</v>
      </c>
      <c r="M1927">
        <v>104</v>
      </c>
      <c r="N1927" s="1">
        <v>0.52300000000000002</v>
      </c>
      <c r="O1927">
        <v>30</v>
      </c>
      <c r="P1927" s="1">
        <v>0.36599999999999999</v>
      </c>
      <c r="Q1927" s="1">
        <v>0.76700000000000002</v>
      </c>
      <c r="R1927">
        <v>271</v>
      </c>
      <c r="S1927">
        <v>13</v>
      </c>
      <c r="T1927">
        <v>74</v>
      </c>
      <c r="U1927">
        <v>61</v>
      </c>
      <c r="V1927">
        <v>25</v>
      </c>
      <c r="W1927">
        <v>16</v>
      </c>
      <c r="X1927">
        <v>44</v>
      </c>
      <c r="Y1927" s="5">
        <v>1.39</v>
      </c>
    </row>
    <row r="1928" spans="1:25" x14ac:dyDescent="0.25">
      <c r="A1928">
        <v>2023</v>
      </c>
      <c r="B1928" t="s">
        <v>57</v>
      </c>
      <c r="C1928">
        <v>3</v>
      </c>
      <c r="D1928">
        <v>34</v>
      </c>
      <c r="E1928" t="s">
        <v>23</v>
      </c>
      <c r="F1928" t="s">
        <v>120</v>
      </c>
      <c r="G1928">
        <f t="shared" si="917"/>
        <v>1</v>
      </c>
      <c r="H1928">
        <v>7</v>
      </c>
      <c r="I1928">
        <v>6</v>
      </c>
      <c r="J1928">
        <v>0</v>
      </c>
      <c r="K1928" s="6" t="str">
        <f t="shared" ref="K1928" si="930">"vs "&amp;E1929</f>
        <v>vs Kourayo Vallecano</v>
      </c>
      <c r="L1928" s="6" t="str">
        <f t="shared" ref="L1928" si="931">"vs "&amp;F1929</f>
        <v>vs Ziogas/Christof</v>
      </c>
      <c r="M1928">
        <v>152</v>
      </c>
      <c r="N1928" s="1">
        <v>0.46200000000000002</v>
      </c>
      <c r="O1928">
        <v>34</v>
      </c>
      <c r="P1928" s="1">
        <v>0.35799999999999998</v>
      </c>
      <c r="Q1928" s="1">
        <v>0.83499999999999996</v>
      </c>
      <c r="R1928">
        <v>409</v>
      </c>
      <c r="S1928">
        <v>33</v>
      </c>
      <c r="T1928">
        <v>130</v>
      </c>
      <c r="U1928">
        <v>108</v>
      </c>
      <c r="V1928">
        <v>19</v>
      </c>
      <c r="W1928">
        <v>19</v>
      </c>
      <c r="X1928">
        <v>58</v>
      </c>
      <c r="Y1928" s="5">
        <v>1.86</v>
      </c>
    </row>
    <row r="1929" spans="1:25" x14ac:dyDescent="0.25">
      <c r="A1929">
        <v>2023</v>
      </c>
      <c r="B1929" t="s">
        <v>57</v>
      </c>
      <c r="C1929">
        <v>3</v>
      </c>
      <c r="D1929">
        <v>34</v>
      </c>
      <c r="E1929" t="s">
        <v>26</v>
      </c>
      <c r="F1929" t="s">
        <v>118</v>
      </c>
      <c r="G1929">
        <f t="shared" si="917"/>
        <v>0</v>
      </c>
      <c r="H1929">
        <v>6</v>
      </c>
      <c r="I1929">
        <v>7</v>
      </c>
      <c r="J1929">
        <v>0</v>
      </c>
      <c r="K1929" s="6" t="str">
        <f t="shared" ref="K1929" si="932">"vs "&amp;E1928</f>
        <v>vs Pachiana NinjaBees</v>
      </c>
      <c r="L1929" s="6" t="str">
        <f t="shared" ref="L1929" si="933">"vs "&amp;F1928</f>
        <v>vs Spiridaus/Oladipas</v>
      </c>
      <c r="M1929">
        <v>138</v>
      </c>
      <c r="N1929" s="1">
        <v>0.45400000000000001</v>
      </c>
      <c r="O1929">
        <v>52</v>
      </c>
      <c r="P1929" s="1">
        <v>0.34699999999999998</v>
      </c>
      <c r="Q1929" s="1">
        <v>0.89600000000000002</v>
      </c>
      <c r="R1929">
        <v>388</v>
      </c>
      <c r="S1929">
        <v>36</v>
      </c>
      <c r="T1929">
        <v>112</v>
      </c>
      <c r="U1929">
        <v>98</v>
      </c>
      <c r="V1929">
        <v>15</v>
      </c>
      <c r="W1929">
        <v>21</v>
      </c>
      <c r="X1929">
        <v>47</v>
      </c>
      <c r="Y1929" s="5">
        <v>2.09</v>
      </c>
    </row>
    <row r="1930" spans="1:25" x14ac:dyDescent="0.25">
      <c r="A1930">
        <v>2023</v>
      </c>
      <c r="B1930" t="s">
        <v>57</v>
      </c>
      <c r="C1930">
        <v>3</v>
      </c>
      <c r="D1930">
        <v>35</v>
      </c>
      <c r="E1930" t="s">
        <v>28</v>
      </c>
      <c r="F1930" t="s">
        <v>46</v>
      </c>
      <c r="G1930">
        <f t="shared" si="917"/>
        <v>1</v>
      </c>
      <c r="H1930">
        <v>9</v>
      </c>
      <c r="I1930">
        <v>4</v>
      </c>
      <c r="J1930">
        <v>0</v>
      </c>
      <c r="K1930" s="6" t="str">
        <f t="shared" ref="K1930" si="934">"vs "&amp;E1931</f>
        <v>vs purple fuzzy apache pirates</v>
      </c>
      <c r="L1930" s="6" t="str">
        <f t="shared" ref="L1930" si="935">"vs "&amp;F1931</f>
        <v>vs pi/Sotiris</v>
      </c>
      <c r="M1930">
        <v>211</v>
      </c>
      <c r="N1930" s="1">
        <v>0.47499999999999998</v>
      </c>
      <c r="O1930">
        <v>65</v>
      </c>
      <c r="P1930" s="1">
        <v>0.39600000000000002</v>
      </c>
      <c r="Q1930" s="1">
        <v>0.86799999999999999</v>
      </c>
      <c r="R1930">
        <v>546</v>
      </c>
      <c r="S1930">
        <v>41</v>
      </c>
      <c r="T1930">
        <v>140</v>
      </c>
      <c r="U1930">
        <v>137</v>
      </c>
      <c r="V1930">
        <v>48</v>
      </c>
      <c r="W1930">
        <v>14</v>
      </c>
      <c r="X1930">
        <v>71</v>
      </c>
      <c r="Y1930" s="5">
        <v>1.93</v>
      </c>
    </row>
    <row r="1931" spans="1:25" x14ac:dyDescent="0.25">
      <c r="A1931">
        <v>2023</v>
      </c>
      <c r="B1931" t="s">
        <v>57</v>
      </c>
      <c r="C1931">
        <v>3</v>
      </c>
      <c r="D1931">
        <v>35</v>
      </c>
      <c r="E1931" t="s">
        <v>159</v>
      </c>
      <c r="F1931" t="s">
        <v>116</v>
      </c>
      <c r="G1931">
        <f t="shared" si="917"/>
        <v>0</v>
      </c>
      <c r="H1931">
        <v>4</v>
      </c>
      <c r="I1931">
        <v>9</v>
      </c>
      <c r="J1931">
        <v>0</v>
      </c>
      <c r="K1931" s="6" t="str">
        <f t="shared" ref="K1931" si="936">"vs "&amp;E1930</f>
        <v>vs Steven Adams' Moustache</v>
      </c>
      <c r="L1931" s="6" t="str">
        <f t="shared" ref="L1931" si="937">"vs "&amp;F1930</f>
        <v>vs Johnny</v>
      </c>
      <c r="M1931">
        <v>178</v>
      </c>
      <c r="N1931" s="1">
        <v>0.501</v>
      </c>
      <c r="O1931">
        <v>40</v>
      </c>
      <c r="P1931" s="1">
        <v>0.38100000000000001</v>
      </c>
      <c r="Q1931" s="1">
        <v>0.88400000000000001</v>
      </c>
      <c r="R1931">
        <v>472</v>
      </c>
      <c r="S1931">
        <v>26</v>
      </c>
      <c r="T1931">
        <v>148</v>
      </c>
      <c r="U1931">
        <v>94</v>
      </c>
      <c r="V1931">
        <v>23</v>
      </c>
      <c r="W1931">
        <v>16</v>
      </c>
      <c r="X1931">
        <v>75</v>
      </c>
      <c r="Y1931" s="5">
        <v>1.25</v>
      </c>
    </row>
    <row r="1932" spans="1:25" x14ac:dyDescent="0.25">
      <c r="A1932">
        <v>2023</v>
      </c>
      <c r="B1932" t="s">
        <v>57</v>
      </c>
      <c r="C1932">
        <v>3</v>
      </c>
      <c r="D1932">
        <v>36</v>
      </c>
      <c r="E1932" t="s">
        <v>181</v>
      </c>
      <c r="F1932" t="s">
        <v>49</v>
      </c>
      <c r="G1932">
        <f t="shared" si="917"/>
        <v>1</v>
      </c>
      <c r="H1932">
        <v>10</v>
      </c>
      <c r="I1932">
        <v>3</v>
      </c>
      <c r="J1932">
        <v>0</v>
      </c>
      <c r="K1932" s="6" t="str">
        <f t="shared" ref="K1932" si="938">"vs "&amp;E1933</f>
        <v>vs st.Helens Eruptions</v>
      </c>
      <c r="L1932" s="6" t="str">
        <f t="shared" ref="L1932" si="939">"vs "&amp;F1933</f>
        <v>vs Aris</v>
      </c>
      <c r="M1932">
        <v>179</v>
      </c>
      <c r="N1932" s="1">
        <v>0.437</v>
      </c>
      <c r="O1932">
        <v>59</v>
      </c>
      <c r="P1932" s="1">
        <v>0.34499999999999997</v>
      </c>
      <c r="Q1932" s="1">
        <v>0.82799999999999996</v>
      </c>
      <c r="R1932">
        <v>499</v>
      </c>
      <c r="S1932">
        <v>39</v>
      </c>
      <c r="T1932">
        <v>150</v>
      </c>
      <c r="U1932">
        <v>114</v>
      </c>
      <c r="V1932">
        <v>23</v>
      </c>
      <c r="W1932">
        <v>29</v>
      </c>
      <c r="X1932">
        <v>59</v>
      </c>
      <c r="Y1932" s="5">
        <v>1.93</v>
      </c>
    </row>
    <row r="1933" spans="1:25" x14ac:dyDescent="0.25">
      <c r="A1933">
        <v>2023</v>
      </c>
      <c r="B1933" t="s">
        <v>57</v>
      </c>
      <c r="C1933">
        <v>3</v>
      </c>
      <c r="D1933">
        <v>36</v>
      </c>
      <c r="E1933" t="s">
        <v>21</v>
      </c>
      <c r="F1933" t="s">
        <v>50</v>
      </c>
      <c r="G1933">
        <f t="shared" si="917"/>
        <v>0</v>
      </c>
      <c r="H1933">
        <v>3</v>
      </c>
      <c r="I1933">
        <v>10</v>
      </c>
      <c r="J1933">
        <v>0</v>
      </c>
      <c r="K1933" s="6" t="str">
        <f t="shared" ref="K1933" si="940">"vs "&amp;E1932</f>
        <v>vs Samarina Dudenbros</v>
      </c>
      <c r="L1933" s="6" t="str">
        <f t="shared" ref="L1933" si="941">"vs "&amp;F1932</f>
        <v>vs Sakellariou</v>
      </c>
      <c r="M1933">
        <v>150</v>
      </c>
      <c r="N1933" s="1">
        <v>0.46300000000000002</v>
      </c>
      <c r="O1933">
        <v>44</v>
      </c>
      <c r="P1933" s="1">
        <v>0.34100000000000003</v>
      </c>
      <c r="Q1933" s="1">
        <v>0.83299999999999996</v>
      </c>
      <c r="R1933">
        <v>434</v>
      </c>
      <c r="S1933">
        <v>29</v>
      </c>
      <c r="T1933">
        <v>100</v>
      </c>
      <c r="U1933">
        <v>109</v>
      </c>
      <c r="V1933">
        <v>37</v>
      </c>
      <c r="W1933">
        <v>17</v>
      </c>
      <c r="X1933">
        <v>75</v>
      </c>
      <c r="Y1933" s="5">
        <v>1.45</v>
      </c>
    </row>
    <row r="1934" spans="1:25" x14ac:dyDescent="0.25">
      <c r="A1934">
        <v>2023</v>
      </c>
      <c r="B1934" t="s">
        <v>57</v>
      </c>
      <c r="C1934">
        <v>3</v>
      </c>
      <c r="D1934">
        <v>37</v>
      </c>
      <c r="E1934" t="s">
        <v>93</v>
      </c>
      <c r="F1934" t="s">
        <v>189</v>
      </c>
      <c r="G1934">
        <f t="shared" si="917"/>
        <v>0</v>
      </c>
      <c r="H1934">
        <v>6</v>
      </c>
      <c r="I1934">
        <v>7</v>
      </c>
      <c r="J1934">
        <v>0</v>
      </c>
      <c r="K1934" s="6" t="str">
        <f t="shared" ref="K1934" si="942">"vs "&amp;E1935</f>
        <v>vs LRBP PR3DATORS</v>
      </c>
      <c r="L1934" s="6" t="str">
        <f t="shared" ref="L1934" si="943">"vs "&amp;F1935</f>
        <v>vs Lafa</v>
      </c>
      <c r="M1934">
        <v>131</v>
      </c>
      <c r="N1934" s="1">
        <v>0.45500000000000002</v>
      </c>
      <c r="O1934">
        <v>40</v>
      </c>
      <c r="P1934" s="1">
        <v>0.33600000000000002</v>
      </c>
      <c r="Q1934" s="1">
        <v>0.88</v>
      </c>
      <c r="R1934">
        <v>368</v>
      </c>
      <c r="S1934">
        <v>29</v>
      </c>
      <c r="T1934">
        <v>133</v>
      </c>
      <c r="U1934">
        <v>92</v>
      </c>
      <c r="V1934">
        <v>18</v>
      </c>
      <c r="W1934">
        <v>16</v>
      </c>
      <c r="X1934">
        <v>65</v>
      </c>
      <c r="Y1934" s="5">
        <v>1.42</v>
      </c>
    </row>
    <row r="1935" spans="1:25" x14ac:dyDescent="0.25">
      <c r="A1935">
        <v>2023</v>
      </c>
      <c r="B1935" t="s">
        <v>57</v>
      </c>
      <c r="C1935">
        <v>3</v>
      </c>
      <c r="D1935">
        <v>37</v>
      </c>
      <c r="E1935" t="s">
        <v>158</v>
      </c>
      <c r="F1935" t="s">
        <v>177</v>
      </c>
      <c r="G1935">
        <f t="shared" si="917"/>
        <v>1</v>
      </c>
      <c r="H1935">
        <v>7</v>
      </c>
      <c r="I1935">
        <v>6</v>
      </c>
      <c r="J1935">
        <v>0</v>
      </c>
      <c r="K1935" s="6" t="str">
        <f t="shared" ref="K1935" si="944">"vs "&amp;E1934</f>
        <v>vs Guruuu 🐐🐐🐐</v>
      </c>
      <c r="L1935" s="6" t="str">
        <f t="shared" ref="L1935" si="945">"vs "&amp;F1934</f>
        <v>vs Guru</v>
      </c>
      <c r="M1935">
        <v>153</v>
      </c>
      <c r="N1935" s="1">
        <v>0.42</v>
      </c>
      <c r="O1935">
        <v>36</v>
      </c>
      <c r="P1935" s="1">
        <v>0.30499999999999999</v>
      </c>
      <c r="Q1935" s="1">
        <v>0.78</v>
      </c>
      <c r="R1935">
        <v>438</v>
      </c>
      <c r="S1935">
        <v>35</v>
      </c>
      <c r="T1935">
        <v>113</v>
      </c>
      <c r="U1935">
        <v>133</v>
      </c>
      <c r="V1935">
        <v>32</v>
      </c>
      <c r="W1935">
        <v>11</v>
      </c>
      <c r="X1935">
        <v>60</v>
      </c>
      <c r="Y1935" s="5">
        <v>2.2200000000000002</v>
      </c>
    </row>
    <row r="1936" spans="1:25" x14ac:dyDescent="0.25">
      <c r="A1936">
        <v>2023</v>
      </c>
      <c r="B1936" t="s">
        <v>57</v>
      </c>
      <c r="C1936">
        <v>3</v>
      </c>
      <c r="D1936">
        <v>38</v>
      </c>
      <c r="E1936" t="s">
        <v>17</v>
      </c>
      <c r="F1936" t="s">
        <v>43</v>
      </c>
      <c r="G1936">
        <f t="shared" si="917"/>
        <v>1</v>
      </c>
      <c r="H1936">
        <v>8</v>
      </c>
      <c r="I1936">
        <v>4</v>
      </c>
      <c r="J1936">
        <v>1</v>
      </c>
      <c r="K1936" s="6" t="str">
        <f t="shared" ref="K1936" si="946">"vs "&amp;E1937</f>
        <v>vs Tsarlatans</v>
      </c>
      <c r="L1936" s="6" t="str">
        <f t="shared" ref="L1936" si="947">"vs "&amp;F1937</f>
        <v>vs Tzokos</v>
      </c>
      <c r="M1936">
        <v>163</v>
      </c>
      <c r="N1936" s="1">
        <v>0.44700000000000001</v>
      </c>
      <c r="O1936">
        <v>41</v>
      </c>
      <c r="P1936" s="1">
        <v>0.32500000000000001</v>
      </c>
      <c r="Q1936" s="1">
        <v>0.79200000000000004</v>
      </c>
      <c r="R1936">
        <v>451</v>
      </c>
      <c r="S1936">
        <v>30</v>
      </c>
      <c r="T1936">
        <v>136</v>
      </c>
      <c r="U1936">
        <v>99</v>
      </c>
      <c r="V1936">
        <v>20</v>
      </c>
      <c r="W1936">
        <v>25</v>
      </c>
      <c r="X1936">
        <v>66</v>
      </c>
      <c r="Y1936" s="5">
        <v>1.5</v>
      </c>
    </row>
    <row r="1937" spans="1:25" x14ac:dyDescent="0.25">
      <c r="A1937">
        <v>2023</v>
      </c>
      <c r="B1937" t="s">
        <v>57</v>
      </c>
      <c r="C1937">
        <v>3</v>
      </c>
      <c r="D1937">
        <v>38</v>
      </c>
      <c r="E1937" t="s">
        <v>99</v>
      </c>
      <c r="F1937" t="s">
        <v>45</v>
      </c>
      <c r="G1937">
        <f t="shared" si="917"/>
        <v>0</v>
      </c>
      <c r="H1937">
        <v>4</v>
      </c>
      <c r="I1937">
        <v>8</v>
      </c>
      <c r="J1937">
        <v>1</v>
      </c>
      <c r="K1937" s="6" t="str">
        <f t="shared" ref="K1937" si="948">"vs "&amp;E1936</f>
        <v>vs Donkey Rolls</v>
      </c>
      <c r="L1937" s="6" t="str">
        <f t="shared" ref="L1937" si="949">"vs "&amp;F1936</f>
        <v>vs Markos</v>
      </c>
      <c r="M1937">
        <v>128</v>
      </c>
      <c r="N1937" s="1">
        <v>0.45700000000000002</v>
      </c>
      <c r="O1937">
        <v>38</v>
      </c>
      <c r="P1937" s="1">
        <v>0.36199999999999999</v>
      </c>
      <c r="Q1937" s="1">
        <v>0.73599999999999999</v>
      </c>
      <c r="R1937">
        <v>347</v>
      </c>
      <c r="S1937">
        <v>20</v>
      </c>
      <c r="T1937">
        <v>89</v>
      </c>
      <c r="U1937">
        <v>53</v>
      </c>
      <c r="V1937">
        <v>16</v>
      </c>
      <c r="W1937">
        <v>25</v>
      </c>
      <c r="X1937">
        <v>35</v>
      </c>
      <c r="Y1937" s="5">
        <v>1.51</v>
      </c>
    </row>
    <row r="1938" spans="1:25" x14ac:dyDescent="0.25">
      <c r="A1938">
        <v>2023</v>
      </c>
      <c r="B1938" t="s">
        <v>57</v>
      </c>
      <c r="C1938">
        <v>3</v>
      </c>
      <c r="D1938">
        <v>39</v>
      </c>
      <c r="E1938" t="s">
        <v>190</v>
      </c>
      <c r="F1938" t="s">
        <v>103</v>
      </c>
      <c r="G1938">
        <f t="shared" si="917"/>
        <v>1</v>
      </c>
      <c r="H1938">
        <v>10</v>
      </c>
      <c r="I1938">
        <v>3</v>
      </c>
      <c r="J1938">
        <v>0</v>
      </c>
      <c r="K1938" s="6" t="str">
        <f t="shared" ref="K1938" si="950">"vs "&amp;E1939</f>
        <v>vs The Bad Boys</v>
      </c>
      <c r="L1938" s="6" t="str">
        <f t="shared" ref="L1938" si="951">"vs "&amp;F1939</f>
        <v>vs Arvanitis</v>
      </c>
      <c r="M1938">
        <v>173</v>
      </c>
      <c r="N1938" s="1">
        <v>0.48899999999999999</v>
      </c>
      <c r="O1938">
        <v>37</v>
      </c>
      <c r="P1938" s="1">
        <v>0.32200000000000001</v>
      </c>
      <c r="Q1938" s="1">
        <v>0.79200000000000004</v>
      </c>
      <c r="R1938">
        <v>463</v>
      </c>
      <c r="S1938">
        <v>70</v>
      </c>
      <c r="T1938">
        <v>179</v>
      </c>
      <c r="U1938">
        <v>99</v>
      </c>
      <c r="V1938">
        <v>22</v>
      </c>
      <c r="W1938">
        <v>21</v>
      </c>
      <c r="X1938">
        <v>61</v>
      </c>
      <c r="Y1938" s="5">
        <v>1.62</v>
      </c>
    </row>
    <row r="1939" spans="1:25" x14ac:dyDescent="0.25">
      <c r="A1939">
        <v>2023</v>
      </c>
      <c r="B1939" t="s">
        <v>57</v>
      </c>
      <c r="C1939">
        <v>3</v>
      </c>
      <c r="D1939">
        <v>39</v>
      </c>
      <c r="E1939" t="s">
        <v>154</v>
      </c>
      <c r="F1939" t="s">
        <v>155</v>
      </c>
      <c r="G1939">
        <f t="shared" si="917"/>
        <v>0</v>
      </c>
      <c r="H1939">
        <v>3</v>
      </c>
      <c r="I1939">
        <v>10</v>
      </c>
      <c r="J1939">
        <v>0</v>
      </c>
      <c r="K1939" s="6" t="str">
        <f t="shared" ref="K1939" si="952">"vs "&amp;E1938</f>
        <v>vs Karafli SaiTa</v>
      </c>
      <c r="L1939" s="6" t="str">
        <f t="shared" ref="L1939" si="953">"vs "&amp;F1938</f>
        <v>vs Tassos</v>
      </c>
      <c r="M1939">
        <v>105</v>
      </c>
      <c r="N1939" s="1">
        <v>0.45100000000000001</v>
      </c>
      <c r="O1939">
        <v>40</v>
      </c>
      <c r="P1939" s="1">
        <v>0.42099999999999999</v>
      </c>
      <c r="Q1939" s="1">
        <v>0.65</v>
      </c>
      <c r="R1939">
        <v>276</v>
      </c>
      <c r="S1939">
        <v>37</v>
      </c>
      <c r="T1939">
        <v>78</v>
      </c>
      <c r="U1939">
        <v>41</v>
      </c>
      <c r="V1939">
        <v>21</v>
      </c>
      <c r="W1939">
        <v>18</v>
      </c>
      <c r="X1939">
        <v>30</v>
      </c>
      <c r="Y1939" s="5">
        <v>1.37</v>
      </c>
    </row>
    <row r="1940" spans="1:25" x14ac:dyDescent="0.25">
      <c r="A1940">
        <v>2023</v>
      </c>
      <c r="B1940" t="s">
        <v>57</v>
      </c>
      <c r="C1940">
        <v>3</v>
      </c>
      <c r="D1940">
        <v>40</v>
      </c>
      <c r="E1940" t="s">
        <v>33</v>
      </c>
      <c r="F1940" t="s">
        <v>42</v>
      </c>
      <c r="G1940">
        <f t="shared" si="917"/>
        <v>0</v>
      </c>
      <c r="H1940">
        <v>4</v>
      </c>
      <c r="I1940">
        <v>9</v>
      </c>
      <c r="J1940">
        <v>0</v>
      </c>
      <c r="K1940" s="6" t="str">
        <f t="shared" ref="K1940" si="954">"vs "&amp;E1941</f>
        <v>vs Xanthi Ducks 🦆</v>
      </c>
      <c r="L1940" s="6" t="str">
        <f t="shared" ref="L1940" si="955">"vs "&amp;F1941</f>
        <v>vs Kotakis</v>
      </c>
      <c r="M1940">
        <v>175</v>
      </c>
      <c r="N1940" s="1">
        <v>0.47399999999999998</v>
      </c>
      <c r="O1940">
        <v>40</v>
      </c>
      <c r="P1940" s="1">
        <v>0.317</v>
      </c>
      <c r="Q1940" s="1">
        <v>0.80700000000000005</v>
      </c>
      <c r="R1940">
        <v>461</v>
      </c>
      <c r="S1940">
        <v>43</v>
      </c>
      <c r="T1940">
        <v>114</v>
      </c>
      <c r="U1940">
        <v>98</v>
      </c>
      <c r="V1940">
        <v>19</v>
      </c>
      <c r="W1940">
        <v>14</v>
      </c>
      <c r="X1940">
        <v>64</v>
      </c>
      <c r="Y1940" s="5">
        <v>1.53</v>
      </c>
    </row>
    <row r="1941" spans="1:25" x14ac:dyDescent="0.25">
      <c r="A1941">
        <v>2023</v>
      </c>
      <c r="B1941" t="s">
        <v>57</v>
      </c>
      <c r="C1941">
        <v>3</v>
      </c>
      <c r="D1941">
        <v>40</v>
      </c>
      <c r="E1941" t="s">
        <v>98</v>
      </c>
      <c r="F1941" t="s">
        <v>41</v>
      </c>
      <c r="G1941">
        <f t="shared" si="917"/>
        <v>1</v>
      </c>
      <c r="H1941">
        <v>9</v>
      </c>
      <c r="I1941">
        <v>4</v>
      </c>
      <c r="J1941">
        <v>0</v>
      </c>
      <c r="K1941" s="6" t="str">
        <f t="shared" ref="K1941" si="956">"vs "&amp;E1940</f>
        <v>vs The Guns</v>
      </c>
      <c r="L1941" s="6" t="str">
        <f t="shared" ref="L1941" si="957">"vs "&amp;F1940</f>
        <v>vs Vasilis</v>
      </c>
      <c r="M1941">
        <v>153</v>
      </c>
      <c r="N1941" s="1">
        <v>0.54800000000000004</v>
      </c>
      <c r="O1941">
        <v>38</v>
      </c>
      <c r="P1941" s="1">
        <v>0.42699999999999999</v>
      </c>
      <c r="Q1941" s="1">
        <v>0.69</v>
      </c>
      <c r="R1941">
        <v>393</v>
      </c>
      <c r="S1941">
        <v>45</v>
      </c>
      <c r="T1941">
        <v>140</v>
      </c>
      <c r="U1941">
        <v>100</v>
      </c>
      <c r="V1941">
        <v>30</v>
      </c>
      <c r="W1941">
        <v>15</v>
      </c>
      <c r="X1941">
        <v>49</v>
      </c>
      <c r="Y1941" s="5">
        <v>2.04</v>
      </c>
    </row>
    <row r="1942" spans="1:25" x14ac:dyDescent="0.25">
      <c r="A1942">
        <v>2023</v>
      </c>
      <c r="B1942" t="s">
        <v>57</v>
      </c>
      <c r="C1942">
        <v>4</v>
      </c>
      <c r="D1942">
        <v>41</v>
      </c>
      <c r="E1942" t="s">
        <v>158</v>
      </c>
      <c r="F1942" t="s">
        <v>177</v>
      </c>
      <c r="G1942">
        <f t="shared" si="917"/>
        <v>1</v>
      </c>
      <c r="H1942">
        <v>9</v>
      </c>
      <c r="I1942">
        <v>4</v>
      </c>
      <c r="J1942">
        <v>0</v>
      </c>
      <c r="K1942" s="6" t="str">
        <f t="shared" ref="K1942" si="958">"vs "&amp;E1943</f>
        <v>vs Steven Adams' Moustache</v>
      </c>
      <c r="L1942" s="6" t="str">
        <f t="shared" ref="L1942" si="959">"vs "&amp;F1943</f>
        <v>vs Johnny</v>
      </c>
      <c r="M1942">
        <v>189</v>
      </c>
      <c r="N1942" s="1">
        <v>0.47199999999999998</v>
      </c>
      <c r="O1942">
        <v>29</v>
      </c>
      <c r="P1942" s="1">
        <v>0.28199999999999997</v>
      </c>
      <c r="Q1942" s="1">
        <v>0.85099999999999998</v>
      </c>
      <c r="R1942">
        <v>556</v>
      </c>
      <c r="S1942">
        <v>38</v>
      </c>
      <c r="T1942">
        <v>138</v>
      </c>
      <c r="U1942">
        <v>152</v>
      </c>
      <c r="V1942">
        <v>35</v>
      </c>
      <c r="W1942">
        <v>26</v>
      </c>
      <c r="X1942">
        <v>72</v>
      </c>
      <c r="Y1942" s="5">
        <v>2.11</v>
      </c>
    </row>
    <row r="1943" spans="1:25" x14ac:dyDescent="0.25">
      <c r="A1943">
        <v>2023</v>
      </c>
      <c r="B1943" t="s">
        <v>57</v>
      </c>
      <c r="C1943">
        <v>4</v>
      </c>
      <c r="D1943">
        <v>41</v>
      </c>
      <c r="E1943" t="s">
        <v>28</v>
      </c>
      <c r="F1943" t="s">
        <v>46</v>
      </c>
      <c r="G1943">
        <f t="shared" si="917"/>
        <v>0</v>
      </c>
      <c r="H1943">
        <v>4</v>
      </c>
      <c r="I1943">
        <v>9</v>
      </c>
      <c r="J1943">
        <v>0</v>
      </c>
      <c r="K1943" s="6" t="str">
        <f t="shared" ref="K1943" si="960">"vs "&amp;E1942</f>
        <v>vs LRBP PR3DATORS</v>
      </c>
      <c r="L1943" s="6" t="str">
        <f t="shared" ref="L1943" si="961">"vs "&amp;F1942</f>
        <v>vs Lafa</v>
      </c>
      <c r="M1943">
        <v>174</v>
      </c>
      <c r="N1943" s="1">
        <v>0.46300000000000002</v>
      </c>
      <c r="O1943">
        <v>39</v>
      </c>
      <c r="P1943" s="1">
        <v>0.315</v>
      </c>
      <c r="Q1943" s="1">
        <v>0.77700000000000002</v>
      </c>
      <c r="R1943">
        <v>467</v>
      </c>
      <c r="S1943">
        <v>61</v>
      </c>
      <c r="T1943">
        <v>139</v>
      </c>
      <c r="U1943">
        <v>108</v>
      </c>
      <c r="V1943">
        <v>32</v>
      </c>
      <c r="W1943">
        <v>17</v>
      </c>
      <c r="X1943">
        <v>84</v>
      </c>
      <c r="Y1943" s="5">
        <v>1.29</v>
      </c>
    </row>
    <row r="1944" spans="1:25" x14ac:dyDescent="0.25">
      <c r="A1944">
        <v>2023</v>
      </c>
      <c r="B1944" t="s">
        <v>57</v>
      </c>
      <c r="C1944">
        <v>4</v>
      </c>
      <c r="D1944">
        <v>42</v>
      </c>
      <c r="E1944" t="s">
        <v>159</v>
      </c>
      <c r="F1944" t="s">
        <v>116</v>
      </c>
      <c r="G1944">
        <f t="shared" si="917"/>
        <v>1</v>
      </c>
      <c r="H1944">
        <v>9</v>
      </c>
      <c r="I1944">
        <v>3</v>
      </c>
      <c r="J1944">
        <v>1</v>
      </c>
      <c r="K1944" s="6" t="str">
        <f t="shared" ref="K1944" si="962">"vs "&amp;E1945</f>
        <v>vs Salonika Devils</v>
      </c>
      <c r="L1944" s="6" t="str">
        <f t="shared" ref="L1944" si="963">"vs "&amp;F1945</f>
        <v>vs Fountos</v>
      </c>
      <c r="M1944">
        <v>187</v>
      </c>
      <c r="N1944" s="1">
        <v>0.5</v>
      </c>
      <c r="O1944">
        <v>42</v>
      </c>
      <c r="P1944" s="1">
        <v>0.36499999999999999</v>
      </c>
      <c r="Q1944" s="1">
        <v>0.86</v>
      </c>
      <c r="R1944">
        <v>502</v>
      </c>
      <c r="S1944">
        <v>37</v>
      </c>
      <c r="T1944">
        <v>152</v>
      </c>
      <c r="U1944">
        <v>112</v>
      </c>
      <c r="V1944">
        <v>33</v>
      </c>
      <c r="W1944">
        <v>15</v>
      </c>
      <c r="X1944">
        <v>72</v>
      </c>
      <c r="Y1944" s="5">
        <v>1.56</v>
      </c>
    </row>
    <row r="1945" spans="1:25" x14ac:dyDescent="0.25">
      <c r="A1945">
        <v>2023</v>
      </c>
      <c r="B1945" t="s">
        <v>57</v>
      </c>
      <c r="C1945">
        <v>4</v>
      </c>
      <c r="D1945">
        <v>42</v>
      </c>
      <c r="E1945" t="s">
        <v>15</v>
      </c>
      <c r="F1945" t="s">
        <v>48</v>
      </c>
      <c r="G1945">
        <f t="shared" si="917"/>
        <v>0</v>
      </c>
      <c r="H1945">
        <v>3</v>
      </c>
      <c r="I1945">
        <v>9</v>
      </c>
      <c r="J1945">
        <v>1</v>
      </c>
      <c r="K1945" s="6" t="str">
        <f t="shared" ref="K1945" si="964">"vs "&amp;E1944</f>
        <v>vs purple fuzzy apache pirates</v>
      </c>
      <c r="L1945" s="6" t="str">
        <f t="shared" ref="L1945" si="965">"vs "&amp;F1944</f>
        <v>vs pi/Sotiris</v>
      </c>
      <c r="M1945">
        <v>205</v>
      </c>
      <c r="N1945" s="1">
        <v>0.47499999999999998</v>
      </c>
      <c r="O1945">
        <v>48</v>
      </c>
      <c r="P1945" s="1">
        <v>0.32700000000000001</v>
      </c>
      <c r="Q1945" s="1">
        <v>0.77800000000000002</v>
      </c>
      <c r="R1945">
        <v>528</v>
      </c>
      <c r="S1945">
        <v>35</v>
      </c>
      <c r="T1945">
        <v>145</v>
      </c>
      <c r="U1945">
        <v>93</v>
      </c>
      <c r="V1945">
        <v>24</v>
      </c>
      <c r="W1945">
        <v>13</v>
      </c>
      <c r="X1945">
        <v>72</v>
      </c>
      <c r="Y1945" s="5">
        <v>1.29</v>
      </c>
    </row>
    <row r="1946" spans="1:25" x14ac:dyDescent="0.25">
      <c r="A1946">
        <v>2023</v>
      </c>
      <c r="B1946" t="s">
        <v>57</v>
      </c>
      <c r="C1946">
        <v>4</v>
      </c>
      <c r="D1946">
        <v>43</v>
      </c>
      <c r="E1946" t="s">
        <v>154</v>
      </c>
      <c r="F1946" t="s">
        <v>155</v>
      </c>
      <c r="G1946">
        <f t="shared" si="917"/>
        <v>0</v>
      </c>
      <c r="H1946">
        <v>2</v>
      </c>
      <c r="I1946">
        <v>11</v>
      </c>
      <c r="J1946">
        <v>0</v>
      </c>
      <c r="K1946" s="6" t="str">
        <f t="shared" ref="K1946" si="966">"vs "&amp;E1947</f>
        <v>vs Samarina Dudenbros</v>
      </c>
      <c r="L1946" s="6" t="str">
        <f t="shared" ref="L1946" si="967">"vs "&amp;F1947</f>
        <v>vs Sakellariou</v>
      </c>
      <c r="M1946">
        <v>143</v>
      </c>
      <c r="N1946" s="1">
        <v>0.42899999999999999</v>
      </c>
      <c r="O1946">
        <v>41</v>
      </c>
      <c r="P1946" s="1">
        <v>0.34699999999999998</v>
      </c>
      <c r="Q1946" s="1">
        <v>0.74099999999999999</v>
      </c>
      <c r="R1946">
        <v>387</v>
      </c>
      <c r="S1946">
        <v>38</v>
      </c>
      <c r="T1946">
        <v>99</v>
      </c>
      <c r="U1946">
        <v>61</v>
      </c>
      <c r="V1946">
        <v>34</v>
      </c>
      <c r="W1946">
        <v>21</v>
      </c>
      <c r="X1946">
        <v>47</v>
      </c>
      <c r="Y1946" s="5">
        <v>1.3</v>
      </c>
    </row>
    <row r="1947" spans="1:25" x14ac:dyDescent="0.25">
      <c r="A1947">
        <v>2023</v>
      </c>
      <c r="B1947" t="s">
        <v>57</v>
      </c>
      <c r="C1947">
        <v>4</v>
      </c>
      <c r="D1947">
        <v>43</v>
      </c>
      <c r="E1947" t="s">
        <v>181</v>
      </c>
      <c r="F1947" t="s">
        <v>49</v>
      </c>
      <c r="G1947">
        <f t="shared" si="917"/>
        <v>1</v>
      </c>
      <c r="H1947">
        <v>11</v>
      </c>
      <c r="I1947">
        <v>2</v>
      </c>
      <c r="J1947">
        <v>0</v>
      </c>
      <c r="K1947" s="6" t="str">
        <f t="shared" ref="K1947" si="968">"vs "&amp;E1946</f>
        <v>vs The Bad Boys</v>
      </c>
      <c r="L1947" s="6" t="str">
        <f t="shared" ref="L1947" si="969">"vs "&amp;F1946</f>
        <v>vs Arvanitis</v>
      </c>
      <c r="M1947">
        <v>163</v>
      </c>
      <c r="N1947" s="1">
        <v>0.44900000000000001</v>
      </c>
      <c r="O1947">
        <v>61</v>
      </c>
      <c r="P1947" s="1">
        <v>0.38600000000000001</v>
      </c>
      <c r="Q1947" s="1">
        <v>0.747</v>
      </c>
      <c r="R1947">
        <v>455</v>
      </c>
      <c r="S1947">
        <v>35</v>
      </c>
      <c r="T1947">
        <v>112</v>
      </c>
      <c r="U1947">
        <v>116</v>
      </c>
      <c r="V1947">
        <v>26</v>
      </c>
      <c r="W1947">
        <v>31</v>
      </c>
      <c r="X1947">
        <v>40</v>
      </c>
      <c r="Y1947" s="5">
        <v>2.9</v>
      </c>
    </row>
    <row r="1948" spans="1:25" x14ac:dyDescent="0.25">
      <c r="A1948">
        <v>2023</v>
      </c>
      <c r="B1948" t="s">
        <v>57</v>
      </c>
      <c r="C1948">
        <v>4</v>
      </c>
      <c r="D1948">
        <v>44</v>
      </c>
      <c r="E1948" t="s">
        <v>26</v>
      </c>
      <c r="F1948" t="s">
        <v>118</v>
      </c>
      <c r="G1948">
        <f t="shared" si="917"/>
        <v>0</v>
      </c>
      <c r="H1948">
        <v>3</v>
      </c>
      <c r="I1948">
        <v>10</v>
      </c>
      <c r="J1948">
        <v>0</v>
      </c>
      <c r="K1948" s="6" t="str">
        <f t="shared" ref="K1948" si="970">"vs "&amp;E1949</f>
        <v>vs Karafli SaiTa</v>
      </c>
      <c r="L1948" s="6" t="str">
        <f t="shared" ref="L1948" si="971">"vs "&amp;F1949</f>
        <v>vs Tassos</v>
      </c>
      <c r="M1948">
        <v>161</v>
      </c>
      <c r="N1948" s="1">
        <v>0.436</v>
      </c>
      <c r="O1948">
        <v>72</v>
      </c>
      <c r="P1948" s="1">
        <v>0.38300000000000001</v>
      </c>
      <c r="Q1948" s="1">
        <v>0.75</v>
      </c>
      <c r="R1948">
        <v>466</v>
      </c>
      <c r="S1948">
        <v>35</v>
      </c>
      <c r="T1948">
        <v>119</v>
      </c>
      <c r="U1948">
        <v>122</v>
      </c>
      <c r="V1948">
        <v>23</v>
      </c>
      <c r="W1948">
        <v>9</v>
      </c>
      <c r="X1948">
        <v>61</v>
      </c>
      <c r="Y1948" s="5">
        <v>2</v>
      </c>
    </row>
    <row r="1949" spans="1:25" x14ac:dyDescent="0.25">
      <c r="A1949">
        <v>2023</v>
      </c>
      <c r="B1949" t="s">
        <v>57</v>
      </c>
      <c r="C1949">
        <v>4</v>
      </c>
      <c r="D1949">
        <v>44</v>
      </c>
      <c r="E1949" t="s">
        <v>190</v>
      </c>
      <c r="F1949" t="s">
        <v>103</v>
      </c>
      <c r="G1949">
        <f t="shared" si="917"/>
        <v>1</v>
      </c>
      <c r="H1949">
        <v>10</v>
      </c>
      <c r="I1949">
        <v>3</v>
      </c>
      <c r="J1949">
        <v>0</v>
      </c>
      <c r="K1949" s="6" t="str">
        <f t="shared" ref="K1949" si="972">"vs "&amp;E1948</f>
        <v>vs Kourayo Vallecano</v>
      </c>
      <c r="L1949" s="6" t="str">
        <f t="shared" ref="L1949" si="973">"vs "&amp;F1948</f>
        <v>vs Ziogas/Christof</v>
      </c>
      <c r="M1949">
        <v>221</v>
      </c>
      <c r="N1949" s="1">
        <v>0.48699999999999999</v>
      </c>
      <c r="O1949">
        <v>50</v>
      </c>
      <c r="P1949" s="1">
        <v>0.37</v>
      </c>
      <c r="Q1949" s="1">
        <v>0.82199999999999995</v>
      </c>
      <c r="R1949">
        <v>612</v>
      </c>
      <c r="S1949">
        <v>59</v>
      </c>
      <c r="T1949">
        <v>169</v>
      </c>
      <c r="U1949">
        <v>148</v>
      </c>
      <c r="V1949">
        <v>34</v>
      </c>
      <c r="W1949">
        <v>23</v>
      </c>
      <c r="X1949">
        <v>67</v>
      </c>
      <c r="Y1949" s="5">
        <v>2.21</v>
      </c>
    </row>
    <row r="1950" spans="1:25" x14ac:dyDescent="0.25">
      <c r="A1950">
        <v>2023</v>
      </c>
      <c r="B1950" t="s">
        <v>57</v>
      </c>
      <c r="C1950">
        <v>4</v>
      </c>
      <c r="D1950">
        <v>45</v>
      </c>
      <c r="E1950" t="s">
        <v>94</v>
      </c>
      <c r="F1950" t="s">
        <v>40</v>
      </c>
      <c r="G1950">
        <f t="shared" si="917"/>
        <v>1</v>
      </c>
      <c r="H1950">
        <v>7</v>
      </c>
      <c r="I1950">
        <v>6</v>
      </c>
      <c r="J1950">
        <v>0</v>
      </c>
      <c r="K1950" s="6" t="str">
        <f t="shared" ref="K1950" si="974">"vs "&amp;E1951</f>
        <v>vs Knights of Ni</v>
      </c>
      <c r="L1950" s="6" t="str">
        <f t="shared" ref="L1950" si="975">"vs "&amp;F1951</f>
        <v>vs Tolios</v>
      </c>
      <c r="M1950">
        <v>171</v>
      </c>
      <c r="N1950" s="1">
        <v>0.49099999999999999</v>
      </c>
      <c r="O1950">
        <v>61</v>
      </c>
      <c r="P1950" s="1">
        <v>0.38100000000000001</v>
      </c>
      <c r="Q1950" s="1">
        <v>0.80200000000000005</v>
      </c>
      <c r="R1950">
        <v>488</v>
      </c>
      <c r="S1950">
        <v>32</v>
      </c>
      <c r="T1950">
        <v>131</v>
      </c>
      <c r="U1950">
        <v>92</v>
      </c>
      <c r="V1950">
        <v>32</v>
      </c>
      <c r="W1950">
        <v>7</v>
      </c>
      <c r="X1950">
        <v>52</v>
      </c>
      <c r="Y1950" s="5">
        <v>1.77</v>
      </c>
    </row>
    <row r="1951" spans="1:25" x14ac:dyDescent="0.25">
      <c r="A1951">
        <v>2023</v>
      </c>
      <c r="B1951" t="s">
        <v>57</v>
      </c>
      <c r="C1951">
        <v>4</v>
      </c>
      <c r="D1951">
        <v>45</v>
      </c>
      <c r="E1951" t="s">
        <v>96</v>
      </c>
      <c r="F1951" t="s">
        <v>102</v>
      </c>
      <c r="G1951">
        <f t="shared" si="917"/>
        <v>0</v>
      </c>
      <c r="H1951">
        <v>6</v>
      </c>
      <c r="I1951">
        <v>7</v>
      </c>
      <c r="J1951">
        <v>0</v>
      </c>
      <c r="K1951" s="6" t="str">
        <f t="shared" ref="K1951" si="976">"vs "&amp;E1950</f>
        <v>vs Fighting Thaddeus</v>
      </c>
      <c r="L1951" s="6" t="str">
        <f t="shared" ref="L1951" si="977">"vs "&amp;F1950</f>
        <v>vs Stavros</v>
      </c>
      <c r="M1951">
        <v>148</v>
      </c>
      <c r="N1951" s="1">
        <v>0.52300000000000002</v>
      </c>
      <c r="O1951">
        <v>31</v>
      </c>
      <c r="P1951" s="1">
        <v>0.33300000000000002</v>
      </c>
      <c r="Q1951" s="1">
        <v>0.84399999999999997</v>
      </c>
      <c r="R1951">
        <v>365</v>
      </c>
      <c r="S1951">
        <v>49</v>
      </c>
      <c r="T1951">
        <v>122</v>
      </c>
      <c r="U1951">
        <v>62</v>
      </c>
      <c r="V1951">
        <v>25</v>
      </c>
      <c r="W1951">
        <v>13</v>
      </c>
      <c r="X1951">
        <v>33</v>
      </c>
      <c r="Y1951" s="5">
        <v>1.88</v>
      </c>
    </row>
    <row r="1952" spans="1:25" x14ac:dyDescent="0.25">
      <c r="A1952">
        <v>2023</v>
      </c>
      <c r="B1952" t="s">
        <v>57</v>
      </c>
      <c r="C1952">
        <v>4</v>
      </c>
      <c r="D1952">
        <v>46</v>
      </c>
      <c r="E1952" t="s">
        <v>23</v>
      </c>
      <c r="F1952" t="s">
        <v>120</v>
      </c>
      <c r="G1952">
        <f t="shared" si="917"/>
        <v>0</v>
      </c>
      <c r="H1952">
        <v>6</v>
      </c>
      <c r="I1952">
        <v>7</v>
      </c>
      <c r="J1952">
        <v>0</v>
      </c>
      <c r="K1952" s="6" t="str">
        <f t="shared" ref="K1952" si="978">"vs "&amp;E1953</f>
        <v>vs Donkey Rolls</v>
      </c>
      <c r="L1952" s="6" t="str">
        <f t="shared" ref="L1952" si="979">"vs "&amp;F1953</f>
        <v>vs Markos</v>
      </c>
      <c r="M1952">
        <v>150</v>
      </c>
      <c r="N1952" s="1">
        <v>0.45900000000000002</v>
      </c>
      <c r="O1952">
        <v>37</v>
      </c>
      <c r="P1952" s="1">
        <v>0.34899999999999998</v>
      </c>
      <c r="Q1952" s="1">
        <v>0.748</v>
      </c>
      <c r="R1952">
        <v>414</v>
      </c>
      <c r="S1952">
        <v>43</v>
      </c>
      <c r="T1952">
        <v>157</v>
      </c>
      <c r="U1952">
        <v>105</v>
      </c>
      <c r="V1952">
        <v>19</v>
      </c>
      <c r="W1952">
        <v>16</v>
      </c>
      <c r="X1952">
        <v>53</v>
      </c>
      <c r="Y1952" s="5">
        <v>1.98</v>
      </c>
    </row>
    <row r="1953" spans="1:25" x14ac:dyDescent="0.25">
      <c r="A1953">
        <v>2023</v>
      </c>
      <c r="B1953" t="s">
        <v>57</v>
      </c>
      <c r="C1953">
        <v>4</v>
      </c>
      <c r="D1953">
        <v>46</v>
      </c>
      <c r="E1953" t="s">
        <v>17</v>
      </c>
      <c r="F1953" t="s">
        <v>43</v>
      </c>
      <c r="G1953">
        <f t="shared" si="917"/>
        <v>1</v>
      </c>
      <c r="H1953">
        <v>7</v>
      </c>
      <c r="I1953">
        <v>6</v>
      </c>
      <c r="J1953">
        <v>0</v>
      </c>
      <c r="K1953" s="6" t="str">
        <f t="shared" ref="K1953" si="980">"vs "&amp;E1952</f>
        <v>vs Pachiana NinjaBees</v>
      </c>
      <c r="L1953" s="6" t="str">
        <f t="shared" ref="L1953" si="981">"vs "&amp;F1952</f>
        <v>vs Spiridaus/Oladipas</v>
      </c>
      <c r="M1953">
        <v>189</v>
      </c>
      <c r="N1953" s="1">
        <v>0.442</v>
      </c>
      <c r="O1953">
        <v>61</v>
      </c>
      <c r="P1953" s="1">
        <v>0.33700000000000002</v>
      </c>
      <c r="Q1953" s="1">
        <v>0.79500000000000004</v>
      </c>
      <c r="R1953">
        <v>528</v>
      </c>
      <c r="S1953">
        <v>44</v>
      </c>
      <c r="T1953">
        <v>148</v>
      </c>
      <c r="U1953">
        <v>107</v>
      </c>
      <c r="V1953">
        <v>41</v>
      </c>
      <c r="W1953">
        <v>11</v>
      </c>
      <c r="X1953">
        <v>63</v>
      </c>
      <c r="Y1953" s="5">
        <v>1.7</v>
      </c>
    </row>
    <row r="1954" spans="1:25" x14ac:dyDescent="0.25">
      <c r="A1954">
        <v>2023</v>
      </c>
      <c r="B1954" t="s">
        <v>57</v>
      </c>
      <c r="C1954">
        <v>4</v>
      </c>
      <c r="D1954">
        <v>47</v>
      </c>
      <c r="E1954" t="s">
        <v>95</v>
      </c>
      <c r="F1954" t="s">
        <v>101</v>
      </c>
      <c r="G1954">
        <f t="shared" si="917"/>
        <v>0</v>
      </c>
      <c r="H1954">
        <v>6</v>
      </c>
      <c r="I1954">
        <v>7</v>
      </c>
      <c r="J1954">
        <v>0</v>
      </c>
      <c r="K1954" s="6" t="str">
        <f t="shared" ref="K1954" si="982">"vs "&amp;E1955</f>
        <v>vs The Rookies</v>
      </c>
      <c r="L1954" s="6" t="str">
        <f t="shared" ref="L1954" si="983">"vs "&amp;F1955</f>
        <v>vs Kousidis</v>
      </c>
      <c r="M1954">
        <v>120</v>
      </c>
      <c r="N1954" s="1">
        <v>0.45300000000000001</v>
      </c>
      <c r="O1954">
        <v>37</v>
      </c>
      <c r="P1954" s="1">
        <v>0.33300000000000002</v>
      </c>
      <c r="Q1954" s="1">
        <v>0.67800000000000005</v>
      </c>
      <c r="R1954">
        <v>317</v>
      </c>
      <c r="S1954">
        <v>35</v>
      </c>
      <c r="T1954">
        <v>122</v>
      </c>
      <c r="U1954">
        <v>76</v>
      </c>
      <c r="V1954">
        <v>33</v>
      </c>
      <c r="W1954">
        <v>13</v>
      </c>
      <c r="X1954">
        <v>42</v>
      </c>
      <c r="Y1954" s="5">
        <v>1.81</v>
      </c>
    </row>
    <row r="1955" spans="1:25" x14ac:dyDescent="0.25">
      <c r="A1955">
        <v>2023</v>
      </c>
      <c r="B1955" t="s">
        <v>57</v>
      </c>
      <c r="C1955">
        <v>4</v>
      </c>
      <c r="D1955">
        <v>47</v>
      </c>
      <c r="E1955" t="s">
        <v>25</v>
      </c>
      <c r="F1955" t="s">
        <v>53</v>
      </c>
      <c r="G1955">
        <f t="shared" si="917"/>
        <v>1</v>
      </c>
      <c r="H1955">
        <v>7</v>
      </c>
      <c r="I1955">
        <v>6</v>
      </c>
      <c r="J1955">
        <v>0</v>
      </c>
      <c r="K1955" s="6" t="str">
        <f t="shared" ref="K1955" si="984">"vs "&amp;E1954</f>
        <v>vs Baltimore Hercules</v>
      </c>
      <c r="L1955" s="6" t="str">
        <f t="shared" ref="L1955" si="985">"vs "&amp;F1954</f>
        <v>vs Sarantos</v>
      </c>
      <c r="M1955">
        <v>178</v>
      </c>
      <c r="N1955" s="1">
        <v>0.504</v>
      </c>
      <c r="O1955">
        <v>63</v>
      </c>
      <c r="P1955" s="1">
        <v>0.41399999999999998</v>
      </c>
      <c r="Q1955" s="1">
        <v>0.75600000000000001</v>
      </c>
      <c r="R1955">
        <v>509</v>
      </c>
      <c r="S1955">
        <v>33</v>
      </c>
      <c r="T1955">
        <v>115</v>
      </c>
      <c r="U1955">
        <v>103</v>
      </c>
      <c r="V1955">
        <v>18</v>
      </c>
      <c r="W1955">
        <v>7</v>
      </c>
      <c r="X1955">
        <v>81</v>
      </c>
      <c r="Y1955" s="5">
        <v>1.27</v>
      </c>
    </row>
    <row r="1956" spans="1:25" x14ac:dyDescent="0.25">
      <c r="A1956">
        <v>2023</v>
      </c>
      <c r="B1956" t="s">
        <v>57</v>
      </c>
      <c r="C1956">
        <v>4</v>
      </c>
      <c r="D1956">
        <v>48</v>
      </c>
      <c r="E1956" t="s">
        <v>21</v>
      </c>
      <c r="F1956" t="s">
        <v>50</v>
      </c>
      <c r="G1956">
        <f t="shared" si="917"/>
        <v>1</v>
      </c>
      <c r="H1956">
        <v>8</v>
      </c>
      <c r="I1956">
        <v>5</v>
      </c>
      <c r="J1956">
        <v>0</v>
      </c>
      <c r="K1956" s="6" t="str">
        <f t="shared" ref="K1956" si="986">"vs "&amp;E1957</f>
        <v>vs The Bridgeburners</v>
      </c>
      <c r="L1956" s="6" t="str">
        <f t="shared" ref="L1956" si="987">"vs "&amp;F1957</f>
        <v>vs Fanis</v>
      </c>
      <c r="M1956">
        <v>177</v>
      </c>
      <c r="N1956" s="1">
        <v>0.46</v>
      </c>
      <c r="O1956">
        <v>52</v>
      </c>
      <c r="P1956" s="1">
        <v>0.34899999999999998</v>
      </c>
      <c r="Q1956" s="1">
        <v>0.81699999999999995</v>
      </c>
      <c r="R1956">
        <v>509</v>
      </c>
      <c r="S1956">
        <v>24</v>
      </c>
      <c r="T1956">
        <v>99</v>
      </c>
      <c r="U1956">
        <v>128</v>
      </c>
      <c r="V1956">
        <v>23</v>
      </c>
      <c r="W1956">
        <v>21</v>
      </c>
      <c r="X1956">
        <v>48</v>
      </c>
      <c r="Y1956" s="5">
        <v>2.67</v>
      </c>
    </row>
    <row r="1957" spans="1:25" x14ac:dyDescent="0.25">
      <c r="A1957">
        <v>2023</v>
      </c>
      <c r="B1957" t="s">
        <v>57</v>
      </c>
      <c r="C1957">
        <v>4</v>
      </c>
      <c r="D1957">
        <v>48</v>
      </c>
      <c r="E1957" t="s">
        <v>16</v>
      </c>
      <c r="F1957" t="s">
        <v>51</v>
      </c>
      <c r="G1957">
        <f t="shared" si="917"/>
        <v>0</v>
      </c>
      <c r="H1957">
        <v>5</v>
      </c>
      <c r="I1957">
        <v>8</v>
      </c>
      <c r="J1957">
        <v>0</v>
      </c>
      <c r="K1957" s="6" t="str">
        <f t="shared" ref="K1957" si="988">"vs "&amp;E1956</f>
        <v>vs st.Helens Eruptions</v>
      </c>
      <c r="L1957" s="6" t="str">
        <f t="shared" ref="L1957" si="989">"vs "&amp;F1956</f>
        <v>vs Aris</v>
      </c>
      <c r="M1957">
        <v>175</v>
      </c>
      <c r="N1957" s="1">
        <v>0.44600000000000001</v>
      </c>
      <c r="O1957">
        <v>41</v>
      </c>
      <c r="P1957" s="1">
        <v>0.33900000000000002</v>
      </c>
      <c r="Q1957" s="1">
        <v>0.74399999999999999</v>
      </c>
      <c r="R1957">
        <v>481</v>
      </c>
      <c r="S1957">
        <v>44</v>
      </c>
      <c r="T1957">
        <v>139</v>
      </c>
      <c r="U1957">
        <v>103</v>
      </c>
      <c r="V1957">
        <v>37</v>
      </c>
      <c r="W1957">
        <v>30</v>
      </c>
      <c r="X1957">
        <v>47</v>
      </c>
      <c r="Y1957" s="5">
        <v>2.19</v>
      </c>
    </row>
    <row r="1958" spans="1:25" x14ac:dyDescent="0.25">
      <c r="A1958">
        <v>2023</v>
      </c>
      <c r="B1958" t="s">
        <v>57</v>
      </c>
      <c r="C1958">
        <v>4</v>
      </c>
      <c r="D1958">
        <v>49</v>
      </c>
      <c r="E1958" t="s">
        <v>98</v>
      </c>
      <c r="F1958" t="s">
        <v>41</v>
      </c>
      <c r="G1958">
        <f t="shared" si="917"/>
        <v>0</v>
      </c>
      <c r="H1958">
        <v>4</v>
      </c>
      <c r="I1958">
        <v>9</v>
      </c>
      <c r="J1958">
        <v>0</v>
      </c>
      <c r="K1958" s="6" t="str">
        <f t="shared" ref="K1958" si="990">"vs "&amp;E1959</f>
        <v>vs Guruuu 🐐🐐🐐</v>
      </c>
      <c r="L1958" s="6" t="str">
        <f t="shared" ref="L1958" si="991">"vs "&amp;F1959</f>
        <v>vs Guru</v>
      </c>
      <c r="M1958">
        <v>198</v>
      </c>
      <c r="N1958" s="1">
        <v>0.49299999999999999</v>
      </c>
      <c r="O1958">
        <v>51</v>
      </c>
      <c r="P1958" s="1">
        <v>0.38900000000000001</v>
      </c>
      <c r="Q1958" s="1">
        <v>0.747</v>
      </c>
      <c r="R1958">
        <v>506</v>
      </c>
      <c r="S1958">
        <v>33</v>
      </c>
      <c r="T1958">
        <v>167</v>
      </c>
      <c r="U1958">
        <v>143</v>
      </c>
      <c r="V1958">
        <v>32</v>
      </c>
      <c r="W1958">
        <v>29</v>
      </c>
      <c r="X1958">
        <v>62</v>
      </c>
      <c r="Y1958" s="5">
        <v>2.31</v>
      </c>
    </row>
    <row r="1959" spans="1:25" x14ac:dyDescent="0.25">
      <c r="A1959">
        <v>2023</v>
      </c>
      <c r="B1959" t="s">
        <v>57</v>
      </c>
      <c r="C1959">
        <v>4</v>
      </c>
      <c r="D1959">
        <v>49</v>
      </c>
      <c r="E1959" t="s">
        <v>93</v>
      </c>
      <c r="F1959" t="s">
        <v>189</v>
      </c>
      <c r="G1959">
        <f t="shared" si="917"/>
        <v>1</v>
      </c>
      <c r="H1959">
        <v>9</v>
      </c>
      <c r="I1959">
        <v>4</v>
      </c>
      <c r="J1959">
        <v>0</v>
      </c>
      <c r="K1959" s="6" t="str">
        <f t="shared" ref="K1959" si="992">"vs "&amp;E1958</f>
        <v>vs Xanthi Ducks 🦆</v>
      </c>
      <c r="L1959" s="6" t="str">
        <f t="shared" ref="L1959" si="993">"vs "&amp;F1958</f>
        <v>vs Kotakis</v>
      </c>
      <c r="M1959">
        <v>201</v>
      </c>
      <c r="N1959" s="1">
        <v>0.504</v>
      </c>
      <c r="O1959">
        <v>81</v>
      </c>
      <c r="P1959" s="1">
        <v>0.42399999999999999</v>
      </c>
      <c r="Q1959" s="1">
        <v>0.76300000000000001</v>
      </c>
      <c r="R1959">
        <v>570</v>
      </c>
      <c r="S1959">
        <v>26</v>
      </c>
      <c r="T1959">
        <v>153</v>
      </c>
      <c r="U1959">
        <v>165</v>
      </c>
      <c r="V1959">
        <v>34</v>
      </c>
      <c r="W1959">
        <v>17</v>
      </c>
      <c r="X1959">
        <v>63</v>
      </c>
      <c r="Y1959" s="5">
        <v>2.62</v>
      </c>
    </row>
    <row r="1960" spans="1:25" x14ac:dyDescent="0.25">
      <c r="A1960">
        <v>2023</v>
      </c>
      <c r="B1960" t="s">
        <v>57</v>
      </c>
      <c r="C1960">
        <v>4</v>
      </c>
      <c r="D1960">
        <v>50</v>
      </c>
      <c r="E1960" t="s">
        <v>99</v>
      </c>
      <c r="F1960" t="s">
        <v>45</v>
      </c>
      <c r="G1960">
        <f t="shared" si="917"/>
        <v>1</v>
      </c>
      <c r="H1960">
        <v>7</v>
      </c>
      <c r="I1960">
        <v>6</v>
      </c>
      <c r="J1960">
        <v>0</v>
      </c>
      <c r="K1960" s="6" t="str">
        <f t="shared" ref="K1960" si="994">"vs "&amp;E1961</f>
        <v>vs The Guns</v>
      </c>
      <c r="L1960" s="6" t="str">
        <f t="shared" ref="L1960" si="995">"vs "&amp;F1961</f>
        <v>vs Vasilis</v>
      </c>
      <c r="M1960">
        <v>195</v>
      </c>
      <c r="N1960" s="1">
        <v>0.55600000000000005</v>
      </c>
      <c r="O1960">
        <v>58</v>
      </c>
      <c r="P1960" s="1">
        <v>0.46</v>
      </c>
      <c r="Q1960" s="1">
        <v>0.74399999999999999</v>
      </c>
      <c r="R1960">
        <v>512</v>
      </c>
      <c r="S1960">
        <v>41</v>
      </c>
      <c r="T1960">
        <v>120</v>
      </c>
      <c r="U1960">
        <v>79</v>
      </c>
      <c r="V1960">
        <v>25</v>
      </c>
      <c r="W1960">
        <v>15</v>
      </c>
      <c r="X1960">
        <v>65</v>
      </c>
      <c r="Y1960" s="5">
        <v>1.22</v>
      </c>
    </row>
    <row r="1961" spans="1:25" x14ac:dyDescent="0.25">
      <c r="A1961">
        <v>2023</v>
      </c>
      <c r="B1961" t="s">
        <v>57</v>
      </c>
      <c r="C1961">
        <v>4</v>
      </c>
      <c r="D1961">
        <v>50</v>
      </c>
      <c r="E1961" t="s">
        <v>33</v>
      </c>
      <c r="F1961" t="s">
        <v>42</v>
      </c>
      <c r="G1961">
        <f t="shared" si="917"/>
        <v>0</v>
      </c>
      <c r="H1961">
        <v>6</v>
      </c>
      <c r="I1961">
        <v>7</v>
      </c>
      <c r="J1961">
        <v>0</v>
      </c>
      <c r="K1961" s="6" t="str">
        <f t="shared" ref="K1961" si="996">"vs "&amp;E1960</f>
        <v>vs Tsarlatans</v>
      </c>
      <c r="L1961" s="6" t="str">
        <f t="shared" ref="L1961" si="997">"vs "&amp;F1960</f>
        <v>vs Tzokos</v>
      </c>
      <c r="M1961">
        <v>168</v>
      </c>
      <c r="N1961" s="1">
        <v>0.496</v>
      </c>
      <c r="O1961">
        <v>35</v>
      </c>
      <c r="P1961" s="1">
        <v>0.34699999999999998</v>
      </c>
      <c r="Q1961" s="1">
        <v>0.79800000000000004</v>
      </c>
      <c r="R1961">
        <v>458</v>
      </c>
      <c r="S1961">
        <v>60</v>
      </c>
      <c r="T1961">
        <v>126</v>
      </c>
      <c r="U1961">
        <v>89</v>
      </c>
      <c r="V1961">
        <v>24</v>
      </c>
      <c r="W1961">
        <v>17</v>
      </c>
      <c r="X1961">
        <v>68</v>
      </c>
      <c r="Y1961" s="5">
        <v>1.31</v>
      </c>
    </row>
    <row r="1962" spans="1:25" x14ac:dyDescent="0.25">
      <c r="A1962">
        <v>2023</v>
      </c>
      <c r="B1962" t="s">
        <v>57</v>
      </c>
      <c r="C1962">
        <v>5</v>
      </c>
      <c r="D1962">
        <v>51</v>
      </c>
      <c r="E1962" t="s">
        <v>159</v>
      </c>
      <c r="F1962" t="s">
        <v>116</v>
      </c>
      <c r="G1962">
        <f t="shared" si="917"/>
        <v>1</v>
      </c>
      <c r="H1962">
        <v>7</v>
      </c>
      <c r="I1962">
        <v>6</v>
      </c>
      <c r="J1962">
        <v>0</v>
      </c>
      <c r="K1962" s="6" t="str">
        <f t="shared" ref="K1962" si="998">"vs "&amp;E1963</f>
        <v>vs Baltimore Hercules</v>
      </c>
      <c r="L1962" s="6" t="str">
        <f t="shared" ref="L1962" si="999">"vs "&amp;F1963</f>
        <v>vs Sarantos</v>
      </c>
      <c r="M1962">
        <v>154</v>
      </c>
      <c r="N1962" s="1">
        <v>0.45400000000000001</v>
      </c>
      <c r="O1962">
        <v>42</v>
      </c>
      <c r="P1962" s="1">
        <v>0.34100000000000003</v>
      </c>
      <c r="Q1962" s="1">
        <v>0.77900000000000003</v>
      </c>
      <c r="R1962">
        <v>403</v>
      </c>
      <c r="S1962">
        <v>26</v>
      </c>
      <c r="T1962">
        <v>127</v>
      </c>
      <c r="U1962">
        <v>70</v>
      </c>
      <c r="V1962">
        <v>15</v>
      </c>
      <c r="W1962">
        <v>18</v>
      </c>
      <c r="X1962">
        <v>52</v>
      </c>
      <c r="Y1962" s="5">
        <v>1.35</v>
      </c>
    </row>
    <row r="1963" spans="1:25" x14ac:dyDescent="0.25">
      <c r="A1963">
        <v>2023</v>
      </c>
      <c r="B1963" t="s">
        <v>57</v>
      </c>
      <c r="C1963">
        <v>5</v>
      </c>
      <c r="D1963">
        <v>51</v>
      </c>
      <c r="E1963" t="s">
        <v>95</v>
      </c>
      <c r="F1963" t="s">
        <v>101</v>
      </c>
      <c r="G1963">
        <f t="shared" si="917"/>
        <v>0</v>
      </c>
      <c r="H1963">
        <v>6</v>
      </c>
      <c r="I1963">
        <v>7</v>
      </c>
      <c r="J1963">
        <v>0</v>
      </c>
      <c r="K1963" s="6" t="str">
        <f t="shared" ref="K1963" si="1000">"vs "&amp;E1962</f>
        <v>vs purple fuzzy apache pirates</v>
      </c>
      <c r="L1963" s="6" t="str">
        <f t="shared" ref="L1963" si="1001">"vs "&amp;F1962</f>
        <v>vs pi/Sotiris</v>
      </c>
      <c r="M1963">
        <v>94</v>
      </c>
      <c r="N1963" s="1">
        <v>0.43099999999999999</v>
      </c>
      <c r="O1963">
        <v>44</v>
      </c>
      <c r="P1963" s="1">
        <v>0.35799999999999998</v>
      </c>
      <c r="Q1963" s="1">
        <v>0.78600000000000003</v>
      </c>
      <c r="R1963">
        <v>265</v>
      </c>
      <c r="S1963">
        <v>21</v>
      </c>
      <c r="T1963">
        <v>87</v>
      </c>
      <c r="U1963">
        <v>54</v>
      </c>
      <c r="V1963">
        <v>16</v>
      </c>
      <c r="W1963">
        <v>6</v>
      </c>
      <c r="X1963">
        <v>27</v>
      </c>
      <c r="Y1963" s="5">
        <v>2</v>
      </c>
    </row>
    <row r="1964" spans="1:25" x14ac:dyDescent="0.25">
      <c r="A1964">
        <v>2023</v>
      </c>
      <c r="B1964" t="s">
        <v>57</v>
      </c>
      <c r="C1964">
        <v>5</v>
      </c>
      <c r="D1964">
        <v>52</v>
      </c>
      <c r="E1964" t="s">
        <v>25</v>
      </c>
      <c r="F1964" t="s">
        <v>53</v>
      </c>
      <c r="G1964">
        <f t="shared" si="917"/>
        <v>1</v>
      </c>
      <c r="H1964">
        <v>10</v>
      </c>
      <c r="I1964">
        <v>3</v>
      </c>
      <c r="J1964">
        <v>0</v>
      </c>
      <c r="K1964" s="6" t="str">
        <f t="shared" ref="K1964" si="1002">"vs "&amp;E1965</f>
        <v>vs Fighting Thaddeus</v>
      </c>
      <c r="L1964" s="6" t="str">
        <f t="shared" ref="L1964" si="1003">"vs "&amp;F1965</f>
        <v>vs Stavros</v>
      </c>
      <c r="M1964">
        <v>168</v>
      </c>
      <c r="N1964" s="1">
        <v>0.38400000000000001</v>
      </c>
      <c r="O1964">
        <v>52</v>
      </c>
      <c r="P1964" s="1">
        <v>0.317</v>
      </c>
      <c r="Q1964" s="1">
        <v>0.77800000000000002</v>
      </c>
      <c r="R1964">
        <v>511</v>
      </c>
      <c r="S1964">
        <v>39</v>
      </c>
      <c r="T1964">
        <v>127</v>
      </c>
      <c r="U1964">
        <v>127</v>
      </c>
      <c r="V1964">
        <v>26</v>
      </c>
      <c r="W1964">
        <v>16</v>
      </c>
      <c r="X1964">
        <v>69</v>
      </c>
      <c r="Y1964" s="5">
        <v>1.84</v>
      </c>
    </row>
    <row r="1965" spans="1:25" x14ac:dyDescent="0.25">
      <c r="A1965">
        <v>2023</v>
      </c>
      <c r="B1965" t="s">
        <v>57</v>
      </c>
      <c r="C1965">
        <v>5</v>
      </c>
      <c r="D1965">
        <v>52</v>
      </c>
      <c r="E1965" t="s">
        <v>94</v>
      </c>
      <c r="F1965" t="s">
        <v>40</v>
      </c>
      <c r="G1965">
        <f t="shared" si="917"/>
        <v>0</v>
      </c>
      <c r="H1965">
        <v>3</v>
      </c>
      <c r="I1965">
        <v>10</v>
      </c>
      <c r="J1965">
        <v>0</v>
      </c>
      <c r="K1965" s="6" t="str">
        <f t="shared" ref="K1965" si="1004">"vs "&amp;E1964</f>
        <v>vs The Rookies</v>
      </c>
      <c r="L1965" s="6" t="str">
        <f t="shared" ref="L1965" si="1005">"vs "&amp;F1964</f>
        <v>vs Kousidis</v>
      </c>
      <c r="M1965">
        <v>108</v>
      </c>
      <c r="N1965" s="1">
        <v>0.4</v>
      </c>
      <c r="O1965">
        <v>32</v>
      </c>
      <c r="P1965" s="1">
        <v>0.252</v>
      </c>
      <c r="Q1965" s="1">
        <v>0.83899999999999997</v>
      </c>
      <c r="R1965">
        <v>295</v>
      </c>
      <c r="S1965">
        <v>26</v>
      </c>
      <c r="T1965">
        <v>86</v>
      </c>
      <c r="U1965">
        <v>84</v>
      </c>
      <c r="V1965">
        <v>23</v>
      </c>
      <c r="W1965">
        <v>9</v>
      </c>
      <c r="X1965">
        <v>50</v>
      </c>
      <c r="Y1965" s="5">
        <v>1.68</v>
      </c>
    </row>
    <row r="1966" spans="1:25" x14ac:dyDescent="0.25">
      <c r="A1966">
        <v>2023</v>
      </c>
      <c r="B1966" t="s">
        <v>57</v>
      </c>
      <c r="C1966">
        <v>5</v>
      </c>
      <c r="D1966">
        <v>53</v>
      </c>
      <c r="E1966" t="s">
        <v>16</v>
      </c>
      <c r="F1966" t="s">
        <v>51</v>
      </c>
      <c r="G1966">
        <f t="shared" si="917"/>
        <v>1</v>
      </c>
      <c r="H1966">
        <v>9</v>
      </c>
      <c r="I1966">
        <v>3</v>
      </c>
      <c r="J1966">
        <v>1</v>
      </c>
      <c r="K1966" s="6" t="str">
        <f t="shared" ref="K1966" si="1006">"vs "&amp;E1967</f>
        <v>vs The Bad Boys</v>
      </c>
      <c r="L1966" s="6" t="str">
        <f t="shared" ref="L1966" si="1007">"vs "&amp;F1967</f>
        <v>vs Arvanitis</v>
      </c>
      <c r="M1966">
        <v>160</v>
      </c>
      <c r="N1966" s="1">
        <v>0.47799999999999998</v>
      </c>
      <c r="O1966">
        <v>61</v>
      </c>
      <c r="P1966" s="1">
        <v>0.45200000000000001</v>
      </c>
      <c r="Q1966" s="1">
        <v>0.83499999999999996</v>
      </c>
      <c r="R1966">
        <v>457</v>
      </c>
      <c r="S1966">
        <v>27</v>
      </c>
      <c r="T1966">
        <v>103</v>
      </c>
      <c r="U1966">
        <v>132</v>
      </c>
      <c r="V1966">
        <v>30</v>
      </c>
      <c r="W1966">
        <v>17</v>
      </c>
      <c r="X1966">
        <v>49</v>
      </c>
      <c r="Y1966" s="5">
        <v>2.69</v>
      </c>
    </row>
    <row r="1967" spans="1:25" x14ac:dyDescent="0.25">
      <c r="A1967">
        <v>2023</v>
      </c>
      <c r="B1967" t="s">
        <v>57</v>
      </c>
      <c r="C1967">
        <v>5</v>
      </c>
      <c r="D1967">
        <v>53</v>
      </c>
      <c r="E1967" t="s">
        <v>154</v>
      </c>
      <c r="F1967" t="s">
        <v>155</v>
      </c>
      <c r="G1967">
        <f t="shared" si="917"/>
        <v>0</v>
      </c>
      <c r="H1967">
        <v>3</v>
      </c>
      <c r="I1967">
        <v>9</v>
      </c>
      <c r="J1967">
        <v>1</v>
      </c>
      <c r="K1967" s="6" t="str">
        <f t="shared" ref="K1967" si="1008">"vs "&amp;E1966</f>
        <v>vs The Bridgeburners</v>
      </c>
      <c r="L1967" s="6" t="str">
        <f t="shared" ref="L1967" si="1009">"vs "&amp;F1966</f>
        <v>vs Fanis</v>
      </c>
      <c r="M1967">
        <v>122</v>
      </c>
      <c r="N1967" s="1">
        <v>0.45500000000000002</v>
      </c>
      <c r="O1967">
        <v>29</v>
      </c>
      <c r="P1967" s="1">
        <v>0.30499999999999999</v>
      </c>
      <c r="Q1967" s="1">
        <v>0.74</v>
      </c>
      <c r="R1967">
        <v>310</v>
      </c>
      <c r="S1967">
        <v>45</v>
      </c>
      <c r="T1967">
        <v>82</v>
      </c>
      <c r="U1967">
        <v>35</v>
      </c>
      <c r="V1967">
        <v>31</v>
      </c>
      <c r="W1967">
        <v>17</v>
      </c>
      <c r="X1967">
        <v>27</v>
      </c>
      <c r="Y1967" s="5">
        <v>1.3</v>
      </c>
    </row>
    <row r="1968" spans="1:25" x14ac:dyDescent="0.25">
      <c r="A1968">
        <v>2023</v>
      </c>
      <c r="B1968" t="s">
        <v>57</v>
      </c>
      <c r="C1968">
        <v>5</v>
      </c>
      <c r="D1968">
        <v>54</v>
      </c>
      <c r="E1968" t="s">
        <v>96</v>
      </c>
      <c r="F1968" t="s">
        <v>102</v>
      </c>
      <c r="G1968">
        <f t="shared" si="917"/>
        <v>0</v>
      </c>
      <c r="H1968">
        <v>4</v>
      </c>
      <c r="I1968">
        <v>9</v>
      </c>
      <c r="J1968">
        <v>0</v>
      </c>
      <c r="K1968" s="6" t="str">
        <f t="shared" ref="K1968" si="1010">"vs "&amp;E1969</f>
        <v>vs st.Helens Eruptions</v>
      </c>
      <c r="L1968" s="6" t="str">
        <f t="shared" ref="L1968" si="1011">"vs "&amp;F1969</f>
        <v>vs Aris</v>
      </c>
      <c r="M1968">
        <v>151</v>
      </c>
      <c r="N1968" s="1">
        <v>0.52600000000000002</v>
      </c>
      <c r="O1968">
        <v>40</v>
      </c>
      <c r="P1968" s="1">
        <v>0.39200000000000002</v>
      </c>
      <c r="Q1968" s="1">
        <v>0.63800000000000001</v>
      </c>
      <c r="R1968">
        <v>379</v>
      </c>
      <c r="S1968">
        <v>36</v>
      </c>
      <c r="T1968">
        <v>113</v>
      </c>
      <c r="U1968">
        <v>64</v>
      </c>
      <c r="V1968">
        <v>17</v>
      </c>
      <c r="W1968">
        <v>11</v>
      </c>
      <c r="X1968">
        <v>42</v>
      </c>
      <c r="Y1968" s="5">
        <v>1.52</v>
      </c>
    </row>
    <row r="1969" spans="1:25" x14ac:dyDescent="0.25">
      <c r="A1969">
        <v>2023</v>
      </c>
      <c r="B1969" t="s">
        <v>57</v>
      </c>
      <c r="C1969">
        <v>5</v>
      </c>
      <c r="D1969">
        <v>54</v>
      </c>
      <c r="E1969" t="s">
        <v>21</v>
      </c>
      <c r="F1969" t="s">
        <v>50</v>
      </c>
      <c r="G1969">
        <f t="shared" si="917"/>
        <v>1</v>
      </c>
      <c r="H1969">
        <v>9</v>
      </c>
      <c r="I1969">
        <v>4</v>
      </c>
      <c r="J1969">
        <v>0</v>
      </c>
      <c r="K1969" s="6" t="str">
        <f t="shared" ref="K1969" si="1012">"vs "&amp;E1968</f>
        <v>vs Knights of Ni</v>
      </c>
      <c r="L1969" s="6" t="str">
        <f t="shared" ref="L1969" si="1013">"vs "&amp;F1968</f>
        <v>vs Tolios</v>
      </c>
      <c r="M1969">
        <v>137</v>
      </c>
      <c r="N1969" s="1">
        <v>0.49099999999999999</v>
      </c>
      <c r="O1969">
        <v>48</v>
      </c>
      <c r="P1969" s="1">
        <v>0.40699999999999997</v>
      </c>
      <c r="Q1969" s="1">
        <v>0.85399999999999998</v>
      </c>
      <c r="R1969">
        <v>398</v>
      </c>
      <c r="S1969">
        <v>20</v>
      </c>
      <c r="T1969">
        <v>92</v>
      </c>
      <c r="U1969">
        <v>90</v>
      </c>
      <c r="V1969">
        <v>24</v>
      </c>
      <c r="W1969">
        <v>15</v>
      </c>
      <c r="X1969">
        <v>34</v>
      </c>
      <c r="Y1969" s="5">
        <v>2.65</v>
      </c>
    </row>
    <row r="1970" spans="1:25" x14ac:dyDescent="0.25">
      <c r="A1970">
        <v>2023</v>
      </c>
      <c r="B1970" t="s">
        <v>57</v>
      </c>
      <c r="C1970">
        <v>5</v>
      </c>
      <c r="D1970">
        <v>55</v>
      </c>
      <c r="E1970" t="s">
        <v>28</v>
      </c>
      <c r="F1970" t="s">
        <v>46</v>
      </c>
      <c r="G1970">
        <f t="shared" si="917"/>
        <v>0</v>
      </c>
      <c r="H1970">
        <v>3</v>
      </c>
      <c r="I1970">
        <v>10</v>
      </c>
      <c r="J1970">
        <v>0</v>
      </c>
      <c r="K1970" s="6" t="str">
        <f t="shared" ref="K1970" si="1014">"vs "&amp;E1971</f>
        <v>vs Xanthi Ducks 🦆</v>
      </c>
      <c r="L1970" s="6" t="str">
        <f t="shared" ref="L1970" si="1015">"vs "&amp;F1971</f>
        <v>vs Kotakis</v>
      </c>
      <c r="M1970">
        <v>196</v>
      </c>
      <c r="N1970" s="1">
        <v>0.47499999999999998</v>
      </c>
      <c r="O1970">
        <v>46</v>
      </c>
      <c r="P1970" s="1">
        <v>0.32400000000000001</v>
      </c>
      <c r="Q1970" s="1">
        <v>0.76400000000000001</v>
      </c>
      <c r="R1970">
        <v>545</v>
      </c>
      <c r="S1970">
        <v>41</v>
      </c>
      <c r="T1970">
        <v>119</v>
      </c>
      <c r="U1970">
        <v>95</v>
      </c>
      <c r="V1970">
        <v>19</v>
      </c>
      <c r="W1970">
        <v>16</v>
      </c>
      <c r="X1970">
        <v>75</v>
      </c>
      <c r="Y1970" s="5">
        <v>1.27</v>
      </c>
    </row>
    <row r="1971" spans="1:25" x14ac:dyDescent="0.25">
      <c r="A1971">
        <v>2023</v>
      </c>
      <c r="B1971" t="s">
        <v>57</v>
      </c>
      <c r="C1971">
        <v>5</v>
      </c>
      <c r="D1971">
        <v>55</v>
      </c>
      <c r="E1971" t="s">
        <v>98</v>
      </c>
      <c r="F1971" t="s">
        <v>41</v>
      </c>
      <c r="G1971">
        <f t="shared" si="917"/>
        <v>1</v>
      </c>
      <c r="H1971">
        <v>10</v>
      </c>
      <c r="I1971">
        <v>3</v>
      </c>
      <c r="J1971">
        <v>0</v>
      </c>
      <c r="K1971" s="6" t="str">
        <f t="shared" ref="K1971" si="1016">"vs "&amp;E1970</f>
        <v>vs Steven Adams' Moustache</v>
      </c>
      <c r="L1971" s="6" t="str">
        <f t="shared" ref="L1971" si="1017">"vs "&amp;F1970</f>
        <v>vs Johnny</v>
      </c>
      <c r="M1971">
        <v>168</v>
      </c>
      <c r="N1971" s="1">
        <v>0.51400000000000001</v>
      </c>
      <c r="O1971">
        <v>49</v>
      </c>
      <c r="P1971" s="1">
        <v>0.41899999999999998</v>
      </c>
      <c r="Q1971" s="1">
        <v>0.82799999999999996</v>
      </c>
      <c r="R1971">
        <v>462</v>
      </c>
      <c r="S1971">
        <v>35</v>
      </c>
      <c r="T1971">
        <v>157</v>
      </c>
      <c r="U1971">
        <v>126</v>
      </c>
      <c r="V1971">
        <v>24</v>
      </c>
      <c r="W1971">
        <v>28</v>
      </c>
      <c r="X1971">
        <v>54</v>
      </c>
      <c r="Y1971" s="5">
        <v>2.33</v>
      </c>
    </row>
    <row r="1972" spans="1:25" x14ac:dyDescent="0.25">
      <c r="A1972">
        <v>2023</v>
      </c>
      <c r="B1972" t="s">
        <v>57</v>
      </c>
      <c r="C1972">
        <v>5</v>
      </c>
      <c r="D1972">
        <v>56</v>
      </c>
      <c r="E1972" t="s">
        <v>15</v>
      </c>
      <c r="F1972" t="s">
        <v>48</v>
      </c>
      <c r="G1972">
        <f t="shared" si="917"/>
        <v>0</v>
      </c>
      <c r="H1972">
        <v>6</v>
      </c>
      <c r="I1972">
        <v>7</v>
      </c>
      <c r="J1972">
        <v>0</v>
      </c>
      <c r="K1972" s="6" t="str">
        <f t="shared" ref="K1972" si="1018">"vs "&amp;E1973</f>
        <v>vs LRBP PR3DATORS</v>
      </c>
      <c r="L1972" s="6" t="str">
        <f t="shared" ref="L1972" si="1019">"vs "&amp;F1973</f>
        <v>vs Lafa</v>
      </c>
      <c r="M1972">
        <v>159</v>
      </c>
      <c r="N1972" s="1">
        <v>0.43099999999999999</v>
      </c>
      <c r="O1972">
        <v>54</v>
      </c>
      <c r="P1972" s="1">
        <v>0.36699999999999999</v>
      </c>
      <c r="Q1972" s="1">
        <v>0.84599999999999997</v>
      </c>
      <c r="R1972">
        <v>438</v>
      </c>
      <c r="S1972">
        <v>21</v>
      </c>
      <c r="T1972">
        <v>115</v>
      </c>
      <c r="U1972">
        <v>117</v>
      </c>
      <c r="V1972">
        <v>25</v>
      </c>
      <c r="W1972">
        <v>12</v>
      </c>
      <c r="X1972">
        <v>65</v>
      </c>
      <c r="Y1972" s="5">
        <v>1.8</v>
      </c>
    </row>
    <row r="1973" spans="1:25" x14ac:dyDescent="0.25">
      <c r="A1973">
        <v>2023</v>
      </c>
      <c r="B1973" t="s">
        <v>57</v>
      </c>
      <c r="C1973">
        <v>5</v>
      </c>
      <c r="D1973">
        <v>56</v>
      </c>
      <c r="E1973" t="s">
        <v>158</v>
      </c>
      <c r="F1973" t="s">
        <v>177</v>
      </c>
      <c r="G1973">
        <f t="shared" si="917"/>
        <v>1</v>
      </c>
      <c r="H1973">
        <v>7</v>
      </c>
      <c r="I1973">
        <v>6</v>
      </c>
      <c r="J1973">
        <v>0</v>
      </c>
      <c r="K1973" s="6" t="str">
        <f t="shared" ref="K1973" si="1020">"vs "&amp;E1972</f>
        <v>vs Salonika Devils</v>
      </c>
      <c r="L1973" s="6" t="str">
        <f t="shared" ref="L1973" si="1021">"vs "&amp;F1972</f>
        <v>vs Fountos</v>
      </c>
      <c r="M1973">
        <v>155</v>
      </c>
      <c r="N1973" s="1">
        <v>0.48699999999999999</v>
      </c>
      <c r="O1973">
        <v>25</v>
      </c>
      <c r="P1973" s="1">
        <v>0.316</v>
      </c>
      <c r="Q1973" s="1">
        <v>0.74299999999999999</v>
      </c>
      <c r="R1973">
        <v>468</v>
      </c>
      <c r="S1973">
        <v>38</v>
      </c>
      <c r="T1973">
        <v>190</v>
      </c>
      <c r="U1973">
        <v>126</v>
      </c>
      <c r="V1973">
        <v>35</v>
      </c>
      <c r="W1973">
        <v>11</v>
      </c>
      <c r="X1973">
        <v>66</v>
      </c>
      <c r="Y1973" s="5">
        <v>1.91</v>
      </c>
    </row>
    <row r="1974" spans="1:25" x14ac:dyDescent="0.25">
      <c r="A1974">
        <v>2023</v>
      </c>
      <c r="B1974" t="s">
        <v>57</v>
      </c>
      <c r="C1974">
        <v>5</v>
      </c>
      <c r="D1974">
        <v>57</v>
      </c>
      <c r="E1974" t="s">
        <v>181</v>
      </c>
      <c r="F1974" t="s">
        <v>49</v>
      </c>
      <c r="G1974">
        <f t="shared" si="917"/>
        <v>0</v>
      </c>
      <c r="H1974">
        <v>5</v>
      </c>
      <c r="I1974">
        <v>8</v>
      </c>
      <c r="J1974">
        <v>0</v>
      </c>
      <c r="K1974" s="6" t="str">
        <f t="shared" ref="K1974" si="1022">"vs "&amp;E1975</f>
        <v>vs Karafli SaiTa</v>
      </c>
      <c r="L1974" s="6" t="str">
        <f t="shared" ref="L1974" si="1023">"vs "&amp;F1975</f>
        <v>vs Tassos</v>
      </c>
      <c r="M1974">
        <v>144</v>
      </c>
      <c r="N1974" s="1">
        <v>0.439</v>
      </c>
      <c r="O1974">
        <v>50</v>
      </c>
      <c r="P1974" s="1">
        <v>0.37</v>
      </c>
      <c r="Q1974" s="1">
        <v>0.78300000000000003</v>
      </c>
      <c r="R1974">
        <v>392</v>
      </c>
      <c r="S1974">
        <v>30</v>
      </c>
      <c r="T1974">
        <v>99</v>
      </c>
      <c r="U1974">
        <v>91</v>
      </c>
      <c r="V1974">
        <v>15</v>
      </c>
      <c r="W1974">
        <v>25</v>
      </c>
      <c r="X1974">
        <v>46</v>
      </c>
      <c r="Y1974" s="5">
        <v>1.98</v>
      </c>
    </row>
    <row r="1975" spans="1:25" x14ac:dyDescent="0.25">
      <c r="A1975">
        <v>2023</v>
      </c>
      <c r="B1975" t="s">
        <v>57</v>
      </c>
      <c r="C1975">
        <v>5</v>
      </c>
      <c r="D1975">
        <v>57</v>
      </c>
      <c r="E1975" t="s">
        <v>190</v>
      </c>
      <c r="F1975" t="s">
        <v>103</v>
      </c>
      <c r="G1975">
        <f t="shared" si="917"/>
        <v>1</v>
      </c>
      <c r="H1975">
        <v>8</v>
      </c>
      <c r="I1975">
        <v>5</v>
      </c>
      <c r="J1975">
        <v>0</v>
      </c>
      <c r="K1975" s="6" t="str">
        <f t="shared" ref="K1975" si="1024">"vs "&amp;E1974</f>
        <v>vs Samarina Dudenbros</v>
      </c>
      <c r="L1975" s="6" t="str">
        <f t="shared" ref="L1975" si="1025">"vs "&amp;F1974</f>
        <v>vs Sakellariou</v>
      </c>
      <c r="M1975">
        <v>185</v>
      </c>
      <c r="N1975" s="1">
        <v>0.501</v>
      </c>
      <c r="O1975">
        <v>49</v>
      </c>
      <c r="P1975" s="1">
        <v>0.36799999999999999</v>
      </c>
      <c r="Q1975" s="1">
        <v>0.84799999999999998</v>
      </c>
      <c r="R1975">
        <v>503</v>
      </c>
      <c r="S1975">
        <v>32</v>
      </c>
      <c r="T1975">
        <v>131</v>
      </c>
      <c r="U1975">
        <v>123</v>
      </c>
      <c r="V1975">
        <v>27</v>
      </c>
      <c r="W1975">
        <v>18</v>
      </c>
      <c r="X1975">
        <v>63</v>
      </c>
      <c r="Y1975" s="5">
        <v>1.95</v>
      </c>
    </row>
    <row r="1976" spans="1:25" x14ac:dyDescent="0.25">
      <c r="A1976">
        <v>2023</v>
      </c>
      <c r="B1976" t="s">
        <v>57</v>
      </c>
      <c r="C1976">
        <v>5</v>
      </c>
      <c r="D1976">
        <v>58</v>
      </c>
      <c r="E1976" t="s">
        <v>93</v>
      </c>
      <c r="F1976" t="s">
        <v>189</v>
      </c>
      <c r="G1976">
        <f t="shared" si="917"/>
        <v>1</v>
      </c>
      <c r="H1976">
        <v>11</v>
      </c>
      <c r="I1976">
        <v>2</v>
      </c>
      <c r="J1976">
        <v>0</v>
      </c>
      <c r="K1976" s="6" t="str">
        <f t="shared" ref="K1976" si="1026">"vs "&amp;E1977</f>
        <v>vs Tsarlatans</v>
      </c>
      <c r="L1976" s="6" t="str">
        <f t="shared" ref="L1976" si="1027">"vs "&amp;F1977</f>
        <v>vs Tzokos</v>
      </c>
      <c r="M1976">
        <v>188</v>
      </c>
      <c r="N1976" s="1">
        <v>0.46200000000000002</v>
      </c>
      <c r="O1976">
        <v>66</v>
      </c>
      <c r="P1976" s="1">
        <v>0.35299999999999998</v>
      </c>
      <c r="Q1976" s="1">
        <v>0.86699999999999999</v>
      </c>
      <c r="R1976">
        <v>540</v>
      </c>
      <c r="S1976">
        <v>35</v>
      </c>
      <c r="T1976">
        <v>135</v>
      </c>
      <c r="U1976">
        <v>125</v>
      </c>
      <c r="V1976">
        <v>26</v>
      </c>
      <c r="W1976">
        <v>23</v>
      </c>
      <c r="X1976">
        <v>65</v>
      </c>
      <c r="Y1976" s="5">
        <v>1.92</v>
      </c>
    </row>
    <row r="1977" spans="1:25" x14ac:dyDescent="0.25">
      <c r="A1977">
        <v>2023</v>
      </c>
      <c r="B1977" t="s">
        <v>57</v>
      </c>
      <c r="C1977">
        <v>5</v>
      </c>
      <c r="D1977">
        <v>58</v>
      </c>
      <c r="E1977" t="s">
        <v>99</v>
      </c>
      <c r="F1977" t="s">
        <v>45</v>
      </c>
      <c r="G1977">
        <f t="shared" si="917"/>
        <v>0</v>
      </c>
      <c r="H1977">
        <v>2</v>
      </c>
      <c r="I1977">
        <v>11</v>
      </c>
      <c r="J1977">
        <v>0</v>
      </c>
      <c r="K1977" s="6" t="str">
        <f t="shared" ref="K1977" si="1028">"vs "&amp;E1976</f>
        <v>vs Guruuu 🐐🐐🐐</v>
      </c>
      <c r="L1977" s="6" t="str">
        <f t="shared" ref="L1977" si="1029">"vs "&amp;F1976</f>
        <v>vs Guru</v>
      </c>
      <c r="M1977">
        <v>133</v>
      </c>
      <c r="N1977" s="1">
        <v>0.44800000000000001</v>
      </c>
      <c r="O1977">
        <v>31</v>
      </c>
      <c r="P1977" s="1">
        <v>0.30399999999999999</v>
      </c>
      <c r="Q1977" s="1">
        <v>0.81100000000000005</v>
      </c>
      <c r="R1977">
        <v>383</v>
      </c>
      <c r="S1977">
        <v>38</v>
      </c>
      <c r="T1977">
        <v>97</v>
      </c>
      <c r="U1977">
        <v>90</v>
      </c>
      <c r="V1977">
        <v>24</v>
      </c>
      <c r="W1977">
        <v>11</v>
      </c>
      <c r="X1977">
        <v>47</v>
      </c>
      <c r="Y1977" s="5">
        <v>1.91</v>
      </c>
    </row>
    <row r="1978" spans="1:25" x14ac:dyDescent="0.25">
      <c r="A1978">
        <v>2023</v>
      </c>
      <c r="B1978" t="s">
        <v>57</v>
      </c>
      <c r="C1978">
        <v>5</v>
      </c>
      <c r="D1978">
        <v>59</v>
      </c>
      <c r="E1978" t="s">
        <v>17</v>
      </c>
      <c r="F1978" t="s">
        <v>43</v>
      </c>
      <c r="G1978">
        <f t="shared" si="917"/>
        <v>0</v>
      </c>
      <c r="H1978">
        <v>5</v>
      </c>
      <c r="I1978">
        <v>8</v>
      </c>
      <c r="J1978">
        <v>0</v>
      </c>
      <c r="K1978" s="6" t="str">
        <f t="shared" ref="K1978" si="1030">"vs "&amp;E1979</f>
        <v>vs Kourayo Vallecano</v>
      </c>
      <c r="L1978" s="6" t="str">
        <f t="shared" ref="L1978" si="1031">"vs "&amp;F1979</f>
        <v>vs Ziogas/Christof</v>
      </c>
      <c r="M1978">
        <v>130</v>
      </c>
      <c r="N1978" s="1">
        <v>0.40799999999999997</v>
      </c>
      <c r="O1978">
        <v>30</v>
      </c>
      <c r="P1978" s="1">
        <v>0.25900000000000001</v>
      </c>
      <c r="Q1978" s="1">
        <v>0.86699999999999999</v>
      </c>
      <c r="R1978">
        <v>362</v>
      </c>
      <c r="S1978">
        <v>28</v>
      </c>
      <c r="T1978">
        <v>98</v>
      </c>
      <c r="U1978">
        <v>82</v>
      </c>
      <c r="V1978">
        <v>18</v>
      </c>
      <c r="W1978">
        <v>8</v>
      </c>
      <c r="X1978">
        <v>39</v>
      </c>
      <c r="Y1978" s="5">
        <v>2.1</v>
      </c>
    </row>
    <row r="1979" spans="1:25" x14ac:dyDescent="0.25">
      <c r="A1979">
        <v>2023</v>
      </c>
      <c r="B1979" t="s">
        <v>57</v>
      </c>
      <c r="C1979">
        <v>5</v>
      </c>
      <c r="D1979">
        <v>59</v>
      </c>
      <c r="E1979" t="s">
        <v>26</v>
      </c>
      <c r="F1979" t="s">
        <v>118</v>
      </c>
      <c r="G1979">
        <f t="shared" si="917"/>
        <v>1</v>
      </c>
      <c r="H1979">
        <v>8</v>
      </c>
      <c r="I1979">
        <v>5</v>
      </c>
      <c r="J1979">
        <v>0</v>
      </c>
      <c r="K1979" s="6" t="str">
        <f t="shared" ref="K1979" si="1032">"vs "&amp;E1978</f>
        <v>vs Donkey Rolls</v>
      </c>
      <c r="L1979" s="6" t="str">
        <f t="shared" ref="L1979" si="1033">"vs "&amp;F1978</f>
        <v>vs Markos</v>
      </c>
      <c r="M1979">
        <v>127</v>
      </c>
      <c r="N1979" s="1">
        <v>0.46700000000000003</v>
      </c>
      <c r="O1979">
        <v>50</v>
      </c>
      <c r="P1979" s="1">
        <v>0.379</v>
      </c>
      <c r="Q1979" s="1">
        <v>0.76300000000000001</v>
      </c>
      <c r="R1979">
        <v>349</v>
      </c>
      <c r="S1979">
        <v>31</v>
      </c>
      <c r="T1979">
        <v>113</v>
      </c>
      <c r="U1979">
        <v>101</v>
      </c>
      <c r="V1979">
        <v>21</v>
      </c>
      <c r="W1979">
        <v>16</v>
      </c>
      <c r="X1979">
        <v>49</v>
      </c>
      <c r="Y1979" s="5">
        <v>2.06</v>
      </c>
    </row>
    <row r="1980" spans="1:25" x14ac:dyDescent="0.25">
      <c r="A1980">
        <v>2023</v>
      </c>
      <c r="B1980" t="s">
        <v>57</v>
      </c>
      <c r="C1980">
        <v>5</v>
      </c>
      <c r="D1980">
        <v>60</v>
      </c>
      <c r="E1980" t="s">
        <v>33</v>
      </c>
      <c r="F1980" t="s">
        <v>42</v>
      </c>
      <c r="G1980">
        <f t="shared" si="917"/>
        <v>0</v>
      </c>
      <c r="H1980">
        <v>1</v>
      </c>
      <c r="I1980">
        <v>12</v>
      </c>
      <c r="J1980">
        <v>0</v>
      </c>
      <c r="K1980" s="6" t="str">
        <f t="shared" ref="K1980" si="1034">"vs "&amp;E1981</f>
        <v>vs Pachiana NinjaBees</v>
      </c>
      <c r="L1980" s="6" t="str">
        <f t="shared" ref="L1980" si="1035">"vs "&amp;F1981</f>
        <v>vs Spiridaus/Oladipas</v>
      </c>
      <c r="M1980">
        <v>131</v>
      </c>
      <c r="N1980" s="1">
        <v>0.441</v>
      </c>
      <c r="O1980">
        <v>40</v>
      </c>
      <c r="P1980" s="1">
        <v>0.36699999999999999</v>
      </c>
      <c r="Q1980" s="1">
        <v>0.79700000000000004</v>
      </c>
      <c r="R1980">
        <v>357</v>
      </c>
      <c r="S1980">
        <v>25</v>
      </c>
      <c r="T1980">
        <v>104</v>
      </c>
      <c r="U1980">
        <v>85</v>
      </c>
      <c r="V1980">
        <v>26</v>
      </c>
      <c r="W1980">
        <v>16</v>
      </c>
      <c r="X1980">
        <v>62</v>
      </c>
      <c r="Y1980" s="5">
        <v>1.37</v>
      </c>
    </row>
    <row r="1981" spans="1:25" x14ac:dyDescent="0.25">
      <c r="A1981">
        <v>2023</v>
      </c>
      <c r="B1981" t="s">
        <v>57</v>
      </c>
      <c r="C1981">
        <v>5</v>
      </c>
      <c r="D1981">
        <v>60</v>
      </c>
      <c r="E1981" t="s">
        <v>23</v>
      </c>
      <c r="F1981" t="s">
        <v>120</v>
      </c>
      <c r="G1981">
        <f t="shared" si="917"/>
        <v>1</v>
      </c>
      <c r="H1981">
        <v>12</v>
      </c>
      <c r="I1981">
        <v>1</v>
      </c>
      <c r="J1981">
        <v>0</v>
      </c>
      <c r="K1981" s="6" t="str">
        <f t="shared" ref="K1981" si="1036">"vs "&amp;E1980</f>
        <v>vs The Guns</v>
      </c>
      <c r="L1981" s="6" t="str">
        <f t="shared" ref="L1981" si="1037">"vs "&amp;F1980</f>
        <v>vs Vasilis</v>
      </c>
      <c r="M1981">
        <v>189</v>
      </c>
      <c r="N1981" s="1">
        <v>0.54300000000000004</v>
      </c>
      <c r="O1981">
        <v>42</v>
      </c>
      <c r="P1981" s="1">
        <v>0.38200000000000001</v>
      </c>
      <c r="Q1981" s="1">
        <v>0.8</v>
      </c>
      <c r="R1981">
        <v>488</v>
      </c>
      <c r="S1981">
        <v>65</v>
      </c>
      <c r="T1981">
        <v>137</v>
      </c>
      <c r="U1981">
        <v>116</v>
      </c>
      <c r="V1981">
        <v>27</v>
      </c>
      <c r="W1981">
        <v>22</v>
      </c>
      <c r="X1981">
        <v>69</v>
      </c>
      <c r="Y1981" s="5">
        <v>1.68</v>
      </c>
    </row>
    <row r="1982" spans="1:25" x14ac:dyDescent="0.25">
      <c r="A1982">
        <v>2023</v>
      </c>
      <c r="B1982" t="s">
        <v>57</v>
      </c>
      <c r="C1982">
        <v>6</v>
      </c>
      <c r="D1982">
        <v>61</v>
      </c>
      <c r="E1982" t="s">
        <v>158</v>
      </c>
      <c r="F1982" t="s">
        <v>177</v>
      </c>
      <c r="G1982">
        <f t="shared" si="917"/>
        <v>1</v>
      </c>
      <c r="H1982">
        <v>8</v>
      </c>
      <c r="I1982">
        <v>5</v>
      </c>
      <c r="J1982">
        <v>0</v>
      </c>
      <c r="K1982" s="6" t="str">
        <f t="shared" ref="K1982" si="1038">"vs "&amp;E1983</f>
        <v>vs Baltimore Hercules</v>
      </c>
      <c r="L1982" s="6" t="str">
        <f t="shared" ref="L1982" si="1039">"vs "&amp;F1983</f>
        <v>vs Sarantos</v>
      </c>
      <c r="M1982">
        <v>208</v>
      </c>
      <c r="N1982" s="1">
        <v>0.57299999999999995</v>
      </c>
      <c r="O1982">
        <v>35</v>
      </c>
      <c r="P1982" s="1">
        <v>0.438</v>
      </c>
      <c r="Q1982" s="1">
        <v>0.70799999999999996</v>
      </c>
      <c r="R1982">
        <v>560</v>
      </c>
      <c r="S1982">
        <v>54</v>
      </c>
      <c r="T1982">
        <v>173</v>
      </c>
      <c r="U1982">
        <v>120</v>
      </c>
      <c r="V1982">
        <v>23</v>
      </c>
      <c r="W1982">
        <v>21</v>
      </c>
      <c r="X1982">
        <v>82</v>
      </c>
      <c r="Y1982" s="5">
        <v>1.46</v>
      </c>
    </row>
    <row r="1983" spans="1:25" x14ac:dyDescent="0.25">
      <c r="A1983">
        <v>2023</v>
      </c>
      <c r="B1983" t="s">
        <v>57</v>
      </c>
      <c r="C1983">
        <v>6</v>
      </c>
      <c r="D1983">
        <v>61</v>
      </c>
      <c r="E1983" t="s">
        <v>95</v>
      </c>
      <c r="F1983" t="s">
        <v>101</v>
      </c>
      <c r="G1983">
        <f t="shared" si="917"/>
        <v>0</v>
      </c>
      <c r="H1983">
        <v>5</v>
      </c>
      <c r="I1983">
        <v>8</v>
      </c>
      <c r="J1983">
        <v>0</v>
      </c>
      <c r="K1983" s="6" t="str">
        <f t="shared" ref="K1983" si="1040">"vs "&amp;E1982</f>
        <v>vs LRBP PR3DATORS</v>
      </c>
      <c r="L1983" s="6" t="str">
        <f t="shared" ref="L1983" si="1041">"vs "&amp;F1982</f>
        <v>vs Lafa</v>
      </c>
      <c r="M1983">
        <v>127</v>
      </c>
      <c r="N1983" s="1">
        <v>0.502</v>
      </c>
      <c r="O1983">
        <v>53</v>
      </c>
      <c r="P1983" s="1">
        <v>0.43099999999999999</v>
      </c>
      <c r="Q1983" s="1">
        <v>0.81699999999999995</v>
      </c>
      <c r="R1983">
        <v>365</v>
      </c>
      <c r="S1983">
        <v>35</v>
      </c>
      <c r="T1983">
        <v>122</v>
      </c>
      <c r="U1983">
        <v>60</v>
      </c>
      <c r="V1983">
        <v>26</v>
      </c>
      <c r="W1983">
        <v>24</v>
      </c>
      <c r="X1983">
        <v>43</v>
      </c>
      <c r="Y1983" s="5">
        <v>1.4</v>
      </c>
    </row>
    <row r="1984" spans="1:25" x14ac:dyDescent="0.25">
      <c r="A1984">
        <v>2023</v>
      </c>
      <c r="B1984" t="s">
        <v>57</v>
      </c>
      <c r="C1984">
        <v>6</v>
      </c>
      <c r="D1984">
        <v>62</v>
      </c>
      <c r="E1984" t="s">
        <v>154</v>
      </c>
      <c r="F1984" t="s">
        <v>155</v>
      </c>
      <c r="G1984">
        <f t="shared" si="917"/>
        <v>0</v>
      </c>
      <c r="H1984">
        <v>2</v>
      </c>
      <c r="I1984">
        <v>11</v>
      </c>
      <c r="J1984">
        <v>0</v>
      </c>
      <c r="K1984" s="6" t="str">
        <f t="shared" ref="K1984" si="1042">"vs "&amp;E1985</f>
        <v>vs Knights of Ni</v>
      </c>
      <c r="L1984" s="6" t="str">
        <f t="shared" ref="L1984" si="1043">"vs "&amp;F1985</f>
        <v>vs Tolios</v>
      </c>
      <c r="M1984">
        <v>86</v>
      </c>
      <c r="N1984" s="1">
        <v>0.45</v>
      </c>
      <c r="O1984">
        <v>19</v>
      </c>
      <c r="P1984" s="1">
        <v>0.29199999999999998</v>
      </c>
      <c r="Q1984" s="1">
        <v>0.78300000000000003</v>
      </c>
      <c r="R1984">
        <v>227</v>
      </c>
      <c r="S1984">
        <v>37</v>
      </c>
      <c r="T1984">
        <v>75</v>
      </c>
      <c r="U1984">
        <v>50</v>
      </c>
      <c r="V1984">
        <v>15</v>
      </c>
      <c r="W1984">
        <v>20</v>
      </c>
      <c r="X1984">
        <v>27</v>
      </c>
      <c r="Y1984" s="5">
        <v>1.85</v>
      </c>
    </row>
    <row r="1985" spans="1:25" x14ac:dyDescent="0.25">
      <c r="A1985">
        <v>2023</v>
      </c>
      <c r="B1985" t="s">
        <v>57</v>
      </c>
      <c r="C1985">
        <v>6</v>
      </c>
      <c r="D1985">
        <v>62</v>
      </c>
      <c r="E1985" t="s">
        <v>96</v>
      </c>
      <c r="F1985" t="s">
        <v>102</v>
      </c>
      <c r="G1985">
        <f t="shared" si="917"/>
        <v>1</v>
      </c>
      <c r="H1985">
        <v>11</v>
      </c>
      <c r="I1985">
        <v>2</v>
      </c>
      <c r="J1985">
        <v>0</v>
      </c>
      <c r="K1985" s="6" t="str">
        <f t="shared" ref="K1985" si="1044">"vs "&amp;E1984</f>
        <v>vs The Bad Boys</v>
      </c>
      <c r="L1985" s="6" t="str">
        <f t="shared" ref="L1985" si="1045">"vs "&amp;F1984</f>
        <v>vs Arvanitis</v>
      </c>
      <c r="M1985">
        <v>151</v>
      </c>
      <c r="N1985" s="1">
        <v>0.503</v>
      </c>
      <c r="O1985">
        <v>34</v>
      </c>
      <c r="P1985" s="1">
        <v>0.36199999999999999</v>
      </c>
      <c r="Q1985" s="1">
        <v>0.80600000000000005</v>
      </c>
      <c r="R1985">
        <v>390</v>
      </c>
      <c r="S1985">
        <v>41</v>
      </c>
      <c r="T1985">
        <v>113</v>
      </c>
      <c r="U1985">
        <v>76</v>
      </c>
      <c r="V1985">
        <v>37</v>
      </c>
      <c r="W1985">
        <v>27</v>
      </c>
      <c r="X1985">
        <v>42</v>
      </c>
      <c r="Y1985" s="5">
        <v>1.81</v>
      </c>
    </row>
    <row r="1986" spans="1:25" x14ac:dyDescent="0.25">
      <c r="A1986">
        <v>2023</v>
      </c>
      <c r="B1986" t="s">
        <v>57</v>
      </c>
      <c r="C1986">
        <v>6</v>
      </c>
      <c r="D1986">
        <v>63</v>
      </c>
      <c r="E1986" t="s">
        <v>26</v>
      </c>
      <c r="F1986" t="s">
        <v>118</v>
      </c>
      <c r="G1986">
        <f t="shared" ref="G1986:G2049" si="1046">IF(H1986+0.5*J1986&gt;6.5,1,0)</f>
        <v>0</v>
      </c>
      <c r="H1986">
        <v>5</v>
      </c>
      <c r="I1986">
        <v>8</v>
      </c>
      <c r="J1986">
        <v>0</v>
      </c>
      <c r="K1986" s="6" t="str">
        <f t="shared" ref="K1986" si="1047">"vs "&amp;E1987</f>
        <v>vs Samarina Dudenbros</v>
      </c>
      <c r="L1986" s="6" t="str">
        <f t="shared" ref="L1986" si="1048">"vs "&amp;F1987</f>
        <v>vs Sakellariou</v>
      </c>
      <c r="M1986">
        <v>138</v>
      </c>
      <c r="N1986" s="1">
        <v>0.43099999999999999</v>
      </c>
      <c r="O1986">
        <v>53</v>
      </c>
      <c r="P1986" s="1">
        <v>0.35099999999999998</v>
      </c>
      <c r="Q1986" s="1">
        <v>0.86799999999999999</v>
      </c>
      <c r="R1986">
        <v>375</v>
      </c>
      <c r="S1986">
        <v>31</v>
      </c>
      <c r="T1986">
        <v>122</v>
      </c>
      <c r="U1986">
        <v>110</v>
      </c>
      <c r="V1986">
        <v>25</v>
      </c>
      <c r="W1986">
        <v>9</v>
      </c>
      <c r="X1986">
        <v>59</v>
      </c>
      <c r="Y1986" s="5">
        <v>1.86</v>
      </c>
    </row>
    <row r="1987" spans="1:25" x14ac:dyDescent="0.25">
      <c r="A1987">
        <v>2023</v>
      </c>
      <c r="B1987" t="s">
        <v>57</v>
      </c>
      <c r="C1987">
        <v>6</v>
      </c>
      <c r="D1987">
        <v>63</v>
      </c>
      <c r="E1987" t="s">
        <v>181</v>
      </c>
      <c r="F1987" t="s">
        <v>49</v>
      </c>
      <c r="G1987">
        <f t="shared" si="1046"/>
        <v>1</v>
      </c>
      <c r="H1987">
        <v>8</v>
      </c>
      <c r="I1987">
        <v>5</v>
      </c>
      <c r="J1987">
        <v>0</v>
      </c>
      <c r="K1987" s="6" t="str">
        <f t="shared" ref="K1987" si="1049">"vs "&amp;E1986</f>
        <v>vs Kourayo Vallecano</v>
      </c>
      <c r="L1987" s="6" t="str">
        <f t="shared" ref="L1987" si="1050">"vs "&amp;F1986</f>
        <v>vs Ziogas/Christof</v>
      </c>
      <c r="M1987">
        <v>178</v>
      </c>
      <c r="N1987" s="1">
        <v>0.51</v>
      </c>
      <c r="O1987">
        <v>54</v>
      </c>
      <c r="P1987" s="1">
        <v>0.435</v>
      </c>
      <c r="Q1987" s="1">
        <v>0.85199999999999998</v>
      </c>
      <c r="R1987">
        <v>514</v>
      </c>
      <c r="S1987">
        <v>33</v>
      </c>
      <c r="T1987">
        <v>141</v>
      </c>
      <c r="U1987">
        <v>94</v>
      </c>
      <c r="V1987">
        <v>23</v>
      </c>
      <c r="W1987">
        <v>21</v>
      </c>
      <c r="X1987">
        <v>69</v>
      </c>
      <c r="Y1987" s="5">
        <v>1.36</v>
      </c>
    </row>
    <row r="1988" spans="1:25" x14ac:dyDescent="0.25">
      <c r="A1988">
        <v>2023</v>
      </c>
      <c r="B1988" t="s">
        <v>57</v>
      </c>
      <c r="C1988">
        <v>6</v>
      </c>
      <c r="D1988">
        <v>64</v>
      </c>
      <c r="E1988" t="s">
        <v>94</v>
      </c>
      <c r="F1988" t="s">
        <v>40</v>
      </c>
      <c r="G1988">
        <f t="shared" si="1046"/>
        <v>0</v>
      </c>
      <c r="H1988">
        <v>2</v>
      </c>
      <c r="I1988">
        <v>11</v>
      </c>
      <c r="J1988">
        <v>0</v>
      </c>
      <c r="K1988" s="6" t="str">
        <f t="shared" ref="K1988" si="1051">"vs "&amp;E1989</f>
        <v>vs purple fuzzy apache pirates</v>
      </c>
      <c r="L1988" s="6" t="str">
        <f t="shared" ref="L1988" si="1052">"vs "&amp;F1989</f>
        <v>vs pi/Sotiris</v>
      </c>
      <c r="M1988">
        <v>108</v>
      </c>
      <c r="N1988" s="1">
        <v>0.47799999999999998</v>
      </c>
      <c r="O1988">
        <v>39</v>
      </c>
      <c r="P1988" s="1">
        <v>0.379</v>
      </c>
      <c r="Q1988" s="1">
        <v>0.70599999999999996</v>
      </c>
      <c r="R1988">
        <v>291</v>
      </c>
      <c r="S1988">
        <v>34</v>
      </c>
      <c r="T1988">
        <v>68</v>
      </c>
      <c r="U1988">
        <v>48</v>
      </c>
      <c r="V1988">
        <v>21</v>
      </c>
      <c r="W1988">
        <v>11</v>
      </c>
      <c r="X1988">
        <v>28</v>
      </c>
      <c r="Y1988" s="5">
        <v>1.71</v>
      </c>
    </row>
    <row r="1989" spans="1:25" x14ac:dyDescent="0.25">
      <c r="A1989">
        <v>2023</v>
      </c>
      <c r="B1989" t="s">
        <v>57</v>
      </c>
      <c r="C1989">
        <v>6</v>
      </c>
      <c r="D1989">
        <v>64</v>
      </c>
      <c r="E1989" t="s">
        <v>159</v>
      </c>
      <c r="F1989" t="s">
        <v>116</v>
      </c>
      <c r="G1989">
        <f t="shared" si="1046"/>
        <v>1</v>
      </c>
      <c r="H1989">
        <v>11</v>
      </c>
      <c r="I1989">
        <v>2</v>
      </c>
      <c r="J1989">
        <v>0</v>
      </c>
      <c r="K1989" s="6" t="str">
        <f t="shared" ref="K1989" si="1053">"vs "&amp;E1988</f>
        <v>vs Fighting Thaddeus</v>
      </c>
      <c r="L1989" s="6" t="str">
        <f t="shared" ref="L1989" si="1054">"vs "&amp;F1988</f>
        <v>vs Stavros</v>
      </c>
      <c r="M1989">
        <v>206</v>
      </c>
      <c r="N1989" s="1">
        <v>0.47899999999999998</v>
      </c>
      <c r="O1989">
        <v>54</v>
      </c>
      <c r="P1989" s="1">
        <v>0.38</v>
      </c>
      <c r="Q1989" s="1">
        <v>0.75600000000000001</v>
      </c>
      <c r="R1989">
        <v>565</v>
      </c>
      <c r="S1989">
        <v>42</v>
      </c>
      <c r="T1989">
        <v>154</v>
      </c>
      <c r="U1989">
        <v>111</v>
      </c>
      <c r="V1989">
        <v>29</v>
      </c>
      <c r="W1989">
        <v>21</v>
      </c>
      <c r="X1989">
        <v>83</v>
      </c>
      <c r="Y1989" s="5">
        <v>1.34</v>
      </c>
    </row>
    <row r="1990" spans="1:25" x14ac:dyDescent="0.25">
      <c r="A1990">
        <v>2023</v>
      </c>
      <c r="B1990" t="s">
        <v>57</v>
      </c>
      <c r="C1990">
        <v>6</v>
      </c>
      <c r="D1990">
        <v>65</v>
      </c>
      <c r="E1990" t="s">
        <v>23</v>
      </c>
      <c r="F1990" t="s">
        <v>120</v>
      </c>
      <c r="G1990">
        <f t="shared" si="1046"/>
        <v>0</v>
      </c>
      <c r="H1990">
        <v>5</v>
      </c>
      <c r="I1990">
        <v>8</v>
      </c>
      <c r="J1990">
        <v>0</v>
      </c>
      <c r="K1990" s="6" t="str">
        <f t="shared" ref="K1990" si="1055">"vs "&amp;E1991</f>
        <v>vs Guruuu 🐐🐐🐐</v>
      </c>
      <c r="L1990" s="6" t="str">
        <f t="shared" ref="L1990" si="1056">"vs "&amp;F1991</f>
        <v>vs Guru</v>
      </c>
      <c r="M1990">
        <v>185</v>
      </c>
      <c r="N1990" s="1">
        <v>0.51700000000000002</v>
      </c>
      <c r="O1990">
        <v>42</v>
      </c>
      <c r="P1990" s="1">
        <v>0.372</v>
      </c>
      <c r="Q1990" s="1">
        <v>0.80200000000000005</v>
      </c>
      <c r="R1990">
        <v>481</v>
      </c>
      <c r="S1990">
        <v>56</v>
      </c>
      <c r="T1990">
        <v>164</v>
      </c>
      <c r="U1990">
        <v>123</v>
      </c>
      <c r="V1990">
        <v>29</v>
      </c>
      <c r="W1990">
        <v>12</v>
      </c>
      <c r="X1990">
        <v>62</v>
      </c>
      <c r="Y1990" s="5">
        <v>1.98</v>
      </c>
    </row>
    <row r="1991" spans="1:25" x14ac:dyDescent="0.25">
      <c r="A1991">
        <v>2023</v>
      </c>
      <c r="B1991" t="s">
        <v>57</v>
      </c>
      <c r="C1991">
        <v>6</v>
      </c>
      <c r="D1991">
        <v>65</v>
      </c>
      <c r="E1991" t="s">
        <v>93</v>
      </c>
      <c r="F1991" t="s">
        <v>189</v>
      </c>
      <c r="G1991">
        <f t="shared" si="1046"/>
        <v>1</v>
      </c>
      <c r="H1991">
        <v>8</v>
      </c>
      <c r="I1991">
        <v>5</v>
      </c>
      <c r="J1991">
        <v>0</v>
      </c>
      <c r="K1991" s="6" t="str">
        <f t="shared" ref="K1991" si="1057">"vs "&amp;E1990</f>
        <v>vs Pachiana NinjaBees</v>
      </c>
      <c r="L1991" s="6" t="str">
        <f t="shared" ref="L1991" si="1058">"vs "&amp;F1990</f>
        <v>vs Spiridaus/Oladipas</v>
      </c>
      <c r="M1991">
        <v>197</v>
      </c>
      <c r="N1991" s="1">
        <v>0.45100000000000001</v>
      </c>
      <c r="O1991">
        <v>79</v>
      </c>
      <c r="P1991" s="1">
        <v>0.38700000000000001</v>
      </c>
      <c r="Q1991" s="1">
        <v>0.78400000000000003</v>
      </c>
      <c r="R1991">
        <v>560</v>
      </c>
      <c r="S1991">
        <v>27</v>
      </c>
      <c r="T1991">
        <v>147</v>
      </c>
      <c r="U1991">
        <v>147</v>
      </c>
      <c r="V1991">
        <v>35</v>
      </c>
      <c r="W1991">
        <v>25</v>
      </c>
      <c r="X1991">
        <v>64</v>
      </c>
      <c r="Y1991" s="5">
        <v>2.2999999999999998</v>
      </c>
    </row>
    <row r="1992" spans="1:25" x14ac:dyDescent="0.25">
      <c r="A1992">
        <v>2023</v>
      </c>
      <c r="B1992" t="s">
        <v>57</v>
      </c>
      <c r="C1992">
        <v>6</v>
      </c>
      <c r="D1992">
        <v>66</v>
      </c>
      <c r="E1992" t="s">
        <v>21</v>
      </c>
      <c r="F1992" t="s">
        <v>50</v>
      </c>
      <c r="G1992">
        <f t="shared" si="1046"/>
        <v>1</v>
      </c>
      <c r="H1992">
        <v>7</v>
      </c>
      <c r="I1992">
        <v>6</v>
      </c>
      <c r="J1992">
        <v>0</v>
      </c>
      <c r="K1992" s="6" t="str">
        <f t="shared" ref="K1992" si="1059">"vs "&amp;E1993</f>
        <v>vs The Rookies</v>
      </c>
      <c r="L1992" s="6" t="str">
        <f t="shared" ref="L1992" si="1060">"vs "&amp;F1993</f>
        <v>vs Kousidis</v>
      </c>
      <c r="M1992">
        <v>171</v>
      </c>
      <c r="N1992" s="1">
        <v>0.434</v>
      </c>
      <c r="O1992">
        <v>56</v>
      </c>
      <c r="P1992" s="1">
        <v>0.33700000000000002</v>
      </c>
      <c r="Q1992" s="1">
        <v>0.77300000000000002</v>
      </c>
      <c r="R1992">
        <v>466</v>
      </c>
      <c r="S1992">
        <v>13</v>
      </c>
      <c r="T1992">
        <v>101</v>
      </c>
      <c r="U1992">
        <v>105</v>
      </c>
      <c r="V1992">
        <v>29</v>
      </c>
      <c r="W1992">
        <v>15</v>
      </c>
      <c r="X1992">
        <v>60</v>
      </c>
      <c r="Y1992" s="5">
        <v>1.75</v>
      </c>
    </row>
    <row r="1993" spans="1:25" x14ac:dyDescent="0.25">
      <c r="A1993">
        <v>2023</v>
      </c>
      <c r="B1993" t="s">
        <v>57</v>
      </c>
      <c r="C1993">
        <v>6</v>
      </c>
      <c r="D1993">
        <v>66</v>
      </c>
      <c r="E1993" t="s">
        <v>25</v>
      </c>
      <c r="F1993" t="s">
        <v>53</v>
      </c>
      <c r="G1993">
        <f t="shared" si="1046"/>
        <v>0</v>
      </c>
      <c r="H1993">
        <v>6</v>
      </c>
      <c r="I1993">
        <v>7</v>
      </c>
      <c r="J1993">
        <v>0</v>
      </c>
      <c r="K1993" s="6" t="str">
        <f t="shared" ref="K1993" si="1061">"vs "&amp;E1992</f>
        <v>vs st.Helens Eruptions</v>
      </c>
      <c r="L1993" s="6" t="str">
        <f t="shared" ref="L1993" si="1062">"vs "&amp;F1992</f>
        <v>vs Aris</v>
      </c>
      <c r="M1993">
        <v>178</v>
      </c>
      <c r="N1993" s="1">
        <v>0.48099999999999998</v>
      </c>
      <c r="O1993">
        <v>37</v>
      </c>
      <c r="P1993" s="1">
        <v>0.30599999999999999</v>
      </c>
      <c r="Q1993" s="1">
        <v>0.76300000000000001</v>
      </c>
      <c r="R1993">
        <v>480</v>
      </c>
      <c r="S1993">
        <v>51</v>
      </c>
      <c r="T1993">
        <v>121</v>
      </c>
      <c r="U1993">
        <v>95</v>
      </c>
      <c r="V1993">
        <v>24</v>
      </c>
      <c r="W1993">
        <v>13</v>
      </c>
      <c r="X1993">
        <v>58</v>
      </c>
      <c r="Y1993" s="5">
        <v>1.64</v>
      </c>
    </row>
    <row r="1994" spans="1:25" x14ac:dyDescent="0.25">
      <c r="A1994">
        <v>2023</v>
      </c>
      <c r="B1994" t="s">
        <v>57</v>
      </c>
      <c r="C1994">
        <v>6</v>
      </c>
      <c r="D1994">
        <v>67</v>
      </c>
      <c r="E1994" t="s">
        <v>98</v>
      </c>
      <c r="F1994" t="s">
        <v>41</v>
      </c>
      <c r="G1994">
        <f t="shared" si="1046"/>
        <v>1</v>
      </c>
      <c r="H1994">
        <v>8</v>
      </c>
      <c r="I1994">
        <v>5</v>
      </c>
      <c r="J1994">
        <v>0</v>
      </c>
      <c r="K1994" s="6" t="str">
        <f t="shared" ref="K1994" si="1063">"vs "&amp;E1995</f>
        <v>vs Salonika Devils</v>
      </c>
      <c r="L1994" s="6" t="str">
        <f t="shared" ref="L1994" si="1064">"vs "&amp;F1995</f>
        <v>vs Fountos</v>
      </c>
      <c r="M1994">
        <v>149</v>
      </c>
      <c r="N1994" s="1">
        <v>0.50900000000000001</v>
      </c>
      <c r="O1994">
        <v>41</v>
      </c>
      <c r="P1994" s="1">
        <v>0.38700000000000001</v>
      </c>
      <c r="Q1994" s="1">
        <v>0.75900000000000001</v>
      </c>
      <c r="R1994">
        <v>380</v>
      </c>
      <c r="S1994">
        <v>33</v>
      </c>
      <c r="T1994">
        <v>136</v>
      </c>
      <c r="U1994">
        <v>125</v>
      </c>
      <c r="V1994">
        <v>20</v>
      </c>
      <c r="W1994">
        <v>24</v>
      </c>
      <c r="X1994">
        <v>41</v>
      </c>
      <c r="Y1994" s="5">
        <v>3.05</v>
      </c>
    </row>
    <row r="1995" spans="1:25" x14ac:dyDescent="0.25">
      <c r="A1995">
        <v>2023</v>
      </c>
      <c r="B1995" t="s">
        <v>57</v>
      </c>
      <c r="C1995">
        <v>6</v>
      </c>
      <c r="D1995">
        <v>67</v>
      </c>
      <c r="E1995" t="s">
        <v>15</v>
      </c>
      <c r="F1995" t="s">
        <v>48</v>
      </c>
      <c r="G1995">
        <f t="shared" si="1046"/>
        <v>0</v>
      </c>
      <c r="H1995">
        <v>5</v>
      </c>
      <c r="I1995">
        <v>8</v>
      </c>
      <c r="J1995">
        <v>0</v>
      </c>
      <c r="K1995" s="6" t="str">
        <f t="shared" ref="K1995" si="1065">"vs "&amp;E1994</f>
        <v>vs Xanthi Ducks 🦆</v>
      </c>
      <c r="L1995" s="6" t="str">
        <f t="shared" ref="L1995" si="1066">"vs "&amp;F1994</f>
        <v>vs Kotakis</v>
      </c>
      <c r="M1995">
        <v>170</v>
      </c>
      <c r="N1995" s="1">
        <v>0.47499999999999998</v>
      </c>
      <c r="O1995">
        <v>51</v>
      </c>
      <c r="P1995" s="1">
        <v>0.34499999999999997</v>
      </c>
      <c r="Q1995" s="1">
        <v>0.89400000000000002</v>
      </c>
      <c r="R1995">
        <v>467</v>
      </c>
      <c r="S1995">
        <v>20</v>
      </c>
      <c r="T1995">
        <v>87</v>
      </c>
      <c r="U1995">
        <v>90</v>
      </c>
      <c r="V1995">
        <v>28</v>
      </c>
      <c r="W1995">
        <v>6</v>
      </c>
      <c r="X1995">
        <v>49</v>
      </c>
      <c r="Y1995" s="5">
        <v>1.84</v>
      </c>
    </row>
    <row r="1996" spans="1:25" x14ac:dyDescent="0.25">
      <c r="A1996">
        <v>2023</v>
      </c>
      <c r="B1996" t="s">
        <v>57</v>
      </c>
      <c r="C1996">
        <v>6</v>
      </c>
      <c r="D1996">
        <v>68</v>
      </c>
      <c r="E1996" t="s">
        <v>17</v>
      </c>
      <c r="F1996" t="s">
        <v>43</v>
      </c>
      <c r="G1996">
        <f t="shared" si="1046"/>
        <v>0</v>
      </c>
      <c r="H1996">
        <v>6</v>
      </c>
      <c r="I1996">
        <v>7</v>
      </c>
      <c r="J1996">
        <v>0</v>
      </c>
      <c r="K1996" s="6" t="str">
        <f t="shared" ref="K1996" si="1067">"vs "&amp;E1997</f>
        <v>vs The Guns</v>
      </c>
      <c r="L1996" s="6" t="str">
        <f t="shared" ref="L1996" si="1068">"vs "&amp;F1997</f>
        <v>vs Vasilis</v>
      </c>
      <c r="M1996">
        <v>174</v>
      </c>
      <c r="N1996" s="1">
        <v>0.45900000000000002</v>
      </c>
      <c r="O1996">
        <v>33</v>
      </c>
      <c r="P1996" s="1">
        <v>0.25600000000000001</v>
      </c>
      <c r="Q1996" s="1">
        <v>0.78400000000000003</v>
      </c>
      <c r="R1996">
        <v>472</v>
      </c>
      <c r="S1996">
        <v>23</v>
      </c>
      <c r="T1996">
        <v>118</v>
      </c>
      <c r="U1996">
        <v>113</v>
      </c>
      <c r="V1996">
        <v>19</v>
      </c>
      <c r="W1996">
        <v>9</v>
      </c>
      <c r="X1996">
        <v>53</v>
      </c>
      <c r="Y1996" s="5">
        <v>2.13</v>
      </c>
    </row>
    <row r="1997" spans="1:25" x14ac:dyDescent="0.25">
      <c r="A1997">
        <v>2023</v>
      </c>
      <c r="B1997" t="s">
        <v>57</v>
      </c>
      <c r="C1997">
        <v>6</v>
      </c>
      <c r="D1997">
        <v>68</v>
      </c>
      <c r="E1997" t="s">
        <v>33</v>
      </c>
      <c r="F1997" t="s">
        <v>42</v>
      </c>
      <c r="G1997">
        <f t="shared" si="1046"/>
        <v>1</v>
      </c>
      <c r="H1997">
        <v>7</v>
      </c>
      <c r="I1997">
        <v>6</v>
      </c>
      <c r="J1997">
        <v>0</v>
      </c>
      <c r="K1997" s="6" t="str">
        <f t="shared" ref="K1997" si="1069">"vs "&amp;E1996</f>
        <v>vs Donkey Rolls</v>
      </c>
      <c r="L1997" s="6" t="str">
        <f t="shared" ref="L1997" si="1070">"vs "&amp;F1996</f>
        <v>vs Markos</v>
      </c>
      <c r="M1997">
        <v>173</v>
      </c>
      <c r="N1997" s="1">
        <v>0.48699999999999999</v>
      </c>
      <c r="O1997">
        <v>40</v>
      </c>
      <c r="P1997" s="1">
        <v>0.29899999999999999</v>
      </c>
      <c r="Q1997" s="1">
        <v>0.81</v>
      </c>
      <c r="R1997">
        <v>450</v>
      </c>
      <c r="S1997">
        <v>29</v>
      </c>
      <c r="T1997">
        <v>96</v>
      </c>
      <c r="U1997">
        <v>90</v>
      </c>
      <c r="V1997">
        <v>38</v>
      </c>
      <c r="W1997">
        <v>15</v>
      </c>
      <c r="X1997">
        <v>62</v>
      </c>
      <c r="Y1997" s="5">
        <v>1.45</v>
      </c>
    </row>
    <row r="1998" spans="1:25" x14ac:dyDescent="0.25">
      <c r="A1998">
        <v>2023</v>
      </c>
      <c r="B1998" t="s">
        <v>57</v>
      </c>
      <c r="C1998">
        <v>6</v>
      </c>
      <c r="D1998">
        <v>69</v>
      </c>
      <c r="E1998" t="s">
        <v>190</v>
      </c>
      <c r="F1998" t="s">
        <v>103</v>
      </c>
      <c r="G1998">
        <f t="shared" si="1046"/>
        <v>1</v>
      </c>
      <c r="H1998">
        <v>10</v>
      </c>
      <c r="I1998">
        <v>3</v>
      </c>
      <c r="J1998">
        <v>0</v>
      </c>
      <c r="K1998" s="6" t="str">
        <f t="shared" ref="K1998" si="1071">"vs "&amp;E1999</f>
        <v>vs The Bridgeburners</v>
      </c>
      <c r="L1998" s="6" t="str">
        <f t="shared" ref="L1998" si="1072">"vs "&amp;F1999</f>
        <v>vs Fanis</v>
      </c>
      <c r="M1998">
        <v>266</v>
      </c>
      <c r="N1998" s="1">
        <v>0.495</v>
      </c>
      <c r="O1998">
        <v>62</v>
      </c>
      <c r="P1998" s="1">
        <v>0.315</v>
      </c>
      <c r="Q1998" s="1">
        <v>0.89200000000000002</v>
      </c>
      <c r="R1998">
        <v>734</v>
      </c>
      <c r="S1998">
        <v>34</v>
      </c>
      <c r="T1998">
        <v>176</v>
      </c>
      <c r="U1998">
        <v>192</v>
      </c>
      <c r="V1998">
        <v>37</v>
      </c>
      <c r="W1998">
        <v>31</v>
      </c>
      <c r="X1998">
        <v>78</v>
      </c>
      <c r="Y1998" s="5">
        <v>2.46</v>
      </c>
    </row>
    <row r="1999" spans="1:25" x14ac:dyDescent="0.25">
      <c r="A1999">
        <v>2023</v>
      </c>
      <c r="B1999" t="s">
        <v>57</v>
      </c>
      <c r="C1999">
        <v>6</v>
      </c>
      <c r="D1999">
        <v>69</v>
      </c>
      <c r="E1999" t="s">
        <v>16</v>
      </c>
      <c r="F1999" t="s">
        <v>51</v>
      </c>
      <c r="G1999">
        <f t="shared" si="1046"/>
        <v>0</v>
      </c>
      <c r="H1999">
        <v>3</v>
      </c>
      <c r="I1999">
        <v>10</v>
      </c>
      <c r="J1999">
        <v>0</v>
      </c>
      <c r="K1999" s="6" t="str">
        <f t="shared" ref="K1999" si="1073">"vs "&amp;E1998</f>
        <v>vs Karafli SaiTa</v>
      </c>
      <c r="L1999" s="6" t="str">
        <f t="shared" ref="L1999" si="1074">"vs "&amp;F1998</f>
        <v>vs Tassos</v>
      </c>
      <c r="M1999">
        <v>119</v>
      </c>
      <c r="N1999" s="1">
        <v>0.46100000000000002</v>
      </c>
      <c r="O1999">
        <v>43</v>
      </c>
      <c r="P1999" s="1">
        <v>0.35199999999999998</v>
      </c>
      <c r="Q1999" s="1">
        <v>0.875</v>
      </c>
      <c r="R1999">
        <v>351</v>
      </c>
      <c r="S1999">
        <v>17</v>
      </c>
      <c r="T1999">
        <v>62</v>
      </c>
      <c r="U1999">
        <v>104</v>
      </c>
      <c r="V1999">
        <v>29</v>
      </c>
      <c r="W1999">
        <v>9</v>
      </c>
      <c r="X1999">
        <v>38</v>
      </c>
      <c r="Y1999" s="5">
        <v>2.74</v>
      </c>
    </row>
    <row r="2000" spans="1:25" x14ac:dyDescent="0.25">
      <c r="A2000">
        <v>2023</v>
      </c>
      <c r="B2000" t="s">
        <v>57</v>
      </c>
      <c r="C2000">
        <v>6</v>
      </c>
      <c r="D2000">
        <v>70</v>
      </c>
      <c r="E2000" t="s">
        <v>99</v>
      </c>
      <c r="F2000" t="s">
        <v>45</v>
      </c>
      <c r="G2000">
        <f t="shared" si="1046"/>
        <v>1</v>
      </c>
      <c r="H2000">
        <v>10</v>
      </c>
      <c r="I2000">
        <v>3</v>
      </c>
      <c r="J2000">
        <v>0</v>
      </c>
      <c r="K2000" s="6" t="str">
        <f t="shared" ref="K2000" si="1075">"vs "&amp;E2001</f>
        <v>vs Steven Adams' Moustache</v>
      </c>
      <c r="L2000" s="6" t="str">
        <f t="shared" ref="L2000" si="1076">"vs "&amp;F2001</f>
        <v>vs Johnny</v>
      </c>
      <c r="M2000">
        <v>155</v>
      </c>
      <c r="N2000" s="1">
        <v>0.46400000000000002</v>
      </c>
      <c r="O2000">
        <v>47</v>
      </c>
      <c r="P2000" s="1">
        <v>0.40500000000000003</v>
      </c>
      <c r="Q2000" s="1">
        <v>0.83799999999999997</v>
      </c>
      <c r="R2000">
        <v>450</v>
      </c>
      <c r="S2000">
        <v>56</v>
      </c>
      <c r="T2000">
        <v>145</v>
      </c>
      <c r="U2000">
        <v>73</v>
      </c>
      <c r="V2000">
        <v>27</v>
      </c>
      <c r="W2000">
        <v>19</v>
      </c>
      <c r="X2000">
        <v>64</v>
      </c>
      <c r="Y2000" s="5">
        <v>1.1399999999999999</v>
      </c>
    </row>
    <row r="2001" spans="1:25" x14ac:dyDescent="0.25">
      <c r="A2001">
        <v>2023</v>
      </c>
      <c r="B2001" t="s">
        <v>57</v>
      </c>
      <c r="C2001">
        <v>6</v>
      </c>
      <c r="D2001">
        <v>70</v>
      </c>
      <c r="E2001" t="s">
        <v>28</v>
      </c>
      <c r="F2001" t="s">
        <v>46</v>
      </c>
      <c r="G2001">
        <f t="shared" si="1046"/>
        <v>0</v>
      </c>
      <c r="H2001">
        <v>3</v>
      </c>
      <c r="I2001">
        <v>10</v>
      </c>
      <c r="J2001">
        <v>0</v>
      </c>
      <c r="K2001" s="6" t="str">
        <f t="shared" ref="K2001" si="1077">"vs "&amp;E2000</f>
        <v>vs Tsarlatans</v>
      </c>
      <c r="L2001" s="6" t="str">
        <f t="shared" ref="L2001" si="1078">"vs "&amp;F2000</f>
        <v>vs Tzokos</v>
      </c>
      <c r="M2001">
        <v>140</v>
      </c>
      <c r="N2001" s="1">
        <v>0.46100000000000002</v>
      </c>
      <c r="O2001">
        <v>31</v>
      </c>
      <c r="P2001" s="1">
        <v>0.31</v>
      </c>
      <c r="Q2001" s="1">
        <v>0.82699999999999996</v>
      </c>
      <c r="R2001">
        <v>373</v>
      </c>
      <c r="S2001">
        <v>39</v>
      </c>
      <c r="T2001">
        <v>81</v>
      </c>
      <c r="U2001">
        <v>82</v>
      </c>
      <c r="V2001">
        <v>21</v>
      </c>
      <c r="W2001">
        <v>15</v>
      </c>
      <c r="X2001">
        <v>53</v>
      </c>
      <c r="Y2001" s="5">
        <v>1.55</v>
      </c>
    </row>
    <row r="2002" spans="1:25" x14ac:dyDescent="0.25">
      <c r="A2002">
        <v>2023</v>
      </c>
      <c r="B2002" t="s">
        <v>57</v>
      </c>
      <c r="C2002">
        <v>7</v>
      </c>
      <c r="D2002">
        <v>71</v>
      </c>
      <c r="E2002" t="s">
        <v>158</v>
      </c>
      <c r="F2002" t="s">
        <v>177</v>
      </c>
      <c r="G2002">
        <f t="shared" si="1046"/>
        <v>1</v>
      </c>
      <c r="H2002">
        <v>11</v>
      </c>
      <c r="I2002">
        <v>2</v>
      </c>
      <c r="J2002">
        <v>0</v>
      </c>
      <c r="K2002" s="6" t="str">
        <f t="shared" ref="K2002" si="1079">"vs "&amp;E2003</f>
        <v>vs Fighting Thaddeus</v>
      </c>
      <c r="L2002" s="6" t="str">
        <f t="shared" ref="L2002" si="1080">"vs "&amp;F2003</f>
        <v>vs Stavros</v>
      </c>
      <c r="M2002">
        <v>203</v>
      </c>
      <c r="N2002" s="1">
        <v>0.57199999999999995</v>
      </c>
      <c r="O2002">
        <v>33</v>
      </c>
      <c r="P2002" s="1">
        <v>0.38800000000000001</v>
      </c>
      <c r="Q2002" s="1">
        <v>0.75800000000000001</v>
      </c>
      <c r="R2002">
        <v>552</v>
      </c>
      <c r="S2002">
        <v>47</v>
      </c>
      <c r="T2002">
        <v>163</v>
      </c>
      <c r="U2002">
        <v>107</v>
      </c>
      <c r="V2002">
        <v>30</v>
      </c>
      <c r="W2002">
        <v>25</v>
      </c>
      <c r="X2002">
        <v>60</v>
      </c>
      <c r="Y2002" s="5">
        <v>1.78</v>
      </c>
    </row>
    <row r="2003" spans="1:25" x14ac:dyDescent="0.25">
      <c r="A2003">
        <v>2023</v>
      </c>
      <c r="B2003" t="s">
        <v>57</v>
      </c>
      <c r="C2003">
        <v>7</v>
      </c>
      <c r="D2003">
        <v>71</v>
      </c>
      <c r="E2003" t="s">
        <v>94</v>
      </c>
      <c r="F2003" t="s">
        <v>40</v>
      </c>
      <c r="G2003">
        <f t="shared" si="1046"/>
        <v>0</v>
      </c>
      <c r="H2003">
        <v>2</v>
      </c>
      <c r="I2003">
        <v>11</v>
      </c>
      <c r="J2003">
        <v>0</v>
      </c>
      <c r="K2003" s="6" t="str">
        <f t="shared" ref="K2003" si="1081">"vs "&amp;E2002</f>
        <v>vs LRBP PR3DATORS</v>
      </c>
      <c r="L2003" s="6" t="str">
        <f t="shared" ref="L2003" si="1082">"vs "&amp;F2002</f>
        <v>vs Lafa</v>
      </c>
      <c r="M2003">
        <v>109</v>
      </c>
      <c r="N2003" s="1">
        <v>0.59599999999999997</v>
      </c>
      <c r="O2003">
        <v>25</v>
      </c>
      <c r="P2003" s="1">
        <v>0.36799999999999999</v>
      </c>
      <c r="Q2003" s="1">
        <v>0.61499999999999999</v>
      </c>
      <c r="R2003">
        <v>267</v>
      </c>
      <c r="S2003">
        <v>26</v>
      </c>
      <c r="T2003">
        <v>83</v>
      </c>
      <c r="U2003">
        <v>34</v>
      </c>
      <c r="V2003">
        <v>21</v>
      </c>
      <c r="W2003">
        <v>3</v>
      </c>
      <c r="X2003">
        <v>27</v>
      </c>
      <c r="Y2003" s="5">
        <v>1.26</v>
      </c>
    </row>
    <row r="2004" spans="1:25" x14ac:dyDescent="0.25">
      <c r="A2004">
        <v>2023</v>
      </c>
      <c r="B2004" t="s">
        <v>57</v>
      </c>
      <c r="C2004">
        <v>7</v>
      </c>
      <c r="D2004">
        <v>72</v>
      </c>
      <c r="E2004" t="s">
        <v>159</v>
      </c>
      <c r="F2004" t="s">
        <v>116</v>
      </c>
      <c r="G2004">
        <f t="shared" si="1046"/>
        <v>1</v>
      </c>
      <c r="H2004">
        <v>8</v>
      </c>
      <c r="I2004">
        <v>5</v>
      </c>
      <c r="J2004">
        <v>0</v>
      </c>
      <c r="K2004" s="6" t="str">
        <f t="shared" ref="K2004" si="1083">"vs "&amp;E2005</f>
        <v>vs st.Helens Eruptions</v>
      </c>
      <c r="L2004" s="6" t="str">
        <f t="shared" ref="L2004" si="1084">"vs "&amp;F2005</f>
        <v>vs Aris</v>
      </c>
      <c r="M2004">
        <v>225</v>
      </c>
      <c r="N2004" s="1">
        <v>0.51700000000000002</v>
      </c>
      <c r="O2004">
        <v>48</v>
      </c>
      <c r="P2004" s="1">
        <v>0.378</v>
      </c>
      <c r="Q2004" s="1">
        <v>0.70299999999999996</v>
      </c>
      <c r="R2004">
        <v>602</v>
      </c>
      <c r="S2004">
        <v>53</v>
      </c>
      <c r="T2004">
        <v>181</v>
      </c>
      <c r="U2004">
        <v>141</v>
      </c>
      <c r="V2004">
        <v>35</v>
      </c>
      <c r="W2004">
        <v>22</v>
      </c>
      <c r="X2004">
        <v>71</v>
      </c>
      <c r="Y2004" s="5">
        <v>1.99</v>
      </c>
    </row>
    <row r="2005" spans="1:25" x14ac:dyDescent="0.25">
      <c r="A2005">
        <v>2023</v>
      </c>
      <c r="B2005" t="s">
        <v>57</v>
      </c>
      <c r="C2005">
        <v>7</v>
      </c>
      <c r="D2005">
        <v>72</v>
      </c>
      <c r="E2005" t="s">
        <v>21</v>
      </c>
      <c r="F2005" t="s">
        <v>50</v>
      </c>
      <c r="G2005">
        <f t="shared" si="1046"/>
        <v>0</v>
      </c>
      <c r="H2005">
        <v>5</v>
      </c>
      <c r="I2005">
        <v>8</v>
      </c>
      <c r="J2005">
        <v>0</v>
      </c>
      <c r="K2005" s="6" t="str">
        <f t="shared" ref="K2005" si="1085">"vs "&amp;E2004</f>
        <v>vs purple fuzzy apache pirates</v>
      </c>
      <c r="L2005" s="6" t="str">
        <f t="shared" ref="L2005" si="1086">"vs "&amp;F2004</f>
        <v>vs pi/Sotiris</v>
      </c>
      <c r="M2005">
        <v>204</v>
      </c>
      <c r="N2005" s="1">
        <v>0.48799999999999999</v>
      </c>
      <c r="O2005">
        <v>76</v>
      </c>
      <c r="P2005" s="1">
        <v>0.439</v>
      </c>
      <c r="Q2005" s="1">
        <v>0.78900000000000003</v>
      </c>
      <c r="R2005">
        <v>559</v>
      </c>
      <c r="S2005">
        <v>21</v>
      </c>
      <c r="T2005">
        <v>114</v>
      </c>
      <c r="U2005">
        <v>128</v>
      </c>
      <c r="V2005">
        <v>18</v>
      </c>
      <c r="W2005">
        <v>16</v>
      </c>
      <c r="X2005">
        <v>56</v>
      </c>
      <c r="Y2005" s="5">
        <v>2.29</v>
      </c>
    </row>
    <row r="2006" spans="1:25" x14ac:dyDescent="0.25">
      <c r="A2006">
        <v>2023</v>
      </c>
      <c r="B2006" t="s">
        <v>57</v>
      </c>
      <c r="C2006">
        <v>7</v>
      </c>
      <c r="D2006">
        <v>73</v>
      </c>
      <c r="E2006" t="s">
        <v>25</v>
      </c>
      <c r="F2006" t="s">
        <v>53</v>
      </c>
      <c r="G2006">
        <f t="shared" si="1046"/>
        <v>1</v>
      </c>
      <c r="H2006">
        <v>10</v>
      </c>
      <c r="I2006">
        <v>3</v>
      </c>
      <c r="J2006">
        <v>0</v>
      </c>
      <c r="K2006" s="6" t="str">
        <f t="shared" ref="K2006" si="1087">"vs "&amp;E2007</f>
        <v>vs The Bad Boys</v>
      </c>
      <c r="L2006" s="6" t="str">
        <f t="shared" ref="L2006" si="1088">"vs "&amp;F2007</f>
        <v>vs Arvanitis</v>
      </c>
      <c r="M2006">
        <v>185</v>
      </c>
      <c r="N2006" s="1">
        <v>0.41699999999999998</v>
      </c>
      <c r="O2006">
        <v>54</v>
      </c>
      <c r="P2006" s="1">
        <v>0.32700000000000001</v>
      </c>
      <c r="Q2006" s="1">
        <v>0.77400000000000002</v>
      </c>
      <c r="R2006">
        <v>537</v>
      </c>
      <c r="S2006">
        <v>55</v>
      </c>
      <c r="T2006">
        <v>141</v>
      </c>
      <c r="U2006">
        <v>139</v>
      </c>
      <c r="V2006">
        <v>31</v>
      </c>
      <c r="W2006">
        <v>15</v>
      </c>
      <c r="X2006">
        <v>77</v>
      </c>
      <c r="Y2006" s="5">
        <v>1.81</v>
      </c>
    </row>
    <row r="2007" spans="1:25" x14ac:dyDescent="0.25">
      <c r="A2007">
        <v>2023</v>
      </c>
      <c r="B2007" t="s">
        <v>57</v>
      </c>
      <c r="C2007">
        <v>7</v>
      </c>
      <c r="D2007">
        <v>73</v>
      </c>
      <c r="E2007" t="s">
        <v>154</v>
      </c>
      <c r="F2007" t="s">
        <v>155</v>
      </c>
      <c r="G2007">
        <f t="shared" si="1046"/>
        <v>0</v>
      </c>
      <c r="H2007">
        <v>3</v>
      </c>
      <c r="I2007">
        <v>10</v>
      </c>
      <c r="J2007">
        <v>0</v>
      </c>
      <c r="K2007" s="6" t="str">
        <f t="shared" ref="K2007" si="1089">"vs "&amp;E2006</f>
        <v>vs The Rookies</v>
      </c>
      <c r="L2007" s="6" t="str">
        <f t="shared" ref="L2007" si="1090">"vs "&amp;F2006</f>
        <v>vs Kousidis</v>
      </c>
      <c r="M2007">
        <v>107</v>
      </c>
      <c r="N2007" s="1">
        <v>0.42499999999999999</v>
      </c>
      <c r="O2007">
        <v>16</v>
      </c>
      <c r="P2007" s="1">
        <v>0.21099999999999999</v>
      </c>
      <c r="Q2007" s="1">
        <v>0.73399999999999999</v>
      </c>
      <c r="R2007">
        <v>288</v>
      </c>
      <c r="S2007">
        <v>46</v>
      </c>
      <c r="T2007">
        <v>102</v>
      </c>
      <c r="U2007">
        <v>45</v>
      </c>
      <c r="V2007">
        <v>29</v>
      </c>
      <c r="W2007">
        <v>19</v>
      </c>
      <c r="X2007">
        <v>38</v>
      </c>
      <c r="Y2007" s="5">
        <v>1.18</v>
      </c>
    </row>
    <row r="2008" spans="1:25" x14ac:dyDescent="0.25">
      <c r="A2008">
        <v>2023</v>
      </c>
      <c r="B2008" t="s">
        <v>57</v>
      </c>
      <c r="C2008">
        <v>7</v>
      </c>
      <c r="D2008">
        <v>74</v>
      </c>
      <c r="E2008" t="s">
        <v>16</v>
      </c>
      <c r="F2008" t="s">
        <v>51</v>
      </c>
      <c r="G2008">
        <f t="shared" si="1046"/>
        <v>0</v>
      </c>
      <c r="H2008">
        <v>3</v>
      </c>
      <c r="I2008">
        <v>10</v>
      </c>
      <c r="J2008">
        <v>0</v>
      </c>
      <c r="K2008" s="6" t="str">
        <f t="shared" ref="K2008" si="1091">"vs "&amp;E2009</f>
        <v>vs Samarina Dudenbros</v>
      </c>
      <c r="L2008" s="6" t="str">
        <f t="shared" ref="L2008" si="1092">"vs "&amp;F2009</f>
        <v>vs Sakellariou</v>
      </c>
      <c r="M2008">
        <v>120</v>
      </c>
      <c r="N2008" s="1">
        <v>0.46</v>
      </c>
      <c r="O2008">
        <v>30</v>
      </c>
      <c r="P2008" s="1">
        <v>0.313</v>
      </c>
      <c r="Q2008" s="1">
        <v>0.871</v>
      </c>
      <c r="R2008">
        <v>331</v>
      </c>
      <c r="S2008">
        <v>29</v>
      </c>
      <c r="T2008">
        <v>82</v>
      </c>
      <c r="U2008">
        <v>105</v>
      </c>
      <c r="V2008">
        <v>16</v>
      </c>
      <c r="W2008">
        <v>14</v>
      </c>
      <c r="X2008">
        <v>39</v>
      </c>
      <c r="Y2008" s="5">
        <v>2.69</v>
      </c>
    </row>
    <row r="2009" spans="1:25" x14ac:dyDescent="0.25">
      <c r="A2009">
        <v>2023</v>
      </c>
      <c r="B2009" t="s">
        <v>57</v>
      </c>
      <c r="C2009">
        <v>7</v>
      </c>
      <c r="D2009">
        <v>74</v>
      </c>
      <c r="E2009" t="s">
        <v>181</v>
      </c>
      <c r="F2009" t="s">
        <v>49</v>
      </c>
      <c r="G2009">
        <f t="shared" si="1046"/>
        <v>1</v>
      </c>
      <c r="H2009">
        <v>10</v>
      </c>
      <c r="I2009">
        <v>3</v>
      </c>
      <c r="J2009">
        <v>0</v>
      </c>
      <c r="K2009" s="6" t="str">
        <f t="shared" ref="K2009" si="1093">"vs "&amp;E2008</f>
        <v>vs The Bridgeburners</v>
      </c>
      <c r="L2009" s="6" t="str">
        <f t="shared" ref="L2009" si="1094">"vs "&amp;F2008</f>
        <v>vs Fanis</v>
      </c>
      <c r="M2009">
        <v>228</v>
      </c>
      <c r="N2009" s="1">
        <v>0.47699999999999998</v>
      </c>
      <c r="O2009">
        <v>74</v>
      </c>
      <c r="P2009" s="1">
        <v>0.39600000000000002</v>
      </c>
      <c r="Q2009" s="1">
        <v>0.81299999999999994</v>
      </c>
      <c r="R2009">
        <v>630</v>
      </c>
      <c r="S2009">
        <v>43</v>
      </c>
      <c r="T2009">
        <v>147</v>
      </c>
      <c r="U2009">
        <v>132</v>
      </c>
      <c r="V2009">
        <v>41</v>
      </c>
      <c r="W2009">
        <v>15</v>
      </c>
      <c r="X2009">
        <v>68</v>
      </c>
      <c r="Y2009" s="5">
        <v>1.94</v>
      </c>
    </row>
    <row r="2010" spans="1:25" x14ac:dyDescent="0.25">
      <c r="A2010">
        <v>2023</v>
      </c>
      <c r="B2010" t="s">
        <v>57</v>
      </c>
      <c r="C2010">
        <v>7</v>
      </c>
      <c r="D2010">
        <v>75</v>
      </c>
      <c r="E2010" t="s">
        <v>96</v>
      </c>
      <c r="F2010" t="s">
        <v>102</v>
      </c>
      <c r="G2010">
        <f t="shared" si="1046"/>
        <v>0</v>
      </c>
      <c r="H2010">
        <v>3</v>
      </c>
      <c r="I2010">
        <v>9</v>
      </c>
      <c r="J2010">
        <v>1</v>
      </c>
      <c r="K2010" s="6" t="str">
        <f t="shared" ref="K2010" si="1095">"vs "&amp;E2011</f>
        <v>vs Karafli SaiTa</v>
      </c>
      <c r="L2010" s="6" t="str">
        <f t="shared" ref="L2010" si="1096">"vs "&amp;F2011</f>
        <v>vs Tassos</v>
      </c>
      <c r="M2010">
        <v>117</v>
      </c>
      <c r="N2010" s="1">
        <v>0.52700000000000002</v>
      </c>
      <c r="O2010">
        <v>36</v>
      </c>
      <c r="P2010" s="1">
        <v>0.439</v>
      </c>
      <c r="Q2010" s="1">
        <v>0.65500000000000003</v>
      </c>
      <c r="R2010">
        <v>306</v>
      </c>
      <c r="S2010">
        <v>38</v>
      </c>
      <c r="T2010">
        <v>96</v>
      </c>
      <c r="U2010">
        <v>32</v>
      </c>
      <c r="V2010">
        <v>23</v>
      </c>
      <c r="W2010">
        <v>13</v>
      </c>
      <c r="X2010">
        <v>29</v>
      </c>
      <c r="Y2010" s="5">
        <v>1.1000000000000001</v>
      </c>
    </row>
    <row r="2011" spans="1:25" x14ac:dyDescent="0.25">
      <c r="A2011">
        <v>2023</v>
      </c>
      <c r="B2011" t="s">
        <v>57</v>
      </c>
      <c r="C2011">
        <v>7</v>
      </c>
      <c r="D2011">
        <v>75</v>
      </c>
      <c r="E2011" t="s">
        <v>190</v>
      </c>
      <c r="F2011" t="s">
        <v>103</v>
      </c>
      <c r="G2011">
        <f t="shared" si="1046"/>
        <v>1</v>
      </c>
      <c r="H2011">
        <v>9</v>
      </c>
      <c r="I2011">
        <v>3</v>
      </c>
      <c r="J2011">
        <v>1</v>
      </c>
      <c r="K2011" s="6" t="str">
        <f t="shared" ref="K2011" si="1097">"vs "&amp;E2010</f>
        <v>vs Knights of Ni</v>
      </c>
      <c r="L2011" s="6" t="str">
        <f t="shared" ref="L2011" si="1098">"vs "&amp;F2010</f>
        <v>vs Tolios</v>
      </c>
      <c r="M2011">
        <v>176</v>
      </c>
      <c r="N2011" s="1">
        <v>0.46600000000000003</v>
      </c>
      <c r="O2011">
        <v>41</v>
      </c>
      <c r="P2011" s="1">
        <v>0.33100000000000002</v>
      </c>
      <c r="Q2011" s="1">
        <v>0.81699999999999995</v>
      </c>
      <c r="R2011">
        <v>487</v>
      </c>
      <c r="S2011">
        <v>40</v>
      </c>
      <c r="T2011">
        <v>122</v>
      </c>
      <c r="U2011">
        <v>111</v>
      </c>
      <c r="V2011">
        <v>23</v>
      </c>
      <c r="W2011">
        <v>21</v>
      </c>
      <c r="X2011">
        <v>63</v>
      </c>
      <c r="Y2011" s="5">
        <v>1.76</v>
      </c>
    </row>
    <row r="2012" spans="1:25" x14ac:dyDescent="0.25">
      <c r="A2012">
        <v>2023</v>
      </c>
      <c r="B2012" t="s">
        <v>57</v>
      </c>
      <c r="C2012">
        <v>7</v>
      </c>
      <c r="D2012">
        <v>76</v>
      </c>
      <c r="E2012" t="s">
        <v>28</v>
      </c>
      <c r="F2012" t="s">
        <v>46</v>
      </c>
      <c r="G2012">
        <f t="shared" si="1046"/>
        <v>0</v>
      </c>
      <c r="H2012">
        <v>4</v>
      </c>
      <c r="I2012">
        <v>9</v>
      </c>
      <c r="J2012">
        <v>0</v>
      </c>
      <c r="K2012" s="6" t="str">
        <f t="shared" ref="K2012" si="1099">"vs "&amp;E2013</f>
        <v>vs Pachiana NinjaBees</v>
      </c>
      <c r="L2012" s="6" t="str">
        <f t="shared" ref="L2012" si="1100">"vs "&amp;F2013</f>
        <v>vs Spiridaus/Oladipas</v>
      </c>
      <c r="M2012">
        <v>168</v>
      </c>
      <c r="N2012" s="1">
        <v>0.49</v>
      </c>
      <c r="O2012">
        <v>49</v>
      </c>
      <c r="P2012" s="1">
        <v>0.41199999999999998</v>
      </c>
      <c r="Q2012" s="1">
        <v>0.72199999999999998</v>
      </c>
      <c r="R2012">
        <v>442</v>
      </c>
      <c r="S2012">
        <v>41</v>
      </c>
      <c r="T2012">
        <v>121</v>
      </c>
      <c r="U2012">
        <v>91</v>
      </c>
      <c r="V2012">
        <v>36</v>
      </c>
      <c r="W2012">
        <v>16</v>
      </c>
      <c r="X2012">
        <v>64</v>
      </c>
      <c r="Y2012" s="5">
        <v>1.42</v>
      </c>
    </row>
    <row r="2013" spans="1:25" x14ac:dyDescent="0.25">
      <c r="A2013">
        <v>2023</v>
      </c>
      <c r="B2013" t="s">
        <v>57</v>
      </c>
      <c r="C2013">
        <v>7</v>
      </c>
      <c r="D2013">
        <v>76</v>
      </c>
      <c r="E2013" t="s">
        <v>23</v>
      </c>
      <c r="F2013" t="s">
        <v>120</v>
      </c>
      <c r="G2013">
        <f t="shared" si="1046"/>
        <v>1</v>
      </c>
      <c r="H2013">
        <v>9</v>
      </c>
      <c r="I2013">
        <v>4</v>
      </c>
      <c r="J2013">
        <v>0</v>
      </c>
      <c r="K2013" s="6" t="str">
        <f t="shared" ref="K2013" si="1101">"vs "&amp;E2012</f>
        <v>vs Steven Adams' Moustache</v>
      </c>
      <c r="L2013" s="6" t="str">
        <f t="shared" ref="L2013" si="1102">"vs "&amp;F2012</f>
        <v>vs Johnny</v>
      </c>
      <c r="M2013">
        <v>235</v>
      </c>
      <c r="N2013" s="1">
        <v>0.56899999999999995</v>
      </c>
      <c r="O2013">
        <v>54</v>
      </c>
      <c r="P2013" s="1">
        <v>0.44600000000000001</v>
      </c>
      <c r="Q2013" s="1">
        <v>0.85399999999999998</v>
      </c>
      <c r="R2013">
        <v>629</v>
      </c>
      <c r="S2013">
        <v>40</v>
      </c>
      <c r="T2013">
        <v>139</v>
      </c>
      <c r="U2013">
        <v>134</v>
      </c>
      <c r="V2013">
        <v>33</v>
      </c>
      <c r="W2013">
        <v>7</v>
      </c>
      <c r="X2013">
        <v>66</v>
      </c>
      <c r="Y2013" s="5">
        <v>2.0299999999999998</v>
      </c>
    </row>
    <row r="2014" spans="1:25" x14ac:dyDescent="0.25">
      <c r="A2014">
        <v>2023</v>
      </c>
      <c r="B2014" t="s">
        <v>57</v>
      </c>
      <c r="C2014">
        <v>7</v>
      </c>
      <c r="D2014">
        <v>77</v>
      </c>
      <c r="E2014" t="s">
        <v>15</v>
      </c>
      <c r="F2014" t="s">
        <v>48</v>
      </c>
      <c r="G2014">
        <f t="shared" si="1046"/>
        <v>1</v>
      </c>
      <c r="H2014">
        <v>8</v>
      </c>
      <c r="I2014">
        <v>4</v>
      </c>
      <c r="J2014">
        <v>1</v>
      </c>
      <c r="K2014" s="6" t="str">
        <f t="shared" ref="K2014" si="1103">"vs "&amp;E2015</f>
        <v>vs Tsarlatans</v>
      </c>
      <c r="L2014" s="6" t="str">
        <f t="shared" ref="L2014" si="1104">"vs "&amp;F2015</f>
        <v>vs Tzokos</v>
      </c>
      <c r="M2014">
        <v>178</v>
      </c>
      <c r="N2014" s="1">
        <v>0.5</v>
      </c>
      <c r="O2014">
        <v>46</v>
      </c>
      <c r="P2014" s="1">
        <v>0.35399999999999998</v>
      </c>
      <c r="Q2014" s="1">
        <v>0.77100000000000002</v>
      </c>
      <c r="R2014">
        <v>466</v>
      </c>
      <c r="S2014">
        <v>35</v>
      </c>
      <c r="T2014">
        <v>91</v>
      </c>
      <c r="U2014">
        <v>92</v>
      </c>
      <c r="V2014">
        <v>20</v>
      </c>
      <c r="W2014">
        <v>14</v>
      </c>
      <c r="X2014">
        <v>66</v>
      </c>
      <c r="Y2014" s="5">
        <v>1.39</v>
      </c>
    </row>
    <row r="2015" spans="1:25" x14ac:dyDescent="0.25">
      <c r="A2015">
        <v>2023</v>
      </c>
      <c r="B2015" t="s">
        <v>57</v>
      </c>
      <c r="C2015">
        <v>7</v>
      </c>
      <c r="D2015">
        <v>77</v>
      </c>
      <c r="E2015" t="s">
        <v>99</v>
      </c>
      <c r="F2015" t="s">
        <v>45</v>
      </c>
      <c r="G2015">
        <f t="shared" si="1046"/>
        <v>0</v>
      </c>
      <c r="H2015">
        <v>4</v>
      </c>
      <c r="I2015">
        <v>8</v>
      </c>
      <c r="J2015">
        <v>1</v>
      </c>
      <c r="K2015" s="6" t="str">
        <f t="shared" ref="K2015" si="1105">"vs "&amp;E2014</f>
        <v>vs Salonika Devils</v>
      </c>
      <c r="L2015" s="6" t="str">
        <f t="shared" ref="L2015" si="1106">"vs "&amp;F2014</f>
        <v>vs Fountos</v>
      </c>
      <c r="M2015">
        <v>149</v>
      </c>
      <c r="N2015" s="1">
        <v>0.47199999999999998</v>
      </c>
      <c r="O2015">
        <v>31</v>
      </c>
      <c r="P2015" s="1">
        <v>0.26700000000000002</v>
      </c>
      <c r="Q2015" s="1">
        <v>0.71799999999999997</v>
      </c>
      <c r="R2015">
        <v>385</v>
      </c>
      <c r="S2015">
        <v>35</v>
      </c>
      <c r="T2015">
        <v>108</v>
      </c>
      <c r="U2015">
        <v>75</v>
      </c>
      <c r="V2015">
        <v>18</v>
      </c>
      <c r="W2015">
        <v>15</v>
      </c>
      <c r="X2015">
        <v>53</v>
      </c>
      <c r="Y2015" s="5">
        <v>1.42</v>
      </c>
    </row>
    <row r="2016" spans="1:25" x14ac:dyDescent="0.25">
      <c r="A2016">
        <v>2023</v>
      </c>
      <c r="B2016" t="s">
        <v>57</v>
      </c>
      <c r="C2016">
        <v>7</v>
      </c>
      <c r="D2016">
        <v>78</v>
      </c>
      <c r="E2016" t="s">
        <v>95</v>
      </c>
      <c r="F2016" t="s">
        <v>101</v>
      </c>
      <c r="G2016">
        <f t="shared" si="1046"/>
        <v>0</v>
      </c>
      <c r="H2016">
        <v>3</v>
      </c>
      <c r="I2016">
        <v>10</v>
      </c>
      <c r="J2016">
        <v>0</v>
      </c>
      <c r="K2016" s="6" t="str">
        <f t="shared" ref="K2016" si="1107">"vs "&amp;E2017</f>
        <v>vs Xanthi Ducks 🦆</v>
      </c>
      <c r="L2016" s="6" t="str">
        <f t="shared" ref="L2016" si="1108">"vs "&amp;F2017</f>
        <v>vs Kotakis</v>
      </c>
      <c r="M2016">
        <v>121</v>
      </c>
      <c r="N2016" s="1">
        <v>0.48599999999999999</v>
      </c>
      <c r="O2016">
        <v>31</v>
      </c>
      <c r="P2016" s="1">
        <v>0.32300000000000001</v>
      </c>
      <c r="Q2016" s="1">
        <v>0.72399999999999998</v>
      </c>
      <c r="R2016">
        <v>315</v>
      </c>
      <c r="S2016">
        <v>30</v>
      </c>
      <c r="T2016">
        <v>101</v>
      </c>
      <c r="U2016">
        <v>63</v>
      </c>
      <c r="V2016">
        <v>33</v>
      </c>
      <c r="W2016">
        <v>18</v>
      </c>
      <c r="X2016">
        <v>37</v>
      </c>
      <c r="Y2016" s="5">
        <v>1.7</v>
      </c>
    </row>
    <row r="2017" spans="1:25" x14ac:dyDescent="0.25">
      <c r="A2017">
        <v>2023</v>
      </c>
      <c r="B2017" t="s">
        <v>57</v>
      </c>
      <c r="C2017">
        <v>7</v>
      </c>
      <c r="D2017">
        <v>78</v>
      </c>
      <c r="E2017" t="s">
        <v>98</v>
      </c>
      <c r="F2017" t="s">
        <v>41</v>
      </c>
      <c r="G2017">
        <f t="shared" si="1046"/>
        <v>1</v>
      </c>
      <c r="H2017">
        <v>10</v>
      </c>
      <c r="I2017">
        <v>3</v>
      </c>
      <c r="J2017">
        <v>0</v>
      </c>
      <c r="K2017" s="6" t="str">
        <f t="shared" ref="K2017" si="1109">"vs "&amp;E2016</f>
        <v>vs Baltimore Hercules</v>
      </c>
      <c r="L2017" s="6" t="str">
        <f t="shared" ref="L2017" si="1110">"vs "&amp;F2016</f>
        <v>vs Sarantos</v>
      </c>
      <c r="M2017">
        <v>173</v>
      </c>
      <c r="N2017" s="1">
        <v>0.46400000000000002</v>
      </c>
      <c r="O2017">
        <v>65</v>
      </c>
      <c r="P2017" s="1">
        <v>0.38200000000000001</v>
      </c>
      <c r="Q2017" s="1">
        <v>0.89</v>
      </c>
      <c r="R2017">
        <v>476</v>
      </c>
      <c r="S2017">
        <v>35</v>
      </c>
      <c r="T2017">
        <v>169</v>
      </c>
      <c r="U2017">
        <v>132</v>
      </c>
      <c r="V2017">
        <v>31</v>
      </c>
      <c r="W2017">
        <v>30</v>
      </c>
      <c r="X2017">
        <v>65</v>
      </c>
      <c r="Y2017" s="5">
        <v>2.0299999999999998</v>
      </c>
    </row>
    <row r="2018" spans="1:25" x14ac:dyDescent="0.25">
      <c r="A2018">
        <v>2023</v>
      </c>
      <c r="B2018" t="s">
        <v>57</v>
      </c>
      <c r="C2018">
        <v>7</v>
      </c>
      <c r="D2018">
        <v>79</v>
      </c>
      <c r="E2018" t="s">
        <v>93</v>
      </c>
      <c r="F2018" t="s">
        <v>189</v>
      </c>
      <c r="G2018">
        <f t="shared" si="1046"/>
        <v>1</v>
      </c>
      <c r="H2018">
        <v>7</v>
      </c>
      <c r="I2018">
        <v>6</v>
      </c>
      <c r="J2018">
        <v>0</v>
      </c>
      <c r="K2018" s="6" t="str">
        <f t="shared" ref="K2018" si="1111">"vs "&amp;E2019</f>
        <v>vs Donkey Rolls</v>
      </c>
      <c r="L2018" s="6" t="str">
        <f t="shared" ref="L2018" si="1112">"vs "&amp;F2019</f>
        <v>vs Markos</v>
      </c>
      <c r="M2018">
        <v>160</v>
      </c>
      <c r="N2018" s="1">
        <v>0.442</v>
      </c>
      <c r="O2018">
        <v>41</v>
      </c>
      <c r="P2018" s="1">
        <v>0.27200000000000002</v>
      </c>
      <c r="Q2018" s="1">
        <v>0.82099999999999995</v>
      </c>
      <c r="R2018">
        <v>430</v>
      </c>
      <c r="S2018">
        <v>24</v>
      </c>
      <c r="T2018">
        <v>128</v>
      </c>
      <c r="U2018">
        <v>114</v>
      </c>
      <c r="V2018">
        <v>24</v>
      </c>
      <c r="W2018">
        <v>19</v>
      </c>
      <c r="X2018">
        <v>61</v>
      </c>
      <c r="Y2018" s="5">
        <v>1.87</v>
      </c>
    </row>
    <row r="2019" spans="1:25" x14ac:dyDescent="0.25">
      <c r="A2019">
        <v>2023</v>
      </c>
      <c r="B2019" t="s">
        <v>57</v>
      </c>
      <c r="C2019">
        <v>7</v>
      </c>
      <c r="D2019">
        <v>79</v>
      </c>
      <c r="E2019" t="s">
        <v>17</v>
      </c>
      <c r="F2019" t="s">
        <v>43</v>
      </c>
      <c r="G2019">
        <f t="shared" si="1046"/>
        <v>0</v>
      </c>
      <c r="H2019">
        <v>6</v>
      </c>
      <c r="I2019">
        <v>7</v>
      </c>
      <c r="J2019">
        <v>0</v>
      </c>
      <c r="K2019" s="6" t="str">
        <f t="shared" ref="K2019" si="1113">"vs "&amp;E2018</f>
        <v>vs Guruuu 🐐🐐🐐</v>
      </c>
      <c r="L2019" s="6" t="str">
        <f t="shared" ref="L2019" si="1114">"vs "&amp;F2018</f>
        <v>vs Guru</v>
      </c>
      <c r="M2019">
        <v>177</v>
      </c>
      <c r="N2019" s="1">
        <v>0.433</v>
      </c>
      <c r="O2019">
        <v>64</v>
      </c>
      <c r="P2019" s="1">
        <v>0.41799999999999998</v>
      </c>
      <c r="Q2019" s="1">
        <v>0.81100000000000005</v>
      </c>
      <c r="R2019">
        <v>504</v>
      </c>
      <c r="S2019">
        <v>37</v>
      </c>
      <c r="T2019">
        <v>116</v>
      </c>
      <c r="U2019">
        <v>94</v>
      </c>
      <c r="V2019">
        <v>18</v>
      </c>
      <c r="W2019">
        <v>23</v>
      </c>
      <c r="X2019">
        <v>62</v>
      </c>
      <c r="Y2019" s="5">
        <v>1.52</v>
      </c>
    </row>
    <row r="2020" spans="1:25" x14ac:dyDescent="0.25">
      <c r="A2020">
        <v>2023</v>
      </c>
      <c r="B2020" t="s">
        <v>57</v>
      </c>
      <c r="C2020">
        <v>7</v>
      </c>
      <c r="D2020">
        <v>80</v>
      </c>
      <c r="E2020" t="s">
        <v>33</v>
      </c>
      <c r="F2020" t="s">
        <v>42</v>
      </c>
      <c r="G2020">
        <f t="shared" si="1046"/>
        <v>1</v>
      </c>
      <c r="H2020">
        <v>8</v>
      </c>
      <c r="I2020">
        <v>5</v>
      </c>
      <c r="J2020">
        <v>0</v>
      </c>
      <c r="K2020" s="6" t="str">
        <f t="shared" ref="K2020" si="1115">"vs "&amp;E2021</f>
        <v>vs Kourayo Vallecano</v>
      </c>
      <c r="L2020" s="6" t="str">
        <f t="shared" ref="L2020" si="1116">"vs "&amp;F2021</f>
        <v>vs Ziogas/Christof</v>
      </c>
      <c r="M2020">
        <v>199</v>
      </c>
      <c r="N2020" s="1">
        <v>0.53500000000000003</v>
      </c>
      <c r="O2020">
        <v>46</v>
      </c>
      <c r="P2020" s="1">
        <v>0.38300000000000001</v>
      </c>
      <c r="Q2020" s="1">
        <v>0.77800000000000002</v>
      </c>
      <c r="R2020">
        <v>535</v>
      </c>
      <c r="S2020">
        <v>51</v>
      </c>
      <c r="T2020">
        <v>134</v>
      </c>
      <c r="U2020">
        <v>115</v>
      </c>
      <c r="V2020">
        <v>30</v>
      </c>
      <c r="W2020">
        <v>19</v>
      </c>
      <c r="X2020">
        <v>76</v>
      </c>
      <c r="Y2020" s="5">
        <v>1.51</v>
      </c>
    </row>
    <row r="2021" spans="1:25" x14ac:dyDescent="0.25">
      <c r="A2021">
        <v>2023</v>
      </c>
      <c r="B2021" t="s">
        <v>57</v>
      </c>
      <c r="C2021">
        <v>7</v>
      </c>
      <c r="D2021">
        <v>80</v>
      </c>
      <c r="E2021" t="s">
        <v>26</v>
      </c>
      <c r="F2021" t="s">
        <v>118</v>
      </c>
      <c r="G2021">
        <f t="shared" si="1046"/>
        <v>0</v>
      </c>
      <c r="H2021">
        <v>5</v>
      </c>
      <c r="I2021">
        <v>8</v>
      </c>
      <c r="J2021">
        <v>0</v>
      </c>
      <c r="K2021" s="6" t="str">
        <f t="shared" ref="K2021" si="1117">"vs "&amp;E2020</f>
        <v>vs The Guns</v>
      </c>
      <c r="L2021" s="6" t="str">
        <f t="shared" ref="L2021" si="1118">"vs "&amp;F2020</f>
        <v>vs Vasilis</v>
      </c>
      <c r="M2021">
        <v>146</v>
      </c>
      <c r="N2021" s="1">
        <v>0.45600000000000002</v>
      </c>
      <c r="O2021">
        <v>63</v>
      </c>
      <c r="P2021" s="1">
        <v>0.375</v>
      </c>
      <c r="Q2021" s="1">
        <v>0.84599999999999997</v>
      </c>
      <c r="R2021">
        <v>399</v>
      </c>
      <c r="S2021">
        <v>31</v>
      </c>
      <c r="T2021">
        <v>129</v>
      </c>
      <c r="U2021">
        <v>103</v>
      </c>
      <c r="V2021">
        <v>32</v>
      </c>
      <c r="W2021">
        <v>9</v>
      </c>
      <c r="X2021">
        <v>48</v>
      </c>
      <c r="Y2021" s="5">
        <v>2.15</v>
      </c>
    </row>
    <row r="2022" spans="1:25" x14ac:dyDescent="0.25">
      <c r="A2022">
        <v>2023</v>
      </c>
      <c r="B2022" t="s">
        <v>57</v>
      </c>
      <c r="C2022">
        <v>8</v>
      </c>
      <c r="D2022">
        <v>81</v>
      </c>
      <c r="E2022" t="s">
        <v>154</v>
      </c>
      <c r="F2022" t="s">
        <v>155</v>
      </c>
      <c r="G2022">
        <f t="shared" si="1046"/>
        <v>0</v>
      </c>
      <c r="H2022">
        <v>6</v>
      </c>
      <c r="I2022">
        <v>7</v>
      </c>
      <c r="J2022">
        <v>0</v>
      </c>
      <c r="K2022" s="6" t="str">
        <f t="shared" ref="K2022" si="1119">"vs "&amp;E2023</f>
        <v>vs purple fuzzy apache pirates</v>
      </c>
      <c r="L2022" s="6" t="str">
        <f t="shared" ref="L2022" si="1120">"vs "&amp;F2023</f>
        <v>vs pi/Sotiris</v>
      </c>
      <c r="M2022">
        <v>148</v>
      </c>
      <c r="N2022" s="1">
        <v>0.48199999999999998</v>
      </c>
      <c r="O2022">
        <v>49</v>
      </c>
      <c r="P2022" s="1">
        <v>0.39200000000000002</v>
      </c>
      <c r="Q2022" s="1">
        <v>0.7</v>
      </c>
      <c r="R2022">
        <v>380</v>
      </c>
      <c r="S2022">
        <v>53</v>
      </c>
      <c r="T2022">
        <v>135</v>
      </c>
      <c r="U2022">
        <v>66</v>
      </c>
      <c r="V2022">
        <v>33</v>
      </c>
      <c r="W2022">
        <v>23</v>
      </c>
      <c r="X2022">
        <v>41</v>
      </c>
      <c r="Y2022" s="5">
        <v>1.61</v>
      </c>
    </row>
    <row r="2023" spans="1:25" x14ac:dyDescent="0.25">
      <c r="A2023">
        <v>2023</v>
      </c>
      <c r="B2023" t="s">
        <v>57</v>
      </c>
      <c r="C2023">
        <v>8</v>
      </c>
      <c r="D2023">
        <v>81</v>
      </c>
      <c r="E2023" t="s">
        <v>159</v>
      </c>
      <c r="F2023" t="s">
        <v>116</v>
      </c>
      <c r="G2023">
        <f t="shared" si="1046"/>
        <v>1</v>
      </c>
      <c r="H2023">
        <v>7</v>
      </c>
      <c r="I2023">
        <v>6</v>
      </c>
      <c r="J2023">
        <v>0</v>
      </c>
      <c r="K2023" s="6" t="str">
        <f t="shared" ref="K2023" si="1121">"vs "&amp;E2022</f>
        <v>vs The Bad Boys</v>
      </c>
      <c r="L2023" s="6" t="str">
        <f t="shared" ref="L2023" si="1122">"vs "&amp;F2022</f>
        <v>vs Arvanitis</v>
      </c>
      <c r="M2023">
        <v>192</v>
      </c>
      <c r="N2023" s="1">
        <v>0.49199999999999999</v>
      </c>
      <c r="O2023">
        <v>45</v>
      </c>
      <c r="P2023" s="1">
        <v>0.36899999999999999</v>
      </c>
      <c r="Q2023" s="1">
        <v>0.83199999999999996</v>
      </c>
      <c r="R2023">
        <v>533</v>
      </c>
      <c r="S2023">
        <v>38</v>
      </c>
      <c r="T2023">
        <v>183</v>
      </c>
      <c r="U2023">
        <v>118</v>
      </c>
      <c r="V2023">
        <v>31</v>
      </c>
      <c r="W2023">
        <v>25</v>
      </c>
      <c r="X2023">
        <v>78</v>
      </c>
      <c r="Y2023" s="5">
        <v>1.51</v>
      </c>
    </row>
    <row r="2024" spans="1:25" x14ac:dyDescent="0.25">
      <c r="A2024">
        <v>2023</v>
      </c>
      <c r="B2024" t="s">
        <v>57</v>
      </c>
      <c r="C2024">
        <v>8</v>
      </c>
      <c r="D2024">
        <v>82</v>
      </c>
      <c r="E2024" t="s">
        <v>26</v>
      </c>
      <c r="F2024" t="s">
        <v>118</v>
      </c>
      <c r="G2024">
        <f t="shared" si="1046"/>
        <v>0</v>
      </c>
      <c r="H2024">
        <v>4</v>
      </c>
      <c r="I2024">
        <v>9</v>
      </c>
      <c r="J2024">
        <v>0</v>
      </c>
      <c r="K2024" s="6" t="str">
        <f t="shared" ref="K2024" si="1123">"vs "&amp;E2025</f>
        <v>vs The Bridgeburners</v>
      </c>
      <c r="L2024" s="6" t="str">
        <f t="shared" ref="L2024" si="1124">"vs "&amp;F2025</f>
        <v>vs Fanis</v>
      </c>
      <c r="M2024">
        <v>94</v>
      </c>
      <c r="N2024" s="1">
        <v>0.41799999999999998</v>
      </c>
      <c r="O2024">
        <v>38</v>
      </c>
      <c r="P2024" s="1">
        <v>0.34899999999999998</v>
      </c>
      <c r="Q2024" s="1">
        <v>0.81399999999999995</v>
      </c>
      <c r="R2024">
        <v>261</v>
      </c>
      <c r="S2024">
        <v>22</v>
      </c>
      <c r="T2024">
        <v>85</v>
      </c>
      <c r="U2024">
        <v>88</v>
      </c>
      <c r="V2024">
        <v>17</v>
      </c>
      <c r="W2024">
        <v>5</v>
      </c>
      <c r="X2024">
        <v>35</v>
      </c>
      <c r="Y2024" s="5">
        <v>2.5099999999999998</v>
      </c>
    </row>
    <row r="2025" spans="1:25" x14ac:dyDescent="0.25">
      <c r="A2025">
        <v>2023</v>
      </c>
      <c r="B2025" t="s">
        <v>57</v>
      </c>
      <c r="C2025">
        <v>8</v>
      </c>
      <c r="D2025">
        <v>82</v>
      </c>
      <c r="E2025" t="s">
        <v>16</v>
      </c>
      <c r="F2025" t="s">
        <v>51</v>
      </c>
      <c r="G2025">
        <f t="shared" si="1046"/>
        <v>1</v>
      </c>
      <c r="H2025">
        <v>9</v>
      </c>
      <c r="I2025">
        <v>4</v>
      </c>
      <c r="J2025">
        <v>0</v>
      </c>
      <c r="K2025" s="6" t="str">
        <f t="shared" ref="K2025" si="1125">"vs "&amp;E2024</f>
        <v>vs Kourayo Vallecano</v>
      </c>
      <c r="L2025" s="6" t="str">
        <f t="shared" ref="L2025" si="1126">"vs "&amp;F2024</f>
        <v>vs Ziogas/Christof</v>
      </c>
      <c r="M2025">
        <v>147</v>
      </c>
      <c r="N2025" s="1">
        <v>0.47099999999999997</v>
      </c>
      <c r="O2025">
        <v>32</v>
      </c>
      <c r="P2025" s="1">
        <v>0.29399999999999998</v>
      </c>
      <c r="Q2025" s="1">
        <v>0.84499999999999997</v>
      </c>
      <c r="R2025">
        <v>419</v>
      </c>
      <c r="S2025">
        <v>26</v>
      </c>
      <c r="T2025">
        <v>108</v>
      </c>
      <c r="U2025">
        <v>112</v>
      </c>
      <c r="V2025">
        <v>34</v>
      </c>
      <c r="W2025">
        <v>14</v>
      </c>
      <c r="X2025">
        <v>51</v>
      </c>
      <c r="Y2025" s="5">
        <v>2.2000000000000002</v>
      </c>
    </row>
    <row r="2026" spans="1:25" x14ac:dyDescent="0.25">
      <c r="A2026">
        <v>2023</v>
      </c>
      <c r="B2026" t="s">
        <v>57</v>
      </c>
      <c r="C2026">
        <v>8</v>
      </c>
      <c r="D2026">
        <v>83</v>
      </c>
      <c r="E2026" t="s">
        <v>23</v>
      </c>
      <c r="F2026" t="s">
        <v>120</v>
      </c>
      <c r="G2026">
        <f t="shared" si="1046"/>
        <v>1</v>
      </c>
      <c r="H2026">
        <v>9</v>
      </c>
      <c r="I2026">
        <v>3</v>
      </c>
      <c r="J2026">
        <v>1</v>
      </c>
      <c r="K2026" s="6" t="str">
        <f t="shared" ref="K2026" si="1127">"vs "&amp;E2027</f>
        <v>vs Salonika Devils</v>
      </c>
      <c r="L2026" s="6" t="str">
        <f t="shared" ref="L2026" si="1128">"vs "&amp;F2027</f>
        <v>vs Fountos</v>
      </c>
      <c r="M2026">
        <v>173</v>
      </c>
      <c r="N2026" s="1">
        <v>0.5</v>
      </c>
      <c r="O2026">
        <v>29</v>
      </c>
      <c r="P2026" s="1">
        <v>0.309</v>
      </c>
      <c r="Q2026" s="1">
        <v>0.75600000000000001</v>
      </c>
      <c r="R2026">
        <v>437</v>
      </c>
      <c r="S2026">
        <v>45</v>
      </c>
      <c r="T2026">
        <v>120</v>
      </c>
      <c r="U2026">
        <v>89</v>
      </c>
      <c r="V2026">
        <v>19</v>
      </c>
      <c r="W2026">
        <v>12</v>
      </c>
      <c r="X2026">
        <v>56</v>
      </c>
      <c r="Y2026" s="5">
        <v>1.59</v>
      </c>
    </row>
    <row r="2027" spans="1:25" x14ac:dyDescent="0.25">
      <c r="A2027">
        <v>2023</v>
      </c>
      <c r="B2027" t="s">
        <v>57</v>
      </c>
      <c r="C2027">
        <v>8</v>
      </c>
      <c r="D2027">
        <v>83</v>
      </c>
      <c r="E2027" t="s">
        <v>15</v>
      </c>
      <c r="F2027" t="s">
        <v>48</v>
      </c>
      <c r="G2027">
        <f t="shared" si="1046"/>
        <v>0</v>
      </c>
      <c r="H2027">
        <v>3</v>
      </c>
      <c r="I2027">
        <v>9</v>
      </c>
      <c r="J2027">
        <v>1</v>
      </c>
      <c r="K2027" s="6" t="str">
        <f t="shared" ref="K2027" si="1129">"vs "&amp;E2026</f>
        <v>vs Pachiana NinjaBees</v>
      </c>
      <c r="L2027" s="6" t="str">
        <f t="shared" ref="L2027" si="1130">"vs "&amp;F2026</f>
        <v>vs Spiridaus/Oladipas</v>
      </c>
      <c r="M2027">
        <v>139</v>
      </c>
      <c r="N2027" s="1">
        <v>0.498</v>
      </c>
      <c r="O2027">
        <v>63</v>
      </c>
      <c r="P2027" s="1">
        <v>0.438</v>
      </c>
      <c r="Q2027" s="1">
        <v>0.74099999999999999</v>
      </c>
      <c r="R2027">
        <v>381</v>
      </c>
      <c r="S2027">
        <v>30</v>
      </c>
      <c r="T2027">
        <v>95</v>
      </c>
      <c r="U2027">
        <v>48</v>
      </c>
      <c r="V2027">
        <v>19</v>
      </c>
      <c r="W2027">
        <v>11</v>
      </c>
      <c r="X2027">
        <v>37</v>
      </c>
      <c r="Y2027" s="5">
        <v>1.3</v>
      </c>
    </row>
    <row r="2028" spans="1:25" x14ac:dyDescent="0.25">
      <c r="A2028">
        <v>2023</v>
      </c>
      <c r="B2028" t="s">
        <v>57</v>
      </c>
      <c r="C2028">
        <v>8</v>
      </c>
      <c r="D2028">
        <v>84</v>
      </c>
      <c r="E2028" t="s">
        <v>181</v>
      </c>
      <c r="F2028" t="s">
        <v>49</v>
      </c>
      <c r="G2028">
        <f t="shared" si="1046"/>
        <v>1</v>
      </c>
      <c r="H2028">
        <v>11</v>
      </c>
      <c r="I2028">
        <v>2</v>
      </c>
      <c r="J2028">
        <v>0</v>
      </c>
      <c r="K2028" s="6" t="str">
        <f t="shared" ref="K2028" si="1131">"vs "&amp;E2029</f>
        <v>vs Knights of Ni</v>
      </c>
      <c r="L2028" s="6" t="str">
        <f t="shared" ref="L2028" si="1132">"vs "&amp;F2029</f>
        <v>vs Tolios</v>
      </c>
      <c r="M2028">
        <v>207</v>
      </c>
      <c r="N2028" s="1">
        <v>0.47</v>
      </c>
      <c r="O2028">
        <v>53</v>
      </c>
      <c r="P2028" s="1">
        <v>0.36799999999999999</v>
      </c>
      <c r="Q2028" s="1">
        <v>0.746</v>
      </c>
      <c r="R2028">
        <v>564</v>
      </c>
      <c r="S2028">
        <v>40</v>
      </c>
      <c r="T2028">
        <v>148</v>
      </c>
      <c r="U2028">
        <v>102</v>
      </c>
      <c r="V2028">
        <v>33</v>
      </c>
      <c r="W2028">
        <v>23</v>
      </c>
      <c r="X2028">
        <v>70</v>
      </c>
      <c r="Y2028" s="5">
        <v>1.46</v>
      </c>
    </row>
    <row r="2029" spans="1:25" x14ac:dyDescent="0.25">
      <c r="A2029">
        <v>2023</v>
      </c>
      <c r="B2029" t="s">
        <v>57</v>
      </c>
      <c r="C2029">
        <v>8</v>
      </c>
      <c r="D2029">
        <v>84</v>
      </c>
      <c r="E2029" t="s">
        <v>96</v>
      </c>
      <c r="F2029" t="s">
        <v>102</v>
      </c>
      <c r="G2029">
        <f t="shared" si="1046"/>
        <v>0</v>
      </c>
      <c r="H2029">
        <v>2</v>
      </c>
      <c r="I2029">
        <v>11</v>
      </c>
      <c r="J2029">
        <v>0</v>
      </c>
      <c r="K2029" s="6" t="str">
        <f t="shared" ref="K2029" si="1133">"vs "&amp;E2028</f>
        <v>vs Samarina Dudenbros</v>
      </c>
      <c r="L2029" s="6" t="str">
        <f t="shared" ref="L2029" si="1134">"vs "&amp;F2028</f>
        <v>vs Sakellariou</v>
      </c>
      <c r="M2029">
        <v>89</v>
      </c>
      <c r="N2029" s="1">
        <v>0.52</v>
      </c>
      <c r="O2029">
        <v>17</v>
      </c>
      <c r="P2029" s="1">
        <v>0.34699999999999998</v>
      </c>
      <c r="Q2029" s="1">
        <v>0.65200000000000002</v>
      </c>
      <c r="R2029">
        <v>210</v>
      </c>
      <c r="S2029">
        <v>35</v>
      </c>
      <c r="T2029">
        <v>80</v>
      </c>
      <c r="U2029">
        <v>22</v>
      </c>
      <c r="V2029">
        <v>14</v>
      </c>
      <c r="W2029">
        <v>13</v>
      </c>
      <c r="X2029">
        <v>23</v>
      </c>
      <c r="Y2029" s="5">
        <v>0.96</v>
      </c>
    </row>
    <row r="2030" spans="1:25" x14ac:dyDescent="0.25">
      <c r="A2030">
        <v>2023</v>
      </c>
      <c r="B2030" t="s">
        <v>57</v>
      </c>
      <c r="C2030">
        <v>8</v>
      </c>
      <c r="D2030">
        <v>85</v>
      </c>
      <c r="E2030" t="s">
        <v>21</v>
      </c>
      <c r="F2030" t="s">
        <v>50</v>
      </c>
      <c r="G2030">
        <f t="shared" si="1046"/>
        <v>0</v>
      </c>
      <c r="H2030">
        <v>3</v>
      </c>
      <c r="I2030">
        <v>10</v>
      </c>
      <c r="J2030">
        <v>0</v>
      </c>
      <c r="K2030" s="6" t="str">
        <f t="shared" ref="K2030" si="1135">"vs "&amp;E2031</f>
        <v>vs LRBP PR3DATORS</v>
      </c>
      <c r="L2030" s="6" t="str">
        <f t="shared" ref="L2030" si="1136">"vs "&amp;F2031</f>
        <v>vs Lafa</v>
      </c>
      <c r="M2030">
        <v>187</v>
      </c>
      <c r="N2030" s="1">
        <v>0.45200000000000001</v>
      </c>
      <c r="O2030">
        <v>59</v>
      </c>
      <c r="P2030" s="1">
        <v>0.33900000000000002</v>
      </c>
      <c r="Q2030" s="1">
        <v>0.84099999999999997</v>
      </c>
      <c r="R2030">
        <v>523</v>
      </c>
      <c r="S2030">
        <v>22</v>
      </c>
      <c r="T2030">
        <v>122</v>
      </c>
      <c r="U2030">
        <v>100</v>
      </c>
      <c r="V2030">
        <v>24</v>
      </c>
      <c r="W2030">
        <v>12</v>
      </c>
      <c r="X2030">
        <v>62</v>
      </c>
      <c r="Y2030" s="5">
        <v>1.61</v>
      </c>
    </row>
    <row r="2031" spans="1:25" x14ac:dyDescent="0.25">
      <c r="A2031">
        <v>2023</v>
      </c>
      <c r="B2031" t="s">
        <v>57</v>
      </c>
      <c r="C2031">
        <v>8</v>
      </c>
      <c r="D2031">
        <v>85</v>
      </c>
      <c r="E2031" t="s">
        <v>158</v>
      </c>
      <c r="F2031" t="s">
        <v>177</v>
      </c>
      <c r="G2031">
        <f t="shared" si="1046"/>
        <v>1</v>
      </c>
      <c r="H2031">
        <v>10</v>
      </c>
      <c r="I2031">
        <v>3</v>
      </c>
      <c r="J2031">
        <v>0</v>
      </c>
      <c r="K2031" s="6" t="str">
        <f t="shared" ref="K2031" si="1137">"vs "&amp;E2030</f>
        <v>vs st.Helens Eruptions</v>
      </c>
      <c r="L2031" s="6" t="str">
        <f t="shared" ref="L2031" si="1138">"vs "&amp;F2030</f>
        <v>vs Aris</v>
      </c>
      <c r="M2031">
        <v>215</v>
      </c>
      <c r="N2031" s="1">
        <v>0.52400000000000002</v>
      </c>
      <c r="O2031">
        <v>42</v>
      </c>
      <c r="P2031" s="1">
        <v>0.38900000000000001</v>
      </c>
      <c r="Q2031" s="1">
        <v>0.73899999999999999</v>
      </c>
      <c r="R2031">
        <v>619</v>
      </c>
      <c r="S2031">
        <v>42</v>
      </c>
      <c r="T2031">
        <v>189</v>
      </c>
      <c r="U2031">
        <v>149</v>
      </c>
      <c r="V2031">
        <v>35</v>
      </c>
      <c r="W2031">
        <v>22</v>
      </c>
      <c r="X2031">
        <v>76</v>
      </c>
      <c r="Y2031" s="5">
        <v>1.96</v>
      </c>
    </row>
    <row r="2032" spans="1:25" x14ac:dyDescent="0.25">
      <c r="A2032">
        <v>2023</v>
      </c>
      <c r="B2032" t="s">
        <v>57</v>
      </c>
      <c r="C2032">
        <v>8</v>
      </c>
      <c r="D2032">
        <v>86</v>
      </c>
      <c r="E2032" t="s">
        <v>98</v>
      </c>
      <c r="F2032" t="s">
        <v>41</v>
      </c>
      <c r="G2032">
        <f t="shared" si="1046"/>
        <v>1</v>
      </c>
      <c r="H2032">
        <v>10</v>
      </c>
      <c r="I2032">
        <v>3</v>
      </c>
      <c r="J2032">
        <v>0</v>
      </c>
      <c r="K2032" s="6" t="str">
        <f t="shared" ref="K2032" si="1139">"vs "&amp;E2033</f>
        <v>vs Fighting Thaddeus</v>
      </c>
      <c r="L2032" s="6" t="str">
        <f t="shared" ref="L2032" si="1140">"vs "&amp;F2033</f>
        <v>vs Stavros</v>
      </c>
      <c r="M2032">
        <v>152</v>
      </c>
      <c r="N2032" s="1">
        <v>0.441</v>
      </c>
      <c r="O2032">
        <v>43</v>
      </c>
      <c r="P2032" s="1">
        <v>0.309</v>
      </c>
      <c r="Q2032" s="1">
        <v>0.82099999999999995</v>
      </c>
      <c r="R2032">
        <v>439</v>
      </c>
      <c r="S2032">
        <v>42</v>
      </c>
      <c r="T2032">
        <v>145</v>
      </c>
      <c r="U2032">
        <v>126</v>
      </c>
      <c r="V2032">
        <v>31</v>
      </c>
      <c r="W2032">
        <v>21</v>
      </c>
      <c r="X2032">
        <v>47</v>
      </c>
      <c r="Y2032" s="5">
        <v>2.68</v>
      </c>
    </row>
    <row r="2033" spans="1:25" x14ac:dyDescent="0.25">
      <c r="A2033">
        <v>2023</v>
      </c>
      <c r="B2033" t="s">
        <v>57</v>
      </c>
      <c r="C2033">
        <v>8</v>
      </c>
      <c r="D2033">
        <v>86</v>
      </c>
      <c r="E2033" t="s">
        <v>94</v>
      </c>
      <c r="F2033" t="s">
        <v>40</v>
      </c>
      <c r="G2033">
        <f t="shared" si="1046"/>
        <v>0</v>
      </c>
      <c r="H2033">
        <v>3</v>
      </c>
      <c r="I2033">
        <v>10</v>
      </c>
      <c r="J2033">
        <v>0</v>
      </c>
      <c r="K2033" s="6" t="str">
        <f t="shared" ref="K2033" si="1141">"vs "&amp;E2032</f>
        <v>vs Xanthi Ducks 🦆</v>
      </c>
      <c r="L2033" s="6" t="str">
        <f t="shared" ref="L2033" si="1142">"vs "&amp;F2032</f>
        <v>vs Kotakis</v>
      </c>
      <c r="M2033">
        <v>106</v>
      </c>
      <c r="N2033" s="1">
        <v>0.44</v>
      </c>
      <c r="O2033">
        <v>38</v>
      </c>
      <c r="P2033" s="1">
        <v>0.33300000000000002</v>
      </c>
      <c r="Q2033" s="1">
        <v>0.88500000000000001</v>
      </c>
      <c r="R2033">
        <v>304</v>
      </c>
      <c r="S2033">
        <v>33</v>
      </c>
      <c r="T2033">
        <v>61</v>
      </c>
      <c r="U2033">
        <v>56</v>
      </c>
      <c r="V2033">
        <v>24</v>
      </c>
      <c r="W2033">
        <v>7</v>
      </c>
      <c r="X2033">
        <v>34</v>
      </c>
      <c r="Y2033" s="5">
        <v>1.65</v>
      </c>
    </row>
    <row r="2034" spans="1:25" x14ac:dyDescent="0.25">
      <c r="A2034">
        <v>2023</v>
      </c>
      <c r="B2034" t="s">
        <v>57</v>
      </c>
      <c r="C2034">
        <v>8</v>
      </c>
      <c r="D2034">
        <v>87</v>
      </c>
      <c r="E2034" t="s">
        <v>17</v>
      </c>
      <c r="F2034" t="s">
        <v>43</v>
      </c>
      <c r="G2034">
        <f t="shared" si="1046"/>
        <v>0</v>
      </c>
      <c r="H2034">
        <v>4</v>
      </c>
      <c r="I2034">
        <v>9</v>
      </c>
      <c r="J2034">
        <v>0</v>
      </c>
      <c r="K2034" s="6" t="str">
        <f t="shared" ref="K2034" si="1143">"vs "&amp;E2035</f>
        <v>vs Steven Adams' Moustache</v>
      </c>
      <c r="L2034" s="6" t="str">
        <f t="shared" ref="L2034" si="1144">"vs "&amp;F2035</f>
        <v>vs Johnny</v>
      </c>
      <c r="M2034">
        <v>190</v>
      </c>
      <c r="N2034" s="1">
        <v>0.44900000000000001</v>
      </c>
      <c r="O2034">
        <v>72</v>
      </c>
      <c r="P2034" s="1">
        <v>0.40699999999999997</v>
      </c>
      <c r="Q2034" s="1">
        <v>0.79300000000000004</v>
      </c>
      <c r="R2034">
        <v>517</v>
      </c>
      <c r="S2034">
        <v>31</v>
      </c>
      <c r="T2034">
        <v>142</v>
      </c>
      <c r="U2034">
        <v>114</v>
      </c>
      <c r="V2034">
        <v>30</v>
      </c>
      <c r="W2034">
        <v>16</v>
      </c>
      <c r="X2034">
        <v>62</v>
      </c>
      <c r="Y2034" s="5">
        <v>1.84</v>
      </c>
    </row>
    <row r="2035" spans="1:25" x14ac:dyDescent="0.25">
      <c r="A2035">
        <v>2023</v>
      </c>
      <c r="B2035" t="s">
        <v>57</v>
      </c>
      <c r="C2035">
        <v>8</v>
      </c>
      <c r="D2035">
        <v>87</v>
      </c>
      <c r="E2035" t="s">
        <v>28</v>
      </c>
      <c r="F2035" t="s">
        <v>46</v>
      </c>
      <c r="G2035">
        <f t="shared" si="1046"/>
        <v>1</v>
      </c>
      <c r="H2035">
        <v>9</v>
      </c>
      <c r="I2035">
        <v>4</v>
      </c>
      <c r="J2035">
        <v>0</v>
      </c>
      <c r="K2035" s="6" t="str">
        <f t="shared" ref="K2035" si="1145">"vs "&amp;E2034</f>
        <v>vs Donkey Rolls</v>
      </c>
      <c r="L2035" s="6" t="str">
        <f t="shared" ref="L2035" si="1146">"vs "&amp;F2034</f>
        <v>vs Markos</v>
      </c>
      <c r="M2035">
        <v>215</v>
      </c>
      <c r="N2035" s="1">
        <v>0.45600000000000002</v>
      </c>
      <c r="O2035">
        <v>66</v>
      </c>
      <c r="P2035" s="1">
        <v>0.35899999999999999</v>
      </c>
      <c r="Q2035" s="1">
        <v>0.86799999999999999</v>
      </c>
      <c r="R2035">
        <v>621</v>
      </c>
      <c r="S2035">
        <v>53</v>
      </c>
      <c r="T2035">
        <v>155</v>
      </c>
      <c r="U2035">
        <v>124</v>
      </c>
      <c r="V2035">
        <v>36</v>
      </c>
      <c r="W2035">
        <v>19</v>
      </c>
      <c r="X2035">
        <v>87</v>
      </c>
      <c r="Y2035" s="5">
        <v>1.43</v>
      </c>
    </row>
    <row r="2036" spans="1:25" x14ac:dyDescent="0.25">
      <c r="A2036">
        <v>2023</v>
      </c>
      <c r="B2036" t="s">
        <v>57</v>
      </c>
      <c r="C2036">
        <v>8</v>
      </c>
      <c r="D2036">
        <v>88</v>
      </c>
      <c r="E2036" t="s">
        <v>190</v>
      </c>
      <c r="F2036" t="s">
        <v>103</v>
      </c>
      <c r="G2036">
        <f t="shared" si="1046"/>
        <v>1</v>
      </c>
      <c r="H2036">
        <v>8</v>
      </c>
      <c r="I2036">
        <v>4</v>
      </c>
      <c r="J2036">
        <v>1</v>
      </c>
      <c r="K2036" s="6" t="str">
        <f t="shared" ref="K2036" si="1147">"vs "&amp;E2037</f>
        <v>vs The Rookies</v>
      </c>
      <c r="L2036" s="6" t="str">
        <f t="shared" ref="L2036" si="1148">"vs "&amp;F2037</f>
        <v>vs Kousidis</v>
      </c>
      <c r="M2036">
        <v>179</v>
      </c>
      <c r="N2036" s="1">
        <v>0.45700000000000002</v>
      </c>
      <c r="O2036">
        <v>43</v>
      </c>
      <c r="P2036" s="1">
        <v>0.32800000000000001</v>
      </c>
      <c r="Q2036" s="1">
        <v>0.89600000000000002</v>
      </c>
      <c r="R2036">
        <v>496</v>
      </c>
      <c r="S2036">
        <v>41</v>
      </c>
      <c r="T2036">
        <v>131</v>
      </c>
      <c r="U2036">
        <v>87</v>
      </c>
      <c r="V2036">
        <v>20</v>
      </c>
      <c r="W2036">
        <v>20</v>
      </c>
      <c r="X2036">
        <v>57</v>
      </c>
      <c r="Y2036" s="5">
        <v>1.53</v>
      </c>
    </row>
    <row r="2037" spans="1:25" x14ac:dyDescent="0.25">
      <c r="A2037">
        <v>2023</v>
      </c>
      <c r="B2037" t="s">
        <v>57</v>
      </c>
      <c r="C2037">
        <v>8</v>
      </c>
      <c r="D2037">
        <v>88</v>
      </c>
      <c r="E2037" t="s">
        <v>25</v>
      </c>
      <c r="F2037" t="s">
        <v>53</v>
      </c>
      <c r="G2037">
        <f t="shared" si="1046"/>
        <v>0</v>
      </c>
      <c r="H2037">
        <v>4</v>
      </c>
      <c r="I2037">
        <v>8</v>
      </c>
      <c r="J2037">
        <v>1</v>
      </c>
      <c r="K2037" s="6" t="str">
        <f t="shared" ref="K2037" si="1149">"vs "&amp;E2036</f>
        <v>vs Karafli SaiTa</v>
      </c>
      <c r="L2037" s="6" t="str">
        <f t="shared" ref="L2037" si="1150">"vs "&amp;F2036</f>
        <v>vs Tassos</v>
      </c>
      <c r="M2037">
        <v>179</v>
      </c>
      <c r="N2037" s="1">
        <v>0.44600000000000001</v>
      </c>
      <c r="O2037">
        <v>38</v>
      </c>
      <c r="P2037" s="1">
        <v>0.29699999999999999</v>
      </c>
      <c r="Q2037" s="1">
        <v>0.8</v>
      </c>
      <c r="R2037">
        <v>508</v>
      </c>
      <c r="S2037">
        <v>34</v>
      </c>
      <c r="T2037">
        <v>133</v>
      </c>
      <c r="U2037">
        <v>107</v>
      </c>
      <c r="V2037">
        <v>22</v>
      </c>
      <c r="W2037">
        <v>14</v>
      </c>
      <c r="X2037">
        <v>71</v>
      </c>
      <c r="Y2037" s="5">
        <v>1.51</v>
      </c>
    </row>
    <row r="2038" spans="1:25" x14ac:dyDescent="0.25">
      <c r="A2038">
        <v>2023</v>
      </c>
      <c r="B2038" t="s">
        <v>57</v>
      </c>
      <c r="C2038">
        <v>8</v>
      </c>
      <c r="D2038">
        <v>89</v>
      </c>
      <c r="E2038" t="s">
        <v>99</v>
      </c>
      <c r="F2038" t="s">
        <v>45</v>
      </c>
      <c r="G2038">
        <f t="shared" si="1046"/>
        <v>1</v>
      </c>
      <c r="H2038">
        <v>9</v>
      </c>
      <c r="I2038">
        <v>4</v>
      </c>
      <c r="J2038">
        <v>0</v>
      </c>
      <c r="K2038" s="6" t="str">
        <f t="shared" ref="K2038" si="1151">"vs "&amp;E2039</f>
        <v>vs Baltimore Hercules</v>
      </c>
      <c r="L2038" s="6" t="str">
        <f t="shared" ref="L2038" si="1152">"vs "&amp;F2039</f>
        <v>vs Sarantos</v>
      </c>
      <c r="M2038">
        <v>135</v>
      </c>
      <c r="N2038" s="1">
        <v>0.5</v>
      </c>
      <c r="O2038">
        <v>32</v>
      </c>
      <c r="P2038" s="1">
        <v>0.34399999999999997</v>
      </c>
      <c r="Q2038" s="1">
        <v>0.70299999999999996</v>
      </c>
      <c r="R2038">
        <v>354</v>
      </c>
      <c r="S2038">
        <v>38</v>
      </c>
      <c r="T2038">
        <v>112</v>
      </c>
      <c r="U2038">
        <v>73</v>
      </c>
      <c r="V2038">
        <v>28</v>
      </c>
      <c r="W2038">
        <v>10</v>
      </c>
      <c r="X2038">
        <v>45</v>
      </c>
      <c r="Y2038" s="5">
        <v>1.62</v>
      </c>
    </row>
    <row r="2039" spans="1:25" x14ac:dyDescent="0.25">
      <c r="A2039">
        <v>2023</v>
      </c>
      <c r="B2039" t="s">
        <v>57</v>
      </c>
      <c r="C2039">
        <v>8</v>
      </c>
      <c r="D2039">
        <v>89</v>
      </c>
      <c r="E2039" t="s">
        <v>95</v>
      </c>
      <c r="F2039" t="s">
        <v>101</v>
      </c>
      <c r="G2039">
        <f t="shared" si="1046"/>
        <v>0</v>
      </c>
      <c r="H2039">
        <v>4</v>
      </c>
      <c r="I2039">
        <v>9</v>
      </c>
      <c r="J2039">
        <v>0</v>
      </c>
      <c r="K2039" s="6" t="str">
        <f t="shared" ref="K2039" si="1153">"vs "&amp;E2038</f>
        <v>vs Tsarlatans</v>
      </c>
      <c r="L2039" s="6" t="str">
        <f t="shared" ref="L2039" si="1154">"vs "&amp;F2038</f>
        <v>vs Tzokos</v>
      </c>
      <c r="M2039">
        <v>76</v>
      </c>
      <c r="N2039" s="1">
        <v>0.432</v>
      </c>
      <c r="O2039">
        <v>29</v>
      </c>
      <c r="P2039" s="1">
        <v>0.34100000000000003</v>
      </c>
      <c r="Q2039" s="1">
        <v>0.78900000000000003</v>
      </c>
      <c r="R2039">
        <v>211</v>
      </c>
      <c r="S2039">
        <v>14</v>
      </c>
      <c r="T2039">
        <v>69</v>
      </c>
      <c r="U2039">
        <v>52</v>
      </c>
      <c r="V2039">
        <v>18</v>
      </c>
      <c r="W2039">
        <v>14</v>
      </c>
      <c r="X2039">
        <v>29</v>
      </c>
      <c r="Y2039" s="5">
        <v>1.79</v>
      </c>
    </row>
    <row r="2040" spans="1:25" x14ac:dyDescent="0.25">
      <c r="A2040">
        <v>2023</v>
      </c>
      <c r="B2040" t="s">
        <v>57</v>
      </c>
      <c r="C2040">
        <v>8</v>
      </c>
      <c r="D2040">
        <v>90</v>
      </c>
      <c r="E2040" t="s">
        <v>33</v>
      </c>
      <c r="F2040" t="s">
        <v>42</v>
      </c>
      <c r="G2040">
        <f t="shared" si="1046"/>
        <v>1</v>
      </c>
      <c r="H2040">
        <v>8</v>
      </c>
      <c r="I2040">
        <v>4</v>
      </c>
      <c r="J2040">
        <v>1</v>
      </c>
      <c r="K2040" s="6" t="str">
        <f t="shared" ref="K2040" si="1155">"vs "&amp;E2041</f>
        <v>vs Guruuu 🐐🐐🐐</v>
      </c>
      <c r="L2040" s="6" t="str">
        <f t="shared" ref="L2040" si="1156">"vs "&amp;F2041</f>
        <v>vs Guru</v>
      </c>
      <c r="M2040">
        <v>194</v>
      </c>
      <c r="N2040" s="1">
        <v>0.5</v>
      </c>
      <c r="O2040">
        <v>47</v>
      </c>
      <c r="P2040" s="1">
        <v>0.34799999999999998</v>
      </c>
      <c r="Q2040" s="1">
        <v>0.80400000000000005</v>
      </c>
      <c r="R2040">
        <v>513</v>
      </c>
      <c r="S2040">
        <v>43</v>
      </c>
      <c r="T2040">
        <v>123</v>
      </c>
      <c r="U2040">
        <v>107</v>
      </c>
      <c r="V2040">
        <v>32</v>
      </c>
      <c r="W2040">
        <v>8</v>
      </c>
      <c r="X2040">
        <v>55</v>
      </c>
      <c r="Y2040" s="5">
        <v>1.95</v>
      </c>
    </row>
    <row r="2041" spans="1:25" x14ac:dyDescent="0.25">
      <c r="A2041">
        <v>2023</v>
      </c>
      <c r="B2041" t="s">
        <v>57</v>
      </c>
      <c r="C2041">
        <v>8</v>
      </c>
      <c r="D2041">
        <v>90</v>
      </c>
      <c r="E2041" t="s">
        <v>93</v>
      </c>
      <c r="F2041" t="s">
        <v>189</v>
      </c>
      <c r="G2041">
        <f t="shared" si="1046"/>
        <v>0</v>
      </c>
      <c r="H2041">
        <v>4</v>
      </c>
      <c r="I2041">
        <v>8</v>
      </c>
      <c r="J2041">
        <v>1</v>
      </c>
      <c r="K2041" s="6" t="str">
        <f t="shared" ref="K2041" si="1157">"vs "&amp;E2040</f>
        <v>vs The Guns</v>
      </c>
      <c r="L2041" s="6" t="str">
        <f t="shared" ref="L2041" si="1158">"vs "&amp;F2040</f>
        <v>vs Vasilis</v>
      </c>
      <c r="M2041">
        <v>159</v>
      </c>
      <c r="N2041" s="1">
        <v>0.503</v>
      </c>
      <c r="O2041">
        <v>71</v>
      </c>
      <c r="P2041" s="1">
        <v>0.42799999999999999</v>
      </c>
      <c r="Q2041" s="1">
        <v>0.71099999999999997</v>
      </c>
      <c r="R2041">
        <v>448</v>
      </c>
      <c r="S2041">
        <v>17</v>
      </c>
      <c r="T2041">
        <v>115</v>
      </c>
      <c r="U2041">
        <v>82</v>
      </c>
      <c r="V2041">
        <v>30</v>
      </c>
      <c r="W2041">
        <v>8</v>
      </c>
      <c r="X2041">
        <v>44</v>
      </c>
      <c r="Y2041" s="5">
        <v>1.86</v>
      </c>
    </row>
    <row r="2042" spans="1:25" x14ac:dyDescent="0.25">
      <c r="A2042">
        <v>2023</v>
      </c>
      <c r="B2042" t="s">
        <v>57</v>
      </c>
      <c r="C2042">
        <v>9</v>
      </c>
      <c r="D2042">
        <v>91</v>
      </c>
      <c r="E2042" t="s">
        <v>158</v>
      </c>
      <c r="F2042" t="s">
        <v>177</v>
      </c>
      <c r="G2042">
        <f t="shared" si="1046"/>
        <v>1</v>
      </c>
      <c r="H2042">
        <v>7</v>
      </c>
      <c r="I2042">
        <v>6</v>
      </c>
      <c r="J2042">
        <v>0</v>
      </c>
      <c r="K2042" s="6" t="str">
        <f t="shared" ref="K2042" si="1159">"vs "&amp;E2043</f>
        <v>vs The Bad Boys</v>
      </c>
      <c r="L2042" s="6" t="str">
        <f t="shared" ref="L2042" si="1160">"vs "&amp;F2043</f>
        <v>vs Arvanitis</v>
      </c>
      <c r="M2042">
        <v>155</v>
      </c>
      <c r="N2042" s="1">
        <v>0.45700000000000002</v>
      </c>
      <c r="O2042">
        <v>24</v>
      </c>
      <c r="P2042" s="1">
        <v>0.29299999999999998</v>
      </c>
      <c r="Q2042" s="1">
        <v>0.76300000000000001</v>
      </c>
      <c r="R2042">
        <v>453</v>
      </c>
      <c r="S2042">
        <v>52</v>
      </c>
      <c r="T2042">
        <v>156</v>
      </c>
      <c r="U2042">
        <v>130</v>
      </c>
      <c r="V2042">
        <v>24</v>
      </c>
      <c r="W2042">
        <v>15</v>
      </c>
      <c r="X2042">
        <v>50</v>
      </c>
      <c r="Y2042" s="5">
        <v>2.6</v>
      </c>
    </row>
    <row r="2043" spans="1:25" x14ac:dyDescent="0.25">
      <c r="A2043">
        <v>2023</v>
      </c>
      <c r="B2043" t="s">
        <v>57</v>
      </c>
      <c r="C2043">
        <v>9</v>
      </c>
      <c r="D2043">
        <v>91</v>
      </c>
      <c r="E2043" t="s">
        <v>154</v>
      </c>
      <c r="F2043" t="s">
        <v>155</v>
      </c>
      <c r="G2043">
        <f t="shared" si="1046"/>
        <v>0</v>
      </c>
      <c r="H2043">
        <v>6</v>
      </c>
      <c r="I2043">
        <v>7</v>
      </c>
      <c r="J2043">
        <v>0</v>
      </c>
      <c r="K2043" s="6" t="str">
        <f t="shared" ref="K2043" si="1161">"vs "&amp;E2042</f>
        <v>vs LRBP PR3DATORS</v>
      </c>
      <c r="L2043" s="6" t="str">
        <f t="shared" ref="L2043" si="1162">"vs "&amp;F2042</f>
        <v>vs Lafa</v>
      </c>
      <c r="M2043">
        <v>132</v>
      </c>
      <c r="N2043" s="1">
        <v>0.41799999999999998</v>
      </c>
      <c r="O2043">
        <v>48</v>
      </c>
      <c r="P2043" s="1">
        <v>0.35599999999999998</v>
      </c>
      <c r="Q2043" s="1">
        <v>0.80600000000000005</v>
      </c>
      <c r="R2043">
        <v>370</v>
      </c>
      <c r="S2043">
        <v>47</v>
      </c>
      <c r="T2043">
        <v>157</v>
      </c>
      <c r="U2043">
        <v>74</v>
      </c>
      <c r="V2043">
        <v>23</v>
      </c>
      <c r="W2043">
        <v>24</v>
      </c>
      <c r="X2043">
        <v>45</v>
      </c>
      <c r="Y2043" s="5">
        <v>1.64</v>
      </c>
    </row>
    <row r="2044" spans="1:25" x14ac:dyDescent="0.25">
      <c r="A2044">
        <v>2023</v>
      </c>
      <c r="B2044" t="s">
        <v>57</v>
      </c>
      <c r="C2044">
        <v>9</v>
      </c>
      <c r="D2044">
        <v>92</v>
      </c>
      <c r="E2044" t="s">
        <v>159</v>
      </c>
      <c r="F2044" t="s">
        <v>116</v>
      </c>
      <c r="G2044">
        <f t="shared" si="1046"/>
        <v>0</v>
      </c>
      <c r="H2044">
        <v>5</v>
      </c>
      <c r="I2044">
        <v>8</v>
      </c>
      <c r="J2044">
        <v>0</v>
      </c>
      <c r="K2044" s="6" t="str">
        <f t="shared" ref="K2044" si="1163">"vs "&amp;E2045</f>
        <v>vs Karafli SaiTa</v>
      </c>
      <c r="L2044" s="6" t="str">
        <f t="shared" ref="L2044" si="1164">"vs "&amp;F2045</f>
        <v>vs Tassos</v>
      </c>
      <c r="M2044">
        <v>197</v>
      </c>
      <c r="N2044" s="1">
        <v>0.54700000000000004</v>
      </c>
      <c r="O2044">
        <v>50</v>
      </c>
      <c r="P2044" s="1">
        <v>0.42399999999999999</v>
      </c>
      <c r="Q2044" s="1">
        <v>0.76700000000000002</v>
      </c>
      <c r="R2044">
        <v>536</v>
      </c>
      <c r="S2044">
        <v>45</v>
      </c>
      <c r="T2044">
        <v>178</v>
      </c>
      <c r="U2044">
        <v>104</v>
      </c>
      <c r="V2044">
        <v>25</v>
      </c>
      <c r="W2044">
        <v>19</v>
      </c>
      <c r="X2044">
        <v>71</v>
      </c>
      <c r="Y2044" s="5">
        <v>1.46</v>
      </c>
    </row>
    <row r="2045" spans="1:25" x14ac:dyDescent="0.25">
      <c r="A2045">
        <v>2023</v>
      </c>
      <c r="B2045" t="s">
        <v>57</v>
      </c>
      <c r="C2045">
        <v>9</v>
      </c>
      <c r="D2045">
        <v>92</v>
      </c>
      <c r="E2045" t="s">
        <v>190</v>
      </c>
      <c r="F2045" t="s">
        <v>103</v>
      </c>
      <c r="G2045">
        <f t="shared" si="1046"/>
        <v>1</v>
      </c>
      <c r="H2045">
        <v>8</v>
      </c>
      <c r="I2045">
        <v>5</v>
      </c>
      <c r="J2045">
        <v>0</v>
      </c>
      <c r="K2045" s="6" t="str">
        <f t="shared" ref="K2045" si="1165">"vs "&amp;E2044</f>
        <v>vs purple fuzzy apache pirates</v>
      </c>
      <c r="L2045" s="6" t="str">
        <f t="shared" ref="L2045" si="1166">"vs "&amp;F2044</f>
        <v>vs pi/Sotiris</v>
      </c>
      <c r="M2045">
        <v>199</v>
      </c>
      <c r="N2045" s="1">
        <v>0.47199999999999998</v>
      </c>
      <c r="O2045">
        <v>43</v>
      </c>
      <c r="P2045" s="1">
        <v>0.29099999999999998</v>
      </c>
      <c r="Q2045" s="1">
        <v>0.874</v>
      </c>
      <c r="R2045">
        <v>559</v>
      </c>
      <c r="S2045">
        <v>43</v>
      </c>
      <c r="T2045">
        <v>143</v>
      </c>
      <c r="U2045">
        <v>124</v>
      </c>
      <c r="V2045">
        <v>28</v>
      </c>
      <c r="W2045">
        <v>20</v>
      </c>
      <c r="X2045">
        <v>64</v>
      </c>
      <c r="Y2045" s="5">
        <v>1.94</v>
      </c>
    </row>
    <row r="2046" spans="1:25" x14ac:dyDescent="0.25">
      <c r="A2046">
        <v>2023</v>
      </c>
      <c r="B2046" t="s">
        <v>57</v>
      </c>
      <c r="C2046">
        <v>9</v>
      </c>
      <c r="D2046">
        <v>93</v>
      </c>
      <c r="E2046" t="s">
        <v>25</v>
      </c>
      <c r="F2046" t="s">
        <v>53</v>
      </c>
      <c r="G2046">
        <f t="shared" si="1046"/>
        <v>0</v>
      </c>
      <c r="H2046">
        <v>3</v>
      </c>
      <c r="I2046">
        <v>10</v>
      </c>
      <c r="J2046">
        <v>0</v>
      </c>
      <c r="K2046" s="6" t="str">
        <f t="shared" ref="K2046" si="1167">"vs "&amp;E2047</f>
        <v>vs Samarina Dudenbros</v>
      </c>
      <c r="L2046" s="6" t="str">
        <f t="shared" ref="L2046" si="1168">"vs "&amp;F2047</f>
        <v>vs Sakellariou</v>
      </c>
      <c r="M2046">
        <v>152</v>
      </c>
      <c r="N2046" s="1">
        <v>0.45100000000000001</v>
      </c>
      <c r="O2046">
        <v>46</v>
      </c>
      <c r="P2046" s="1">
        <v>0.35099999999999998</v>
      </c>
      <c r="Q2046" s="1">
        <v>0.78700000000000003</v>
      </c>
      <c r="R2046">
        <v>435</v>
      </c>
      <c r="S2046">
        <v>37</v>
      </c>
      <c r="T2046">
        <v>88</v>
      </c>
      <c r="U2046">
        <v>71</v>
      </c>
      <c r="V2046">
        <v>22</v>
      </c>
      <c r="W2046">
        <v>15</v>
      </c>
      <c r="X2046">
        <v>71</v>
      </c>
      <c r="Y2046" s="5">
        <v>1</v>
      </c>
    </row>
    <row r="2047" spans="1:25" x14ac:dyDescent="0.25">
      <c r="A2047">
        <v>2023</v>
      </c>
      <c r="B2047" t="s">
        <v>57</v>
      </c>
      <c r="C2047">
        <v>9</v>
      </c>
      <c r="D2047">
        <v>93</v>
      </c>
      <c r="E2047" t="s">
        <v>181</v>
      </c>
      <c r="F2047" t="s">
        <v>49</v>
      </c>
      <c r="G2047">
        <f t="shared" si="1046"/>
        <v>1</v>
      </c>
      <c r="H2047">
        <v>10</v>
      </c>
      <c r="I2047">
        <v>3</v>
      </c>
      <c r="J2047">
        <v>0</v>
      </c>
      <c r="K2047" s="6" t="str">
        <f t="shared" ref="K2047" si="1169">"vs "&amp;E2046</f>
        <v>vs The Rookies</v>
      </c>
      <c r="L2047" s="6" t="str">
        <f t="shared" ref="L2047" si="1170">"vs "&amp;F2046</f>
        <v>vs Kousidis</v>
      </c>
      <c r="M2047">
        <v>202</v>
      </c>
      <c r="N2047" s="1">
        <v>0.46300000000000002</v>
      </c>
      <c r="O2047">
        <v>40</v>
      </c>
      <c r="P2047" s="1">
        <v>0.30099999999999999</v>
      </c>
      <c r="Q2047" s="1">
        <v>0.83199999999999996</v>
      </c>
      <c r="R2047">
        <v>533</v>
      </c>
      <c r="S2047">
        <v>51</v>
      </c>
      <c r="T2047">
        <v>151</v>
      </c>
      <c r="U2047">
        <v>136</v>
      </c>
      <c r="V2047">
        <v>43</v>
      </c>
      <c r="W2047">
        <v>19</v>
      </c>
      <c r="X2047">
        <v>72</v>
      </c>
      <c r="Y2047" s="5">
        <v>1.89</v>
      </c>
    </row>
    <row r="2048" spans="1:25" x14ac:dyDescent="0.25">
      <c r="A2048">
        <v>2023</v>
      </c>
      <c r="B2048" t="s">
        <v>57</v>
      </c>
      <c r="C2048">
        <v>9</v>
      </c>
      <c r="D2048">
        <v>94</v>
      </c>
      <c r="E2048" t="s">
        <v>94</v>
      </c>
      <c r="F2048" t="s">
        <v>40</v>
      </c>
      <c r="G2048">
        <f t="shared" si="1046"/>
        <v>0</v>
      </c>
      <c r="H2048">
        <v>6</v>
      </c>
      <c r="I2048">
        <v>7</v>
      </c>
      <c r="J2048">
        <v>0</v>
      </c>
      <c r="K2048" s="6" t="str">
        <f t="shared" ref="K2048" si="1171">"vs "&amp;E2049</f>
        <v>vs Tsarlatans</v>
      </c>
      <c r="L2048" s="6" t="str">
        <f t="shared" ref="L2048" si="1172">"vs "&amp;F2049</f>
        <v>vs Tzokos</v>
      </c>
      <c r="M2048">
        <v>124</v>
      </c>
      <c r="N2048" s="1">
        <v>0.45600000000000002</v>
      </c>
      <c r="O2048">
        <v>48</v>
      </c>
      <c r="P2048" s="1">
        <v>0.372</v>
      </c>
      <c r="Q2048" s="1">
        <v>0.68300000000000005</v>
      </c>
      <c r="R2048">
        <v>337</v>
      </c>
      <c r="S2048">
        <v>31</v>
      </c>
      <c r="T2048">
        <v>91</v>
      </c>
      <c r="U2048">
        <v>75</v>
      </c>
      <c r="V2048">
        <v>24</v>
      </c>
      <c r="W2048">
        <v>8</v>
      </c>
      <c r="X2048">
        <v>33</v>
      </c>
      <c r="Y2048" s="5">
        <v>2.27</v>
      </c>
    </row>
    <row r="2049" spans="1:25" x14ac:dyDescent="0.25">
      <c r="A2049">
        <v>2023</v>
      </c>
      <c r="B2049" t="s">
        <v>57</v>
      </c>
      <c r="C2049">
        <v>9</v>
      </c>
      <c r="D2049">
        <v>94</v>
      </c>
      <c r="E2049" t="s">
        <v>99</v>
      </c>
      <c r="F2049" t="s">
        <v>45</v>
      </c>
      <c r="G2049">
        <f t="shared" si="1046"/>
        <v>1</v>
      </c>
      <c r="H2049">
        <v>7</v>
      </c>
      <c r="I2049">
        <v>6</v>
      </c>
      <c r="J2049">
        <v>0</v>
      </c>
      <c r="K2049" s="6" t="str">
        <f t="shared" ref="K2049" si="1173">"vs "&amp;E2048</f>
        <v>vs Fighting Thaddeus</v>
      </c>
      <c r="L2049" s="6" t="str">
        <f t="shared" ref="L2049" si="1174">"vs "&amp;F2048</f>
        <v>vs Stavros</v>
      </c>
      <c r="M2049">
        <v>151</v>
      </c>
      <c r="N2049" s="1">
        <v>0.48899999999999999</v>
      </c>
      <c r="O2049">
        <v>40</v>
      </c>
      <c r="P2049" s="1">
        <v>0.35099999999999998</v>
      </c>
      <c r="Q2049" s="1">
        <v>0.82099999999999995</v>
      </c>
      <c r="R2049">
        <v>429</v>
      </c>
      <c r="S2049">
        <v>43</v>
      </c>
      <c r="T2049">
        <v>107</v>
      </c>
      <c r="U2049">
        <v>65</v>
      </c>
      <c r="V2049">
        <v>14</v>
      </c>
      <c r="W2049">
        <v>12</v>
      </c>
      <c r="X2049">
        <v>52</v>
      </c>
      <c r="Y2049" s="5">
        <v>1.25</v>
      </c>
    </row>
    <row r="2050" spans="1:25" x14ac:dyDescent="0.25">
      <c r="A2050">
        <v>2023</v>
      </c>
      <c r="B2050" t="s">
        <v>57</v>
      </c>
      <c r="C2050">
        <v>9</v>
      </c>
      <c r="D2050">
        <v>95</v>
      </c>
      <c r="E2050" t="s">
        <v>96</v>
      </c>
      <c r="F2050" t="s">
        <v>102</v>
      </c>
      <c r="G2050">
        <f t="shared" ref="G2050:G2113" si="1175">IF(H2050+0.5*J2050&gt;6.5,1,0)</f>
        <v>0</v>
      </c>
      <c r="H2050">
        <v>4</v>
      </c>
      <c r="I2050">
        <v>9</v>
      </c>
      <c r="J2050">
        <v>0</v>
      </c>
      <c r="K2050" s="6" t="str">
        <f t="shared" ref="K2050" si="1176">"vs "&amp;E2051</f>
        <v>vs The Bridgeburners</v>
      </c>
      <c r="L2050" s="6" t="str">
        <f t="shared" ref="L2050" si="1177">"vs "&amp;F2051</f>
        <v>vs Fanis</v>
      </c>
      <c r="M2050">
        <v>91</v>
      </c>
      <c r="N2050" s="1">
        <v>0.52300000000000002</v>
      </c>
      <c r="O2050">
        <v>15</v>
      </c>
      <c r="P2050" s="1">
        <v>0.32600000000000001</v>
      </c>
      <c r="Q2050" s="1">
        <v>0.64100000000000001</v>
      </c>
      <c r="R2050">
        <v>222</v>
      </c>
      <c r="S2050">
        <v>34</v>
      </c>
      <c r="T2050">
        <v>80</v>
      </c>
      <c r="U2050">
        <v>66</v>
      </c>
      <c r="V2050">
        <v>11</v>
      </c>
      <c r="W2050">
        <v>9</v>
      </c>
      <c r="X2050">
        <v>22</v>
      </c>
      <c r="Y2050" s="5">
        <v>3</v>
      </c>
    </row>
    <row r="2051" spans="1:25" x14ac:dyDescent="0.25">
      <c r="A2051">
        <v>2023</v>
      </c>
      <c r="B2051" t="s">
        <v>57</v>
      </c>
      <c r="C2051">
        <v>9</v>
      </c>
      <c r="D2051">
        <v>95</v>
      </c>
      <c r="E2051" t="s">
        <v>16</v>
      </c>
      <c r="F2051" t="s">
        <v>51</v>
      </c>
      <c r="G2051">
        <f t="shared" si="1175"/>
        <v>1</v>
      </c>
      <c r="H2051">
        <v>9</v>
      </c>
      <c r="I2051">
        <v>4</v>
      </c>
      <c r="J2051">
        <v>0</v>
      </c>
      <c r="K2051" s="6" t="str">
        <f t="shared" ref="K2051" si="1178">"vs "&amp;E2050</f>
        <v>vs Knights of Ni</v>
      </c>
      <c r="L2051" s="6" t="str">
        <f t="shared" ref="L2051" si="1179">"vs "&amp;F2050</f>
        <v>vs Tolios</v>
      </c>
      <c r="M2051">
        <v>126</v>
      </c>
      <c r="N2051" s="1">
        <v>0.434</v>
      </c>
      <c r="O2051">
        <v>46</v>
      </c>
      <c r="P2051" s="1">
        <v>0.35899999999999999</v>
      </c>
      <c r="Q2051" s="1">
        <v>0.86099999999999999</v>
      </c>
      <c r="R2051">
        <v>385</v>
      </c>
      <c r="S2051">
        <v>32</v>
      </c>
      <c r="T2051">
        <v>90</v>
      </c>
      <c r="U2051">
        <v>108</v>
      </c>
      <c r="V2051">
        <v>26</v>
      </c>
      <c r="W2051">
        <v>19</v>
      </c>
      <c r="X2051">
        <v>50</v>
      </c>
      <c r="Y2051" s="5">
        <v>2.16</v>
      </c>
    </row>
    <row r="2052" spans="1:25" x14ac:dyDescent="0.25">
      <c r="A2052">
        <v>2023</v>
      </c>
      <c r="B2052" t="s">
        <v>57</v>
      </c>
      <c r="C2052">
        <v>9</v>
      </c>
      <c r="D2052">
        <v>96</v>
      </c>
      <c r="E2052" t="s">
        <v>28</v>
      </c>
      <c r="F2052" t="s">
        <v>46</v>
      </c>
      <c r="G2052">
        <f t="shared" si="1175"/>
        <v>1</v>
      </c>
      <c r="H2052">
        <v>8</v>
      </c>
      <c r="I2052">
        <v>5</v>
      </c>
      <c r="J2052">
        <v>0</v>
      </c>
      <c r="K2052" s="6" t="str">
        <f t="shared" ref="K2052" si="1180">"vs "&amp;E2053</f>
        <v>vs The Guns</v>
      </c>
      <c r="L2052" s="6" t="str">
        <f t="shared" ref="L2052" si="1181">"vs "&amp;F2053</f>
        <v>vs Vasilis</v>
      </c>
      <c r="M2052">
        <v>170</v>
      </c>
      <c r="N2052" s="1">
        <v>0.45600000000000002</v>
      </c>
      <c r="O2052">
        <v>49</v>
      </c>
      <c r="P2052" s="1">
        <v>0.374</v>
      </c>
      <c r="Q2052" s="1">
        <v>0.82</v>
      </c>
      <c r="R2052">
        <v>480</v>
      </c>
      <c r="S2052">
        <v>34</v>
      </c>
      <c r="T2052">
        <v>113</v>
      </c>
      <c r="U2052">
        <v>123</v>
      </c>
      <c r="V2052">
        <v>22</v>
      </c>
      <c r="W2052">
        <v>16</v>
      </c>
      <c r="X2052">
        <v>59</v>
      </c>
      <c r="Y2052" s="5">
        <v>2.08</v>
      </c>
    </row>
    <row r="2053" spans="1:25" x14ac:dyDescent="0.25">
      <c r="A2053">
        <v>2023</v>
      </c>
      <c r="B2053" t="s">
        <v>57</v>
      </c>
      <c r="C2053">
        <v>9</v>
      </c>
      <c r="D2053">
        <v>96</v>
      </c>
      <c r="E2053" t="s">
        <v>33</v>
      </c>
      <c r="F2053" t="s">
        <v>42</v>
      </c>
      <c r="G2053">
        <f t="shared" si="1175"/>
        <v>0</v>
      </c>
      <c r="H2053">
        <v>5</v>
      </c>
      <c r="I2053">
        <v>8</v>
      </c>
      <c r="J2053">
        <v>0</v>
      </c>
      <c r="K2053" s="6" t="str">
        <f t="shared" ref="K2053" si="1182">"vs "&amp;E2052</f>
        <v>vs Steven Adams' Moustache</v>
      </c>
      <c r="L2053" s="6" t="str">
        <f t="shared" ref="L2053" si="1183">"vs "&amp;F2052</f>
        <v>vs Johnny</v>
      </c>
      <c r="M2053">
        <v>172</v>
      </c>
      <c r="N2053" s="1">
        <v>0.46899999999999997</v>
      </c>
      <c r="O2053">
        <v>36</v>
      </c>
      <c r="P2053" s="1">
        <v>0.29499999999999998</v>
      </c>
      <c r="Q2053" s="1">
        <v>0.76</v>
      </c>
      <c r="R2053">
        <v>459</v>
      </c>
      <c r="S2053">
        <v>45</v>
      </c>
      <c r="T2053">
        <v>114</v>
      </c>
      <c r="U2053">
        <v>104</v>
      </c>
      <c r="V2053">
        <v>21</v>
      </c>
      <c r="W2053">
        <v>17</v>
      </c>
      <c r="X2053">
        <v>75</v>
      </c>
      <c r="Y2053" s="5">
        <v>1.39</v>
      </c>
    </row>
    <row r="2054" spans="1:25" x14ac:dyDescent="0.25">
      <c r="A2054">
        <v>2023</v>
      </c>
      <c r="B2054" t="s">
        <v>57</v>
      </c>
      <c r="C2054">
        <v>9</v>
      </c>
      <c r="D2054">
        <v>97</v>
      </c>
      <c r="E2054" t="s">
        <v>15</v>
      </c>
      <c r="F2054" t="s">
        <v>48</v>
      </c>
      <c r="G2054">
        <f t="shared" si="1175"/>
        <v>0</v>
      </c>
      <c r="H2054">
        <v>3</v>
      </c>
      <c r="I2054">
        <v>10</v>
      </c>
      <c r="J2054">
        <v>0</v>
      </c>
      <c r="K2054" s="6" t="str">
        <f t="shared" ref="K2054" si="1184">"vs "&amp;E2055</f>
        <v>vs Donkey Rolls</v>
      </c>
      <c r="L2054" s="6" t="str">
        <f t="shared" ref="L2054" si="1185">"vs "&amp;F2055</f>
        <v>vs Markos</v>
      </c>
      <c r="M2054">
        <v>142</v>
      </c>
      <c r="N2054" s="1">
        <v>0.53400000000000003</v>
      </c>
      <c r="O2054">
        <v>59</v>
      </c>
      <c r="P2054" s="1">
        <v>0.43099999999999999</v>
      </c>
      <c r="Q2054" s="1">
        <v>0.67900000000000005</v>
      </c>
      <c r="R2054">
        <v>379</v>
      </c>
      <c r="S2054">
        <v>18</v>
      </c>
      <c r="T2054">
        <v>110</v>
      </c>
      <c r="U2054">
        <v>51</v>
      </c>
      <c r="V2054">
        <v>26</v>
      </c>
      <c r="W2054">
        <v>10</v>
      </c>
      <c r="X2054">
        <v>49</v>
      </c>
      <c r="Y2054" s="5">
        <v>1.04</v>
      </c>
    </row>
    <row r="2055" spans="1:25" x14ac:dyDescent="0.25">
      <c r="A2055">
        <v>2023</v>
      </c>
      <c r="B2055" t="s">
        <v>57</v>
      </c>
      <c r="C2055">
        <v>9</v>
      </c>
      <c r="D2055">
        <v>97</v>
      </c>
      <c r="E2055" t="s">
        <v>17</v>
      </c>
      <c r="F2055" t="s">
        <v>43</v>
      </c>
      <c r="G2055">
        <f t="shared" si="1175"/>
        <v>1</v>
      </c>
      <c r="H2055">
        <v>10</v>
      </c>
      <c r="I2055">
        <v>3</v>
      </c>
      <c r="J2055">
        <v>0</v>
      </c>
      <c r="K2055" s="6" t="str">
        <f t="shared" ref="K2055" si="1186">"vs "&amp;E2054</f>
        <v>vs Salonika Devils</v>
      </c>
      <c r="L2055" s="6" t="str">
        <f t="shared" ref="L2055" si="1187">"vs "&amp;F2054</f>
        <v>vs Fountos</v>
      </c>
      <c r="M2055">
        <v>151</v>
      </c>
      <c r="N2055" s="1">
        <v>0.433</v>
      </c>
      <c r="O2055">
        <v>63</v>
      </c>
      <c r="P2055" s="1">
        <v>0.38</v>
      </c>
      <c r="Q2055" s="1">
        <v>0.873</v>
      </c>
      <c r="R2055">
        <v>427</v>
      </c>
      <c r="S2055">
        <v>19</v>
      </c>
      <c r="T2055">
        <v>101</v>
      </c>
      <c r="U2055">
        <v>84</v>
      </c>
      <c r="V2055">
        <v>28</v>
      </c>
      <c r="W2055">
        <v>18</v>
      </c>
      <c r="X2055">
        <v>41</v>
      </c>
      <c r="Y2055" s="5">
        <v>2.0499999999999998</v>
      </c>
    </row>
    <row r="2056" spans="1:25" x14ac:dyDescent="0.25">
      <c r="A2056">
        <v>2023</v>
      </c>
      <c r="B2056" t="s">
        <v>57</v>
      </c>
      <c r="C2056">
        <v>9</v>
      </c>
      <c r="D2056">
        <v>98</v>
      </c>
      <c r="E2056" t="s">
        <v>95</v>
      </c>
      <c r="F2056" t="s">
        <v>101</v>
      </c>
      <c r="G2056">
        <f t="shared" si="1175"/>
        <v>1</v>
      </c>
      <c r="H2056">
        <v>7</v>
      </c>
      <c r="I2056">
        <v>5</v>
      </c>
      <c r="J2056">
        <v>1</v>
      </c>
      <c r="K2056" s="6" t="str">
        <f t="shared" ref="K2056" si="1188">"vs "&amp;E2057</f>
        <v>vs Pachiana NinjaBees</v>
      </c>
      <c r="L2056" s="6" t="str">
        <f t="shared" ref="L2056" si="1189">"vs "&amp;F2057</f>
        <v>vs Spiridaus/Oladipas</v>
      </c>
      <c r="M2056">
        <v>125</v>
      </c>
      <c r="N2056" s="1">
        <v>0.496</v>
      </c>
      <c r="O2056">
        <v>47</v>
      </c>
      <c r="P2056" s="1">
        <v>0.443</v>
      </c>
      <c r="Q2056" s="1">
        <v>0.66200000000000003</v>
      </c>
      <c r="R2056">
        <v>344</v>
      </c>
      <c r="S2056">
        <v>27</v>
      </c>
      <c r="T2056">
        <v>100</v>
      </c>
      <c r="U2056">
        <v>80</v>
      </c>
      <c r="V2056">
        <v>21</v>
      </c>
      <c r="W2056">
        <v>18</v>
      </c>
      <c r="X2056">
        <v>33</v>
      </c>
      <c r="Y2056" s="5">
        <v>2.42</v>
      </c>
    </row>
    <row r="2057" spans="1:25" x14ac:dyDescent="0.25">
      <c r="A2057">
        <v>2023</v>
      </c>
      <c r="B2057" t="s">
        <v>57</v>
      </c>
      <c r="C2057">
        <v>9</v>
      </c>
      <c r="D2057">
        <v>98</v>
      </c>
      <c r="E2057" t="s">
        <v>23</v>
      </c>
      <c r="F2057" t="s">
        <v>120</v>
      </c>
      <c r="G2057">
        <f t="shared" si="1175"/>
        <v>0</v>
      </c>
      <c r="H2057">
        <v>5</v>
      </c>
      <c r="I2057">
        <v>7</v>
      </c>
      <c r="J2057">
        <v>1</v>
      </c>
      <c r="K2057" s="6" t="str">
        <f t="shared" ref="K2057" si="1190">"vs "&amp;E2056</f>
        <v>vs Baltimore Hercules</v>
      </c>
      <c r="L2057" s="6" t="str">
        <f t="shared" ref="L2057" si="1191">"vs "&amp;F2056</f>
        <v>vs Sarantos</v>
      </c>
      <c r="M2057">
        <v>136</v>
      </c>
      <c r="N2057" s="1">
        <v>0.47699999999999998</v>
      </c>
      <c r="O2057">
        <v>37</v>
      </c>
      <c r="P2057" s="1">
        <v>0.38500000000000001</v>
      </c>
      <c r="Q2057" s="1">
        <v>0.745</v>
      </c>
      <c r="R2057">
        <v>382</v>
      </c>
      <c r="S2057">
        <v>45</v>
      </c>
      <c r="T2057">
        <v>121</v>
      </c>
      <c r="U2057">
        <v>73</v>
      </c>
      <c r="V2057">
        <v>20</v>
      </c>
      <c r="W2057">
        <v>10</v>
      </c>
      <c r="X2057">
        <v>33</v>
      </c>
      <c r="Y2057" s="5">
        <v>2.21</v>
      </c>
    </row>
    <row r="2058" spans="1:25" x14ac:dyDescent="0.25">
      <c r="A2058">
        <v>2023</v>
      </c>
      <c r="B2058" t="s">
        <v>57</v>
      </c>
      <c r="C2058">
        <v>9</v>
      </c>
      <c r="D2058">
        <v>99</v>
      </c>
      <c r="E2058" t="s">
        <v>93</v>
      </c>
      <c r="F2058" t="s">
        <v>189</v>
      </c>
      <c r="G2058">
        <f t="shared" si="1175"/>
        <v>1</v>
      </c>
      <c r="H2058">
        <v>10</v>
      </c>
      <c r="I2058">
        <v>3</v>
      </c>
      <c r="J2058">
        <v>0</v>
      </c>
      <c r="K2058" s="6" t="str">
        <f t="shared" ref="K2058" si="1192">"vs "&amp;E2059</f>
        <v>vs Kourayo Vallecano</v>
      </c>
      <c r="L2058" s="6" t="str">
        <f t="shared" ref="L2058" si="1193">"vs "&amp;F2059</f>
        <v>vs Ziogas/Christof</v>
      </c>
      <c r="M2058">
        <v>177</v>
      </c>
      <c r="N2058" s="1">
        <v>0.48</v>
      </c>
      <c r="O2058">
        <v>73</v>
      </c>
      <c r="P2058" s="1">
        <v>0.39900000000000002</v>
      </c>
      <c r="Q2058" s="1">
        <v>0.77700000000000002</v>
      </c>
      <c r="R2058">
        <v>500</v>
      </c>
      <c r="S2058">
        <v>26</v>
      </c>
      <c r="T2058">
        <v>119</v>
      </c>
      <c r="U2058">
        <v>86</v>
      </c>
      <c r="V2058">
        <v>20</v>
      </c>
      <c r="W2058">
        <v>10</v>
      </c>
      <c r="X2058">
        <v>60</v>
      </c>
      <c r="Y2058" s="5">
        <v>1.43</v>
      </c>
    </row>
    <row r="2059" spans="1:25" x14ac:dyDescent="0.25">
      <c r="A2059">
        <v>2023</v>
      </c>
      <c r="B2059" t="s">
        <v>57</v>
      </c>
      <c r="C2059">
        <v>9</v>
      </c>
      <c r="D2059">
        <v>99</v>
      </c>
      <c r="E2059" t="s">
        <v>26</v>
      </c>
      <c r="F2059" t="s">
        <v>118</v>
      </c>
      <c r="G2059">
        <f t="shared" si="1175"/>
        <v>0</v>
      </c>
      <c r="H2059">
        <v>3</v>
      </c>
      <c r="I2059">
        <v>10</v>
      </c>
      <c r="J2059">
        <v>0</v>
      </c>
      <c r="K2059" s="6" t="str">
        <f t="shared" ref="K2059" si="1194">"vs "&amp;E2058</f>
        <v>vs Guruuu 🐐🐐🐐</v>
      </c>
      <c r="L2059" s="6" t="str">
        <f t="shared" ref="L2059" si="1195">"vs "&amp;F2058</f>
        <v>vs Guru</v>
      </c>
      <c r="M2059">
        <v>112</v>
      </c>
      <c r="N2059" s="1">
        <v>0.42599999999999999</v>
      </c>
      <c r="O2059">
        <v>44</v>
      </c>
      <c r="P2059" s="1">
        <v>0.317</v>
      </c>
      <c r="Q2059" s="1">
        <v>0.78500000000000003</v>
      </c>
      <c r="R2059">
        <v>330</v>
      </c>
      <c r="S2059">
        <v>16</v>
      </c>
      <c r="T2059">
        <v>96</v>
      </c>
      <c r="U2059">
        <v>83</v>
      </c>
      <c r="V2059">
        <v>18</v>
      </c>
      <c r="W2059">
        <v>4</v>
      </c>
      <c r="X2059">
        <v>41</v>
      </c>
      <c r="Y2059" s="5">
        <v>2.02</v>
      </c>
    </row>
    <row r="2060" spans="1:25" x14ac:dyDescent="0.25">
      <c r="A2060">
        <v>2023</v>
      </c>
      <c r="B2060" t="s">
        <v>57</v>
      </c>
      <c r="C2060">
        <v>9</v>
      </c>
      <c r="D2060">
        <v>100</v>
      </c>
      <c r="E2060" t="s">
        <v>98</v>
      </c>
      <c r="F2060" t="s">
        <v>41</v>
      </c>
      <c r="G2060">
        <f t="shared" si="1175"/>
        <v>1</v>
      </c>
      <c r="H2060">
        <v>9</v>
      </c>
      <c r="I2060">
        <v>4</v>
      </c>
      <c r="J2060">
        <v>0</v>
      </c>
      <c r="K2060" s="6" t="str">
        <f t="shared" ref="K2060" si="1196">"vs "&amp;E2061</f>
        <v>vs st.Helens Eruptions</v>
      </c>
      <c r="L2060" s="6" t="str">
        <f t="shared" ref="L2060" si="1197">"vs "&amp;F2061</f>
        <v>vs Aris</v>
      </c>
      <c r="M2060">
        <v>188</v>
      </c>
      <c r="N2060" s="1">
        <v>0.47199999999999998</v>
      </c>
      <c r="O2060">
        <v>43</v>
      </c>
      <c r="P2060" s="1">
        <v>0.31900000000000001</v>
      </c>
      <c r="Q2060" s="1">
        <v>0.78200000000000003</v>
      </c>
      <c r="R2060">
        <v>498</v>
      </c>
      <c r="S2060">
        <v>34</v>
      </c>
      <c r="T2060">
        <v>154</v>
      </c>
      <c r="U2060">
        <v>110</v>
      </c>
      <c r="V2060">
        <v>39</v>
      </c>
      <c r="W2060">
        <v>22</v>
      </c>
      <c r="X2060">
        <v>53</v>
      </c>
      <c r="Y2060" s="5">
        <v>2.08</v>
      </c>
    </row>
    <row r="2061" spans="1:25" x14ac:dyDescent="0.25">
      <c r="A2061">
        <v>2023</v>
      </c>
      <c r="B2061" t="s">
        <v>57</v>
      </c>
      <c r="C2061">
        <v>9</v>
      </c>
      <c r="D2061">
        <v>100</v>
      </c>
      <c r="E2061" t="s">
        <v>21</v>
      </c>
      <c r="F2061" t="s">
        <v>50</v>
      </c>
      <c r="G2061">
        <f t="shared" si="1175"/>
        <v>0</v>
      </c>
      <c r="H2061">
        <v>4</v>
      </c>
      <c r="I2061">
        <v>9</v>
      </c>
      <c r="J2061">
        <v>0</v>
      </c>
      <c r="K2061" s="6" t="str">
        <f t="shared" ref="K2061" si="1198">"vs "&amp;E2060</f>
        <v>vs Xanthi Ducks 🦆</v>
      </c>
      <c r="L2061" s="6" t="str">
        <f t="shared" ref="L2061" si="1199">"vs "&amp;F2060</f>
        <v>vs Kotakis</v>
      </c>
      <c r="M2061">
        <v>159</v>
      </c>
      <c r="N2061" s="1">
        <v>0.442</v>
      </c>
      <c r="O2061">
        <v>59</v>
      </c>
      <c r="P2061" s="1">
        <v>0.36399999999999999</v>
      </c>
      <c r="Q2061" s="1">
        <v>0.78800000000000003</v>
      </c>
      <c r="R2061">
        <v>459</v>
      </c>
      <c r="S2061">
        <v>24</v>
      </c>
      <c r="T2061">
        <v>118</v>
      </c>
      <c r="U2061">
        <v>91</v>
      </c>
      <c r="V2061">
        <v>21</v>
      </c>
      <c r="W2061">
        <v>18</v>
      </c>
      <c r="X2061">
        <v>52</v>
      </c>
      <c r="Y2061" s="5">
        <v>1.75</v>
      </c>
    </row>
    <row r="2062" spans="1:25" x14ac:dyDescent="0.25">
      <c r="A2062">
        <v>2023</v>
      </c>
      <c r="B2062" t="s">
        <v>57</v>
      </c>
      <c r="C2062">
        <v>10</v>
      </c>
      <c r="D2062">
        <v>101</v>
      </c>
      <c r="E2062" t="s">
        <v>154</v>
      </c>
      <c r="F2062" t="s">
        <v>155</v>
      </c>
      <c r="G2062">
        <f t="shared" si="1175"/>
        <v>0</v>
      </c>
      <c r="H2062">
        <v>1</v>
      </c>
      <c r="I2062">
        <v>12</v>
      </c>
      <c r="J2062">
        <v>0</v>
      </c>
      <c r="K2062" s="6" t="str">
        <f t="shared" ref="K2062" si="1200">"vs "&amp;E2063</f>
        <v>vs Xanthi Ducks 🦆</v>
      </c>
      <c r="L2062" s="6" t="str">
        <f t="shared" ref="L2062" si="1201">"vs "&amp;F2063</f>
        <v>vs Kotakis</v>
      </c>
      <c r="M2062">
        <v>124</v>
      </c>
      <c r="N2062" s="1">
        <v>0.496</v>
      </c>
      <c r="O2062">
        <v>28</v>
      </c>
      <c r="P2062" s="1">
        <v>0.318</v>
      </c>
      <c r="Q2062" s="1">
        <v>0.746</v>
      </c>
      <c r="R2062">
        <v>326</v>
      </c>
      <c r="S2062">
        <v>38</v>
      </c>
      <c r="T2062">
        <v>104</v>
      </c>
      <c r="U2062">
        <v>42</v>
      </c>
      <c r="V2062">
        <v>23</v>
      </c>
      <c r="W2062">
        <v>15</v>
      </c>
      <c r="X2062">
        <v>41</v>
      </c>
      <c r="Y2062" s="5">
        <v>1.02</v>
      </c>
    </row>
    <row r="2063" spans="1:25" x14ac:dyDescent="0.25">
      <c r="A2063">
        <v>2023</v>
      </c>
      <c r="B2063" t="s">
        <v>57</v>
      </c>
      <c r="C2063">
        <v>10</v>
      </c>
      <c r="D2063">
        <v>101</v>
      </c>
      <c r="E2063" t="s">
        <v>98</v>
      </c>
      <c r="F2063" t="s">
        <v>41</v>
      </c>
      <c r="G2063">
        <f t="shared" si="1175"/>
        <v>1</v>
      </c>
      <c r="H2063">
        <v>12</v>
      </c>
      <c r="I2063">
        <v>1</v>
      </c>
      <c r="J2063">
        <v>0</v>
      </c>
      <c r="K2063" s="6" t="str">
        <f t="shared" ref="K2063" si="1202">"vs "&amp;E2062</f>
        <v>vs The Bad Boys</v>
      </c>
      <c r="L2063" s="6" t="str">
        <f t="shared" ref="L2063" si="1203">"vs "&amp;F2062</f>
        <v>vs Arvanitis</v>
      </c>
      <c r="M2063">
        <v>175</v>
      </c>
      <c r="N2063" s="1">
        <v>0.51300000000000001</v>
      </c>
      <c r="O2063">
        <v>48</v>
      </c>
      <c r="P2063" s="1">
        <v>0.38700000000000001</v>
      </c>
      <c r="Q2063" s="1">
        <v>0.82499999999999996</v>
      </c>
      <c r="R2063">
        <v>450</v>
      </c>
      <c r="S2063">
        <v>43</v>
      </c>
      <c r="T2063">
        <v>152</v>
      </c>
      <c r="U2063">
        <v>111</v>
      </c>
      <c r="V2063">
        <v>25</v>
      </c>
      <c r="W2063">
        <v>18</v>
      </c>
      <c r="X2063">
        <v>54</v>
      </c>
      <c r="Y2063" s="5">
        <v>2.06</v>
      </c>
    </row>
    <row r="2064" spans="1:25" x14ac:dyDescent="0.25">
      <c r="A2064">
        <v>2023</v>
      </c>
      <c r="B2064" t="s">
        <v>57</v>
      </c>
      <c r="C2064">
        <v>10</v>
      </c>
      <c r="D2064">
        <v>102</v>
      </c>
      <c r="E2064" t="s">
        <v>16</v>
      </c>
      <c r="F2064" t="s">
        <v>51</v>
      </c>
      <c r="G2064">
        <f t="shared" si="1175"/>
        <v>1</v>
      </c>
      <c r="H2064">
        <v>12</v>
      </c>
      <c r="I2064">
        <v>1</v>
      </c>
      <c r="J2064">
        <v>0</v>
      </c>
      <c r="K2064" s="6" t="str">
        <f t="shared" ref="K2064" si="1204">"vs "&amp;E2065</f>
        <v>vs The Rookies</v>
      </c>
      <c r="L2064" s="6" t="str">
        <f t="shared" ref="L2064" si="1205">"vs "&amp;F2065</f>
        <v>vs Kousidis</v>
      </c>
      <c r="M2064">
        <v>166</v>
      </c>
      <c r="N2064" s="1">
        <v>0.48299999999999998</v>
      </c>
      <c r="O2064">
        <v>56</v>
      </c>
      <c r="P2064" s="1">
        <v>0.44400000000000001</v>
      </c>
      <c r="Q2064" s="1">
        <v>0.82599999999999996</v>
      </c>
      <c r="R2064">
        <v>478</v>
      </c>
      <c r="S2064">
        <v>41</v>
      </c>
      <c r="T2064">
        <v>111</v>
      </c>
      <c r="U2064">
        <v>122</v>
      </c>
      <c r="V2064">
        <v>32</v>
      </c>
      <c r="W2064">
        <v>14</v>
      </c>
      <c r="X2064">
        <v>50</v>
      </c>
      <c r="Y2064" s="5">
        <v>2.44</v>
      </c>
    </row>
    <row r="2065" spans="1:25" x14ac:dyDescent="0.25">
      <c r="A2065">
        <v>2023</v>
      </c>
      <c r="B2065" t="s">
        <v>57</v>
      </c>
      <c r="C2065">
        <v>10</v>
      </c>
      <c r="D2065">
        <v>102</v>
      </c>
      <c r="E2065" t="s">
        <v>25</v>
      </c>
      <c r="F2065" t="s">
        <v>53</v>
      </c>
      <c r="G2065">
        <f t="shared" si="1175"/>
        <v>0</v>
      </c>
      <c r="H2065">
        <v>1</v>
      </c>
      <c r="I2065">
        <v>12</v>
      </c>
      <c r="J2065">
        <v>0</v>
      </c>
      <c r="K2065" s="6" t="str">
        <f t="shared" ref="K2065" si="1206">"vs "&amp;E2064</f>
        <v>vs The Bridgeburners</v>
      </c>
      <c r="L2065" s="6" t="str">
        <f t="shared" ref="L2065" si="1207">"vs "&amp;F2064</f>
        <v>vs Fanis</v>
      </c>
      <c r="M2065">
        <v>142</v>
      </c>
      <c r="N2065" s="1">
        <v>0.45200000000000001</v>
      </c>
      <c r="O2065">
        <v>52</v>
      </c>
      <c r="P2065" s="1">
        <v>0.42299999999999999</v>
      </c>
      <c r="Q2065" s="1">
        <v>0.75</v>
      </c>
      <c r="R2065">
        <v>408</v>
      </c>
      <c r="S2065">
        <v>34</v>
      </c>
      <c r="T2065">
        <v>92</v>
      </c>
      <c r="U2065">
        <v>73</v>
      </c>
      <c r="V2065">
        <v>17</v>
      </c>
      <c r="W2065">
        <v>8</v>
      </c>
      <c r="X2065">
        <v>42</v>
      </c>
      <c r="Y2065" s="5">
        <v>1.74</v>
      </c>
    </row>
    <row r="2066" spans="1:25" x14ac:dyDescent="0.25">
      <c r="A2066">
        <v>2023</v>
      </c>
      <c r="B2066" t="s">
        <v>57</v>
      </c>
      <c r="C2066">
        <v>10</v>
      </c>
      <c r="D2066">
        <v>103</v>
      </c>
      <c r="E2066" t="s">
        <v>26</v>
      </c>
      <c r="F2066" t="s">
        <v>118</v>
      </c>
      <c r="G2066">
        <f t="shared" si="1175"/>
        <v>1</v>
      </c>
      <c r="H2066">
        <v>7</v>
      </c>
      <c r="I2066">
        <v>6</v>
      </c>
      <c r="J2066">
        <v>0</v>
      </c>
      <c r="K2066" s="6" t="str">
        <f t="shared" ref="K2066" si="1208">"vs "&amp;E2067</f>
        <v>vs Knights of Ni</v>
      </c>
      <c r="L2066" s="6" t="str">
        <f t="shared" ref="L2066" si="1209">"vs "&amp;F2067</f>
        <v>vs Tolios</v>
      </c>
      <c r="M2066">
        <v>136</v>
      </c>
      <c r="N2066" s="1">
        <v>0.52500000000000002</v>
      </c>
      <c r="O2066">
        <v>51</v>
      </c>
      <c r="P2066" s="1">
        <v>0.40200000000000002</v>
      </c>
      <c r="Q2066" s="1">
        <v>0.65100000000000002</v>
      </c>
      <c r="R2066">
        <v>364</v>
      </c>
      <c r="S2066">
        <v>16</v>
      </c>
      <c r="T2066">
        <v>81</v>
      </c>
      <c r="U2066">
        <v>76</v>
      </c>
      <c r="V2066">
        <v>21</v>
      </c>
      <c r="W2066">
        <v>7</v>
      </c>
      <c r="X2066">
        <v>36</v>
      </c>
      <c r="Y2066" s="5">
        <v>2.11</v>
      </c>
    </row>
    <row r="2067" spans="1:25" x14ac:dyDescent="0.25">
      <c r="A2067">
        <v>2023</v>
      </c>
      <c r="B2067" t="s">
        <v>57</v>
      </c>
      <c r="C2067">
        <v>10</v>
      </c>
      <c r="D2067">
        <v>103</v>
      </c>
      <c r="E2067" t="s">
        <v>96</v>
      </c>
      <c r="F2067" t="s">
        <v>102</v>
      </c>
      <c r="G2067">
        <f t="shared" si="1175"/>
        <v>0</v>
      </c>
      <c r="H2067">
        <v>6</v>
      </c>
      <c r="I2067">
        <v>7</v>
      </c>
      <c r="J2067">
        <v>0</v>
      </c>
      <c r="K2067" s="6" t="str">
        <f t="shared" ref="K2067" si="1210">"vs "&amp;E2066</f>
        <v>vs Kourayo Vallecano</v>
      </c>
      <c r="L2067" s="6" t="str">
        <f t="shared" ref="L2067" si="1211">"vs "&amp;F2066</f>
        <v>vs Ziogas/Christof</v>
      </c>
      <c r="M2067">
        <v>82</v>
      </c>
      <c r="N2067" s="1">
        <v>0.42499999999999999</v>
      </c>
      <c r="O2067">
        <v>22</v>
      </c>
      <c r="P2067" s="1">
        <v>0.30099999999999999</v>
      </c>
      <c r="Q2067" s="1">
        <v>0.82099999999999995</v>
      </c>
      <c r="R2067">
        <v>232</v>
      </c>
      <c r="S2067">
        <v>37</v>
      </c>
      <c r="T2067">
        <v>86</v>
      </c>
      <c r="U2067">
        <v>45</v>
      </c>
      <c r="V2067">
        <v>27</v>
      </c>
      <c r="W2067">
        <v>9</v>
      </c>
      <c r="X2067">
        <v>29</v>
      </c>
      <c r="Y2067" s="5">
        <v>1.55</v>
      </c>
    </row>
    <row r="2068" spans="1:25" x14ac:dyDescent="0.25">
      <c r="A2068">
        <v>2023</v>
      </c>
      <c r="B2068" t="s">
        <v>57</v>
      </c>
      <c r="C2068">
        <v>10</v>
      </c>
      <c r="D2068">
        <v>104</v>
      </c>
      <c r="E2068" t="s">
        <v>23</v>
      </c>
      <c r="F2068" t="s">
        <v>120</v>
      </c>
      <c r="G2068">
        <f t="shared" si="1175"/>
        <v>1</v>
      </c>
      <c r="H2068">
        <v>9</v>
      </c>
      <c r="I2068">
        <v>4</v>
      </c>
      <c r="J2068">
        <v>0</v>
      </c>
      <c r="K2068" s="6" t="str">
        <f t="shared" ref="K2068" si="1212">"vs "&amp;E2069</f>
        <v>vs Fighting Thaddeus</v>
      </c>
      <c r="L2068" s="6" t="str">
        <f t="shared" ref="L2068" si="1213">"vs "&amp;F2069</f>
        <v>vs Stavros</v>
      </c>
      <c r="M2068">
        <v>174</v>
      </c>
      <c r="N2068" s="1">
        <v>0.54200000000000004</v>
      </c>
      <c r="O2068">
        <v>32</v>
      </c>
      <c r="P2068" s="1">
        <v>0.36</v>
      </c>
      <c r="Q2068" s="1">
        <v>0.83699999999999997</v>
      </c>
      <c r="R2068">
        <v>467</v>
      </c>
      <c r="S2068">
        <v>41</v>
      </c>
      <c r="T2068">
        <v>150</v>
      </c>
      <c r="U2068">
        <v>88</v>
      </c>
      <c r="V2068">
        <v>22</v>
      </c>
      <c r="W2068">
        <v>11</v>
      </c>
      <c r="X2068">
        <v>59</v>
      </c>
      <c r="Y2068" s="5">
        <v>1.49</v>
      </c>
    </row>
    <row r="2069" spans="1:25" x14ac:dyDescent="0.25">
      <c r="A2069">
        <v>2023</v>
      </c>
      <c r="B2069" t="s">
        <v>57</v>
      </c>
      <c r="C2069">
        <v>10</v>
      </c>
      <c r="D2069">
        <v>104</v>
      </c>
      <c r="E2069" t="s">
        <v>94</v>
      </c>
      <c r="F2069" t="s">
        <v>40</v>
      </c>
      <c r="G2069">
        <f t="shared" si="1175"/>
        <v>0</v>
      </c>
      <c r="H2069">
        <v>4</v>
      </c>
      <c r="I2069">
        <v>9</v>
      </c>
      <c r="J2069">
        <v>0</v>
      </c>
      <c r="K2069" s="6" t="str">
        <f t="shared" ref="K2069" si="1214">"vs "&amp;E2068</f>
        <v>vs Pachiana NinjaBees</v>
      </c>
      <c r="L2069" s="6" t="str">
        <f t="shared" ref="L2069" si="1215">"vs "&amp;F2068</f>
        <v>vs Spiridaus/Oladipas</v>
      </c>
      <c r="M2069">
        <v>130</v>
      </c>
      <c r="N2069" s="1">
        <v>0.504</v>
      </c>
      <c r="O2069">
        <v>48</v>
      </c>
      <c r="P2069" s="1">
        <v>0.42099999999999999</v>
      </c>
      <c r="Q2069" s="1">
        <v>0.754</v>
      </c>
      <c r="R2069">
        <v>360</v>
      </c>
      <c r="S2069">
        <v>35</v>
      </c>
      <c r="T2069">
        <v>95</v>
      </c>
      <c r="U2069">
        <v>73</v>
      </c>
      <c r="V2069">
        <v>19</v>
      </c>
      <c r="W2069">
        <v>8</v>
      </c>
      <c r="X2069">
        <v>37</v>
      </c>
      <c r="Y2069" s="5">
        <v>1.97</v>
      </c>
    </row>
    <row r="2070" spans="1:25" x14ac:dyDescent="0.25">
      <c r="A2070">
        <v>2023</v>
      </c>
      <c r="B2070" t="s">
        <v>57</v>
      </c>
      <c r="C2070">
        <v>10</v>
      </c>
      <c r="D2070">
        <v>105</v>
      </c>
      <c r="E2070" t="s">
        <v>181</v>
      </c>
      <c r="F2070" t="s">
        <v>49</v>
      </c>
      <c r="G2070">
        <f t="shared" si="1175"/>
        <v>0</v>
      </c>
      <c r="H2070">
        <v>4</v>
      </c>
      <c r="I2070">
        <v>9</v>
      </c>
      <c r="J2070">
        <v>0</v>
      </c>
      <c r="K2070" s="6" t="str">
        <f t="shared" ref="K2070" si="1216">"vs "&amp;E2071</f>
        <v>vs purple fuzzy apache pirates</v>
      </c>
      <c r="L2070" s="6" t="str">
        <f t="shared" ref="L2070" si="1217">"vs "&amp;F2071</f>
        <v>vs pi/Sotiris</v>
      </c>
      <c r="M2070">
        <v>166</v>
      </c>
      <c r="N2070" s="1">
        <v>0.496</v>
      </c>
      <c r="O2070">
        <v>26</v>
      </c>
      <c r="P2070" s="1">
        <v>0.28299999999999997</v>
      </c>
      <c r="Q2070" s="1">
        <v>0.81699999999999995</v>
      </c>
      <c r="R2070">
        <v>434</v>
      </c>
      <c r="S2070">
        <v>31</v>
      </c>
      <c r="T2070">
        <v>118</v>
      </c>
      <c r="U2070">
        <v>109</v>
      </c>
      <c r="V2070">
        <v>21</v>
      </c>
      <c r="W2070">
        <v>9</v>
      </c>
      <c r="X2070">
        <v>44</v>
      </c>
      <c r="Y2070" s="5">
        <v>2.48</v>
      </c>
    </row>
    <row r="2071" spans="1:25" x14ac:dyDescent="0.25">
      <c r="A2071">
        <v>2023</v>
      </c>
      <c r="B2071" t="s">
        <v>57</v>
      </c>
      <c r="C2071">
        <v>10</v>
      </c>
      <c r="D2071">
        <v>105</v>
      </c>
      <c r="E2071" t="s">
        <v>159</v>
      </c>
      <c r="F2071" t="s">
        <v>116</v>
      </c>
      <c r="G2071">
        <f t="shared" si="1175"/>
        <v>1</v>
      </c>
      <c r="H2071">
        <v>9</v>
      </c>
      <c r="I2071">
        <v>4</v>
      </c>
      <c r="J2071">
        <v>0</v>
      </c>
      <c r="K2071" s="6" t="str">
        <f t="shared" ref="K2071" si="1218">"vs "&amp;E2070</f>
        <v>vs Samarina Dudenbros</v>
      </c>
      <c r="L2071" s="6" t="str">
        <f t="shared" ref="L2071" si="1219">"vs "&amp;F2070</f>
        <v>vs Sakellariou</v>
      </c>
      <c r="M2071">
        <v>175</v>
      </c>
      <c r="N2071" s="1">
        <v>0.50700000000000001</v>
      </c>
      <c r="O2071">
        <v>41</v>
      </c>
      <c r="P2071" s="1">
        <v>0.38</v>
      </c>
      <c r="Q2071" s="1">
        <v>0.73599999999999999</v>
      </c>
      <c r="R2071">
        <v>469</v>
      </c>
      <c r="S2071">
        <v>32</v>
      </c>
      <c r="T2071">
        <v>139</v>
      </c>
      <c r="U2071">
        <v>104</v>
      </c>
      <c r="V2071">
        <v>28</v>
      </c>
      <c r="W2071">
        <v>24</v>
      </c>
      <c r="X2071">
        <v>58</v>
      </c>
      <c r="Y2071" s="5">
        <v>1.79</v>
      </c>
    </row>
    <row r="2072" spans="1:25" x14ac:dyDescent="0.25">
      <c r="A2072">
        <v>2023</v>
      </c>
      <c r="B2072" t="s">
        <v>57</v>
      </c>
      <c r="C2072">
        <v>10</v>
      </c>
      <c r="D2072">
        <v>106</v>
      </c>
      <c r="E2072" t="s">
        <v>93</v>
      </c>
      <c r="F2072" t="s">
        <v>189</v>
      </c>
      <c r="G2072">
        <f t="shared" si="1175"/>
        <v>0</v>
      </c>
      <c r="H2072">
        <v>2</v>
      </c>
      <c r="I2072">
        <v>11</v>
      </c>
      <c r="J2072">
        <v>0</v>
      </c>
      <c r="K2072" s="6" t="str">
        <f t="shared" ref="K2072" si="1220">"vs "&amp;E2073</f>
        <v>vs Steven Adams' Moustache</v>
      </c>
      <c r="L2072" s="6" t="str">
        <f t="shared" ref="L2072" si="1221">"vs "&amp;F2073</f>
        <v>vs Johnny</v>
      </c>
      <c r="M2072">
        <v>135</v>
      </c>
      <c r="N2072" s="1">
        <v>0.48</v>
      </c>
      <c r="O2072">
        <v>39</v>
      </c>
      <c r="P2072" s="1">
        <v>0.33100000000000002</v>
      </c>
      <c r="Q2072" s="1">
        <v>0.77200000000000002</v>
      </c>
      <c r="R2072">
        <v>370</v>
      </c>
      <c r="S2072">
        <v>25</v>
      </c>
      <c r="T2072">
        <v>92</v>
      </c>
      <c r="U2072">
        <v>74</v>
      </c>
      <c r="V2072">
        <v>23</v>
      </c>
      <c r="W2072">
        <v>17</v>
      </c>
      <c r="X2072">
        <v>33</v>
      </c>
      <c r="Y2072" s="5">
        <v>2.2400000000000002</v>
      </c>
    </row>
    <row r="2073" spans="1:25" x14ac:dyDescent="0.25">
      <c r="A2073">
        <v>2023</v>
      </c>
      <c r="B2073" t="s">
        <v>57</v>
      </c>
      <c r="C2073">
        <v>10</v>
      </c>
      <c r="D2073">
        <v>106</v>
      </c>
      <c r="E2073" t="s">
        <v>28</v>
      </c>
      <c r="F2073" t="s">
        <v>46</v>
      </c>
      <c r="G2073">
        <f t="shared" si="1175"/>
        <v>1</v>
      </c>
      <c r="H2073">
        <v>11</v>
      </c>
      <c r="I2073">
        <v>2</v>
      </c>
      <c r="J2073">
        <v>0</v>
      </c>
      <c r="K2073" s="6" t="str">
        <f t="shared" ref="K2073" si="1222">"vs "&amp;E2072</f>
        <v>vs Guruuu 🐐🐐🐐</v>
      </c>
      <c r="L2073" s="6" t="str">
        <f t="shared" ref="L2073" si="1223">"vs "&amp;F2072</f>
        <v>vs Guru</v>
      </c>
      <c r="M2073">
        <v>200</v>
      </c>
      <c r="N2073" s="1">
        <v>0.442</v>
      </c>
      <c r="O2073">
        <v>66</v>
      </c>
      <c r="P2073" s="1">
        <v>0.38600000000000001</v>
      </c>
      <c r="Q2073" s="1">
        <v>0.84499999999999997</v>
      </c>
      <c r="R2073">
        <v>575</v>
      </c>
      <c r="S2073">
        <v>54</v>
      </c>
      <c r="T2073">
        <v>148</v>
      </c>
      <c r="U2073">
        <v>185</v>
      </c>
      <c r="V2073">
        <v>40</v>
      </c>
      <c r="W2073">
        <v>24</v>
      </c>
      <c r="X2073">
        <v>71</v>
      </c>
      <c r="Y2073" s="5">
        <v>2.61</v>
      </c>
    </row>
    <row r="2074" spans="1:25" x14ac:dyDescent="0.25">
      <c r="A2074">
        <v>2023</v>
      </c>
      <c r="B2074" t="s">
        <v>57</v>
      </c>
      <c r="C2074">
        <v>10</v>
      </c>
      <c r="D2074">
        <v>107</v>
      </c>
      <c r="E2074" t="s">
        <v>17</v>
      </c>
      <c r="F2074" t="s">
        <v>43</v>
      </c>
      <c r="G2074">
        <f t="shared" si="1175"/>
        <v>0</v>
      </c>
      <c r="H2074">
        <v>6</v>
      </c>
      <c r="I2074">
        <v>7</v>
      </c>
      <c r="J2074">
        <v>0</v>
      </c>
      <c r="K2074" s="6" t="str">
        <f t="shared" ref="K2074" si="1224">"vs "&amp;E2075</f>
        <v>vs Baltimore Hercules</v>
      </c>
      <c r="L2074" s="6" t="str">
        <f t="shared" ref="L2074" si="1225">"vs "&amp;F2075</f>
        <v>vs Sarantos</v>
      </c>
      <c r="M2074">
        <v>144</v>
      </c>
      <c r="N2074" s="1">
        <v>0.434</v>
      </c>
      <c r="O2074">
        <v>53</v>
      </c>
      <c r="P2074" s="1">
        <v>0.36799999999999999</v>
      </c>
      <c r="Q2074" s="1">
        <v>0.74</v>
      </c>
      <c r="R2074">
        <v>398</v>
      </c>
      <c r="S2074">
        <v>21</v>
      </c>
      <c r="T2074">
        <v>88</v>
      </c>
      <c r="U2074">
        <v>108</v>
      </c>
      <c r="V2074">
        <v>14</v>
      </c>
      <c r="W2074">
        <v>7</v>
      </c>
      <c r="X2074">
        <v>54</v>
      </c>
      <c r="Y2074" s="5">
        <v>2</v>
      </c>
    </row>
    <row r="2075" spans="1:25" x14ac:dyDescent="0.25">
      <c r="A2075">
        <v>2023</v>
      </c>
      <c r="B2075" t="s">
        <v>57</v>
      </c>
      <c r="C2075">
        <v>10</v>
      </c>
      <c r="D2075">
        <v>107</v>
      </c>
      <c r="E2075" t="s">
        <v>95</v>
      </c>
      <c r="F2075" t="s">
        <v>101</v>
      </c>
      <c r="G2075">
        <f t="shared" si="1175"/>
        <v>1</v>
      </c>
      <c r="H2075">
        <v>7</v>
      </c>
      <c r="I2075">
        <v>6</v>
      </c>
      <c r="J2075">
        <v>0</v>
      </c>
      <c r="K2075" s="6" t="str">
        <f t="shared" ref="K2075" si="1226">"vs "&amp;E2074</f>
        <v>vs Donkey Rolls</v>
      </c>
      <c r="L2075" s="6" t="str">
        <f t="shared" ref="L2075" si="1227">"vs "&amp;F2074</f>
        <v>vs Markos</v>
      </c>
      <c r="M2075">
        <v>112</v>
      </c>
      <c r="N2075" s="1">
        <v>0.46100000000000002</v>
      </c>
      <c r="O2075">
        <v>41</v>
      </c>
      <c r="P2075" s="1">
        <v>0.35299999999999998</v>
      </c>
      <c r="Q2075" s="1">
        <v>0.81799999999999995</v>
      </c>
      <c r="R2075">
        <v>310</v>
      </c>
      <c r="S2075">
        <v>20</v>
      </c>
      <c r="T2075">
        <v>90</v>
      </c>
      <c r="U2075">
        <v>67</v>
      </c>
      <c r="V2075">
        <v>26</v>
      </c>
      <c r="W2075">
        <v>13</v>
      </c>
      <c r="X2075">
        <v>30</v>
      </c>
      <c r="Y2075" s="5">
        <v>2.23</v>
      </c>
    </row>
    <row r="2076" spans="1:25" x14ac:dyDescent="0.25">
      <c r="A2076">
        <v>2023</v>
      </c>
      <c r="B2076" t="s">
        <v>57</v>
      </c>
      <c r="C2076">
        <v>10</v>
      </c>
      <c r="D2076">
        <v>108</v>
      </c>
      <c r="E2076" t="s">
        <v>190</v>
      </c>
      <c r="F2076" t="s">
        <v>103</v>
      </c>
      <c r="G2076">
        <f t="shared" si="1175"/>
        <v>1</v>
      </c>
      <c r="H2076">
        <v>8</v>
      </c>
      <c r="I2076">
        <v>5</v>
      </c>
      <c r="J2076">
        <v>0</v>
      </c>
      <c r="K2076" s="6" t="str">
        <f t="shared" ref="K2076" si="1228">"vs "&amp;E2077</f>
        <v>vs LRBP PR3DATORS</v>
      </c>
      <c r="L2076" s="6" t="str">
        <f t="shared" ref="L2076" si="1229">"vs "&amp;F2077</f>
        <v>vs Lafa</v>
      </c>
      <c r="M2076">
        <v>177</v>
      </c>
      <c r="N2076" s="1">
        <v>0.48799999999999999</v>
      </c>
      <c r="O2076">
        <v>45</v>
      </c>
      <c r="P2076" s="1">
        <v>0.39500000000000002</v>
      </c>
      <c r="Q2076" s="1">
        <v>0.871</v>
      </c>
      <c r="R2076">
        <v>473</v>
      </c>
      <c r="S2076">
        <v>37</v>
      </c>
      <c r="T2076">
        <v>126</v>
      </c>
      <c r="U2076">
        <v>78</v>
      </c>
      <c r="V2076">
        <v>24</v>
      </c>
      <c r="W2076">
        <v>19</v>
      </c>
      <c r="X2076">
        <v>49</v>
      </c>
      <c r="Y2076" s="5">
        <v>1.59</v>
      </c>
    </row>
    <row r="2077" spans="1:25" x14ac:dyDescent="0.25">
      <c r="A2077">
        <v>2023</v>
      </c>
      <c r="B2077" t="s">
        <v>57</v>
      </c>
      <c r="C2077">
        <v>10</v>
      </c>
      <c r="D2077">
        <v>108</v>
      </c>
      <c r="E2077" t="s">
        <v>158</v>
      </c>
      <c r="F2077" t="s">
        <v>177</v>
      </c>
      <c r="G2077">
        <f t="shared" si="1175"/>
        <v>0</v>
      </c>
      <c r="H2077">
        <v>5</v>
      </c>
      <c r="I2077">
        <v>8</v>
      </c>
      <c r="J2077">
        <v>0</v>
      </c>
      <c r="K2077" s="6" t="str">
        <f t="shared" ref="K2077" si="1230">"vs "&amp;E2076</f>
        <v>vs Karafli SaiTa</v>
      </c>
      <c r="L2077" s="6" t="str">
        <f t="shared" ref="L2077" si="1231">"vs "&amp;F2076</f>
        <v>vs Tassos</v>
      </c>
      <c r="M2077">
        <v>157</v>
      </c>
      <c r="N2077" s="1">
        <v>0.50800000000000001</v>
      </c>
      <c r="O2077">
        <v>30</v>
      </c>
      <c r="P2077" s="1">
        <v>0.33</v>
      </c>
      <c r="Q2077" s="1">
        <v>0.75900000000000001</v>
      </c>
      <c r="R2077">
        <v>467</v>
      </c>
      <c r="S2077">
        <v>42</v>
      </c>
      <c r="T2077">
        <v>143</v>
      </c>
      <c r="U2077">
        <v>96</v>
      </c>
      <c r="V2077">
        <v>29</v>
      </c>
      <c r="W2077">
        <v>10</v>
      </c>
      <c r="X2077">
        <v>62</v>
      </c>
      <c r="Y2077" s="5">
        <v>1.55</v>
      </c>
    </row>
    <row r="2078" spans="1:25" x14ac:dyDescent="0.25">
      <c r="A2078">
        <v>2023</v>
      </c>
      <c r="B2078" t="s">
        <v>57</v>
      </c>
      <c r="C2078">
        <v>10</v>
      </c>
      <c r="D2078">
        <v>109</v>
      </c>
      <c r="E2078" t="s">
        <v>99</v>
      </c>
      <c r="F2078" t="s">
        <v>45</v>
      </c>
      <c r="G2078">
        <f t="shared" si="1175"/>
        <v>1</v>
      </c>
      <c r="H2078">
        <v>9</v>
      </c>
      <c r="I2078">
        <v>4</v>
      </c>
      <c r="J2078">
        <v>0</v>
      </c>
      <c r="K2078" s="6" t="str">
        <f t="shared" ref="K2078" si="1232">"vs "&amp;E2079</f>
        <v>vs st.Helens Eruptions</v>
      </c>
      <c r="L2078" s="6" t="str">
        <f t="shared" ref="L2078" si="1233">"vs "&amp;F2079</f>
        <v>vs Aris</v>
      </c>
      <c r="M2078">
        <v>129</v>
      </c>
      <c r="N2078" s="1">
        <v>0.44800000000000001</v>
      </c>
      <c r="O2078">
        <v>38</v>
      </c>
      <c r="P2078" s="1">
        <v>0.32800000000000001</v>
      </c>
      <c r="Q2078" s="1">
        <v>0.79400000000000004</v>
      </c>
      <c r="R2078">
        <v>377</v>
      </c>
      <c r="S2078">
        <v>34</v>
      </c>
      <c r="T2078">
        <v>123</v>
      </c>
      <c r="U2078">
        <v>55</v>
      </c>
      <c r="V2078">
        <v>22</v>
      </c>
      <c r="W2078">
        <v>17</v>
      </c>
      <c r="X2078">
        <v>45</v>
      </c>
      <c r="Y2078" s="5">
        <v>1.22</v>
      </c>
    </row>
    <row r="2079" spans="1:25" x14ac:dyDescent="0.25">
      <c r="A2079">
        <v>2023</v>
      </c>
      <c r="B2079" t="s">
        <v>57</v>
      </c>
      <c r="C2079">
        <v>10</v>
      </c>
      <c r="D2079">
        <v>109</v>
      </c>
      <c r="E2079" t="s">
        <v>21</v>
      </c>
      <c r="F2079" t="s">
        <v>50</v>
      </c>
      <c r="G2079">
        <f t="shared" si="1175"/>
        <v>0</v>
      </c>
      <c r="H2079">
        <v>4</v>
      </c>
      <c r="I2079">
        <v>9</v>
      </c>
      <c r="J2079">
        <v>0</v>
      </c>
      <c r="K2079" s="6" t="str">
        <f t="shared" ref="K2079" si="1234">"vs "&amp;E2078</f>
        <v>vs Tsarlatans</v>
      </c>
      <c r="L2079" s="6" t="str">
        <f t="shared" ref="L2079" si="1235">"vs "&amp;F2078</f>
        <v>vs Tzokos</v>
      </c>
      <c r="M2079">
        <v>108</v>
      </c>
      <c r="N2079" s="1">
        <v>0.42699999999999999</v>
      </c>
      <c r="O2079">
        <v>31</v>
      </c>
      <c r="P2079" s="1">
        <v>0.34399999999999997</v>
      </c>
      <c r="Q2079" s="1">
        <v>0.69</v>
      </c>
      <c r="R2079">
        <v>287</v>
      </c>
      <c r="S2079">
        <v>20</v>
      </c>
      <c r="T2079">
        <v>84</v>
      </c>
      <c r="U2079">
        <v>82</v>
      </c>
      <c r="V2079">
        <v>17</v>
      </c>
      <c r="W2079">
        <v>15</v>
      </c>
      <c r="X2079">
        <v>41</v>
      </c>
      <c r="Y2079" s="5">
        <v>2</v>
      </c>
    </row>
    <row r="2080" spans="1:25" x14ac:dyDescent="0.25">
      <c r="A2080">
        <v>2023</v>
      </c>
      <c r="B2080" t="s">
        <v>57</v>
      </c>
      <c r="C2080">
        <v>10</v>
      </c>
      <c r="D2080">
        <v>110</v>
      </c>
      <c r="E2080" t="s">
        <v>33</v>
      </c>
      <c r="F2080" t="s">
        <v>42</v>
      </c>
      <c r="G2080">
        <f t="shared" si="1175"/>
        <v>0</v>
      </c>
      <c r="H2080">
        <v>4</v>
      </c>
      <c r="I2080">
        <v>8</v>
      </c>
      <c r="J2080">
        <v>1</v>
      </c>
      <c r="K2080" s="6" t="str">
        <f t="shared" ref="K2080" si="1236">"vs "&amp;E2081</f>
        <v>vs Salonika Devils</v>
      </c>
      <c r="L2080" s="6" t="str">
        <f t="shared" ref="L2080" si="1237">"vs "&amp;F2081</f>
        <v>vs Fountos</v>
      </c>
      <c r="M2080">
        <v>143</v>
      </c>
      <c r="N2080" s="1">
        <v>0.46400000000000002</v>
      </c>
      <c r="O2080">
        <v>46</v>
      </c>
      <c r="P2080" s="1">
        <v>0.371</v>
      </c>
      <c r="Q2080" s="1">
        <v>0.77100000000000002</v>
      </c>
      <c r="R2080">
        <v>406</v>
      </c>
      <c r="S2080">
        <v>35</v>
      </c>
      <c r="T2080">
        <v>111</v>
      </c>
      <c r="U2080">
        <v>89</v>
      </c>
      <c r="V2080">
        <v>25</v>
      </c>
      <c r="W2080">
        <v>7</v>
      </c>
      <c r="X2080">
        <v>54</v>
      </c>
      <c r="Y2080" s="5">
        <v>1.65</v>
      </c>
    </row>
    <row r="2081" spans="1:25" x14ac:dyDescent="0.25">
      <c r="A2081">
        <v>2023</v>
      </c>
      <c r="B2081" t="s">
        <v>57</v>
      </c>
      <c r="C2081">
        <v>10</v>
      </c>
      <c r="D2081">
        <v>110</v>
      </c>
      <c r="E2081" t="s">
        <v>15</v>
      </c>
      <c r="F2081" t="s">
        <v>48</v>
      </c>
      <c r="G2081">
        <f t="shared" si="1175"/>
        <v>1</v>
      </c>
      <c r="H2081">
        <v>8</v>
      </c>
      <c r="I2081">
        <v>4</v>
      </c>
      <c r="J2081">
        <v>1</v>
      </c>
      <c r="K2081" s="6" t="str">
        <f t="shared" ref="K2081" si="1238">"vs "&amp;E2080</f>
        <v>vs The Guns</v>
      </c>
      <c r="L2081" s="6" t="str">
        <f t="shared" ref="L2081" si="1239">"vs "&amp;F2080</f>
        <v>vs Vasilis</v>
      </c>
      <c r="M2081">
        <v>164</v>
      </c>
      <c r="N2081" s="1">
        <v>0.48399999999999999</v>
      </c>
      <c r="O2081">
        <v>50</v>
      </c>
      <c r="P2081" s="1">
        <v>0.36499999999999999</v>
      </c>
      <c r="Q2081" s="1">
        <v>0.78200000000000003</v>
      </c>
      <c r="R2081">
        <v>439</v>
      </c>
      <c r="S2081">
        <v>26</v>
      </c>
      <c r="T2081">
        <v>104</v>
      </c>
      <c r="U2081">
        <v>83</v>
      </c>
      <c r="V2081">
        <v>26</v>
      </c>
      <c r="W2081">
        <v>7</v>
      </c>
      <c r="X2081">
        <v>41</v>
      </c>
      <c r="Y2081" s="5">
        <v>2.02</v>
      </c>
    </row>
    <row r="2082" spans="1:25" x14ac:dyDescent="0.25">
      <c r="A2082">
        <v>2023</v>
      </c>
      <c r="B2082" t="s">
        <v>57</v>
      </c>
      <c r="C2082">
        <v>11</v>
      </c>
      <c r="D2082">
        <v>111</v>
      </c>
      <c r="E2082" t="s">
        <v>158</v>
      </c>
      <c r="F2082" t="s">
        <v>177</v>
      </c>
      <c r="G2082">
        <f t="shared" si="1175"/>
        <v>1</v>
      </c>
      <c r="H2082">
        <v>8</v>
      </c>
      <c r="I2082">
        <v>5</v>
      </c>
      <c r="J2082">
        <v>0</v>
      </c>
      <c r="K2082" s="6" t="str">
        <f t="shared" ref="K2082" si="1240">"vs "&amp;E2083</f>
        <v>vs Samarina Dudenbros</v>
      </c>
      <c r="L2082" s="6" t="str">
        <f t="shared" ref="L2082" si="1241">"vs "&amp;F2083</f>
        <v>vs Sakellariou</v>
      </c>
      <c r="M2082">
        <v>205</v>
      </c>
      <c r="N2082" s="1">
        <v>0.53400000000000003</v>
      </c>
      <c r="O2082">
        <v>48</v>
      </c>
      <c r="P2082" s="1">
        <v>0.44400000000000001</v>
      </c>
      <c r="Q2082" s="1">
        <v>0.71899999999999997</v>
      </c>
      <c r="R2082">
        <v>573</v>
      </c>
      <c r="S2082">
        <v>50</v>
      </c>
      <c r="T2082">
        <v>167</v>
      </c>
      <c r="U2082">
        <v>132</v>
      </c>
      <c r="V2082">
        <v>40</v>
      </c>
      <c r="W2082">
        <v>13</v>
      </c>
      <c r="X2082">
        <v>56</v>
      </c>
      <c r="Y2082" s="5">
        <v>2.36</v>
      </c>
    </row>
    <row r="2083" spans="1:25" x14ac:dyDescent="0.25">
      <c r="A2083">
        <v>2023</v>
      </c>
      <c r="B2083" t="s">
        <v>57</v>
      </c>
      <c r="C2083">
        <v>11</v>
      </c>
      <c r="D2083">
        <v>111</v>
      </c>
      <c r="E2083" t="s">
        <v>181</v>
      </c>
      <c r="F2083" t="s">
        <v>49</v>
      </c>
      <c r="G2083">
        <f t="shared" si="1175"/>
        <v>0</v>
      </c>
      <c r="H2083">
        <v>5</v>
      </c>
      <c r="I2083">
        <v>8</v>
      </c>
      <c r="J2083">
        <v>0</v>
      </c>
      <c r="K2083" s="6" t="str">
        <f t="shared" ref="K2083" si="1242">"vs "&amp;E2082</f>
        <v>vs LRBP PR3DATORS</v>
      </c>
      <c r="L2083" s="6" t="str">
        <f t="shared" ref="L2083" si="1243">"vs "&amp;F2082</f>
        <v>vs Lafa</v>
      </c>
      <c r="M2083">
        <v>214</v>
      </c>
      <c r="N2083" s="1">
        <v>0.46899999999999997</v>
      </c>
      <c r="O2083">
        <v>52</v>
      </c>
      <c r="P2083" s="1">
        <v>0.30599999999999999</v>
      </c>
      <c r="Q2083" s="1">
        <v>0.79400000000000004</v>
      </c>
      <c r="R2083">
        <v>584</v>
      </c>
      <c r="S2083">
        <v>41</v>
      </c>
      <c r="T2083">
        <v>151</v>
      </c>
      <c r="U2083">
        <v>115</v>
      </c>
      <c r="V2083">
        <v>38</v>
      </c>
      <c r="W2083">
        <v>25</v>
      </c>
      <c r="X2083">
        <v>66</v>
      </c>
      <c r="Y2083" s="5">
        <v>1.74</v>
      </c>
    </row>
    <row r="2084" spans="1:25" x14ac:dyDescent="0.25">
      <c r="A2084">
        <v>2023</v>
      </c>
      <c r="B2084" t="s">
        <v>57</v>
      </c>
      <c r="C2084">
        <v>11</v>
      </c>
      <c r="D2084">
        <v>112</v>
      </c>
      <c r="E2084" t="s">
        <v>159</v>
      </c>
      <c r="F2084" t="s">
        <v>116</v>
      </c>
      <c r="G2084">
        <f t="shared" si="1175"/>
        <v>0</v>
      </c>
      <c r="H2084">
        <v>6</v>
      </c>
      <c r="I2084">
        <v>7</v>
      </c>
      <c r="J2084">
        <v>0</v>
      </c>
      <c r="K2084" s="6" t="str">
        <f t="shared" ref="K2084" si="1244">"vs "&amp;E2085</f>
        <v>vs The Bridgeburners</v>
      </c>
      <c r="L2084" s="6" t="str">
        <f t="shared" ref="L2084" si="1245">"vs "&amp;F2085</f>
        <v>vs Fanis</v>
      </c>
      <c r="M2084">
        <v>208</v>
      </c>
      <c r="N2084" s="1">
        <v>0.5</v>
      </c>
      <c r="O2084">
        <v>53</v>
      </c>
      <c r="P2084" s="1">
        <v>0.38700000000000001</v>
      </c>
      <c r="Q2084" s="1">
        <v>0.83899999999999997</v>
      </c>
      <c r="R2084">
        <v>563</v>
      </c>
      <c r="S2084">
        <v>27</v>
      </c>
      <c r="T2084">
        <v>144</v>
      </c>
      <c r="U2084">
        <v>113</v>
      </c>
      <c r="V2084">
        <v>19</v>
      </c>
      <c r="W2084">
        <v>21</v>
      </c>
      <c r="X2084">
        <v>65</v>
      </c>
      <c r="Y2084" s="5">
        <v>1.74</v>
      </c>
    </row>
    <row r="2085" spans="1:25" x14ac:dyDescent="0.25">
      <c r="A2085">
        <v>2023</v>
      </c>
      <c r="B2085" t="s">
        <v>57</v>
      </c>
      <c r="C2085">
        <v>11</v>
      </c>
      <c r="D2085">
        <v>112</v>
      </c>
      <c r="E2085" t="s">
        <v>16</v>
      </c>
      <c r="F2085" t="s">
        <v>51</v>
      </c>
      <c r="G2085">
        <f t="shared" si="1175"/>
        <v>1</v>
      </c>
      <c r="H2085">
        <v>7</v>
      </c>
      <c r="I2085">
        <v>6</v>
      </c>
      <c r="J2085">
        <v>0</v>
      </c>
      <c r="K2085" s="6" t="str">
        <f t="shared" ref="K2085" si="1246">"vs "&amp;E2084</f>
        <v>vs purple fuzzy apache pirates</v>
      </c>
      <c r="L2085" s="6" t="str">
        <f t="shared" ref="L2085" si="1247">"vs "&amp;F2084</f>
        <v>vs pi/Sotiris</v>
      </c>
      <c r="M2085">
        <v>172</v>
      </c>
      <c r="N2085" s="1">
        <v>0.46700000000000003</v>
      </c>
      <c r="O2085">
        <v>57</v>
      </c>
      <c r="P2085" s="1">
        <v>0.36299999999999999</v>
      </c>
      <c r="Q2085" s="1">
        <v>0.81</v>
      </c>
      <c r="R2085">
        <v>486</v>
      </c>
      <c r="S2085">
        <v>35</v>
      </c>
      <c r="T2085">
        <v>136</v>
      </c>
      <c r="U2085">
        <v>121</v>
      </c>
      <c r="V2085">
        <v>25</v>
      </c>
      <c r="W2085">
        <v>25</v>
      </c>
      <c r="X2085">
        <v>57</v>
      </c>
      <c r="Y2085" s="5">
        <v>2.12</v>
      </c>
    </row>
    <row r="2086" spans="1:25" x14ac:dyDescent="0.25">
      <c r="A2086">
        <v>2023</v>
      </c>
      <c r="B2086" t="s">
        <v>57</v>
      </c>
      <c r="C2086">
        <v>11</v>
      </c>
      <c r="D2086">
        <v>113</v>
      </c>
      <c r="E2086" t="s">
        <v>25</v>
      </c>
      <c r="F2086" t="s">
        <v>53</v>
      </c>
      <c r="G2086">
        <f t="shared" si="1175"/>
        <v>1</v>
      </c>
      <c r="H2086">
        <v>11</v>
      </c>
      <c r="I2086">
        <v>2</v>
      </c>
      <c r="J2086">
        <v>0</v>
      </c>
      <c r="K2086" s="6" t="str">
        <f t="shared" ref="K2086" si="1248">"vs "&amp;E2087</f>
        <v>vs Knights of Ni</v>
      </c>
      <c r="L2086" s="6" t="str">
        <f t="shared" ref="L2086" si="1249">"vs "&amp;F2087</f>
        <v>vs Tolios</v>
      </c>
      <c r="M2086">
        <v>184</v>
      </c>
      <c r="N2086" s="1">
        <v>0.52600000000000002</v>
      </c>
      <c r="O2086">
        <v>42</v>
      </c>
      <c r="P2086" s="1">
        <v>0.372</v>
      </c>
      <c r="Q2086" s="1">
        <v>0.754</v>
      </c>
      <c r="R2086">
        <v>517</v>
      </c>
      <c r="S2086">
        <v>67</v>
      </c>
      <c r="T2086">
        <v>138</v>
      </c>
      <c r="U2086">
        <v>98</v>
      </c>
      <c r="V2086">
        <v>16</v>
      </c>
      <c r="W2086">
        <v>9</v>
      </c>
      <c r="X2086">
        <v>54</v>
      </c>
      <c r="Y2086" s="5">
        <v>1.81</v>
      </c>
    </row>
    <row r="2087" spans="1:25" x14ac:dyDescent="0.25">
      <c r="A2087">
        <v>2023</v>
      </c>
      <c r="B2087" t="s">
        <v>57</v>
      </c>
      <c r="C2087">
        <v>11</v>
      </c>
      <c r="D2087">
        <v>113</v>
      </c>
      <c r="E2087" t="s">
        <v>96</v>
      </c>
      <c r="F2087" t="s">
        <v>102</v>
      </c>
      <c r="G2087">
        <f t="shared" si="1175"/>
        <v>0</v>
      </c>
      <c r="H2087">
        <v>2</v>
      </c>
      <c r="I2087">
        <v>11</v>
      </c>
      <c r="J2087">
        <v>0</v>
      </c>
      <c r="K2087" s="6" t="str">
        <f t="shared" ref="K2087" si="1250">"vs "&amp;E2086</f>
        <v>vs The Rookies</v>
      </c>
      <c r="L2087" s="6" t="str">
        <f t="shared" ref="L2087" si="1251">"vs "&amp;F2086</f>
        <v>vs Kousidis</v>
      </c>
      <c r="M2087">
        <v>97</v>
      </c>
      <c r="N2087" s="1">
        <v>0.47799999999999998</v>
      </c>
      <c r="O2087">
        <v>27</v>
      </c>
      <c r="P2087" s="1">
        <v>0.34200000000000003</v>
      </c>
      <c r="Q2087" s="1">
        <v>0.67400000000000004</v>
      </c>
      <c r="R2087">
        <v>250</v>
      </c>
      <c r="S2087">
        <v>31</v>
      </c>
      <c r="T2087">
        <v>89</v>
      </c>
      <c r="U2087">
        <v>43</v>
      </c>
      <c r="V2087">
        <v>15</v>
      </c>
      <c r="W2087">
        <v>16</v>
      </c>
      <c r="X2087">
        <v>28</v>
      </c>
      <c r="Y2087" s="5">
        <v>1.54</v>
      </c>
    </row>
    <row r="2088" spans="1:25" x14ac:dyDescent="0.25">
      <c r="A2088">
        <v>2023</v>
      </c>
      <c r="B2088" t="s">
        <v>57</v>
      </c>
      <c r="C2088">
        <v>11</v>
      </c>
      <c r="D2088">
        <v>114</v>
      </c>
      <c r="E2088" t="s">
        <v>94</v>
      </c>
      <c r="F2088" t="s">
        <v>40</v>
      </c>
      <c r="G2088">
        <f t="shared" si="1175"/>
        <v>0</v>
      </c>
      <c r="H2088">
        <v>2</v>
      </c>
      <c r="I2088">
        <v>11</v>
      </c>
      <c r="J2088">
        <v>0</v>
      </c>
      <c r="K2088" s="6" t="str">
        <f t="shared" ref="K2088" si="1252">"vs "&amp;E2089</f>
        <v>vs Donkey Rolls</v>
      </c>
      <c r="L2088" s="6" t="str">
        <f t="shared" ref="L2088" si="1253">"vs "&amp;F2089</f>
        <v>vs Markos</v>
      </c>
      <c r="M2088">
        <v>171</v>
      </c>
      <c r="N2088" s="1">
        <v>0.42299999999999999</v>
      </c>
      <c r="O2088">
        <v>45</v>
      </c>
      <c r="P2088" s="1">
        <v>0.28299999999999997</v>
      </c>
      <c r="Q2088" s="1">
        <v>0.83299999999999996</v>
      </c>
      <c r="R2088">
        <v>462</v>
      </c>
      <c r="S2088">
        <v>40</v>
      </c>
      <c r="T2088">
        <v>104</v>
      </c>
      <c r="U2088">
        <v>101</v>
      </c>
      <c r="V2088">
        <v>25</v>
      </c>
      <c r="W2088">
        <v>10</v>
      </c>
      <c r="X2088">
        <v>45</v>
      </c>
      <c r="Y2088" s="5">
        <v>2.2400000000000002</v>
      </c>
    </row>
    <row r="2089" spans="1:25" x14ac:dyDescent="0.25">
      <c r="A2089">
        <v>2023</v>
      </c>
      <c r="B2089" t="s">
        <v>57</v>
      </c>
      <c r="C2089">
        <v>11</v>
      </c>
      <c r="D2089">
        <v>114</v>
      </c>
      <c r="E2089" t="s">
        <v>17</v>
      </c>
      <c r="F2089" t="s">
        <v>43</v>
      </c>
      <c r="G2089">
        <f t="shared" si="1175"/>
        <v>1</v>
      </c>
      <c r="H2089">
        <v>11</v>
      </c>
      <c r="I2089">
        <v>2</v>
      </c>
      <c r="J2089">
        <v>0</v>
      </c>
      <c r="K2089" s="6" t="str">
        <f t="shared" ref="K2089" si="1254">"vs "&amp;E2088</f>
        <v>vs Fighting Thaddeus</v>
      </c>
      <c r="L2089" s="6" t="str">
        <f t="shared" ref="L2089" si="1255">"vs "&amp;F2088</f>
        <v>vs Stavros</v>
      </c>
      <c r="M2089">
        <v>208</v>
      </c>
      <c r="N2089" s="1">
        <v>0.45500000000000002</v>
      </c>
      <c r="O2089">
        <v>59</v>
      </c>
      <c r="P2089" s="1">
        <v>0.311</v>
      </c>
      <c r="Q2089" s="1">
        <v>0.86</v>
      </c>
      <c r="R2089">
        <v>561</v>
      </c>
      <c r="S2089">
        <v>38</v>
      </c>
      <c r="T2089">
        <v>136</v>
      </c>
      <c r="U2089">
        <v>122</v>
      </c>
      <c r="V2089">
        <v>34</v>
      </c>
      <c r="W2089">
        <v>18</v>
      </c>
      <c r="X2089">
        <v>53</v>
      </c>
      <c r="Y2089" s="5">
        <v>2.2999999999999998</v>
      </c>
    </row>
    <row r="2090" spans="1:25" x14ac:dyDescent="0.25">
      <c r="A2090">
        <v>2023</v>
      </c>
      <c r="B2090" t="s">
        <v>57</v>
      </c>
      <c r="C2090">
        <v>11</v>
      </c>
      <c r="D2090">
        <v>115</v>
      </c>
      <c r="E2090" t="s">
        <v>28</v>
      </c>
      <c r="F2090" t="s">
        <v>46</v>
      </c>
      <c r="G2090">
        <f t="shared" si="1175"/>
        <v>0</v>
      </c>
      <c r="H2090">
        <v>6</v>
      </c>
      <c r="I2090">
        <v>7</v>
      </c>
      <c r="J2090">
        <v>0</v>
      </c>
      <c r="K2090" s="6" t="str">
        <f t="shared" ref="K2090" si="1256">"vs "&amp;E2091</f>
        <v>vs Kourayo Vallecano</v>
      </c>
      <c r="L2090" s="6" t="str">
        <f t="shared" ref="L2090" si="1257">"vs "&amp;F2091</f>
        <v>vs Ziogas/Christof</v>
      </c>
      <c r="M2090">
        <v>176</v>
      </c>
      <c r="N2090" s="1">
        <v>0.46300000000000002</v>
      </c>
      <c r="O2090">
        <v>59</v>
      </c>
      <c r="P2090" s="1">
        <v>0.40100000000000002</v>
      </c>
      <c r="Q2090" s="1">
        <v>0.82599999999999996</v>
      </c>
      <c r="R2090">
        <v>501</v>
      </c>
      <c r="S2090">
        <v>48</v>
      </c>
      <c r="T2090">
        <v>108</v>
      </c>
      <c r="U2090">
        <v>134</v>
      </c>
      <c r="V2090">
        <v>40</v>
      </c>
      <c r="W2090">
        <v>15</v>
      </c>
      <c r="X2090">
        <v>79</v>
      </c>
      <c r="Y2090" s="5">
        <v>1.7</v>
      </c>
    </row>
    <row r="2091" spans="1:25" x14ac:dyDescent="0.25">
      <c r="A2091">
        <v>2023</v>
      </c>
      <c r="B2091" t="s">
        <v>57</v>
      </c>
      <c r="C2091">
        <v>11</v>
      </c>
      <c r="D2091">
        <v>115</v>
      </c>
      <c r="E2091" t="s">
        <v>26</v>
      </c>
      <c r="F2091" t="s">
        <v>118</v>
      </c>
      <c r="G2091">
        <f t="shared" si="1175"/>
        <v>1</v>
      </c>
      <c r="H2091">
        <v>7</v>
      </c>
      <c r="I2091">
        <v>6</v>
      </c>
      <c r="J2091">
        <v>0</v>
      </c>
      <c r="K2091" s="6" t="str">
        <f t="shared" ref="K2091" si="1258">"vs "&amp;E2090</f>
        <v>vs Steven Adams' Moustache</v>
      </c>
      <c r="L2091" s="6" t="str">
        <f t="shared" ref="L2091" si="1259">"vs "&amp;F2090</f>
        <v>vs Johnny</v>
      </c>
      <c r="M2091">
        <v>158</v>
      </c>
      <c r="N2091" s="1">
        <v>0.48599999999999999</v>
      </c>
      <c r="O2091">
        <v>77</v>
      </c>
      <c r="P2091" s="1">
        <v>0.42499999999999999</v>
      </c>
      <c r="Q2091" s="1">
        <v>0.83699999999999997</v>
      </c>
      <c r="R2091">
        <v>465</v>
      </c>
      <c r="S2091">
        <v>24</v>
      </c>
      <c r="T2091">
        <v>130</v>
      </c>
      <c r="U2091">
        <v>107</v>
      </c>
      <c r="V2091">
        <v>16</v>
      </c>
      <c r="W2091">
        <v>10</v>
      </c>
      <c r="X2091">
        <v>48</v>
      </c>
      <c r="Y2091" s="5">
        <v>2.23</v>
      </c>
    </row>
    <row r="2092" spans="1:25" x14ac:dyDescent="0.25">
      <c r="A2092">
        <v>2023</v>
      </c>
      <c r="B2092" t="s">
        <v>57</v>
      </c>
      <c r="C2092">
        <v>11</v>
      </c>
      <c r="D2092">
        <v>116</v>
      </c>
      <c r="E2092" t="s">
        <v>15</v>
      </c>
      <c r="F2092" t="s">
        <v>48</v>
      </c>
      <c r="G2092">
        <f t="shared" si="1175"/>
        <v>0</v>
      </c>
      <c r="H2092">
        <v>5</v>
      </c>
      <c r="I2092">
        <v>8</v>
      </c>
      <c r="J2092">
        <v>0</v>
      </c>
      <c r="K2092" s="6" t="str">
        <f t="shared" ref="K2092" si="1260">"vs "&amp;E2093</f>
        <v>vs Guruuu 🐐🐐🐐</v>
      </c>
      <c r="L2092" s="6" t="str">
        <f t="shared" ref="L2092" si="1261">"vs "&amp;F2093</f>
        <v>vs Guru</v>
      </c>
      <c r="M2092">
        <v>174</v>
      </c>
      <c r="N2092" s="1">
        <v>0.47799999999999998</v>
      </c>
      <c r="O2092">
        <v>60</v>
      </c>
      <c r="P2092" s="1">
        <v>0.432</v>
      </c>
      <c r="Q2092" s="1">
        <v>0.80200000000000005</v>
      </c>
      <c r="R2092">
        <v>477</v>
      </c>
      <c r="S2092">
        <v>38</v>
      </c>
      <c r="T2092">
        <v>127</v>
      </c>
      <c r="U2092">
        <v>96</v>
      </c>
      <c r="V2092">
        <v>29</v>
      </c>
      <c r="W2092">
        <v>10</v>
      </c>
      <c r="X2092">
        <v>52</v>
      </c>
      <c r="Y2092" s="5">
        <v>1.85</v>
      </c>
    </row>
    <row r="2093" spans="1:25" x14ac:dyDescent="0.25">
      <c r="A2093">
        <v>2023</v>
      </c>
      <c r="B2093" t="s">
        <v>57</v>
      </c>
      <c r="C2093">
        <v>11</v>
      </c>
      <c r="D2093">
        <v>116</v>
      </c>
      <c r="E2093" t="s">
        <v>93</v>
      </c>
      <c r="F2093" t="s">
        <v>189</v>
      </c>
      <c r="G2093">
        <f t="shared" si="1175"/>
        <v>1</v>
      </c>
      <c r="H2093">
        <v>8</v>
      </c>
      <c r="I2093">
        <v>5</v>
      </c>
      <c r="J2093">
        <v>0</v>
      </c>
      <c r="K2093" s="6" t="str">
        <f t="shared" ref="K2093" si="1262">"vs "&amp;E2092</f>
        <v>vs Salonika Devils</v>
      </c>
      <c r="L2093" s="6" t="str">
        <f t="shared" ref="L2093" si="1263">"vs "&amp;F2092</f>
        <v>vs Fountos</v>
      </c>
      <c r="M2093">
        <v>200</v>
      </c>
      <c r="N2093" s="1">
        <v>0.46500000000000002</v>
      </c>
      <c r="O2093">
        <v>69</v>
      </c>
      <c r="P2093" s="1">
        <v>0.36899999999999999</v>
      </c>
      <c r="Q2093" s="1">
        <v>0.83199999999999996</v>
      </c>
      <c r="R2093">
        <v>568</v>
      </c>
      <c r="S2093">
        <v>35</v>
      </c>
      <c r="T2093">
        <v>138</v>
      </c>
      <c r="U2093">
        <v>147</v>
      </c>
      <c r="V2093">
        <v>19</v>
      </c>
      <c r="W2093">
        <v>19</v>
      </c>
      <c r="X2093">
        <v>56</v>
      </c>
      <c r="Y2093" s="5">
        <v>2.63</v>
      </c>
    </row>
    <row r="2094" spans="1:25" x14ac:dyDescent="0.25">
      <c r="A2094">
        <v>2023</v>
      </c>
      <c r="B2094" t="s">
        <v>57</v>
      </c>
      <c r="C2094">
        <v>11</v>
      </c>
      <c r="D2094">
        <v>117</v>
      </c>
      <c r="E2094" t="s">
        <v>95</v>
      </c>
      <c r="F2094" t="s">
        <v>101</v>
      </c>
      <c r="G2094">
        <f t="shared" si="1175"/>
        <v>0</v>
      </c>
      <c r="H2094">
        <v>6</v>
      </c>
      <c r="I2094">
        <v>7</v>
      </c>
      <c r="J2094">
        <v>0</v>
      </c>
      <c r="K2094" s="6" t="str">
        <f t="shared" ref="K2094" si="1264">"vs "&amp;E2095</f>
        <v>vs The Guns</v>
      </c>
      <c r="L2094" s="6" t="str">
        <f t="shared" ref="L2094" si="1265">"vs "&amp;F2095</f>
        <v>vs Vasilis</v>
      </c>
      <c r="M2094">
        <v>140</v>
      </c>
      <c r="N2094" s="1">
        <v>0.47299999999999998</v>
      </c>
      <c r="O2094">
        <v>48</v>
      </c>
      <c r="P2094" s="1">
        <v>0.33600000000000002</v>
      </c>
      <c r="Q2094" s="1">
        <v>0.74299999999999999</v>
      </c>
      <c r="R2094">
        <v>380</v>
      </c>
      <c r="S2094">
        <v>18</v>
      </c>
      <c r="T2094">
        <v>111</v>
      </c>
      <c r="U2094">
        <v>86</v>
      </c>
      <c r="V2094">
        <v>35</v>
      </c>
      <c r="W2094">
        <v>22</v>
      </c>
      <c r="X2094">
        <v>43</v>
      </c>
      <c r="Y2094" s="5">
        <v>2</v>
      </c>
    </row>
    <row r="2095" spans="1:25" x14ac:dyDescent="0.25">
      <c r="A2095">
        <v>2023</v>
      </c>
      <c r="B2095" t="s">
        <v>57</v>
      </c>
      <c r="C2095">
        <v>11</v>
      </c>
      <c r="D2095">
        <v>117</v>
      </c>
      <c r="E2095" t="s">
        <v>33</v>
      </c>
      <c r="F2095" t="s">
        <v>42</v>
      </c>
      <c r="G2095">
        <f t="shared" si="1175"/>
        <v>1</v>
      </c>
      <c r="H2095">
        <v>7</v>
      </c>
      <c r="I2095">
        <v>6</v>
      </c>
      <c r="J2095">
        <v>0</v>
      </c>
      <c r="K2095" s="6" t="str">
        <f t="shared" ref="K2095" si="1266">"vs "&amp;E2094</f>
        <v>vs Baltimore Hercules</v>
      </c>
      <c r="L2095" s="6" t="str">
        <f t="shared" ref="L2095" si="1267">"vs "&amp;F2094</f>
        <v>vs Sarantos</v>
      </c>
      <c r="M2095">
        <v>178</v>
      </c>
      <c r="N2095" s="1">
        <v>0.51</v>
      </c>
      <c r="O2095">
        <v>41</v>
      </c>
      <c r="P2095" s="1">
        <v>0.33600000000000002</v>
      </c>
      <c r="Q2095" s="1">
        <v>0.81200000000000006</v>
      </c>
      <c r="R2095">
        <v>505</v>
      </c>
      <c r="S2095">
        <v>42</v>
      </c>
      <c r="T2095">
        <v>115</v>
      </c>
      <c r="U2095">
        <v>84</v>
      </c>
      <c r="V2095">
        <v>26</v>
      </c>
      <c r="W2095">
        <v>15</v>
      </c>
      <c r="X2095">
        <v>64</v>
      </c>
      <c r="Y2095" s="5">
        <v>1.31</v>
      </c>
    </row>
    <row r="2096" spans="1:25" x14ac:dyDescent="0.25">
      <c r="A2096">
        <v>2023</v>
      </c>
      <c r="B2096" t="s">
        <v>57</v>
      </c>
      <c r="C2096">
        <v>11</v>
      </c>
      <c r="D2096">
        <v>118</v>
      </c>
      <c r="E2096" t="s">
        <v>21</v>
      </c>
      <c r="F2096" t="s">
        <v>50</v>
      </c>
      <c r="G2096">
        <f t="shared" si="1175"/>
        <v>1</v>
      </c>
      <c r="H2096">
        <v>11</v>
      </c>
      <c r="I2096">
        <v>2</v>
      </c>
      <c r="J2096">
        <v>0</v>
      </c>
      <c r="K2096" s="6" t="str">
        <f t="shared" ref="K2096" si="1268">"vs "&amp;E2097</f>
        <v>vs Pachiana NinjaBees</v>
      </c>
      <c r="L2096" s="6" t="str">
        <f t="shared" ref="L2096" si="1269">"vs "&amp;F2097</f>
        <v>vs Spiridaus/Oladipas</v>
      </c>
      <c r="M2096">
        <v>167</v>
      </c>
      <c r="N2096" s="1">
        <v>0.50600000000000001</v>
      </c>
      <c r="O2096">
        <v>37</v>
      </c>
      <c r="P2096" s="1">
        <v>0.36599999999999999</v>
      </c>
      <c r="Q2096" s="1">
        <v>0.80600000000000005</v>
      </c>
      <c r="R2096">
        <v>454</v>
      </c>
      <c r="S2096">
        <v>21</v>
      </c>
      <c r="T2096">
        <v>106</v>
      </c>
      <c r="U2096">
        <v>93</v>
      </c>
      <c r="V2096">
        <v>29</v>
      </c>
      <c r="W2096">
        <v>22</v>
      </c>
      <c r="X2096">
        <v>38</v>
      </c>
      <c r="Y2096" s="5">
        <v>2.4500000000000002</v>
      </c>
    </row>
    <row r="2097" spans="1:25" x14ac:dyDescent="0.25">
      <c r="A2097">
        <v>2023</v>
      </c>
      <c r="B2097" t="s">
        <v>57</v>
      </c>
      <c r="C2097">
        <v>11</v>
      </c>
      <c r="D2097">
        <v>118</v>
      </c>
      <c r="E2097" t="s">
        <v>23</v>
      </c>
      <c r="F2097" t="s">
        <v>120</v>
      </c>
      <c r="G2097">
        <f t="shared" si="1175"/>
        <v>0</v>
      </c>
      <c r="H2097">
        <v>2</v>
      </c>
      <c r="I2097">
        <v>11</v>
      </c>
      <c r="J2097">
        <v>0</v>
      </c>
      <c r="K2097" s="6" t="str">
        <f t="shared" ref="K2097" si="1270">"vs "&amp;E2096</f>
        <v>vs st.Helens Eruptions</v>
      </c>
      <c r="L2097" s="6" t="str">
        <f t="shared" ref="L2097" si="1271">"vs "&amp;F2096</f>
        <v>vs Aris</v>
      </c>
      <c r="M2097">
        <v>142</v>
      </c>
      <c r="N2097" s="1">
        <v>0.48</v>
      </c>
      <c r="O2097">
        <v>21</v>
      </c>
      <c r="P2097" s="1">
        <v>0.25600000000000001</v>
      </c>
      <c r="Q2097" s="1">
        <v>0.78400000000000003</v>
      </c>
      <c r="R2097">
        <v>385</v>
      </c>
      <c r="S2097">
        <v>44</v>
      </c>
      <c r="T2097">
        <v>140</v>
      </c>
      <c r="U2097">
        <v>72</v>
      </c>
      <c r="V2097">
        <v>18</v>
      </c>
      <c r="W2097">
        <v>17</v>
      </c>
      <c r="X2097">
        <v>47</v>
      </c>
      <c r="Y2097" s="5">
        <v>1.53</v>
      </c>
    </row>
    <row r="2098" spans="1:25" x14ac:dyDescent="0.25">
      <c r="A2098">
        <v>2023</v>
      </c>
      <c r="B2098" t="s">
        <v>57</v>
      </c>
      <c r="C2098">
        <v>11</v>
      </c>
      <c r="D2098">
        <v>119</v>
      </c>
      <c r="E2098" t="s">
        <v>98</v>
      </c>
      <c r="F2098" t="s">
        <v>41</v>
      </c>
      <c r="G2098">
        <f t="shared" si="1175"/>
        <v>0</v>
      </c>
      <c r="H2098">
        <v>4</v>
      </c>
      <c r="I2098">
        <v>9</v>
      </c>
      <c r="J2098">
        <v>0</v>
      </c>
      <c r="K2098" s="6" t="str">
        <f t="shared" ref="K2098" si="1272">"vs "&amp;E2099</f>
        <v>vs Karafli SaiTa</v>
      </c>
      <c r="L2098" s="6" t="str">
        <f t="shared" ref="L2098" si="1273">"vs "&amp;F2099</f>
        <v>vs Tassos</v>
      </c>
      <c r="M2098">
        <v>166</v>
      </c>
      <c r="N2098" s="1">
        <v>0.50800000000000001</v>
      </c>
      <c r="O2098">
        <v>35</v>
      </c>
      <c r="P2098" s="1">
        <v>0.35699999999999998</v>
      </c>
      <c r="Q2098" s="1">
        <v>0.80400000000000005</v>
      </c>
      <c r="R2098">
        <v>441</v>
      </c>
      <c r="S2098">
        <v>55</v>
      </c>
      <c r="T2098">
        <v>159</v>
      </c>
      <c r="U2098">
        <v>114</v>
      </c>
      <c r="V2098">
        <v>24</v>
      </c>
      <c r="W2098">
        <v>36</v>
      </c>
      <c r="X2098">
        <v>58</v>
      </c>
      <c r="Y2098" s="5">
        <v>1.97</v>
      </c>
    </row>
    <row r="2099" spans="1:25" x14ac:dyDescent="0.25">
      <c r="A2099">
        <v>2023</v>
      </c>
      <c r="B2099" t="s">
        <v>57</v>
      </c>
      <c r="C2099">
        <v>11</v>
      </c>
      <c r="D2099">
        <v>119</v>
      </c>
      <c r="E2099" t="s">
        <v>190</v>
      </c>
      <c r="F2099" t="s">
        <v>103</v>
      </c>
      <c r="G2099">
        <f t="shared" si="1175"/>
        <v>1</v>
      </c>
      <c r="H2099">
        <v>9</v>
      </c>
      <c r="I2099">
        <v>4</v>
      </c>
      <c r="J2099">
        <v>0</v>
      </c>
      <c r="K2099" s="6" t="str">
        <f t="shared" ref="K2099" si="1274">"vs "&amp;E2098</f>
        <v>vs Xanthi Ducks 🦆</v>
      </c>
      <c r="L2099" s="6" t="str">
        <f t="shared" ref="L2099" si="1275">"vs "&amp;F2098</f>
        <v>vs Kotakis</v>
      </c>
      <c r="M2099">
        <v>221</v>
      </c>
      <c r="N2099" s="1">
        <v>0.49199999999999999</v>
      </c>
      <c r="O2099">
        <v>62</v>
      </c>
      <c r="P2099" s="1">
        <v>0.42799999999999999</v>
      </c>
      <c r="Q2099" s="1">
        <v>0.78900000000000003</v>
      </c>
      <c r="R2099">
        <v>590</v>
      </c>
      <c r="S2099">
        <v>63</v>
      </c>
      <c r="T2099">
        <v>134</v>
      </c>
      <c r="U2099">
        <v>118</v>
      </c>
      <c r="V2099">
        <v>30</v>
      </c>
      <c r="W2099">
        <v>30</v>
      </c>
      <c r="X2099">
        <v>44</v>
      </c>
      <c r="Y2099" s="5">
        <v>2.68</v>
      </c>
    </row>
    <row r="2100" spans="1:25" x14ac:dyDescent="0.25">
      <c r="A2100">
        <v>2023</v>
      </c>
      <c r="B2100" t="s">
        <v>57</v>
      </c>
      <c r="C2100">
        <v>11</v>
      </c>
      <c r="D2100">
        <v>120</v>
      </c>
      <c r="E2100" t="s">
        <v>99</v>
      </c>
      <c r="F2100" t="s">
        <v>45</v>
      </c>
      <c r="G2100">
        <f t="shared" si="1175"/>
        <v>1</v>
      </c>
      <c r="H2100">
        <v>8</v>
      </c>
      <c r="I2100">
        <v>5</v>
      </c>
      <c r="J2100">
        <v>0</v>
      </c>
      <c r="K2100" s="6" t="str">
        <f t="shared" ref="K2100" si="1276">"vs "&amp;E2101</f>
        <v>vs The Bad Boys</v>
      </c>
      <c r="L2100" s="6" t="str">
        <f t="shared" ref="L2100" si="1277">"vs "&amp;F2101</f>
        <v>vs Arvanitis</v>
      </c>
      <c r="M2100">
        <v>151</v>
      </c>
      <c r="N2100" s="1">
        <v>0.51</v>
      </c>
      <c r="O2100">
        <v>51</v>
      </c>
      <c r="P2100" s="1">
        <v>0.42099999999999999</v>
      </c>
      <c r="Q2100" s="1">
        <v>0.74399999999999999</v>
      </c>
      <c r="R2100">
        <v>411</v>
      </c>
      <c r="S2100">
        <v>47</v>
      </c>
      <c r="T2100">
        <v>112</v>
      </c>
      <c r="U2100">
        <v>70</v>
      </c>
      <c r="V2100">
        <v>32</v>
      </c>
      <c r="W2100">
        <v>17</v>
      </c>
      <c r="X2100">
        <v>54</v>
      </c>
      <c r="Y2100" s="5">
        <v>1.3</v>
      </c>
    </row>
    <row r="2101" spans="1:25" x14ac:dyDescent="0.25">
      <c r="A2101">
        <v>2023</v>
      </c>
      <c r="B2101" t="s">
        <v>57</v>
      </c>
      <c r="C2101">
        <v>11</v>
      </c>
      <c r="D2101">
        <v>120</v>
      </c>
      <c r="E2101" t="s">
        <v>154</v>
      </c>
      <c r="F2101" t="s">
        <v>155</v>
      </c>
      <c r="G2101">
        <f t="shared" si="1175"/>
        <v>0</v>
      </c>
      <c r="H2101">
        <v>5</v>
      </c>
      <c r="I2101">
        <v>8</v>
      </c>
      <c r="J2101">
        <v>0</v>
      </c>
      <c r="K2101" s="6" t="str">
        <f t="shared" ref="K2101" si="1278">"vs "&amp;E2100</f>
        <v>vs Tsarlatans</v>
      </c>
      <c r="L2101" s="6" t="str">
        <f t="shared" ref="L2101" si="1279">"vs "&amp;F2100</f>
        <v>vs Tzokos</v>
      </c>
      <c r="M2101">
        <v>120</v>
      </c>
      <c r="N2101" s="1">
        <v>0.45500000000000002</v>
      </c>
      <c r="O2101">
        <v>36</v>
      </c>
      <c r="P2101" s="1">
        <v>0.371</v>
      </c>
      <c r="Q2101" s="1">
        <v>0.69099999999999995</v>
      </c>
      <c r="R2101">
        <v>314</v>
      </c>
      <c r="S2101">
        <v>59</v>
      </c>
      <c r="T2101">
        <v>106</v>
      </c>
      <c r="U2101">
        <v>78</v>
      </c>
      <c r="V2101">
        <v>20</v>
      </c>
      <c r="W2101">
        <v>19</v>
      </c>
      <c r="X2101">
        <v>43</v>
      </c>
      <c r="Y2101" s="5">
        <v>1.81</v>
      </c>
    </row>
    <row r="2102" spans="1:25" x14ac:dyDescent="0.25">
      <c r="A2102">
        <v>2023</v>
      </c>
      <c r="B2102" t="s">
        <v>57</v>
      </c>
      <c r="C2102">
        <v>12</v>
      </c>
      <c r="D2102">
        <v>121</v>
      </c>
      <c r="E2102" t="s">
        <v>16</v>
      </c>
      <c r="F2102" t="s">
        <v>51</v>
      </c>
      <c r="G2102">
        <f t="shared" si="1175"/>
        <v>1</v>
      </c>
      <c r="H2102">
        <v>10</v>
      </c>
      <c r="I2102">
        <v>3</v>
      </c>
      <c r="J2102">
        <v>0</v>
      </c>
      <c r="K2102" s="6" t="str">
        <f t="shared" ref="K2102" si="1280">"vs "&amp;E2103</f>
        <v>vs LRBP PR3DATORS</v>
      </c>
      <c r="L2102" s="6" t="str">
        <f t="shared" ref="L2102" si="1281">"vs "&amp;F2103</f>
        <v>vs Lafa</v>
      </c>
      <c r="M2102">
        <v>191</v>
      </c>
      <c r="N2102" s="1">
        <v>0.44600000000000001</v>
      </c>
      <c r="O2102">
        <v>57</v>
      </c>
      <c r="P2102" s="1">
        <v>0.32900000000000001</v>
      </c>
      <c r="Q2102" s="1">
        <v>0.90100000000000002</v>
      </c>
      <c r="R2102">
        <v>530</v>
      </c>
      <c r="S2102">
        <v>30</v>
      </c>
      <c r="T2102">
        <v>124</v>
      </c>
      <c r="U2102">
        <v>146</v>
      </c>
      <c r="V2102">
        <v>35</v>
      </c>
      <c r="W2102">
        <v>21</v>
      </c>
      <c r="X2102">
        <v>66</v>
      </c>
      <c r="Y2102" s="5">
        <v>2.21</v>
      </c>
    </row>
    <row r="2103" spans="1:25" x14ac:dyDescent="0.25">
      <c r="A2103">
        <v>2023</v>
      </c>
      <c r="B2103" t="s">
        <v>57</v>
      </c>
      <c r="C2103">
        <v>12</v>
      </c>
      <c r="D2103">
        <v>121</v>
      </c>
      <c r="E2103" t="s">
        <v>158</v>
      </c>
      <c r="F2103" t="s">
        <v>177</v>
      </c>
      <c r="G2103">
        <f t="shared" si="1175"/>
        <v>0</v>
      </c>
      <c r="H2103">
        <v>3</v>
      </c>
      <c r="I2103">
        <v>10</v>
      </c>
      <c r="J2103">
        <v>0</v>
      </c>
      <c r="K2103" s="6" t="str">
        <f t="shared" ref="K2103" si="1282">"vs "&amp;E2102</f>
        <v>vs The Bridgeburners</v>
      </c>
      <c r="L2103" s="6" t="str">
        <f t="shared" ref="L2103" si="1283">"vs "&amp;F2102</f>
        <v>vs Fanis</v>
      </c>
      <c r="M2103">
        <v>166</v>
      </c>
      <c r="N2103" s="1">
        <v>0.47199999999999998</v>
      </c>
      <c r="O2103">
        <v>22</v>
      </c>
      <c r="P2103" s="1">
        <v>0.26800000000000002</v>
      </c>
      <c r="Q2103" s="1">
        <v>0.76800000000000002</v>
      </c>
      <c r="R2103">
        <v>510</v>
      </c>
      <c r="S2103">
        <v>63</v>
      </c>
      <c r="T2103">
        <v>154</v>
      </c>
      <c r="U2103">
        <v>109</v>
      </c>
      <c r="V2103">
        <v>27</v>
      </c>
      <c r="W2103">
        <v>17</v>
      </c>
      <c r="X2103">
        <v>74</v>
      </c>
      <c r="Y2103" s="5">
        <v>1.47</v>
      </c>
    </row>
    <row r="2104" spans="1:25" x14ac:dyDescent="0.25">
      <c r="A2104">
        <v>2023</v>
      </c>
      <c r="B2104" t="s">
        <v>57</v>
      </c>
      <c r="C2104">
        <v>12</v>
      </c>
      <c r="D2104">
        <v>122</v>
      </c>
      <c r="E2104" t="s">
        <v>26</v>
      </c>
      <c r="F2104" t="s">
        <v>118</v>
      </c>
      <c r="G2104">
        <f t="shared" si="1175"/>
        <v>1</v>
      </c>
      <c r="H2104">
        <v>7</v>
      </c>
      <c r="I2104">
        <v>6</v>
      </c>
      <c r="J2104">
        <v>0</v>
      </c>
      <c r="K2104" s="6" t="str">
        <f t="shared" ref="K2104" si="1284">"vs "&amp;E2105</f>
        <v>vs The Rookies</v>
      </c>
      <c r="L2104" s="6" t="str">
        <f t="shared" ref="L2104" si="1285">"vs "&amp;F2105</f>
        <v>vs Kousidis</v>
      </c>
      <c r="M2104">
        <v>134</v>
      </c>
      <c r="N2104" s="1">
        <v>0.42399999999999999</v>
      </c>
      <c r="O2104">
        <v>50</v>
      </c>
      <c r="P2104" s="1">
        <v>0.32900000000000001</v>
      </c>
      <c r="Q2104" s="1">
        <v>0.80900000000000005</v>
      </c>
      <c r="R2104">
        <v>390</v>
      </c>
      <c r="S2104">
        <v>15</v>
      </c>
      <c r="T2104">
        <v>101</v>
      </c>
      <c r="U2104">
        <v>92</v>
      </c>
      <c r="V2104">
        <v>28</v>
      </c>
      <c r="W2104">
        <v>12</v>
      </c>
      <c r="X2104">
        <v>39</v>
      </c>
      <c r="Y2104" s="5">
        <v>2.36</v>
      </c>
    </row>
    <row r="2105" spans="1:25" x14ac:dyDescent="0.25">
      <c r="A2105">
        <v>2023</v>
      </c>
      <c r="B2105" t="s">
        <v>57</v>
      </c>
      <c r="C2105">
        <v>12</v>
      </c>
      <c r="D2105">
        <v>122</v>
      </c>
      <c r="E2105" t="s">
        <v>25</v>
      </c>
      <c r="F2105" t="s">
        <v>53</v>
      </c>
      <c r="G2105">
        <f t="shared" si="1175"/>
        <v>0</v>
      </c>
      <c r="H2105">
        <v>6</v>
      </c>
      <c r="I2105">
        <v>7</v>
      </c>
      <c r="J2105">
        <v>0</v>
      </c>
      <c r="K2105" s="6" t="str">
        <f t="shared" ref="K2105" si="1286">"vs "&amp;E2104</f>
        <v>vs Kourayo Vallecano</v>
      </c>
      <c r="L2105" s="6" t="str">
        <f t="shared" ref="L2105" si="1287">"vs "&amp;F2104</f>
        <v>vs Ziogas/Christof</v>
      </c>
      <c r="M2105">
        <v>163</v>
      </c>
      <c r="N2105" s="1">
        <v>0.46</v>
      </c>
      <c r="O2105">
        <v>44</v>
      </c>
      <c r="P2105" s="1">
        <v>0.32400000000000001</v>
      </c>
      <c r="Q2105" s="1">
        <v>0.78500000000000003</v>
      </c>
      <c r="R2105">
        <v>472</v>
      </c>
      <c r="S2105">
        <v>36</v>
      </c>
      <c r="T2105">
        <v>115</v>
      </c>
      <c r="U2105">
        <v>100</v>
      </c>
      <c r="V2105">
        <v>24</v>
      </c>
      <c r="W2105">
        <v>11</v>
      </c>
      <c r="X2105">
        <v>75</v>
      </c>
      <c r="Y2105" s="5">
        <v>1.33</v>
      </c>
    </row>
    <row r="2106" spans="1:25" x14ac:dyDescent="0.25">
      <c r="A2106">
        <v>2023</v>
      </c>
      <c r="B2106" t="s">
        <v>57</v>
      </c>
      <c r="C2106">
        <v>12</v>
      </c>
      <c r="D2106">
        <v>123</v>
      </c>
      <c r="E2106" t="s">
        <v>96</v>
      </c>
      <c r="F2106" t="s">
        <v>102</v>
      </c>
      <c r="G2106">
        <f t="shared" si="1175"/>
        <v>0</v>
      </c>
      <c r="H2106">
        <v>2</v>
      </c>
      <c r="I2106">
        <v>10</v>
      </c>
      <c r="J2106">
        <v>1</v>
      </c>
      <c r="K2106" s="6" t="str">
        <f t="shared" ref="K2106" si="1288">"vs "&amp;E2107</f>
        <v>vs purple fuzzy apache pirates</v>
      </c>
      <c r="L2106" s="6" t="str">
        <f t="shared" ref="L2106" si="1289">"vs "&amp;F2107</f>
        <v>vs pi/Sotiris</v>
      </c>
      <c r="M2106">
        <v>87</v>
      </c>
      <c r="N2106" s="1">
        <v>0.47299999999999998</v>
      </c>
      <c r="O2106">
        <v>18</v>
      </c>
      <c r="P2106" s="1">
        <v>0.32100000000000001</v>
      </c>
      <c r="Q2106" s="1">
        <v>0.80400000000000005</v>
      </c>
      <c r="R2106">
        <v>233</v>
      </c>
      <c r="S2106">
        <v>24</v>
      </c>
      <c r="T2106">
        <v>94</v>
      </c>
      <c r="U2106">
        <v>61</v>
      </c>
      <c r="V2106">
        <v>37</v>
      </c>
      <c r="W2106">
        <v>12</v>
      </c>
      <c r="X2106">
        <v>31</v>
      </c>
      <c r="Y2106" s="5">
        <v>1.97</v>
      </c>
    </row>
    <row r="2107" spans="1:25" x14ac:dyDescent="0.25">
      <c r="A2107">
        <v>2023</v>
      </c>
      <c r="B2107" t="s">
        <v>57</v>
      </c>
      <c r="C2107">
        <v>12</v>
      </c>
      <c r="D2107">
        <v>123</v>
      </c>
      <c r="E2107" t="s">
        <v>159</v>
      </c>
      <c r="F2107" t="s">
        <v>116</v>
      </c>
      <c r="G2107">
        <f t="shared" si="1175"/>
        <v>1</v>
      </c>
      <c r="H2107">
        <v>10</v>
      </c>
      <c r="I2107">
        <v>2</v>
      </c>
      <c r="J2107">
        <v>1</v>
      </c>
      <c r="K2107" s="6" t="str">
        <f t="shared" ref="K2107" si="1290">"vs "&amp;E2106</f>
        <v>vs Knights of Ni</v>
      </c>
      <c r="L2107" s="6" t="str">
        <f t="shared" ref="L2107" si="1291">"vs "&amp;F2106</f>
        <v>vs Tolios</v>
      </c>
      <c r="M2107">
        <v>237</v>
      </c>
      <c r="N2107" s="1">
        <v>0.49099999999999999</v>
      </c>
      <c r="O2107">
        <v>79</v>
      </c>
      <c r="P2107" s="1">
        <v>0.42</v>
      </c>
      <c r="Q2107" s="1">
        <v>0.83099999999999996</v>
      </c>
      <c r="R2107">
        <v>676</v>
      </c>
      <c r="S2107">
        <v>50</v>
      </c>
      <c r="T2107">
        <v>185</v>
      </c>
      <c r="U2107">
        <v>128</v>
      </c>
      <c r="V2107">
        <v>37</v>
      </c>
      <c r="W2107">
        <v>23</v>
      </c>
      <c r="X2107">
        <v>69</v>
      </c>
      <c r="Y2107" s="5">
        <v>1.86</v>
      </c>
    </row>
    <row r="2108" spans="1:25" x14ac:dyDescent="0.25">
      <c r="A2108">
        <v>2023</v>
      </c>
      <c r="B2108" t="s">
        <v>57</v>
      </c>
      <c r="C2108">
        <v>12</v>
      </c>
      <c r="D2108">
        <v>124</v>
      </c>
      <c r="E2108" t="s">
        <v>23</v>
      </c>
      <c r="F2108" t="s">
        <v>120</v>
      </c>
      <c r="G2108">
        <f t="shared" si="1175"/>
        <v>1</v>
      </c>
      <c r="H2108">
        <v>9</v>
      </c>
      <c r="I2108">
        <v>3</v>
      </c>
      <c r="J2108">
        <v>1</v>
      </c>
      <c r="K2108" s="6" t="str">
        <f t="shared" ref="K2108" si="1292">"vs "&amp;E2109</f>
        <v>vs The Bad Boys</v>
      </c>
      <c r="L2108" s="6" t="str">
        <f t="shared" ref="L2108" si="1293">"vs "&amp;F2109</f>
        <v>vs Arvanitis</v>
      </c>
      <c r="M2108">
        <v>149</v>
      </c>
      <c r="N2108" s="1">
        <v>0.46899999999999997</v>
      </c>
      <c r="O2108">
        <v>28</v>
      </c>
      <c r="P2108" s="1">
        <v>0.35899999999999999</v>
      </c>
      <c r="Q2108" s="1">
        <v>0.77</v>
      </c>
      <c r="R2108">
        <v>403</v>
      </c>
      <c r="S2108">
        <v>50</v>
      </c>
      <c r="T2108">
        <v>155</v>
      </c>
      <c r="U2108">
        <v>106</v>
      </c>
      <c r="V2108">
        <v>22</v>
      </c>
      <c r="W2108">
        <v>12</v>
      </c>
      <c r="X2108">
        <v>53</v>
      </c>
      <c r="Y2108" s="5">
        <v>2</v>
      </c>
    </row>
    <row r="2109" spans="1:25" x14ac:dyDescent="0.25">
      <c r="A2109">
        <v>2023</v>
      </c>
      <c r="B2109" t="s">
        <v>57</v>
      </c>
      <c r="C2109">
        <v>12</v>
      </c>
      <c r="D2109">
        <v>124</v>
      </c>
      <c r="E2109" t="s">
        <v>154</v>
      </c>
      <c r="F2109" t="s">
        <v>155</v>
      </c>
      <c r="G2109">
        <f t="shared" si="1175"/>
        <v>0</v>
      </c>
      <c r="H2109">
        <v>3</v>
      </c>
      <c r="I2109">
        <v>9</v>
      </c>
      <c r="J2109">
        <v>1</v>
      </c>
      <c r="K2109" s="6" t="str">
        <f t="shared" ref="K2109" si="1294">"vs "&amp;E2108</f>
        <v>vs Pachiana NinjaBees</v>
      </c>
      <c r="L2109" s="6" t="str">
        <f t="shared" ref="L2109" si="1295">"vs "&amp;F2108</f>
        <v>vs Spiridaus/Oladipas</v>
      </c>
      <c r="M2109">
        <v>110</v>
      </c>
      <c r="N2109" s="1">
        <v>0.498</v>
      </c>
      <c r="O2109">
        <v>28</v>
      </c>
      <c r="P2109" s="1">
        <v>0.34100000000000003</v>
      </c>
      <c r="Q2109" s="1">
        <v>0.73799999999999999</v>
      </c>
      <c r="R2109">
        <v>279</v>
      </c>
      <c r="S2109">
        <v>44</v>
      </c>
      <c r="T2109">
        <v>114</v>
      </c>
      <c r="U2109">
        <v>51</v>
      </c>
      <c r="V2109">
        <v>20</v>
      </c>
      <c r="W2109">
        <v>18</v>
      </c>
      <c r="X2109">
        <v>35</v>
      </c>
      <c r="Y2109" s="5">
        <v>1.46</v>
      </c>
    </row>
    <row r="2110" spans="1:25" x14ac:dyDescent="0.25">
      <c r="A2110">
        <v>2023</v>
      </c>
      <c r="B2110" t="s">
        <v>57</v>
      </c>
      <c r="C2110">
        <v>12</v>
      </c>
      <c r="D2110">
        <v>125</v>
      </c>
      <c r="E2110" t="s">
        <v>28</v>
      </c>
      <c r="F2110" t="s">
        <v>46</v>
      </c>
      <c r="G2110">
        <f t="shared" si="1175"/>
        <v>1</v>
      </c>
      <c r="H2110">
        <v>10</v>
      </c>
      <c r="I2110">
        <v>3</v>
      </c>
      <c r="J2110">
        <v>0</v>
      </c>
      <c r="K2110" s="6" t="str">
        <f t="shared" ref="K2110" si="1296">"vs "&amp;E2111</f>
        <v>vs Salonika Devils</v>
      </c>
      <c r="L2110" s="6" t="str">
        <f t="shared" ref="L2110" si="1297">"vs "&amp;F2111</f>
        <v>vs Fountos</v>
      </c>
      <c r="M2110">
        <v>206</v>
      </c>
      <c r="N2110" s="1">
        <v>0.439</v>
      </c>
      <c r="O2110">
        <v>67</v>
      </c>
      <c r="P2110" s="1">
        <v>0.379</v>
      </c>
      <c r="Q2110" s="1">
        <v>0.76300000000000001</v>
      </c>
      <c r="R2110">
        <v>582</v>
      </c>
      <c r="S2110">
        <v>45</v>
      </c>
      <c r="T2110">
        <v>147</v>
      </c>
      <c r="U2110">
        <v>133</v>
      </c>
      <c r="V2110">
        <v>38</v>
      </c>
      <c r="W2110">
        <v>23</v>
      </c>
      <c r="X2110">
        <v>50</v>
      </c>
      <c r="Y2110" s="5">
        <v>2.66</v>
      </c>
    </row>
    <row r="2111" spans="1:25" x14ac:dyDescent="0.25">
      <c r="A2111">
        <v>2023</v>
      </c>
      <c r="B2111" t="s">
        <v>57</v>
      </c>
      <c r="C2111">
        <v>12</v>
      </c>
      <c r="D2111">
        <v>125</v>
      </c>
      <c r="E2111" t="s">
        <v>15</v>
      </c>
      <c r="F2111" t="s">
        <v>48</v>
      </c>
      <c r="G2111">
        <f t="shared" si="1175"/>
        <v>0</v>
      </c>
      <c r="H2111">
        <v>3</v>
      </c>
      <c r="I2111">
        <v>10</v>
      </c>
      <c r="J2111">
        <v>0</v>
      </c>
      <c r="K2111" s="6" t="str">
        <f t="shared" ref="K2111" si="1298">"vs "&amp;E2110</f>
        <v>vs Steven Adams' Moustache</v>
      </c>
      <c r="L2111" s="6" t="str">
        <f t="shared" ref="L2111" si="1299">"vs "&amp;F2110</f>
        <v>vs Johnny</v>
      </c>
      <c r="M2111">
        <v>169</v>
      </c>
      <c r="N2111" s="1">
        <v>0.497</v>
      </c>
      <c r="O2111">
        <v>44</v>
      </c>
      <c r="P2111" s="1">
        <v>0.36399999999999999</v>
      </c>
      <c r="Q2111" s="1">
        <v>0.83599999999999997</v>
      </c>
      <c r="R2111">
        <v>438</v>
      </c>
      <c r="S2111">
        <v>32</v>
      </c>
      <c r="T2111">
        <v>122</v>
      </c>
      <c r="U2111">
        <v>78</v>
      </c>
      <c r="V2111">
        <v>25</v>
      </c>
      <c r="W2111">
        <v>14</v>
      </c>
      <c r="X2111">
        <v>45</v>
      </c>
      <c r="Y2111" s="5">
        <v>1.73</v>
      </c>
    </row>
    <row r="2112" spans="1:25" x14ac:dyDescent="0.25">
      <c r="A2112">
        <v>2023</v>
      </c>
      <c r="B2112" t="s">
        <v>57</v>
      </c>
      <c r="C2112">
        <v>12</v>
      </c>
      <c r="D2112">
        <v>126</v>
      </c>
      <c r="E2112" t="s">
        <v>181</v>
      </c>
      <c r="F2112" t="s">
        <v>49</v>
      </c>
      <c r="G2112">
        <f t="shared" si="1175"/>
        <v>0</v>
      </c>
      <c r="H2112">
        <v>4</v>
      </c>
      <c r="I2112">
        <v>9</v>
      </c>
      <c r="J2112">
        <v>0</v>
      </c>
      <c r="K2112" s="6" t="str">
        <f t="shared" ref="K2112" si="1300">"vs "&amp;E2113</f>
        <v>vs Xanthi Ducks 🦆</v>
      </c>
      <c r="L2112" s="6" t="str">
        <f t="shared" ref="L2112" si="1301">"vs "&amp;F2113</f>
        <v>vs Kotakis</v>
      </c>
      <c r="M2112">
        <v>216</v>
      </c>
      <c r="N2112" s="1">
        <v>0.51800000000000002</v>
      </c>
      <c r="O2112">
        <v>37</v>
      </c>
      <c r="P2112" s="1">
        <v>0.34599999999999997</v>
      </c>
      <c r="Q2112" s="1">
        <v>0.752</v>
      </c>
      <c r="R2112">
        <v>563</v>
      </c>
      <c r="S2112">
        <v>40</v>
      </c>
      <c r="T2112">
        <v>137</v>
      </c>
      <c r="U2112">
        <v>97</v>
      </c>
      <c r="V2112">
        <v>29</v>
      </c>
      <c r="W2112">
        <v>18</v>
      </c>
      <c r="X2112">
        <v>61</v>
      </c>
      <c r="Y2112" s="5">
        <v>1.59</v>
      </c>
    </row>
    <row r="2113" spans="1:25" x14ac:dyDescent="0.25">
      <c r="A2113">
        <v>2023</v>
      </c>
      <c r="B2113" t="s">
        <v>57</v>
      </c>
      <c r="C2113">
        <v>12</v>
      </c>
      <c r="D2113">
        <v>126</v>
      </c>
      <c r="E2113" t="s">
        <v>98</v>
      </c>
      <c r="F2113" t="s">
        <v>41</v>
      </c>
      <c r="G2113">
        <f t="shared" si="1175"/>
        <v>1</v>
      </c>
      <c r="H2113">
        <v>9</v>
      </c>
      <c r="I2113">
        <v>4</v>
      </c>
      <c r="J2113">
        <v>0</v>
      </c>
      <c r="K2113" s="6" t="str">
        <f t="shared" ref="K2113" si="1302">"vs "&amp;E2112</f>
        <v>vs Samarina Dudenbros</v>
      </c>
      <c r="L2113" s="6" t="str">
        <f t="shared" ref="L2113" si="1303">"vs "&amp;F2112</f>
        <v>vs Sakellariou</v>
      </c>
      <c r="M2113">
        <v>168</v>
      </c>
      <c r="N2113" s="1">
        <v>0.46899999999999997</v>
      </c>
      <c r="O2113">
        <v>50</v>
      </c>
      <c r="P2113" s="1">
        <v>0.39400000000000002</v>
      </c>
      <c r="Q2113" s="1">
        <v>0.83899999999999997</v>
      </c>
      <c r="R2113">
        <v>490</v>
      </c>
      <c r="S2113">
        <v>52</v>
      </c>
      <c r="T2113">
        <v>208</v>
      </c>
      <c r="U2113">
        <v>148</v>
      </c>
      <c r="V2113">
        <v>26</v>
      </c>
      <c r="W2113">
        <v>31</v>
      </c>
      <c r="X2113">
        <v>49</v>
      </c>
      <c r="Y2113" s="5">
        <v>3.02</v>
      </c>
    </row>
    <row r="2114" spans="1:25" x14ac:dyDescent="0.25">
      <c r="A2114">
        <v>2023</v>
      </c>
      <c r="B2114" t="s">
        <v>57</v>
      </c>
      <c r="C2114">
        <v>12</v>
      </c>
      <c r="D2114">
        <v>127</v>
      </c>
      <c r="E2114" t="s">
        <v>93</v>
      </c>
      <c r="F2114" t="s">
        <v>189</v>
      </c>
      <c r="G2114">
        <f t="shared" ref="G2114:G2177" si="1304">IF(H2114+0.5*J2114&gt;6.5,1,0)</f>
        <v>1</v>
      </c>
      <c r="H2114">
        <v>8</v>
      </c>
      <c r="I2114">
        <v>5</v>
      </c>
      <c r="J2114">
        <v>0</v>
      </c>
      <c r="K2114" s="6" t="str">
        <f t="shared" ref="K2114" si="1305">"vs "&amp;E2115</f>
        <v>vs Baltimore Hercules</v>
      </c>
      <c r="L2114" s="6" t="str">
        <f t="shared" ref="L2114" si="1306">"vs "&amp;F2115</f>
        <v>vs Sarantos</v>
      </c>
      <c r="M2114">
        <v>201</v>
      </c>
      <c r="N2114" s="1">
        <v>0.47499999999999998</v>
      </c>
      <c r="O2114">
        <v>61</v>
      </c>
      <c r="P2114" s="1">
        <v>0.33900000000000002</v>
      </c>
      <c r="Q2114" s="1">
        <v>0.87</v>
      </c>
      <c r="R2114">
        <v>597</v>
      </c>
      <c r="S2114">
        <v>29</v>
      </c>
      <c r="T2114">
        <v>150</v>
      </c>
      <c r="U2114">
        <v>123</v>
      </c>
      <c r="V2114">
        <v>32</v>
      </c>
      <c r="W2114">
        <v>15</v>
      </c>
      <c r="X2114">
        <v>53</v>
      </c>
      <c r="Y2114" s="5">
        <v>2.3199999999999998</v>
      </c>
    </row>
    <row r="2115" spans="1:25" x14ac:dyDescent="0.25">
      <c r="A2115">
        <v>2023</v>
      </c>
      <c r="B2115" t="s">
        <v>57</v>
      </c>
      <c r="C2115">
        <v>12</v>
      </c>
      <c r="D2115">
        <v>127</v>
      </c>
      <c r="E2115" t="s">
        <v>95</v>
      </c>
      <c r="F2115" t="s">
        <v>101</v>
      </c>
      <c r="G2115">
        <f t="shared" si="1304"/>
        <v>0</v>
      </c>
      <c r="H2115">
        <v>5</v>
      </c>
      <c r="I2115">
        <v>8</v>
      </c>
      <c r="J2115">
        <v>0</v>
      </c>
      <c r="K2115" s="6" t="str">
        <f t="shared" ref="K2115" si="1307">"vs "&amp;E2114</f>
        <v>vs Guruuu 🐐🐐🐐</v>
      </c>
      <c r="L2115" s="6" t="str">
        <f t="shared" ref="L2115" si="1308">"vs "&amp;F2114</f>
        <v>vs Guru</v>
      </c>
      <c r="M2115">
        <v>132</v>
      </c>
      <c r="N2115" s="1">
        <v>0.44400000000000001</v>
      </c>
      <c r="O2115">
        <v>58</v>
      </c>
      <c r="P2115" s="1">
        <v>0.41099999999999998</v>
      </c>
      <c r="Q2115" s="1">
        <v>0.81599999999999995</v>
      </c>
      <c r="R2115">
        <v>384</v>
      </c>
      <c r="S2115">
        <v>32</v>
      </c>
      <c r="T2115">
        <v>117</v>
      </c>
      <c r="U2115">
        <v>79</v>
      </c>
      <c r="V2115">
        <v>26</v>
      </c>
      <c r="W2115">
        <v>23</v>
      </c>
      <c r="X2115">
        <v>33</v>
      </c>
      <c r="Y2115" s="5">
        <v>2.39</v>
      </c>
    </row>
    <row r="2116" spans="1:25" x14ac:dyDescent="0.25">
      <c r="A2116">
        <v>2023</v>
      </c>
      <c r="B2116" t="s">
        <v>57</v>
      </c>
      <c r="C2116">
        <v>12</v>
      </c>
      <c r="D2116">
        <v>128</v>
      </c>
      <c r="E2116" t="s">
        <v>17</v>
      </c>
      <c r="F2116" t="s">
        <v>43</v>
      </c>
      <c r="G2116">
        <f t="shared" si="1304"/>
        <v>1</v>
      </c>
      <c r="H2116">
        <v>7</v>
      </c>
      <c r="I2116">
        <v>6</v>
      </c>
      <c r="J2116">
        <v>0</v>
      </c>
      <c r="K2116" s="6" t="str">
        <f t="shared" ref="K2116" si="1309">"vs "&amp;E2117</f>
        <v>vs st.Helens Eruptions</v>
      </c>
      <c r="L2116" s="6" t="str">
        <f t="shared" ref="L2116" si="1310">"vs "&amp;F2117</f>
        <v>vs Aris</v>
      </c>
      <c r="M2116">
        <v>232</v>
      </c>
      <c r="N2116" s="1">
        <v>0.46800000000000003</v>
      </c>
      <c r="O2116">
        <v>73</v>
      </c>
      <c r="P2116" s="1">
        <v>0.34899999999999998</v>
      </c>
      <c r="Q2116" s="1">
        <v>0.76200000000000001</v>
      </c>
      <c r="R2116">
        <v>633</v>
      </c>
      <c r="S2116">
        <v>47</v>
      </c>
      <c r="T2116">
        <v>151</v>
      </c>
      <c r="U2116">
        <v>102</v>
      </c>
      <c r="V2116">
        <v>32</v>
      </c>
      <c r="W2116">
        <v>14</v>
      </c>
      <c r="X2116">
        <v>70</v>
      </c>
      <c r="Y2116" s="5">
        <v>1.46</v>
      </c>
    </row>
    <row r="2117" spans="1:25" x14ac:dyDescent="0.25">
      <c r="A2117">
        <v>2023</v>
      </c>
      <c r="B2117" t="s">
        <v>57</v>
      </c>
      <c r="C2117">
        <v>12</v>
      </c>
      <c r="D2117">
        <v>128</v>
      </c>
      <c r="E2117" t="s">
        <v>21</v>
      </c>
      <c r="F2117" t="s">
        <v>50</v>
      </c>
      <c r="G2117">
        <f t="shared" si="1304"/>
        <v>0</v>
      </c>
      <c r="H2117">
        <v>6</v>
      </c>
      <c r="I2117">
        <v>7</v>
      </c>
      <c r="J2117">
        <v>0</v>
      </c>
      <c r="K2117" s="6" t="str">
        <f t="shared" ref="K2117" si="1311">"vs "&amp;E2116</f>
        <v>vs Donkey Rolls</v>
      </c>
      <c r="L2117" s="6" t="str">
        <f t="shared" ref="L2117" si="1312">"vs "&amp;F2116</f>
        <v>vs Markos</v>
      </c>
      <c r="M2117">
        <v>210</v>
      </c>
      <c r="N2117" s="1">
        <v>0.45900000000000002</v>
      </c>
      <c r="O2117">
        <v>51</v>
      </c>
      <c r="P2117" s="1">
        <v>0.32900000000000001</v>
      </c>
      <c r="Q2117" s="1">
        <v>0.82</v>
      </c>
      <c r="R2117">
        <v>580</v>
      </c>
      <c r="S2117">
        <v>24</v>
      </c>
      <c r="T2117">
        <v>124</v>
      </c>
      <c r="U2117">
        <v>113</v>
      </c>
      <c r="V2117">
        <v>34</v>
      </c>
      <c r="W2117">
        <v>26</v>
      </c>
      <c r="X2117">
        <v>61</v>
      </c>
      <c r="Y2117" s="5">
        <v>1.85</v>
      </c>
    </row>
    <row r="2118" spans="1:25" x14ac:dyDescent="0.25">
      <c r="A2118">
        <v>2023</v>
      </c>
      <c r="B2118" t="s">
        <v>57</v>
      </c>
      <c r="C2118">
        <v>12</v>
      </c>
      <c r="D2118">
        <v>129</v>
      </c>
      <c r="E2118" t="s">
        <v>190</v>
      </c>
      <c r="F2118" t="s">
        <v>103</v>
      </c>
      <c r="G2118">
        <f t="shared" si="1304"/>
        <v>1</v>
      </c>
      <c r="H2118">
        <v>12</v>
      </c>
      <c r="I2118">
        <v>1</v>
      </c>
      <c r="J2118">
        <v>0</v>
      </c>
      <c r="K2118" s="6" t="str">
        <f t="shared" ref="K2118" si="1313">"vs "&amp;E2119</f>
        <v>vs Tsarlatans</v>
      </c>
      <c r="L2118" s="6" t="str">
        <f t="shared" ref="L2118" si="1314">"vs "&amp;F2119</f>
        <v>vs Tzokos</v>
      </c>
      <c r="M2118">
        <v>237</v>
      </c>
      <c r="N2118" s="1">
        <v>0.5</v>
      </c>
      <c r="O2118">
        <v>54</v>
      </c>
      <c r="P2118" s="1">
        <v>0.34399999999999997</v>
      </c>
      <c r="Q2118" s="1">
        <v>0.82399999999999995</v>
      </c>
      <c r="R2118">
        <v>636</v>
      </c>
      <c r="S2118">
        <v>42</v>
      </c>
      <c r="T2118">
        <v>194</v>
      </c>
      <c r="U2118">
        <v>131</v>
      </c>
      <c r="V2118">
        <v>34</v>
      </c>
      <c r="W2118">
        <v>37</v>
      </c>
      <c r="X2118">
        <v>56</v>
      </c>
      <c r="Y2118" s="5">
        <v>2.34</v>
      </c>
    </row>
    <row r="2119" spans="1:25" x14ac:dyDescent="0.25">
      <c r="A2119">
        <v>2023</v>
      </c>
      <c r="B2119" t="s">
        <v>57</v>
      </c>
      <c r="C2119">
        <v>12</v>
      </c>
      <c r="D2119">
        <v>129</v>
      </c>
      <c r="E2119" t="s">
        <v>99</v>
      </c>
      <c r="F2119" t="s">
        <v>45</v>
      </c>
      <c r="G2119">
        <f t="shared" si="1304"/>
        <v>0</v>
      </c>
      <c r="H2119">
        <v>1</v>
      </c>
      <c r="I2119">
        <v>12</v>
      </c>
      <c r="J2119">
        <v>0</v>
      </c>
      <c r="K2119" s="6" t="str">
        <f t="shared" ref="K2119" si="1315">"vs "&amp;E2118</f>
        <v>vs Karafli SaiTa</v>
      </c>
      <c r="L2119" s="6" t="str">
        <f t="shared" ref="L2119" si="1316">"vs "&amp;F2118</f>
        <v>vs Tassos</v>
      </c>
      <c r="M2119">
        <v>182</v>
      </c>
      <c r="N2119" s="1">
        <v>0.47799999999999998</v>
      </c>
      <c r="O2119">
        <v>48</v>
      </c>
      <c r="P2119" s="1">
        <v>0.33600000000000002</v>
      </c>
      <c r="Q2119" s="1">
        <v>0.748</v>
      </c>
      <c r="R2119">
        <v>504</v>
      </c>
      <c r="S2119">
        <v>41</v>
      </c>
      <c r="T2119">
        <v>143</v>
      </c>
      <c r="U2119">
        <v>93</v>
      </c>
      <c r="V2119">
        <v>29</v>
      </c>
      <c r="W2119">
        <v>20</v>
      </c>
      <c r="X2119">
        <v>55</v>
      </c>
      <c r="Y2119" s="5">
        <v>1.69</v>
      </c>
    </row>
    <row r="2120" spans="1:25" x14ac:dyDescent="0.25">
      <c r="A2120">
        <v>2023</v>
      </c>
      <c r="B2120" t="s">
        <v>57</v>
      </c>
      <c r="C2120">
        <v>12</v>
      </c>
      <c r="D2120">
        <v>130</v>
      </c>
      <c r="E2120" t="s">
        <v>33</v>
      </c>
      <c r="F2120" t="s">
        <v>42</v>
      </c>
      <c r="G2120">
        <f t="shared" si="1304"/>
        <v>0</v>
      </c>
      <c r="H2120">
        <v>6</v>
      </c>
      <c r="I2120">
        <v>6</v>
      </c>
      <c r="J2120">
        <v>1</v>
      </c>
      <c r="K2120" s="6" t="str">
        <f t="shared" ref="K2120" si="1317">"vs "&amp;E2121</f>
        <v>vs Fighting Thaddeus</v>
      </c>
      <c r="L2120" s="6" t="str">
        <f t="shared" ref="L2120" si="1318">"vs "&amp;F2121</f>
        <v>vs Stavros</v>
      </c>
      <c r="M2120">
        <v>177</v>
      </c>
      <c r="N2120" s="1">
        <v>0.48899999999999999</v>
      </c>
      <c r="O2120">
        <v>43</v>
      </c>
      <c r="P2120" s="1">
        <v>0.33300000000000002</v>
      </c>
      <c r="Q2120" s="1">
        <v>0.77300000000000002</v>
      </c>
      <c r="R2120">
        <v>472</v>
      </c>
      <c r="S2120">
        <v>41</v>
      </c>
      <c r="T2120">
        <v>108</v>
      </c>
      <c r="U2120">
        <v>99</v>
      </c>
      <c r="V2120">
        <v>21</v>
      </c>
      <c r="W2120">
        <v>23</v>
      </c>
      <c r="X2120">
        <v>62</v>
      </c>
      <c r="Y2120" s="5">
        <v>1.6</v>
      </c>
    </row>
    <row r="2121" spans="1:25" x14ac:dyDescent="0.25">
      <c r="A2121">
        <v>2023</v>
      </c>
      <c r="B2121" t="s">
        <v>57</v>
      </c>
      <c r="C2121">
        <v>12</v>
      </c>
      <c r="D2121">
        <v>130</v>
      </c>
      <c r="E2121" t="s">
        <v>94</v>
      </c>
      <c r="F2121" t="s">
        <v>40</v>
      </c>
      <c r="G2121">
        <f t="shared" si="1304"/>
        <v>0</v>
      </c>
      <c r="H2121">
        <v>6</v>
      </c>
      <c r="I2121">
        <v>6</v>
      </c>
      <c r="J2121">
        <v>1</v>
      </c>
      <c r="K2121" s="6" t="str">
        <f t="shared" ref="K2121" si="1319">"vs "&amp;E2120</f>
        <v>vs The Guns</v>
      </c>
      <c r="L2121" s="6" t="str">
        <f t="shared" ref="L2121" si="1320">"vs "&amp;F2120</f>
        <v>vs Vasilis</v>
      </c>
      <c r="M2121">
        <v>150</v>
      </c>
      <c r="N2121" s="1">
        <v>0.43</v>
      </c>
      <c r="O2121">
        <v>45</v>
      </c>
      <c r="P2121" s="1">
        <v>0.33100000000000002</v>
      </c>
      <c r="Q2121" s="1">
        <v>0.76</v>
      </c>
      <c r="R2121">
        <v>424</v>
      </c>
      <c r="S2121">
        <v>41</v>
      </c>
      <c r="T2121">
        <v>135</v>
      </c>
      <c r="U2121">
        <v>124</v>
      </c>
      <c r="V2121">
        <v>27</v>
      </c>
      <c r="W2121">
        <v>10</v>
      </c>
      <c r="X2121">
        <v>55</v>
      </c>
      <c r="Y2121" s="5">
        <v>2.25</v>
      </c>
    </row>
    <row r="2122" spans="1:25" x14ac:dyDescent="0.25">
      <c r="A2122">
        <v>2023</v>
      </c>
      <c r="B2122" t="s">
        <v>57</v>
      </c>
      <c r="C2122">
        <v>13</v>
      </c>
      <c r="D2122">
        <v>131</v>
      </c>
      <c r="E2122" t="s">
        <v>158</v>
      </c>
      <c r="F2122" t="s">
        <v>177</v>
      </c>
      <c r="G2122">
        <f t="shared" si="1304"/>
        <v>1</v>
      </c>
      <c r="H2122">
        <v>9</v>
      </c>
      <c r="I2122">
        <v>4</v>
      </c>
      <c r="J2122">
        <v>0</v>
      </c>
      <c r="K2122" s="6" t="str">
        <f t="shared" ref="K2122" si="1321">"vs "&amp;E2123</f>
        <v>vs Knights of Ni</v>
      </c>
      <c r="L2122" s="6" t="str">
        <f t="shared" ref="L2122" si="1322">"vs "&amp;F2123</f>
        <v>vs Tolios</v>
      </c>
      <c r="M2122">
        <v>135</v>
      </c>
      <c r="N2122" s="1">
        <v>0.50900000000000001</v>
      </c>
      <c r="O2122">
        <v>35</v>
      </c>
      <c r="P2122" s="1">
        <v>0.44900000000000001</v>
      </c>
      <c r="Q2122" s="1">
        <v>0.75900000000000001</v>
      </c>
      <c r="R2122">
        <v>412</v>
      </c>
      <c r="S2122">
        <v>39</v>
      </c>
      <c r="T2122">
        <v>141</v>
      </c>
      <c r="U2122">
        <v>83</v>
      </c>
      <c r="V2122">
        <v>25</v>
      </c>
      <c r="W2122">
        <v>13</v>
      </c>
      <c r="X2122">
        <v>50</v>
      </c>
      <c r="Y2122" s="5">
        <v>1.66</v>
      </c>
    </row>
    <row r="2123" spans="1:25" x14ac:dyDescent="0.25">
      <c r="A2123">
        <v>2023</v>
      </c>
      <c r="B2123" t="s">
        <v>57</v>
      </c>
      <c r="C2123">
        <v>13</v>
      </c>
      <c r="D2123">
        <v>131</v>
      </c>
      <c r="E2123" t="s">
        <v>96</v>
      </c>
      <c r="F2123" t="s">
        <v>102</v>
      </c>
      <c r="G2123">
        <f t="shared" si="1304"/>
        <v>0</v>
      </c>
      <c r="H2123">
        <v>4</v>
      </c>
      <c r="I2123">
        <v>9</v>
      </c>
      <c r="J2123">
        <v>0</v>
      </c>
      <c r="K2123" s="6" t="str">
        <f t="shared" ref="K2123" si="1323">"vs "&amp;E2122</f>
        <v>vs LRBP PR3DATORS</v>
      </c>
      <c r="L2123" s="6" t="str">
        <f t="shared" ref="L2123" si="1324">"vs "&amp;F2122</f>
        <v>vs Lafa</v>
      </c>
      <c r="M2123">
        <v>99</v>
      </c>
      <c r="N2123" s="1">
        <v>0.45</v>
      </c>
      <c r="O2123">
        <v>30</v>
      </c>
      <c r="P2123" s="1">
        <v>0.316</v>
      </c>
      <c r="Q2123" s="1">
        <v>0.625</v>
      </c>
      <c r="R2123">
        <v>248</v>
      </c>
      <c r="S2123">
        <v>26</v>
      </c>
      <c r="T2123">
        <v>72</v>
      </c>
      <c r="U2123">
        <v>53</v>
      </c>
      <c r="V2123">
        <v>26</v>
      </c>
      <c r="W2123">
        <v>14</v>
      </c>
      <c r="X2123">
        <v>20</v>
      </c>
      <c r="Y2123" s="5">
        <v>2.65</v>
      </c>
    </row>
    <row r="2124" spans="1:25" x14ac:dyDescent="0.25">
      <c r="A2124">
        <v>2023</v>
      </c>
      <c r="B2124" t="s">
        <v>57</v>
      </c>
      <c r="C2124">
        <v>13</v>
      </c>
      <c r="D2124">
        <v>132</v>
      </c>
      <c r="E2124" t="s">
        <v>159</v>
      </c>
      <c r="F2124" t="s">
        <v>116</v>
      </c>
      <c r="G2124">
        <f t="shared" si="1304"/>
        <v>1</v>
      </c>
      <c r="H2124">
        <v>11</v>
      </c>
      <c r="I2124">
        <v>2</v>
      </c>
      <c r="J2124">
        <v>0</v>
      </c>
      <c r="K2124" s="6" t="str">
        <f t="shared" ref="K2124" si="1325">"vs "&amp;E2125</f>
        <v>vs The Rookies</v>
      </c>
      <c r="L2124" s="6" t="str">
        <f t="shared" ref="L2124" si="1326">"vs "&amp;F2125</f>
        <v>vs Kousidis</v>
      </c>
      <c r="M2124">
        <v>257</v>
      </c>
      <c r="N2124" s="1">
        <v>0.49299999999999999</v>
      </c>
      <c r="O2124">
        <v>60</v>
      </c>
      <c r="P2124" s="1">
        <v>0.313</v>
      </c>
      <c r="Q2124" s="1">
        <v>0.83299999999999996</v>
      </c>
      <c r="R2124">
        <v>734</v>
      </c>
      <c r="S2124">
        <v>50</v>
      </c>
      <c r="T2124">
        <v>215</v>
      </c>
      <c r="U2124">
        <v>153</v>
      </c>
      <c r="V2124">
        <v>44</v>
      </c>
      <c r="W2124">
        <v>33</v>
      </c>
      <c r="X2124">
        <v>87</v>
      </c>
      <c r="Y2124" s="5">
        <v>1.76</v>
      </c>
    </row>
    <row r="2125" spans="1:25" x14ac:dyDescent="0.25">
      <c r="A2125">
        <v>2023</v>
      </c>
      <c r="B2125" t="s">
        <v>57</v>
      </c>
      <c r="C2125">
        <v>13</v>
      </c>
      <c r="D2125">
        <v>132</v>
      </c>
      <c r="E2125" t="s">
        <v>25</v>
      </c>
      <c r="F2125" t="s">
        <v>53</v>
      </c>
      <c r="G2125">
        <f t="shared" si="1304"/>
        <v>0</v>
      </c>
      <c r="H2125">
        <v>2</v>
      </c>
      <c r="I2125">
        <v>11</v>
      </c>
      <c r="J2125">
        <v>0</v>
      </c>
      <c r="K2125" s="6" t="str">
        <f t="shared" ref="K2125" si="1327">"vs "&amp;E2124</f>
        <v>vs purple fuzzy apache pirates</v>
      </c>
      <c r="L2125" s="6" t="str">
        <f t="shared" ref="L2125" si="1328">"vs "&amp;F2124</f>
        <v>vs pi/Sotiris</v>
      </c>
      <c r="M2125">
        <v>162</v>
      </c>
      <c r="N2125" s="1">
        <v>0.48499999999999999</v>
      </c>
      <c r="O2125">
        <v>37</v>
      </c>
      <c r="P2125" s="1">
        <v>0.316</v>
      </c>
      <c r="Q2125" s="1">
        <v>0.73099999999999998</v>
      </c>
      <c r="R2125">
        <v>456</v>
      </c>
      <c r="S2125">
        <v>41</v>
      </c>
      <c r="T2125">
        <v>127</v>
      </c>
      <c r="U2125">
        <v>78</v>
      </c>
      <c r="V2125">
        <v>15</v>
      </c>
      <c r="W2125">
        <v>14</v>
      </c>
      <c r="X2125">
        <v>51</v>
      </c>
      <c r="Y2125" s="5">
        <v>1.53</v>
      </c>
    </row>
    <row r="2126" spans="1:25" x14ac:dyDescent="0.25">
      <c r="A2126">
        <v>2023</v>
      </c>
      <c r="B2126" t="s">
        <v>57</v>
      </c>
      <c r="C2126">
        <v>13</v>
      </c>
      <c r="D2126">
        <v>133</v>
      </c>
      <c r="E2126" t="s">
        <v>154</v>
      </c>
      <c r="F2126" t="s">
        <v>155</v>
      </c>
      <c r="G2126">
        <f t="shared" si="1304"/>
        <v>0</v>
      </c>
      <c r="H2126">
        <v>5</v>
      </c>
      <c r="I2126">
        <v>8</v>
      </c>
      <c r="J2126">
        <v>0</v>
      </c>
      <c r="K2126" s="6" t="str">
        <f t="shared" ref="K2126" si="1329">"vs "&amp;E2127</f>
        <v>vs Donkey Rolls</v>
      </c>
      <c r="L2126" s="6" t="str">
        <f t="shared" ref="L2126" si="1330">"vs "&amp;F2127</f>
        <v>vs Markos</v>
      </c>
      <c r="M2126">
        <v>91</v>
      </c>
      <c r="N2126" s="1">
        <v>0.45700000000000002</v>
      </c>
      <c r="O2126">
        <v>27</v>
      </c>
      <c r="P2126" s="1">
        <v>0.33800000000000002</v>
      </c>
      <c r="Q2126" s="1">
        <v>0.80400000000000005</v>
      </c>
      <c r="R2126">
        <v>246</v>
      </c>
      <c r="S2126">
        <v>38</v>
      </c>
      <c r="T2126">
        <v>99</v>
      </c>
      <c r="U2126">
        <v>59</v>
      </c>
      <c r="V2126">
        <v>30</v>
      </c>
      <c r="W2126">
        <v>19</v>
      </c>
      <c r="X2126">
        <v>27</v>
      </c>
      <c r="Y2126" s="5">
        <v>2.19</v>
      </c>
    </row>
    <row r="2127" spans="1:25" x14ac:dyDescent="0.25">
      <c r="A2127">
        <v>2023</v>
      </c>
      <c r="B2127" t="s">
        <v>57</v>
      </c>
      <c r="C2127">
        <v>13</v>
      </c>
      <c r="D2127">
        <v>133</v>
      </c>
      <c r="E2127" t="s">
        <v>17</v>
      </c>
      <c r="F2127" t="s">
        <v>43</v>
      </c>
      <c r="G2127">
        <f t="shared" si="1304"/>
        <v>1</v>
      </c>
      <c r="H2127">
        <v>8</v>
      </c>
      <c r="I2127">
        <v>5</v>
      </c>
      <c r="J2127">
        <v>0</v>
      </c>
      <c r="K2127" s="6" t="str">
        <f t="shared" ref="K2127" si="1331">"vs "&amp;E2126</f>
        <v>vs The Bad Boys</v>
      </c>
      <c r="L2127" s="6" t="str">
        <f t="shared" ref="L2127" si="1332">"vs "&amp;F2126</f>
        <v>vs Arvanitis</v>
      </c>
      <c r="M2127">
        <v>174</v>
      </c>
      <c r="N2127" s="1">
        <v>0.48699999999999999</v>
      </c>
      <c r="O2127">
        <v>59</v>
      </c>
      <c r="P2127" s="1">
        <v>0.41</v>
      </c>
      <c r="Q2127" s="1">
        <v>0.84299999999999997</v>
      </c>
      <c r="R2127">
        <v>477</v>
      </c>
      <c r="S2127">
        <v>30</v>
      </c>
      <c r="T2127">
        <v>102</v>
      </c>
      <c r="U2127">
        <v>83</v>
      </c>
      <c r="V2127">
        <v>9</v>
      </c>
      <c r="W2127">
        <v>16</v>
      </c>
      <c r="X2127">
        <v>41</v>
      </c>
      <c r="Y2127" s="5">
        <v>2.02</v>
      </c>
    </row>
    <row r="2128" spans="1:25" x14ac:dyDescent="0.25">
      <c r="A2128">
        <v>2023</v>
      </c>
      <c r="B2128" t="s">
        <v>57</v>
      </c>
      <c r="C2128">
        <v>13</v>
      </c>
      <c r="D2128">
        <v>134</v>
      </c>
      <c r="E2128" t="s">
        <v>94</v>
      </c>
      <c r="F2128" t="s">
        <v>40</v>
      </c>
      <c r="G2128">
        <f t="shared" si="1304"/>
        <v>1</v>
      </c>
      <c r="H2128">
        <v>8</v>
      </c>
      <c r="I2128">
        <v>4</v>
      </c>
      <c r="J2128">
        <v>1</v>
      </c>
      <c r="K2128" s="6" t="str">
        <f t="shared" ref="K2128" si="1333">"vs "&amp;E2129</f>
        <v>vs Guruuu 🐐🐐🐐</v>
      </c>
      <c r="L2128" s="6" t="str">
        <f t="shared" ref="L2128" si="1334">"vs "&amp;F2129</f>
        <v>vs Guru</v>
      </c>
      <c r="M2128">
        <v>192</v>
      </c>
      <c r="N2128" s="1">
        <v>0.48</v>
      </c>
      <c r="O2128">
        <v>57</v>
      </c>
      <c r="P2128" s="1">
        <v>0.34300000000000003</v>
      </c>
      <c r="Q2128" s="1">
        <v>0.80700000000000005</v>
      </c>
      <c r="R2128">
        <v>529</v>
      </c>
      <c r="S2128">
        <v>37</v>
      </c>
      <c r="T2128">
        <v>131</v>
      </c>
      <c r="U2128">
        <v>95</v>
      </c>
      <c r="V2128">
        <v>16</v>
      </c>
      <c r="W2128">
        <v>11</v>
      </c>
      <c r="X2128">
        <v>51</v>
      </c>
      <c r="Y2128" s="5">
        <v>1.86</v>
      </c>
    </row>
    <row r="2129" spans="1:25" x14ac:dyDescent="0.25">
      <c r="A2129">
        <v>2023</v>
      </c>
      <c r="B2129" t="s">
        <v>57</v>
      </c>
      <c r="C2129">
        <v>13</v>
      </c>
      <c r="D2129">
        <v>134</v>
      </c>
      <c r="E2129" t="s">
        <v>93</v>
      </c>
      <c r="F2129" t="s">
        <v>189</v>
      </c>
      <c r="G2129">
        <f t="shared" si="1304"/>
        <v>0</v>
      </c>
      <c r="H2129">
        <v>4</v>
      </c>
      <c r="I2129">
        <v>8</v>
      </c>
      <c r="J2129">
        <v>1</v>
      </c>
      <c r="K2129" s="6" t="str">
        <f t="shared" ref="K2129" si="1335">"vs "&amp;E2128</f>
        <v>vs Fighting Thaddeus</v>
      </c>
      <c r="L2129" s="6" t="str">
        <f t="shared" ref="L2129" si="1336">"vs "&amp;F2128</f>
        <v>vs Stavros</v>
      </c>
      <c r="M2129">
        <v>161</v>
      </c>
      <c r="N2129" s="1">
        <v>0.47899999999999998</v>
      </c>
      <c r="O2129">
        <v>58</v>
      </c>
      <c r="P2129" s="1">
        <v>0.38200000000000001</v>
      </c>
      <c r="Q2129" s="1">
        <v>0.78300000000000003</v>
      </c>
      <c r="R2129">
        <v>427</v>
      </c>
      <c r="S2129">
        <v>25</v>
      </c>
      <c r="T2129">
        <v>92</v>
      </c>
      <c r="U2129">
        <v>89</v>
      </c>
      <c r="V2129">
        <v>16</v>
      </c>
      <c r="W2129">
        <v>9</v>
      </c>
      <c r="X2129">
        <v>40</v>
      </c>
      <c r="Y2129" s="5">
        <v>2.23</v>
      </c>
    </row>
    <row r="2130" spans="1:25" x14ac:dyDescent="0.25">
      <c r="A2130">
        <v>2023</v>
      </c>
      <c r="B2130" t="s">
        <v>57</v>
      </c>
      <c r="C2130">
        <v>13</v>
      </c>
      <c r="D2130">
        <v>135</v>
      </c>
      <c r="E2130" t="s">
        <v>23</v>
      </c>
      <c r="F2130" t="s">
        <v>120</v>
      </c>
      <c r="G2130">
        <f t="shared" si="1304"/>
        <v>1</v>
      </c>
      <c r="H2130">
        <v>8</v>
      </c>
      <c r="I2130">
        <v>5</v>
      </c>
      <c r="J2130">
        <v>0</v>
      </c>
      <c r="K2130" s="6" t="str">
        <f t="shared" ref="K2130" si="1337">"vs "&amp;E2131</f>
        <v>vs Karafli SaiTa</v>
      </c>
      <c r="L2130" s="6" t="str">
        <f t="shared" ref="L2130" si="1338">"vs "&amp;F2131</f>
        <v>vs Tassos</v>
      </c>
      <c r="M2130">
        <v>171</v>
      </c>
      <c r="N2130" s="1">
        <v>0.51700000000000002</v>
      </c>
      <c r="O2130">
        <v>41</v>
      </c>
      <c r="P2130" s="1">
        <v>0.318</v>
      </c>
      <c r="Q2130" s="1">
        <v>0.76800000000000002</v>
      </c>
      <c r="R2130">
        <v>456</v>
      </c>
      <c r="S2130">
        <v>45</v>
      </c>
      <c r="T2130">
        <v>152</v>
      </c>
      <c r="U2130">
        <v>94</v>
      </c>
      <c r="V2130">
        <v>17</v>
      </c>
      <c r="W2130">
        <v>15</v>
      </c>
      <c r="X2130">
        <v>40</v>
      </c>
      <c r="Y2130" s="5">
        <v>2.35</v>
      </c>
    </row>
    <row r="2131" spans="1:25" x14ac:dyDescent="0.25">
      <c r="A2131">
        <v>2023</v>
      </c>
      <c r="B2131" t="s">
        <v>57</v>
      </c>
      <c r="C2131">
        <v>13</v>
      </c>
      <c r="D2131">
        <v>135</v>
      </c>
      <c r="E2131" t="s">
        <v>190</v>
      </c>
      <c r="F2131" t="s">
        <v>103</v>
      </c>
      <c r="G2131">
        <f t="shared" si="1304"/>
        <v>0</v>
      </c>
      <c r="H2131">
        <v>5</v>
      </c>
      <c r="I2131">
        <v>8</v>
      </c>
      <c r="J2131">
        <v>0</v>
      </c>
      <c r="K2131" s="6" t="str">
        <f t="shared" ref="K2131" si="1339">"vs "&amp;E2130</f>
        <v>vs Pachiana NinjaBees</v>
      </c>
      <c r="L2131" s="6" t="str">
        <f t="shared" ref="L2131" si="1340">"vs "&amp;F2130</f>
        <v>vs Spiridaus/Oladipas</v>
      </c>
      <c r="M2131">
        <v>174</v>
      </c>
      <c r="N2131" s="1">
        <v>0.504</v>
      </c>
      <c r="O2131">
        <v>24</v>
      </c>
      <c r="P2131" s="1">
        <v>0.28899999999999998</v>
      </c>
      <c r="Q2131" s="1">
        <v>0.82199999999999995</v>
      </c>
      <c r="R2131">
        <v>483</v>
      </c>
      <c r="S2131">
        <v>31</v>
      </c>
      <c r="T2131">
        <v>140</v>
      </c>
      <c r="U2131">
        <v>87</v>
      </c>
      <c r="V2131">
        <v>24</v>
      </c>
      <c r="W2131">
        <v>21</v>
      </c>
      <c r="X2131">
        <v>63</v>
      </c>
      <c r="Y2131" s="5">
        <v>1.38</v>
      </c>
    </row>
    <row r="2132" spans="1:25" x14ac:dyDescent="0.25">
      <c r="A2132">
        <v>2023</v>
      </c>
      <c r="B2132" t="s">
        <v>57</v>
      </c>
      <c r="C2132">
        <v>13</v>
      </c>
      <c r="D2132">
        <v>136</v>
      </c>
      <c r="E2132" t="s">
        <v>15</v>
      </c>
      <c r="F2132" t="s">
        <v>48</v>
      </c>
      <c r="G2132">
        <f t="shared" si="1304"/>
        <v>1</v>
      </c>
      <c r="H2132">
        <v>9</v>
      </c>
      <c r="I2132">
        <v>3</v>
      </c>
      <c r="J2132">
        <v>1</v>
      </c>
      <c r="K2132" s="6" t="str">
        <f t="shared" ref="K2132" si="1341">"vs "&amp;E2133</f>
        <v>vs Kourayo Vallecano</v>
      </c>
      <c r="L2132" s="6" t="str">
        <f t="shared" ref="L2132" si="1342">"vs "&amp;F2133</f>
        <v>vs Ziogas/Christof</v>
      </c>
      <c r="M2132">
        <v>162</v>
      </c>
      <c r="N2132" s="1">
        <v>0.45500000000000002</v>
      </c>
      <c r="O2132">
        <v>53</v>
      </c>
      <c r="P2132" s="1">
        <v>0.379</v>
      </c>
      <c r="Q2132" s="1">
        <v>0.84799999999999998</v>
      </c>
      <c r="R2132">
        <v>444</v>
      </c>
      <c r="S2132">
        <v>29</v>
      </c>
      <c r="T2132">
        <v>139</v>
      </c>
      <c r="U2132">
        <v>78</v>
      </c>
      <c r="V2132">
        <v>25</v>
      </c>
      <c r="W2132">
        <v>8</v>
      </c>
      <c r="X2132">
        <v>51</v>
      </c>
      <c r="Y2132" s="5">
        <v>1.53</v>
      </c>
    </row>
    <row r="2133" spans="1:25" x14ac:dyDescent="0.25">
      <c r="A2133">
        <v>2023</v>
      </c>
      <c r="B2133" t="s">
        <v>57</v>
      </c>
      <c r="C2133">
        <v>13</v>
      </c>
      <c r="D2133">
        <v>136</v>
      </c>
      <c r="E2133" t="s">
        <v>26</v>
      </c>
      <c r="F2133" t="s">
        <v>118</v>
      </c>
      <c r="G2133">
        <f t="shared" si="1304"/>
        <v>0</v>
      </c>
      <c r="H2133">
        <v>3</v>
      </c>
      <c r="I2133">
        <v>9</v>
      </c>
      <c r="J2133">
        <v>1</v>
      </c>
      <c r="K2133" s="6" t="str">
        <f t="shared" ref="K2133" si="1343">"vs "&amp;E2132</f>
        <v>vs Salonika Devils</v>
      </c>
      <c r="L2133" s="6" t="str">
        <f t="shared" ref="L2133" si="1344">"vs "&amp;F2132</f>
        <v>vs Fountos</v>
      </c>
      <c r="M2133">
        <v>88</v>
      </c>
      <c r="N2133" s="1">
        <v>0.36399999999999999</v>
      </c>
      <c r="O2133">
        <v>30</v>
      </c>
      <c r="P2133" s="1">
        <v>0.26800000000000002</v>
      </c>
      <c r="Q2133" s="1">
        <v>0.82699999999999996</v>
      </c>
      <c r="R2133">
        <v>287</v>
      </c>
      <c r="S2133">
        <v>32</v>
      </c>
      <c r="T2133">
        <v>102</v>
      </c>
      <c r="U2133">
        <v>70</v>
      </c>
      <c r="V2133">
        <v>15</v>
      </c>
      <c r="W2133">
        <v>8</v>
      </c>
      <c r="X2133">
        <v>42</v>
      </c>
      <c r="Y2133" s="5">
        <v>1.67</v>
      </c>
    </row>
    <row r="2134" spans="1:25" x14ac:dyDescent="0.25">
      <c r="A2134">
        <v>2023</v>
      </c>
      <c r="B2134" t="s">
        <v>57</v>
      </c>
      <c r="C2134">
        <v>13</v>
      </c>
      <c r="D2134">
        <v>137</v>
      </c>
      <c r="E2134" t="s">
        <v>95</v>
      </c>
      <c r="F2134" t="s">
        <v>101</v>
      </c>
      <c r="G2134">
        <f t="shared" si="1304"/>
        <v>0</v>
      </c>
      <c r="H2134">
        <v>1</v>
      </c>
      <c r="I2134">
        <v>12</v>
      </c>
      <c r="J2134">
        <v>0</v>
      </c>
      <c r="K2134" s="6" t="str">
        <f t="shared" ref="K2134" si="1345">"vs "&amp;E2135</f>
        <v>vs Steven Adams' Moustache</v>
      </c>
      <c r="L2134" s="6" t="str">
        <f t="shared" ref="L2134" si="1346">"vs "&amp;F2135</f>
        <v>vs Johnny</v>
      </c>
      <c r="M2134">
        <v>123</v>
      </c>
      <c r="N2134" s="1">
        <v>0.46400000000000002</v>
      </c>
      <c r="O2134">
        <v>54</v>
      </c>
      <c r="P2134" s="1">
        <v>0.40600000000000003</v>
      </c>
      <c r="Q2134" s="1">
        <v>0.69099999999999995</v>
      </c>
      <c r="R2134">
        <v>338</v>
      </c>
      <c r="S2134">
        <v>29</v>
      </c>
      <c r="T2134">
        <v>94</v>
      </c>
      <c r="U2134">
        <v>65</v>
      </c>
      <c r="V2134">
        <v>24</v>
      </c>
      <c r="W2134">
        <v>15</v>
      </c>
      <c r="X2134">
        <v>35</v>
      </c>
      <c r="Y2134" s="5">
        <v>1.86</v>
      </c>
    </row>
    <row r="2135" spans="1:25" x14ac:dyDescent="0.25">
      <c r="A2135">
        <v>2023</v>
      </c>
      <c r="B2135" t="s">
        <v>57</v>
      </c>
      <c r="C2135">
        <v>13</v>
      </c>
      <c r="D2135">
        <v>137</v>
      </c>
      <c r="E2135" t="s">
        <v>28</v>
      </c>
      <c r="F2135" t="s">
        <v>46</v>
      </c>
      <c r="G2135">
        <f t="shared" si="1304"/>
        <v>1</v>
      </c>
      <c r="H2135">
        <v>12</v>
      </c>
      <c r="I2135">
        <v>1</v>
      </c>
      <c r="J2135">
        <v>0</v>
      </c>
      <c r="K2135" s="6" t="str">
        <f t="shared" ref="K2135" si="1347">"vs "&amp;E2134</f>
        <v>vs Baltimore Hercules</v>
      </c>
      <c r="L2135" s="6" t="str">
        <f t="shared" ref="L2135" si="1348">"vs "&amp;F2134</f>
        <v>vs Sarantos</v>
      </c>
      <c r="M2135">
        <v>213</v>
      </c>
      <c r="N2135" s="1">
        <v>0.51300000000000001</v>
      </c>
      <c r="O2135">
        <v>69</v>
      </c>
      <c r="P2135" s="1">
        <v>0.41299999999999998</v>
      </c>
      <c r="Q2135" s="1">
        <v>0.74299999999999999</v>
      </c>
      <c r="R2135">
        <v>576</v>
      </c>
      <c r="S2135">
        <v>48</v>
      </c>
      <c r="T2135">
        <v>133</v>
      </c>
      <c r="U2135">
        <v>149</v>
      </c>
      <c r="V2135">
        <v>38</v>
      </c>
      <c r="W2135">
        <v>23</v>
      </c>
      <c r="X2135">
        <v>54</v>
      </c>
      <c r="Y2135" s="5">
        <v>2.76</v>
      </c>
    </row>
    <row r="2136" spans="1:25" x14ac:dyDescent="0.25">
      <c r="A2136">
        <v>2023</v>
      </c>
      <c r="B2136" t="s">
        <v>57</v>
      </c>
      <c r="C2136">
        <v>13</v>
      </c>
      <c r="D2136">
        <v>138</v>
      </c>
      <c r="E2136" t="s">
        <v>21</v>
      </c>
      <c r="F2136" t="s">
        <v>50</v>
      </c>
      <c r="G2136">
        <f t="shared" si="1304"/>
        <v>0</v>
      </c>
      <c r="H2136">
        <v>1</v>
      </c>
      <c r="I2136">
        <v>12</v>
      </c>
      <c r="J2136">
        <v>0</v>
      </c>
      <c r="K2136" s="6" t="str">
        <f t="shared" ref="K2136" si="1349">"vs "&amp;E2137</f>
        <v>vs The Guns</v>
      </c>
      <c r="L2136" s="6" t="str">
        <f t="shared" ref="L2136" si="1350">"vs "&amp;F2137</f>
        <v>vs Vasilis</v>
      </c>
      <c r="M2136">
        <v>130</v>
      </c>
      <c r="N2136" s="1">
        <v>0.41899999999999998</v>
      </c>
      <c r="O2136">
        <v>41</v>
      </c>
      <c r="P2136" s="1">
        <v>0.30399999999999999</v>
      </c>
      <c r="Q2136" s="1">
        <v>0.77</v>
      </c>
      <c r="R2136">
        <v>358</v>
      </c>
      <c r="S2136">
        <v>6</v>
      </c>
      <c r="T2136">
        <v>81</v>
      </c>
      <c r="U2136">
        <v>96</v>
      </c>
      <c r="V2136">
        <v>21</v>
      </c>
      <c r="W2136">
        <v>11</v>
      </c>
      <c r="X2136">
        <v>47</v>
      </c>
      <c r="Y2136" s="5">
        <v>2.04</v>
      </c>
    </row>
    <row r="2137" spans="1:25" x14ac:dyDescent="0.25">
      <c r="A2137">
        <v>2023</v>
      </c>
      <c r="B2137" t="s">
        <v>57</v>
      </c>
      <c r="C2137">
        <v>13</v>
      </c>
      <c r="D2137">
        <v>138</v>
      </c>
      <c r="E2137" t="s">
        <v>33</v>
      </c>
      <c r="F2137" t="s">
        <v>42</v>
      </c>
      <c r="G2137">
        <f t="shared" si="1304"/>
        <v>1</v>
      </c>
      <c r="H2137">
        <v>12</v>
      </c>
      <c r="I2137">
        <v>1</v>
      </c>
      <c r="J2137">
        <v>0</v>
      </c>
      <c r="K2137" s="6" t="str">
        <f t="shared" ref="K2137" si="1351">"vs "&amp;E2136</f>
        <v>vs st.Helens Eruptions</v>
      </c>
      <c r="L2137" s="6" t="str">
        <f t="shared" ref="L2137" si="1352">"vs "&amp;F2136</f>
        <v>vs Aris</v>
      </c>
      <c r="M2137">
        <v>159</v>
      </c>
      <c r="N2137" s="1">
        <v>0.46200000000000002</v>
      </c>
      <c r="O2137">
        <v>42</v>
      </c>
      <c r="P2137" s="1">
        <v>0.35599999999999998</v>
      </c>
      <c r="Q2137" s="1">
        <v>0.84199999999999997</v>
      </c>
      <c r="R2137">
        <v>424</v>
      </c>
      <c r="S2137">
        <v>50</v>
      </c>
      <c r="T2137">
        <v>114</v>
      </c>
      <c r="U2137">
        <v>125</v>
      </c>
      <c r="V2137">
        <v>28</v>
      </c>
      <c r="W2137">
        <v>17</v>
      </c>
      <c r="X2137">
        <v>56</v>
      </c>
      <c r="Y2137" s="5">
        <v>2.23</v>
      </c>
    </row>
    <row r="2138" spans="1:25" x14ac:dyDescent="0.25">
      <c r="A2138">
        <v>2023</v>
      </c>
      <c r="B2138" t="s">
        <v>57</v>
      </c>
      <c r="C2138">
        <v>13</v>
      </c>
      <c r="D2138">
        <v>139</v>
      </c>
      <c r="E2138" t="s">
        <v>98</v>
      </c>
      <c r="F2138" t="s">
        <v>41</v>
      </c>
      <c r="G2138">
        <f t="shared" si="1304"/>
        <v>1</v>
      </c>
      <c r="H2138">
        <v>7</v>
      </c>
      <c r="I2138">
        <v>6</v>
      </c>
      <c r="J2138">
        <v>0</v>
      </c>
      <c r="K2138" s="6" t="str">
        <f t="shared" ref="K2138" si="1353">"vs "&amp;E2139</f>
        <v>vs The Bridgeburners</v>
      </c>
      <c r="L2138" s="6" t="str">
        <f t="shared" ref="L2138" si="1354">"vs "&amp;F2139</f>
        <v>vs Fanis</v>
      </c>
      <c r="M2138">
        <v>194</v>
      </c>
      <c r="N2138" s="1">
        <v>0.48299999999999998</v>
      </c>
      <c r="O2138">
        <v>46</v>
      </c>
      <c r="P2138" s="1">
        <v>0.36499999999999999</v>
      </c>
      <c r="Q2138" s="1">
        <v>0.81100000000000005</v>
      </c>
      <c r="R2138">
        <v>507</v>
      </c>
      <c r="S2138">
        <v>50</v>
      </c>
      <c r="T2138">
        <v>186</v>
      </c>
      <c r="U2138">
        <v>160</v>
      </c>
      <c r="V2138">
        <v>42</v>
      </c>
      <c r="W2138">
        <v>22</v>
      </c>
      <c r="X2138">
        <v>65</v>
      </c>
      <c r="Y2138" s="5">
        <v>2.46</v>
      </c>
    </row>
    <row r="2139" spans="1:25" x14ac:dyDescent="0.25">
      <c r="A2139">
        <v>2023</v>
      </c>
      <c r="B2139" t="s">
        <v>57</v>
      </c>
      <c r="C2139">
        <v>13</v>
      </c>
      <c r="D2139">
        <v>139</v>
      </c>
      <c r="E2139" t="s">
        <v>16</v>
      </c>
      <c r="F2139" t="s">
        <v>51</v>
      </c>
      <c r="G2139">
        <f t="shared" si="1304"/>
        <v>0</v>
      </c>
      <c r="H2139">
        <v>6</v>
      </c>
      <c r="I2139">
        <v>7</v>
      </c>
      <c r="J2139">
        <v>0</v>
      </c>
      <c r="K2139" s="6" t="str">
        <f t="shared" ref="K2139" si="1355">"vs "&amp;E2138</f>
        <v>vs Xanthi Ducks 🦆</v>
      </c>
      <c r="L2139" s="6" t="str">
        <f t="shared" ref="L2139" si="1356">"vs "&amp;F2138</f>
        <v>vs Kotakis</v>
      </c>
      <c r="M2139">
        <v>198</v>
      </c>
      <c r="N2139" s="1">
        <v>0.47899999999999998</v>
      </c>
      <c r="O2139">
        <v>57</v>
      </c>
      <c r="P2139" s="1">
        <v>0.38500000000000001</v>
      </c>
      <c r="Q2139" s="1">
        <v>0.85699999999999998</v>
      </c>
      <c r="R2139">
        <v>573</v>
      </c>
      <c r="S2139">
        <v>34</v>
      </c>
      <c r="T2139">
        <v>131</v>
      </c>
      <c r="U2139">
        <v>120</v>
      </c>
      <c r="V2139">
        <v>30</v>
      </c>
      <c r="W2139">
        <v>16</v>
      </c>
      <c r="X2139">
        <v>58</v>
      </c>
      <c r="Y2139" s="5">
        <v>2.0699999999999998</v>
      </c>
    </row>
    <row r="2140" spans="1:25" x14ac:dyDescent="0.25">
      <c r="A2140">
        <v>2023</v>
      </c>
      <c r="B2140" t="s">
        <v>57</v>
      </c>
      <c r="C2140">
        <v>13</v>
      </c>
      <c r="D2140">
        <v>140</v>
      </c>
      <c r="E2140" t="s">
        <v>99</v>
      </c>
      <c r="F2140" t="s">
        <v>45</v>
      </c>
      <c r="G2140">
        <f t="shared" si="1304"/>
        <v>0</v>
      </c>
      <c r="H2140">
        <v>3</v>
      </c>
      <c r="I2140">
        <v>10</v>
      </c>
      <c r="J2140">
        <v>0</v>
      </c>
      <c r="K2140" s="6" t="str">
        <f t="shared" ref="K2140" si="1357">"vs "&amp;E2141</f>
        <v>vs Samarina Dudenbros</v>
      </c>
      <c r="L2140" s="6" t="str">
        <f t="shared" ref="L2140" si="1358">"vs "&amp;F2141</f>
        <v>vs Sakellariou</v>
      </c>
      <c r="M2140">
        <v>149</v>
      </c>
      <c r="N2140" s="1">
        <v>0.46</v>
      </c>
      <c r="O2140">
        <v>46</v>
      </c>
      <c r="P2140" s="1">
        <v>0.39300000000000002</v>
      </c>
      <c r="Q2140" s="1">
        <v>0.75900000000000001</v>
      </c>
      <c r="R2140">
        <v>404</v>
      </c>
      <c r="S2140">
        <v>43</v>
      </c>
      <c r="T2140">
        <v>123</v>
      </c>
      <c r="U2140">
        <v>67</v>
      </c>
      <c r="V2140">
        <v>21</v>
      </c>
      <c r="W2140">
        <v>15</v>
      </c>
      <c r="X2140">
        <v>40</v>
      </c>
      <c r="Y2140" s="5">
        <v>1.68</v>
      </c>
    </row>
    <row r="2141" spans="1:25" x14ac:dyDescent="0.25">
      <c r="A2141">
        <v>2023</v>
      </c>
      <c r="B2141" t="s">
        <v>57</v>
      </c>
      <c r="C2141">
        <v>13</v>
      </c>
      <c r="D2141">
        <v>140</v>
      </c>
      <c r="E2141" t="s">
        <v>181</v>
      </c>
      <c r="F2141" t="s">
        <v>49</v>
      </c>
      <c r="G2141">
        <f t="shared" si="1304"/>
        <v>1</v>
      </c>
      <c r="H2141">
        <v>10</v>
      </c>
      <c r="I2141">
        <v>3</v>
      </c>
      <c r="J2141">
        <v>0</v>
      </c>
      <c r="K2141" s="6" t="str">
        <f t="shared" ref="K2141" si="1359">"vs "&amp;E2140</f>
        <v>vs Tsarlatans</v>
      </c>
      <c r="L2141" s="6" t="str">
        <f t="shared" ref="L2141" si="1360">"vs "&amp;F2140</f>
        <v>vs Tzokos</v>
      </c>
      <c r="M2141">
        <v>203</v>
      </c>
      <c r="N2141" s="1">
        <v>0.49199999999999999</v>
      </c>
      <c r="O2141">
        <v>51</v>
      </c>
      <c r="P2141" s="1">
        <v>0.35899999999999999</v>
      </c>
      <c r="Q2141" s="1">
        <v>0.76700000000000002</v>
      </c>
      <c r="R2141">
        <v>536</v>
      </c>
      <c r="S2141">
        <v>44</v>
      </c>
      <c r="T2141">
        <v>138</v>
      </c>
      <c r="U2141">
        <v>109</v>
      </c>
      <c r="V2141">
        <v>26</v>
      </c>
      <c r="W2141">
        <v>12</v>
      </c>
      <c r="X2141">
        <v>54</v>
      </c>
      <c r="Y2141" s="5">
        <v>2.02</v>
      </c>
    </row>
    <row r="2142" spans="1:25" x14ac:dyDescent="0.25">
      <c r="A2142">
        <v>2023</v>
      </c>
      <c r="B2142" t="s">
        <v>57</v>
      </c>
      <c r="C2142">
        <v>14</v>
      </c>
      <c r="D2142">
        <v>141</v>
      </c>
      <c r="E2142" t="s">
        <v>25</v>
      </c>
      <c r="F2142" t="s">
        <v>53</v>
      </c>
      <c r="G2142">
        <f t="shared" si="1304"/>
        <v>0</v>
      </c>
      <c r="H2142">
        <v>6</v>
      </c>
      <c r="I2142">
        <v>7</v>
      </c>
      <c r="J2142">
        <v>0</v>
      </c>
      <c r="K2142" s="6" t="str">
        <f t="shared" ref="K2142" si="1361">"vs "&amp;E2143</f>
        <v>vs LRBP PR3DATORS</v>
      </c>
      <c r="L2142" s="6" t="str">
        <f t="shared" ref="L2142" si="1362">"vs "&amp;F2143</f>
        <v>vs Lafa</v>
      </c>
      <c r="M2142">
        <v>175</v>
      </c>
      <c r="N2142" s="1">
        <v>0.48299999999999998</v>
      </c>
      <c r="O2142">
        <v>36</v>
      </c>
      <c r="P2142" s="1">
        <v>0.313</v>
      </c>
      <c r="Q2142" s="1">
        <v>0.79700000000000004</v>
      </c>
      <c r="R2142">
        <v>492</v>
      </c>
      <c r="S2142">
        <v>67</v>
      </c>
      <c r="T2142">
        <v>127</v>
      </c>
      <c r="U2142">
        <v>70</v>
      </c>
      <c r="V2142">
        <v>21</v>
      </c>
      <c r="W2142">
        <v>8</v>
      </c>
      <c r="X2142">
        <v>48</v>
      </c>
      <c r="Y2142" s="5">
        <v>1.46</v>
      </c>
    </row>
    <row r="2143" spans="1:25" x14ac:dyDescent="0.25">
      <c r="A2143">
        <v>2023</v>
      </c>
      <c r="B2143" t="s">
        <v>57</v>
      </c>
      <c r="C2143">
        <v>14</v>
      </c>
      <c r="D2143">
        <v>141</v>
      </c>
      <c r="E2143" t="s">
        <v>158</v>
      </c>
      <c r="F2143" t="s">
        <v>177</v>
      </c>
      <c r="G2143">
        <f t="shared" si="1304"/>
        <v>1</v>
      </c>
      <c r="H2143">
        <v>7</v>
      </c>
      <c r="I2143">
        <v>6</v>
      </c>
      <c r="J2143">
        <v>0</v>
      </c>
      <c r="K2143" s="6" t="str">
        <f t="shared" ref="K2143" si="1363">"vs "&amp;E2142</f>
        <v>vs The Rookies</v>
      </c>
      <c r="L2143" s="6" t="str">
        <f t="shared" ref="L2143" si="1364">"vs "&amp;F2142</f>
        <v>vs Kousidis</v>
      </c>
      <c r="M2143">
        <v>122</v>
      </c>
      <c r="N2143" s="1">
        <v>0.53</v>
      </c>
      <c r="O2143">
        <v>35</v>
      </c>
      <c r="P2143" s="1">
        <v>0.47299999999999998</v>
      </c>
      <c r="Q2143" s="1">
        <v>0.80600000000000005</v>
      </c>
      <c r="R2143">
        <v>366</v>
      </c>
      <c r="S2143">
        <v>35</v>
      </c>
      <c r="T2143">
        <v>102</v>
      </c>
      <c r="U2143">
        <v>88</v>
      </c>
      <c r="V2143">
        <v>26</v>
      </c>
      <c r="W2143">
        <v>7</v>
      </c>
      <c r="X2143">
        <v>43</v>
      </c>
      <c r="Y2143" s="5">
        <v>2.0499999999999998</v>
      </c>
    </row>
    <row r="2144" spans="1:25" x14ac:dyDescent="0.25">
      <c r="A2144">
        <v>2023</v>
      </c>
      <c r="B2144" t="s">
        <v>57</v>
      </c>
      <c r="C2144">
        <v>14</v>
      </c>
      <c r="D2144">
        <v>142</v>
      </c>
      <c r="E2144" t="s">
        <v>16</v>
      </c>
      <c r="F2144" t="s">
        <v>51</v>
      </c>
      <c r="G2144">
        <f t="shared" si="1304"/>
        <v>1</v>
      </c>
      <c r="H2144">
        <v>8</v>
      </c>
      <c r="I2144">
        <v>5</v>
      </c>
      <c r="J2144">
        <v>0</v>
      </c>
      <c r="K2144" s="6" t="str">
        <f t="shared" ref="K2144" si="1365">"vs "&amp;E2145</f>
        <v>vs Tsarlatans</v>
      </c>
      <c r="L2144" s="6" t="str">
        <f t="shared" ref="L2144" si="1366">"vs "&amp;F2145</f>
        <v>vs Tzokos</v>
      </c>
      <c r="M2144">
        <v>158</v>
      </c>
      <c r="N2144" s="1">
        <v>0.44800000000000001</v>
      </c>
      <c r="O2144">
        <v>41</v>
      </c>
      <c r="P2144" s="1">
        <v>0.315</v>
      </c>
      <c r="Q2144" s="1">
        <v>0.873</v>
      </c>
      <c r="R2144">
        <v>453</v>
      </c>
      <c r="S2144">
        <v>30</v>
      </c>
      <c r="T2144">
        <v>79</v>
      </c>
      <c r="U2144">
        <v>106</v>
      </c>
      <c r="V2144">
        <v>29</v>
      </c>
      <c r="W2144">
        <v>13</v>
      </c>
      <c r="X2144">
        <v>59</v>
      </c>
      <c r="Y2144" s="5">
        <v>1.8</v>
      </c>
    </row>
    <row r="2145" spans="1:25" x14ac:dyDescent="0.25">
      <c r="A2145">
        <v>2023</v>
      </c>
      <c r="B2145" t="s">
        <v>57</v>
      </c>
      <c r="C2145">
        <v>14</v>
      </c>
      <c r="D2145">
        <v>142</v>
      </c>
      <c r="E2145" t="s">
        <v>99</v>
      </c>
      <c r="F2145" t="s">
        <v>45</v>
      </c>
      <c r="G2145">
        <f t="shared" si="1304"/>
        <v>0</v>
      </c>
      <c r="H2145">
        <v>5</v>
      </c>
      <c r="I2145">
        <v>8</v>
      </c>
      <c r="J2145">
        <v>0</v>
      </c>
      <c r="K2145" s="6" t="str">
        <f t="shared" ref="K2145" si="1367">"vs "&amp;E2144</f>
        <v>vs The Bridgeburners</v>
      </c>
      <c r="L2145" s="6" t="str">
        <f t="shared" ref="L2145" si="1368">"vs "&amp;F2144</f>
        <v>vs Fanis</v>
      </c>
      <c r="M2145">
        <v>156</v>
      </c>
      <c r="N2145" s="1">
        <v>0.57599999999999996</v>
      </c>
      <c r="O2145">
        <v>32</v>
      </c>
      <c r="P2145" s="1">
        <v>0.36399999999999999</v>
      </c>
      <c r="Q2145" s="1">
        <v>0.71599999999999997</v>
      </c>
      <c r="R2145">
        <v>392</v>
      </c>
      <c r="S2145">
        <v>27</v>
      </c>
      <c r="T2145">
        <v>90</v>
      </c>
      <c r="U2145">
        <v>46</v>
      </c>
      <c r="V2145">
        <v>8</v>
      </c>
      <c r="W2145">
        <v>18</v>
      </c>
      <c r="X2145">
        <v>46</v>
      </c>
      <c r="Y2145" s="5">
        <v>1</v>
      </c>
    </row>
    <row r="2146" spans="1:25" x14ac:dyDescent="0.25">
      <c r="A2146">
        <v>2023</v>
      </c>
      <c r="B2146" t="s">
        <v>57</v>
      </c>
      <c r="C2146">
        <v>14</v>
      </c>
      <c r="D2146">
        <v>143</v>
      </c>
      <c r="E2146" t="s">
        <v>26</v>
      </c>
      <c r="F2146" t="s">
        <v>118</v>
      </c>
      <c r="G2146">
        <f t="shared" si="1304"/>
        <v>1</v>
      </c>
      <c r="H2146">
        <v>7</v>
      </c>
      <c r="I2146">
        <v>6</v>
      </c>
      <c r="J2146">
        <v>0</v>
      </c>
      <c r="K2146" s="6" t="str">
        <f t="shared" ref="K2146" si="1369">"vs "&amp;E2147</f>
        <v>vs purple fuzzy apache pirates</v>
      </c>
      <c r="L2146" s="6" t="str">
        <f t="shared" ref="L2146" si="1370">"vs "&amp;F2147</f>
        <v>vs pi/Sotiris</v>
      </c>
      <c r="M2146">
        <v>138</v>
      </c>
      <c r="N2146" s="1">
        <v>0.44400000000000001</v>
      </c>
      <c r="O2146">
        <v>62</v>
      </c>
      <c r="P2146" s="1">
        <v>0.40300000000000002</v>
      </c>
      <c r="Q2146" s="1">
        <v>0.69899999999999995</v>
      </c>
      <c r="R2146">
        <v>389</v>
      </c>
      <c r="S2146">
        <v>39</v>
      </c>
      <c r="T2146">
        <v>127</v>
      </c>
      <c r="U2146">
        <v>110</v>
      </c>
      <c r="V2146">
        <v>21</v>
      </c>
      <c r="W2146">
        <v>10</v>
      </c>
      <c r="X2146">
        <v>44</v>
      </c>
      <c r="Y2146" s="5">
        <v>2.5</v>
      </c>
    </row>
    <row r="2147" spans="1:25" x14ac:dyDescent="0.25">
      <c r="A2147">
        <v>2023</v>
      </c>
      <c r="B2147" t="s">
        <v>57</v>
      </c>
      <c r="C2147">
        <v>14</v>
      </c>
      <c r="D2147">
        <v>143</v>
      </c>
      <c r="E2147" t="s">
        <v>159</v>
      </c>
      <c r="F2147" t="s">
        <v>116</v>
      </c>
      <c r="G2147">
        <f t="shared" si="1304"/>
        <v>0</v>
      </c>
      <c r="H2147">
        <v>6</v>
      </c>
      <c r="I2147">
        <v>7</v>
      </c>
      <c r="J2147">
        <v>0</v>
      </c>
      <c r="K2147" s="6" t="str">
        <f t="shared" ref="K2147" si="1371">"vs "&amp;E2146</f>
        <v>vs Kourayo Vallecano</v>
      </c>
      <c r="L2147" s="6" t="str">
        <f t="shared" ref="L2147" si="1372">"vs "&amp;F2146</f>
        <v>vs Ziogas/Christof</v>
      </c>
      <c r="M2147">
        <v>163</v>
      </c>
      <c r="N2147" s="1">
        <v>0.52100000000000002</v>
      </c>
      <c r="O2147">
        <v>36</v>
      </c>
      <c r="P2147" s="1">
        <v>0.38700000000000001</v>
      </c>
      <c r="Q2147" s="1">
        <v>0.78300000000000003</v>
      </c>
      <c r="R2147">
        <v>434</v>
      </c>
      <c r="S2147">
        <v>35</v>
      </c>
      <c r="T2147">
        <v>126</v>
      </c>
      <c r="U2147">
        <v>98</v>
      </c>
      <c r="V2147">
        <v>27</v>
      </c>
      <c r="W2147">
        <v>19</v>
      </c>
      <c r="X2147">
        <v>63</v>
      </c>
      <c r="Y2147" s="5">
        <v>1.56</v>
      </c>
    </row>
    <row r="2148" spans="1:25" x14ac:dyDescent="0.25">
      <c r="A2148">
        <v>2023</v>
      </c>
      <c r="B2148" t="s">
        <v>57</v>
      </c>
      <c r="C2148">
        <v>14</v>
      </c>
      <c r="D2148">
        <v>144</v>
      </c>
      <c r="E2148" t="s">
        <v>96</v>
      </c>
      <c r="F2148" t="s">
        <v>102</v>
      </c>
      <c r="G2148">
        <f t="shared" si="1304"/>
        <v>0</v>
      </c>
      <c r="H2148">
        <v>3</v>
      </c>
      <c r="I2148">
        <v>10</v>
      </c>
      <c r="J2148">
        <v>0</v>
      </c>
      <c r="K2148" s="6" t="str">
        <f t="shared" ref="K2148" si="1373">"vs "&amp;E2149</f>
        <v>vs Xanthi Ducks 🦆</v>
      </c>
      <c r="L2148" s="6" t="str">
        <f t="shared" ref="L2148" si="1374">"vs "&amp;F2149</f>
        <v>vs Kotakis</v>
      </c>
      <c r="M2148">
        <v>131</v>
      </c>
      <c r="N2148" s="1">
        <v>0.47299999999999998</v>
      </c>
      <c r="O2148">
        <v>28</v>
      </c>
      <c r="P2148" s="1">
        <v>0.34599999999999997</v>
      </c>
      <c r="Q2148" s="1">
        <v>0.67100000000000004</v>
      </c>
      <c r="R2148">
        <v>339</v>
      </c>
      <c r="S2148">
        <v>45</v>
      </c>
      <c r="T2148">
        <v>131</v>
      </c>
      <c r="U2148">
        <v>80</v>
      </c>
      <c r="V2148">
        <v>31</v>
      </c>
      <c r="W2148">
        <v>24</v>
      </c>
      <c r="X2148">
        <v>46</v>
      </c>
      <c r="Y2148" s="5">
        <v>1.74</v>
      </c>
    </row>
    <row r="2149" spans="1:25" x14ac:dyDescent="0.25">
      <c r="A2149">
        <v>2023</v>
      </c>
      <c r="B2149" t="s">
        <v>57</v>
      </c>
      <c r="C2149">
        <v>14</v>
      </c>
      <c r="D2149">
        <v>144</v>
      </c>
      <c r="E2149" t="s">
        <v>98</v>
      </c>
      <c r="F2149" t="s">
        <v>41</v>
      </c>
      <c r="G2149">
        <f t="shared" si="1304"/>
        <v>1</v>
      </c>
      <c r="H2149">
        <v>10</v>
      </c>
      <c r="I2149">
        <v>3</v>
      </c>
      <c r="J2149">
        <v>0</v>
      </c>
      <c r="K2149" s="6" t="str">
        <f t="shared" ref="K2149" si="1375">"vs "&amp;E2148</f>
        <v>vs Knights of Ni</v>
      </c>
      <c r="L2149" s="6" t="str">
        <f t="shared" ref="L2149" si="1376">"vs "&amp;F2148</f>
        <v>vs Tolios</v>
      </c>
      <c r="M2149">
        <v>209</v>
      </c>
      <c r="N2149" s="1">
        <v>0.505</v>
      </c>
      <c r="O2149">
        <v>68</v>
      </c>
      <c r="P2149" s="1">
        <v>0.433</v>
      </c>
      <c r="Q2149" s="1">
        <v>0.90400000000000003</v>
      </c>
      <c r="R2149">
        <v>580</v>
      </c>
      <c r="S2149">
        <v>33</v>
      </c>
      <c r="T2149">
        <v>148</v>
      </c>
      <c r="U2149">
        <v>167</v>
      </c>
      <c r="V2149">
        <v>39</v>
      </c>
      <c r="W2149">
        <v>20</v>
      </c>
      <c r="X2149">
        <v>54</v>
      </c>
      <c r="Y2149" s="5">
        <v>3.09</v>
      </c>
    </row>
    <row r="2150" spans="1:25" x14ac:dyDescent="0.25">
      <c r="A2150">
        <v>2023</v>
      </c>
      <c r="B2150" t="s">
        <v>57</v>
      </c>
      <c r="C2150">
        <v>14</v>
      </c>
      <c r="D2150">
        <v>145</v>
      </c>
      <c r="E2150" t="s">
        <v>28</v>
      </c>
      <c r="F2150" t="s">
        <v>46</v>
      </c>
      <c r="G2150">
        <f t="shared" si="1304"/>
        <v>0</v>
      </c>
      <c r="H2150">
        <v>4</v>
      </c>
      <c r="I2150">
        <v>9</v>
      </c>
      <c r="J2150">
        <v>0</v>
      </c>
      <c r="K2150" s="6" t="str">
        <f t="shared" ref="K2150" si="1377">"vs "&amp;E2151</f>
        <v>vs Fighting Thaddeus</v>
      </c>
      <c r="L2150" s="6" t="str">
        <f t="shared" ref="L2150" si="1378">"vs "&amp;F2151</f>
        <v>vs Stavros</v>
      </c>
      <c r="M2150">
        <v>165</v>
      </c>
      <c r="N2150" s="1">
        <v>0.46300000000000002</v>
      </c>
      <c r="O2150">
        <v>47</v>
      </c>
      <c r="P2150" s="1">
        <v>0.35899999999999999</v>
      </c>
      <c r="Q2150" s="1">
        <v>0.77800000000000002</v>
      </c>
      <c r="R2150">
        <v>461</v>
      </c>
      <c r="S2150">
        <v>39</v>
      </c>
      <c r="T2150">
        <v>91</v>
      </c>
      <c r="U2150">
        <v>127</v>
      </c>
      <c r="V2150">
        <v>23</v>
      </c>
      <c r="W2150">
        <v>20</v>
      </c>
      <c r="X2150">
        <v>61</v>
      </c>
      <c r="Y2150" s="5">
        <v>2.08</v>
      </c>
    </row>
    <row r="2151" spans="1:25" x14ac:dyDescent="0.25">
      <c r="A2151">
        <v>2023</v>
      </c>
      <c r="B2151" t="s">
        <v>57</v>
      </c>
      <c r="C2151">
        <v>14</v>
      </c>
      <c r="D2151">
        <v>145</v>
      </c>
      <c r="E2151" t="s">
        <v>94</v>
      </c>
      <c r="F2151" t="s">
        <v>40</v>
      </c>
      <c r="G2151">
        <f t="shared" si="1304"/>
        <v>1</v>
      </c>
      <c r="H2151">
        <v>9</v>
      </c>
      <c r="I2151">
        <v>4</v>
      </c>
      <c r="J2151">
        <v>0</v>
      </c>
      <c r="K2151" s="6" t="str">
        <f t="shared" ref="K2151" si="1379">"vs "&amp;E2150</f>
        <v>vs Steven Adams' Moustache</v>
      </c>
      <c r="L2151" s="6" t="str">
        <f t="shared" ref="L2151" si="1380">"vs "&amp;F2150</f>
        <v>vs Johnny</v>
      </c>
      <c r="M2151">
        <v>174</v>
      </c>
      <c r="N2151" s="1">
        <v>0.46400000000000002</v>
      </c>
      <c r="O2151">
        <v>64</v>
      </c>
      <c r="P2151" s="1">
        <v>0.376</v>
      </c>
      <c r="Q2151" s="1">
        <v>0.84299999999999997</v>
      </c>
      <c r="R2151">
        <v>519</v>
      </c>
      <c r="S2151">
        <v>31</v>
      </c>
      <c r="T2151">
        <v>103</v>
      </c>
      <c r="U2151">
        <v>117</v>
      </c>
      <c r="V2151">
        <v>20</v>
      </c>
      <c r="W2151">
        <v>11</v>
      </c>
      <c r="X2151">
        <v>49</v>
      </c>
      <c r="Y2151" s="5">
        <v>2.39</v>
      </c>
    </row>
    <row r="2152" spans="1:25" x14ac:dyDescent="0.25">
      <c r="A2152">
        <v>2023</v>
      </c>
      <c r="B2152" t="s">
        <v>57</v>
      </c>
      <c r="C2152">
        <v>14</v>
      </c>
      <c r="D2152">
        <v>146</v>
      </c>
      <c r="E2152" t="s">
        <v>15</v>
      </c>
      <c r="F2152" t="s">
        <v>48</v>
      </c>
      <c r="G2152">
        <f t="shared" si="1304"/>
        <v>1</v>
      </c>
      <c r="H2152">
        <v>8</v>
      </c>
      <c r="I2152">
        <v>5</v>
      </c>
      <c r="J2152">
        <v>0</v>
      </c>
      <c r="K2152" s="6" t="str">
        <f t="shared" ref="K2152" si="1381">"vs "&amp;E2153</f>
        <v>vs Baltimore Hercules</v>
      </c>
      <c r="L2152" s="6" t="str">
        <f t="shared" ref="L2152" si="1382">"vs "&amp;F2153</f>
        <v>vs Sarantos</v>
      </c>
      <c r="M2152">
        <v>198</v>
      </c>
      <c r="N2152" s="1">
        <v>0.51300000000000001</v>
      </c>
      <c r="O2152">
        <v>60</v>
      </c>
      <c r="P2152" s="1">
        <v>0.42299999999999999</v>
      </c>
      <c r="Q2152" s="1">
        <v>0.67500000000000004</v>
      </c>
      <c r="R2152">
        <v>512</v>
      </c>
      <c r="S2152">
        <v>45</v>
      </c>
      <c r="T2152">
        <v>151</v>
      </c>
      <c r="U2152">
        <v>117</v>
      </c>
      <c r="V2152">
        <v>27</v>
      </c>
      <c r="W2152">
        <v>18</v>
      </c>
      <c r="X2152">
        <v>52</v>
      </c>
      <c r="Y2152" s="5">
        <v>2.25</v>
      </c>
    </row>
    <row r="2153" spans="1:25" x14ac:dyDescent="0.25">
      <c r="A2153">
        <v>2023</v>
      </c>
      <c r="B2153" t="s">
        <v>57</v>
      </c>
      <c r="C2153">
        <v>14</v>
      </c>
      <c r="D2153">
        <v>146</v>
      </c>
      <c r="E2153" t="s">
        <v>95</v>
      </c>
      <c r="F2153" t="s">
        <v>101</v>
      </c>
      <c r="G2153">
        <f t="shared" si="1304"/>
        <v>0</v>
      </c>
      <c r="H2153">
        <v>5</v>
      </c>
      <c r="I2153">
        <v>8</v>
      </c>
      <c r="J2153">
        <v>0</v>
      </c>
      <c r="K2153" s="6" t="str">
        <f t="shared" ref="K2153" si="1383">"vs "&amp;E2152</f>
        <v>vs Salonika Devils</v>
      </c>
      <c r="L2153" s="6" t="str">
        <f t="shared" ref="L2153" si="1384">"vs "&amp;F2152</f>
        <v>vs Fountos</v>
      </c>
      <c r="M2153">
        <v>153</v>
      </c>
      <c r="N2153" s="1">
        <v>0.48599999999999999</v>
      </c>
      <c r="O2153">
        <v>54</v>
      </c>
      <c r="P2153" s="1">
        <v>0.42499999999999999</v>
      </c>
      <c r="Q2153" s="1">
        <v>0.73</v>
      </c>
      <c r="R2153">
        <v>425</v>
      </c>
      <c r="S2153">
        <v>30</v>
      </c>
      <c r="T2153">
        <v>125</v>
      </c>
      <c r="U2153">
        <v>91</v>
      </c>
      <c r="V2153">
        <v>40</v>
      </c>
      <c r="W2153">
        <v>26</v>
      </c>
      <c r="X2153">
        <v>47</v>
      </c>
      <c r="Y2153" s="5">
        <v>1.94</v>
      </c>
    </row>
    <row r="2154" spans="1:25" x14ac:dyDescent="0.25">
      <c r="A2154">
        <v>2023</v>
      </c>
      <c r="B2154" t="s">
        <v>57</v>
      </c>
      <c r="C2154">
        <v>14</v>
      </c>
      <c r="D2154">
        <v>147</v>
      </c>
      <c r="E2154" t="s">
        <v>181</v>
      </c>
      <c r="F2154" t="s">
        <v>49</v>
      </c>
      <c r="G2154">
        <f t="shared" si="1304"/>
        <v>1</v>
      </c>
      <c r="H2154">
        <v>9</v>
      </c>
      <c r="I2154">
        <v>4</v>
      </c>
      <c r="J2154">
        <v>0</v>
      </c>
      <c r="K2154" s="6" t="str">
        <f t="shared" ref="K2154" si="1385">"vs "&amp;E2155</f>
        <v>vs Pachiana NinjaBees</v>
      </c>
      <c r="L2154" s="6" t="str">
        <f t="shared" ref="L2154" si="1386">"vs "&amp;F2155</f>
        <v>vs Spiridaus/Oladipas</v>
      </c>
      <c r="M2154">
        <v>196</v>
      </c>
      <c r="N2154" s="1">
        <v>0.47299999999999998</v>
      </c>
      <c r="O2154">
        <v>49</v>
      </c>
      <c r="P2154" s="1">
        <v>0.38300000000000001</v>
      </c>
      <c r="Q2154" s="1">
        <v>0.871</v>
      </c>
      <c r="R2154">
        <v>576</v>
      </c>
      <c r="S2154">
        <v>32</v>
      </c>
      <c r="T2154">
        <v>142</v>
      </c>
      <c r="U2154">
        <v>113</v>
      </c>
      <c r="V2154">
        <v>25</v>
      </c>
      <c r="W2154">
        <v>20</v>
      </c>
      <c r="X2154">
        <v>63</v>
      </c>
      <c r="Y2154" s="5">
        <v>1.79</v>
      </c>
    </row>
    <row r="2155" spans="1:25" x14ac:dyDescent="0.25">
      <c r="A2155">
        <v>2023</v>
      </c>
      <c r="B2155" t="s">
        <v>57</v>
      </c>
      <c r="C2155">
        <v>14</v>
      </c>
      <c r="D2155">
        <v>147</v>
      </c>
      <c r="E2155" t="s">
        <v>23</v>
      </c>
      <c r="F2155" t="s">
        <v>120</v>
      </c>
      <c r="G2155">
        <f t="shared" si="1304"/>
        <v>0</v>
      </c>
      <c r="H2155">
        <v>4</v>
      </c>
      <c r="I2155">
        <v>9</v>
      </c>
      <c r="J2155">
        <v>0</v>
      </c>
      <c r="K2155" s="6" t="str">
        <f t="shared" ref="K2155" si="1387">"vs "&amp;E2154</f>
        <v>vs Samarina Dudenbros</v>
      </c>
      <c r="L2155" s="6" t="str">
        <f t="shared" ref="L2155" si="1388">"vs "&amp;F2154</f>
        <v>vs Sakellariou</v>
      </c>
      <c r="M2155">
        <v>173</v>
      </c>
      <c r="N2155" s="1">
        <v>0.47299999999999998</v>
      </c>
      <c r="O2155">
        <v>42</v>
      </c>
      <c r="P2155" s="1">
        <v>0.34399999999999997</v>
      </c>
      <c r="Q2155" s="1">
        <v>0.69799999999999995</v>
      </c>
      <c r="R2155">
        <v>455</v>
      </c>
      <c r="S2155">
        <v>61</v>
      </c>
      <c r="T2155">
        <v>148</v>
      </c>
      <c r="U2155">
        <v>107</v>
      </c>
      <c r="V2155">
        <v>17</v>
      </c>
      <c r="W2155">
        <v>31</v>
      </c>
      <c r="X2155">
        <v>62</v>
      </c>
      <c r="Y2155" s="5">
        <v>1.73</v>
      </c>
    </row>
    <row r="2156" spans="1:25" x14ac:dyDescent="0.25">
      <c r="A2156">
        <v>2023</v>
      </c>
      <c r="B2156" t="s">
        <v>57</v>
      </c>
      <c r="C2156">
        <v>14</v>
      </c>
      <c r="D2156">
        <v>148</v>
      </c>
      <c r="E2156" t="s">
        <v>93</v>
      </c>
      <c r="F2156" t="s">
        <v>189</v>
      </c>
      <c r="G2156">
        <f t="shared" si="1304"/>
        <v>0</v>
      </c>
      <c r="H2156">
        <v>6</v>
      </c>
      <c r="I2156">
        <v>7</v>
      </c>
      <c r="J2156">
        <v>0</v>
      </c>
      <c r="K2156" s="6" t="str">
        <f t="shared" ref="K2156" si="1389">"vs "&amp;E2157</f>
        <v>vs st.Helens Eruptions</v>
      </c>
      <c r="L2156" s="6" t="str">
        <f t="shared" ref="L2156" si="1390">"vs "&amp;F2157</f>
        <v>vs Aris</v>
      </c>
      <c r="M2156">
        <v>162</v>
      </c>
      <c r="N2156" s="1">
        <v>0.49399999999999999</v>
      </c>
      <c r="O2156">
        <v>53</v>
      </c>
      <c r="P2156" s="1">
        <v>0.38100000000000001</v>
      </c>
      <c r="Q2156" s="1">
        <v>0.745</v>
      </c>
      <c r="R2156">
        <v>456</v>
      </c>
      <c r="S2156">
        <v>36</v>
      </c>
      <c r="T2156">
        <v>89</v>
      </c>
      <c r="U2156">
        <v>101</v>
      </c>
      <c r="V2156">
        <v>20</v>
      </c>
      <c r="W2156">
        <v>10</v>
      </c>
      <c r="X2156">
        <v>32</v>
      </c>
      <c r="Y2156" s="5">
        <v>3.16</v>
      </c>
    </row>
    <row r="2157" spans="1:25" x14ac:dyDescent="0.25">
      <c r="A2157">
        <v>2023</v>
      </c>
      <c r="B2157" t="s">
        <v>57</v>
      </c>
      <c r="C2157">
        <v>14</v>
      </c>
      <c r="D2157">
        <v>148</v>
      </c>
      <c r="E2157" t="s">
        <v>21</v>
      </c>
      <c r="F2157" t="s">
        <v>50</v>
      </c>
      <c r="G2157">
        <f t="shared" si="1304"/>
        <v>1</v>
      </c>
      <c r="H2157">
        <v>7</v>
      </c>
      <c r="I2157">
        <v>6</v>
      </c>
      <c r="J2157">
        <v>0</v>
      </c>
      <c r="K2157" s="6" t="str">
        <f t="shared" ref="K2157" si="1391">"vs "&amp;E2156</f>
        <v>vs Guruuu 🐐🐐🐐</v>
      </c>
      <c r="L2157" s="6" t="str">
        <f t="shared" ref="L2157" si="1392">"vs "&amp;F2156</f>
        <v>vs Guru</v>
      </c>
      <c r="M2157">
        <v>179</v>
      </c>
      <c r="N2157" s="1">
        <v>0.441</v>
      </c>
      <c r="O2157">
        <v>67</v>
      </c>
      <c r="P2157" s="1">
        <v>0.35799999999999998</v>
      </c>
      <c r="Q2157" s="1">
        <v>0.79</v>
      </c>
      <c r="R2157">
        <v>508</v>
      </c>
      <c r="S2157">
        <v>22</v>
      </c>
      <c r="T2157">
        <v>94</v>
      </c>
      <c r="U2157">
        <v>94</v>
      </c>
      <c r="V2157">
        <v>27</v>
      </c>
      <c r="W2157">
        <v>24</v>
      </c>
      <c r="X2157">
        <v>57</v>
      </c>
      <c r="Y2157" s="5">
        <v>1.65</v>
      </c>
    </row>
    <row r="2158" spans="1:25" x14ac:dyDescent="0.25">
      <c r="A2158">
        <v>2023</v>
      </c>
      <c r="B2158" t="s">
        <v>57</v>
      </c>
      <c r="C2158">
        <v>14</v>
      </c>
      <c r="D2158">
        <v>149</v>
      </c>
      <c r="E2158" t="s">
        <v>17</v>
      </c>
      <c r="F2158" t="s">
        <v>43</v>
      </c>
      <c r="G2158">
        <f t="shared" si="1304"/>
        <v>0</v>
      </c>
      <c r="H2158">
        <v>0</v>
      </c>
      <c r="I2158">
        <v>13</v>
      </c>
      <c r="J2158">
        <v>0</v>
      </c>
      <c r="K2158" s="6" t="str">
        <f t="shared" ref="K2158" si="1393">"vs "&amp;E2159</f>
        <v>vs Karafli SaiTa</v>
      </c>
      <c r="L2158" s="6" t="str">
        <f t="shared" ref="L2158" si="1394">"vs "&amp;F2159</f>
        <v>vs Tassos</v>
      </c>
      <c r="M2158">
        <v>215</v>
      </c>
      <c r="N2158" s="1">
        <v>0.46899999999999997</v>
      </c>
      <c r="O2158">
        <v>63</v>
      </c>
      <c r="P2158" s="1">
        <v>0.375</v>
      </c>
      <c r="Q2158" s="1">
        <v>0.78300000000000003</v>
      </c>
      <c r="R2158">
        <v>576</v>
      </c>
      <c r="S2158">
        <v>30</v>
      </c>
      <c r="T2158">
        <v>126</v>
      </c>
      <c r="U2158">
        <v>123</v>
      </c>
      <c r="V2158">
        <v>31</v>
      </c>
      <c r="W2158">
        <v>11</v>
      </c>
      <c r="X2158">
        <v>59</v>
      </c>
      <c r="Y2158" s="5">
        <v>2.08</v>
      </c>
    </row>
    <row r="2159" spans="1:25" x14ac:dyDescent="0.25">
      <c r="A2159">
        <v>2023</v>
      </c>
      <c r="B2159" t="s">
        <v>57</v>
      </c>
      <c r="C2159">
        <v>14</v>
      </c>
      <c r="D2159">
        <v>149</v>
      </c>
      <c r="E2159" t="s">
        <v>190</v>
      </c>
      <c r="F2159" t="s">
        <v>103</v>
      </c>
      <c r="G2159">
        <f t="shared" si="1304"/>
        <v>1</v>
      </c>
      <c r="H2159">
        <v>13</v>
      </c>
      <c r="I2159">
        <v>0</v>
      </c>
      <c r="J2159">
        <v>0</v>
      </c>
      <c r="K2159" s="6" t="str">
        <f t="shared" ref="K2159" si="1395">"vs "&amp;E2158</f>
        <v>vs Donkey Rolls</v>
      </c>
      <c r="L2159" s="6" t="str">
        <f t="shared" ref="L2159" si="1396">"vs "&amp;F2158</f>
        <v>vs Markos</v>
      </c>
      <c r="M2159">
        <v>246</v>
      </c>
      <c r="N2159" s="1">
        <v>0.51200000000000001</v>
      </c>
      <c r="O2159">
        <v>75</v>
      </c>
      <c r="P2159" s="1">
        <v>0.44900000000000001</v>
      </c>
      <c r="Q2159" s="1">
        <v>0.84499999999999997</v>
      </c>
      <c r="R2159">
        <v>676</v>
      </c>
      <c r="S2159">
        <v>41</v>
      </c>
      <c r="T2159">
        <v>164</v>
      </c>
      <c r="U2159">
        <v>129</v>
      </c>
      <c r="V2159">
        <v>32</v>
      </c>
      <c r="W2159">
        <v>30</v>
      </c>
      <c r="X2159">
        <v>58</v>
      </c>
      <c r="Y2159" s="5">
        <v>2.2200000000000002</v>
      </c>
    </row>
    <row r="2160" spans="1:25" x14ac:dyDescent="0.25">
      <c r="A2160">
        <v>2023</v>
      </c>
      <c r="B2160" t="s">
        <v>57</v>
      </c>
      <c r="C2160">
        <v>14</v>
      </c>
      <c r="D2160">
        <v>150</v>
      </c>
      <c r="E2160" t="s">
        <v>33</v>
      </c>
      <c r="F2160" t="s">
        <v>42</v>
      </c>
      <c r="G2160">
        <f t="shared" si="1304"/>
        <v>1</v>
      </c>
      <c r="H2160">
        <v>10</v>
      </c>
      <c r="I2160">
        <v>2</v>
      </c>
      <c r="J2160">
        <v>1</v>
      </c>
      <c r="K2160" s="6" t="str">
        <f t="shared" ref="K2160" si="1397">"vs "&amp;E2161</f>
        <v>vs The Bad Boys</v>
      </c>
      <c r="L2160" s="6" t="str">
        <f t="shared" ref="L2160" si="1398">"vs "&amp;F2161</f>
        <v>vs Arvanitis</v>
      </c>
      <c r="M2160">
        <v>168</v>
      </c>
      <c r="N2160" s="1">
        <v>0.49399999999999999</v>
      </c>
      <c r="O2160">
        <v>54</v>
      </c>
      <c r="P2160" s="1">
        <v>0.40899999999999997</v>
      </c>
      <c r="Q2160" s="1">
        <v>0.77900000000000003</v>
      </c>
      <c r="R2160">
        <v>464</v>
      </c>
      <c r="S2160">
        <v>46</v>
      </c>
      <c r="T2160">
        <v>124</v>
      </c>
      <c r="U2160">
        <v>107</v>
      </c>
      <c r="V2160">
        <v>37</v>
      </c>
      <c r="W2160">
        <v>21</v>
      </c>
      <c r="X2160">
        <v>57</v>
      </c>
      <c r="Y2160" s="5">
        <v>1.88</v>
      </c>
    </row>
    <row r="2161" spans="1:25" x14ac:dyDescent="0.25">
      <c r="A2161">
        <v>2023</v>
      </c>
      <c r="B2161" t="s">
        <v>57</v>
      </c>
      <c r="C2161">
        <v>14</v>
      </c>
      <c r="D2161">
        <v>150</v>
      </c>
      <c r="E2161" t="s">
        <v>154</v>
      </c>
      <c r="F2161" t="s">
        <v>155</v>
      </c>
      <c r="G2161">
        <f t="shared" si="1304"/>
        <v>0</v>
      </c>
      <c r="H2161">
        <v>2</v>
      </c>
      <c r="I2161">
        <v>10</v>
      </c>
      <c r="J2161">
        <v>1</v>
      </c>
      <c r="K2161" s="6" t="str">
        <f t="shared" ref="K2161" si="1399">"vs "&amp;E2160</f>
        <v>vs The Guns</v>
      </c>
      <c r="L2161" s="6" t="str">
        <f t="shared" ref="L2161" si="1400">"vs "&amp;F2160</f>
        <v>vs Vasilis</v>
      </c>
      <c r="M2161">
        <v>117</v>
      </c>
      <c r="N2161" s="1">
        <v>0.47</v>
      </c>
      <c r="O2161">
        <v>26</v>
      </c>
      <c r="P2161" s="1">
        <v>0.35599999999999998</v>
      </c>
      <c r="Q2161" s="1">
        <v>0.58699999999999997</v>
      </c>
      <c r="R2161">
        <v>287</v>
      </c>
      <c r="S2161">
        <v>54</v>
      </c>
      <c r="T2161">
        <v>102</v>
      </c>
      <c r="U2161">
        <v>47</v>
      </c>
      <c r="V2161">
        <v>17</v>
      </c>
      <c r="W2161">
        <v>21</v>
      </c>
      <c r="X2161">
        <v>27</v>
      </c>
      <c r="Y2161" s="5">
        <v>1.74</v>
      </c>
    </row>
    <row r="2162" spans="1:25" x14ac:dyDescent="0.25">
      <c r="A2162">
        <v>2023</v>
      </c>
      <c r="B2162" t="s">
        <v>57</v>
      </c>
      <c r="C2162">
        <v>15</v>
      </c>
      <c r="D2162">
        <v>151</v>
      </c>
      <c r="E2162" t="s">
        <v>158</v>
      </c>
      <c r="F2162" t="s">
        <v>177</v>
      </c>
      <c r="G2162">
        <f t="shared" si="1304"/>
        <v>1</v>
      </c>
      <c r="H2162">
        <v>10</v>
      </c>
      <c r="I2162">
        <v>3</v>
      </c>
      <c r="J2162">
        <v>0</v>
      </c>
      <c r="K2162" s="6" t="str">
        <f t="shared" ref="K2162" si="1401">"vs "&amp;E2163</f>
        <v>vs purple fuzzy apache pirates</v>
      </c>
      <c r="L2162" s="6" t="str">
        <f t="shared" ref="L2162" si="1402">"vs "&amp;F2163</f>
        <v>vs pi/Sotiris</v>
      </c>
      <c r="M2162">
        <v>206</v>
      </c>
      <c r="N2162" s="1">
        <v>0.58699999999999997</v>
      </c>
      <c r="O2162">
        <v>35</v>
      </c>
      <c r="P2162" s="1">
        <v>0.40699999999999997</v>
      </c>
      <c r="Q2162" s="1">
        <v>0.70699999999999996</v>
      </c>
      <c r="R2162">
        <v>570</v>
      </c>
      <c r="S2162">
        <v>43</v>
      </c>
      <c r="T2162">
        <v>168</v>
      </c>
      <c r="U2162">
        <v>113</v>
      </c>
      <c r="V2162">
        <v>35</v>
      </c>
      <c r="W2162">
        <v>12</v>
      </c>
      <c r="X2162">
        <v>62</v>
      </c>
      <c r="Y2162" s="5">
        <v>1.82</v>
      </c>
    </row>
    <row r="2163" spans="1:25" x14ac:dyDescent="0.25">
      <c r="A2163">
        <v>2023</v>
      </c>
      <c r="B2163" t="s">
        <v>57</v>
      </c>
      <c r="C2163">
        <v>15</v>
      </c>
      <c r="D2163">
        <v>151</v>
      </c>
      <c r="E2163" t="s">
        <v>159</v>
      </c>
      <c r="F2163" t="s">
        <v>116</v>
      </c>
      <c r="G2163">
        <f t="shared" si="1304"/>
        <v>0</v>
      </c>
      <c r="H2163">
        <v>3</v>
      </c>
      <c r="I2163">
        <v>10</v>
      </c>
      <c r="J2163">
        <v>0</v>
      </c>
      <c r="K2163" s="6" t="str">
        <f t="shared" ref="K2163" si="1403">"vs "&amp;E2162</f>
        <v>vs LRBP PR3DATORS</v>
      </c>
      <c r="L2163" s="6" t="str">
        <f t="shared" ref="L2163" si="1404">"vs "&amp;F2162</f>
        <v>vs Lafa</v>
      </c>
      <c r="M2163">
        <v>175</v>
      </c>
      <c r="N2163" s="1">
        <v>0.45800000000000002</v>
      </c>
      <c r="O2163">
        <v>43</v>
      </c>
      <c r="P2163" s="1">
        <v>0.33900000000000002</v>
      </c>
      <c r="Q2163" s="1">
        <v>0.77300000000000002</v>
      </c>
      <c r="R2163">
        <v>485</v>
      </c>
      <c r="S2163">
        <v>28</v>
      </c>
      <c r="T2163">
        <v>140</v>
      </c>
      <c r="U2163">
        <v>90</v>
      </c>
      <c r="V2163">
        <v>23</v>
      </c>
      <c r="W2163">
        <v>13</v>
      </c>
      <c r="X2163">
        <v>67</v>
      </c>
      <c r="Y2163" s="5">
        <v>1.34</v>
      </c>
    </row>
    <row r="2164" spans="1:25" x14ac:dyDescent="0.25">
      <c r="A2164">
        <v>2023</v>
      </c>
      <c r="B2164" t="s">
        <v>57</v>
      </c>
      <c r="C2164">
        <v>15</v>
      </c>
      <c r="D2164">
        <v>152</v>
      </c>
      <c r="E2164" t="s">
        <v>154</v>
      </c>
      <c r="F2164" t="s">
        <v>155</v>
      </c>
      <c r="G2164">
        <f t="shared" si="1304"/>
        <v>0</v>
      </c>
      <c r="H2164">
        <v>5</v>
      </c>
      <c r="I2164">
        <v>8</v>
      </c>
      <c r="J2164">
        <v>0</v>
      </c>
      <c r="K2164" s="6" t="str">
        <f t="shared" ref="K2164" si="1405">"vs "&amp;E2165</f>
        <v>vs Guruuu 🐐🐐🐐</v>
      </c>
      <c r="L2164" s="6" t="str">
        <f t="shared" ref="L2164" si="1406">"vs "&amp;F2165</f>
        <v>vs Guru</v>
      </c>
      <c r="M2164">
        <v>131</v>
      </c>
      <c r="N2164" s="1">
        <v>0.5</v>
      </c>
      <c r="O2164">
        <v>24</v>
      </c>
      <c r="P2164" s="1">
        <v>0.27300000000000002</v>
      </c>
      <c r="Q2164" s="1">
        <v>0.73799999999999999</v>
      </c>
      <c r="R2164">
        <v>334</v>
      </c>
      <c r="S2164">
        <v>44</v>
      </c>
      <c r="T2164">
        <v>114</v>
      </c>
      <c r="U2164">
        <v>61</v>
      </c>
      <c r="V2164">
        <v>27</v>
      </c>
      <c r="W2164">
        <v>20</v>
      </c>
      <c r="X2164">
        <v>34</v>
      </c>
      <c r="Y2164" s="5">
        <v>1.79</v>
      </c>
    </row>
    <row r="2165" spans="1:25" x14ac:dyDescent="0.25">
      <c r="A2165">
        <v>2023</v>
      </c>
      <c r="B2165" t="s">
        <v>57</v>
      </c>
      <c r="C2165">
        <v>15</v>
      </c>
      <c r="D2165">
        <v>152</v>
      </c>
      <c r="E2165" t="s">
        <v>93</v>
      </c>
      <c r="F2165" t="s">
        <v>189</v>
      </c>
      <c r="G2165">
        <f t="shared" si="1304"/>
        <v>1</v>
      </c>
      <c r="H2165">
        <v>8</v>
      </c>
      <c r="I2165">
        <v>5</v>
      </c>
      <c r="J2165">
        <v>0</v>
      </c>
      <c r="K2165" s="6" t="str">
        <f t="shared" ref="K2165" si="1407">"vs "&amp;E2164</f>
        <v>vs The Bad Boys</v>
      </c>
      <c r="L2165" s="6" t="str">
        <f t="shared" ref="L2165" si="1408">"vs "&amp;F2164</f>
        <v>vs Arvanitis</v>
      </c>
      <c r="M2165">
        <v>149</v>
      </c>
      <c r="N2165" s="1">
        <v>0.44900000000000001</v>
      </c>
      <c r="O2165">
        <v>60</v>
      </c>
      <c r="P2165" s="1">
        <v>0.35699999999999998</v>
      </c>
      <c r="Q2165" s="1">
        <v>0.78500000000000003</v>
      </c>
      <c r="R2165">
        <v>420</v>
      </c>
      <c r="S2165">
        <v>30</v>
      </c>
      <c r="T2165">
        <v>102</v>
      </c>
      <c r="U2165">
        <v>127</v>
      </c>
      <c r="V2165">
        <v>29</v>
      </c>
      <c r="W2165">
        <v>5</v>
      </c>
      <c r="X2165">
        <v>57</v>
      </c>
      <c r="Y2165" s="5">
        <v>2.23</v>
      </c>
    </row>
    <row r="2166" spans="1:25" x14ac:dyDescent="0.25">
      <c r="A2166">
        <v>2023</v>
      </c>
      <c r="B2166" t="s">
        <v>57</v>
      </c>
      <c r="C2166">
        <v>15</v>
      </c>
      <c r="D2166">
        <v>153</v>
      </c>
      <c r="E2166" t="s">
        <v>94</v>
      </c>
      <c r="F2166" t="s">
        <v>40</v>
      </c>
      <c r="G2166">
        <f t="shared" si="1304"/>
        <v>1</v>
      </c>
      <c r="H2166">
        <v>9</v>
      </c>
      <c r="I2166">
        <v>4</v>
      </c>
      <c r="J2166">
        <v>0</v>
      </c>
      <c r="K2166" s="6" t="str">
        <f t="shared" ref="K2166" si="1409">"vs "&amp;E2167</f>
        <v>vs Salonika Devils</v>
      </c>
      <c r="L2166" s="6" t="str">
        <f t="shared" ref="L2166" si="1410">"vs "&amp;F2167</f>
        <v>vs Fountos</v>
      </c>
      <c r="M2166">
        <v>176</v>
      </c>
      <c r="N2166" s="1">
        <v>0.51600000000000001</v>
      </c>
      <c r="O2166">
        <v>61</v>
      </c>
      <c r="P2166" s="1">
        <v>0.442</v>
      </c>
      <c r="Q2166" s="1">
        <v>0.76600000000000001</v>
      </c>
      <c r="R2166">
        <v>495</v>
      </c>
      <c r="S2166">
        <v>34</v>
      </c>
      <c r="T2166">
        <v>107</v>
      </c>
      <c r="U2166">
        <v>111</v>
      </c>
      <c r="V2166">
        <v>30</v>
      </c>
      <c r="W2166">
        <v>9</v>
      </c>
      <c r="X2166">
        <v>43</v>
      </c>
      <c r="Y2166" s="5">
        <v>2.58</v>
      </c>
    </row>
    <row r="2167" spans="1:25" x14ac:dyDescent="0.25">
      <c r="A2167">
        <v>2023</v>
      </c>
      <c r="B2167" t="s">
        <v>57</v>
      </c>
      <c r="C2167">
        <v>15</v>
      </c>
      <c r="D2167">
        <v>153</v>
      </c>
      <c r="E2167" t="s">
        <v>15</v>
      </c>
      <c r="F2167" t="s">
        <v>48</v>
      </c>
      <c r="G2167">
        <f t="shared" si="1304"/>
        <v>0</v>
      </c>
      <c r="H2167">
        <v>4</v>
      </c>
      <c r="I2167">
        <v>9</v>
      </c>
      <c r="J2167">
        <v>0</v>
      </c>
      <c r="K2167" s="6" t="str">
        <f t="shared" ref="K2167" si="1411">"vs "&amp;E2166</f>
        <v>vs Fighting Thaddeus</v>
      </c>
      <c r="L2167" s="6" t="str">
        <f t="shared" ref="L2167" si="1412">"vs "&amp;F2166</f>
        <v>vs Stavros</v>
      </c>
      <c r="M2167">
        <v>183</v>
      </c>
      <c r="N2167" s="1">
        <v>0.47399999999999998</v>
      </c>
      <c r="O2167">
        <v>54</v>
      </c>
      <c r="P2167" s="1">
        <v>0.33800000000000002</v>
      </c>
      <c r="Q2167" s="1">
        <v>0.8</v>
      </c>
      <c r="R2167">
        <v>484</v>
      </c>
      <c r="S2167">
        <v>26</v>
      </c>
      <c r="T2167">
        <v>135</v>
      </c>
      <c r="U2167">
        <v>85</v>
      </c>
      <c r="V2167">
        <v>28</v>
      </c>
      <c r="W2167">
        <v>19</v>
      </c>
      <c r="X2167">
        <v>67</v>
      </c>
      <c r="Y2167" s="5">
        <v>1.27</v>
      </c>
    </row>
    <row r="2168" spans="1:25" x14ac:dyDescent="0.25">
      <c r="A2168">
        <v>2023</v>
      </c>
      <c r="B2168" t="s">
        <v>57</v>
      </c>
      <c r="C2168">
        <v>15</v>
      </c>
      <c r="D2168">
        <v>154</v>
      </c>
      <c r="E2168" t="s">
        <v>23</v>
      </c>
      <c r="F2168" t="s">
        <v>120</v>
      </c>
      <c r="G2168">
        <f t="shared" si="1304"/>
        <v>0</v>
      </c>
      <c r="H2168">
        <v>6</v>
      </c>
      <c r="I2168">
        <v>6</v>
      </c>
      <c r="J2168">
        <v>1</v>
      </c>
      <c r="K2168" s="6" t="str">
        <f t="shared" ref="K2168" si="1413">"vs "&amp;E2169</f>
        <v>vs The Bridgeburners</v>
      </c>
      <c r="L2168" s="6" t="str">
        <f t="shared" ref="L2168" si="1414">"vs "&amp;F2169</f>
        <v>vs Fanis</v>
      </c>
      <c r="M2168">
        <v>152</v>
      </c>
      <c r="N2168" s="1">
        <v>0.52200000000000002</v>
      </c>
      <c r="O2168">
        <v>27</v>
      </c>
      <c r="P2168" s="1">
        <v>0.38600000000000001</v>
      </c>
      <c r="Q2168" s="1">
        <v>0.71199999999999997</v>
      </c>
      <c r="R2168">
        <v>378</v>
      </c>
      <c r="S2168">
        <v>51</v>
      </c>
      <c r="T2168">
        <v>167</v>
      </c>
      <c r="U2168">
        <v>62</v>
      </c>
      <c r="V2168">
        <v>23</v>
      </c>
      <c r="W2168">
        <v>16</v>
      </c>
      <c r="X2168">
        <v>44</v>
      </c>
      <c r="Y2168" s="5">
        <v>1.41</v>
      </c>
    </row>
    <row r="2169" spans="1:25" x14ac:dyDescent="0.25">
      <c r="A2169">
        <v>2023</v>
      </c>
      <c r="B2169" t="s">
        <v>57</v>
      </c>
      <c r="C2169">
        <v>15</v>
      </c>
      <c r="D2169">
        <v>154</v>
      </c>
      <c r="E2169" t="s">
        <v>16</v>
      </c>
      <c r="F2169" t="s">
        <v>51</v>
      </c>
      <c r="G2169">
        <f t="shared" si="1304"/>
        <v>0</v>
      </c>
      <c r="H2169">
        <v>6</v>
      </c>
      <c r="I2169">
        <v>6</v>
      </c>
      <c r="J2169">
        <v>1</v>
      </c>
      <c r="K2169" s="6" t="str">
        <f t="shared" ref="K2169" si="1415">"vs "&amp;E2168</f>
        <v>vs Pachiana NinjaBees</v>
      </c>
      <c r="L2169" s="6" t="str">
        <f t="shared" ref="L2169" si="1416">"vs "&amp;F2168</f>
        <v>vs Spiridaus/Oladipas</v>
      </c>
      <c r="M2169">
        <v>140</v>
      </c>
      <c r="N2169" s="1">
        <v>0.42399999999999999</v>
      </c>
      <c r="O2169">
        <v>44</v>
      </c>
      <c r="P2169" s="1">
        <v>0.32100000000000001</v>
      </c>
      <c r="Q2169" s="1">
        <v>0.81200000000000006</v>
      </c>
      <c r="R2169">
        <v>406</v>
      </c>
      <c r="S2169">
        <v>32</v>
      </c>
      <c r="T2169">
        <v>119</v>
      </c>
      <c r="U2169">
        <v>135</v>
      </c>
      <c r="V2169">
        <v>24</v>
      </c>
      <c r="W2169">
        <v>16</v>
      </c>
      <c r="X2169">
        <v>63</v>
      </c>
      <c r="Y2169" s="5">
        <v>2.14</v>
      </c>
    </row>
    <row r="2170" spans="1:25" x14ac:dyDescent="0.25">
      <c r="A2170">
        <v>2023</v>
      </c>
      <c r="B2170" t="s">
        <v>57</v>
      </c>
      <c r="C2170">
        <v>15</v>
      </c>
      <c r="D2170">
        <v>155</v>
      </c>
      <c r="E2170" t="s">
        <v>95</v>
      </c>
      <c r="F2170" t="s">
        <v>101</v>
      </c>
      <c r="G2170">
        <f t="shared" si="1304"/>
        <v>1</v>
      </c>
      <c r="H2170">
        <v>9</v>
      </c>
      <c r="I2170">
        <v>4</v>
      </c>
      <c r="J2170">
        <v>0</v>
      </c>
      <c r="K2170" s="6" t="str">
        <f t="shared" ref="K2170" si="1417">"vs "&amp;E2171</f>
        <v>vs Kourayo Vallecano</v>
      </c>
      <c r="L2170" s="6" t="str">
        <f t="shared" ref="L2170" si="1418">"vs "&amp;F2171</f>
        <v>vs Ziogas/Christof</v>
      </c>
      <c r="M2170">
        <v>130</v>
      </c>
      <c r="N2170" s="1">
        <v>0.54400000000000004</v>
      </c>
      <c r="O2170">
        <v>43</v>
      </c>
      <c r="P2170" s="1">
        <v>0.44800000000000001</v>
      </c>
      <c r="Q2170" s="1">
        <v>0.75</v>
      </c>
      <c r="R2170">
        <v>354</v>
      </c>
      <c r="S2170">
        <v>29</v>
      </c>
      <c r="T2170">
        <v>98</v>
      </c>
      <c r="U2170">
        <v>73</v>
      </c>
      <c r="V2170">
        <v>25</v>
      </c>
      <c r="W2170">
        <v>21</v>
      </c>
      <c r="X2170">
        <v>31</v>
      </c>
      <c r="Y2170" s="5">
        <v>2.35</v>
      </c>
    </row>
    <row r="2171" spans="1:25" x14ac:dyDescent="0.25">
      <c r="A2171">
        <v>2023</v>
      </c>
      <c r="B2171" t="s">
        <v>57</v>
      </c>
      <c r="C2171">
        <v>15</v>
      </c>
      <c r="D2171">
        <v>155</v>
      </c>
      <c r="E2171" t="s">
        <v>26</v>
      </c>
      <c r="F2171" t="s">
        <v>118</v>
      </c>
      <c r="G2171">
        <f t="shared" si="1304"/>
        <v>0</v>
      </c>
      <c r="H2171">
        <v>4</v>
      </c>
      <c r="I2171">
        <v>9</v>
      </c>
      <c r="J2171">
        <v>0</v>
      </c>
      <c r="K2171" s="6" t="str">
        <f t="shared" ref="K2171" si="1419">"vs "&amp;E2170</f>
        <v>vs Baltimore Hercules</v>
      </c>
      <c r="L2171" s="6" t="str">
        <f t="shared" ref="L2171" si="1420">"vs "&amp;F2170</f>
        <v>vs Sarantos</v>
      </c>
      <c r="M2171">
        <v>132</v>
      </c>
      <c r="N2171" s="1">
        <v>0.48</v>
      </c>
      <c r="O2171">
        <v>61</v>
      </c>
      <c r="P2171" s="1">
        <v>0.42699999999999999</v>
      </c>
      <c r="Q2171" s="1">
        <v>0.80700000000000005</v>
      </c>
      <c r="R2171">
        <v>371</v>
      </c>
      <c r="S2171">
        <v>22</v>
      </c>
      <c r="T2171">
        <v>87</v>
      </c>
      <c r="U2171">
        <v>72</v>
      </c>
      <c r="V2171">
        <v>22</v>
      </c>
      <c r="W2171">
        <v>7</v>
      </c>
      <c r="X2171">
        <v>39</v>
      </c>
      <c r="Y2171" s="5">
        <v>1.85</v>
      </c>
    </row>
    <row r="2172" spans="1:25" x14ac:dyDescent="0.25">
      <c r="A2172">
        <v>2023</v>
      </c>
      <c r="B2172" t="s">
        <v>57</v>
      </c>
      <c r="C2172">
        <v>15</v>
      </c>
      <c r="D2172">
        <v>156</v>
      </c>
      <c r="E2172" t="s">
        <v>21</v>
      </c>
      <c r="F2172" t="s">
        <v>50</v>
      </c>
      <c r="G2172">
        <f t="shared" si="1304"/>
        <v>0</v>
      </c>
      <c r="H2172">
        <v>6</v>
      </c>
      <c r="I2172">
        <v>7</v>
      </c>
      <c r="J2172">
        <v>0</v>
      </c>
      <c r="K2172" s="6" t="str">
        <f t="shared" ref="K2172" si="1421">"vs "&amp;E2173</f>
        <v>vs Steven Adams' Moustache</v>
      </c>
      <c r="L2172" s="6" t="str">
        <f t="shared" ref="L2172" si="1422">"vs "&amp;F2173</f>
        <v>vs Johnny</v>
      </c>
      <c r="M2172">
        <v>213</v>
      </c>
      <c r="N2172" s="1">
        <v>0.499</v>
      </c>
      <c r="O2172">
        <v>57</v>
      </c>
      <c r="P2172" s="1">
        <v>0.39600000000000002</v>
      </c>
      <c r="Q2172" s="1">
        <v>0.80400000000000005</v>
      </c>
      <c r="R2172">
        <v>569</v>
      </c>
      <c r="S2172">
        <v>25</v>
      </c>
      <c r="T2172">
        <v>84</v>
      </c>
      <c r="U2172">
        <v>120</v>
      </c>
      <c r="V2172">
        <v>25</v>
      </c>
      <c r="W2172">
        <v>13</v>
      </c>
      <c r="X2172">
        <v>59</v>
      </c>
      <c r="Y2172" s="5">
        <v>2.0299999999999998</v>
      </c>
    </row>
    <row r="2173" spans="1:25" x14ac:dyDescent="0.25">
      <c r="A2173">
        <v>2023</v>
      </c>
      <c r="B2173" t="s">
        <v>57</v>
      </c>
      <c r="C2173">
        <v>15</v>
      </c>
      <c r="D2173">
        <v>156</v>
      </c>
      <c r="E2173" t="s">
        <v>28</v>
      </c>
      <c r="F2173" t="s">
        <v>46</v>
      </c>
      <c r="G2173">
        <f t="shared" si="1304"/>
        <v>1</v>
      </c>
      <c r="H2173">
        <v>7</v>
      </c>
      <c r="I2173">
        <v>6</v>
      </c>
      <c r="J2173">
        <v>0</v>
      </c>
      <c r="K2173" s="6" t="str">
        <f t="shared" ref="K2173" si="1423">"vs "&amp;E2172</f>
        <v>vs st.Helens Eruptions</v>
      </c>
      <c r="L2173" s="6" t="str">
        <f t="shared" ref="L2173" si="1424">"vs "&amp;F2172</f>
        <v>vs Aris</v>
      </c>
      <c r="M2173">
        <v>201</v>
      </c>
      <c r="N2173" s="1">
        <v>0.505</v>
      </c>
      <c r="O2173">
        <v>55</v>
      </c>
      <c r="P2173" s="1">
        <v>0.39</v>
      </c>
      <c r="Q2173" s="1">
        <v>0.74299999999999999</v>
      </c>
      <c r="R2173">
        <v>541</v>
      </c>
      <c r="S2173">
        <v>38</v>
      </c>
      <c r="T2173">
        <v>143</v>
      </c>
      <c r="U2173">
        <v>156</v>
      </c>
      <c r="V2173">
        <v>20</v>
      </c>
      <c r="W2173">
        <v>28</v>
      </c>
      <c r="X2173">
        <v>53</v>
      </c>
      <c r="Y2173" s="5">
        <v>2.94</v>
      </c>
    </row>
    <row r="2174" spans="1:25" x14ac:dyDescent="0.25">
      <c r="A2174">
        <v>2023</v>
      </c>
      <c r="B2174" t="s">
        <v>57</v>
      </c>
      <c r="C2174">
        <v>15</v>
      </c>
      <c r="D2174">
        <v>157</v>
      </c>
      <c r="E2174" t="s">
        <v>98</v>
      </c>
      <c r="F2174" t="s">
        <v>41</v>
      </c>
      <c r="G2174">
        <f t="shared" si="1304"/>
        <v>1</v>
      </c>
      <c r="H2174">
        <v>10</v>
      </c>
      <c r="I2174">
        <v>3</v>
      </c>
      <c r="J2174">
        <v>0</v>
      </c>
      <c r="K2174" s="6" t="str">
        <f t="shared" ref="K2174" si="1425">"vs "&amp;E2175</f>
        <v>vs The Rookies</v>
      </c>
      <c r="L2174" s="6" t="str">
        <f t="shared" ref="L2174" si="1426">"vs "&amp;F2175</f>
        <v>vs Kousidis</v>
      </c>
      <c r="M2174">
        <v>207</v>
      </c>
      <c r="N2174" s="1">
        <v>0.499</v>
      </c>
      <c r="O2174">
        <v>49</v>
      </c>
      <c r="P2174" s="1">
        <v>0.34300000000000003</v>
      </c>
      <c r="Q2174" s="1">
        <v>0.81599999999999995</v>
      </c>
      <c r="R2174">
        <v>525</v>
      </c>
      <c r="S2174">
        <v>51</v>
      </c>
      <c r="T2174">
        <v>147</v>
      </c>
      <c r="U2174">
        <v>153</v>
      </c>
      <c r="V2174">
        <v>40</v>
      </c>
      <c r="W2174">
        <v>32</v>
      </c>
      <c r="X2174">
        <v>65</v>
      </c>
      <c r="Y2174" s="5">
        <v>2.35</v>
      </c>
    </row>
    <row r="2175" spans="1:25" x14ac:dyDescent="0.25">
      <c r="A2175">
        <v>2023</v>
      </c>
      <c r="B2175" t="s">
        <v>57</v>
      </c>
      <c r="C2175">
        <v>15</v>
      </c>
      <c r="D2175">
        <v>157</v>
      </c>
      <c r="E2175" t="s">
        <v>25</v>
      </c>
      <c r="F2175" t="s">
        <v>53</v>
      </c>
      <c r="G2175">
        <f t="shared" si="1304"/>
        <v>0</v>
      </c>
      <c r="H2175">
        <v>3</v>
      </c>
      <c r="I2175">
        <v>10</v>
      </c>
      <c r="J2175">
        <v>0</v>
      </c>
      <c r="K2175" s="6" t="str">
        <f t="shared" ref="K2175" si="1427">"vs "&amp;E2174</f>
        <v>vs Xanthi Ducks 🦆</v>
      </c>
      <c r="L2175" s="6" t="str">
        <f t="shared" ref="L2175" si="1428">"vs "&amp;F2174</f>
        <v>vs Kotakis</v>
      </c>
      <c r="M2175">
        <v>179</v>
      </c>
      <c r="N2175" s="1">
        <v>0.48</v>
      </c>
      <c r="O2175">
        <v>52</v>
      </c>
      <c r="P2175" s="1">
        <v>0.41899999999999998</v>
      </c>
      <c r="Q2175" s="1">
        <v>0.80800000000000005</v>
      </c>
      <c r="R2175">
        <v>511</v>
      </c>
      <c r="S2175">
        <v>36</v>
      </c>
      <c r="T2175">
        <v>105</v>
      </c>
      <c r="U2175">
        <v>75</v>
      </c>
      <c r="V2175">
        <v>18</v>
      </c>
      <c r="W2175">
        <v>14</v>
      </c>
      <c r="X2175">
        <v>40</v>
      </c>
      <c r="Y2175" s="5">
        <v>1.88</v>
      </c>
    </row>
    <row r="2176" spans="1:25" x14ac:dyDescent="0.25">
      <c r="A2176">
        <v>2023</v>
      </c>
      <c r="B2176" t="s">
        <v>57</v>
      </c>
      <c r="C2176">
        <v>15</v>
      </c>
      <c r="D2176">
        <v>158</v>
      </c>
      <c r="E2176" t="s">
        <v>17</v>
      </c>
      <c r="F2176" t="s">
        <v>43</v>
      </c>
      <c r="G2176">
        <f t="shared" si="1304"/>
        <v>0</v>
      </c>
      <c r="H2176">
        <v>3</v>
      </c>
      <c r="I2176">
        <v>10</v>
      </c>
      <c r="J2176">
        <v>0</v>
      </c>
      <c r="K2176" s="6" t="str">
        <f t="shared" ref="K2176" si="1429">"vs "&amp;E2177</f>
        <v>vs Samarina Dudenbros</v>
      </c>
      <c r="L2176" s="6" t="str">
        <f t="shared" ref="L2176" si="1430">"vs "&amp;F2177</f>
        <v>vs Sakellariou</v>
      </c>
      <c r="M2176">
        <v>169</v>
      </c>
      <c r="N2176" s="1">
        <v>0.438</v>
      </c>
      <c r="O2176">
        <v>49</v>
      </c>
      <c r="P2176" s="1">
        <v>0.34499999999999997</v>
      </c>
      <c r="Q2176" s="1">
        <v>0.76800000000000002</v>
      </c>
      <c r="R2176">
        <v>450</v>
      </c>
      <c r="S2176">
        <v>21</v>
      </c>
      <c r="T2176">
        <v>103</v>
      </c>
      <c r="U2176">
        <v>116</v>
      </c>
      <c r="V2176">
        <v>26</v>
      </c>
      <c r="W2176">
        <v>11</v>
      </c>
      <c r="X2176">
        <v>36</v>
      </c>
      <c r="Y2176" s="5">
        <v>3.22</v>
      </c>
    </row>
    <row r="2177" spans="1:25" x14ac:dyDescent="0.25">
      <c r="A2177">
        <v>2023</v>
      </c>
      <c r="B2177" t="s">
        <v>57</v>
      </c>
      <c r="C2177">
        <v>15</v>
      </c>
      <c r="D2177">
        <v>158</v>
      </c>
      <c r="E2177" t="s">
        <v>181</v>
      </c>
      <c r="F2177" t="s">
        <v>49</v>
      </c>
      <c r="G2177">
        <f t="shared" si="1304"/>
        <v>1</v>
      </c>
      <c r="H2177">
        <v>10</v>
      </c>
      <c r="I2177">
        <v>3</v>
      </c>
      <c r="J2177">
        <v>0</v>
      </c>
      <c r="K2177" s="6" t="str">
        <f t="shared" ref="K2177" si="1431">"vs "&amp;E2176</f>
        <v>vs Donkey Rolls</v>
      </c>
      <c r="L2177" s="6" t="str">
        <f t="shared" ref="L2177" si="1432">"vs "&amp;F2176</f>
        <v>vs Markos</v>
      </c>
      <c r="M2177">
        <v>209</v>
      </c>
      <c r="N2177" s="1">
        <v>0.495</v>
      </c>
      <c r="O2177">
        <v>68</v>
      </c>
      <c r="P2177" s="1">
        <v>0.436</v>
      </c>
      <c r="Q2177" s="1">
        <v>0.82699999999999996</v>
      </c>
      <c r="R2177">
        <v>577</v>
      </c>
      <c r="S2177">
        <v>33</v>
      </c>
      <c r="T2177">
        <v>171</v>
      </c>
      <c r="U2177">
        <v>113</v>
      </c>
      <c r="V2177">
        <v>32</v>
      </c>
      <c r="W2177">
        <v>14</v>
      </c>
      <c r="X2177">
        <v>65</v>
      </c>
      <c r="Y2177" s="5">
        <v>1.74</v>
      </c>
    </row>
    <row r="2178" spans="1:25" x14ac:dyDescent="0.25">
      <c r="A2178">
        <v>2023</v>
      </c>
      <c r="B2178" t="s">
        <v>57</v>
      </c>
      <c r="C2178">
        <v>15</v>
      </c>
      <c r="D2178">
        <v>159</v>
      </c>
      <c r="E2178" t="s">
        <v>190</v>
      </c>
      <c r="F2178" t="s">
        <v>103</v>
      </c>
      <c r="G2178">
        <f t="shared" ref="G2178:G2241" si="1433">IF(H2178+0.5*J2178&gt;6.5,1,0)</f>
        <v>1</v>
      </c>
      <c r="H2178">
        <v>11</v>
      </c>
      <c r="I2178">
        <v>2</v>
      </c>
      <c r="J2178">
        <v>0</v>
      </c>
      <c r="K2178" s="6" t="str">
        <f t="shared" ref="K2178" si="1434">"vs "&amp;E2179</f>
        <v>vs The Guns</v>
      </c>
      <c r="L2178" s="6" t="str">
        <f t="shared" ref="L2178" si="1435">"vs "&amp;F2179</f>
        <v>vs Vasilis</v>
      </c>
      <c r="M2178">
        <v>196</v>
      </c>
      <c r="N2178" s="1">
        <v>0.48</v>
      </c>
      <c r="O2178">
        <v>52</v>
      </c>
      <c r="P2178" s="1">
        <v>0.38500000000000001</v>
      </c>
      <c r="Q2178" s="1">
        <v>0.78700000000000003</v>
      </c>
      <c r="R2178">
        <v>540</v>
      </c>
      <c r="S2178">
        <v>40</v>
      </c>
      <c r="T2178">
        <v>114</v>
      </c>
      <c r="U2178">
        <v>119</v>
      </c>
      <c r="V2178">
        <v>36</v>
      </c>
      <c r="W2178">
        <v>17</v>
      </c>
      <c r="X2178">
        <v>53</v>
      </c>
      <c r="Y2178" s="5">
        <v>2.25</v>
      </c>
    </row>
    <row r="2179" spans="1:25" x14ac:dyDescent="0.25">
      <c r="A2179">
        <v>2023</v>
      </c>
      <c r="B2179" t="s">
        <v>57</v>
      </c>
      <c r="C2179">
        <v>15</v>
      </c>
      <c r="D2179">
        <v>159</v>
      </c>
      <c r="E2179" t="s">
        <v>33</v>
      </c>
      <c r="F2179" t="s">
        <v>42</v>
      </c>
      <c r="G2179">
        <f t="shared" si="1433"/>
        <v>0</v>
      </c>
      <c r="H2179">
        <v>2</v>
      </c>
      <c r="I2179">
        <v>11</v>
      </c>
      <c r="J2179">
        <v>0</v>
      </c>
      <c r="K2179" s="6" t="str">
        <f t="shared" ref="K2179" si="1436">"vs "&amp;E2178</f>
        <v>vs Karafli SaiTa</v>
      </c>
      <c r="L2179" s="6" t="str">
        <f t="shared" ref="L2179" si="1437">"vs "&amp;F2178</f>
        <v>vs Tassos</v>
      </c>
      <c r="M2179">
        <v>154</v>
      </c>
      <c r="N2179" s="1">
        <v>0.53500000000000003</v>
      </c>
      <c r="O2179">
        <v>34</v>
      </c>
      <c r="P2179" s="1">
        <v>0.34300000000000003</v>
      </c>
      <c r="Q2179" s="1">
        <v>0.73899999999999999</v>
      </c>
      <c r="R2179">
        <v>393</v>
      </c>
      <c r="S2179">
        <v>36</v>
      </c>
      <c r="T2179">
        <v>113</v>
      </c>
      <c r="U2179">
        <v>101</v>
      </c>
      <c r="V2179">
        <v>22</v>
      </c>
      <c r="W2179">
        <v>21</v>
      </c>
      <c r="X2179">
        <v>55</v>
      </c>
      <c r="Y2179" s="5">
        <v>1.84</v>
      </c>
    </row>
    <row r="2180" spans="1:25" x14ac:dyDescent="0.25">
      <c r="A2180">
        <v>2023</v>
      </c>
      <c r="B2180" t="s">
        <v>57</v>
      </c>
      <c r="C2180">
        <v>15</v>
      </c>
      <c r="D2180">
        <v>160</v>
      </c>
      <c r="E2180" t="s">
        <v>99</v>
      </c>
      <c r="F2180" t="s">
        <v>45</v>
      </c>
      <c r="G2180">
        <f t="shared" si="1433"/>
        <v>1</v>
      </c>
      <c r="H2180">
        <v>9</v>
      </c>
      <c r="I2180">
        <v>3</v>
      </c>
      <c r="J2180">
        <v>1</v>
      </c>
      <c r="K2180" s="6" t="str">
        <f t="shared" ref="K2180" si="1438">"vs "&amp;E2181</f>
        <v>vs Knights of Ni</v>
      </c>
      <c r="L2180" s="6" t="str">
        <f t="shared" ref="L2180" si="1439">"vs "&amp;F2181</f>
        <v>vs Tolios</v>
      </c>
      <c r="M2180">
        <v>120</v>
      </c>
      <c r="N2180" s="1">
        <v>0.441</v>
      </c>
      <c r="O2180">
        <v>44</v>
      </c>
      <c r="P2180" s="1">
        <v>0.376</v>
      </c>
      <c r="Q2180" s="1">
        <v>0.72299999999999998</v>
      </c>
      <c r="R2180">
        <v>318</v>
      </c>
      <c r="S2180">
        <v>32</v>
      </c>
      <c r="T2180">
        <v>97</v>
      </c>
      <c r="U2180">
        <v>70</v>
      </c>
      <c r="V2180">
        <v>29</v>
      </c>
      <c r="W2180">
        <v>17</v>
      </c>
      <c r="X2180">
        <v>36</v>
      </c>
      <c r="Y2180" s="5">
        <v>1.94</v>
      </c>
    </row>
    <row r="2181" spans="1:25" x14ac:dyDescent="0.25">
      <c r="A2181">
        <v>2023</v>
      </c>
      <c r="B2181" t="s">
        <v>57</v>
      </c>
      <c r="C2181">
        <v>15</v>
      </c>
      <c r="D2181">
        <v>160</v>
      </c>
      <c r="E2181" t="s">
        <v>96</v>
      </c>
      <c r="F2181" t="s">
        <v>102</v>
      </c>
      <c r="G2181">
        <f t="shared" si="1433"/>
        <v>0</v>
      </c>
      <c r="H2181">
        <v>3</v>
      </c>
      <c r="I2181">
        <v>9</v>
      </c>
      <c r="J2181">
        <v>1</v>
      </c>
      <c r="K2181" s="6" t="str">
        <f t="shared" ref="K2181" si="1440">"vs "&amp;E2180</f>
        <v>vs Tsarlatans</v>
      </c>
      <c r="L2181" s="6" t="str">
        <f t="shared" ref="L2181" si="1441">"vs "&amp;F2180</f>
        <v>vs Tzokos</v>
      </c>
      <c r="M2181">
        <v>110</v>
      </c>
      <c r="N2181" s="1">
        <v>0.53700000000000003</v>
      </c>
      <c r="O2181">
        <v>22</v>
      </c>
      <c r="P2181" s="1">
        <v>0.373</v>
      </c>
      <c r="Q2181" s="1">
        <v>0.70499999999999996</v>
      </c>
      <c r="R2181">
        <v>273</v>
      </c>
      <c r="S2181">
        <v>43</v>
      </c>
      <c r="T2181">
        <v>97</v>
      </c>
      <c r="U2181">
        <v>39</v>
      </c>
      <c r="V2181">
        <v>23</v>
      </c>
      <c r="W2181">
        <v>14</v>
      </c>
      <c r="X2181">
        <v>31</v>
      </c>
      <c r="Y2181" s="5">
        <v>1.26</v>
      </c>
    </row>
    <row r="2182" spans="1:25" x14ac:dyDescent="0.25">
      <c r="A2182">
        <v>2023</v>
      </c>
      <c r="B2182" t="s">
        <v>57</v>
      </c>
      <c r="C2182">
        <v>16</v>
      </c>
      <c r="D2182">
        <v>161</v>
      </c>
      <c r="E2182" t="s">
        <v>159</v>
      </c>
      <c r="F2182" t="s">
        <v>116</v>
      </c>
      <c r="G2182">
        <f t="shared" si="1433"/>
        <v>0</v>
      </c>
      <c r="H2182">
        <v>3</v>
      </c>
      <c r="I2182">
        <v>10</v>
      </c>
      <c r="J2182">
        <v>0</v>
      </c>
      <c r="K2182" s="6" t="str">
        <f t="shared" ref="K2182" si="1442">"vs "&amp;E2183</f>
        <v>vs Xanthi Ducks 🦆</v>
      </c>
      <c r="L2182" s="6" t="str">
        <f t="shared" ref="L2182" si="1443">"vs "&amp;F2183</f>
        <v>vs Kotakis</v>
      </c>
      <c r="M2182">
        <v>189</v>
      </c>
      <c r="N2182" s="1">
        <v>0.47499999999999998</v>
      </c>
      <c r="O2182">
        <v>53</v>
      </c>
      <c r="P2182" s="1">
        <v>0.36099999999999999</v>
      </c>
      <c r="Q2182" s="1">
        <v>0.79600000000000004</v>
      </c>
      <c r="R2182">
        <v>548</v>
      </c>
      <c r="S2182">
        <v>31</v>
      </c>
      <c r="T2182">
        <v>179</v>
      </c>
      <c r="U2182">
        <v>140</v>
      </c>
      <c r="V2182">
        <v>38</v>
      </c>
      <c r="W2182">
        <v>18</v>
      </c>
      <c r="X2182">
        <v>77</v>
      </c>
      <c r="Y2182" s="5">
        <v>1.82</v>
      </c>
    </row>
    <row r="2183" spans="1:25" x14ac:dyDescent="0.25">
      <c r="A2183">
        <v>2023</v>
      </c>
      <c r="B2183" t="s">
        <v>57</v>
      </c>
      <c r="C2183">
        <v>16</v>
      </c>
      <c r="D2183">
        <v>161</v>
      </c>
      <c r="E2183" t="s">
        <v>98</v>
      </c>
      <c r="F2183" t="s">
        <v>41</v>
      </c>
      <c r="G2183">
        <f t="shared" si="1433"/>
        <v>1</v>
      </c>
      <c r="H2183">
        <v>10</v>
      </c>
      <c r="I2183">
        <v>3</v>
      </c>
      <c r="J2183">
        <v>0</v>
      </c>
      <c r="K2183" s="6" t="str">
        <f t="shared" ref="K2183" si="1444">"vs "&amp;E2182</f>
        <v>vs purple fuzzy apache pirates</v>
      </c>
      <c r="L2183" s="6" t="str">
        <f t="shared" ref="L2183" si="1445">"vs "&amp;F2182</f>
        <v>vs pi/Sotiris</v>
      </c>
      <c r="M2183">
        <v>238</v>
      </c>
      <c r="N2183" s="1">
        <v>0.51100000000000001</v>
      </c>
      <c r="O2183">
        <v>46</v>
      </c>
      <c r="P2183" s="1">
        <v>0.33300000000000002</v>
      </c>
      <c r="Q2183" s="1">
        <v>0.81299999999999994</v>
      </c>
      <c r="R2183">
        <v>626</v>
      </c>
      <c r="S2183">
        <v>44</v>
      </c>
      <c r="T2183">
        <v>219</v>
      </c>
      <c r="U2183">
        <v>143</v>
      </c>
      <c r="V2183">
        <v>34</v>
      </c>
      <c r="W2183">
        <v>29</v>
      </c>
      <c r="X2183">
        <v>61</v>
      </c>
      <c r="Y2183" s="5">
        <v>2.34</v>
      </c>
    </row>
    <row r="2184" spans="1:25" x14ac:dyDescent="0.25">
      <c r="A2184">
        <v>2023</v>
      </c>
      <c r="B2184" t="s">
        <v>57</v>
      </c>
      <c r="C2184">
        <v>16</v>
      </c>
      <c r="D2184">
        <v>162</v>
      </c>
      <c r="E2184" t="s">
        <v>25</v>
      </c>
      <c r="F2184" t="s">
        <v>53</v>
      </c>
      <c r="G2184">
        <f t="shared" si="1433"/>
        <v>0</v>
      </c>
      <c r="H2184">
        <v>6</v>
      </c>
      <c r="I2184">
        <v>7</v>
      </c>
      <c r="J2184">
        <v>0</v>
      </c>
      <c r="K2184" s="6" t="str">
        <f t="shared" ref="K2184" si="1446">"vs "&amp;E2185</f>
        <v>vs Tsarlatans</v>
      </c>
      <c r="L2184" s="6" t="str">
        <f t="shared" ref="L2184" si="1447">"vs "&amp;F2185</f>
        <v>vs Tzokos</v>
      </c>
      <c r="M2184">
        <v>149</v>
      </c>
      <c r="N2184" s="1">
        <v>0.45800000000000002</v>
      </c>
      <c r="O2184">
        <v>33</v>
      </c>
      <c r="P2184" s="1">
        <v>0.28899999999999998</v>
      </c>
      <c r="Q2184" s="1">
        <v>0.70199999999999996</v>
      </c>
      <c r="R2184">
        <v>390</v>
      </c>
      <c r="S2184">
        <v>45</v>
      </c>
      <c r="T2184">
        <v>130</v>
      </c>
      <c r="U2184">
        <v>79</v>
      </c>
      <c r="V2184">
        <v>13</v>
      </c>
      <c r="W2184">
        <v>13</v>
      </c>
      <c r="X2184">
        <v>45</v>
      </c>
      <c r="Y2184" s="5">
        <v>1.76</v>
      </c>
    </row>
    <row r="2185" spans="1:25" x14ac:dyDescent="0.25">
      <c r="A2185">
        <v>2023</v>
      </c>
      <c r="B2185" t="s">
        <v>57</v>
      </c>
      <c r="C2185">
        <v>16</v>
      </c>
      <c r="D2185">
        <v>162</v>
      </c>
      <c r="E2185" t="s">
        <v>99</v>
      </c>
      <c r="F2185" t="s">
        <v>45</v>
      </c>
      <c r="G2185">
        <f t="shared" si="1433"/>
        <v>1</v>
      </c>
      <c r="H2185">
        <v>7</v>
      </c>
      <c r="I2185">
        <v>6</v>
      </c>
      <c r="J2185">
        <v>0</v>
      </c>
      <c r="K2185" s="6" t="str">
        <f t="shared" ref="K2185" si="1448">"vs "&amp;E2184</f>
        <v>vs The Rookies</v>
      </c>
      <c r="L2185" s="6" t="str">
        <f t="shared" ref="L2185" si="1449">"vs "&amp;F2184</f>
        <v>vs Kousidis</v>
      </c>
      <c r="M2185">
        <v>131</v>
      </c>
      <c r="N2185" s="1">
        <v>0.47299999999999998</v>
      </c>
      <c r="O2185">
        <v>32</v>
      </c>
      <c r="P2185" s="1">
        <v>0.30499999999999999</v>
      </c>
      <c r="Q2185" s="1">
        <v>0.746</v>
      </c>
      <c r="R2185">
        <v>344</v>
      </c>
      <c r="S2185">
        <v>34</v>
      </c>
      <c r="T2185">
        <v>102</v>
      </c>
      <c r="U2185">
        <v>67</v>
      </c>
      <c r="V2185">
        <v>24</v>
      </c>
      <c r="W2185">
        <v>18</v>
      </c>
      <c r="X2185">
        <v>27</v>
      </c>
      <c r="Y2185" s="5">
        <v>2.48</v>
      </c>
    </row>
    <row r="2186" spans="1:25" x14ac:dyDescent="0.25">
      <c r="A2186">
        <v>2023</v>
      </c>
      <c r="B2186" t="s">
        <v>57</v>
      </c>
      <c r="C2186">
        <v>16</v>
      </c>
      <c r="D2186">
        <v>163</v>
      </c>
      <c r="E2186" t="s">
        <v>16</v>
      </c>
      <c r="F2186" t="s">
        <v>51</v>
      </c>
      <c r="G2186">
        <f t="shared" si="1433"/>
        <v>1</v>
      </c>
      <c r="H2186">
        <v>8</v>
      </c>
      <c r="I2186">
        <v>5</v>
      </c>
      <c r="J2186">
        <v>0</v>
      </c>
      <c r="K2186" s="6" t="str">
        <f t="shared" ref="K2186" si="1450">"vs "&amp;E2187</f>
        <v>vs Donkey Rolls</v>
      </c>
      <c r="L2186" s="6" t="str">
        <f t="shared" ref="L2186" si="1451">"vs "&amp;F2187</f>
        <v>vs Markos</v>
      </c>
      <c r="M2186">
        <v>176</v>
      </c>
      <c r="N2186" s="1">
        <v>0.46200000000000002</v>
      </c>
      <c r="O2186">
        <v>43</v>
      </c>
      <c r="P2186" s="1">
        <v>0.33100000000000002</v>
      </c>
      <c r="Q2186" s="1">
        <v>0.81499999999999995</v>
      </c>
      <c r="R2186">
        <v>496</v>
      </c>
      <c r="S2186">
        <v>40</v>
      </c>
      <c r="T2186">
        <v>135</v>
      </c>
      <c r="U2186">
        <v>115</v>
      </c>
      <c r="V2186">
        <v>38</v>
      </c>
      <c r="W2186">
        <v>15</v>
      </c>
      <c r="X2186">
        <v>60</v>
      </c>
      <c r="Y2186" s="5">
        <v>1.92</v>
      </c>
    </row>
    <row r="2187" spans="1:25" x14ac:dyDescent="0.25">
      <c r="A2187">
        <v>2023</v>
      </c>
      <c r="B2187" t="s">
        <v>57</v>
      </c>
      <c r="C2187">
        <v>16</v>
      </c>
      <c r="D2187">
        <v>163</v>
      </c>
      <c r="E2187" t="s">
        <v>17</v>
      </c>
      <c r="F2187" t="s">
        <v>43</v>
      </c>
      <c r="G2187">
        <f t="shared" si="1433"/>
        <v>0</v>
      </c>
      <c r="H2187">
        <v>5</v>
      </c>
      <c r="I2187">
        <v>8</v>
      </c>
      <c r="J2187">
        <v>0</v>
      </c>
      <c r="K2187" s="6" t="str">
        <f t="shared" ref="K2187" si="1452">"vs "&amp;E2186</f>
        <v>vs The Bridgeburners</v>
      </c>
      <c r="L2187" s="6" t="str">
        <f t="shared" ref="L2187" si="1453">"vs "&amp;F2186</f>
        <v>vs Fanis</v>
      </c>
      <c r="M2187">
        <v>180</v>
      </c>
      <c r="N2187" s="1">
        <v>0.42399999999999999</v>
      </c>
      <c r="O2187">
        <v>48</v>
      </c>
      <c r="P2187" s="1">
        <v>0.29799999999999999</v>
      </c>
      <c r="Q2187" s="1">
        <v>0.78200000000000003</v>
      </c>
      <c r="R2187">
        <v>494</v>
      </c>
      <c r="S2187">
        <v>39</v>
      </c>
      <c r="T2187">
        <v>147</v>
      </c>
      <c r="U2187">
        <v>114</v>
      </c>
      <c r="V2187">
        <v>20</v>
      </c>
      <c r="W2187">
        <v>12</v>
      </c>
      <c r="X2187">
        <v>46</v>
      </c>
      <c r="Y2187" s="5">
        <v>2.48</v>
      </c>
    </row>
    <row r="2188" spans="1:25" x14ac:dyDescent="0.25">
      <c r="A2188">
        <v>2023</v>
      </c>
      <c r="B2188" t="s">
        <v>57</v>
      </c>
      <c r="C2188">
        <v>16</v>
      </c>
      <c r="D2188">
        <v>164</v>
      </c>
      <c r="E2188" t="s">
        <v>26</v>
      </c>
      <c r="F2188" t="s">
        <v>118</v>
      </c>
      <c r="G2188">
        <f t="shared" si="1433"/>
        <v>0</v>
      </c>
      <c r="H2188">
        <v>5</v>
      </c>
      <c r="I2188">
        <v>8</v>
      </c>
      <c r="J2188">
        <v>0</v>
      </c>
      <c r="K2188" s="6" t="str">
        <f t="shared" ref="K2188" si="1454">"vs "&amp;E2189</f>
        <v>vs LRBP PR3DATORS</v>
      </c>
      <c r="L2188" s="6" t="str">
        <f t="shared" ref="L2188" si="1455">"vs "&amp;F2189</f>
        <v>vs Lafa</v>
      </c>
      <c r="M2188">
        <v>121</v>
      </c>
      <c r="N2188" s="1">
        <v>0.42499999999999999</v>
      </c>
      <c r="O2188">
        <v>42</v>
      </c>
      <c r="P2188" s="1">
        <v>0.28399999999999997</v>
      </c>
      <c r="Q2188" s="1">
        <v>0.82499999999999996</v>
      </c>
      <c r="R2188">
        <v>350</v>
      </c>
      <c r="S2188">
        <v>27</v>
      </c>
      <c r="T2188">
        <v>131</v>
      </c>
      <c r="U2188">
        <v>93</v>
      </c>
      <c r="V2188">
        <v>28</v>
      </c>
      <c r="W2188">
        <v>11</v>
      </c>
      <c r="X2188">
        <v>50</v>
      </c>
      <c r="Y2188" s="5">
        <v>1.86</v>
      </c>
    </row>
    <row r="2189" spans="1:25" x14ac:dyDescent="0.25">
      <c r="A2189">
        <v>2023</v>
      </c>
      <c r="B2189" t="s">
        <v>57</v>
      </c>
      <c r="C2189">
        <v>16</v>
      </c>
      <c r="D2189">
        <v>164</v>
      </c>
      <c r="E2189" t="s">
        <v>158</v>
      </c>
      <c r="F2189" t="s">
        <v>177</v>
      </c>
      <c r="G2189">
        <f t="shared" si="1433"/>
        <v>1</v>
      </c>
      <c r="H2189">
        <v>8</v>
      </c>
      <c r="I2189">
        <v>5</v>
      </c>
      <c r="J2189">
        <v>0</v>
      </c>
      <c r="K2189" s="6" t="str">
        <f t="shared" ref="K2189" si="1456">"vs "&amp;E2188</f>
        <v>vs Kourayo Vallecano</v>
      </c>
      <c r="L2189" s="6" t="str">
        <f t="shared" ref="L2189" si="1457">"vs "&amp;F2188</f>
        <v>vs Ziogas/Christof</v>
      </c>
      <c r="M2189">
        <v>220</v>
      </c>
      <c r="N2189" s="1">
        <v>0.54600000000000004</v>
      </c>
      <c r="O2189">
        <v>31</v>
      </c>
      <c r="P2189" s="1">
        <v>0.34799999999999998</v>
      </c>
      <c r="Q2189" s="1">
        <v>0.70899999999999996</v>
      </c>
      <c r="R2189">
        <v>595</v>
      </c>
      <c r="S2189">
        <v>54</v>
      </c>
      <c r="T2189">
        <v>185</v>
      </c>
      <c r="U2189">
        <v>88</v>
      </c>
      <c r="V2189">
        <v>37</v>
      </c>
      <c r="W2189">
        <v>12</v>
      </c>
      <c r="X2189">
        <v>64</v>
      </c>
      <c r="Y2189" s="5">
        <v>1.38</v>
      </c>
    </row>
    <row r="2190" spans="1:25" x14ac:dyDescent="0.25">
      <c r="A2190">
        <v>2023</v>
      </c>
      <c r="B2190" t="s">
        <v>57</v>
      </c>
      <c r="C2190">
        <v>16</v>
      </c>
      <c r="D2190">
        <v>165</v>
      </c>
      <c r="E2190" t="s">
        <v>96</v>
      </c>
      <c r="F2190" t="s">
        <v>102</v>
      </c>
      <c r="G2190">
        <f t="shared" si="1433"/>
        <v>0</v>
      </c>
      <c r="H2190">
        <v>5</v>
      </c>
      <c r="I2190">
        <v>8</v>
      </c>
      <c r="J2190">
        <v>0</v>
      </c>
      <c r="K2190" s="6" t="str">
        <f t="shared" ref="K2190" si="1458">"vs "&amp;E2191</f>
        <v>vs Pachiana NinjaBees</v>
      </c>
      <c r="L2190" s="6" t="str">
        <f t="shared" ref="L2190" si="1459">"vs "&amp;F2191</f>
        <v>vs Spiridaus/Oladipas</v>
      </c>
      <c r="M2190">
        <v>140</v>
      </c>
      <c r="N2190" s="1">
        <v>0.47</v>
      </c>
      <c r="O2190">
        <v>36</v>
      </c>
      <c r="P2190" s="1">
        <v>0.35599999999999998</v>
      </c>
      <c r="Q2190" s="1">
        <v>0.70599999999999996</v>
      </c>
      <c r="R2190">
        <v>364</v>
      </c>
      <c r="S2190">
        <v>61</v>
      </c>
      <c r="T2190">
        <v>111</v>
      </c>
      <c r="U2190">
        <v>54</v>
      </c>
      <c r="V2190">
        <v>39</v>
      </c>
      <c r="W2190">
        <v>16</v>
      </c>
      <c r="X2190">
        <v>39</v>
      </c>
      <c r="Y2190" s="5">
        <v>1.38</v>
      </c>
    </row>
    <row r="2191" spans="1:25" x14ac:dyDescent="0.25">
      <c r="A2191">
        <v>2023</v>
      </c>
      <c r="B2191" t="s">
        <v>57</v>
      </c>
      <c r="C2191">
        <v>16</v>
      </c>
      <c r="D2191">
        <v>165</v>
      </c>
      <c r="E2191" t="s">
        <v>23</v>
      </c>
      <c r="F2191" t="s">
        <v>120</v>
      </c>
      <c r="G2191">
        <f t="shared" si="1433"/>
        <v>1</v>
      </c>
      <c r="H2191">
        <v>8</v>
      </c>
      <c r="I2191">
        <v>5</v>
      </c>
      <c r="J2191">
        <v>0</v>
      </c>
      <c r="K2191" s="6" t="str">
        <f t="shared" ref="K2191" si="1460">"vs "&amp;E2190</f>
        <v>vs Knights of Ni</v>
      </c>
      <c r="L2191" s="6" t="str">
        <f t="shared" ref="L2191" si="1461">"vs "&amp;F2190</f>
        <v>vs Tolios</v>
      </c>
      <c r="M2191">
        <v>198</v>
      </c>
      <c r="N2191" s="1">
        <v>0.55900000000000005</v>
      </c>
      <c r="O2191">
        <v>22</v>
      </c>
      <c r="P2191" s="1">
        <v>0.32400000000000001</v>
      </c>
      <c r="Q2191" s="1">
        <v>0.79100000000000004</v>
      </c>
      <c r="R2191">
        <v>490</v>
      </c>
      <c r="S2191">
        <v>52</v>
      </c>
      <c r="T2191">
        <v>153</v>
      </c>
      <c r="U2191">
        <v>97</v>
      </c>
      <c r="V2191">
        <v>30</v>
      </c>
      <c r="W2191">
        <v>19</v>
      </c>
      <c r="X2191">
        <v>57</v>
      </c>
      <c r="Y2191" s="5">
        <v>1.7</v>
      </c>
    </row>
    <row r="2192" spans="1:25" x14ac:dyDescent="0.25">
      <c r="A2192">
        <v>2023</v>
      </c>
      <c r="B2192" t="s">
        <v>57</v>
      </c>
      <c r="C2192">
        <v>16</v>
      </c>
      <c r="D2192">
        <v>166</v>
      </c>
      <c r="E2192" t="s">
        <v>28</v>
      </c>
      <c r="F2192" t="s">
        <v>46</v>
      </c>
      <c r="G2192">
        <f t="shared" si="1433"/>
        <v>1</v>
      </c>
      <c r="H2192">
        <v>7</v>
      </c>
      <c r="I2192">
        <v>6</v>
      </c>
      <c r="J2192">
        <v>0</v>
      </c>
      <c r="K2192" s="6" t="str">
        <f t="shared" ref="K2192" si="1462">"vs "&amp;E2193</f>
        <v>vs The Bad Boys</v>
      </c>
      <c r="L2192" s="6" t="str">
        <f t="shared" ref="L2192" si="1463">"vs "&amp;F2193</f>
        <v>vs Arvanitis</v>
      </c>
      <c r="M2192">
        <v>162</v>
      </c>
      <c r="N2192" s="1">
        <v>0.44600000000000001</v>
      </c>
      <c r="O2192">
        <v>53</v>
      </c>
      <c r="P2192" s="1">
        <v>0.39800000000000002</v>
      </c>
      <c r="Q2192" s="1">
        <v>0.75800000000000001</v>
      </c>
      <c r="R2192">
        <v>452</v>
      </c>
      <c r="S2192">
        <v>47</v>
      </c>
      <c r="T2192">
        <v>115</v>
      </c>
      <c r="U2192">
        <v>125</v>
      </c>
      <c r="V2192">
        <v>29</v>
      </c>
      <c r="W2192">
        <v>10</v>
      </c>
      <c r="X2192">
        <v>69</v>
      </c>
      <c r="Y2192" s="5">
        <v>1.81</v>
      </c>
    </row>
    <row r="2193" spans="1:25" x14ac:dyDescent="0.25">
      <c r="A2193">
        <v>2023</v>
      </c>
      <c r="B2193" t="s">
        <v>57</v>
      </c>
      <c r="C2193">
        <v>16</v>
      </c>
      <c r="D2193">
        <v>166</v>
      </c>
      <c r="E2193" t="s">
        <v>154</v>
      </c>
      <c r="F2193" t="s">
        <v>155</v>
      </c>
      <c r="G2193">
        <f t="shared" si="1433"/>
        <v>0</v>
      </c>
      <c r="H2193">
        <v>6</v>
      </c>
      <c r="I2193">
        <v>7</v>
      </c>
      <c r="J2193">
        <v>0</v>
      </c>
      <c r="K2193" s="6" t="str">
        <f t="shared" ref="K2193" si="1464">"vs "&amp;E2192</f>
        <v>vs Steven Adams' Moustache</v>
      </c>
      <c r="L2193" s="6" t="str">
        <f t="shared" ref="L2193" si="1465">"vs "&amp;F2192</f>
        <v>vs Johnny</v>
      </c>
      <c r="M2193">
        <v>106</v>
      </c>
      <c r="N2193" s="1">
        <v>0.505</v>
      </c>
      <c r="O2193">
        <v>28</v>
      </c>
      <c r="P2193" s="1">
        <v>0.43099999999999999</v>
      </c>
      <c r="Q2193" s="1">
        <v>0.72299999999999998</v>
      </c>
      <c r="R2193">
        <v>287</v>
      </c>
      <c r="S2193">
        <v>48</v>
      </c>
      <c r="T2193">
        <v>105</v>
      </c>
      <c r="U2193">
        <v>52</v>
      </c>
      <c r="V2193">
        <v>30</v>
      </c>
      <c r="W2193">
        <v>21</v>
      </c>
      <c r="X2193">
        <v>36</v>
      </c>
      <c r="Y2193" s="5">
        <v>1.44</v>
      </c>
    </row>
    <row r="2194" spans="1:25" x14ac:dyDescent="0.25">
      <c r="A2194">
        <v>2023</v>
      </c>
      <c r="B2194" t="s">
        <v>57</v>
      </c>
      <c r="C2194">
        <v>16</v>
      </c>
      <c r="D2194">
        <v>167</v>
      </c>
      <c r="E2194" t="s">
        <v>15</v>
      </c>
      <c r="F2194" t="s">
        <v>48</v>
      </c>
      <c r="G2194">
        <f t="shared" si="1433"/>
        <v>0</v>
      </c>
      <c r="H2194">
        <v>3</v>
      </c>
      <c r="I2194">
        <v>10</v>
      </c>
      <c r="J2194">
        <v>0</v>
      </c>
      <c r="K2194" s="6" t="str">
        <f t="shared" ref="K2194" si="1466">"vs "&amp;E2195</f>
        <v>vs st.Helens Eruptions</v>
      </c>
      <c r="L2194" s="6" t="str">
        <f t="shared" ref="L2194" si="1467">"vs "&amp;F2195</f>
        <v>vs Aris</v>
      </c>
      <c r="M2194">
        <v>179</v>
      </c>
      <c r="N2194" s="1">
        <v>0.49299999999999999</v>
      </c>
      <c r="O2194">
        <v>47</v>
      </c>
      <c r="P2194" s="1">
        <v>0.36699999999999999</v>
      </c>
      <c r="Q2194" s="1">
        <v>0.78900000000000003</v>
      </c>
      <c r="R2194">
        <v>480</v>
      </c>
      <c r="S2194">
        <v>42</v>
      </c>
      <c r="T2194">
        <v>137</v>
      </c>
      <c r="U2194">
        <v>110</v>
      </c>
      <c r="V2194">
        <v>18</v>
      </c>
      <c r="W2194">
        <v>11</v>
      </c>
      <c r="X2194">
        <v>42</v>
      </c>
      <c r="Y2194" s="5">
        <v>2.62</v>
      </c>
    </row>
    <row r="2195" spans="1:25" x14ac:dyDescent="0.25">
      <c r="A2195">
        <v>2023</v>
      </c>
      <c r="B2195" t="s">
        <v>57</v>
      </c>
      <c r="C2195">
        <v>16</v>
      </c>
      <c r="D2195">
        <v>167</v>
      </c>
      <c r="E2195" t="s">
        <v>21</v>
      </c>
      <c r="F2195" t="s">
        <v>50</v>
      </c>
      <c r="G2195">
        <f t="shared" si="1433"/>
        <v>1</v>
      </c>
      <c r="H2195">
        <v>10</v>
      </c>
      <c r="I2195">
        <v>3</v>
      </c>
      <c r="J2195">
        <v>0</v>
      </c>
      <c r="K2195" s="6" t="str">
        <f t="shared" ref="K2195" si="1468">"vs "&amp;E2194</f>
        <v>vs Salonika Devils</v>
      </c>
      <c r="L2195" s="6" t="str">
        <f t="shared" ref="L2195" si="1469">"vs "&amp;F2194</f>
        <v>vs Fountos</v>
      </c>
      <c r="M2195">
        <v>240</v>
      </c>
      <c r="N2195" s="1">
        <v>0.49399999999999999</v>
      </c>
      <c r="O2195">
        <v>87</v>
      </c>
      <c r="P2195" s="1">
        <v>0.43099999999999999</v>
      </c>
      <c r="Q2195" s="1">
        <v>0.82599999999999996</v>
      </c>
      <c r="R2195">
        <v>676</v>
      </c>
      <c r="S2195">
        <v>27</v>
      </c>
      <c r="T2195">
        <v>148</v>
      </c>
      <c r="U2195">
        <v>150</v>
      </c>
      <c r="V2195">
        <v>26</v>
      </c>
      <c r="W2195">
        <v>22</v>
      </c>
      <c r="X2195">
        <v>82</v>
      </c>
      <c r="Y2195" s="5">
        <v>1.83</v>
      </c>
    </row>
    <row r="2196" spans="1:25" x14ac:dyDescent="0.25">
      <c r="A2196">
        <v>2023</v>
      </c>
      <c r="B2196" t="s">
        <v>57</v>
      </c>
      <c r="C2196">
        <v>16</v>
      </c>
      <c r="D2196">
        <v>168</v>
      </c>
      <c r="E2196" t="s">
        <v>95</v>
      </c>
      <c r="F2196" t="s">
        <v>101</v>
      </c>
      <c r="G2196">
        <f t="shared" si="1433"/>
        <v>0</v>
      </c>
      <c r="H2196">
        <v>4</v>
      </c>
      <c r="I2196">
        <v>9</v>
      </c>
      <c r="J2196">
        <v>0</v>
      </c>
      <c r="K2196" s="6" t="str">
        <f t="shared" ref="K2196" si="1470">"vs "&amp;E2197</f>
        <v>vs Fighting Thaddeus</v>
      </c>
      <c r="L2196" s="6" t="str">
        <f t="shared" ref="L2196" si="1471">"vs "&amp;F2197</f>
        <v>vs Stavros</v>
      </c>
      <c r="M2196">
        <v>108</v>
      </c>
      <c r="N2196" s="1">
        <v>0.45800000000000002</v>
      </c>
      <c r="O2196">
        <v>40</v>
      </c>
      <c r="P2196" s="1">
        <v>0.36</v>
      </c>
      <c r="Q2196" s="1">
        <v>0.66100000000000003</v>
      </c>
      <c r="R2196">
        <v>293</v>
      </c>
      <c r="S2196">
        <v>26</v>
      </c>
      <c r="T2196">
        <v>94</v>
      </c>
      <c r="U2196">
        <v>77</v>
      </c>
      <c r="V2196">
        <v>29</v>
      </c>
      <c r="W2196">
        <v>14</v>
      </c>
      <c r="X2196">
        <v>42</v>
      </c>
      <c r="Y2196" s="5">
        <v>1.83</v>
      </c>
    </row>
    <row r="2197" spans="1:25" x14ac:dyDescent="0.25">
      <c r="A2197">
        <v>2023</v>
      </c>
      <c r="B2197" t="s">
        <v>57</v>
      </c>
      <c r="C2197">
        <v>16</v>
      </c>
      <c r="D2197">
        <v>168</v>
      </c>
      <c r="E2197" t="s">
        <v>94</v>
      </c>
      <c r="F2197" t="s">
        <v>40</v>
      </c>
      <c r="G2197">
        <f t="shared" si="1433"/>
        <v>1</v>
      </c>
      <c r="H2197">
        <v>9</v>
      </c>
      <c r="I2197">
        <v>4</v>
      </c>
      <c r="J2197">
        <v>0</v>
      </c>
      <c r="K2197" s="6" t="str">
        <f t="shared" ref="K2197" si="1472">"vs "&amp;E2196</f>
        <v>vs Baltimore Hercules</v>
      </c>
      <c r="L2197" s="6" t="str">
        <f t="shared" ref="L2197" si="1473">"vs "&amp;F2196</f>
        <v>vs Sarantos</v>
      </c>
      <c r="M2197">
        <v>153</v>
      </c>
      <c r="N2197" s="1">
        <v>0.47099999999999997</v>
      </c>
      <c r="O2197">
        <v>54</v>
      </c>
      <c r="P2197" s="1">
        <v>0.4</v>
      </c>
      <c r="Q2197" s="1">
        <v>0.83699999999999997</v>
      </c>
      <c r="R2197">
        <v>447</v>
      </c>
      <c r="S2197">
        <v>24</v>
      </c>
      <c r="T2197">
        <v>93</v>
      </c>
      <c r="U2197">
        <v>88</v>
      </c>
      <c r="V2197">
        <v>16</v>
      </c>
      <c r="W2197">
        <v>7</v>
      </c>
      <c r="X2197">
        <v>29</v>
      </c>
      <c r="Y2197" s="5">
        <v>3.03</v>
      </c>
    </row>
    <row r="2198" spans="1:25" x14ac:dyDescent="0.25">
      <c r="A2198">
        <v>2023</v>
      </c>
      <c r="B2198" t="s">
        <v>57</v>
      </c>
      <c r="C2198">
        <v>16</v>
      </c>
      <c r="D2198">
        <v>169</v>
      </c>
      <c r="E2198" t="s">
        <v>93</v>
      </c>
      <c r="F2198" t="s">
        <v>189</v>
      </c>
      <c r="G2198">
        <f t="shared" si="1433"/>
        <v>0</v>
      </c>
      <c r="H2198">
        <v>4</v>
      </c>
      <c r="I2198">
        <v>9</v>
      </c>
      <c r="J2198">
        <v>0</v>
      </c>
      <c r="K2198" s="6" t="str">
        <f t="shared" ref="K2198" si="1474">"vs "&amp;E2199</f>
        <v>vs Karafli SaiTa</v>
      </c>
      <c r="L2198" s="6" t="str">
        <f t="shared" ref="L2198" si="1475">"vs "&amp;F2199</f>
        <v>vs Tassos</v>
      </c>
      <c r="M2198">
        <v>164</v>
      </c>
      <c r="N2198" s="1">
        <v>0.45300000000000001</v>
      </c>
      <c r="O2198">
        <v>64</v>
      </c>
      <c r="P2198" s="1">
        <v>0.36799999999999999</v>
      </c>
      <c r="Q2198" s="1">
        <v>0.71</v>
      </c>
      <c r="R2198">
        <v>458</v>
      </c>
      <c r="S2198">
        <v>24</v>
      </c>
      <c r="T2198">
        <v>116</v>
      </c>
      <c r="U2198">
        <v>126</v>
      </c>
      <c r="V2198">
        <v>24</v>
      </c>
      <c r="W2198">
        <v>9</v>
      </c>
      <c r="X2198">
        <v>58</v>
      </c>
      <c r="Y2198" s="5">
        <v>2.17</v>
      </c>
    </row>
    <row r="2199" spans="1:25" x14ac:dyDescent="0.25">
      <c r="A2199">
        <v>2023</v>
      </c>
      <c r="B2199" t="s">
        <v>57</v>
      </c>
      <c r="C2199">
        <v>16</v>
      </c>
      <c r="D2199">
        <v>169</v>
      </c>
      <c r="E2199" t="s">
        <v>190</v>
      </c>
      <c r="F2199" t="s">
        <v>103</v>
      </c>
      <c r="G2199">
        <f t="shared" si="1433"/>
        <v>1</v>
      </c>
      <c r="H2199">
        <v>9</v>
      </c>
      <c r="I2199">
        <v>4</v>
      </c>
      <c r="J2199">
        <v>0</v>
      </c>
      <c r="K2199" s="6" t="str">
        <f t="shared" ref="K2199" si="1476">"vs "&amp;E2198</f>
        <v>vs Guruuu 🐐🐐🐐</v>
      </c>
      <c r="L2199" s="6" t="str">
        <f t="shared" ref="L2199" si="1477">"vs "&amp;F2198</f>
        <v>vs Guru</v>
      </c>
      <c r="M2199">
        <v>190</v>
      </c>
      <c r="N2199" s="1">
        <v>0.5</v>
      </c>
      <c r="O2199">
        <v>38</v>
      </c>
      <c r="P2199" s="1">
        <v>0.32800000000000001</v>
      </c>
      <c r="Q2199" s="1">
        <v>0.83799999999999997</v>
      </c>
      <c r="R2199">
        <v>501</v>
      </c>
      <c r="S2199">
        <v>54</v>
      </c>
      <c r="T2199">
        <v>125</v>
      </c>
      <c r="U2199">
        <v>113</v>
      </c>
      <c r="V2199">
        <v>20</v>
      </c>
      <c r="W2199">
        <v>28</v>
      </c>
      <c r="X2199">
        <v>44</v>
      </c>
      <c r="Y2199" s="5">
        <v>2.57</v>
      </c>
    </row>
    <row r="2200" spans="1:25" x14ac:dyDescent="0.25">
      <c r="A2200">
        <v>2023</v>
      </c>
      <c r="B2200" t="s">
        <v>57</v>
      </c>
      <c r="C2200">
        <v>16</v>
      </c>
      <c r="D2200">
        <v>170</v>
      </c>
      <c r="E2200" t="s">
        <v>33</v>
      </c>
      <c r="F2200" t="s">
        <v>42</v>
      </c>
      <c r="G2200">
        <f t="shared" si="1433"/>
        <v>0</v>
      </c>
      <c r="H2200">
        <v>5</v>
      </c>
      <c r="I2200">
        <v>7</v>
      </c>
      <c r="J2200">
        <v>1</v>
      </c>
      <c r="K2200" s="6" t="str">
        <f t="shared" ref="K2200" si="1478">"vs "&amp;E2201</f>
        <v>vs Samarina Dudenbros</v>
      </c>
      <c r="L2200" s="6" t="str">
        <f t="shared" ref="L2200" si="1479">"vs "&amp;F2201</f>
        <v>vs Sakellariou</v>
      </c>
      <c r="M2200">
        <v>165</v>
      </c>
      <c r="N2200" s="1">
        <v>0.51700000000000002</v>
      </c>
      <c r="O2200">
        <v>55</v>
      </c>
      <c r="P2200" s="1">
        <v>0.45100000000000001</v>
      </c>
      <c r="Q2200" s="1">
        <v>0.77800000000000002</v>
      </c>
      <c r="R2200">
        <v>469</v>
      </c>
      <c r="S2200">
        <v>50</v>
      </c>
      <c r="T2200">
        <v>121</v>
      </c>
      <c r="U2200">
        <v>101</v>
      </c>
      <c r="V2200">
        <v>28</v>
      </c>
      <c r="W2200">
        <v>18</v>
      </c>
      <c r="X2200">
        <v>56</v>
      </c>
      <c r="Y2200" s="5">
        <v>1.8</v>
      </c>
    </row>
    <row r="2201" spans="1:25" x14ac:dyDescent="0.25">
      <c r="A2201">
        <v>2023</v>
      </c>
      <c r="B2201" t="s">
        <v>57</v>
      </c>
      <c r="C2201">
        <v>16</v>
      </c>
      <c r="D2201">
        <v>170</v>
      </c>
      <c r="E2201" t="s">
        <v>181</v>
      </c>
      <c r="F2201" t="s">
        <v>49</v>
      </c>
      <c r="G2201">
        <f t="shared" si="1433"/>
        <v>1</v>
      </c>
      <c r="H2201">
        <v>7</v>
      </c>
      <c r="I2201">
        <v>5</v>
      </c>
      <c r="J2201">
        <v>1</v>
      </c>
      <c r="K2201" s="6" t="str">
        <f t="shared" ref="K2201" si="1480">"vs "&amp;E2200</f>
        <v>vs The Guns</v>
      </c>
      <c r="L2201" s="6" t="str">
        <f t="shared" ref="L2201" si="1481">"vs "&amp;F2200</f>
        <v>vs Vasilis</v>
      </c>
      <c r="M2201">
        <v>188</v>
      </c>
      <c r="N2201" s="1">
        <v>0.47199999999999998</v>
      </c>
      <c r="O2201">
        <v>51</v>
      </c>
      <c r="P2201" s="1">
        <v>0.36199999999999999</v>
      </c>
      <c r="Q2201" s="1">
        <v>0.86399999999999999</v>
      </c>
      <c r="R2201">
        <v>535</v>
      </c>
      <c r="S2201">
        <v>39</v>
      </c>
      <c r="T2201">
        <v>155</v>
      </c>
      <c r="U2201">
        <v>106</v>
      </c>
      <c r="V2201">
        <v>28</v>
      </c>
      <c r="W2201">
        <v>14</v>
      </c>
      <c r="X2201">
        <v>48</v>
      </c>
      <c r="Y2201" s="5">
        <v>2.21</v>
      </c>
    </row>
    <row r="2202" spans="1:25" x14ac:dyDescent="0.25">
      <c r="A2202">
        <v>2023</v>
      </c>
      <c r="B2202" t="s">
        <v>57</v>
      </c>
      <c r="C2202">
        <v>17</v>
      </c>
      <c r="D2202">
        <v>171</v>
      </c>
      <c r="E2202" t="s">
        <v>154</v>
      </c>
      <c r="F2202" t="s">
        <v>155</v>
      </c>
      <c r="G2202">
        <f t="shared" si="1433"/>
        <v>0</v>
      </c>
      <c r="H2202">
        <v>5</v>
      </c>
      <c r="I2202">
        <v>8</v>
      </c>
      <c r="J2202">
        <v>0</v>
      </c>
      <c r="K2202" s="6" t="str">
        <f t="shared" ref="K2202" si="1482">"vs "&amp;E2203</f>
        <v>vs Salonika Devils</v>
      </c>
      <c r="L2202" s="6" t="str">
        <f t="shared" ref="L2202" si="1483">"vs "&amp;F2203</f>
        <v>vs Fountos</v>
      </c>
      <c r="M2202">
        <v>115</v>
      </c>
      <c r="N2202" s="1">
        <v>0.53200000000000003</v>
      </c>
      <c r="O2202">
        <v>25</v>
      </c>
      <c r="P2202" s="1">
        <v>0.373</v>
      </c>
      <c r="Q2202" s="1">
        <v>0.67300000000000004</v>
      </c>
      <c r="R2202">
        <v>288</v>
      </c>
      <c r="S2202">
        <v>43</v>
      </c>
      <c r="T2202">
        <v>107</v>
      </c>
      <c r="U2202">
        <v>47</v>
      </c>
      <c r="V2202">
        <v>23</v>
      </c>
      <c r="W2202">
        <v>22</v>
      </c>
      <c r="X2202">
        <v>30</v>
      </c>
      <c r="Y2202" s="5">
        <v>1.57</v>
      </c>
    </row>
    <row r="2203" spans="1:25" x14ac:dyDescent="0.25">
      <c r="A2203">
        <v>2023</v>
      </c>
      <c r="B2203" t="s">
        <v>57</v>
      </c>
      <c r="C2203">
        <v>17</v>
      </c>
      <c r="D2203">
        <v>171</v>
      </c>
      <c r="E2203" t="s">
        <v>15</v>
      </c>
      <c r="F2203" t="s">
        <v>48</v>
      </c>
      <c r="G2203">
        <f t="shared" si="1433"/>
        <v>1</v>
      </c>
      <c r="H2203">
        <v>8</v>
      </c>
      <c r="I2203">
        <v>5</v>
      </c>
      <c r="J2203">
        <v>0</v>
      </c>
      <c r="K2203" s="6" t="str">
        <f t="shared" ref="K2203" si="1484">"vs "&amp;E2202</f>
        <v>vs The Bad Boys</v>
      </c>
      <c r="L2203" s="6" t="str">
        <f t="shared" ref="L2203" si="1485">"vs "&amp;F2202</f>
        <v>vs Arvanitis</v>
      </c>
      <c r="M2203">
        <v>167</v>
      </c>
      <c r="N2203" s="1">
        <v>0.54200000000000004</v>
      </c>
      <c r="O2203">
        <v>45</v>
      </c>
      <c r="P2203" s="1">
        <v>0.40500000000000003</v>
      </c>
      <c r="Q2203" s="1">
        <v>0.73599999999999999</v>
      </c>
      <c r="R2203">
        <v>443</v>
      </c>
      <c r="S2203">
        <v>28</v>
      </c>
      <c r="T2203">
        <v>105</v>
      </c>
      <c r="U2203">
        <v>95</v>
      </c>
      <c r="V2203">
        <v>14</v>
      </c>
      <c r="W2203">
        <v>17</v>
      </c>
      <c r="X2203">
        <v>50</v>
      </c>
      <c r="Y2203" s="5">
        <v>1.9</v>
      </c>
    </row>
    <row r="2204" spans="1:25" x14ac:dyDescent="0.25">
      <c r="A2204">
        <v>2023</v>
      </c>
      <c r="B2204" t="s">
        <v>57</v>
      </c>
      <c r="C2204">
        <v>17</v>
      </c>
      <c r="D2204">
        <v>172</v>
      </c>
      <c r="E2204" t="s">
        <v>94</v>
      </c>
      <c r="F2204" t="s">
        <v>40</v>
      </c>
      <c r="G2204">
        <f t="shared" si="1433"/>
        <v>1</v>
      </c>
      <c r="H2204">
        <v>7</v>
      </c>
      <c r="I2204">
        <v>5</v>
      </c>
      <c r="J2204">
        <v>1</v>
      </c>
      <c r="K2204" s="6" t="str">
        <f t="shared" ref="K2204" si="1486">"vs "&amp;E2205</f>
        <v>vs Kourayo Vallecano</v>
      </c>
      <c r="L2204" s="6" t="str">
        <f t="shared" ref="L2204" si="1487">"vs "&amp;F2205</f>
        <v>vs Ziogas/Christof</v>
      </c>
      <c r="M2204">
        <v>134</v>
      </c>
      <c r="N2204" s="1">
        <v>0.498</v>
      </c>
      <c r="O2204">
        <v>44</v>
      </c>
      <c r="P2204" s="1">
        <v>0.36399999999999999</v>
      </c>
      <c r="Q2204" s="1">
        <v>0.83699999999999997</v>
      </c>
      <c r="R2204">
        <v>389</v>
      </c>
      <c r="S2204">
        <v>22</v>
      </c>
      <c r="T2204">
        <v>100</v>
      </c>
      <c r="U2204">
        <v>90</v>
      </c>
      <c r="V2204">
        <v>21</v>
      </c>
      <c r="W2204">
        <v>11</v>
      </c>
      <c r="X2204">
        <v>37</v>
      </c>
      <c r="Y2204" s="5">
        <v>2.4300000000000002</v>
      </c>
    </row>
    <row r="2205" spans="1:25" x14ac:dyDescent="0.25">
      <c r="A2205">
        <v>2023</v>
      </c>
      <c r="B2205" t="s">
        <v>57</v>
      </c>
      <c r="C2205">
        <v>17</v>
      </c>
      <c r="D2205">
        <v>172</v>
      </c>
      <c r="E2205" t="s">
        <v>26</v>
      </c>
      <c r="F2205" t="s">
        <v>118</v>
      </c>
      <c r="G2205">
        <f t="shared" si="1433"/>
        <v>0</v>
      </c>
      <c r="H2205">
        <v>5</v>
      </c>
      <c r="I2205">
        <v>7</v>
      </c>
      <c r="J2205">
        <v>1</v>
      </c>
      <c r="K2205" s="6" t="str">
        <f t="shared" ref="K2205" si="1488">"vs "&amp;E2204</f>
        <v>vs Fighting Thaddeus</v>
      </c>
      <c r="L2205" s="6" t="str">
        <f t="shared" ref="L2205" si="1489">"vs "&amp;F2204</f>
        <v>vs Stavros</v>
      </c>
      <c r="M2205">
        <v>138</v>
      </c>
      <c r="N2205" s="1">
        <v>0.40799999999999997</v>
      </c>
      <c r="O2205">
        <v>56</v>
      </c>
      <c r="P2205" s="1">
        <v>0.32700000000000001</v>
      </c>
      <c r="Q2205" s="1">
        <v>0.79</v>
      </c>
      <c r="R2205">
        <v>381</v>
      </c>
      <c r="S2205">
        <v>25</v>
      </c>
      <c r="T2205">
        <v>116</v>
      </c>
      <c r="U2205">
        <v>108</v>
      </c>
      <c r="V2205">
        <v>21</v>
      </c>
      <c r="W2205">
        <v>9</v>
      </c>
      <c r="X2205">
        <v>50</v>
      </c>
      <c r="Y2205" s="5">
        <v>2.16</v>
      </c>
    </row>
    <row r="2206" spans="1:25" x14ac:dyDescent="0.25">
      <c r="A2206">
        <v>2023</v>
      </c>
      <c r="B2206" t="s">
        <v>57</v>
      </c>
      <c r="C2206">
        <v>17</v>
      </c>
      <c r="D2206">
        <v>173</v>
      </c>
      <c r="E2206" t="s">
        <v>23</v>
      </c>
      <c r="F2206" t="s">
        <v>120</v>
      </c>
      <c r="G2206">
        <f t="shared" si="1433"/>
        <v>1</v>
      </c>
      <c r="H2206">
        <v>11</v>
      </c>
      <c r="I2206">
        <v>2</v>
      </c>
      <c r="J2206">
        <v>0</v>
      </c>
      <c r="K2206" s="6" t="str">
        <f t="shared" ref="K2206" si="1490">"vs "&amp;E2207</f>
        <v>vs The Rookies</v>
      </c>
      <c r="L2206" s="6" t="str">
        <f t="shared" ref="L2206" si="1491">"vs "&amp;F2207</f>
        <v>vs Kousidis</v>
      </c>
      <c r="M2206">
        <v>193</v>
      </c>
      <c r="N2206" s="1">
        <v>0.56399999999999995</v>
      </c>
      <c r="O2206">
        <v>41</v>
      </c>
      <c r="P2206" s="1">
        <v>0.432</v>
      </c>
      <c r="Q2206" s="1">
        <v>0.81599999999999995</v>
      </c>
      <c r="R2206">
        <v>511</v>
      </c>
      <c r="S2206">
        <v>45</v>
      </c>
      <c r="T2206">
        <v>107</v>
      </c>
      <c r="U2206">
        <v>88</v>
      </c>
      <c r="V2206">
        <v>27</v>
      </c>
      <c r="W2206">
        <v>24</v>
      </c>
      <c r="X2206">
        <v>58</v>
      </c>
      <c r="Y2206" s="5">
        <v>1.52</v>
      </c>
    </row>
    <row r="2207" spans="1:25" x14ac:dyDescent="0.25">
      <c r="A2207">
        <v>2023</v>
      </c>
      <c r="B2207" t="s">
        <v>57</v>
      </c>
      <c r="C2207">
        <v>17</v>
      </c>
      <c r="D2207">
        <v>173</v>
      </c>
      <c r="E2207" t="s">
        <v>25</v>
      </c>
      <c r="F2207" t="s">
        <v>53</v>
      </c>
      <c r="G2207">
        <f t="shared" si="1433"/>
        <v>0</v>
      </c>
      <c r="H2207">
        <v>2</v>
      </c>
      <c r="I2207">
        <v>11</v>
      </c>
      <c r="J2207">
        <v>0</v>
      </c>
      <c r="K2207" s="6" t="str">
        <f t="shared" ref="K2207" si="1492">"vs "&amp;E2206</f>
        <v>vs Pachiana NinjaBees</v>
      </c>
      <c r="L2207" s="6" t="str">
        <f t="shared" ref="L2207" si="1493">"vs "&amp;F2206</f>
        <v>vs Spiridaus/Oladipas</v>
      </c>
      <c r="M2207">
        <v>139</v>
      </c>
      <c r="N2207" s="1">
        <v>0.46500000000000002</v>
      </c>
      <c r="O2207">
        <v>23</v>
      </c>
      <c r="P2207" s="1">
        <v>0.24</v>
      </c>
      <c r="Q2207" s="1">
        <v>0.79300000000000004</v>
      </c>
      <c r="R2207">
        <v>389</v>
      </c>
      <c r="S2207">
        <v>37</v>
      </c>
      <c r="T2207">
        <v>97</v>
      </c>
      <c r="U2207">
        <v>70</v>
      </c>
      <c r="V2207">
        <v>20</v>
      </c>
      <c r="W2207">
        <v>12</v>
      </c>
      <c r="X2207">
        <v>38</v>
      </c>
      <c r="Y2207" s="5">
        <v>1.84</v>
      </c>
    </row>
    <row r="2208" spans="1:25" x14ac:dyDescent="0.25">
      <c r="A2208">
        <v>2023</v>
      </c>
      <c r="B2208" t="s">
        <v>57</v>
      </c>
      <c r="C2208">
        <v>17</v>
      </c>
      <c r="D2208">
        <v>174</v>
      </c>
      <c r="E2208" t="s">
        <v>181</v>
      </c>
      <c r="F2208" t="s">
        <v>49</v>
      </c>
      <c r="G2208">
        <f t="shared" si="1433"/>
        <v>1</v>
      </c>
      <c r="H2208">
        <v>9</v>
      </c>
      <c r="I2208">
        <v>4</v>
      </c>
      <c r="J2208">
        <v>0</v>
      </c>
      <c r="K2208" s="6" t="str">
        <f t="shared" ref="K2208" si="1494">"vs "&amp;E2209</f>
        <v>vs Guruuu 🐐🐐🐐</v>
      </c>
      <c r="L2208" s="6" t="str">
        <f t="shared" ref="L2208" si="1495">"vs "&amp;F2209</f>
        <v>vs Guru</v>
      </c>
      <c r="M2208">
        <v>198</v>
      </c>
      <c r="N2208" s="1">
        <v>0.50600000000000001</v>
      </c>
      <c r="O2208">
        <v>51</v>
      </c>
      <c r="P2208" s="1">
        <v>0.372</v>
      </c>
      <c r="Q2208" s="1">
        <v>0.83499999999999996</v>
      </c>
      <c r="R2208">
        <v>548</v>
      </c>
      <c r="S2208">
        <v>46</v>
      </c>
      <c r="T2208">
        <v>148</v>
      </c>
      <c r="U2208">
        <v>94</v>
      </c>
      <c r="V2208">
        <v>33</v>
      </c>
      <c r="W2208">
        <v>15</v>
      </c>
      <c r="X2208">
        <v>62</v>
      </c>
      <c r="Y2208" s="5">
        <v>1.52</v>
      </c>
    </row>
    <row r="2209" spans="1:25" x14ac:dyDescent="0.25">
      <c r="A2209">
        <v>2023</v>
      </c>
      <c r="B2209" t="s">
        <v>57</v>
      </c>
      <c r="C2209">
        <v>17</v>
      </c>
      <c r="D2209">
        <v>174</v>
      </c>
      <c r="E2209" t="s">
        <v>93</v>
      </c>
      <c r="F2209" t="s">
        <v>189</v>
      </c>
      <c r="G2209">
        <f t="shared" si="1433"/>
        <v>0</v>
      </c>
      <c r="H2209">
        <v>4</v>
      </c>
      <c r="I2209">
        <v>9</v>
      </c>
      <c r="J2209">
        <v>0</v>
      </c>
      <c r="K2209" s="6" t="str">
        <f t="shared" ref="K2209" si="1496">"vs "&amp;E2208</f>
        <v>vs Samarina Dudenbros</v>
      </c>
      <c r="L2209" s="6" t="str">
        <f t="shared" ref="L2209" si="1497">"vs "&amp;F2208</f>
        <v>vs Sakellariou</v>
      </c>
      <c r="M2209">
        <v>148</v>
      </c>
      <c r="N2209" s="1">
        <v>0.433</v>
      </c>
      <c r="O2209">
        <v>42</v>
      </c>
      <c r="P2209" s="1">
        <v>0.316</v>
      </c>
      <c r="Q2209" s="1">
        <v>0.85499999999999998</v>
      </c>
      <c r="R2209">
        <v>444</v>
      </c>
      <c r="S2209">
        <v>16</v>
      </c>
      <c r="T2209">
        <v>96</v>
      </c>
      <c r="U2209">
        <v>120</v>
      </c>
      <c r="V2209">
        <v>29</v>
      </c>
      <c r="W2209">
        <v>11</v>
      </c>
      <c r="X2209">
        <v>56</v>
      </c>
      <c r="Y2209" s="5">
        <v>2.14</v>
      </c>
    </row>
    <row r="2210" spans="1:25" x14ac:dyDescent="0.25">
      <c r="A2210">
        <v>2023</v>
      </c>
      <c r="B2210" t="s">
        <v>57</v>
      </c>
      <c r="C2210">
        <v>17</v>
      </c>
      <c r="D2210">
        <v>175</v>
      </c>
      <c r="E2210" t="s">
        <v>21</v>
      </c>
      <c r="F2210" t="s">
        <v>50</v>
      </c>
      <c r="G2210">
        <f t="shared" si="1433"/>
        <v>0</v>
      </c>
      <c r="H2210">
        <v>5</v>
      </c>
      <c r="I2210">
        <v>8</v>
      </c>
      <c r="J2210">
        <v>0</v>
      </c>
      <c r="K2210" s="6" t="str">
        <f t="shared" ref="K2210" si="1498">"vs "&amp;E2211</f>
        <v>vs Baltimore Hercules</v>
      </c>
      <c r="L2210" s="6" t="str">
        <f t="shared" ref="L2210" si="1499">"vs "&amp;F2211</f>
        <v>vs Sarantos</v>
      </c>
      <c r="M2210">
        <v>124</v>
      </c>
      <c r="N2210" s="1">
        <v>0.438</v>
      </c>
      <c r="O2210">
        <v>36</v>
      </c>
      <c r="P2210" s="1">
        <v>0.33</v>
      </c>
      <c r="Q2210" s="1">
        <v>0.75700000000000001</v>
      </c>
      <c r="R2210">
        <v>340</v>
      </c>
      <c r="S2210">
        <v>9</v>
      </c>
      <c r="T2210">
        <v>61</v>
      </c>
      <c r="U2210">
        <v>86</v>
      </c>
      <c r="V2210">
        <v>27</v>
      </c>
      <c r="W2210">
        <v>12</v>
      </c>
      <c r="X2210">
        <v>40</v>
      </c>
      <c r="Y2210" s="5">
        <v>2.15</v>
      </c>
    </row>
    <row r="2211" spans="1:25" x14ac:dyDescent="0.25">
      <c r="A2211">
        <v>2023</v>
      </c>
      <c r="B2211" t="s">
        <v>57</v>
      </c>
      <c r="C2211">
        <v>17</v>
      </c>
      <c r="D2211">
        <v>175</v>
      </c>
      <c r="E2211" t="s">
        <v>95</v>
      </c>
      <c r="F2211" t="s">
        <v>101</v>
      </c>
      <c r="G2211">
        <f t="shared" si="1433"/>
        <v>1</v>
      </c>
      <c r="H2211">
        <v>8</v>
      </c>
      <c r="I2211">
        <v>5</v>
      </c>
      <c r="J2211">
        <v>0</v>
      </c>
      <c r="K2211" s="6" t="str">
        <f t="shared" ref="K2211" si="1500">"vs "&amp;E2210</f>
        <v>vs st.Helens Eruptions</v>
      </c>
      <c r="L2211" s="6" t="str">
        <f t="shared" ref="L2211" si="1501">"vs "&amp;F2210</f>
        <v>vs Aris</v>
      </c>
      <c r="M2211">
        <v>123</v>
      </c>
      <c r="N2211" s="1">
        <v>0.498</v>
      </c>
      <c r="O2211">
        <v>41</v>
      </c>
      <c r="P2211" s="1">
        <v>0.38300000000000001</v>
      </c>
      <c r="Q2211" s="1">
        <v>0.75600000000000001</v>
      </c>
      <c r="R2211">
        <v>321</v>
      </c>
      <c r="S2211">
        <v>26</v>
      </c>
      <c r="T2211">
        <v>89</v>
      </c>
      <c r="U2211">
        <v>70</v>
      </c>
      <c r="V2211">
        <v>25</v>
      </c>
      <c r="W2211">
        <v>15</v>
      </c>
      <c r="X2211">
        <v>29</v>
      </c>
      <c r="Y2211" s="5">
        <v>2.41</v>
      </c>
    </row>
    <row r="2212" spans="1:25" x14ac:dyDescent="0.25">
      <c r="A2212">
        <v>2023</v>
      </c>
      <c r="B2212" t="s">
        <v>57</v>
      </c>
      <c r="C2212">
        <v>17</v>
      </c>
      <c r="D2212">
        <v>176</v>
      </c>
      <c r="E2212" t="s">
        <v>98</v>
      </c>
      <c r="F2212" t="s">
        <v>41</v>
      </c>
      <c r="G2212">
        <f t="shared" si="1433"/>
        <v>1</v>
      </c>
      <c r="H2212">
        <v>12</v>
      </c>
      <c r="I2212">
        <v>1</v>
      </c>
      <c r="J2212">
        <v>0</v>
      </c>
      <c r="K2212" s="6" t="str">
        <f t="shared" ref="K2212" si="1502">"vs "&amp;E2213</f>
        <v>vs LRBP PR3DATORS</v>
      </c>
      <c r="L2212" s="6" t="str">
        <f t="shared" ref="L2212" si="1503">"vs "&amp;F2213</f>
        <v>vs Lafa</v>
      </c>
      <c r="M2212">
        <v>191</v>
      </c>
      <c r="N2212" s="1">
        <v>0.51600000000000001</v>
      </c>
      <c r="O2212">
        <v>38</v>
      </c>
      <c r="P2212" s="1">
        <v>0.34899999999999998</v>
      </c>
      <c r="Q2212" s="1">
        <v>0.81200000000000006</v>
      </c>
      <c r="R2212">
        <v>502</v>
      </c>
      <c r="S2212">
        <v>50</v>
      </c>
      <c r="T2212">
        <v>173</v>
      </c>
      <c r="U2212">
        <v>127</v>
      </c>
      <c r="V2212">
        <v>34</v>
      </c>
      <c r="W2212">
        <v>22</v>
      </c>
      <c r="X2212">
        <v>47</v>
      </c>
      <c r="Y2212" s="5">
        <v>2.7</v>
      </c>
    </row>
    <row r="2213" spans="1:25" x14ac:dyDescent="0.25">
      <c r="A2213">
        <v>2023</v>
      </c>
      <c r="B2213" t="s">
        <v>57</v>
      </c>
      <c r="C2213">
        <v>17</v>
      </c>
      <c r="D2213">
        <v>176</v>
      </c>
      <c r="E2213" t="s">
        <v>158</v>
      </c>
      <c r="F2213" t="s">
        <v>177</v>
      </c>
      <c r="G2213">
        <f t="shared" si="1433"/>
        <v>0</v>
      </c>
      <c r="H2213">
        <v>1</v>
      </c>
      <c r="I2213">
        <v>12</v>
      </c>
      <c r="J2213">
        <v>0</v>
      </c>
      <c r="K2213" s="6" t="str">
        <f t="shared" ref="K2213" si="1504">"vs "&amp;E2212</f>
        <v>vs Xanthi Ducks 🦆</v>
      </c>
      <c r="L2213" s="6" t="str">
        <f t="shared" ref="L2213" si="1505">"vs "&amp;F2212</f>
        <v>vs Kotakis</v>
      </c>
      <c r="M2213">
        <v>154</v>
      </c>
      <c r="N2213" s="1">
        <v>0.45300000000000001</v>
      </c>
      <c r="O2213">
        <v>21</v>
      </c>
      <c r="P2213" s="1">
        <v>0.28000000000000003</v>
      </c>
      <c r="Q2213" s="1">
        <v>0.82099999999999995</v>
      </c>
      <c r="R2213">
        <v>416</v>
      </c>
      <c r="S2213">
        <v>48</v>
      </c>
      <c r="T2213">
        <v>145</v>
      </c>
      <c r="U2213">
        <v>101</v>
      </c>
      <c r="V2213">
        <v>23</v>
      </c>
      <c r="W2213">
        <v>13</v>
      </c>
      <c r="X2213">
        <v>52</v>
      </c>
      <c r="Y2213" s="5">
        <v>1.94</v>
      </c>
    </row>
    <row r="2214" spans="1:25" x14ac:dyDescent="0.25">
      <c r="A2214">
        <v>2023</v>
      </c>
      <c r="B2214" t="s">
        <v>57</v>
      </c>
      <c r="C2214">
        <v>17</v>
      </c>
      <c r="D2214">
        <v>177</v>
      </c>
      <c r="E2214" t="s">
        <v>17</v>
      </c>
      <c r="F2214" t="s">
        <v>43</v>
      </c>
      <c r="G2214">
        <f t="shared" si="1433"/>
        <v>1</v>
      </c>
      <c r="H2214">
        <v>10</v>
      </c>
      <c r="I2214">
        <v>2</v>
      </c>
      <c r="J2214">
        <v>1</v>
      </c>
      <c r="K2214" s="6" t="str">
        <f t="shared" ref="K2214" si="1506">"vs "&amp;E2215</f>
        <v>vs Knights of Ni</v>
      </c>
      <c r="L2214" s="6" t="str">
        <f t="shared" ref="L2214" si="1507">"vs "&amp;F2215</f>
        <v>vs Tolios</v>
      </c>
      <c r="M2214">
        <v>192</v>
      </c>
      <c r="N2214" s="1">
        <v>0.47199999999999998</v>
      </c>
      <c r="O2214">
        <v>61</v>
      </c>
      <c r="P2214" s="1">
        <v>0.36099999999999999</v>
      </c>
      <c r="Q2214" s="1">
        <v>0.73099999999999998</v>
      </c>
      <c r="R2214">
        <v>532</v>
      </c>
      <c r="S2214">
        <v>30</v>
      </c>
      <c r="T2214">
        <v>127</v>
      </c>
      <c r="U2214">
        <v>96</v>
      </c>
      <c r="V2214">
        <v>35</v>
      </c>
      <c r="W2214">
        <v>17</v>
      </c>
      <c r="X2214">
        <v>38</v>
      </c>
      <c r="Y2214" s="5">
        <v>2.5299999999999998</v>
      </c>
    </row>
    <row r="2215" spans="1:25" x14ac:dyDescent="0.25">
      <c r="A2215">
        <v>2023</v>
      </c>
      <c r="B2215" t="s">
        <v>57</v>
      </c>
      <c r="C2215">
        <v>17</v>
      </c>
      <c r="D2215">
        <v>177</v>
      </c>
      <c r="E2215" t="s">
        <v>96</v>
      </c>
      <c r="F2215" t="s">
        <v>102</v>
      </c>
      <c r="G2215">
        <f t="shared" si="1433"/>
        <v>0</v>
      </c>
      <c r="H2215">
        <v>2</v>
      </c>
      <c r="I2215">
        <v>10</v>
      </c>
      <c r="J2215">
        <v>1</v>
      </c>
      <c r="K2215" s="6" t="str">
        <f t="shared" ref="K2215" si="1508">"vs "&amp;E2214</f>
        <v>vs Donkey Rolls</v>
      </c>
      <c r="L2215" s="6" t="str">
        <f t="shared" ref="L2215" si="1509">"vs "&amp;F2214</f>
        <v>vs Markos</v>
      </c>
      <c r="M2215">
        <v>119</v>
      </c>
      <c r="N2215" s="1">
        <v>0.45600000000000002</v>
      </c>
      <c r="O2215">
        <v>25</v>
      </c>
      <c r="P2215" s="1">
        <v>0.313</v>
      </c>
      <c r="Q2215" s="1">
        <v>0.71</v>
      </c>
      <c r="R2215">
        <v>307</v>
      </c>
      <c r="S2215">
        <v>50</v>
      </c>
      <c r="T2215">
        <v>108</v>
      </c>
      <c r="U2215">
        <v>60</v>
      </c>
      <c r="V2215">
        <v>32</v>
      </c>
      <c r="W2215">
        <v>17</v>
      </c>
      <c r="X2215">
        <v>28</v>
      </c>
      <c r="Y2215" s="5">
        <v>2.14</v>
      </c>
    </row>
    <row r="2216" spans="1:25" x14ac:dyDescent="0.25">
      <c r="A2216">
        <v>2023</v>
      </c>
      <c r="B2216" t="s">
        <v>57</v>
      </c>
      <c r="C2216">
        <v>17</v>
      </c>
      <c r="D2216">
        <v>178</v>
      </c>
      <c r="E2216" t="s">
        <v>190</v>
      </c>
      <c r="F2216" t="s">
        <v>103</v>
      </c>
      <c r="G2216">
        <f t="shared" si="1433"/>
        <v>1</v>
      </c>
      <c r="H2216">
        <v>9</v>
      </c>
      <c r="I2216">
        <v>4</v>
      </c>
      <c r="J2216">
        <v>0</v>
      </c>
      <c r="K2216" s="6" t="str">
        <f t="shared" ref="K2216" si="1510">"vs "&amp;E2217</f>
        <v>vs Steven Adams' Moustache</v>
      </c>
      <c r="L2216" s="6" t="str">
        <f t="shared" ref="L2216" si="1511">"vs "&amp;F2217</f>
        <v>vs Johnny</v>
      </c>
      <c r="M2216">
        <v>201</v>
      </c>
      <c r="N2216" s="1">
        <v>0.55400000000000005</v>
      </c>
      <c r="O2216">
        <v>60</v>
      </c>
      <c r="P2216" s="1">
        <v>0.45800000000000002</v>
      </c>
      <c r="Q2216" s="1">
        <v>0.877</v>
      </c>
      <c r="R2216">
        <v>569</v>
      </c>
      <c r="S2216">
        <v>29</v>
      </c>
      <c r="T2216">
        <v>103</v>
      </c>
      <c r="U2216">
        <v>112</v>
      </c>
      <c r="V2216">
        <v>32</v>
      </c>
      <c r="W2216">
        <v>26</v>
      </c>
      <c r="X2216">
        <v>55</v>
      </c>
      <c r="Y2216" s="5">
        <v>2.04</v>
      </c>
    </row>
    <row r="2217" spans="1:25" x14ac:dyDescent="0.25">
      <c r="A2217">
        <v>2023</v>
      </c>
      <c r="B2217" t="s">
        <v>57</v>
      </c>
      <c r="C2217">
        <v>17</v>
      </c>
      <c r="D2217">
        <v>178</v>
      </c>
      <c r="E2217" t="s">
        <v>28</v>
      </c>
      <c r="F2217" t="s">
        <v>46</v>
      </c>
      <c r="G2217">
        <f t="shared" si="1433"/>
        <v>0</v>
      </c>
      <c r="H2217">
        <v>4</v>
      </c>
      <c r="I2217">
        <v>9</v>
      </c>
      <c r="J2217">
        <v>0</v>
      </c>
      <c r="K2217" s="6" t="str">
        <f t="shared" ref="K2217" si="1512">"vs "&amp;E2216</f>
        <v>vs Karafli SaiTa</v>
      </c>
      <c r="L2217" s="6" t="str">
        <f t="shared" ref="L2217" si="1513">"vs "&amp;F2216</f>
        <v>vs Tassos</v>
      </c>
      <c r="M2217">
        <v>145</v>
      </c>
      <c r="N2217" s="1">
        <v>0.443</v>
      </c>
      <c r="O2217">
        <v>38</v>
      </c>
      <c r="P2217" s="1">
        <v>0.29699999999999999</v>
      </c>
      <c r="Q2217" s="1">
        <v>0.81399999999999995</v>
      </c>
      <c r="R2217">
        <v>411</v>
      </c>
      <c r="S2217">
        <v>26</v>
      </c>
      <c r="T2217">
        <v>104</v>
      </c>
      <c r="U2217">
        <v>128</v>
      </c>
      <c r="V2217">
        <v>20</v>
      </c>
      <c r="W2217">
        <v>16</v>
      </c>
      <c r="X2217">
        <v>47</v>
      </c>
      <c r="Y2217" s="5">
        <v>2.72</v>
      </c>
    </row>
    <row r="2218" spans="1:25" x14ac:dyDescent="0.25">
      <c r="A2218">
        <v>2023</v>
      </c>
      <c r="B2218" t="s">
        <v>57</v>
      </c>
      <c r="C2218">
        <v>17</v>
      </c>
      <c r="D2218">
        <v>179</v>
      </c>
      <c r="E2218" t="s">
        <v>99</v>
      </c>
      <c r="F2218" t="s">
        <v>45</v>
      </c>
      <c r="G2218">
        <f t="shared" si="1433"/>
        <v>1</v>
      </c>
      <c r="H2218">
        <v>7</v>
      </c>
      <c r="I2218">
        <v>4</v>
      </c>
      <c r="J2218">
        <v>2</v>
      </c>
      <c r="K2218" s="6" t="str">
        <f t="shared" ref="K2218" si="1514">"vs "&amp;E2219</f>
        <v>vs purple fuzzy apache pirates</v>
      </c>
      <c r="L2218" s="6" t="str">
        <f t="shared" ref="L2218" si="1515">"vs "&amp;F2219</f>
        <v>vs pi/Sotiris</v>
      </c>
      <c r="M2218">
        <v>172</v>
      </c>
      <c r="N2218" s="1">
        <v>0.49099999999999999</v>
      </c>
      <c r="O2218">
        <v>37</v>
      </c>
      <c r="P2218" s="1">
        <v>0.28699999999999998</v>
      </c>
      <c r="Q2218" s="1">
        <v>0.80200000000000005</v>
      </c>
      <c r="R2218">
        <v>450</v>
      </c>
      <c r="S2218">
        <v>37</v>
      </c>
      <c r="T2218">
        <v>147</v>
      </c>
      <c r="U2218">
        <v>78</v>
      </c>
      <c r="V2218">
        <v>35</v>
      </c>
      <c r="W2218">
        <v>16</v>
      </c>
      <c r="X2218">
        <v>57</v>
      </c>
      <c r="Y2218" s="5">
        <v>1.37</v>
      </c>
    </row>
    <row r="2219" spans="1:25" x14ac:dyDescent="0.25">
      <c r="A2219">
        <v>2023</v>
      </c>
      <c r="B2219" t="s">
        <v>57</v>
      </c>
      <c r="C2219">
        <v>17</v>
      </c>
      <c r="D2219">
        <v>179</v>
      </c>
      <c r="E2219" t="s">
        <v>159</v>
      </c>
      <c r="F2219" t="s">
        <v>116</v>
      </c>
      <c r="G2219">
        <f t="shared" si="1433"/>
        <v>0</v>
      </c>
      <c r="H2219">
        <v>4</v>
      </c>
      <c r="I2219">
        <v>7</v>
      </c>
      <c r="J2219">
        <v>2</v>
      </c>
      <c r="K2219" s="6" t="str">
        <f t="shared" ref="K2219" si="1516">"vs "&amp;E2218</f>
        <v>vs Tsarlatans</v>
      </c>
      <c r="L2219" s="6" t="str">
        <f t="shared" ref="L2219" si="1517">"vs "&amp;F2218</f>
        <v>vs Tzokos</v>
      </c>
      <c r="M2219">
        <v>185</v>
      </c>
      <c r="N2219" s="1">
        <v>0.48599999999999999</v>
      </c>
      <c r="O2219">
        <v>33</v>
      </c>
      <c r="P2219" s="1">
        <v>0.27</v>
      </c>
      <c r="Q2219" s="1">
        <v>0.79700000000000004</v>
      </c>
      <c r="R2219">
        <v>509</v>
      </c>
      <c r="S2219">
        <v>37</v>
      </c>
      <c r="T2219">
        <v>138</v>
      </c>
      <c r="U2219">
        <v>110</v>
      </c>
      <c r="V2219">
        <v>21</v>
      </c>
      <c r="W2219">
        <v>16</v>
      </c>
      <c r="X2219">
        <v>64</v>
      </c>
      <c r="Y2219" s="5">
        <v>1.72</v>
      </c>
    </row>
    <row r="2220" spans="1:25" x14ac:dyDescent="0.25">
      <c r="A2220">
        <v>2023</v>
      </c>
      <c r="B2220" t="s">
        <v>57</v>
      </c>
      <c r="C2220">
        <v>17</v>
      </c>
      <c r="D2220">
        <v>180</v>
      </c>
      <c r="E2220" t="s">
        <v>33</v>
      </c>
      <c r="F2220" t="s">
        <v>42</v>
      </c>
      <c r="G2220">
        <f t="shared" si="1433"/>
        <v>0</v>
      </c>
      <c r="H2220">
        <v>4</v>
      </c>
      <c r="I2220">
        <v>9</v>
      </c>
      <c r="J2220">
        <v>0</v>
      </c>
      <c r="K2220" s="6" t="str">
        <f t="shared" ref="K2220" si="1518">"vs "&amp;E2221</f>
        <v>vs The Bridgeburners</v>
      </c>
      <c r="L2220" s="6" t="str">
        <f t="shared" ref="L2220" si="1519">"vs "&amp;F2221</f>
        <v>vs Fanis</v>
      </c>
      <c r="M2220">
        <v>110</v>
      </c>
      <c r="N2220" s="1">
        <v>0.47599999999999998</v>
      </c>
      <c r="O2220">
        <v>29</v>
      </c>
      <c r="P2220" s="1">
        <v>0.372</v>
      </c>
      <c r="Q2220" s="1">
        <v>0.86799999999999999</v>
      </c>
      <c r="R2220">
        <v>295</v>
      </c>
      <c r="S2220">
        <v>37</v>
      </c>
      <c r="T2220">
        <v>116</v>
      </c>
      <c r="U2220">
        <v>101</v>
      </c>
      <c r="V2220">
        <v>14</v>
      </c>
      <c r="W2220">
        <v>13</v>
      </c>
      <c r="X2220">
        <v>40</v>
      </c>
      <c r="Y2220" s="5">
        <v>2.52</v>
      </c>
    </row>
    <row r="2221" spans="1:25" x14ac:dyDescent="0.25">
      <c r="A2221">
        <v>2023</v>
      </c>
      <c r="B2221" t="s">
        <v>57</v>
      </c>
      <c r="C2221">
        <v>17</v>
      </c>
      <c r="D2221">
        <v>180</v>
      </c>
      <c r="E2221" t="s">
        <v>16</v>
      </c>
      <c r="F2221" t="s">
        <v>51</v>
      </c>
      <c r="G2221">
        <f t="shared" si="1433"/>
        <v>1</v>
      </c>
      <c r="H2221">
        <v>9</v>
      </c>
      <c r="I2221">
        <v>4</v>
      </c>
      <c r="J2221">
        <v>0</v>
      </c>
      <c r="K2221" s="6" t="str">
        <f t="shared" ref="K2221" si="1520">"vs "&amp;E2220</f>
        <v>vs The Guns</v>
      </c>
      <c r="L2221" s="6" t="str">
        <f t="shared" ref="L2221" si="1521">"vs "&amp;F2220</f>
        <v>vs Vasilis</v>
      </c>
      <c r="M2221">
        <v>200</v>
      </c>
      <c r="N2221" s="1">
        <v>0.47799999999999998</v>
      </c>
      <c r="O2221">
        <v>60</v>
      </c>
      <c r="P2221" s="1">
        <v>0.39500000000000002</v>
      </c>
      <c r="Q2221" s="1">
        <v>0.79800000000000004</v>
      </c>
      <c r="R2221">
        <v>551</v>
      </c>
      <c r="S2221">
        <v>31</v>
      </c>
      <c r="T2221">
        <v>135</v>
      </c>
      <c r="U2221">
        <v>154</v>
      </c>
      <c r="V2221">
        <v>27</v>
      </c>
      <c r="W2221">
        <v>15</v>
      </c>
      <c r="X2221">
        <v>63</v>
      </c>
      <c r="Y2221" s="5">
        <v>2.44</v>
      </c>
    </row>
    <row r="2222" spans="1:25" x14ac:dyDescent="0.25">
      <c r="A2222">
        <v>2023</v>
      </c>
      <c r="B2222" t="s">
        <v>57</v>
      </c>
      <c r="C2222">
        <v>18</v>
      </c>
      <c r="D2222">
        <v>181</v>
      </c>
      <c r="E2222" t="s">
        <v>158</v>
      </c>
      <c r="F2222" t="s">
        <v>177</v>
      </c>
      <c r="G2222">
        <f t="shared" si="1433"/>
        <v>1</v>
      </c>
      <c r="H2222">
        <v>8</v>
      </c>
      <c r="I2222">
        <v>5</v>
      </c>
      <c r="J2222">
        <v>0</v>
      </c>
      <c r="K2222" s="6" t="str">
        <f t="shared" ref="K2222" si="1522">"vs "&amp;E2223</f>
        <v>vs Tsarlatans</v>
      </c>
      <c r="L2222" s="6" t="str">
        <f t="shared" ref="L2222" si="1523">"vs "&amp;F2223</f>
        <v>vs Tzokos</v>
      </c>
      <c r="M2222">
        <v>232</v>
      </c>
      <c r="N2222" s="1">
        <v>0.55800000000000005</v>
      </c>
      <c r="O2222">
        <v>34</v>
      </c>
      <c r="P2222" s="1">
        <v>0.35099999999999998</v>
      </c>
      <c r="Q2222" s="1">
        <v>0.77400000000000002</v>
      </c>
      <c r="R2222">
        <v>649</v>
      </c>
      <c r="S2222">
        <v>80</v>
      </c>
      <c r="T2222">
        <v>232</v>
      </c>
      <c r="U2222">
        <v>152</v>
      </c>
      <c r="V2222">
        <v>33</v>
      </c>
      <c r="W2222">
        <v>30</v>
      </c>
      <c r="X2222">
        <v>75</v>
      </c>
      <c r="Y2222" s="5">
        <v>2.0299999999999998</v>
      </c>
    </row>
    <row r="2223" spans="1:25" x14ac:dyDescent="0.25">
      <c r="A2223">
        <v>2023</v>
      </c>
      <c r="B2223" t="s">
        <v>57</v>
      </c>
      <c r="C2223">
        <v>18</v>
      </c>
      <c r="D2223">
        <v>181</v>
      </c>
      <c r="E2223" t="s">
        <v>99</v>
      </c>
      <c r="F2223" t="s">
        <v>45</v>
      </c>
      <c r="G2223">
        <f t="shared" si="1433"/>
        <v>0</v>
      </c>
      <c r="H2223">
        <v>5</v>
      </c>
      <c r="I2223">
        <v>8</v>
      </c>
      <c r="J2223">
        <v>0</v>
      </c>
      <c r="K2223" s="6" t="str">
        <f t="shared" ref="K2223" si="1524">"vs "&amp;E2222</f>
        <v>vs LRBP PR3DATORS</v>
      </c>
      <c r="L2223" s="6" t="str">
        <f t="shared" ref="L2223" si="1525">"vs "&amp;F2222</f>
        <v>vs Lafa</v>
      </c>
      <c r="M2223">
        <v>221</v>
      </c>
      <c r="N2223" s="1">
        <v>0.501</v>
      </c>
      <c r="O2223">
        <v>70</v>
      </c>
      <c r="P2223" s="1">
        <v>0.39100000000000001</v>
      </c>
      <c r="Q2223" s="1">
        <v>0.77700000000000002</v>
      </c>
      <c r="R2223">
        <v>599</v>
      </c>
      <c r="S2223">
        <v>49</v>
      </c>
      <c r="T2223">
        <v>152</v>
      </c>
      <c r="U2223">
        <v>84</v>
      </c>
      <c r="V2223">
        <v>46</v>
      </c>
      <c r="W2223">
        <v>29</v>
      </c>
      <c r="X2223">
        <v>48</v>
      </c>
      <c r="Y2223" s="5">
        <v>1.75</v>
      </c>
    </row>
    <row r="2224" spans="1:25" x14ac:dyDescent="0.25">
      <c r="A2224">
        <v>2023</v>
      </c>
      <c r="B2224" t="s">
        <v>57</v>
      </c>
      <c r="C2224">
        <v>18</v>
      </c>
      <c r="D2224">
        <v>182</v>
      </c>
      <c r="E2224" t="s">
        <v>159</v>
      </c>
      <c r="F2224" t="s">
        <v>116</v>
      </c>
      <c r="G2224">
        <f t="shared" si="1433"/>
        <v>0</v>
      </c>
      <c r="H2224">
        <v>3</v>
      </c>
      <c r="I2224">
        <v>10</v>
      </c>
      <c r="J2224">
        <v>0</v>
      </c>
      <c r="K2224" s="6" t="str">
        <f t="shared" ref="K2224" si="1526">"vs "&amp;E2225</f>
        <v>vs Pachiana NinjaBees</v>
      </c>
      <c r="L2224" s="6" t="str">
        <f t="shared" ref="L2224" si="1527">"vs "&amp;F2225</f>
        <v>vs Spiridaus/Oladipas</v>
      </c>
      <c r="M2224">
        <v>234</v>
      </c>
      <c r="N2224" s="1">
        <v>0.502</v>
      </c>
      <c r="O2224">
        <v>38</v>
      </c>
      <c r="P2224" s="1">
        <v>0.31900000000000001</v>
      </c>
      <c r="Q2224" s="1">
        <v>0.84699999999999998</v>
      </c>
      <c r="R2224">
        <v>633</v>
      </c>
      <c r="S2224">
        <v>44</v>
      </c>
      <c r="T2224">
        <v>177</v>
      </c>
      <c r="U2224">
        <v>145</v>
      </c>
      <c r="V2224">
        <v>22</v>
      </c>
      <c r="W2224">
        <v>12</v>
      </c>
      <c r="X2224">
        <v>71</v>
      </c>
      <c r="Y2224" s="5">
        <v>2.04</v>
      </c>
    </row>
    <row r="2225" spans="1:25" x14ac:dyDescent="0.25">
      <c r="A2225">
        <v>2023</v>
      </c>
      <c r="B2225" t="s">
        <v>57</v>
      </c>
      <c r="C2225">
        <v>18</v>
      </c>
      <c r="D2225">
        <v>182</v>
      </c>
      <c r="E2225" t="s">
        <v>23</v>
      </c>
      <c r="F2225" t="s">
        <v>120</v>
      </c>
      <c r="G2225">
        <f t="shared" si="1433"/>
        <v>1</v>
      </c>
      <c r="H2225">
        <v>10</v>
      </c>
      <c r="I2225">
        <v>3</v>
      </c>
      <c r="J2225">
        <v>0</v>
      </c>
      <c r="K2225" s="6" t="str">
        <f t="shared" ref="K2225" si="1528">"vs "&amp;E2224</f>
        <v>vs purple fuzzy apache pirates</v>
      </c>
      <c r="L2225" s="6" t="str">
        <f t="shared" ref="L2225" si="1529">"vs "&amp;F2224</f>
        <v>vs pi/Sotiris</v>
      </c>
      <c r="M2225">
        <v>247</v>
      </c>
      <c r="N2225" s="1">
        <v>0.48</v>
      </c>
      <c r="O2225">
        <v>51</v>
      </c>
      <c r="P2225" s="1">
        <v>0.34</v>
      </c>
      <c r="Q2225" s="1">
        <v>0.81499999999999995</v>
      </c>
      <c r="R2225">
        <v>668</v>
      </c>
      <c r="S2225">
        <v>61</v>
      </c>
      <c r="T2225">
        <v>173</v>
      </c>
      <c r="U2225">
        <v>163</v>
      </c>
      <c r="V2225">
        <v>31</v>
      </c>
      <c r="W2225">
        <v>32</v>
      </c>
      <c r="X2225">
        <v>66</v>
      </c>
      <c r="Y2225" s="5">
        <v>2.4700000000000002</v>
      </c>
    </row>
    <row r="2226" spans="1:25" x14ac:dyDescent="0.25">
      <c r="A2226">
        <v>2023</v>
      </c>
      <c r="B2226" t="s">
        <v>57</v>
      </c>
      <c r="C2226">
        <v>18</v>
      </c>
      <c r="D2226">
        <v>183</v>
      </c>
      <c r="E2226" t="s">
        <v>25</v>
      </c>
      <c r="F2226" t="s">
        <v>53</v>
      </c>
      <c r="G2226">
        <f t="shared" si="1433"/>
        <v>1</v>
      </c>
      <c r="H2226">
        <v>7</v>
      </c>
      <c r="I2226">
        <v>6</v>
      </c>
      <c r="J2226">
        <v>0</v>
      </c>
      <c r="K2226" s="6" t="str">
        <f t="shared" ref="K2226" si="1530">"vs "&amp;E2227</f>
        <v>vs Donkey Rolls</v>
      </c>
      <c r="L2226" s="6" t="str">
        <f t="shared" ref="L2226" si="1531">"vs "&amp;F2227</f>
        <v>vs Markos</v>
      </c>
      <c r="M2226">
        <v>191</v>
      </c>
      <c r="N2226" s="1">
        <v>0.46899999999999997</v>
      </c>
      <c r="O2226">
        <v>50</v>
      </c>
      <c r="P2226" s="1">
        <v>0.35699999999999998</v>
      </c>
      <c r="Q2226" s="1">
        <v>0.8</v>
      </c>
      <c r="R2226">
        <v>528</v>
      </c>
      <c r="S2226">
        <v>40</v>
      </c>
      <c r="T2226">
        <v>141</v>
      </c>
      <c r="U2226">
        <v>112</v>
      </c>
      <c r="V2226">
        <v>19</v>
      </c>
      <c r="W2226">
        <v>11</v>
      </c>
      <c r="X2226">
        <v>83</v>
      </c>
      <c r="Y2226" s="5">
        <v>1.35</v>
      </c>
    </row>
    <row r="2227" spans="1:25" x14ac:dyDescent="0.25">
      <c r="A2227">
        <v>2023</v>
      </c>
      <c r="B2227" t="s">
        <v>57</v>
      </c>
      <c r="C2227">
        <v>18</v>
      </c>
      <c r="D2227">
        <v>183</v>
      </c>
      <c r="E2227" t="s">
        <v>17</v>
      </c>
      <c r="F2227" t="s">
        <v>43</v>
      </c>
      <c r="G2227">
        <f t="shared" si="1433"/>
        <v>0</v>
      </c>
      <c r="H2227">
        <v>6</v>
      </c>
      <c r="I2227">
        <v>7</v>
      </c>
      <c r="J2227">
        <v>0</v>
      </c>
      <c r="K2227" s="6" t="str">
        <f t="shared" ref="K2227" si="1532">"vs "&amp;E2226</f>
        <v>vs The Rookies</v>
      </c>
      <c r="L2227" s="6" t="str">
        <f t="shared" ref="L2227" si="1533">"vs "&amp;F2226</f>
        <v>vs Kousidis</v>
      </c>
      <c r="M2227">
        <v>174</v>
      </c>
      <c r="N2227" s="1">
        <v>0.46200000000000002</v>
      </c>
      <c r="O2227">
        <v>67</v>
      </c>
      <c r="P2227" s="1">
        <v>0.39600000000000002</v>
      </c>
      <c r="Q2227" s="1">
        <v>0.75</v>
      </c>
      <c r="R2227">
        <v>496</v>
      </c>
      <c r="S2227">
        <v>23</v>
      </c>
      <c r="T2227">
        <v>127</v>
      </c>
      <c r="U2227">
        <v>96</v>
      </c>
      <c r="V2227">
        <v>25</v>
      </c>
      <c r="W2227">
        <v>22</v>
      </c>
      <c r="X2227">
        <v>40</v>
      </c>
      <c r="Y2227" s="5">
        <v>2.4</v>
      </c>
    </row>
    <row r="2228" spans="1:25" x14ac:dyDescent="0.25">
      <c r="A2228">
        <v>2023</v>
      </c>
      <c r="B2228" t="s">
        <v>57</v>
      </c>
      <c r="C2228">
        <v>18</v>
      </c>
      <c r="D2228">
        <v>184</v>
      </c>
      <c r="E2228" t="s">
        <v>26</v>
      </c>
      <c r="F2228" t="s">
        <v>118</v>
      </c>
      <c r="G2228">
        <f t="shared" si="1433"/>
        <v>0</v>
      </c>
      <c r="H2228">
        <v>3</v>
      </c>
      <c r="I2228">
        <v>10</v>
      </c>
      <c r="J2228">
        <v>0</v>
      </c>
      <c r="K2228" s="6" t="str">
        <f t="shared" ref="K2228" si="1534">"vs "&amp;E2229</f>
        <v>vs Xanthi Ducks 🦆</v>
      </c>
      <c r="L2228" s="6" t="str">
        <f t="shared" ref="L2228" si="1535">"vs "&amp;F2229</f>
        <v>vs Kotakis</v>
      </c>
      <c r="M2228">
        <v>169</v>
      </c>
      <c r="N2228" s="1">
        <v>0.47299999999999998</v>
      </c>
      <c r="O2228">
        <v>67</v>
      </c>
      <c r="P2228" s="1">
        <v>0.36799999999999999</v>
      </c>
      <c r="Q2228" s="1">
        <v>0.86799999999999999</v>
      </c>
      <c r="R2228">
        <v>471</v>
      </c>
      <c r="S2228">
        <v>22</v>
      </c>
      <c r="T2228">
        <v>121</v>
      </c>
      <c r="U2228">
        <v>86</v>
      </c>
      <c r="V2228">
        <v>19</v>
      </c>
      <c r="W2228">
        <v>12</v>
      </c>
      <c r="X2228">
        <v>45</v>
      </c>
      <c r="Y2228" s="5">
        <v>1.91</v>
      </c>
    </row>
    <row r="2229" spans="1:25" x14ac:dyDescent="0.25">
      <c r="A2229">
        <v>2023</v>
      </c>
      <c r="B2229" t="s">
        <v>57</v>
      </c>
      <c r="C2229">
        <v>18</v>
      </c>
      <c r="D2229">
        <v>184</v>
      </c>
      <c r="E2229" t="s">
        <v>98</v>
      </c>
      <c r="F2229" t="s">
        <v>41</v>
      </c>
      <c r="G2229">
        <f t="shared" si="1433"/>
        <v>1</v>
      </c>
      <c r="H2229">
        <v>10</v>
      </c>
      <c r="I2229">
        <v>3</v>
      </c>
      <c r="J2229">
        <v>0</v>
      </c>
      <c r="K2229" s="6" t="str">
        <f t="shared" ref="K2229" si="1536">"vs "&amp;E2228</f>
        <v>vs Kourayo Vallecano</v>
      </c>
      <c r="L2229" s="6" t="str">
        <f t="shared" ref="L2229" si="1537">"vs "&amp;F2228</f>
        <v>vs Ziogas/Christof</v>
      </c>
      <c r="M2229">
        <v>234</v>
      </c>
      <c r="N2229" s="1">
        <v>0.53300000000000003</v>
      </c>
      <c r="O2229">
        <v>48</v>
      </c>
      <c r="P2229" s="1">
        <v>0.375</v>
      </c>
      <c r="Q2229" s="1">
        <v>0.82399999999999995</v>
      </c>
      <c r="R2229">
        <v>633</v>
      </c>
      <c r="S2229">
        <v>63</v>
      </c>
      <c r="T2229">
        <v>211</v>
      </c>
      <c r="U2229">
        <v>139</v>
      </c>
      <c r="V2229">
        <v>36</v>
      </c>
      <c r="W2229">
        <v>38</v>
      </c>
      <c r="X2229">
        <v>72</v>
      </c>
      <c r="Y2229" s="5">
        <v>1.93</v>
      </c>
    </row>
    <row r="2230" spans="1:25" x14ac:dyDescent="0.25">
      <c r="A2230">
        <v>2023</v>
      </c>
      <c r="B2230" t="s">
        <v>57</v>
      </c>
      <c r="C2230">
        <v>18</v>
      </c>
      <c r="D2230">
        <v>185</v>
      </c>
      <c r="E2230" t="s">
        <v>94</v>
      </c>
      <c r="F2230" t="s">
        <v>40</v>
      </c>
      <c r="G2230">
        <f t="shared" si="1433"/>
        <v>0</v>
      </c>
      <c r="H2230">
        <v>6</v>
      </c>
      <c r="I2230">
        <v>7</v>
      </c>
      <c r="J2230">
        <v>0</v>
      </c>
      <c r="K2230" s="6" t="str">
        <f t="shared" ref="K2230" si="1538">"vs "&amp;E2231</f>
        <v>vs st.Helens Eruptions</v>
      </c>
      <c r="L2230" s="6" t="str">
        <f t="shared" ref="L2230" si="1539">"vs "&amp;F2231</f>
        <v>vs Aris</v>
      </c>
      <c r="M2230">
        <v>183</v>
      </c>
      <c r="N2230" s="1">
        <v>0.46600000000000003</v>
      </c>
      <c r="O2230">
        <v>64</v>
      </c>
      <c r="P2230" s="1">
        <v>0.372</v>
      </c>
      <c r="Q2230" s="1">
        <v>0.82499999999999996</v>
      </c>
      <c r="R2230">
        <v>510</v>
      </c>
      <c r="S2230">
        <v>55</v>
      </c>
      <c r="T2230">
        <v>129</v>
      </c>
      <c r="U2230">
        <v>80</v>
      </c>
      <c r="V2230">
        <v>17</v>
      </c>
      <c r="W2230">
        <v>10</v>
      </c>
      <c r="X2230">
        <v>50</v>
      </c>
      <c r="Y2230" s="5">
        <v>1.6</v>
      </c>
    </row>
    <row r="2231" spans="1:25" x14ac:dyDescent="0.25">
      <c r="A2231">
        <v>2023</v>
      </c>
      <c r="B2231" t="s">
        <v>57</v>
      </c>
      <c r="C2231">
        <v>18</v>
      </c>
      <c r="D2231">
        <v>185</v>
      </c>
      <c r="E2231" t="s">
        <v>21</v>
      </c>
      <c r="F2231" t="s">
        <v>50</v>
      </c>
      <c r="G2231">
        <f t="shared" si="1433"/>
        <v>1</v>
      </c>
      <c r="H2231">
        <v>7</v>
      </c>
      <c r="I2231">
        <v>6</v>
      </c>
      <c r="J2231">
        <v>0</v>
      </c>
      <c r="K2231" s="6" t="str">
        <f t="shared" ref="K2231" si="1540">"vs "&amp;E2230</f>
        <v>vs Fighting Thaddeus</v>
      </c>
      <c r="L2231" s="6" t="str">
        <f t="shared" ref="L2231" si="1541">"vs "&amp;F2230</f>
        <v>vs Stavros</v>
      </c>
      <c r="M2231">
        <v>177</v>
      </c>
      <c r="N2231" s="1">
        <v>0.47599999999999998</v>
      </c>
      <c r="O2231">
        <v>60</v>
      </c>
      <c r="P2231" s="1">
        <v>0.42599999999999999</v>
      </c>
      <c r="Q2231" s="1">
        <v>0.90300000000000002</v>
      </c>
      <c r="R2231">
        <v>479</v>
      </c>
      <c r="S2231">
        <v>28</v>
      </c>
      <c r="T2231">
        <v>108</v>
      </c>
      <c r="U2231">
        <v>98</v>
      </c>
      <c r="V2231">
        <v>33</v>
      </c>
      <c r="W2231">
        <v>16</v>
      </c>
      <c r="X2231">
        <v>60</v>
      </c>
      <c r="Y2231" s="5">
        <v>1.63</v>
      </c>
    </row>
    <row r="2232" spans="1:25" x14ac:dyDescent="0.25">
      <c r="A2232">
        <v>2023</v>
      </c>
      <c r="B2232" t="s">
        <v>57</v>
      </c>
      <c r="C2232">
        <v>18</v>
      </c>
      <c r="D2232">
        <v>186</v>
      </c>
      <c r="E2232" t="s">
        <v>96</v>
      </c>
      <c r="F2232" t="s">
        <v>102</v>
      </c>
      <c r="G2232">
        <f t="shared" si="1433"/>
        <v>1</v>
      </c>
      <c r="H2232">
        <v>8</v>
      </c>
      <c r="I2232">
        <v>5</v>
      </c>
      <c r="J2232">
        <v>0</v>
      </c>
      <c r="K2232" s="6" t="str">
        <f t="shared" ref="K2232" si="1542">"vs "&amp;E2233</f>
        <v>vs The Guns</v>
      </c>
      <c r="L2232" s="6" t="str">
        <f t="shared" ref="L2232" si="1543">"vs "&amp;F2233</f>
        <v>vs Vasilis</v>
      </c>
      <c r="M2232">
        <v>160</v>
      </c>
      <c r="N2232" s="1">
        <v>0.52100000000000002</v>
      </c>
      <c r="O2232">
        <v>47</v>
      </c>
      <c r="P2232" s="1">
        <v>0.42299999999999999</v>
      </c>
      <c r="Q2232" s="1">
        <v>0.77800000000000002</v>
      </c>
      <c r="R2232">
        <v>402</v>
      </c>
      <c r="S2232">
        <v>49</v>
      </c>
      <c r="T2232">
        <v>132</v>
      </c>
      <c r="U2232">
        <v>55</v>
      </c>
      <c r="V2232">
        <v>22</v>
      </c>
      <c r="W2232">
        <v>18</v>
      </c>
      <c r="X2232">
        <v>37</v>
      </c>
      <c r="Y2232" s="5">
        <v>1.49</v>
      </c>
    </row>
    <row r="2233" spans="1:25" x14ac:dyDescent="0.25">
      <c r="A2233">
        <v>2023</v>
      </c>
      <c r="B2233" t="s">
        <v>57</v>
      </c>
      <c r="C2233">
        <v>18</v>
      </c>
      <c r="D2233">
        <v>186</v>
      </c>
      <c r="E2233" t="s">
        <v>33</v>
      </c>
      <c r="F2233" t="s">
        <v>42</v>
      </c>
      <c r="G2233">
        <f t="shared" si="1433"/>
        <v>0</v>
      </c>
      <c r="H2233">
        <v>5</v>
      </c>
      <c r="I2233">
        <v>8</v>
      </c>
      <c r="J2233">
        <v>0</v>
      </c>
      <c r="K2233" s="6" t="str">
        <f t="shared" ref="K2233" si="1544">"vs "&amp;E2232</f>
        <v>vs Knights of Ni</v>
      </c>
      <c r="L2233" s="6" t="str">
        <f t="shared" ref="L2233" si="1545">"vs "&amp;F2232</f>
        <v>vs Tolios</v>
      </c>
      <c r="M2233">
        <v>129</v>
      </c>
      <c r="N2233" s="1">
        <v>0.39200000000000002</v>
      </c>
      <c r="O2233">
        <v>41</v>
      </c>
      <c r="P2233" s="1">
        <v>0.311</v>
      </c>
      <c r="Q2233" s="1">
        <v>0.79700000000000004</v>
      </c>
      <c r="R2233">
        <v>350</v>
      </c>
      <c r="S2233">
        <v>60</v>
      </c>
      <c r="T2233">
        <v>112</v>
      </c>
      <c r="U2233">
        <v>116</v>
      </c>
      <c r="V2233">
        <v>23</v>
      </c>
      <c r="W2233">
        <v>9</v>
      </c>
      <c r="X2233">
        <v>56</v>
      </c>
      <c r="Y2233" s="5">
        <v>2.0699999999999998</v>
      </c>
    </row>
    <row r="2234" spans="1:25" x14ac:dyDescent="0.25">
      <c r="A2234">
        <v>2023</v>
      </c>
      <c r="B2234" t="s">
        <v>57</v>
      </c>
      <c r="C2234">
        <v>18</v>
      </c>
      <c r="D2234">
        <v>187</v>
      </c>
      <c r="E2234" t="s">
        <v>28</v>
      </c>
      <c r="F2234" t="s">
        <v>46</v>
      </c>
      <c r="G2234">
        <f t="shared" si="1433"/>
        <v>1</v>
      </c>
      <c r="H2234">
        <v>7</v>
      </c>
      <c r="I2234">
        <v>6</v>
      </c>
      <c r="J2234">
        <v>0</v>
      </c>
      <c r="K2234" s="6" t="str">
        <f t="shared" ref="K2234" si="1546">"vs "&amp;E2235</f>
        <v>vs Samarina Dudenbros</v>
      </c>
      <c r="L2234" s="6" t="str">
        <f t="shared" ref="L2234" si="1547">"vs "&amp;F2235</f>
        <v>vs Sakellariou</v>
      </c>
      <c r="M2234">
        <v>236</v>
      </c>
      <c r="N2234" s="1">
        <v>0.497</v>
      </c>
      <c r="O2234">
        <v>83</v>
      </c>
      <c r="P2234" s="1">
        <v>0.40899999999999997</v>
      </c>
      <c r="Q2234" s="1">
        <v>0.78900000000000003</v>
      </c>
      <c r="R2234">
        <v>675</v>
      </c>
      <c r="S2234">
        <v>39</v>
      </c>
      <c r="T2234">
        <v>151</v>
      </c>
      <c r="U2234">
        <v>165</v>
      </c>
      <c r="V2234">
        <v>38</v>
      </c>
      <c r="W2234">
        <v>22</v>
      </c>
      <c r="X2234">
        <v>87</v>
      </c>
      <c r="Y2234" s="5">
        <v>1.9</v>
      </c>
    </row>
    <row r="2235" spans="1:25" x14ac:dyDescent="0.25">
      <c r="A2235">
        <v>2023</v>
      </c>
      <c r="B2235" t="s">
        <v>57</v>
      </c>
      <c r="C2235">
        <v>18</v>
      </c>
      <c r="D2235">
        <v>187</v>
      </c>
      <c r="E2235" t="s">
        <v>181</v>
      </c>
      <c r="F2235" t="s">
        <v>49</v>
      </c>
      <c r="G2235">
        <f t="shared" si="1433"/>
        <v>0</v>
      </c>
      <c r="H2235">
        <v>6</v>
      </c>
      <c r="I2235">
        <v>7</v>
      </c>
      <c r="J2235">
        <v>0</v>
      </c>
      <c r="K2235" s="6" t="str">
        <f t="shared" ref="K2235" si="1548">"vs "&amp;E2234</f>
        <v>vs Steven Adams' Moustache</v>
      </c>
      <c r="L2235" s="6" t="str">
        <f t="shared" ref="L2235" si="1549">"vs "&amp;F2234</f>
        <v>vs Johnny</v>
      </c>
      <c r="M2235">
        <v>254</v>
      </c>
      <c r="N2235" s="1">
        <v>0.48399999999999999</v>
      </c>
      <c r="O2235">
        <v>76</v>
      </c>
      <c r="P2235" s="1">
        <v>0.40899999999999997</v>
      </c>
      <c r="Q2235" s="1">
        <v>0.81899999999999995</v>
      </c>
      <c r="R2235">
        <v>706</v>
      </c>
      <c r="S2235">
        <v>49</v>
      </c>
      <c r="T2235">
        <v>189</v>
      </c>
      <c r="U2235">
        <v>133</v>
      </c>
      <c r="V2235">
        <v>32</v>
      </c>
      <c r="W2235">
        <v>21</v>
      </c>
      <c r="X2235">
        <v>77</v>
      </c>
      <c r="Y2235" s="5">
        <v>1.73</v>
      </c>
    </row>
    <row r="2236" spans="1:25" x14ac:dyDescent="0.25">
      <c r="A2236">
        <v>2023</v>
      </c>
      <c r="B2236" t="s">
        <v>57</v>
      </c>
      <c r="C2236">
        <v>18</v>
      </c>
      <c r="D2236">
        <v>188</v>
      </c>
      <c r="E2236" t="s">
        <v>15</v>
      </c>
      <c r="F2236" t="s">
        <v>48</v>
      </c>
      <c r="G2236">
        <f t="shared" si="1433"/>
        <v>1</v>
      </c>
      <c r="H2236">
        <v>7</v>
      </c>
      <c r="I2236">
        <v>6</v>
      </c>
      <c r="J2236">
        <v>0</v>
      </c>
      <c r="K2236" s="6" t="str">
        <f t="shared" ref="K2236" si="1550">"vs "&amp;E2237</f>
        <v>vs Karafli SaiTa</v>
      </c>
      <c r="L2236" s="6" t="str">
        <f t="shared" ref="L2236" si="1551">"vs "&amp;F2237</f>
        <v>vs Tassos</v>
      </c>
      <c r="M2236">
        <v>247</v>
      </c>
      <c r="N2236" s="1">
        <v>0.46500000000000002</v>
      </c>
      <c r="O2236">
        <v>69</v>
      </c>
      <c r="P2236" s="1">
        <v>0.36099999999999999</v>
      </c>
      <c r="Q2236" s="1">
        <v>0.77400000000000002</v>
      </c>
      <c r="R2236">
        <v>635</v>
      </c>
      <c r="S2236">
        <v>47</v>
      </c>
      <c r="T2236">
        <v>166</v>
      </c>
      <c r="U2236">
        <v>101</v>
      </c>
      <c r="V2236">
        <v>29</v>
      </c>
      <c r="W2236">
        <v>18</v>
      </c>
      <c r="X2236">
        <v>75</v>
      </c>
      <c r="Y2236" s="5">
        <v>1.35</v>
      </c>
    </row>
    <row r="2237" spans="1:25" x14ac:dyDescent="0.25">
      <c r="A2237">
        <v>2023</v>
      </c>
      <c r="B2237" t="s">
        <v>57</v>
      </c>
      <c r="C2237">
        <v>18</v>
      </c>
      <c r="D2237">
        <v>188</v>
      </c>
      <c r="E2237" t="s">
        <v>190</v>
      </c>
      <c r="F2237" t="s">
        <v>103</v>
      </c>
      <c r="G2237">
        <f t="shared" si="1433"/>
        <v>0</v>
      </c>
      <c r="H2237">
        <v>6</v>
      </c>
      <c r="I2237">
        <v>7</v>
      </c>
      <c r="J2237">
        <v>0</v>
      </c>
      <c r="K2237" s="6" t="str">
        <f t="shared" ref="K2237" si="1552">"vs "&amp;E2236</f>
        <v>vs Salonika Devils</v>
      </c>
      <c r="L2237" s="6" t="str">
        <f t="shared" ref="L2237" si="1553">"vs "&amp;F2236</f>
        <v>vs Fountos</v>
      </c>
      <c r="M2237">
        <v>203</v>
      </c>
      <c r="N2237" s="1">
        <v>0.47499999999999998</v>
      </c>
      <c r="O2237">
        <v>47</v>
      </c>
      <c r="P2237" s="1">
        <v>0.33800000000000002</v>
      </c>
      <c r="Q2237" s="1">
        <v>0.85699999999999998</v>
      </c>
      <c r="R2237">
        <v>573</v>
      </c>
      <c r="S2237">
        <v>40</v>
      </c>
      <c r="T2237">
        <v>119</v>
      </c>
      <c r="U2237">
        <v>133</v>
      </c>
      <c r="V2237">
        <v>28</v>
      </c>
      <c r="W2237">
        <v>26</v>
      </c>
      <c r="X2237">
        <v>62</v>
      </c>
      <c r="Y2237" s="5">
        <v>2.15</v>
      </c>
    </row>
    <row r="2238" spans="1:25" x14ac:dyDescent="0.25">
      <c r="A2238">
        <v>2023</v>
      </c>
      <c r="B2238" t="s">
        <v>57</v>
      </c>
      <c r="C2238">
        <v>18</v>
      </c>
      <c r="D2238">
        <v>189</v>
      </c>
      <c r="E2238" t="s">
        <v>95</v>
      </c>
      <c r="F2238" t="s">
        <v>101</v>
      </c>
      <c r="G2238">
        <f t="shared" si="1433"/>
        <v>0</v>
      </c>
      <c r="H2238">
        <v>6</v>
      </c>
      <c r="I2238">
        <v>6</v>
      </c>
      <c r="J2238">
        <v>1</v>
      </c>
      <c r="K2238" s="6" t="str">
        <f t="shared" ref="K2238" si="1554">"vs "&amp;E2239</f>
        <v>vs The Bad Boys</v>
      </c>
      <c r="L2238" s="6" t="str">
        <f t="shared" ref="L2238" si="1555">"vs "&amp;F2239</f>
        <v>vs Arvanitis</v>
      </c>
      <c r="M2238">
        <v>162</v>
      </c>
      <c r="N2238" s="1">
        <v>0.46200000000000002</v>
      </c>
      <c r="O2238">
        <v>55</v>
      </c>
      <c r="P2238" s="1">
        <v>0.377</v>
      </c>
      <c r="Q2238" s="1">
        <v>0.79</v>
      </c>
      <c r="R2238">
        <v>458</v>
      </c>
      <c r="S2238">
        <v>38</v>
      </c>
      <c r="T2238">
        <v>124</v>
      </c>
      <c r="U2238">
        <v>84</v>
      </c>
      <c r="V2238">
        <v>43</v>
      </c>
      <c r="W2238">
        <v>21</v>
      </c>
      <c r="X2238">
        <v>59</v>
      </c>
      <c r="Y2238" s="5">
        <v>1.42</v>
      </c>
    </row>
    <row r="2239" spans="1:25" x14ac:dyDescent="0.25">
      <c r="A2239">
        <v>2023</v>
      </c>
      <c r="B2239" t="s">
        <v>57</v>
      </c>
      <c r="C2239">
        <v>18</v>
      </c>
      <c r="D2239">
        <v>189</v>
      </c>
      <c r="E2239" t="s">
        <v>154</v>
      </c>
      <c r="F2239" t="s">
        <v>155</v>
      </c>
      <c r="G2239">
        <f t="shared" si="1433"/>
        <v>0</v>
      </c>
      <c r="H2239">
        <v>6</v>
      </c>
      <c r="I2239">
        <v>6</v>
      </c>
      <c r="J2239">
        <v>1</v>
      </c>
      <c r="K2239" s="6" t="str">
        <f t="shared" ref="K2239" si="1556">"vs "&amp;E2238</f>
        <v>vs Baltimore Hercules</v>
      </c>
      <c r="L2239" s="6" t="str">
        <f t="shared" ref="L2239" si="1557">"vs "&amp;F2238</f>
        <v>vs Sarantos</v>
      </c>
      <c r="M2239">
        <v>120</v>
      </c>
      <c r="N2239" s="1">
        <v>0.496</v>
      </c>
      <c r="O2239">
        <v>43</v>
      </c>
      <c r="P2239" s="1">
        <v>0.41299999999999998</v>
      </c>
      <c r="Q2239" s="1">
        <v>0.63600000000000001</v>
      </c>
      <c r="R2239">
        <v>325</v>
      </c>
      <c r="S2239">
        <v>52</v>
      </c>
      <c r="T2239">
        <v>132</v>
      </c>
      <c r="U2239">
        <v>70</v>
      </c>
      <c r="V2239">
        <v>38</v>
      </c>
      <c r="W2239">
        <v>21</v>
      </c>
      <c r="X2239">
        <v>44</v>
      </c>
      <c r="Y2239" s="5">
        <v>1.59</v>
      </c>
    </row>
    <row r="2240" spans="1:25" x14ac:dyDescent="0.25">
      <c r="A2240">
        <v>2023</v>
      </c>
      <c r="B2240" t="s">
        <v>57</v>
      </c>
      <c r="C2240">
        <v>18</v>
      </c>
      <c r="D2240">
        <v>190</v>
      </c>
      <c r="E2240" t="s">
        <v>93</v>
      </c>
      <c r="F2240" t="s">
        <v>189</v>
      </c>
      <c r="G2240">
        <f t="shared" si="1433"/>
        <v>0</v>
      </c>
      <c r="H2240">
        <v>4</v>
      </c>
      <c r="I2240">
        <v>9</v>
      </c>
      <c r="J2240">
        <v>0</v>
      </c>
      <c r="K2240" s="6" t="str">
        <f t="shared" ref="K2240" si="1558">"vs "&amp;E2241</f>
        <v>vs The Bridgeburners</v>
      </c>
      <c r="L2240" s="6" t="str">
        <f t="shared" ref="L2240" si="1559">"vs "&amp;F2241</f>
        <v>vs Fanis</v>
      </c>
      <c r="M2240">
        <v>153</v>
      </c>
      <c r="N2240" s="1">
        <v>0.47499999999999998</v>
      </c>
      <c r="O2240">
        <v>39</v>
      </c>
      <c r="P2240" s="1">
        <v>0.32800000000000001</v>
      </c>
      <c r="Q2240" s="1">
        <v>0.71099999999999997</v>
      </c>
      <c r="R2240">
        <v>409</v>
      </c>
      <c r="S2240">
        <v>42</v>
      </c>
      <c r="T2240">
        <v>137</v>
      </c>
      <c r="U2240">
        <v>119</v>
      </c>
      <c r="V2240">
        <v>20</v>
      </c>
      <c r="W2240">
        <v>22</v>
      </c>
      <c r="X2240">
        <v>42</v>
      </c>
      <c r="Y2240" s="5">
        <v>2.83</v>
      </c>
    </row>
    <row r="2241" spans="1:25" x14ac:dyDescent="0.25">
      <c r="A2241">
        <v>2023</v>
      </c>
      <c r="B2241" t="s">
        <v>57</v>
      </c>
      <c r="C2241">
        <v>18</v>
      </c>
      <c r="D2241">
        <v>190</v>
      </c>
      <c r="E2241" t="s">
        <v>16</v>
      </c>
      <c r="F2241" t="s">
        <v>51</v>
      </c>
      <c r="G2241">
        <f t="shared" si="1433"/>
        <v>1</v>
      </c>
      <c r="H2241">
        <v>9</v>
      </c>
      <c r="I2241">
        <v>4</v>
      </c>
      <c r="J2241">
        <v>0</v>
      </c>
      <c r="K2241" s="6" t="str">
        <f t="shared" ref="K2241" si="1560">"vs "&amp;E2240</f>
        <v>vs Guruuu 🐐🐐🐐</v>
      </c>
      <c r="L2241" s="6" t="str">
        <f t="shared" ref="L2241" si="1561">"vs "&amp;F2240</f>
        <v>vs Guru</v>
      </c>
      <c r="M2241">
        <v>237</v>
      </c>
      <c r="N2241" s="1">
        <v>0.45700000000000002</v>
      </c>
      <c r="O2241">
        <v>72</v>
      </c>
      <c r="P2241" s="1">
        <v>0.377</v>
      </c>
      <c r="Q2241" s="1">
        <v>0.873</v>
      </c>
      <c r="R2241">
        <v>677</v>
      </c>
      <c r="S2241">
        <v>43</v>
      </c>
      <c r="T2241">
        <v>175</v>
      </c>
      <c r="U2241">
        <v>189</v>
      </c>
      <c r="V2241">
        <v>37</v>
      </c>
      <c r="W2241">
        <v>21</v>
      </c>
      <c r="X2241">
        <v>67</v>
      </c>
      <c r="Y2241" s="5">
        <v>2.82</v>
      </c>
    </row>
    <row r="2242" spans="1:25" x14ac:dyDescent="0.25">
      <c r="A2242">
        <v>2023</v>
      </c>
      <c r="B2242" t="s">
        <v>142</v>
      </c>
      <c r="C2242" t="s">
        <v>148</v>
      </c>
      <c r="D2242">
        <v>191</v>
      </c>
      <c r="E2242" t="s">
        <v>159</v>
      </c>
      <c r="F2242" t="s">
        <v>116</v>
      </c>
      <c r="G2242">
        <f t="shared" ref="G2242:G2249" si="1562">IF(H2242+0.5*J2242&gt;6.5,1,0)</f>
        <v>0</v>
      </c>
      <c r="H2242">
        <v>5</v>
      </c>
      <c r="I2242">
        <v>8</v>
      </c>
      <c r="J2242">
        <v>0</v>
      </c>
      <c r="K2242" s="6" t="str">
        <f t="shared" ref="K2242" si="1563">"vs "&amp;E2243</f>
        <v>vs Guruuu 🐐🐐🐐</v>
      </c>
      <c r="L2242" s="6" t="str">
        <f t="shared" ref="L2242" si="1564">"vs "&amp;F2243</f>
        <v>vs Guru</v>
      </c>
      <c r="M2242">
        <v>206</v>
      </c>
      <c r="N2242" s="1">
        <v>0.47899999999999998</v>
      </c>
      <c r="O2242">
        <v>57</v>
      </c>
      <c r="P2242" s="1">
        <v>0.35</v>
      </c>
      <c r="Q2242" s="1">
        <v>0.81200000000000006</v>
      </c>
      <c r="R2242">
        <v>594</v>
      </c>
      <c r="S2242">
        <v>35</v>
      </c>
      <c r="T2242">
        <v>123</v>
      </c>
      <c r="U2242">
        <v>141</v>
      </c>
      <c r="V2242">
        <v>21</v>
      </c>
      <c r="W2242">
        <v>18</v>
      </c>
      <c r="X2242">
        <v>61</v>
      </c>
      <c r="Y2242" s="5">
        <v>2.31</v>
      </c>
    </row>
    <row r="2243" spans="1:25" x14ac:dyDescent="0.25">
      <c r="A2243">
        <v>2023</v>
      </c>
      <c r="B2243" t="s">
        <v>142</v>
      </c>
      <c r="C2243" t="s">
        <v>148</v>
      </c>
      <c r="D2243">
        <v>191</v>
      </c>
      <c r="E2243" t="s">
        <v>93</v>
      </c>
      <c r="F2243" t="s">
        <v>189</v>
      </c>
      <c r="G2243">
        <f t="shared" si="1562"/>
        <v>1</v>
      </c>
      <c r="H2243">
        <v>8</v>
      </c>
      <c r="I2243">
        <v>5</v>
      </c>
      <c r="J2243">
        <v>0</v>
      </c>
      <c r="K2243" s="6" t="str">
        <f t="shared" ref="K2243" si="1565">"vs "&amp;E2242</f>
        <v>vs purple fuzzy apache pirates</v>
      </c>
      <c r="L2243" s="6" t="str">
        <f t="shared" ref="L2243" si="1566">"vs "&amp;F2242</f>
        <v>vs pi/Sotiris</v>
      </c>
      <c r="M2243">
        <v>175</v>
      </c>
      <c r="N2243" s="1">
        <v>0.51900000000000002</v>
      </c>
      <c r="O2243">
        <v>64</v>
      </c>
      <c r="P2243" s="1">
        <v>0.42699999999999999</v>
      </c>
      <c r="Q2243" s="1">
        <v>0.86</v>
      </c>
      <c r="R2243">
        <v>488</v>
      </c>
      <c r="S2243">
        <v>34</v>
      </c>
      <c r="T2243">
        <v>186</v>
      </c>
      <c r="U2243">
        <v>110</v>
      </c>
      <c r="V2243">
        <v>22</v>
      </c>
      <c r="W2243">
        <v>19</v>
      </c>
      <c r="X2243">
        <v>50</v>
      </c>
      <c r="Y2243" s="5">
        <v>2.2000000000000002</v>
      </c>
    </row>
    <row r="2244" spans="1:25" x14ac:dyDescent="0.25">
      <c r="A2244">
        <v>2023</v>
      </c>
      <c r="B2244" t="s">
        <v>142</v>
      </c>
      <c r="C2244" t="s">
        <v>148</v>
      </c>
      <c r="D2244">
        <v>192</v>
      </c>
      <c r="E2244" t="s">
        <v>16</v>
      </c>
      <c r="F2244" t="s">
        <v>51</v>
      </c>
      <c r="G2244">
        <f t="shared" si="1562"/>
        <v>1</v>
      </c>
      <c r="H2244">
        <v>7</v>
      </c>
      <c r="I2244">
        <v>6</v>
      </c>
      <c r="J2244">
        <v>0</v>
      </c>
      <c r="K2244" s="6" t="str">
        <f t="shared" ref="K2244" si="1567">"vs "&amp;E2245</f>
        <v>vs Salonika Devils</v>
      </c>
      <c r="L2244" s="6" t="str">
        <f t="shared" ref="L2244" si="1568">"vs "&amp;F2245</f>
        <v>vs Fountos</v>
      </c>
      <c r="M2244">
        <v>188</v>
      </c>
      <c r="N2244" s="1">
        <v>0.48699999999999999</v>
      </c>
      <c r="O2244">
        <v>44</v>
      </c>
      <c r="P2244" s="1">
        <v>0.36699999999999999</v>
      </c>
      <c r="Q2244" s="1">
        <v>0.81399999999999995</v>
      </c>
      <c r="R2244">
        <v>503</v>
      </c>
      <c r="S2244">
        <v>42</v>
      </c>
      <c r="T2244">
        <v>130</v>
      </c>
      <c r="U2244">
        <v>112</v>
      </c>
      <c r="V2244">
        <v>26</v>
      </c>
      <c r="W2244">
        <v>18</v>
      </c>
      <c r="X2244">
        <v>63</v>
      </c>
      <c r="Y2244" s="5">
        <v>1.78</v>
      </c>
    </row>
    <row r="2245" spans="1:25" x14ac:dyDescent="0.25">
      <c r="A2245">
        <v>2023</v>
      </c>
      <c r="B2245" t="s">
        <v>142</v>
      </c>
      <c r="C2245" t="s">
        <v>148</v>
      </c>
      <c r="D2245">
        <v>192</v>
      </c>
      <c r="E2245" t="s">
        <v>15</v>
      </c>
      <c r="F2245" t="s">
        <v>48</v>
      </c>
      <c r="G2245">
        <f t="shared" si="1562"/>
        <v>0</v>
      </c>
      <c r="H2245">
        <v>6</v>
      </c>
      <c r="I2245">
        <v>7</v>
      </c>
      <c r="J2245">
        <v>0</v>
      </c>
      <c r="K2245" s="6" t="str">
        <f t="shared" ref="K2245" si="1569">"vs "&amp;E2244</f>
        <v>vs The Bridgeburners</v>
      </c>
      <c r="L2245" s="6" t="str">
        <f t="shared" ref="L2245" si="1570">"vs "&amp;F2244</f>
        <v>vs Fanis</v>
      </c>
      <c r="M2245">
        <v>207</v>
      </c>
      <c r="N2245" s="1">
        <v>0.48099999999999998</v>
      </c>
      <c r="O2245">
        <v>47</v>
      </c>
      <c r="P2245" s="1">
        <v>0.38200000000000001</v>
      </c>
      <c r="Q2245" s="1">
        <v>0.81200000000000006</v>
      </c>
      <c r="R2245">
        <v>543</v>
      </c>
      <c r="S2245">
        <v>43</v>
      </c>
      <c r="T2245">
        <v>137</v>
      </c>
      <c r="U2245">
        <v>96</v>
      </c>
      <c r="V2245">
        <v>21</v>
      </c>
      <c r="W2245">
        <v>10</v>
      </c>
      <c r="X2245">
        <v>67</v>
      </c>
      <c r="Y2245" s="5">
        <v>1.43</v>
      </c>
    </row>
    <row r="2246" spans="1:25" x14ac:dyDescent="0.25">
      <c r="A2246">
        <v>2023</v>
      </c>
      <c r="B2246" t="s">
        <v>142</v>
      </c>
      <c r="C2246" t="s">
        <v>148</v>
      </c>
      <c r="D2246">
        <v>193</v>
      </c>
      <c r="E2246" t="s">
        <v>158</v>
      </c>
      <c r="F2246" t="s">
        <v>177</v>
      </c>
      <c r="G2246">
        <f t="shared" si="1562"/>
        <v>1</v>
      </c>
      <c r="H2246">
        <v>10</v>
      </c>
      <c r="I2246">
        <v>3</v>
      </c>
      <c r="J2246">
        <v>0</v>
      </c>
      <c r="K2246" s="6" t="str">
        <f t="shared" ref="K2246" si="1571">"vs "&amp;E2247</f>
        <v>vs Donkey Rolls</v>
      </c>
      <c r="L2246" s="6" t="str">
        <f t="shared" ref="L2246" si="1572">"vs "&amp;F2247</f>
        <v>vs Markos</v>
      </c>
      <c r="M2246">
        <v>259</v>
      </c>
      <c r="N2246" s="1">
        <v>0.55500000000000005</v>
      </c>
      <c r="O2246">
        <v>37</v>
      </c>
      <c r="P2246" s="1">
        <v>0.378</v>
      </c>
      <c r="Q2246" s="1">
        <v>0.79500000000000004</v>
      </c>
      <c r="R2246">
        <v>745</v>
      </c>
      <c r="S2246">
        <v>84</v>
      </c>
      <c r="T2246">
        <v>197</v>
      </c>
      <c r="U2246">
        <v>156</v>
      </c>
      <c r="V2246">
        <v>38</v>
      </c>
      <c r="W2246">
        <v>28</v>
      </c>
      <c r="X2246">
        <v>77</v>
      </c>
      <c r="Y2246" s="5">
        <v>2.0299999999999998</v>
      </c>
    </row>
    <row r="2247" spans="1:25" x14ac:dyDescent="0.25">
      <c r="A2247">
        <v>2023</v>
      </c>
      <c r="B2247" t="s">
        <v>142</v>
      </c>
      <c r="C2247" t="s">
        <v>148</v>
      </c>
      <c r="D2247">
        <v>193</v>
      </c>
      <c r="E2247" t="s">
        <v>17</v>
      </c>
      <c r="F2247" t="s">
        <v>43</v>
      </c>
      <c r="G2247">
        <f t="shared" si="1562"/>
        <v>0</v>
      </c>
      <c r="H2247">
        <v>3</v>
      </c>
      <c r="I2247">
        <v>10</v>
      </c>
      <c r="J2247">
        <v>0</v>
      </c>
      <c r="K2247" s="6" t="str">
        <f t="shared" ref="K2247" si="1573">"vs "&amp;E2246</f>
        <v>vs LRBP PR3DATORS</v>
      </c>
      <c r="L2247" s="6" t="str">
        <f t="shared" ref="L2247" si="1574">"vs "&amp;F2246</f>
        <v>vs Lafa</v>
      </c>
      <c r="M2247">
        <v>158</v>
      </c>
      <c r="N2247" s="1">
        <v>0.45800000000000002</v>
      </c>
      <c r="O2247">
        <v>55</v>
      </c>
      <c r="P2247" s="1">
        <v>0.372</v>
      </c>
      <c r="Q2247" s="1">
        <v>0.78900000000000003</v>
      </c>
      <c r="R2247">
        <v>442</v>
      </c>
      <c r="S2247">
        <v>20</v>
      </c>
      <c r="T2247">
        <v>126</v>
      </c>
      <c r="U2247">
        <v>108</v>
      </c>
      <c r="V2247">
        <v>21</v>
      </c>
      <c r="W2247">
        <v>1</v>
      </c>
      <c r="X2247">
        <v>50</v>
      </c>
      <c r="Y2247" s="5">
        <v>2.16</v>
      </c>
    </row>
    <row r="2248" spans="1:25" x14ac:dyDescent="0.25">
      <c r="A2248">
        <v>2023</v>
      </c>
      <c r="B2248" t="s">
        <v>142</v>
      </c>
      <c r="C2248" t="s">
        <v>148</v>
      </c>
      <c r="D2248">
        <v>194</v>
      </c>
      <c r="E2248" t="s">
        <v>28</v>
      </c>
      <c r="F2248" t="s">
        <v>46</v>
      </c>
      <c r="G2248">
        <f t="shared" si="1562"/>
        <v>1</v>
      </c>
      <c r="H2248">
        <v>11</v>
      </c>
      <c r="I2248">
        <v>2</v>
      </c>
      <c r="J2248">
        <v>0</v>
      </c>
      <c r="K2248" s="6" t="str">
        <f t="shared" ref="K2248" si="1575">"vs "&amp;E2249</f>
        <v>vs Tsarlatans</v>
      </c>
      <c r="L2248" s="6" t="str">
        <f t="shared" ref="L2248" si="1576">"vs "&amp;F2249</f>
        <v>vs Tzokos</v>
      </c>
      <c r="M2248">
        <v>197</v>
      </c>
      <c r="N2248" s="1">
        <v>0.499</v>
      </c>
      <c r="O2248">
        <v>58</v>
      </c>
      <c r="P2248" s="1">
        <v>0.38900000000000001</v>
      </c>
      <c r="Q2248" s="1">
        <v>0.82299999999999995</v>
      </c>
      <c r="R2248">
        <v>554</v>
      </c>
      <c r="S2248">
        <v>63</v>
      </c>
      <c r="T2248">
        <v>120</v>
      </c>
      <c r="U2248">
        <v>147</v>
      </c>
      <c r="V2248">
        <v>32</v>
      </c>
      <c r="W2248">
        <v>25</v>
      </c>
      <c r="X2248">
        <v>59</v>
      </c>
      <c r="Y2248" s="5">
        <v>2.4900000000000002</v>
      </c>
    </row>
    <row r="2249" spans="1:25" x14ac:dyDescent="0.25">
      <c r="A2249">
        <v>2023</v>
      </c>
      <c r="B2249" t="s">
        <v>142</v>
      </c>
      <c r="C2249" t="s">
        <v>148</v>
      </c>
      <c r="D2249">
        <v>194</v>
      </c>
      <c r="E2249" t="s">
        <v>99</v>
      </c>
      <c r="F2249" t="s">
        <v>45</v>
      </c>
      <c r="G2249">
        <f t="shared" si="1562"/>
        <v>0</v>
      </c>
      <c r="H2249">
        <v>2</v>
      </c>
      <c r="I2249">
        <v>11</v>
      </c>
      <c r="J2249">
        <v>0</v>
      </c>
      <c r="K2249" s="6" t="str">
        <f t="shared" ref="K2249" si="1577">"vs "&amp;E2248</f>
        <v>vs Steven Adams' Moustache</v>
      </c>
      <c r="L2249" s="6" t="str">
        <f t="shared" ref="L2249" si="1578">"vs "&amp;F2248</f>
        <v>vs Johnny</v>
      </c>
      <c r="M2249">
        <v>153</v>
      </c>
      <c r="N2249" s="1">
        <v>0.497</v>
      </c>
      <c r="O2249">
        <v>48</v>
      </c>
      <c r="P2249" s="1">
        <v>0.40699999999999997</v>
      </c>
      <c r="Q2249" s="1">
        <v>0.81499999999999995</v>
      </c>
      <c r="R2249">
        <v>407</v>
      </c>
      <c r="S2249">
        <v>22</v>
      </c>
      <c r="T2249">
        <v>99</v>
      </c>
      <c r="U2249">
        <v>77</v>
      </c>
      <c r="V2249">
        <v>20</v>
      </c>
      <c r="W2249">
        <v>16</v>
      </c>
      <c r="X2249">
        <v>43</v>
      </c>
      <c r="Y2249" s="5">
        <v>1.79</v>
      </c>
    </row>
    <row r="2250" spans="1:25" x14ac:dyDescent="0.25">
      <c r="A2250">
        <v>2023</v>
      </c>
      <c r="B2250" t="s">
        <v>142</v>
      </c>
      <c r="C2250" t="s">
        <v>146</v>
      </c>
      <c r="D2250">
        <v>195</v>
      </c>
      <c r="E2250" t="s">
        <v>190</v>
      </c>
      <c r="F2250" t="s">
        <v>103</v>
      </c>
      <c r="G2250">
        <f t="shared" ref="G2250:G2265" si="1579">IF(H2250+0.5*J2250&gt;6.5,1,0)</f>
        <v>1</v>
      </c>
      <c r="H2250">
        <v>9</v>
      </c>
      <c r="I2250">
        <v>4</v>
      </c>
      <c r="J2250">
        <v>0</v>
      </c>
      <c r="K2250" s="6" t="str">
        <f t="shared" ref="K2250" si="1580">"vs "&amp;E2251</f>
        <v>vs Guruuu 🐐🐐🐐</v>
      </c>
      <c r="L2250" s="6" t="str">
        <f t="shared" ref="L2250" si="1581">"vs "&amp;F2251</f>
        <v>vs Guru</v>
      </c>
      <c r="M2250">
        <v>120</v>
      </c>
      <c r="N2250" s="1">
        <v>0.52200000000000002</v>
      </c>
      <c r="O2250">
        <v>36</v>
      </c>
      <c r="P2250" s="1">
        <v>0.40899999999999997</v>
      </c>
      <c r="Q2250" s="1">
        <v>0.877</v>
      </c>
      <c r="R2250">
        <v>347</v>
      </c>
      <c r="S2250">
        <v>12</v>
      </c>
      <c r="T2250">
        <v>78</v>
      </c>
      <c r="U2250">
        <v>92</v>
      </c>
      <c r="V2250">
        <v>17</v>
      </c>
      <c r="W2250">
        <v>12</v>
      </c>
      <c r="X2250">
        <v>34</v>
      </c>
      <c r="Y2250" s="5">
        <v>2.71</v>
      </c>
    </row>
    <row r="2251" spans="1:25" x14ac:dyDescent="0.25">
      <c r="A2251">
        <v>2023</v>
      </c>
      <c r="B2251" t="s">
        <v>142</v>
      </c>
      <c r="C2251" t="s">
        <v>146</v>
      </c>
      <c r="D2251">
        <v>195</v>
      </c>
      <c r="E2251" t="s">
        <v>93</v>
      </c>
      <c r="F2251" t="s">
        <v>189</v>
      </c>
      <c r="G2251">
        <f t="shared" si="1579"/>
        <v>0</v>
      </c>
      <c r="H2251">
        <v>4</v>
      </c>
      <c r="I2251">
        <v>9</v>
      </c>
      <c r="J2251">
        <v>0</v>
      </c>
      <c r="K2251" s="6" t="str">
        <f t="shared" ref="K2251" si="1582">"vs "&amp;E2250</f>
        <v>vs Karafli SaiTa</v>
      </c>
      <c r="L2251" s="6" t="str">
        <f t="shared" ref="L2251" si="1583">"vs "&amp;F2250</f>
        <v>vs Tassos</v>
      </c>
      <c r="M2251">
        <v>63</v>
      </c>
      <c r="N2251" s="1">
        <v>0.52100000000000002</v>
      </c>
      <c r="O2251">
        <v>32</v>
      </c>
      <c r="P2251" s="1">
        <v>0.52500000000000002</v>
      </c>
      <c r="Q2251" s="1">
        <v>0.69</v>
      </c>
      <c r="R2251">
        <v>178</v>
      </c>
      <c r="S2251">
        <v>11</v>
      </c>
      <c r="T2251">
        <v>49</v>
      </c>
      <c r="U2251">
        <v>48</v>
      </c>
      <c r="V2251">
        <v>18</v>
      </c>
      <c r="W2251">
        <v>3</v>
      </c>
      <c r="X2251">
        <v>14</v>
      </c>
      <c r="Y2251" s="5">
        <v>3.43</v>
      </c>
    </row>
    <row r="2252" spans="1:25" x14ac:dyDescent="0.25">
      <c r="A2252">
        <v>2023</v>
      </c>
      <c r="B2252" t="s">
        <v>142</v>
      </c>
      <c r="C2252" t="s">
        <v>146</v>
      </c>
      <c r="D2252">
        <v>196</v>
      </c>
      <c r="E2252" t="s">
        <v>23</v>
      </c>
      <c r="F2252" t="s">
        <v>120</v>
      </c>
      <c r="G2252">
        <f t="shared" si="1579"/>
        <v>0</v>
      </c>
      <c r="H2252">
        <v>5</v>
      </c>
      <c r="I2252">
        <v>7</v>
      </c>
      <c r="J2252">
        <v>1</v>
      </c>
      <c r="K2252" s="6" t="str">
        <f t="shared" ref="K2252" si="1584">"vs "&amp;E2253</f>
        <v>vs The Bridgeburners</v>
      </c>
      <c r="L2252" s="6" t="str">
        <f t="shared" ref="L2252" si="1585">"vs "&amp;F2253</f>
        <v>vs Fanis</v>
      </c>
      <c r="M2252">
        <v>88</v>
      </c>
      <c r="N2252" s="1">
        <v>0.47799999999999998</v>
      </c>
      <c r="O2252">
        <v>21</v>
      </c>
      <c r="P2252" s="1">
        <v>0.38900000000000001</v>
      </c>
      <c r="Q2252" s="1">
        <v>0.74399999999999999</v>
      </c>
      <c r="R2252">
        <v>229</v>
      </c>
      <c r="S2252">
        <v>17</v>
      </c>
      <c r="T2252">
        <v>62</v>
      </c>
      <c r="U2252">
        <v>52</v>
      </c>
      <c r="V2252">
        <v>14</v>
      </c>
      <c r="W2252">
        <v>5</v>
      </c>
      <c r="X2252">
        <v>19</v>
      </c>
      <c r="Y2252" s="5">
        <v>2.74</v>
      </c>
    </row>
    <row r="2253" spans="1:25" x14ac:dyDescent="0.25">
      <c r="A2253">
        <v>2023</v>
      </c>
      <c r="B2253" t="s">
        <v>142</v>
      </c>
      <c r="C2253" t="s">
        <v>146</v>
      </c>
      <c r="D2253">
        <v>196</v>
      </c>
      <c r="E2253" t="s">
        <v>16</v>
      </c>
      <c r="F2253" t="s">
        <v>51</v>
      </c>
      <c r="G2253">
        <f t="shared" si="1579"/>
        <v>1</v>
      </c>
      <c r="H2253">
        <v>7</v>
      </c>
      <c r="I2253">
        <v>5</v>
      </c>
      <c r="J2253">
        <v>1</v>
      </c>
      <c r="K2253" s="6" t="str">
        <f t="shared" ref="K2253" si="1586">"vs "&amp;E2252</f>
        <v>vs Pachiana NinjaBees</v>
      </c>
      <c r="L2253" s="6" t="str">
        <f t="shared" ref="L2253" si="1587">"vs "&amp;F2252</f>
        <v>vs Spiridaus/Oladipas</v>
      </c>
      <c r="M2253">
        <v>110</v>
      </c>
      <c r="N2253" s="1">
        <v>0.56100000000000005</v>
      </c>
      <c r="O2253">
        <v>33</v>
      </c>
      <c r="P2253" s="1">
        <v>0.47799999999999998</v>
      </c>
      <c r="Q2253" s="1">
        <v>0.93799999999999994</v>
      </c>
      <c r="R2253">
        <v>313</v>
      </c>
      <c r="S2253">
        <v>13</v>
      </c>
      <c r="T2253">
        <v>45</v>
      </c>
      <c r="U2253">
        <v>50</v>
      </c>
      <c r="V2253">
        <v>14</v>
      </c>
      <c r="W2253">
        <v>8</v>
      </c>
      <c r="X2253">
        <v>33</v>
      </c>
      <c r="Y2253" s="5">
        <v>1.52</v>
      </c>
    </row>
    <row r="2254" spans="1:25" x14ac:dyDescent="0.25">
      <c r="A2254">
        <v>2023</v>
      </c>
      <c r="B2254" t="s">
        <v>142</v>
      </c>
      <c r="C2254" t="s">
        <v>146</v>
      </c>
      <c r="D2254">
        <v>197</v>
      </c>
      <c r="E2254" t="s">
        <v>181</v>
      </c>
      <c r="F2254" t="s">
        <v>49</v>
      </c>
      <c r="G2254">
        <f t="shared" si="1579"/>
        <v>1</v>
      </c>
      <c r="H2254">
        <v>10</v>
      </c>
      <c r="I2254">
        <v>3</v>
      </c>
      <c r="J2254">
        <v>0</v>
      </c>
      <c r="K2254" s="6" t="str">
        <f t="shared" ref="K2254" si="1588">"vs "&amp;E2255</f>
        <v>vs LRBP PR3DATORS</v>
      </c>
      <c r="L2254" s="6" t="str">
        <f t="shared" ref="L2254" si="1589">"vs "&amp;F2255</f>
        <v>vs Lafa</v>
      </c>
      <c r="M2254">
        <v>115</v>
      </c>
      <c r="N2254" s="1">
        <v>0.54500000000000004</v>
      </c>
      <c r="O2254">
        <v>33</v>
      </c>
      <c r="P2254" s="1">
        <v>0.40699999999999997</v>
      </c>
      <c r="Q2254" s="1">
        <v>0.77300000000000002</v>
      </c>
      <c r="R2254">
        <v>297</v>
      </c>
      <c r="S2254">
        <v>29</v>
      </c>
      <c r="T2254">
        <v>64</v>
      </c>
      <c r="U2254">
        <v>56</v>
      </c>
      <c r="V2254">
        <v>19</v>
      </c>
      <c r="W2254">
        <v>10</v>
      </c>
      <c r="X2254">
        <v>31</v>
      </c>
      <c r="Y2254" s="5">
        <v>1.81</v>
      </c>
    </row>
    <row r="2255" spans="1:25" x14ac:dyDescent="0.25">
      <c r="A2255">
        <v>2023</v>
      </c>
      <c r="B2255" t="s">
        <v>142</v>
      </c>
      <c r="C2255" t="s">
        <v>146</v>
      </c>
      <c r="D2255">
        <v>197</v>
      </c>
      <c r="E2255" t="s">
        <v>158</v>
      </c>
      <c r="F2255" t="s">
        <v>177</v>
      </c>
      <c r="G2255">
        <f t="shared" si="1579"/>
        <v>0</v>
      </c>
      <c r="H2255">
        <v>3</v>
      </c>
      <c r="I2255">
        <v>10</v>
      </c>
      <c r="J2255">
        <v>0</v>
      </c>
      <c r="K2255" s="6" t="str">
        <f t="shared" ref="K2255" si="1590">"vs "&amp;E2254</f>
        <v>vs Samarina Dudenbros</v>
      </c>
      <c r="L2255" s="6" t="str">
        <f t="shared" ref="L2255" si="1591">"vs "&amp;F2254</f>
        <v>vs Sakellariou</v>
      </c>
      <c r="M2255">
        <v>73</v>
      </c>
      <c r="N2255" s="1">
        <v>0.50700000000000001</v>
      </c>
      <c r="O2255">
        <v>11</v>
      </c>
      <c r="P2255" s="1">
        <v>0.379</v>
      </c>
      <c r="Q2255" s="1">
        <v>0.75700000000000001</v>
      </c>
      <c r="R2255">
        <v>210</v>
      </c>
      <c r="S2255">
        <v>23</v>
      </c>
      <c r="T2255">
        <v>74</v>
      </c>
      <c r="U2255">
        <v>62</v>
      </c>
      <c r="V2255">
        <v>24</v>
      </c>
      <c r="W2255">
        <v>8</v>
      </c>
      <c r="X2255">
        <v>37</v>
      </c>
      <c r="Y2255" s="5">
        <v>1.68</v>
      </c>
    </row>
    <row r="2256" spans="1:25" x14ac:dyDescent="0.25">
      <c r="A2256">
        <v>2023</v>
      </c>
      <c r="B2256" t="s">
        <v>142</v>
      </c>
      <c r="C2256" t="s">
        <v>146</v>
      </c>
      <c r="D2256">
        <v>198</v>
      </c>
      <c r="E2256" t="s">
        <v>98</v>
      </c>
      <c r="F2256" t="s">
        <v>41</v>
      </c>
      <c r="G2256">
        <f t="shared" si="1579"/>
        <v>1</v>
      </c>
      <c r="H2256">
        <v>10</v>
      </c>
      <c r="I2256">
        <v>3</v>
      </c>
      <c r="J2256">
        <v>0</v>
      </c>
      <c r="K2256" s="6" t="str">
        <f t="shared" ref="K2256" si="1592">"vs "&amp;E2257</f>
        <v>vs Steven Adams' Moustache</v>
      </c>
      <c r="L2256" s="6" t="str">
        <f t="shared" ref="L2256" si="1593">"vs "&amp;F2257</f>
        <v>vs Johnny</v>
      </c>
      <c r="M2256">
        <v>105</v>
      </c>
      <c r="N2256" s="1">
        <v>0.505</v>
      </c>
      <c r="O2256">
        <v>29</v>
      </c>
      <c r="P2256" s="1">
        <v>0.42</v>
      </c>
      <c r="Q2256" s="1">
        <v>0.875</v>
      </c>
      <c r="R2256">
        <v>295</v>
      </c>
      <c r="S2256">
        <v>27</v>
      </c>
      <c r="T2256">
        <v>75</v>
      </c>
      <c r="U2256">
        <v>97</v>
      </c>
      <c r="V2256">
        <v>21</v>
      </c>
      <c r="W2256">
        <v>24</v>
      </c>
      <c r="X2256">
        <v>40</v>
      </c>
      <c r="Y2256" s="5">
        <v>2.42</v>
      </c>
    </row>
    <row r="2257" spans="1:25" x14ac:dyDescent="0.25">
      <c r="A2257">
        <v>2023</v>
      </c>
      <c r="B2257" t="s">
        <v>142</v>
      </c>
      <c r="C2257" t="s">
        <v>146</v>
      </c>
      <c r="D2257">
        <v>198</v>
      </c>
      <c r="E2257" t="s">
        <v>28</v>
      </c>
      <c r="F2257" t="s">
        <v>46</v>
      </c>
      <c r="G2257">
        <f t="shared" si="1579"/>
        <v>0</v>
      </c>
      <c r="H2257">
        <v>3</v>
      </c>
      <c r="I2257">
        <v>10</v>
      </c>
      <c r="J2257">
        <v>0</v>
      </c>
      <c r="K2257" s="6" t="str">
        <f t="shared" ref="K2257" si="1594">"vs "&amp;E2256</f>
        <v>vs Xanthi Ducks 🦆</v>
      </c>
      <c r="L2257" s="6" t="str">
        <f t="shared" ref="L2257" si="1595">"vs "&amp;F2256</f>
        <v>vs Kotakis</v>
      </c>
      <c r="M2257">
        <v>103</v>
      </c>
      <c r="N2257" s="1">
        <v>0.44</v>
      </c>
      <c r="O2257">
        <v>30</v>
      </c>
      <c r="P2257" s="1">
        <v>0.33700000000000002</v>
      </c>
      <c r="Q2257" s="1">
        <v>0.81</v>
      </c>
      <c r="R2257">
        <v>283</v>
      </c>
      <c r="S2257">
        <v>31</v>
      </c>
      <c r="T2257">
        <v>62</v>
      </c>
      <c r="U2257">
        <v>86</v>
      </c>
      <c r="V2257">
        <v>20</v>
      </c>
      <c r="W2257">
        <v>6</v>
      </c>
      <c r="X2257">
        <v>39</v>
      </c>
      <c r="Y2257" s="5">
        <v>2.21</v>
      </c>
    </row>
    <row r="2258" spans="1:25" x14ac:dyDescent="0.25">
      <c r="A2258">
        <v>2023</v>
      </c>
      <c r="B2258" t="s">
        <v>142</v>
      </c>
      <c r="C2258" t="s">
        <v>147</v>
      </c>
      <c r="D2258">
        <v>199</v>
      </c>
      <c r="E2258" t="s">
        <v>190</v>
      </c>
      <c r="F2258" t="s">
        <v>103</v>
      </c>
      <c r="G2258">
        <f t="shared" si="1579"/>
        <v>1</v>
      </c>
      <c r="H2258">
        <v>7</v>
      </c>
      <c r="I2258">
        <v>6</v>
      </c>
      <c r="J2258">
        <v>0</v>
      </c>
      <c r="K2258" s="6" t="str">
        <f t="shared" ref="K2258" si="1596">"vs "&amp;E2259</f>
        <v>vs The Bridgeburners</v>
      </c>
      <c r="L2258" s="6" t="str">
        <f t="shared" ref="L2258" si="1597">"vs "&amp;F2259</f>
        <v>vs Fanis</v>
      </c>
      <c r="M2258">
        <v>206</v>
      </c>
      <c r="N2258">
        <v>0.51500000000000001</v>
      </c>
      <c r="O2258">
        <v>42</v>
      </c>
      <c r="P2258">
        <v>0.38500000000000001</v>
      </c>
      <c r="Q2258">
        <v>0.80500000000000005</v>
      </c>
      <c r="R2258">
        <v>545</v>
      </c>
      <c r="S2258">
        <v>42</v>
      </c>
      <c r="T2258">
        <v>136</v>
      </c>
      <c r="U2258">
        <v>101</v>
      </c>
      <c r="V2258">
        <v>18</v>
      </c>
      <c r="W2258">
        <v>26</v>
      </c>
      <c r="X2258">
        <v>52</v>
      </c>
      <c r="Y2258">
        <v>1.94</v>
      </c>
    </row>
    <row r="2259" spans="1:25" x14ac:dyDescent="0.25">
      <c r="A2259">
        <v>2023</v>
      </c>
      <c r="B2259" t="s">
        <v>142</v>
      </c>
      <c r="C2259" t="s">
        <v>147</v>
      </c>
      <c r="D2259">
        <v>199</v>
      </c>
      <c r="E2259" t="s">
        <v>16</v>
      </c>
      <c r="F2259" t="s">
        <v>51</v>
      </c>
      <c r="G2259">
        <f t="shared" si="1579"/>
        <v>0</v>
      </c>
      <c r="H2259">
        <v>6</v>
      </c>
      <c r="I2259">
        <v>7</v>
      </c>
      <c r="J2259">
        <v>0</v>
      </c>
      <c r="K2259" s="6" t="str">
        <f t="shared" ref="K2259" si="1598">"vs "&amp;E2258</f>
        <v>vs Karafli SaiTa</v>
      </c>
      <c r="L2259" s="6" t="str">
        <f t="shared" ref="L2259" si="1599">"vs "&amp;F2258</f>
        <v>vs Tassos</v>
      </c>
      <c r="M2259">
        <v>175</v>
      </c>
      <c r="N2259">
        <v>0.504</v>
      </c>
      <c r="O2259">
        <v>52</v>
      </c>
      <c r="P2259">
        <v>0.39100000000000001</v>
      </c>
      <c r="Q2259">
        <v>0.86699999999999999</v>
      </c>
      <c r="R2259">
        <v>487</v>
      </c>
      <c r="S2259">
        <v>35</v>
      </c>
      <c r="T2259">
        <v>117</v>
      </c>
      <c r="U2259">
        <v>117</v>
      </c>
      <c r="V2259">
        <v>21</v>
      </c>
      <c r="W2259">
        <v>24</v>
      </c>
      <c r="X2259">
        <v>54</v>
      </c>
      <c r="Y2259">
        <v>2.17</v>
      </c>
    </row>
    <row r="2260" spans="1:25" x14ac:dyDescent="0.25">
      <c r="A2260">
        <v>2023</v>
      </c>
      <c r="B2260" t="s">
        <v>142</v>
      </c>
      <c r="C2260" t="s">
        <v>147</v>
      </c>
      <c r="D2260">
        <v>200</v>
      </c>
      <c r="E2260" t="s">
        <v>98</v>
      </c>
      <c r="F2260" t="s">
        <v>41</v>
      </c>
      <c r="G2260">
        <f t="shared" si="1579"/>
        <v>1</v>
      </c>
      <c r="H2260">
        <v>12</v>
      </c>
      <c r="I2260">
        <v>1</v>
      </c>
      <c r="J2260">
        <v>0</v>
      </c>
      <c r="K2260" s="6" t="str">
        <f t="shared" ref="K2260" si="1600">"vs "&amp;E2261</f>
        <v>vs Samarina Dudenbros</v>
      </c>
      <c r="L2260" s="6" t="str">
        <f t="shared" ref="L2260" si="1601">"vs "&amp;F2261</f>
        <v>vs Sakellariou</v>
      </c>
      <c r="M2260">
        <v>249</v>
      </c>
      <c r="N2260">
        <v>0.52300000000000002</v>
      </c>
      <c r="O2260">
        <v>62</v>
      </c>
      <c r="P2260">
        <v>0.38800000000000001</v>
      </c>
      <c r="Q2260">
        <v>0.83499999999999996</v>
      </c>
      <c r="R2260">
        <v>651</v>
      </c>
      <c r="S2260">
        <v>57</v>
      </c>
      <c r="T2260">
        <v>187</v>
      </c>
      <c r="U2260">
        <v>140</v>
      </c>
      <c r="V2260">
        <v>34</v>
      </c>
      <c r="W2260">
        <v>33</v>
      </c>
      <c r="X2260">
        <v>57</v>
      </c>
      <c r="Y2260">
        <v>2.46</v>
      </c>
    </row>
    <row r="2261" spans="1:25" x14ac:dyDescent="0.25">
      <c r="A2261">
        <v>2023</v>
      </c>
      <c r="B2261" t="s">
        <v>142</v>
      </c>
      <c r="C2261" t="s">
        <v>147</v>
      </c>
      <c r="D2261">
        <v>200</v>
      </c>
      <c r="E2261" t="s">
        <v>181</v>
      </c>
      <c r="F2261" t="s">
        <v>49</v>
      </c>
      <c r="G2261">
        <f t="shared" si="1579"/>
        <v>0</v>
      </c>
      <c r="H2261">
        <v>1</v>
      </c>
      <c r="I2261">
        <v>12</v>
      </c>
      <c r="J2261">
        <v>0</v>
      </c>
      <c r="K2261" s="6" t="str">
        <f t="shared" ref="K2261" si="1602">"vs "&amp;E2260</f>
        <v>vs Xanthi Ducks 🦆</v>
      </c>
      <c r="L2261" s="6" t="str">
        <f t="shared" ref="L2261" si="1603">"vs "&amp;F2260</f>
        <v>vs Kotakis</v>
      </c>
      <c r="M2261">
        <v>177</v>
      </c>
      <c r="N2261">
        <v>0.45</v>
      </c>
      <c r="O2261">
        <v>43</v>
      </c>
      <c r="P2261">
        <v>0.29299999999999998</v>
      </c>
      <c r="Q2261">
        <v>0.80900000000000005</v>
      </c>
      <c r="R2261">
        <v>503</v>
      </c>
      <c r="S2261">
        <v>38</v>
      </c>
      <c r="T2261">
        <v>145</v>
      </c>
      <c r="U2261">
        <v>118</v>
      </c>
      <c r="V2261">
        <v>43</v>
      </c>
      <c r="W2261">
        <v>24</v>
      </c>
      <c r="X2261">
        <v>68</v>
      </c>
      <c r="Y2261">
        <v>1.74</v>
      </c>
    </row>
    <row r="2262" spans="1:25" x14ac:dyDescent="0.25">
      <c r="A2262">
        <v>2023</v>
      </c>
      <c r="B2262" t="s">
        <v>142</v>
      </c>
      <c r="C2262" t="s">
        <v>30</v>
      </c>
      <c r="D2262">
        <v>201</v>
      </c>
      <c r="E2262" t="s">
        <v>190</v>
      </c>
      <c r="F2262" t="s">
        <v>103</v>
      </c>
      <c r="G2262">
        <f t="shared" si="1579"/>
        <v>0</v>
      </c>
      <c r="H2262">
        <v>1</v>
      </c>
      <c r="I2262">
        <v>11</v>
      </c>
      <c r="J2262">
        <v>1</v>
      </c>
      <c r="K2262" s="6" t="str">
        <f t="shared" ref="K2262" si="1604">"vs "&amp;E2263</f>
        <v>vs Xanthi Ducks 🦆</v>
      </c>
      <c r="L2262" s="6" t="str">
        <f t="shared" ref="L2262" si="1605">"vs "&amp;F2263</f>
        <v>vs Kotakis</v>
      </c>
      <c r="M2262">
        <v>216</v>
      </c>
      <c r="N2262">
        <v>0.498</v>
      </c>
      <c r="O2262">
        <v>39</v>
      </c>
      <c r="P2262">
        <v>0.32</v>
      </c>
      <c r="Q2262">
        <v>0.81</v>
      </c>
      <c r="R2262">
        <v>590</v>
      </c>
      <c r="S2262">
        <v>40</v>
      </c>
      <c r="T2262">
        <v>161</v>
      </c>
      <c r="U2262">
        <v>124</v>
      </c>
      <c r="V2262">
        <v>38</v>
      </c>
      <c r="W2262">
        <v>24</v>
      </c>
      <c r="X2262">
        <v>67</v>
      </c>
      <c r="Y2262">
        <v>1.85</v>
      </c>
    </row>
    <row r="2263" spans="1:25" x14ac:dyDescent="0.25">
      <c r="A2263">
        <v>2023</v>
      </c>
      <c r="B2263" t="s">
        <v>142</v>
      </c>
      <c r="C2263" t="s">
        <v>30</v>
      </c>
      <c r="D2263">
        <v>201</v>
      </c>
      <c r="E2263" t="s">
        <v>98</v>
      </c>
      <c r="F2263" t="s">
        <v>41</v>
      </c>
      <c r="G2263">
        <f t="shared" si="1579"/>
        <v>1</v>
      </c>
      <c r="H2263">
        <v>11</v>
      </c>
      <c r="I2263">
        <v>1</v>
      </c>
      <c r="J2263">
        <v>1</v>
      </c>
      <c r="K2263" s="6" t="str">
        <f t="shared" ref="K2263" si="1606">"vs "&amp;E2262</f>
        <v>vs Karafli SaiTa</v>
      </c>
      <c r="L2263" s="6" t="str">
        <f t="shared" ref="L2263" si="1607">"vs "&amp;F2262</f>
        <v>vs Tassos</v>
      </c>
      <c r="M2263">
        <v>224</v>
      </c>
      <c r="N2263">
        <v>0.51600000000000001</v>
      </c>
      <c r="O2263">
        <v>56</v>
      </c>
      <c r="P2263">
        <v>0.36599999999999999</v>
      </c>
      <c r="Q2263">
        <v>0.81100000000000005</v>
      </c>
      <c r="R2263">
        <v>603</v>
      </c>
      <c r="S2263">
        <v>44</v>
      </c>
      <c r="T2263">
        <v>175</v>
      </c>
      <c r="U2263">
        <v>139</v>
      </c>
      <c r="V2263">
        <v>47</v>
      </c>
      <c r="W2263">
        <v>24</v>
      </c>
      <c r="X2263">
        <v>70</v>
      </c>
      <c r="Y2263">
        <v>1.99</v>
      </c>
    </row>
    <row r="2264" spans="1:25" x14ac:dyDescent="0.25">
      <c r="A2264">
        <v>2023</v>
      </c>
      <c r="B2264" t="s">
        <v>142</v>
      </c>
      <c r="C2264" t="s">
        <v>141</v>
      </c>
      <c r="D2264">
        <v>202</v>
      </c>
      <c r="E2264" t="s">
        <v>16</v>
      </c>
      <c r="F2264" t="s">
        <v>51</v>
      </c>
      <c r="G2264">
        <f t="shared" si="1579"/>
        <v>1</v>
      </c>
      <c r="H2264">
        <v>11</v>
      </c>
      <c r="I2264">
        <v>2</v>
      </c>
      <c r="J2264">
        <v>0</v>
      </c>
      <c r="K2264" s="6" t="str">
        <f t="shared" ref="K2264" si="1608">"vs "&amp;E2265</f>
        <v>vs Samarina Dudenbros</v>
      </c>
      <c r="L2264" s="6" t="str">
        <f t="shared" ref="L2264" si="1609">"vs "&amp;F2265</f>
        <v>vs Sakellariou</v>
      </c>
      <c r="M2264">
        <v>201</v>
      </c>
      <c r="N2264" s="1">
        <v>0.499</v>
      </c>
      <c r="O2264">
        <v>87</v>
      </c>
      <c r="P2264" s="1">
        <v>0.46500000000000002</v>
      </c>
      <c r="Q2264" s="1">
        <v>0.84399999999999997</v>
      </c>
      <c r="R2264">
        <v>613</v>
      </c>
      <c r="S2264">
        <v>31</v>
      </c>
      <c r="T2264">
        <v>139</v>
      </c>
      <c r="U2264">
        <v>150</v>
      </c>
      <c r="V2264">
        <v>26</v>
      </c>
      <c r="W2264">
        <v>14</v>
      </c>
      <c r="X2264">
        <v>58</v>
      </c>
      <c r="Y2264" s="5">
        <v>2.59</v>
      </c>
    </row>
    <row r="2265" spans="1:25" x14ac:dyDescent="0.25">
      <c r="A2265">
        <v>2023</v>
      </c>
      <c r="B2265" t="s">
        <v>142</v>
      </c>
      <c r="C2265" t="s">
        <v>141</v>
      </c>
      <c r="D2265">
        <v>202</v>
      </c>
      <c r="E2265" t="s">
        <v>181</v>
      </c>
      <c r="F2265" t="s">
        <v>49</v>
      </c>
      <c r="G2265">
        <f t="shared" si="1579"/>
        <v>0</v>
      </c>
      <c r="H2265">
        <v>2</v>
      </c>
      <c r="I2265">
        <v>11</v>
      </c>
      <c r="J2265">
        <v>0</v>
      </c>
      <c r="K2265" s="6" t="str">
        <f t="shared" ref="K2265" si="1610">"vs "&amp;E2264</f>
        <v>vs The Bridgeburners</v>
      </c>
      <c r="L2265" s="6" t="str">
        <f t="shared" ref="L2265" si="1611">"vs "&amp;F2264</f>
        <v>vs Fanis</v>
      </c>
      <c r="M2265">
        <v>195</v>
      </c>
      <c r="N2265" s="1">
        <v>0.48599999999999999</v>
      </c>
      <c r="O2265">
        <v>46</v>
      </c>
      <c r="P2265" s="1">
        <v>0.36199999999999999</v>
      </c>
      <c r="Q2265" s="1">
        <v>0.81699999999999995</v>
      </c>
      <c r="R2265">
        <v>512</v>
      </c>
      <c r="S2265">
        <v>27</v>
      </c>
      <c r="T2265">
        <v>121</v>
      </c>
      <c r="U2265">
        <v>117</v>
      </c>
      <c r="V2265">
        <v>33</v>
      </c>
      <c r="W2265">
        <v>21</v>
      </c>
      <c r="X2265">
        <v>67</v>
      </c>
      <c r="Y2265" s="5">
        <v>1.75</v>
      </c>
    </row>
    <row r="2266" spans="1:25" x14ac:dyDescent="0.25">
      <c r="A2266">
        <v>2024</v>
      </c>
      <c r="B2266" t="s">
        <v>57</v>
      </c>
      <c r="C2266">
        <v>1</v>
      </c>
      <c r="D2266">
        <v>1</v>
      </c>
      <c r="E2266" t="s">
        <v>93</v>
      </c>
      <c r="F2266" t="s">
        <v>189</v>
      </c>
      <c r="G2266">
        <f t="shared" ref="G2266:G2329" si="1612">IF(H2266+0.5*J2266&gt;6.5,1,0)</f>
        <v>0</v>
      </c>
      <c r="H2266">
        <v>6</v>
      </c>
      <c r="I2266">
        <v>7</v>
      </c>
      <c r="J2266">
        <v>0</v>
      </c>
      <c r="K2266" s="6" t="str">
        <f t="shared" ref="K2266" si="1613">"vs "&amp;E2267</f>
        <v>vs Tsarlatans</v>
      </c>
      <c r="L2266" s="6" t="str">
        <f t="shared" ref="L2266" si="1614">"vs "&amp;F2267</f>
        <v>vs Tzokos</v>
      </c>
      <c r="M2266">
        <v>119</v>
      </c>
      <c r="N2266">
        <v>0.41</v>
      </c>
      <c r="O2266">
        <v>32</v>
      </c>
      <c r="P2266">
        <v>0.28599999999999998</v>
      </c>
      <c r="Q2266">
        <v>0.83099999999999996</v>
      </c>
      <c r="R2266">
        <v>329</v>
      </c>
      <c r="S2266">
        <v>25</v>
      </c>
      <c r="T2266">
        <v>102</v>
      </c>
      <c r="U2266">
        <v>106</v>
      </c>
      <c r="V2266">
        <v>27</v>
      </c>
      <c r="W2266">
        <v>7</v>
      </c>
      <c r="X2266">
        <v>48</v>
      </c>
      <c r="Y2266">
        <v>2.21</v>
      </c>
    </row>
    <row r="2267" spans="1:25" x14ac:dyDescent="0.25">
      <c r="A2267">
        <v>2024</v>
      </c>
      <c r="B2267" t="s">
        <v>57</v>
      </c>
      <c r="C2267">
        <v>1</v>
      </c>
      <c r="D2267">
        <v>1</v>
      </c>
      <c r="E2267" t="s">
        <v>99</v>
      </c>
      <c r="F2267" t="s">
        <v>45</v>
      </c>
      <c r="G2267">
        <f t="shared" si="1612"/>
        <v>1</v>
      </c>
      <c r="H2267">
        <v>7</v>
      </c>
      <c r="I2267">
        <v>6</v>
      </c>
      <c r="J2267">
        <v>0</v>
      </c>
      <c r="K2267" s="6" t="str">
        <f t="shared" ref="K2267" si="1615">"vs "&amp;E2266</f>
        <v>vs Guruuu 🐐🐐🐐</v>
      </c>
      <c r="L2267" s="6" t="str">
        <f t="shared" ref="L2267" si="1616">"vs "&amp;F2266</f>
        <v>vs Guru</v>
      </c>
      <c r="M2267">
        <v>136</v>
      </c>
      <c r="N2267">
        <v>0.48099999999999998</v>
      </c>
      <c r="O2267">
        <v>31</v>
      </c>
      <c r="P2267">
        <v>0.32600000000000001</v>
      </c>
      <c r="Q2267">
        <v>0.81899999999999995</v>
      </c>
      <c r="R2267">
        <v>362</v>
      </c>
      <c r="S2267">
        <v>32</v>
      </c>
      <c r="T2267">
        <v>93</v>
      </c>
      <c r="U2267">
        <v>61</v>
      </c>
      <c r="V2267">
        <v>22</v>
      </c>
      <c r="W2267">
        <v>20</v>
      </c>
      <c r="X2267">
        <v>33</v>
      </c>
      <c r="Y2267">
        <v>1.85</v>
      </c>
    </row>
    <row r="2268" spans="1:25" x14ac:dyDescent="0.25">
      <c r="A2268">
        <v>2024</v>
      </c>
      <c r="B2268" t="s">
        <v>57</v>
      </c>
      <c r="C2268">
        <v>1</v>
      </c>
      <c r="D2268">
        <v>2</v>
      </c>
      <c r="E2268" t="s">
        <v>158</v>
      </c>
      <c r="F2268" t="s">
        <v>177</v>
      </c>
      <c r="G2268">
        <f t="shared" si="1612"/>
        <v>0</v>
      </c>
      <c r="H2268">
        <v>4</v>
      </c>
      <c r="I2268">
        <v>9</v>
      </c>
      <c r="J2268">
        <v>0</v>
      </c>
      <c r="K2268" s="6" t="str">
        <f t="shared" ref="K2268" si="1617">"vs "&amp;E2269</f>
        <v>vs Fighting Thaddeus</v>
      </c>
      <c r="L2268" s="6" t="str">
        <f t="shared" ref="L2268" si="1618">"vs "&amp;F2269</f>
        <v>vs Stavros</v>
      </c>
      <c r="M2268">
        <v>123</v>
      </c>
      <c r="N2268" s="1">
        <v>0.55400000000000005</v>
      </c>
      <c r="O2268">
        <v>29</v>
      </c>
      <c r="P2268" s="1">
        <v>0.439</v>
      </c>
      <c r="Q2268" s="1">
        <v>0.70399999999999996</v>
      </c>
      <c r="R2268">
        <v>332</v>
      </c>
      <c r="S2268">
        <v>32</v>
      </c>
      <c r="T2268">
        <v>104</v>
      </c>
      <c r="U2268">
        <v>70</v>
      </c>
      <c r="V2268">
        <v>18</v>
      </c>
      <c r="W2268">
        <v>14</v>
      </c>
      <c r="X2268">
        <v>26</v>
      </c>
      <c r="Y2268">
        <v>2.69</v>
      </c>
    </row>
    <row r="2269" spans="1:25" x14ac:dyDescent="0.25">
      <c r="A2269">
        <v>2024</v>
      </c>
      <c r="B2269" t="s">
        <v>57</v>
      </c>
      <c r="C2269">
        <v>1</v>
      </c>
      <c r="D2269">
        <v>2</v>
      </c>
      <c r="E2269" t="s">
        <v>94</v>
      </c>
      <c r="F2269" t="s">
        <v>40</v>
      </c>
      <c r="G2269">
        <f t="shared" si="1612"/>
        <v>1</v>
      </c>
      <c r="H2269">
        <v>9</v>
      </c>
      <c r="I2269">
        <v>4</v>
      </c>
      <c r="J2269">
        <v>0</v>
      </c>
      <c r="K2269" s="6" t="str">
        <f t="shared" ref="K2269" si="1619">"vs "&amp;E2268</f>
        <v>vs LRBP PR3DATORS</v>
      </c>
      <c r="L2269" s="6" t="str">
        <f t="shared" ref="L2269" si="1620">"vs "&amp;F2268</f>
        <v>vs Lafa</v>
      </c>
      <c r="M2269">
        <v>126</v>
      </c>
      <c r="N2269" s="1">
        <v>0.42099999999999999</v>
      </c>
      <c r="O2269">
        <v>43</v>
      </c>
      <c r="P2269" s="1">
        <v>0.33900000000000002</v>
      </c>
      <c r="Q2269" s="1">
        <v>0.84199999999999997</v>
      </c>
      <c r="R2269">
        <v>380</v>
      </c>
      <c r="S2269">
        <v>46</v>
      </c>
      <c r="T2269">
        <v>119</v>
      </c>
      <c r="U2269">
        <v>71</v>
      </c>
      <c r="V2269">
        <v>28</v>
      </c>
      <c r="W2269">
        <v>16</v>
      </c>
      <c r="X2269">
        <v>46</v>
      </c>
      <c r="Y2269">
        <v>1.54</v>
      </c>
    </row>
    <row r="2270" spans="1:25" x14ac:dyDescent="0.25">
      <c r="A2270">
        <v>2024</v>
      </c>
      <c r="B2270" t="s">
        <v>57</v>
      </c>
      <c r="C2270">
        <v>1</v>
      </c>
      <c r="D2270">
        <v>3</v>
      </c>
      <c r="E2270" t="s">
        <v>96</v>
      </c>
      <c r="F2270" t="s">
        <v>102</v>
      </c>
      <c r="G2270">
        <f t="shared" si="1612"/>
        <v>1</v>
      </c>
      <c r="H2270">
        <v>11</v>
      </c>
      <c r="I2270">
        <v>2</v>
      </c>
      <c r="J2270">
        <v>0</v>
      </c>
      <c r="K2270" s="6" t="str">
        <f t="shared" ref="K2270" si="1621">"vs "&amp;E2271</f>
        <v>vs The Bad Boys</v>
      </c>
      <c r="L2270" s="6" t="str">
        <f t="shared" ref="L2270" si="1622">"vs "&amp;F2271</f>
        <v>vs Arvanitis</v>
      </c>
      <c r="M2270">
        <v>110</v>
      </c>
      <c r="N2270" s="1">
        <v>0.48499999999999999</v>
      </c>
      <c r="O2270">
        <v>24</v>
      </c>
      <c r="P2270" s="1">
        <v>0.34300000000000003</v>
      </c>
      <c r="Q2270" s="1">
        <v>0.80500000000000005</v>
      </c>
      <c r="R2270">
        <v>277</v>
      </c>
      <c r="S2270">
        <v>42</v>
      </c>
      <c r="T2270">
        <v>133</v>
      </c>
      <c r="U2270">
        <v>62</v>
      </c>
      <c r="V2270">
        <v>16</v>
      </c>
      <c r="W2270">
        <v>16</v>
      </c>
      <c r="X2270">
        <v>37</v>
      </c>
      <c r="Y2270">
        <v>1.68</v>
      </c>
    </row>
    <row r="2271" spans="1:25" x14ac:dyDescent="0.25">
      <c r="A2271">
        <v>2024</v>
      </c>
      <c r="B2271" t="s">
        <v>57</v>
      </c>
      <c r="C2271">
        <v>1</v>
      </c>
      <c r="D2271">
        <v>3</v>
      </c>
      <c r="E2271" t="s">
        <v>154</v>
      </c>
      <c r="F2271" t="s">
        <v>155</v>
      </c>
      <c r="G2271">
        <f t="shared" si="1612"/>
        <v>0</v>
      </c>
      <c r="H2271">
        <v>2</v>
      </c>
      <c r="I2271">
        <v>11</v>
      </c>
      <c r="J2271">
        <v>0</v>
      </c>
      <c r="K2271" s="6" t="str">
        <f t="shared" ref="K2271" si="1623">"vs "&amp;E2270</f>
        <v>vs Knights of Ni</v>
      </c>
      <c r="L2271" s="6" t="str">
        <f t="shared" ref="L2271" si="1624">"vs "&amp;F2270</f>
        <v>vs Tolios</v>
      </c>
      <c r="M2271">
        <v>106</v>
      </c>
      <c r="N2271" s="1">
        <v>0.502</v>
      </c>
      <c r="O2271">
        <v>25</v>
      </c>
      <c r="P2271" s="1">
        <v>0.32900000000000001</v>
      </c>
      <c r="Q2271" s="1">
        <v>0.71699999999999997</v>
      </c>
      <c r="R2271">
        <v>270</v>
      </c>
      <c r="S2271">
        <v>39</v>
      </c>
      <c r="T2271">
        <v>85</v>
      </c>
      <c r="U2271">
        <v>55</v>
      </c>
      <c r="V2271">
        <v>15</v>
      </c>
      <c r="W2271">
        <v>15</v>
      </c>
      <c r="X2271">
        <v>46</v>
      </c>
      <c r="Y2271">
        <v>1.2</v>
      </c>
    </row>
    <row r="2272" spans="1:25" x14ac:dyDescent="0.25">
      <c r="A2272">
        <v>2024</v>
      </c>
      <c r="B2272" t="s">
        <v>57</v>
      </c>
      <c r="C2272">
        <v>1</v>
      </c>
      <c r="D2272">
        <v>4</v>
      </c>
      <c r="E2272" t="s">
        <v>23</v>
      </c>
      <c r="F2272" t="s">
        <v>120</v>
      </c>
      <c r="G2272">
        <f t="shared" si="1612"/>
        <v>1</v>
      </c>
      <c r="H2272">
        <v>9</v>
      </c>
      <c r="I2272">
        <v>4</v>
      </c>
      <c r="J2272">
        <v>0</v>
      </c>
      <c r="K2272" s="6" t="str">
        <f t="shared" ref="K2272" si="1625">"vs "&amp;E2273</f>
        <v>vs Heraklion Snakes</v>
      </c>
      <c r="L2272" s="6" t="str">
        <f t="shared" ref="L2272" si="1626">"vs "&amp;F2273</f>
        <v>vs Dimitris</v>
      </c>
      <c r="M2272">
        <v>110</v>
      </c>
      <c r="N2272" s="1">
        <v>0.437</v>
      </c>
      <c r="O2272">
        <v>35</v>
      </c>
      <c r="P2272" s="1">
        <v>0.35699999999999998</v>
      </c>
      <c r="Q2272" s="1">
        <v>0.74199999999999999</v>
      </c>
      <c r="R2272">
        <v>304</v>
      </c>
      <c r="S2272">
        <v>27</v>
      </c>
      <c r="T2272">
        <v>59</v>
      </c>
      <c r="U2272">
        <v>81</v>
      </c>
      <c r="V2272">
        <v>23</v>
      </c>
      <c r="W2272">
        <v>15</v>
      </c>
      <c r="X2272">
        <v>49</v>
      </c>
      <c r="Y2272">
        <v>1.65</v>
      </c>
    </row>
    <row r="2273" spans="1:25" x14ac:dyDescent="0.25">
      <c r="A2273">
        <v>2024</v>
      </c>
      <c r="B2273" t="s">
        <v>57</v>
      </c>
      <c r="C2273">
        <v>1</v>
      </c>
      <c r="D2273">
        <v>4</v>
      </c>
      <c r="E2273" t="s">
        <v>184</v>
      </c>
      <c r="F2273" t="s">
        <v>188</v>
      </c>
      <c r="G2273">
        <f t="shared" si="1612"/>
        <v>0</v>
      </c>
      <c r="H2273">
        <v>4</v>
      </c>
      <c r="I2273">
        <v>9</v>
      </c>
      <c r="J2273">
        <v>0</v>
      </c>
      <c r="K2273" s="6" t="str">
        <f t="shared" ref="K2273" si="1627">"vs "&amp;E2272</f>
        <v>vs Pachiana NinjaBees</v>
      </c>
      <c r="L2273" s="6" t="str">
        <f t="shared" ref="L2273" si="1628">"vs "&amp;F2272</f>
        <v>vs Spiridaus/Oladipas</v>
      </c>
      <c r="M2273">
        <v>79</v>
      </c>
      <c r="N2273" s="1">
        <v>0.47899999999999998</v>
      </c>
      <c r="O2273">
        <v>24</v>
      </c>
      <c r="P2273" s="1">
        <v>0.34799999999999998</v>
      </c>
      <c r="Q2273" s="1">
        <v>0.72</v>
      </c>
      <c r="R2273">
        <v>218</v>
      </c>
      <c r="S2273">
        <v>26</v>
      </c>
      <c r="T2273">
        <v>75</v>
      </c>
      <c r="U2273">
        <v>45</v>
      </c>
      <c r="V2273">
        <v>10</v>
      </c>
      <c r="W2273">
        <v>12</v>
      </c>
      <c r="X2273">
        <v>26</v>
      </c>
      <c r="Y2273">
        <v>1.73</v>
      </c>
    </row>
    <row r="2274" spans="1:25" x14ac:dyDescent="0.25">
      <c r="A2274">
        <v>2024</v>
      </c>
      <c r="B2274" t="s">
        <v>57</v>
      </c>
      <c r="C2274">
        <v>1</v>
      </c>
      <c r="D2274">
        <v>5</v>
      </c>
      <c r="E2274" t="s">
        <v>181</v>
      </c>
      <c r="F2274" t="s">
        <v>49</v>
      </c>
      <c r="G2274">
        <f t="shared" si="1612"/>
        <v>0</v>
      </c>
      <c r="H2274">
        <v>6</v>
      </c>
      <c r="I2274">
        <v>7</v>
      </c>
      <c r="J2274">
        <v>0</v>
      </c>
      <c r="K2274" s="6" t="str">
        <f t="shared" ref="K2274" si="1629">"vs "&amp;E2275</f>
        <v>vs The Guns</v>
      </c>
      <c r="L2274" s="6" t="str">
        <f t="shared" ref="L2274" si="1630">"vs "&amp;F2275</f>
        <v>vs Vasilis</v>
      </c>
      <c r="M2274">
        <v>159</v>
      </c>
      <c r="N2274" s="1">
        <v>0.51800000000000002</v>
      </c>
      <c r="O2274">
        <v>42</v>
      </c>
      <c r="P2274" s="1">
        <v>0.36199999999999999</v>
      </c>
      <c r="Q2274" s="1">
        <v>0.72199999999999998</v>
      </c>
      <c r="R2274">
        <v>438</v>
      </c>
      <c r="S2274">
        <v>34</v>
      </c>
      <c r="T2274">
        <v>104</v>
      </c>
      <c r="U2274">
        <v>82</v>
      </c>
      <c r="V2274">
        <v>25</v>
      </c>
      <c r="W2274">
        <v>22</v>
      </c>
      <c r="X2274">
        <v>54</v>
      </c>
      <c r="Y2274">
        <v>1.52</v>
      </c>
    </row>
    <row r="2275" spans="1:25" x14ac:dyDescent="0.25">
      <c r="A2275">
        <v>2024</v>
      </c>
      <c r="B2275" t="s">
        <v>57</v>
      </c>
      <c r="C2275">
        <v>1</v>
      </c>
      <c r="D2275">
        <v>5</v>
      </c>
      <c r="E2275" t="s">
        <v>33</v>
      </c>
      <c r="F2275" t="s">
        <v>42</v>
      </c>
      <c r="G2275">
        <f t="shared" si="1612"/>
        <v>1</v>
      </c>
      <c r="H2275">
        <v>7</v>
      </c>
      <c r="I2275">
        <v>6</v>
      </c>
      <c r="J2275">
        <v>0</v>
      </c>
      <c r="K2275" s="6" t="str">
        <f t="shared" ref="K2275" si="1631">"vs "&amp;E2274</f>
        <v>vs Samarina Dudenbros</v>
      </c>
      <c r="L2275" s="6" t="str">
        <f t="shared" ref="L2275" si="1632">"vs "&amp;F2274</f>
        <v>vs Sakellariou</v>
      </c>
      <c r="M2275">
        <v>154</v>
      </c>
      <c r="N2275" s="1">
        <v>0.44600000000000001</v>
      </c>
      <c r="O2275">
        <v>37</v>
      </c>
      <c r="P2275" s="1">
        <v>0.32500000000000001</v>
      </c>
      <c r="Q2275" s="1">
        <v>0.86499999999999999</v>
      </c>
      <c r="R2275">
        <v>435</v>
      </c>
      <c r="S2275">
        <v>31</v>
      </c>
      <c r="T2275">
        <v>147</v>
      </c>
      <c r="U2275">
        <v>97</v>
      </c>
      <c r="V2275">
        <v>37</v>
      </c>
      <c r="W2275">
        <v>26</v>
      </c>
      <c r="X2275">
        <v>53</v>
      </c>
      <c r="Y2275">
        <v>1.83</v>
      </c>
    </row>
    <row r="2276" spans="1:25" x14ac:dyDescent="0.25">
      <c r="A2276">
        <v>2024</v>
      </c>
      <c r="B2276" t="s">
        <v>57</v>
      </c>
      <c r="C2276">
        <v>1</v>
      </c>
      <c r="D2276">
        <v>6</v>
      </c>
      <c r="E2276" t="s">
        <v>21</v>
      </c>
      <c r="F2276" t="s">
        <v>50</v>
      </c>
      <c r="G2276">
        <f t="shared" si="1612"/>
        <v>1</v>
      </c>
      <c r="H2276">
        <v>8</v>
      </c>
      <c r="I2276">
        <v>5</v>
      </c>
      <c r="J2276">
        <v>0</v>
      </c>
      <c r="K2276" s="6" t="str">
        <f t="shared" ref="K2276" si="1633">"vs "&amp;E2277</f>
        <v>vs Salonika Devils</v>
      </c>
      <c r="L2276" s="6" t="str">
        <f t="shared" ref="L2276" si="1634">"vs "&amp;F2277</f>
        <v>vs Fountos</v>
      </c>
      <c r="M2276">
        <v>156</v>
      </c>
      <c r="N2276" s="1">
        <v>0.48399999999999999</v>
      </c>
      <c r="O2276">
        <v>40</v>
      </c>
      <c r="P2276" s="1">
        <v>0.36699999999999999</v>
      </c>
      <c r="Q2276" s="1">
        <v>0.74199999999999999</v>
      </c>
      <c r="R2276">
        <v>421</v>
      </c>
      <c r="S2276">
        <v>31</v>
      </c>
      <c r="T2276">
        <v>92</v>
      </c>
      <c r="U2276">
        <v>88</v>
      </c>
      <c r="V2276">
        <v>30</v>
      </c>
      <c r="W2276">
        <v>12</v>
      </c>
      <c r="X2276">
        <v>60</v>
      </c>
      <c r="Y2276">
        <v>1.47</v>
      </c>
    </row>
    <row r="2277" spans="1:25" x14ac:dyDescent="0.25">
      <c r="A2277">
        <v>2024</v>
      </c>
      <c r="B2277" t="s">
        <v>57</v>
      </c>
      <c r="C2277">
        <v>1</v>
      </c>
      <c r="D2277">
        <v>6</v>
      </c>
      <c r="E2277" t="s">
        <v>15</v>
      </c>
      <c r="F2277" t="s">
        <v>48</v>
      </c>
      <c r="G2277">
        <f t="shared" si="1612"/>
        <v>0</v>
      </c>
      <c r="H2277">
        <v>5</v>
      </c>
      <c r="I2277">
        <v>8</v>
      </c>
      <c r="J2277">
        <v>0</v>
      </c>
      <c r="K2277" s="6" t="str">
        <f t="shared" ref="K2277" si="1635">"vs "&amp;E2276</f>
        <v>vs st.Helens Eruptions</v>
      </c>
      <c r="L2277" s="6" t="str">
        <f t="shared" ref="L2277" si="1636">"vs "&amp;F2276</f>
        <v>vs Aris</v>
      </c>
      <c r="M2277">
        <v>123</v>
      </c>
      <c r="N2277" s="1">
        <v>0.42599999999999999</v>
      </c>
      <c r="O2277">
        <v>36</v>
      </c>
      <c r="P2277" s="1">
        <v>0.32700000000000001</v>
      </c>
      <c r="Q2277" s="1">
        <v>0.78700000000000003</v>
      </c>
      <c r="R2277">
        <v>330</v>
      </c>
      <c r="S2277">
        <v>34</v>
      </c>
      <c r="T2277">
        <v>86</v>
      </c>
      <c r="U2277">
        <v>99</v>
      </c>
      <c r="V2277">
        <v>23</v>
      </c>
      <c r="W2277">
        <v>9</v>
      </c>
      <c r="X2277">
        <v>40</v>
      </c>
      <c r="Y2277">
        <v>2.48</v>
      </c>
    </row>
    <row r="2278" spans="1:25" x14ac:dyDescent="0.25">
      <c r="A2278">
        <v>2024</v>
      </c>
      <c r="B2278" t="s">
        <v>57</v>
      </c>
      <c r="C2278">
        <v>1</v>
      </c>
      <c r="D2278">
        <v>7</v>
      </c>
      <c r="E2278" t="s">
        <v>95</v>
      </c>
      <c r="F2278" t="s">
        <v>101</v>
      </c>
      <c r="G2278">
        <f t="shared" si="1612"/>
        <v>1</v>
      </c>
      <c r="H2278">
        <v>7</v>
      </c>
      <c r="I2278">
        <v>6</v>
      </c>
      <c r="J2278">
        <v>0</v>
      </c>
      <c r="K2278" s="6" t="str">
        <f t="shared" ref="K2278" si="1637">"vs "&amp;E2279</f>
        <v>vs purple fuzzy apache pirates</v>
      </c>
      <c r="L2278" s="6" t="str">
        <f t="shared" ref="L2278" si="1638">"vs "&amp;F2279</f>
        <v>vs pi/Sotiris</v>
      </c>
      <c r="M2278">
        <v>112</v>
      </c>
      <c r="N2278" s="1">
        <v>0.51900000000000002</v>
      </c>
      <c r="O2278">
        <v>33</v>
      </c>
      <c r="P2278" s="1">
        <v>0.39300000000000002</v>
      </c>
      <c r="Q2278" s="1">
        <v>0.78800000000000003</v>
      </c>
      <c r="R2278">
        <v>298</v>
      </c>
      <c r="S2278">
        <v>22</v>
      </c>
      <c r="T2278">
        <v>80</v>
      </c>
      <c r="U2278">
        <v>43</v>
      </c>
      <c r="V2278">
        <v>30</v>
      </c>
      <c r="W2278">
        <v>17</v>
      </c>
      <c r="X2278">
        <v>26</v>
      </c>
      <c r="Y2278">
        <v>1.65</v>
      </c>
    </row>
    <row r="2279" spans="1:25" x14ac:dyDescent="0.25">
      <c r="A2279">
        <v>2024</v>
      </c>
      <c r="B2279" t="s">
        <v>57</v>
      </c>
      <c r="C2279">
        <v>1</v>
      </c>
      <c r="D2279">
        <v>7</v>
      </c>
      <c r="E2279" t="s">
        <v>159</v>
      </c>
      <c r="F2279" t="s">
        <v>116</v>
      </c>
      <c r="G2279">
        <f t="shared" si="1612"/>
        <v>0</v>
      </c>
      <c r="H2279">
        <v>6</v>
      </c>
      <c r="I2279">
        <v>7</v>
      </c>
      <c r="J2279">
        <v>0</v>
      </c>
      <c r="K2279" s="6" t="str">
        <f t="shared" ref="K2279" si="1639">"vs "&amp;E2278</f>
        <v>vs Baltimore Hercules</v>
      </c>
      <c r="L2279" s="6" t="str">
        <f t="shared" ref="L2279" si="1640">"vs "&amp;F2278</f>
        <v>vs Sarantos</v>
      </c>
      <c r="M2279">
        <v>156</v>
      </c>
      <c r="N2279" s="1">
        <v>0.45</v>
      </c>
      <c r="O2279">
        <v>34</v>
      </c>
      <c r="P2279" s="1">
        <v>0.33</v>
      </c>
      <c r="Q2279" s="1">
        <v>0.74299999999999999</v>
      </c>
      <c r="R2279">
        <v>421</v>
      </c>
      <c r="S2279">
        <v>40</v>
      </c>
      <c r="T2279">
        <v>126</v>
      </c>
      <c r="U2279">
        <v>85</v>
      </c>
      <c r="V2279">
        <v>25</v>
      </c>
      <c r="W2279">
        <v>15</v>
      </c>
      <c r="X2279">
        <v>68</v>
      </c>
      <c r="Y2279">
        <v>1.25</v>
      </c>
    </row>
    <row r="2280" spans="1:25" x14ac:dyDescent="0.25">
      <c r="A2280">
        <v>2024</v>
      </c>
      <c r="B2280" t="s">
        <v>57</v>
      </c>
      <c r="C2280">
        <v>1</v>
      </c>
      <c r="D2280">
        <v>8</v>
      </c>
      <c r="E2280" t="s">
        <v>98</v>
      </c>
      <c r="F2280" t="s">
        <v>41</v>
      </c>
      <c r="G2280">
        <f t="shared" si="1612"/>
        <v>1</v>
      </c>
      <c r="H2280">
        <v>10</v>
      </c>
      <c r="I2280">
        <v>2</v>
      </c>
      <c r="J2280">
        <v>1</v>
      </c>
      <c r="K2280" s="6" t="str">
        <f t="shared" ref="K2280" si="1641">"vs "&amp;E2281</f>
        <v>vs Paralouistas</v>
      </c>
      <c r="L2280" s="6" t="str">
        <f t="shared" ref="L2280" si="1642">"vs "&amp;F2281</f>
        <v>vs Panos</v>
      </c>
      <c r="M2280">
        <v>164</v>
      </c>
      <c r="N2280" s="1">
        <v>0.47399999999999998</v>
      </c>
      <c r="O2280">
        <v>50</v>
      </c>
      <c r="P2280" s="1">
        <v>0.376</v>
      </c>
      <c r="Q2280" s="1">
        <v>0.78300000000000003</v>
      </c>
      <c r="R2280">
        <v>450</v>
      </c>
      <c r="S2280">
        <v>33</v>
      </c>
      <c r="T2280">
        <v>136</v>
      </c>
      <c r="U2280">
        <v>96</v>
      </c>
      <c r="V2280">
        <v>32</v>
      </c>
      <c r="W2280">
        <v>11</v>
      </c>
      <c r="X2280">
        <v>53</v>
      </c>
      <c r="Y2280">
        <v>1.81</v>
      </c>
    </row>
    <row r="2281" spans="1:25" x14ac:dyDescent="0.25">
      <c r="A2281">
        <v>2024</v>
      </c>
      <c r="B2281" t="s">
        <v>57</v>
      </c>
      <c r="C2281">
        <v>1</v>
      </c>
      <c r="D2281">
        <v>8</v>
      </c>
      <c r="E2281" t="s">
        <v>185</v>
      </c>
      <c r="F2281" t="s">
        <v>100</v>
      </c>
      <c r="G2281">
        <f t="shared" si="1612"/>
        <v>0</v>
      </c>
      <c r="H2281">
        <v>2</v>
      </c>
      <c r="I2281">
        <v>10</v>
      </c>
      <c r="J2281">
        <v>1</v>
      </c>
      <c r="K2281" s="6" t="str">
        <f t="shared" ref="K2281" si="1643">"vs "&amp;E2280</f>
        <v>vs Xanthi Ducks 🦆</v>
      </c>
      <c r="L2281" s="6" t="str">
        <f t="shared" ref="L2281" si="1644">"vs "&amp;F2280</f>
        <v>vs Kotakis</v>
      </c>
      <c r="M2281">
        <v>156</v>
      </c>
      <c r="N2281" s="1">
        <v>0.44700000000000001</v>
      </c>
      <c r="O2281">
        <v>54</v>
      </c>
      <c r="P2281" s="1">
        <v>0.35799999999999998</v>
      </c>
      <c r="Q2281" s="1">
        <v>0.75</v>
      </c>
      <c r="R2281">
        <v>417</v>
      </c>
      <c r="S2281">
        <v>33</v>
      </c>
      <c r="T2281">
        <v>90</v>
      </c>
      <c r="U2281">
        <v>64</v>
      </c>
      <c r="V2281">
        <v>21</v>
      </c>
      <c r="W2281">
        <v>10</v>
      </c>
      <c r="X2281">
        <v>43</v>
      </c>
      <c r="Y2281">
        <v>1.49</v>
      </c>
    </row>
    <row r="2282" spans="1:25" x14ac:dyDescent="0.25">
      <c r="A2282">
        <v>2024</v>
      </c>
      <c r="B2282" t="s">
        <v>57</v>
      </c>
      <c r="C2282">
        <v>1</v>
      </c>
      <c r="D2282">
        <v>9</v>
      </c>
      <c r="E2282" t="s">
        <v>16</v>
      </c>
      <c r="F2282" t="s">
        <v>51</v>
      </c>
      <c r="G2282">
        <f t="shared" si="1612"/>
        <v>0</v>
      </c>
      <c r="H2282">
        <v>6</v>
      </c>
      <c r="I2282">
        <v>6</v>
      </c>
      <c r="J2282">
        <v>1</v>
      </c>
      <c r="K2282" s="6" t="str">
        <f t="shared" ref="K2282" si="1645">"vs "&amp;E2283</f>
        <v>vs Karafli Saita</v>
      </c>
      <c r="L2282" s="6" t="str">
        <f t="shared" ref="L2282" si="1646">"vs "&amp;F2283</f>
        <v>vs Tassos</v>
      </c>
      <c r="M2282">
        <v>127</v>
      </c>
      <c r="N2282" s="1">
        <v>0.42599999999999999</v>
      </c>
      <c r="O2282">
        <v>45</v>
      </c>
      <c r="P2282" s="1">
        <v>0.34899999999999998</v>
      </c>
      <c r="Q2282" s="1">
        <v>0.79200000000000004</v>
      </c>
      <c r="R2282">
        <v>394</v>
      </c>
      <c r="S2282">
        <v>26</v>
      </c>
      <c r="T2282">
        <v>109</v>
      </c>
      <c r="U2282">
        <v>121</v>
      </c>
      <c r="V2282">
        <v>26</v>
      </c>
      <c r="W2282">
        <v>20</v>
      </c>
      <c r="X2282">
        <v>57</v>
      </c>
      <c r="Y2282">
        <v>2.12</v>
      </c>
    </row>
    <row r="2283" spans="1:25" x14ac:dyDescent="0.25">
      <c r="A2283">
        <v>2024</v>
      </c>
      <c r="B2283" t="s">
        <v>57</v>
      </c>
      <c r="C2283">
        <v>1</v>
      </c>
      <c r="D2283">
        <v>9</v>
      </c>
      <c r="E2283" t="s">
        <v>186</v>
      </c>
      <c r="F2283" t="s">
        <v>103</v>
      </c>
      <c r="G2283">
        <f t="shared" si="1612"/>
        <v>0</v>
      </c>
      <c r="H2283">
        <v>6</v>
      </c>
      <c r="I2283">
        <v>6</v>
      </c>
      <c r="J2283">
        <v>1</v>
      </c>
      <c r="K2283" s="6" t="str">
        <f t="shared" ref="K2283" si="1647">"vs "&amp;E2282</f>
        <v>vs The Bridgeburners</v>
      </c>
      <c r="L2283" s="6" t="str">
        <f t="shared" ref="L2283" si="1648">"vs "&amp;F2282</f>
        <v>vs Fanis</v>
      </c>
      <c r="M2283">
        <v>137</v>
      </c>
      <c r="N2283" s="1">
        <v>0.46300000000000002</v>
      </c>
      <c r="O2283">
        <v>32</v>
      </c>
      <c r="P2283" s="1">
        <v>0.32300000000000001</v>
      </c>
      <c r="Q2283" s="1">
        <v>0.83599999999999997</v>
      </c>
      <c r="R2283">
        <v>352</v>
      </c>
      <c r="S2283">
        <v>27</v>
      </c>
      <c r="T2283">
        <v>110</v>
      </c>
      <c r="U2283">
        <v>88</v>
      </c>
      <c r="V2283">
        <v>10</v>
      </c>
      <c r="W2283">
        <v>20</v>
      </c>
      <c r="X2283">
        <v>46</v>
      </c>
      <c r="Y2283">
        <v>1.91</v>
      </c>
    </row>
    <row r="2284" spans="1:25" x14ac:dyDescent="0.25">
      <c r="A2284">
        <v>2024</v>
      </c>
      <c r="B2284" t="s">
        <v>57</v>
      </c>
      <c r="C2284">
        <v>1</v>
      </c>
      <c r="D2284">
        <v>10</v>
      </c>
      <c r="E2284" t="s">
        <v>28</v>
      </c>
      <c r="F2284" t="s">
        <v>46</v>
      </c>
      <c r="G2284">
        <f t="shared" si="1612"/>
        <v>1</v>
      </c>
      <c r="H2284">
        <v>7</v>
      </c>
      <c r="I2284">
        <v>6</v>
      </c>
      <c r="J2284">
        <v>0</v>
      </c>
      <c r="K2284" s="6" t="str">
        <f t="shared" ref="K2284" si="1649">"vs "&amp;E2285</f>
        <v>vs Kourayo Vallecano</v>
      </c>
      <c r="L2284" s="6" t="str">
        <f t="shared" ref="L2284" si="1650">"vs "&amp;F2285</f>
        <v>vs Ziogas/Christof</v>
      </c>
      <c r="M2284">
        <v>110</v>
      </c>
      <c r="N2284" s="1">
        <v>0.43099999999999999</v>
      </c>
      <c r="O2284">
        <v>28</v>
      </c>
      <c r="P2284" s="1">
        <v>0.311</v>
      </c>
      <c r="Q2284" s="1">
        <v>0.65200000000000002</v>
      </c>
      <c r="R2284">
        <v>278</v>
      </c>
      <c r="S2284">
        <v>46</v>
      </c>
      <c r="T2284">
        <v>107</v>
      </c>
      <c r="U2284">
        <v>71</v>
      </c>
      <c r="V2284">
        <v>32</v>
      </c>
      <c r="W2284">
        <v>18</v>
      </c>
      <c r="X2284">
        <v>38</v>
      </c>
      <c r="Y2284">
        <v>1.87</v>
      </c>
    </row>
    <row r="2285" spans="1:25" x14ac:dyDescent="0.25">
      <c r="A2285">
        <v>2024</v>
      </c>
      <c r="B2285" t="s">
        <v>57</v>
      </c>
      <c r="C2285">
        <v>1</v>
      </c>
      <c r="D2285">
        <v>10</v>
      </c>
      <c r="E2285" t="s">
        <v>26</v>
      </c>
      <c r="F2285" t="s">
        <v>118</v>
      </c>
      <c r="G2285">
        <f t="shared" si="1612"/>
        <v>0</v>
      </c>
      <c r="H2285">
        <v>6</v>
      </c>
      <c r="I2285">
        <v>7</v>
      </c>
      <c r="J2285">
        <v>0</v>
      </c>
      <c r="K2285" s="6" t="str">
        <f t="shared" ref="K2285" si="1651">"vs "&amp;E2284</f>
        <v>vs Steven Adams' Moustache</v>
      </c>
      <c r="L2285" s="6" t="str">
        <f t="shared" ref="L2285" si="1652">"vs "&amp;F2284</f>
        <v>vs Johnny</v>
      </c>
      <c r="M2285">
        <v>105</v>
      </c>
      <c r="N2285" s="1">
        <v>0.42499999999999999</v>
      </c>
      <c r="O2285">
        <v>43</v>
      </c>
      <c r="P2285" s="1">
        <v>0.38400000000000001</v>
      </c>
      <c r="Q2285" s="1">
        <v>0.77200000000000002</v>
      </c>
      <c r="R2285">
        <v>297</v>
      </c>
      <c r="S2285">
        <v>47</v>
      </c>
      <c r="T2285">
        <v>136</v>
      </c>
      <c r="U2285">
        <v>69</v>
      </c>
      <c r="V2285">
        <v>19</v>
      </c>
      <c r="W2285">
        <v>14</v>
      </c>
      <c r="X2285">
        <v>43</v>
      </c>
      <c r="Y2285">
        <v>1.6</v>
      </c>
    </row>
    <row r="2286" spans="1:25" x14ac:dyDescent="0.25">
      <c r="A2286">
        <v>2024</v>
      </c>
      <c r="B2286" t="s">
        <v>57</v>
      </c>
      <c r="C2286">
        <v>1</v>
      </c>
      <c r="D2286">
        <v>11</v>
      </c>
      <c r="E2286" t="s">
        <v>95</v>
      </c>
      <c r="F2286" t="s">
        <v>101</v>
      </c>
      <c r="G2286">
        <f t="shared" si="1612"/>
        <v>0</v>
      </c>
      <c r="H2286">
        <v>5</v>
      </c>
      <c r="I2286">
        <v>8</v>
      </c>
      <c r="J2286">
        <v>0</v>
      </c>
      <c r="K2286" s="6" t="str">
        <f t="shared" ref="K2286" si="1653">"vs "&amp;E2287</f>
        <v>vs Karafli Saita</v>
      </c>
      <c r="L2286" s="6" t="str">
        <f t="shared" ref="L2286" si="1654">"vs "&amp;F2287</f>
        <v>vs Tassos</v>
      </c>
      <c r="M2286">
        <v>112</v>
      </c>
      <c r="N2286" s="1">
        <v>0.51900000000000002</v>
      </c>
      <c r="O2286">
        <v>33</v>
      </c>
      <c r="P2286" s="1">
        <v>0.39300000000000002</v>
      </c>
      <c r="Q2286" s="1">
        <v>0.78800000000000003</v>
      </c>
      <c r="R2286">
        <v>298</v>
      </c>
      <c r="S2286">
        <v>22</v>
      </c>
      <c r="T2286">
        <v>80</v>
      </c>
      <c r="U2286">
        <v>43</v>
      </c>
      <c r="V2286">
        <v>30</v>
      </c>
      <c r="W2286">
        <v>17</v>
      </c>
      <c r="X2286">
        <v>26</v>
      </c>
      <c r="Y2286">
        <v>1.65</v>
      </c>
    </row>
    <row r="2287" spans="1:25" x14ac:dyDescent="0.25">
      <c r="A2287">
        <v>2024</v>
      </c>
      <c r="B2287" t="s">
        <v>57</v>
      </c>
      <c r="C2287">
        <v>1</v>
      </c>
      <c r="D2287">
        <v>11</v>
      </c>
      <c r="E2287" t="s">
        <v>186</v>
      </c>
      <c r="F2287" t="s">
        <v>103</v>
      </c>
      <c r="G2287">
        <f t="shared" si="1612"/>
        <v>1</v>
      </c>
      <c r="H2287">
        <v>8</v>
      </c>
      <c r="I2287">
        <v>5</v>
      </c>
      <c r="J2287">
        <v>0</v>
      </c>
      <c r="K2287" s="6" t="str">
        <f t="shared" ref="K2287" si="1655">"vs "&amp;E2286</f>
        <v>vs Baltimore Hercules</v>
      </c>
      <c r="L2287" s="6" t="str">
        <f t="shared" ref="L2287" si="1656">"vs "&amp;F2286</f>
        <v>vs Sarantos</v>
      </c>
      <c r="M2287">
        <v>137</v>
      </c>
      <c r="N2287" s="1">
        <v>0.46300000000000002</v>
      </c>
      <c r="O2287">
        <v>32</v>
      </c>
      <c r="P2287" s="1">
        <v>0.32300000000000001</v>
      </c>
      <c r="Q2287" s="1">
        <v>0.83599999999999997</v>
      </c>
      <c r="R2287">
        <v>352</v>
      </c>
      <c r="S2287">
        <v>27</v>
      </c>
      <c r="T2287">
        <v>110</v>
      </c>
      <c r="U2287">
        <v>88</v>
      </c>
      <c r="V2287">
        <v>10</v>
      </c>
      <c r="W2287">
        <v>20</v>
      </c>
      <c r="X2287">
        <v>46</v>
      </c>
      <c r="Y2287">
        <v>1.91</v>
      </c>
    </row>
    <row r="2288" spans="1:25" x14ac:dyDescent="0.25">
      <c r="A2288">
        <v>2024</v>
      </c>
      <c r="B2288" t="s">
        <v>57</v>
      </c>
      <c r="C2288">
        <v>1</v>
      </c>
      <c r="D2288">
        <v>12</v>
      </c>
      <c r="E2288" t="s">
        <v>94</v>
      </c>
      <c r="F2288" t="s">
        <v>40</v>
      </c>
      <c r="G2288">
        <f t="shared" si="1612"/>
        <v>1</v>
      </c>
      <c r="H2288">
        <v>8</v>
      </c>
      <c r="I2288">
        <v>5</v>
      </c>
      <c r="J2288">
        <v>0</v>
      </c>
      <c r="K2288" s="6" t="str">
        <f t="shared" ref="K2288" si="1657">"vs "&amp;E2289</f>
        <v>vs Tsarlatans</v>
      </c>
      <c r="L2288" s="6" t="str">
        <f t="shared" ref="L2288" si="1658">"vs "&amp;F2289</f>
        <v>vs Tzokos</v>
      </c>
      <c r="M2288">
        <v>126</v>
      </c>
      <c r="N2288" s="1">
        <v>0.42099999999999999</v>
      </c>
      <c r="O2288">
        <v>43</v>
      </c>
      <c r="P2288" s="1">
        <v>0.33900000000000002</v>
      </c>
      <c r="Q2288" s="1">
        <v>0.84199999999999997</v>
      </c>
      <c r="R2288">
        <v>380</v>
      </c>
      <c r="S2288">
        <v>46</v>
      </c>
      <c r="T2288">
        <v>119</v>
      </c>
      <c r="U2288">
        <v>71</v>
      </c>
      <c r="V2288">
        <v>28</v>
      </c>
      <c r="W2288">
        <v>16</v>
      </c>
      <c r="X2288">
        <v>46</v>
      </c>
      <c r="Y2288">
        <v>1.54</v>
      </c>
    </row>
    <row r="2289" spans="1:25" x14ac:dyDescent="0.25">
      <c r="A2289">
        <v>2024</v>
      </c>
      <c r="B2289" t="s">
        <v>57</v>
      </c>
      <c r="C2289">
        <v>1</v>
      </c>
      <c r="D2289">
        <v>12</v>
      </c>
      <c r="E2289" t="s">
        <v>99</v>
      </c>
      <c r="F2289" t="s">
        <v>45</v>
      </c>
      <c r="G2289">
        <f t="shared" si="1612"/>
        <v>0</v>
      </c>
      <c r="H2289">
        <v>5</v>
      </c>
      <c r="I2289">
        <v>8</v>
      </c>
      <c r="J2289">
        <v>0</v>
      </c>
      <c r="K2289" s="6" t="str">
        <f t="shared" ref="K2289" si="1659">"vs "&amp;E2288</f>
        <v>vs Fighting Thaddeus</v>
      </c>
      <c r="L2289" s="6" t="str">
        <f t="shared" ref="L2289" si="1660">"vs "&amp;F2288</f>
        <v>vs Stavros</v>
      </c>
      <c r="M2289">
        <v>136</v>
      </c>
      <c r="N2289" s="1">
        <v>0.48099999999999998</v>
      </c>
      <c r="O2289">
        <v>31</v>
      </c>
      <c r="P2289" s="1">
        <v>0.32600000000000001</v>
      </c>
      <c r="Q2289" s="1">
        <v>0.81899999999999995</v>
      </c>
      <c r="R2289">
        <v>362</v>
      </c>
      <c r="S2289">
        <v>32</v>
      </c>
      <c r="T2289">
        <v>93</v>
      </c>
      <c r="U2289">
        <v>61</v>
      </c>
      <c r="V2289">
        <v>22</v>
      </c>
      <c r="W2289">
        <v>20</v>
      </c>
      <c r="X2289">
        <v>33</v>
      </c>
      <c r="Y2289">
        <v>1.85</v>
      </c>
    </row>
    <row r="2290" spans="1:25" x14ac:dyDescent="0.25">
      <c r="A2290">
        <v>2024</v>
      </c>
      <c r="B2290" t="s">
        <v>57</v>
      </c>
      <c r="C2290">
        <v>1</v>
      </c>
      <c r="D2290">
        <v>13</v>
      </c>
      <c r="E2290" t="s">
        <v>93</v>
      </c>
      <c r="F2290" t="s">
        <v>189</v>
      </c>
      <c r="G2290">
        <f t="shared" si="1612"/>
        <v>1</v>
      </c>
      <c r="H2290">
        <v>8</v>
      </c>
      <c r="I2290">
        <v>5</v>
      </c>
      <c r="J2290">
        <v>0</v>
      </c>
      <c r="K2290" s="6" t="str">
        <f t="shared" ref="K2290" si="1661">"vs "&amp;E2291</f>
        <v>vs The Bad Boys</v>
      </c>
      <c r="L2290" s="6" t="str">
        <f t="shared" ref="L2290" si="1662">"vs "&amp;F2291</f>
        <v>vs Arvanitis</v>
      </c>
      <c r="M2290">
        <v>119</v>
      </c>
      <c r="N2290" s="1">
        <v>0.41</v>
      </c>
      <c r="O2290">
        <v>32</v>
      </c>
      <c r="P2290" s="1">
        <v>0.28599999999999998</v>
      </c>
      <c r="Q2290" s="1">
        <v>0.83099999999999996</v>
      </c>
      <c r="R2290">
        <v>329</v>
      </c>
      <c r="S2290">
        <v>25</v>
      </c>
      <c r="T2290">
        <v>102</v>
      </c>
      <c r="U2290">
        <v>106</v>
      </c>
      <c r="V2290">
        <v>27</v>
      </c>
      <c r="W2290">
        <v>7</v>
      </c>
      <c r="X2290">
        <v>48</v>
      </c>
      <c r="Y2290">
        <v>2.21</v>
      </c>
    </row>
    <row r="2291" spans="1:25" x14ac:dyDescent="0.25">
      <c r="A2291">
        <v>2024</v>
      </c>
      <c r="B2291" t="s">
        <v>57</v>
      </c>
      <c r="C2291">
        <v>1</v>
      </c>
      <c r="D2291">
        <v>13</v>
      </c>
      <c r="E2291" t="s">
        <v>154</v>
      </c>
      <c r="F2291" t="s">
        <v>155</v>
      </c>
      <c r="G2291">
        <f t="shared" si="1612"/>
        <v>0</v>
      </c>
      <c r="H2291">
        <v>5</v>
      </c>
      <c r="I2291">
        <v>8</v>
      </c>
      <c r="J2291">
        <v>0</v>
      </c>
      <c r="K2291" s="6" t="str">
        <f t="shared" ref="K2291" si="1663">"vs "&amp;E2290</f>
        <v>vs Guruuu 🐐🐐🐐</v>
      </c>
      <c r="L2291" s="6" t="str">
        <f t="shared" ref="L2291" si="1664">"vs "&amp;F2290</f>
        <v>vs Guru</v>
      </c>
      <c r="M2291">
        <v>106</v>
      </c>
      <c r="N2291" s="1">
        <v>0.502</v>
      </c>
      <c r="O2291">
        <v>25</v>
      </c>
      <c r="P2291" s="1">
        <v>0.32900000000000001</v>
      </c>
      <c r="Q2291" s="1">
        <v>0.71699999999999997</v>
      </c>
      <c r="R2291">
        <v>270</v>
      </c>
      <c r="S2291">
        <v>39</v>
      </c>
      <c r="T2291">
        <v>85</v>
      </c>
      <c r="U2291">
        <v>55</v>
      </c>
      <c r="V2291">
        <v>15</v>
      </c>
      <c r="W2291">
        <v>15</v>
      </c>
      <c r="X2291">
        <v>46</v>
      </c>
      <c r="Y2291">
        <v>1.2</v>
      </c>
    </row>
    <row r="2292" spans="1:25" x14ac:dyDescent="0.25">
      <c r="A2292">
        <v>2024</v>
      </c>
      <c r="B2292" t="s">
        <v>57</v>
      </c>
      <c r="C2292">
        <v>1</v>
      </c>
      <c r="D2292">
        <v>14</v>
      </c>
      <c r="E2292" t="s">
        <v>184</v>
      </c>
      <c r="F2292" t="s">
        <v>188</v>
      </c>
      <c r="G2292">
        <f t="shared" si="1612"/>
        <v>0</v>
      </c>
      <c r="H2292">
        <v>1</v>
      </c>
      <c r="I2292">
        <v>11</v>
      </c>
      <c r="J2292">
        <v>1</v>
      </c>
      <c r="K2292" s="6" t="str">
        <f t="shared" ref="K2292" si="1665">"vs "&amp;E2293</f>
        <v>vs LRBP PR3DATORS</v>
      </c>
      <c r="L2292" s="6" t="str">
        <f t="shared" ref="L2292" si="1666">"vs "&amp;F2293</f>
        <v>vs Lafa</v>
      </c>
      <c r="M2292">
        <v>79</v>
      </c>
      <c r="N2292" s="1">
        <v>0.47899999999999998</v>
      </c>
      <c r="O2292">
        <v>24</v>
      </c>
      <c r="P2292" s="1">
        <v>0.34799999999999998</v>
      </c>
      <c r="Q2292" s="1">
        <v>0.72</v>
      </c>
      <c r="R2292">
        <v>218</v>
      </c>
      <c r="S2292">
        <v>26</v>
      </c>
      <c r="T2292">
        <v>75</v>
      </c>
      <c r="U2292">
        <v>45</v>
      </c>
      <c r="V2292">
        <v>10</v>
      </c>
      <c r="W2292">
        <v>12</v>
      </c>
      <c r="X2292">
        <v>26</v>
      </c>
      <c r="Y2292">
        <v>1.73</v>
      </c>
    </row>
    <row r="2293" spans="1:25" x14ac:dyDescent="0.25">
      <c r="A2293">
        <v>2024</v>
      </c>
      <c r="B2293" t="s">
        <v>57</v>
      </c>
      <c r="C2293">
        <v>1</v>
      </c>
      <c r="D2293">
        <v>14</v>
      </c>
      <c r="E2293" t="s">
        <v>158</v>
      </c>
      <c r="F2293" t="s">
        <v>177</v>
      </c>
      <c r="G2293">
        <f t="shared" si="1612"/>
        <v>1</v>
      </c>
      <c r="H2293">
        <v>11</v>
      </c>
      <c r="I2293">
        <v>1</v>
      </c>
      <c r="J2293">
        <v>1</v>
      </c>
      <c r="K2293" s="6" t="str">
        <f t="shared" ref="K2293" si="1667">"vs "&amp;E2292</f>
        <v>vs Heraklion Snakes</v>
      </c>
      <c r="L2293" s="6" t="str">
        <f t="shared" ref="L2293" si="1668">"vs "&amp;F2292</f>
        <v>vs Dimitris</v>
      </c>
      <c r="M2293">
        <v>123</v>
      </c>
      <c r="N2293" s="1">
        <v>0.55400000000000005</v>
      </c>
      <c r="O2293">
        <v>29</v>
      </c>
      <c r="P2293" s="1">
        <v>0.439</v>
      </c>
      <c r="Q2293" s="1">
        <v>0.70399999999999996</v>
      </c>
      <c r="R2293">
        <v>332</v>
      </c>
      <c r="S2293">
        <v>32</v>
      </c>
      <c r="T2293">
        <v>104</v>
      </c>
      <c r="U2293">
        <v>70</v>
      </c>
      <c r="V2293">
        <v>18</v>
      </c>
      <c r="W2293">
        <v>14</v>
      </c>
      <c r="X2293">
        <v>26</v>
      </c>
      <c r="Y2293">
        <v>2.69</v>
      </c>
    </row>
    <row r="2294" spans="1:25" x14ac:dyDescent="0.25">
      <c r="A2294">
        <v>2024</v>
      </c>
      <c r="B2294" t="s">
        <v>57</v>
      </c>
      <c r="C2294">
        <v>1</v>
      </c>
      <c r="D2294">
        <v>15</v>
      </c>
      <c r="E2294" t="s">
        <v>96</v>
      </c>
      <c r="F2294" t="s">
        <v>102</v>
      </c>
      <c r="G2294">
        <f t="shared" si="1612"/>
        <v>0</v>
      </c>
      <c r="H2294">
        <v>4</v>
      </c>
      <c r="I2294">
        <v>9</v>
      </c>
      <c r="J2294">
        <v>0</v>
      </c>
      <c r="K2294" s="6" t="str">
        <f t="shared" ref="K2294" si="1669">"vs "&amp;E2295</f>
        <v>vs The Guns</v>
      </c>
      <c r="L2294" s="6" t="str">
        <f t="shared" ref="L2294" si="1670">"vs "&amp;F2295</f>
        <v>vs Vasilis</v>
      </c>
      <c r="M2294">
        <v>110</v>
      </c>
      <c r="N2294" s="1">
        <v>0.48499999999999999</v>
      </c>
      <c r="O2294">
        <v>24</v>
      </c>
      <c r="P2294" s="1">
        <v>0.34300000000000003</v>
      </c>
      <c r="Q2294" s="1">
        <v>0.80500000000000005</v>
      </c>
      <c r="R2294">
        <v>277</v>
      </c>
      <c r="S2294">
        <v>42</v>
      </c>
      <c r="T2294">
        <v>133</v>
      </c>
      <c r="U2294">
        <v>62</v>
      </c>
      <c r="V2294">
        <v>16</v>
      </c>
      <c r="W2294">
        <v>16</v>
      </c>
      <c r="X2294">
        <v>37</v>
      </c>
      <c r="Y2294">
        <v>1.68</v>
      </c>
    </row>
    <row r="2295" spans="1:25" x14ac:dyDescent="0.25">
      <c r="A2295">
        <v>2024</v>
      </c>
      <c r="B2295" t="s">
        <v>57</v>
      </c>
      <c r="C2295">
        <v>1</v>
      </c>
      <c r="D2295">
        <v>15</v>
      </c>
      <c r="E2295" t="s">
        <v>33</v>
      </c>
      <c r="F2295" t="s">
        <v>42</v>
      </c>
      <c r="G2295">
        <f t="shared" si="1612"/>
        <v>1</v>
      </c>
      <c r="H2295">
        <v>9</v>
      </c>
      <c r="I2295">
        <v>4</v>
      </c>
      <c r="J2295">
        <v>0</v>
      </c>
      <c r="K2295" s="6" t="str">
        <f t="shared" ref="K2295" si="1671">"vs "&amp;E2294</f>
        <v>vs Knights of Ni</v>
      </c>
      <c r="L2295" s="6" t="str">
        <f t="shared" ref="L2295" si="1672">"vs "&amp;F2294</f>
        <v>vs Tolios</v>
      </c>
      <c r="M2295">
        <v>154</v>
      </c>
      <c r="N2295" s="1">
        <v>0.44600000000000001</v>
      </c>
      <c r="O2295">
        <v>37</v>
      </c>
      <c r="P2295" s="1">
        <v>0.32500000000000001</v>
      </c>
      <c r="Q2295" s="1">
        <v>0.86499999999999999</v>
      </c>
      <c r="R2295">
        <v>435</v>
      </c>
      <c r="S2295">
        <v>31</v>
      </c>
      <c r="T2295">
        <v>147</v>
      </c>
      <c r="U2295">
        <v>97</v>
      </c>
      <c r="V2295">
        <v>37</v>
      </c>
      <c r="W2295">
        <v>26</v>
      </c>
      <c r="X2295">
        <v>53</v>
      </c>
      <c r="Y2295">
        <v>1.83</v>
      </c>
    </row>
    <row r="2296" spans="1:25" x14ac:dyDescent="0.25">
      <c r="A2296">
        <v>2024</v>
      </c>
      <c r="B2296" t="s">
        <v>57</v>
      </c>
      <c r="C2296">
        <v>1</v>
      </c>
      <c r="D2296">
        <v>16</v>
      </c>
      <c r="E2296" t="s">
        <v>26</v>
      </c>
      <c r="F2296" t="s">
        <v>118</v>
      </c>
      <c r="G2296">
        <f t="shared" si="1612"/>
        <v>0</v>
      </c>
      <c r="H2296">
        <v>4</v>
      </c>
      <c r="I2296">
        <v>8</v>
      </c>
      <c r="J2296">
        <v>1</v>
      </c>
      <c r="K2296" s="6" t="str">
        <f t="shared" ref="K2296" si="1673">"vs "&amp;E2297</f>
        <v>vs Xanthi Ducks 🦆</v>
      </c>
      <c r="L2296" s="6" t="str">
        <f t="shared" ref="L2296" si="1674">"vs "&amp;F2297</f>
        <v>vs Kotakis</v>
      </c>
      <c r="M2296">
        <v>105</v>
      </c>
      <c r="N2296" s="1">
        <v>0.42499999999999999</v>
      </c>
      <c r="O2296">
        <v>43</v>
      </c>
      <c r="P2296" s="1">
        <v>0.38400000000000001</v>
      </c>
      <c r="Q2296" s="1">
        <v>0.77200000000000002</v>
      </c>
      <c r="R2296">
        <v>297</v>
      </c>
      <c r="S2296">
        <v>47</v>
      </c>
      <c r="T2296">
        <v>136</v>
      </c>
      <c r="U2296">
        <v>69</v>
      </c>
      <c r="V2296">
        <v>19</v>
      </c>
      <c r="W2296">
        <v>14</v>
      </c>
      <c r="X2296">
        <v>43</v>
      </c>
      <c r="Y2296">
        <v>1.6</v>
      </c>
    </row>
    <row r="2297" spans="1:25" x14ac:dyDescent="0.25">
      <c r="A2297">
        <v>2024</v>
      </c>
      <c r="B2297" t="s">
        <v>57</v>
      </c>
      <c r="C2297">
        <v>1</v>
      </c>
      <c r="D2297">
        <v>16</v>
      </c>
      <c r="E2297" t="s">
        <v>98</v>
      </c>
      <c r="F2297" t="s">
        <v>41</v>
      </c>
      <c r="G2297">
        <f t="shared" si="1612"/>
        <v>1</v>
      </c>
      <c r="H2297">
        <v>8</v>
      </c>
      <c r="I2297">
        <v>4</v>
      </c>
      <c r="J2297">
        <v>1</v>
      </c>
      <c r="K2297" s="6" t="str">
        <f t="shared" ref="K2297" si="1675">"vs "&amp;E2296</f>
        <v>vs Kourayo Vallecano</v>
      </c>
      <c r="L2297" s="6" t="str">
        <f t="shared" ref="L2297" si="1676">"vs "&amp;F2296</f>
        <v>vs Ziogas/Christof</v>
      </c>
      <c r="M2297">
        <v>164</v>
      </c>
      <c r="N2297" s="1">
        <v>0.47399999999999998</v>
      </c>
      <c r="O2297">
        <v>50</v>
      </c>
      <c r="P2297" s="1">
        <v>0.376</v>
      </c>
      <c r="Q2297" s="1">
        <v>0.78300000000000003</v>
      </c>
      <c r="R2297">
        <v>450</v>
      </c>
      <c r="S2297">
        <v>33</v>
      </c>
      <c r="T2297">
        <v>136</v>
      </c>
      <c r="U2297">
        <v>96</v>
      </c>
      <c r="V2297">
        <v>32</v>
      </c>
      <c r="W2297">
        <v>11</v>
      </c>
      <c r="X2297">
        <v>53</v>
      </c>
      <c r="Y2297">
        <v>1.81</v>
      </c>
    </row>
    <row r="2298" spans="1:25" x14ac:dyDescent="0.25">
      <c r="A2298">
        <v>2024</v>
      </c>
      <c r="B2298" t="s">
        <v>57</v>
      </c>
      <c r="C2298">
        <v>1</v>
      </c>
      <c r="D2298">
        <v>17</v>
      </c>
      <c r="E2298" t="s">
        <v>23</v>
      </c>
      <c r="F2298" t="s">
        <v>120</v>
      </c>
      <c r="G2298">
        <f t="shared" si="1612"/>
        <v>0</v>
      </c>
      <c r="H2298">
        <v>3</v>
      </c>
      <c r="I2298">
        <v>9</v>
      </c>
      <c r="J2298">
        <v>1</v>
      </c>
      <c r="K2298" s="6" t="str">
        <f t="shared" ref="K2298" si="1677">"vs "&amp;E2299</f>
        <v>vs Salonika Devils</v>
      </c>
      <c r="L2298" s="6" t="str">
        <f t="shared" ref="L2298" si="1678">"vs "&amp;F2299</f>
        <v>vs Fountos</v>
      </c>
      <c r="M2298">
        <v>110</v>
      </c>
      <c r="N2298" s="1">
        <v>0.437</v>
      </c>
      <c r="O2298">
        <v>35</v>
      </c>
      <c r="P2298" s="1">
        <v>0.35699999999999998</v>
      </c>
      <c r="Q2298" s="1">
        <v>0.74199999999999999</v>
      </c>
      <c r="R2298">
        <v>304</v>
      </c>
      <c r="S2298">
        <v>27</v>
      </c>
      <c r="T2298">
        <v>59</v>
      </c>
      <c r="U2298">
        <v>81</v>
      </c>
      <c r="V2298">
        <v>23</v>
      </c>
      <c r="W2298">
        <v>15</v>
      </c>
      <c r="X2298">
        <v>49</v>
      </c>
      <c r="Y2298">
        <v>1.65</v>
      </c>
    </row>
    <row r="2299" spans="1:25" x14ac:dyDescent="0.25">
      <c r="A2299">
        <v>2024</v>
      </c>
      <c r="B2299" t="s">
        <v>57</v>
      </c>
      <c r="C2299">
        <v>1</v>
      </c>
      <c r="D2299">
        <v>17</v>
      </c>
      <c r="E2299" t="s">
        <v>15</v>
      </c>
      <c r="F2299" t="s">
        <v>48</v>
      </c>
      <c r="G2299">
        <f t="shared" si="1612"/>
        <v>1</v>
      </c>
      <c r="H2299">
        <v>9</v>
      </c>
      <c r="I2299">
        <v>3</v>
      </c>
      <c r="J2299">
        <v>1</v>
      </c>
      <c r="K2299" s="6" t="str">
        <f t="shared" ref="K2299" si="1679">"vs "&amp;E2298</f>
        <v>vs Pachiana NinjaBees</v>
      </c>
      <c r="L2299" s="6" t="str">
        <f t="shared" ref="L2299" si="1680">"vs "&amp;F2298</f>
        <v>vs Spiridaus/Oladipas</v>
      </c>
      <c r="M2299">
        <v>123</v>
      </c>
      <c r="N2299" s="1">
        <v>0.42599999999999999</v>
      </c>
      <c r="O2299">
        <v>36</v>
      </c>
      <c r="P2299" s="1">
        <v>0.32700000000000001</v>
      </c>
      <c r="Q2299" s="1">
        <v>0.78700000000000003</v>
      </c>
      <c r="R2299">
        <v>330</v>
      </c>
      <c r="S2299">
        <v>34</v>
      </c>
      <c r="T2299">
        <v>86</v>
      </c>
      <c r="U2299">
        <v>99</v>
      </c>
      <c r="V2299">
        <v>23</v>
      </c>
      <c r="W2299">
        <v>9</v>
      </c>
      <c r="X2299">
        <v>40</v>
      </c>
      <c r="Y2299">
        <v>2.48</v>
      </c>
    </row>
    <row r="2300" spans="1:25" x14ac:dyDescent="0.25">
      <c r="A2300">
        <v>2024</v>
      </c>
      <c r="B2300" t="s">
        <v>57</v>
      </c>
      <c r="C2300">
        <v>1</v>
      </c>
      <c r="D2300">
        <v>18</v>
      </c>
      <c r="E2300" t="s">
        <v>185</v>
      </c>
      <c r="F2300" t="s">
        <v>100</v>
      </c>
      <c r="G2300">
        <f t="shared" si="1612"/>
        <v>0</v>
      </c>
      <c r="H2300">
        <v>5</v>
      </c>
      <c r="I2300">
        <v>7</v>
      </c>
      <c r="J2300">
        <v>1</v>
      </c>
      <c r="K2300" s="6" t="str">
        <f t="shared" ref="K2300" si="1681">"vs "&amp;E2301</f>
        <v>vs st.Helens Eruptions</v>
      </c>
      <c r="L2300" s="6" t="str">
        <f t="shared" ref="L2300" si="1682">"vs "&amp;F2301</f>
        <v>vs Aris</v>
      </c>
      <c r="M2300">
        <v>156</v>
      </c>
      <c r="N2300" s="1">
        <v>0.44700000000000001</v>
      </c>
      <c r="O2300">
        <v>54</v>
      </c>
      <c r="P2300" s="1">
        <v>0.35799999999999998</v>
      </c>
      <c r="Q2300" s="1">
        <v>0.75</v>
      </c>
      <c r="R2300">
        <v>417</v>
      </c>
      <c r="S2300">
        <v>33</v>
      </c>
      <c r="T2300">
        <v>90</v>
      </c>
      <c r="U2300">
        <v>64</v>
      </c>
      <c r="V2300">
        <v>21</v>
      </c>
      <c r="W2300">
        <v>10</v>
      </c>
      <c r="X2300">
        <v>43</v>
      </c>
      <c r="Y2300">
        <v>1.49</v>
      </c>
    </row>
    <row r="2301" spans="1:25" x14ac:dyDescent="0.25">
      <c r="A2301">
        <v>2024</v>
      </c>
      <c r="B2301" t="s">
        <v>57</v>
      </c>
      <c r="C2301">
        <v>1</v>
      </c>
      <c r="D2301">
        <v>18</v>
      </c>
      <c r="E2301" t="s">
        <v>21</v>
      </c>
      <c r="F2301" t="s">
        <v>50</v>
      </c>
      <c r="G2301">
        <f t="shared" si="1612"/>
        <v>1</v>
      </c>
      <c r="H2301">
        <v>7</v>
      </c>
      <c r="I2301">
        <v>5</v>
      </c>
      <c r="J2301">
        <v>1</v>
      </c>
      <c r="K2301" s="6" t="str">
        <f t="shared" ref="K2301" si="1683">"vs "&amp;E2300</f>
        <v>vs Paralouistas</v>
      </c>
      <c r="L2301" s="6" t="str">
        <f t="shared" ref="L2301" si="1684">"vs "&amp;F2300</f>
        <v>vs Panos</v>
      </c>
      <c r="M2301">
        <v>156</v>
      </c>
      <c r="N2301" s="1">
        <v>0.48399999999999999</v>
      </c>
      <c r="O2301">
        <v>40</v>
      </c>
      <c r="P2301" s="1">
        <v>0.36699999999999999</v>
      </c>
      <c r="Q2301" s="1">
        <v>0.74199999999999999</v>
      </c>
      <c r="R2301">
        <v>421</v>
      </c>
      <c r="S2301">
        <v>31</v>
      </c>
      <c r="T2301">
        <v>92</v>
      </c>
      <c r="U2301">
        <v>88</v>
      </c>
      <c r="V2301">
        <v>30</v>
      </c>
      <c r="W2301">
        <v>12</v>
      </c>
      <c r="X2301">
        <v>60</v>
      </c>
      <c r="Y2301">
        <v>1.47</v>
      </c>
    </row>
    <row r="2302" spans="1:25" x14ac:dyDescent="0.25">
      <c r="A2302">
        <v>2024</v>
      </c>
      <c r="B2302" t="s">
        <v>57</v>
      </c>
      <c r="C2302">
        <v>1</v>
      </c>
      <c r="D2302">
        <v>19</v>
      </c>
      <c r="E2302" t="s">
        <v>159</v>
      </c>
      <c r="F2302" t="s">
        <v>116</v>
      </c>
      <c r="G2302">
        <f t="shared" si="1612"/>
        <v>0</v>
      </c>
      <c r="H2302">
        <v>4</v>
      </c>
      <c r="I2302">
        <v>8</v>
      </c>
      <c r="J2302">
        <v>1</v>
      </c>
      <c r="K2302" s="6" t="str">
        <f t="shared" ref="K2302" si="1685">"vs "&amp;E2303</f>
        <v>vs Samarina Dudenbros</v>
      </c>
      <c r="L2302" s="6" t="str">
        <f t="shared" ref="L2302" si="1686">"vs "&amp;F2303</f>
        <v>vs Sakellariou</v>
      </c>
      <c r="M2302">
        <v>156</v>
      </c>
      <c r="N2302" s="1">
        <v>0.45</v>
      </c>
      <c r="O2302">
        <v>34</v>
      </c>
      <c r="P2302" s="1">
        <v>0.33</v>
      </c>
      <c r="Q2302" s="1">
        <v>0.74299999999999999</v>
      </c>
      <c r="R2302">
        <v>421</v>
      </c>
      <c r="S2302">
        <v>40</v>
      </c>
      <c r="T2302">
        <v>126</v>
      </c>
      <c r="U2302">
        <v>85</v>
      </c>
      <c r="V2302">
        <v>25</v>
      </c>
      <c r="W2302">
        <v>15</v>
      </c>
      <c r="X2302">
        <v>68</v>
      </c>
      <c r="Y2302">
        <v>1.25</v>
      </c>
    </row>
    <row r="2303" spans="1:25" x14ac:dyDescent="0.25">
      <c r="A2303">
        <v>2024</v>
      </c>
      <c r="B2303" t="s">
        <v>57</v>
      </c>
      <c r="C2303">
        <v>1</v>
      </c>
      <c r="D2303">
        <v>19</v>
      </c>
      <c r="E2303" t="s">
        <v>181</v>
      </c>
      <c r="F2303" t="s">
        <v>49</v>
      </c>
      <c r="G2303">
        <f t="shared" si="1612"/>
        <v>1</v>
      </c>
      <c r="H2303">
        <v>8</v>
      </c>
      <c r="I2303">
        <v>4</v>
      </c>
      <c r="J2303">
        <v>1</v>
      </c>
      <c r="K2303" s="6" t="str">
        <f t="shared" ref="K2303" si="1687">"vs "&amp;E2302</f>
        <v>vs purple fuzzy apache pirates</v>
      </c>
      <c r="L2303" s="6" t="str">
        <f t="shared" ref="L2303" si="1688">"vs "&amp;F2302</f>
        <v>vs pi/Sotiris</v>
      </c>
      <c r="M2303">
        <v>159</v>
      </c>
      <c r="N2303" s="1">
        <v>0.51800000000000002</v>
      </c>
      <c r="O2303">
        <v>42</v>
      </c>
      <c r="P2303" s="1">
        <v>0.36199999999999999</v>
      </c>
      <c r="Q2303" s="1">
        <v>0.72199999999999998</v>
      </c>
      <c r="R2303">
        <v>438</v>
      </c>
      <c r="S2303">
        <v>34</v>
      </c>
      <c r="T2303">
        <v>104</v>
      </c>
      <c r="U2303">
        <v>82</v>
      </c>
      <c r="V2303">
        <v>25</v>
      </c>
      <c r="W2303">
        <v>22</v>
      </c>
      <c r="X2303">
        <v>54</v>
      </c>
      <c r="Y2303">
        <v>1.52</v>
      </c>
    </row>
    <row r="2304" spans="1:25" x14ac:dyDescent="0.25">
      <c r="A2304">
        <v>2024</v>
      </c>
      <c r="B2304" t="s">
        <v>57</v>
      </c>
      <c r="C2304">
        <v>1</v>
      </c>
      <c r="D2304">
        <v>20</v>
      </c>
      <c r="E2304" t="s">
        <v>28</v>
      </c>
      <c r="F2304" t="s">
        <v>46</v>
      </c>
      <c r="G2304">
        <f t="shared" si="1612"/>
        <v>0</v>
      </c>
      <c r="H2304">
        <v>4</v>
      </c>
      <c r="I2304">
        <v>9</v>
      </c>
      <c r="J2304">
        <v>0</v>
      </c>
      <c r="K2304" s="6" t="str">
        <f t="shared" ref="K2304" si="1689">"vs "&amp;E2305</f>
        <v>vs The Bridgeburners</v>
      </c>
      <c r="L2304" s="6" t="str">
        <f t="shared" ref="L2304" si="1690">"vs "&amp;F2305</f>
        <v>vs Fanis</v>
      </c>
      <c r="M2304">
        <v>110</v>
      </c>
      <c r="N2304" s="1">
        <v>0.43099999999999999</v>
      </c>
      <c r="O2304">
        <v>28</v>
      </c>
      <c r="P2304" s="1">
        <v>0.311</v>
      </c>
      <c r="Q2304" s="1">
        <v>0.65200000000000002</v>
      </c>
      <c r="R2304">
        <v>278</v>
      </c>
      <c r="S2304">
        <v>46</v>
      </c>
      <c r="T2304">
        <v>107</v>
      </c>
      <c r="U2304">
        <v>71</v>
      </c>
      <c r="V2304">
        <v>32</v>
      </c>
      <c r="W2304">
        <v>18</v>
      </c>
      <c r="X2304">
        <v>38</v>
      </c>
      <c r="Y2304">
        <v>1.87</v>
      </c>
    </row>
    <row r="2305" spans="1:25" x14ac:dyDescent="0.25">
      <c r="A2305">
        <v>2024</v>
      </c>
      <c r="B2305" t="s">
        <v>57</v>
      </c>
      <c r="C2305">
        <v>1</v>
      </c>
      <c r="D2305">
        <v>20</v>
      </c>
      <c r="E2305" t="s">
        <v>16</v>
      </c>
      <c r="F2305" t="s">
        <v>51</v>
      </c>
      <c r="G2305">
        <f t="shared" si="1612"/>
        <v>1</v>
      </c>
      <c r="H2305">
        <v>9</v>
      </c>
      <c r="I2305">
        <v>4</v>
      </c>
      <c r="J2305">
        <v>0</v>
      </c>
      <c r="K2305" s="6" t="str">
        <f t="shared" ref="K2305" si="1691">"vs "&amp;E2304</f>
        <v>vs Steven Adams' Moustache</v>
      </c>
      <c r="L2305" s="6" t="str">
        <f t="shared" ref="L2305" si="1692">"vs "&amp;F2304</f>
        <v>vs Johnny</v>
      </c>
      <c r="M2305">
        <v>127</v>
      </c>
      <c r="N2305" s="1">
        <v>0.42599999999999999</v>
      </c>
      <c r="O2305">
        <v>45</v>
      </c>
      <c r="P2305" s="1">
        <v>0.34899999999999998</v>
      </c>
      <c r="Q2305" s="1">
        <v>0.79200000000000004</v>
      </c>
      <c r="R2305">
        <v>394</v>
      </c>
      <c r="S2305">
        <v>26</v>
      </c>
      <c r="T2305">
        <v>109</v>
      </c>
      <c r="U2305">
        <v>121</v>
      </c>
      <c r="V2305">
        <v>26</v>
      </c>
      <c r="W2305">
        <v>20</v>
      </c>
      <c r="X2305">
        <v>57</v>
      </c>
      <c r="Y2305">
        <v>2.12</v>
      </c>
    </row>
    <row r="2306" spans="1:25" x14ac:dyDescent="0.25">
      <c r="A2306">
        <v>2024</v>
      </c>
      <c r="B2306" t="s">
        <v>57</v>
      </c>
      <c r="C2306">
        <v>2</v>
      </c>
      <c r="D2306">
        <v>21</v>
      </c>
      <c r="E2306" t="s">
        <v>99</v>
      </c>
      <c r="F2306" t="s">
        <v>45</v>
      </c>
      <c r="G2306">
        <f t="shared" si="1612"/>
        <v>0</v>
      </c>
      <c r="H2306">
        <v>5</v>
      </c>
      <c r="I2306">
        <v>8</v>
      </c>
      <c r="J2306">
        <v>0</v>
      </c>
      <c r="K2306" s="6" t="str">
        <f t="shared" ref="K2306" si="1693">"vs "&amp;E2307</f>
        <v>vs LRBP PR3DATORS</v>
      </c>
      <c r="L2306" s="6" t="str">
        <f t="shared" ref="L2306" si="1694">"vs "&amp;F2307</f>
        <v>vs Lafa</v>
      </c>
      <c r="M2306">
        <v>161</v>
      </c>
      <c r="N2306" s="1">
        <v>0.51900000000000002</v>
      </c>
      <c r="O2306">
        <v>41</v>
      </c>
      <c r="P2306" s="1">
        <v>0.36299999999999999</v>
      </c>
      <c r="Q2306" s="1">
        <v>0.77</v>
      </c>
      <c r="R2306">
        <v>430</v>
      </c>
      <c r="S2306">
        <v>43</v>
      </c>
      <c r="T2306">
        <v>128</v>
      </c>
      <c r="U2306">
        <v>103</v>
      </c>
      <c r="V2306">
        <v>28</v>
      </c>
      <c r="W2306">
        <v>23</v>
      </c>
      <c r="X2306">
        <v>56</v>
      </c>
      <c r="Y2306">
        <v>1.84</v>
      </c>
    </row>
    <row r="2307" spans="1:25" x14ac:dyDescent="0.25">
      <c r="A2307">
        <v>2024</v>
      </c>
      <c r="B2307" t="s">
        <v>57</v>
      </c>
      <c r="C2307">
        <v>2</v>
      </c>
      <c r="D2307">
        <v>21</v>
      </c>
      <c r="E2307" t="s">
        <v>158</v>
      </c>
      <c r="F2307" t="s">
        <v>177</v>
      </c>
      <c r="G2307">
        <f t="shared" si="1612"/>
        <v>1</v>
      </c>
      <c r="H2307">
        <v>8</v>
      </c>
      <c r="I2307">
        <v>5</v>
      </c>
      <c r="J2307">
        <v>0</v>
      </c>
      <c r="K2307" s="6" t="str">
        <f t="shared" ref="K2307" si="1695">"vs "&amp;E2306</f>
        <v>vs Tsarlatans</v>
      </c>
      <c r="L2307" s="6" t="str">
        <f t="shared" ref="L2307" si="1696">"vs "&amp;F2306</f>
        <v>vs Tzokos</v>
      </c>
      <c r="M2307">
        <v>176</v>
      </c>
      <c r="N2307" s="1">
        <v>0.49299999999999999</v>
      </c>
      <c r="O2307">
        <v>52</v>
      </c>
      <c r="P2307" s="1">
        <v>0.38500000000000001</v>
      </c>
      <c r="Q2307" s="1">
        <v>0.77900000000000003</v>
      </c>
      <c r="R2307">
        <v>510</v>
      </c>
      <c r="S2307">
        <v>28</v>
      </c>
      <c r="T2307">
        <v>138</v>
      </c>
      <c r="U2307">
        <v>123</v>
      </c>
      <c r="V2307">
        <v>33</v>
      </c>
      <c r="W2307">
        <v>20</v>
      </c>
      <c r="X2307">
        <v>70</v>
      </c>
      <c r="Y2307">
        <v>1.76</v>
      </c>
    </row>
    <row r="2308" spans="1:25" x14ac:dyDescent="0.25">
      <c r="A2308">
        <v>2024</v>
      </c>
      <c r="B2308" t="s">
        <v>57</v>
      </c>
      <c r="C2308">
        <v>2</v>
      </c>
      <c r="D2308">
        <v>22</v>
      </c>
      <c r="E2308" t="s">
        <v>93</v>
      </c>
      <c r="F2308" t="s">
        <v>189</v>
      </c>
      <c r="G2308">
        <f t="shared" si="1612"/>
        <v>1</v>
      </c>
      <c r="H2308">
        <v>8</v>
      </c>
      <c r="I2308">
        <v>4</v>
      </c>
      <c r="J2308">
        <v>1</v>
      </c>
      <c r="K2308" s="6" t="str">
        <f t="shared" ref="K2308" si="1697">"vs "&amp;E2309</f>
        <v>vs Knights of Ni</v>
      </c>
      <c r="L2308" s="6" t="str">
        <f t="shared" ref="L2308" si="1698">"vs "&amp;F2309</f>
        <v>vs Tolios</v>
      </c>
      <c r="M2308">
        <v>168</v>
      </c>
      <c r="N2308" s="1">
        <v>0.47899999999999998</v>
      </c>
      <c r="O2308">
        <v>51</v>
      </c>
      <c r="P2308" s="1">
        <v>0.35199999999999998</v>
      </c>
      <c r="Q2308" s="1">
        <v>0.84399999999999997</v>
      </c>
      <c r="R2308">
        <v>468</v>
      </c>
      <c r="S2308">
        <v>21</v>
      </c>
      <c r="T2308">
        <v>85</v>
      </c>
      <c r="U2308">
        <v>108</v>
      </c>
      <c r="V2308">
        <v>27</v>
      </c>
      <c r="W2308">
        <v>14</v>
      </c>
      <c r="X2308">
        <v>43</v>
      </c>
      <c r="Y2308">
        <v>2.5099999999999998</v>
      </c>
    </row>
    <row r="2309" spans="1:25" x14ac:dyDescent="0.25">
      <c r="A2309">
        <v>2024</v>
      </c>
      <c r="B2309" t="s">
        <v>57</v>
      </c>
      <c r="C2309">
        <v>2</v>
      </c>
      <c r="D2309">
        <v>22</v>
      </c>
      <c r="E2309" t="s">
        <v>96</v>
      </c>
      <c r="F2309" t="s">
        <v>102</v>
      </c>
      <c r="G2309">
        <f t="shared" si="1612"/>
        <v>0</v>
      </c>
      <c r="H2309">
        <v>4</v>
      </c>
      <c r="I2309">
        <v>8</v>
      </c>
      <c r="J2309">
        <v>1</v>
      </c>
      <c r="K2309" s="6" t="str">
        <f t="shared" ref="K2309" si="1699">"vs "&amp;E2308</f>
        <v>vs Guruuu 🐐🐐🐐</v>
      </c>
      <c r="L2309" s="6" t="str">
        <f t="shared" ref="L2309" si="1700">"vs "&amp;F2308</f>
        <v>vs Guru</v>
      </c>
      <c r="M2309">
        <v>143</v>
      </c>
      <c r="N2309" s="1">
        <v>0.505</v>
      </c>
      <c r="O2309">
        <v>25</v>
      </c>
      <c r="P2309" s="1">
        <v>0.313</v>
      </c>
      <c r="Q2309" s="1">
        <v>0.73899999999999999</v>
      </c>
      <c r="R2309">
        <v>362</v>
      </c>
      <c r="S2309">
        <v>51</v>
      </c>
      <c r="T2309">
        <v>147</v>
      </c>
      <c r="U2309">
        <v>74</v>
      </c>
      <c r="V2309">
        <v>27</v>
      </c>
      <c r="W2309">
        <v>32</v>
      </c>
      <c r="X2309">
        <v>47</v>
      </c>
      <c r="Y2309">
        <v>1.57</v>
      </c>
    </row>
    <row r="2310" spans="1:25" x14ac:dyDescent="0.25">
      <c r="A2310">
        <v>2024</v>
      </c>
      <c r="B2310" t="s">
        <v>57</v>
      </c>
      <c r="C2310">
        <v>2</v>
      </c>
      <c r="D2310">
        <v>23</v>
      </c>
      <c r="E2310" t="s">
        <v>94</v>
      </c>
      <c r="F2310" t="s">
        <v>40</v>
      </c>
      <c r="G2310">
        <f t="shared" si="1612"/>
        <v>0</v>
      </c>
      <c r="H2310">
        <v>5</v>
      </c>
      <c r="I2310">
        <v>8</v>
      </c>
      <c r="J2310">
        <v>0</v>
      </c>
      <c r="K2310" s="6" t="str">
        <f t="shared" ref="K2310" si="1701">"vs "&amp;E2311</f>
        <v>vs Pachiana NinjaBees</v>
      </c>
      <c r="L2310" s="6" t="str">
        <f t="shared" ref="L2310" si="1702">"vs "&amp;F2311</f>
        <v>vs Spiridaus/Oladipas</v>
      </c>
      <c r="M2310">
        <v>177</v>
      </c>
      <c r="N2310" s="1">
        <v>0.46500000000000002</v>
      </c>
      <c r="O2310">
        <v>49</v>
      </c>
      <c r="P2310" s="1">
        <v>0.34</v>
      </c>
      <c r="Q2310" s="1">
        <v>0.84</v>
      </c>
      <c r="R2310">
        <v>492</v>
      </c>
      <c r="S2310">
        <v>39</v>
      </c>
      <c r="T2310">
        <v>129</v>
      </c>
      <c r="U2310">
        <v>102</v>
      </c>
      <c r="V2310">
        <v>29</v>
      </c>
      <c r="W2310">
        <v>22</v>
      </c>
      <c r="X2310">
        <v>48</v>
      </c>
      <c r="Y2310">
        <v>2.13</v>
      </c>
    </row>
    <row r="2311" spans="1:25" x14ac:dyDescent="0.25">
      <c r="A2311">
        <v>2024</v>
      </c>
      <c r="B2311" t="s">
        <v>57</v>
      </c>
      <c r="C2311">
        <v>2</v>
      </c>
      <c r="D2311">
        <v>23</v>
      </c>
      <c r="E2311" t="s">
        <v>23</v>
      </c>
      <c r="F2311" t="s">
        <v>120</v>
      </c>
      <c r="G2311">
        <f t="shared" si="1612"/>
        <v>1</v>
      </c>
      <c r="H2311">
        <v>8</v>
      </c>
      <c r="I2311">
        <v>5</v>
      </c>
      <c r="J2311">
        <v>0</v>
      </c>
      <c r="K2311" s="6" t="str">
        <f t="shared" ref="K2311" si="1703">"vs "&amp;E2310</f>
        <v>vs Fighting Thaddeus</v>
      </c>
      <c r="L2311" s="6" t="str">
        <f t="shared" ref="L2311" si="1704">"vs "&amp;F2310</f>
        <v>vs Stavros</v>
      </c>
      <c r="M2311">
        <v>182</v>
      </c>
      <c r="N2311" s="1">
        <v>0.41499999999999998</v>
      </c>
      <c r="O2311">
        <v>51</v>
      </c>
      <c r="P2311" s="1">
        <v>0.32300000000000001</v>
      </c>
      <c r="Q2311" s="1">
        <v>0.80700000000000005</v>
      </c>
      <c r="R2311">
        <v>503</v>
      </c>
      <c r="S2311">
        <v>44</v>
      </c>
      <c r="T2311">
        <v>137</v>
      </c>
      <c r="U2311">
        <v>135</v>
      </c>
      <c r="V2311">
        <v>35</v>
      </c>
      <c r="W2311">
        <v>27</v>
      </c>
      <c r="X2311">
        <v>71</v>
      </c>
      <c r="Y2311">
        <v>1.9</v>
      </c>
    </row>
    <row r="2312" spans="1:25" x14ac:dyDescent="0.25">
      <c r="A2312">
        <v>2024</v>
      </c>
      <c r="B2312" t="s">
        <v>57</v>
      </c>
      <c r="C2312">
        <v>2</v>
      </c>
      <c r="D2312">
        <v>24</v>
      </c>
      <c r="E2312" t="s">
        <v>154</v>
      </c>
      <c r="F2312" t="s">
        <v>155</v>
      </c>
      <c r="G2312">
        <f t="shared" si="1612"/>
        <v>0</v>
      </c>
      <c r="H2312">
        <v>4</v>
      </c>
      <c r="I2312">
        <v>9</v>
      </c>
      <c r="J2312">
        <v>0</v>
      </c>
      <c r="K2312" s="6" t="str">
        <f t="shared" ref="K2312" si="1705">"vs "&amp;E2313</f>
        <v>vs Samarina Dudenbros</v>
      </c>
      <c r="L2312" s="6" t="str">
        <f t="shared" ref="L2312" si="1706">"vs "&amp;F2313</f>
        <v>vs Sakellariou</v>
      </c>
      <c r="M2312">
        <v>104</v>
      </c>
      <c r="N2312" s="1">
        <v>0.5</v>
      </c>
      <c r="O2312">
        <v>23</v>
      </c>
      <c r="P2312" s="1">
        <v>0.39700000000000002</v>
      </c>
      <c r="Q2312" s="1">
        <v>0.69199999999999995</v>
      </c>
      <c r="R2312">
        <v>258</v>
      </c>
      <c r="S2312">
        <v>41</v>
      </c>
      <c r="T2312">
        <v>104</v>
      </c>
      <c r="U2312">
        <v>44</v>
      </c>
      <c r="V2312">
        <v>20</v>
      </c>
      <c r="W2312">
        <v>20</v>
      </c>
      <c r="X2312">
        <v>34</v>
      </c>
      <c r="Y2312">
        <v>1.29</v>
      </c>
    </row>
    <row r="2313" spans="1:25" x14ac:dyDescent="0.25">
      <c r="A2313">
        <v>2024</v>
      </c>
      <c r="B2313" t="s">
        <v>57</v>
      </c>
      <c r="C2313">
        <v>2</v>
      </c>
      <c r="D2313">
        <v>24</v>
      </c>
      <c r="E2313" t="s">
        <v>181</v>
      </c>
      <c r="F2313" t="s">
        <v>49</v>
      </c>
      <c r="G2313">
        <f t="shared" si="1612"/>
        <v>1</v>
      </c>
      <c r="H2313">
        <v>9</v>
      </c>
      <c r="I2313">
        <v>4</v>
      </c>
      <c r="J2313">
        <v>0</v>
      </c>
      <c r="K2313" s="6" t="str">
        <f t="shared" ref="K2313" si="1707">"vs "&amp;E2312</f>
        <v>vs The Bad Boys</v>
      </c>
      <c r="L2313" s="6" t="str">
        <f t="shared" ref="L2313" si="1708">"vs "&amp;F2312</f>
        <v>vs Arvanitis</v>
      </c>
      <c r="M2313">
        <v>195</v>
      </c>
      <c r="N2313" s="1">
        <v>0.47299999999999998</v>
      </c>
      <c r="O2313">
        <v>46</v>
      </c>
      <c r="P2313" s="1">
        <v>0.35099999999999998</v>
      </c>
      <c r="Q2313" s="1">
        <v>0.83899999999999997</v>
      </c>
      <c r="R2313">
        <v>509</v>
      </c>
      <c r="S2313">
        <v>31</v>
      </c>
      <c r="T2313">
        <v>126</v>
      </c>
      <c r="U2313">
        <v>114</v>
      </c>
      <c r="V2313">
        <v>31</v>
      </c>
      <c r="W2313">
        <v>21</v>
      </c>
      <c r="X2313">
        <v>67</v>
      </c>
      <c r="Y2313">
        <v>1.7</v>
      </c>
    </row>
    <row r="2314" spans="1:25" x14ac:dyDescent="0.25">
      <c r="A2314">
        <v>2024</v>
      </c>
      <c r="B2314" t="s">
        <v>57</v>
      </c>
      <c r="C2314">
        <v>2</v>
      </c>
      <c r="D2314">
        <v>25</v>
      </c>
      <c r="E2314" t="s">
        <v>184</v>
      </c>
      <c r="F2314" t="s">
        <v>188</v>
      </c>
      <c r="G2314">
        <f t="shared" si="1612"/>
        <v>0</v>
      </c>
      <c r="H2314">
        <v>6</v>
      </c>
      <c r="I2314">
        <v>7</v>
      </c>
      <c r="J2314">
        <v>0</v>
      </c>
      <c r="K2314" s="6" t="str">
        <f t="shared" ref="K2314" si="1709">"vs "&amp;E2315</f>
        <v>vs st.Helens Eruptions</v>
      </c>
      <c r="L2314" s="6" t="str">
        <f t="shared" ref="L2314" si="1710">"vs "&amp;F2315</f>
        <v>vs Aris</v>
      </c>
      <c r="M2314">
        <v>116</v>
      </c>
      <c r="N2314" s="1">
        <v>0.50700000000000001</v>
      </c>
      <c r="O2314">
        <v>31</v>
      </c>
      <c r="P2314" s="1">
        <v>0.40300000000000002</v>
      </c>
      <c r="Q2314" s="1">
        <v>0.76600000000000001</v>
      </c>
      <c r="R2314">
        <v>299</v>
      </c>
      <c r="S2314">
        <v>38</v>
      </c>
      <c r="T2314">
        <v>101</v>
      </c>
      <c r="U2314">
        <v>62</v>
      </c>
      <c r="V2314">
        <v>13</v>
      </c>
      <c r="W2314">
        <v>20</v>
      </c>
      <c r="X2314">
        <v>34</v>
      </c>
      <c r="Y2314">
        <v>1.82</v>
      </c>
    </row>
    <row r="2315" spans="1:25" x14ac:dyDescent="0.25">
      <c r="A2315">
        <v>2024</v>
      </c>
      <c r="B2315" t="s">
        <v>57</v>
      </c>
      <c r="C2315">
        <v>2</v>
      </c>
      <c r="D2315">
        <v>25</v>
      </c>
      <c r="E2315" t="s">
        <v>21</v>
      </c>
      <c r="F2315" t="s">
        <v>50</v>
      </c>
      <c r="G2315">
        <f t="shared" si="1612"/>
        <v>1</v>
      </c>
      <c r="H2315">
        <v>7</v>
      </c>
      <c r="I2315">
        <v>6</v>
      </c>
      <c r="J2315">
        <v>0</v>
      </c>
      <c r="K2315" s="6" t="str">
        <f t="shared" ref="K2315" si="1711">"vs "&amp;E2314</f>
        <v>vs Heraklion Snakes</v>
      </c>
      <c r="L2315" s="6" t="str">
        <f t="shared" ref="L2315" si="1712">"vs "&amp;F2314</f>
        <v>vs Dimitris</v>
      </c>
      <c r="M2315">
        <v>157</v>
      </c>
      <c r="N2315" s="1">
        <v>0.49099999999999999</v>
      </c>
      <c r="O2315">
        <v>44</v>
      </c>
      <c r="P2315" s="1">
        <v>0.38900000000000001</v>
      </c>
      <c r="Q2315" s="1">
        <v>0.78200000000000003</v>
      </c>
      <c r="R2315">
        <v>437</v>
      </c>
      <c r="S2315">
        <v>43</v>
      </c>
      <c r="T2315">
        <v>94</v>
      </c>
      <c r="U2315">
        <v>86</v>
      </c>
      <c r="V2315">
        <v>20</v>
      </c>
      <c r="W2315">
        <v>18</v>
      </c>
      <c r="X2315">
        <v>69</v>
      </c>
      <c r="Y2315">
        <v>1.25</v>
      </c>
    </row>
    <row r="2316" spans="1:25" x14ac:dyDescent="0.25">
      <c r="A2316">
        <v>2024</v>
      </c>
      <c r="B2316" t="s">
        <v>57</v>
      </c>
      <c r="C2316">
        <v>2</v>
      </c>
      <c r="D2316">
        <v>26</v>
      </c>
      <c r="E2316" t="s">
        <v>33</v>
      </c>
      <c r="F2316" t="s">
        <v>42</v>
      </c>
      <c r="G2316">
        <f t="shared" si="1612"/>
        <v>1</v>
      </c>
      <c r="H2316">
        <v>11</v>
      </c>
      <c r="I2316">
        <v>2</v>
      </c>
      <c r="J2316">
        <v>0</v>
      </c>
      <c r="K2316" s="6" t="str">
        <f t="shared" ref="K2316" si="1713">"vs "&amp;E2317</f>
        <v>vs Baltimore Hercules</v>
      </c>
      <c r="L2316" s="6" t="str">
        <f t="shared" ref="L2316" si="1714">"vs "&amp;F2317</f>
        <v>vs Sarantos</v>
      </c>
      <c r="M2316">
        <v>175</v>
      </c>
      <c r="N2316" s="1">
        <v>0.49</v>
      </c>
      <c r="O2316">
        <v>54</v>
      </c>
      <c r="P2316" s="1">
        <v>0.4</v>
      </c>
      <c r="Q2316" s="1">
        <v>0.78300000000000003</v>
      </c>
      <c r="R2316">
        <v>476</v>
      </c>
      <c r="S2316">
        <v>40</v>
      </c>
      <c r="T2316">
        <v>146</v>
      </c>
      <c r="U2316">
        <v>118</v>
      </c>
      <c r="V2316">
        <v>41</v>
      </c>
      <c r="W2316">
        <v>33</v>
      </c>
      <c r="X2316">
        <v>52</v>
      </c>
      <c r="Y2316">
        <v>2.27</v>
      </c>
    </row>
    <row r="2317" spans="1:25" x14ac:dyDescent="0.25">
      <c r="A2317">
        <v>2024</v>
      </c>
      <c r="B2317" t="s">
        <v>57</v>
      </c>
      <c r="C2317">
        <v>2</v>
      </c>
      <c r="D2317">
        <v>26</v>
      </c>
      <c r="E2317" t="s">
        <v>95</v>
      </c>
      <c r="F2317" t="s">
        <v>101</v>
      </c>
      <c r="G2317">
        <f t="shared" si="1612"/>
        <v>0</v>
      </c>
      <c r="H2317">
        <v>2</v>
      </c>
      <c r="I2317">
        <v>11</v>
      </c>
      <c r="J2317">
        <v>0</v>
      </c>
      <c r="K2317" s="6" t="str">
        <f t="shared" ref="K2317" si="1715">"vs "&amp;E2316</f>
        <v>vs The Guns</v>
      </c>
      <c r="L2317" s="6" t="str">
        <f t="shared" ref="L2317" si="1716">"vs "&amp;F2316</f>
        <v>vs Vasilis</v>
      </c>
      <c r="M2317">
        <v>86</v>
      </c>
      <c r="N2317" s="1">
        <v>0.48299999999999998</v>
      </c>
      <c r="O2317">
        <v>35</v>
      </c>
      <c r="P2317" s="1">
        <v>0.41199999999999998</v>
      </c>
      <c r="Q2317" s="1">
        <v>0.72699999999999998</v>
      </c>
      <c r="R2317">
        <v>231</v>
      </c>
      <c r="S2317">
        <v>21</v>
      </c>
      <c r="T2317">
        <v>65</v>
      </c>
      <c r="U2317">
        <v>35</v>
      </c>
      <c r="V2317">
        <v>22</v>
      </c>
      <c r="W2317">
        <v>11</v>
      </c>
      <c r="X2317">
        <v>32</v>
      </c>
      <c r="Y2317">
        <v>1.0900000000000001</v>
      </c>
    </row>
    <row r="2318" spans="1:25" x14ac:dyDescent="0.25">
      <c r="A2318">
        <v>2024</v>
      </c>
      <c r="B2318" t="s">
        <v>57</v>
      </c>
      <c r="C2318">
        <v>2</v>
      </c>
      <c r="D2318">
        <v>27</v>
      </c>
      <c r="E2318" t="s">
        <v>15</v>
      </c>
      <c r="F2318" t="s">
        <v>48</v>
      </c>
      <c r="G2318">
        <f t="shared" si="1612"/>
        <v>1</v>
      </c>
      <c r="H2318">
        <v>7</v>
      </c>
      <c r="I2318">
        <v>6</v>
      </c>
      <c r="J2318">
        <v>0</v>
      </c>
      <c r="K2318" s="6" t="str">
        <f t="shared" ref="K2318" si="1717">"vs "&amp;E2319</f>
        <v>vs Xanthi Ducks 🦆</v>
      </c>
      <c r="L2318" s="6" t="str">
        <f t="shared" ref="L2318" si="1718">"vs "&amp;F2319</f>
        <v>vs Kotakis</v>
      </c>
      <c r="M2318">
        <v>183</v>
      </c>
      <c r="N2318" s="1">
        <v>0.51300000000000001</v>
      </c>
      <c r="O2318">
        <v>49</v>
      </c>
      <c r="P2318" s="1">
        <v>0.35499999999999998</v>
      </c>
      <c r="Q2318" s="1">
        <v>0.72399999999999998</v>
      </c>
      <c r="R2318">
        <v>478</v>
      </c>
      <c r="S2318">
        <v>32</v>
      </c>
      <c r="T2318">
        <v>122</v>
      </c>
      <c r="U2318">
        <v>128</v>
      </c>
      <c r="V2318">
        <v>21</v>
      </c>
      <c r="W2318">
        <v>15</v>
      </c>
      <c r="X2318">
        <v>63</v>
      </c>
      <c r="Y2318">
        <v>2.0299999999999998</v>
      </c>
    </row>
    <row r="2319" spans="1:25" x14ac:dyDescent="0.25">
      <c r="A2319">
        <v>2024</v>
      </c>
      <c r="B2319" t="s">
        <v>57</v>
      </c>
      <c r="C2319">
        <v>2</v>
      </c>
      <c r="D2319">
        <v>27</v>
      </c>
      <c r="E2319" t="s">
        <v>98</v>
      </c>
      <c r="F2319" t="s">
        <v>41</v>
      </c>
      <c r="G2319">
        <f t="shared" si="1612"/>
        <v>0</v>
      </c>
      <c r="H2319">
        <v>6</v>
      </c>
      <c r="I2319">
        <v>7</v>
      </c>
      <c r="J2319">
        <v>0</v>
      </c>
      <c r="K2319" s="6" t="str">
        <f t="shared" ref="K2319" si="1719">"vs "&amp;E2318</f>
        <v>vs Salonika Devils</v>
      </c>
      <c r="L2319" s="6" t="str">
        <f t="shared" ref="L2319" si="1720">"vs "&amp;F2318</f>
        <v>vs Fountos</v>
      </c>
      <c r="M2319">
        <v>168</v>
      </c>
      <c r="N2319" s="1">
        <v>0.496</v>
      </c>
      <c r="O2319">
        <v>43</v>
      </c>
      <c r="P2319" s="1">
        <v>0.41</v>
      </c>
      <c r="Q2319" s="1">
        <v>0.70699999999999996</v>
      </c>
      <c r="R2319">
        <v>432</v>
      </c>
      <c r="S2319">
        <v>53</v>
      </c>
      <c r="T2319">
        <v>154</v>
      </c>
      <c r="U2319">
        <v>88</v>
      </c>
      <c r="V2319">
        <v>28</v>
      </c>
      <c r="W2319">
        <v>20</v>
      </c>
      <c r="X2319">
        <v>46</v>
      </c>
      <c r="Y2319">
        <v>1.91</v>
      </c>
    </row>
    <row r="2320" spans="1:25" x14ac:dyDescent="0.25">
      <c r="A2320">
        <v>2024</v>
      </c>
      <c r="B2320" t="s">
        <v>57</v>
      </c>
      <c r="C2320">
        <v>2</v>
      </c>
      <c r="D2320">
        <v>28</v>
      </c>
      <c r="E2320" t="s">
        <v>159</v>
      </c>
      <c r="F2320" t="s">
        <v>116</v>
      </c>
      <c r="G2320">
        <f t="shared" si="1612"/>
        <v>1</v>
      </c>
      <c r="H2320">
        <v>8</v>
      </c>
      <c r="I2320">
        <v>5</v>
      </c>
      <c r="J2320">
        <v>0</v>
      </c>
      <c r="K2320" s="6" t="str">
        <f t="shared" ref="K2320" si="1721">"vs "&amp;E2321</f>
        <v>vs The Bridgeburners</v>
      </c>
      <c r="L2320" s="6" t="str">
        <f t="shared" ref="L2320" si="1722">"vs "&amp;F2321</f>
        <v>vs Fanis</v>
      </c>
      <c r="M2320">
        <v>229</v>
      </c>
      <c r="N2320" s="1">
        <v>0.48599999999999999</v>
      </c>
      <c r="O2320">
        <v>52</v>
      </c>
      <c r="P2320" s="1">
        <v>0.33500000000000002</v>
      </c>
      <c r="Q2320" s="1">
        <v>0.72699999999999998</v>
      </c>
      <c r="R2320">
        <v>614</v>
      </c>
      <c r="S2320">
        <v>50</v>
      </c>
      <c r="T2320">
        <v>170</v>
      </c>
      <c r="U2320">
        <v>118</v>
      </c>
      <c r="V2320">
        <v>33</v>
      </c>
      <c r="W2320">
        <v>23</v>
      </c>
      <c r="X2320">
        <v>87</v>
      </c>
      <c r="Y2320">
        <v>1.36</v>
      </c>
    </row>
    <row r="2321" spans="1:25" x14ac:dyDescent="0.25">
      <c r="A2321">
        <v>2024</v>
      </c>
      <c r="B2321" t="s">
        <v>57</v>
      </c>
      <c r="C2321">
        <v>2</v>
      </c>
      <c r="D2321">
        <v>28</v>
      </c>
      <c r="E2321" t="s">
        <v>16</v>
      </c>
      <c r="F2321" t="s">
        <v>51</v>
      </c>
      <c r="G2321">
        <f t="shared" si="1612"/>
        <v>0</v>
      </c>
      <c r="H2321">
        <v>5</v>
      </c>
      <c r="I2321">
        <v>8</v>
      </c>
      <c r="J2321">
        <v>0</v>
      </c>
      <c r="K2321" s="6" t="str">
        <f t="shared" ref="K2321" si="1723">"vs "&amp;E2320</f>
        <v>vs purple fuzzy apache pirates</v>
      </c>
      <c r="L2321" s="6" t="str">
        <f t="shared" ref="L2321" si="1724">"vs "&amp;F2320</f>
        <v>vs pi/Sotiris</v>
      </c>
      <c r="M2321">
        <v>146</v>
      </c>
      <c r="N2321" s="1">
        <v>0.46600000000000003</v>
      </c>
      <c r="O2321">
        <v>38</v>
      </c>
      <c r="P2321" s="1">
        <v>0.33900000000000002</v>
      </c>
      <c r="Q2321" s="1">
        <v>0.87</v>
      </c>
      <c r="R2321">
        <v>397</v>
      </c>
      <c r="S2321">
        <v>36</v>
      </c>
      <c r="T2321">
        <v>80</v>
      </c>
      <c r="U2321">
        <v>130</v>
      </c>
      <c r="V2321">
        <v>23</v>
      </c>
      <c r="W2321">
        <v>16</v>
      </c>
      <c r="X2321">
        <v>59</v>
      </c>
      <c r="Y2321">
        <v>2.2000000000000002</v>
      </c>
    </row>
    <row r="2322" spans="1:25" x14ac:dyDescent="0.25">
      <c r="A2322">
        <v>2024</v>
      </c>
      <c r="B2322" t="s">
        <v>57</v>
      </c>
      <c r="C2322">
        <v>2</v>
      </c>
      <c r="D2322">
        <v>29</v>
      </c>
      <c r="E2322" t="s">
        <v>185</v>
      </c>
      <c r="F2322" t="s">
        <v>100</v>
      </c>
      <c r="G2322">
        <f t="shared" si="1612"/>
        <v>0</v>
      </c>
      <c r="H2322">
        <v>5</v>
      </c>
      <c r="I2322">
        <v>7</v>
      </c>
      <c r="J2322">
        <v>1</v>
      </c>
      <c r="K2322" s="6" t="str">
        <f t="shared" ref="K2322" si="1725">"vs "&amp;E2323</f>
        <v>vs Steven Adams' Moustache</v>
      </c>
      <c r="L2322" s="6" t="str">
        <f t="shared" ref="L2322" si="1726">"vs "&amp;F2323</f>
        <v>vs Johnny</v>
      </c>
      <c r="M2322">
        <v>208</v>
      </c>
      <c r="N2322" s="1">
        <v>0.47199999999999998</v>
      </c>
      <c r="O2322">
        <v>54</v>
      </c>
      <c r="P2322" s="1">
        <v>0.36499999999999999</v>
      </c>
      <c r="Q2322" s="1">
        <v>0.81299999999999994</v>
      </c>
      <c r="R2322">
        <v>557</v>
      </c>
      <c r="S2322">
        <v>33</v>
      </c>
      <c r="T2322">
        <v>129</v>
      </c>
      <c r="U2322">
        <v>100</v>
      </c>
      <c r="V2322">
        <v>24</v>
      </c>
      <c r="W2322">
        <v>12</v>
      </c>
      <c r="X2322">
        <v>68</v>
      </c>
      <c r="Y2322">
        <v>1.47</v>
      </c>
    </row>
    <row r="2323" spans="1:25" x14ac:dyDescent="0.25">
      <c r="A2323">
        <v>2024</v>
      </c>
      <c r="B2323" t="s">
        <v>57</v>
      </c>
      <c r="C2323">
        <v>2</v>
      </c>
      <c r="D2323">
        <v>29</v>
      </c>
      <c r="E2323" t="s">
        <v>28</v>
      </c>
      <c r="F2323" t="s">
        <v>46</v>
      </c>
      <c r="G2323">
        <f t="shared" si="1612"/>
        <v>1</v>
      </c>
      <c r="H2323">
        <v>7</v>
      </c>
      <c r="I2323">
        <v>5</v>
      </c>
      <c r="J2323">
        <v>1</v>
      </c>
      <c r="K2323" s="6" t="str">
        <f t="shared" ref="K2323" si="1727">"vs "&amp;E2322</f>
        <v>vs Paralouistas</v>
      </c>
      <c r="L2323" s="6" t="str">
        <f t="shared" ref="L2323" si="1728">"vs "&amp;F2322</f>
        <v>vs Panos</v>
      </c>
      <c r="M2323">
        <v>177</v>
      </c>
      <c r="N2323" s="1">
        <v>0.49399999999999999</v>
      </c>
      <c r="O2323">
        <v>61</v>
      </c>
      <c r="P2323" s="1">
        <v>0.39100000000000001</v>
      </c>
      <c r="Q2323" s="1">
        <v>0.77600000000000002</v>
      </c>
      <c r="R2323">
        <v>481</v>
      </c>
      <c r="S2323">
        <v>53</v>
      </c>
      <c r="T2323">
        <v>151</v>
      </c>
      <c r="U2323">
        <v>82</v>
      </c>
      <c r="V2323">
        <v>24</v>
      </c>
      <c r="W2323">
        <v>21</v>
      </c>
      <c r="X2323">
        <v>60</v>
      </c>
      <c r="Y2323">
        <v>1.37</v>
      </c>
    </row>
    <row r="2324" spans="1:25" x14ac:dyDescent="0.25">
      <c r="A2324">
        <v>2024</v>
      </c>
      <c r="B2324" t="s">
        <v>57</v>
      </c>
      <c r="C2324">
        <v>2</v>
      </c>
      <c r="D2324">
        <v>30</v>
      </c>
      <c r="E2324" t="s">
        <v>186</v>
      </c>
      <c r="F2324" t="s">
        <v>103</v>
      </c>
      <c r="G2324">
        <f t="shared" si="1612"/>
        <v>1</v>
      </c>
      <c r="H2324">
        <v>10</v>
      </c>
      <c r="I2324">
        <v>3</v>
      </c>
      <c r="J2324">
        <v>0</v>
      </c>
      <c r="K2324" s="6" t="str">
        <f t="shared" ref="K2324" si="1729">"vs "&amp;E2325</f>
        <v>vs Kourayo Vallecano</v>
      </c>
      <c r="L2324" s="6" t="str">
        <f t="shared" ref="L2324" si="1730">"vs "&amp;F2325</f>
        <v>vs Ziogas/Christof</v>
      </c>
      <c r="M2324">
        <v>230</v>
      </c>
      <c r="N2324" s="1">
        <v>0.46200000000000002</v>
      </c>
      <c r="O2324">
        <v>57</v>
      </c>
      <c r="P2324" s="1">
        <v>0.36299999999999999</v>
      </c>
      <c r="Q2324" s="1">
        <v>0.78900000000000003</v>
      </c>
      <c r="R2324">
        <v>644</v>
      </c>
      <c r="S2324">
        <v>47</v>
      </c>
      <c r="T2324">
        <v>165</v>
      </c>
      <c r="U2324">
        <v>145</v>
      </c>
      <c r="V2324">
        <v>35</v>
      </c>
      <c r="W2324">
        <v>28</v>
      </c>
      <c r="X2324">
        <v>54</v>
      </c>
      <c r="Y2324">
        <v>2.69</v>
      </c>
    </row>
    <row r="2325" spans="1:25" x14ac:dyDescent="0.25">
      <c r="A2325">
        <v>2024</v>
      </c>
      <c r="B2325" t="s">
        <v>57</v>
      </c>
      <c r="C2325">
        <v>2</v>
      </c>
      <c r="D2325">
        <v>30</v>
      </c>
      <c r="E2325" t="s">
        <v>26</v>
      </c>
      <c r="F2325" t="s">
        <v>118</v>
      </c>
      <c r="G2325">
        <f t="shared" si="1612"/>
        <v>0</v>
      </c>
      <c r="H2325">
        <v>3</v>
      </c>
      <c r="I2325">
        <v>10</v>
      </c>
      <c r="J2325">
        <v>0</v>
      </c>
      <c r="K2325" s="6" t="str">
        <f t="shared" ref="K2325" si="1731">"vs "&amp;E2324</f>
        <v>vs Karafli Saita</v>
      </c>
      <c r="L2325" s="6" t="str">
        <f t="shared" ref="L2325" si="1732">"vs "&amp;F2324</f>
        <v>vs Tassos</v>
      </c>
      <c r="M2325">
        <v>150</v>
      </c>
      <c r="N2325" s="1">
        <v>0.39700000000000002</v>
      </c>
      <c r="O2325">
        <v>53</v>
      </c>
      <c r="P2325" s="1">
        <v>0.30099999999999999</v>
      </c>
      <c r="Q2325" s="1">
        <v>0.71099999999999997</v>
      </c>
      <c r="R2325">
        <v>407</v>
      </c>
      <c r="S2325">
        <v>66</v>
      </c>
      <c r="T2325">
        <v>151</v>
      </c>
      <c r="U2325">
        <v>105</v>
      </c>
      <c r="V2325">
        <v>39</v>
      </c>
      <c r="W2325">
        <v>23</v>
      </c>
      <c r="X2325">
        <v>43</v>
      </c>
      <c r="Y2325">
        <v>2.44</v>
      </c>
    </row>
    <row r="2326" spans="1:25" x14ac:dyDescent="0.25">
      <c r="A2326">
        <v>2024</v>
      </c>
      <c r="B2326" t="s">
        <v>57</v>
      </c>
      <c r="C2326">
        <v>3</v>
      </c>
      <c r="D2326">
        <v>31</v>
      </c>
      <c r="E2326" t="s">
        <v>96</v>
      </c>
      <c r="F2326" t="s">
        <v>102</v>
      </c>
      <c r="G2326">
        <f t="shared" si="1612"/>
        <v>0</v>
      </c>
      <c r="H2326">
        <v>3</v>
      </c>
      <c r="I2326">
        <v>9</v>
      </c>
      <c r="J2326">
        <v>1</v>
      </c>
      <c r="K2326" s="6" t="str">
        <f t="shared" ref="K2326" si="1733">"vs "&amp;E2327</f>
        <v>vs Tsarlatans</v>
      </c>
      <c r="L2326" s="6" t="str">
        <f t="shared" ref="L2326" si="1734">"vs "&amp;F2327</f>
        <v>vs Tzokos</v>
      </c>
      <c r="M2326">
        <v>119</v>
      </c>
      <c r="N2326" s="1">
        <v>0.50600000000000001</v>
      </c>
      <c r="O2326">
        <v>25</v>
      </c>
      <c r="P2326" s="1">
        <v>0.34200000000000003</v>
      </c>
      <c r="Q2326" s="1">
        <v>0.72499999999999998</v>
      </c>
      <c r="R2326">
        <v>300</v>
      </c>
      <c r="S2326">
        <v>45</v>
      </c>
      <c r="T2326">
        <v>110</v>
      </c>
      <c r="U2326">
        <v>35</v>
      </c>
      <c r="V2326">
        <v>16</v>
      </c>
      <c r="W2326">
        <v>14</v>
      </c>
      <c r="X2326">
        <v>32</v>
      </c>
      <c r="Y2326">
        <v>1.0900000000000001</v>
      </c>
    </row>
    <row r="2327" spans="1:25" x14ac:dyDescent="0.25">
      <c r="A2327">
        <v>2024</v>
      </c>
      <c r="B2327" t="s">
        <v>57</v>
      </c>
      <c r="C2327">
        <v>3</v>
      </c>
      <c r="D2327">
        <v>31</v>
      </c>
      <c r="E2327" t="s">
        <v>99</v>
      </c>
      <c r="F2327" t="s">
        <v>45</v>
      </c>
      <c r="G2327">
        <f t="shared" si="1612"/>
        <v>1</v>
      </c>
      <c r="H2327">
        <v>9</v>
      </c>
      <c r="I2327">
        <v>3</v>
      </c>
      <c r="J2327">
        <v>1</v>
      </c>
      <c r="K2327" s="6" t="str">
        <f t="shared" ref="K2327" si="1735">"vs "&amp;E2326</f>
        <v>vs Knights of Ni</v>
      </c>
      <c r="L2327" s="6" t="str">
        <f t="shared" ref="L2327" si="1736">"vs "&amp;F2326</f>
        <v>vs Tolios</v>
      </c>
      <c r="M2327">
        <v>128</v>
      </c>
      <c r="N2327" s="1">
        <v>0.42</v>
      </c>
      <c r="O2327">
        <v>38</v>
      </c>
      <c r="P2327" s="1">
        <v>0.34499999999999997</v>
      </c>
      <c r="Q2327" s="1">
        <v>0.82599999999999996</v>
      </c>
      <c r="R2327">
        <v>365</v>
      </c>
      <c r="S2327">
        <v>27</v>
      </c>
      <c r="T2327">
        <v>96</v>
      </c>
      <c r="U2327">
        <v>75</v>
      </c>
      <c r="V2327">
        <v>36</v>
      </c>
      <c r="W2327">
        <v>20</v>
      </c>
      <c r="X2327">
        <v>32</v>
      </c>
      <c r="Y2327">
        <v>2.34</v>
      </c>
    </row>
    <row r="2328" spans="1:25" x14ac:dyDescent="0.25">
      <c r="A2328">
        <v>2024</v>
      </c>
      <c r="B2328" t="s">
        <v>57</v>
      </c>
      <c r="C2328">
        <v>3</v>
      </c>
      <c r="D2328">
        <v>32</v>
      </c>
      <c r="E2328" t="s">
        <v>23</v>
      </c>
      <c r="F2328" t="s">
        <v>120</v>
      </c>
      <c r="G2328">
        <f t="shared" si="1612"/>
        <v>0</v>
      </c>
      <c r="H2328">
        <v>3</v>
      </c>
      <c r="I2328">
        <v>10</v>
      </c>
      <c r="J2328">
        <v>0</v>
      </c>
      <c r="K2328" s="6" t="str">
        <f t="shared" ref="K2328" si="1737">"vs "&amp;E2329</f>
        <v>vs LRBP PR3DATORS</v>
      </c>
      <c r="L2328" s="6" t="str">
        <f t="shared" ref="L2328" si="1738">"vs "&amp;F2329</f>
        <v>vs Lafa</v>
      </c>
      <c r="M2328">
        <v>123</v>
      </c>
      <c r="N2328" s="1">
        <v>0.41</v>
      </c>
      <c r="O2328">
        <v>37</v>
      </c>
      <c r="P2328" s="1">
        <v>0.30099999999999999</v>
      </c>
      <c r="Q2328" s="1">
        <v>0.83</v>
      </c>
      <c r="R2328">
        <v>356</v>
      </c>
      <c r="S2328">
        <v>28</v>
      </c>
      <c r="T2328">
        <v>98</v>
      </c>
      <c r="U2328">
        <v>121</v>
      </c>
      <c r="V2328">
        <v>19</v>
      </c>
      <c r="W2328">
        <v>18</v>
      </c>
      <c r="X2328">
        <v>70</v>
      </c>
      <c r="Y2328">
        <v>1.73</v>
      </c>
    </row>
    <row r="2329" spans="1:25" x14ac:dyDescent="0.25">
      <c r="A2329">
        <v>2024</v>
      </c>
      <c r="B2329" t="s">
        <v>57</v>
      </c>
      <c r="C2329">
        <v>3</v>
      </c>
      <c r="D2329">
        <v>32</v>
      </c>
      <c r="E2329" t="s">
        <v>158</v>
      </c>
      <c r="F2329" t="s">
        <v>177</v>
      </c>
      <c r="G2329">
        <f t="shared" si="1612"/>
        <v>1</v>
      </c>
      <c r="H2329">
        <v>10</v>
      </c>
      <c r="I2329">
        <v>3</v>
      </c>
      <c r="J2329">
        <v>0</v>
      </c>
      <c r="K2329" s="6" t="str">
        <f t="shared" ref="K2329" si="1739">"vs "&amp;E2328</f>
        <v>vs Pachiana NinjaBees</v>
      </c>
      <c r="L2329" s="6" t="str">
        <f t="shared" ref="L2329" si="1740">"vs "&amp;F2328</f>
        <v>vs Spiridaus/Oladipas</v>
      </c>
      <c r="M2329">
        <v>202</v>
      </c>
      <c r="N2329" s="1">
        <v>0.52200000000000002</v>
      </c>
      <c r="O2329">
        <v>51</v>
      </c>
      <c r="P2329" s="1">
        <v>0.39200000000000002</v>
      </c>
      <c r="Q2329" s="1">
        <v>0.81799999999999995</v>
      </c>
      <c r="R2329">
        <v>527</v>
      </c>
      <c r="S2329">
        <v>40</v>
      </c>
      <c r="T2329">
        <v>132</v>
      </c>
      <c r="U2329">
        <v>101</v>
      </c>
      <c r="V2329">
        <v>23</v>
      </c>
      <c r="W2329">
        <v>20</v>
      </c>
      <c r="X2329">
        <v>59</v>
      </c>
      <c r="Y2329">
        <v>1.71</v>
      </c>
    </row>
    <row r="2330" spans="1:25" x14ac:dyDescent="0.25">
      <c r="A2330">
        <v>2024</v>
      </c>
      <c r="B2330" t="s">
        <v>57</v>
      </c>
      <c r="C2330">
        <v>3</v>
      </c>
      <c r="D2330">
        <v>33</v>
      </c>
      <c r="E2330" t="s">
        <v>181</v>
      </c>
      <c r="F2330" t="s">
        <v>49</v>
      </c>
      <c r="G2330">
        <f t="shared" ref="G2330:G2393" si="1741">IF(H2330+0.5*J2330&gt;6.5,1,0)</f>
        <v>1</v>
      </c>
      <c r="H2330">
        <v>8</v>
      </c>
      <c r="I2330">
        <v>5</v>
      </c>
      <c r="J2330">
        <v>0</v>
      </c>
      <c r="K2330" s="6" t="str">
        <f t="shared" ref="K2330" si="1742">"vs "&amp;E2331</f>
        <v>vs Guruuu 🐐🐐🐐</v>
      </c>
      <c r="L2330" s="6" t="str">
        <f t="shared" ref="L2330" si="1743">"vs "&amp;F2331</f>
        <v>vs Guru</v>
      </c>
      <c r="M2330">
        <v>213</v>
      </c>
      <c r="N2330" s="1">
        <v>0.45800000000000002</v>
      </c>
      <c r="O2330">
        <v>41</v>
      </c>
      <c r="P2330" s="1">
        <v>0.28899999999999998</v>
      </c>
      <c r="Q2330" s="1">
        <v>0.83299999999999996</v>
      </c>
      <c r="R2330">
        <v>597</v>
      </c>
      <c r="S2330">
        <v>40</v>
      </c>
      <c r="T2330">
        <v>170</v>
      </c>
      <c r="U2330">
        <v>133</v>
      </c>
      <c r="V2330">
        <v>34</v>
      </c>
      <c r="W2330">
        <v>25</v>
      </c>
      <c r="X2330">
        <v>76</v>
      </c>
      <c r="Y2330">
        <v>1.75</v>
      </c>
    </row>
    <row r="2331" spans="1:25" x14ac:dyDescent="0.25">
      <c r="A2331">
        <v>2024</v>
      </c>
      <c r="B2331" t="s">
        <v>57</v>
      </c>
      <c r="C2331">
        <v>3</v>
      </c>
      <c r="D2331">
        <v>33</v>
      </c>
      <c r="E2331" t="s">
        <v>93</v>
      </c>
      <c r="F2331" t="s">
        <v>189</v>
      </c>
      <c r="G2331">
        <f t="shared" si="1741"/>
        <v>0</v>
      </c>
      <c r="H2331">
        <v>5</v>
      </c>
      <c r="I2331">
        <v>8</v>
      </c>
      <c r="J2331">
        <v>0</v>
      </c>
      <c r="K2331" s="6" t="str">
        <f t="shared" ref="K2331" si="1744">"vs "&amp;E2330</f>
        <v>vs Samarina Dudenbros</v>
      </c>
      <c r="L2331" s="6" t="str">
        <f t="shared" ref="L2331" si="1745">"vs "&amp;F2330</f>
        <v>vs Sakellariou</v>
      </c>
      <c r="M2331">
        <v>152</v>
      </c>
      <c r="N2331" s="1">
        <v>0.44600000000000001</v>
      </c>
      <c r="O2331">
        <v>50</v>
      </c>
      <c r="P2331" s="1">
        <v>0.33300000000000002</v>
      </c>
      <c r="Q2331" s="1">
        <v>0.86699999999999999</v>
      </c>
      <c r="R2331">
        <v>419</v>
      </c>
      <c r="S2331">
        <v>15</v>
      </c>
      <c r="T2331">
        <v>140</v>
      </c>
      <c r="U2331">
        <v>121</v>
      </c>
      <c r="V2331">
        <v>16</v>
      </c>
      <c r="W2331">
        <v>14</v>
      </c>
      <c r="X2331">
        <v>41</v>
      </c>
      <c r="Y2331">
        <v>2.95</v>
      </c>
    </row>
    <row r="2332" spans="1:25" x14ac:dyDescent="0.25">
      <c r="A2332">
        <v>2024</v>
      </c>
      <c r="B2332" t="s">
        <v>57</v>
      </c>
      <c r="C2332">
        <v>3</v>
      </c>
      <c r="D2332">
        <v>34</v>
      </c>
      <c r="E2332" t="s">
        <v>21</v>
      </c>
      <c r="F2332" t="s">
        <v>50</v>
      </c>
      <c r="G2332">
        <f t="shared" si="1741"/>
        <v>0</v>
      </c>
      <c r="H2332">
        <v>2</v>
      </c>
      <c r="I2332">
        <v>11</v>
      </c>
      <c r="J2332">
        <v>0</v>
      </c>
      <c r="K2332" s="6" t="str">
        <f t="shared" ref="K2332" si="1746">"vs "&amp;E2333</f>
        <v>vs Fighting Thaddeus</v>
      </c>
      <c r="L2332" s="6" t="str">
        <f t="shared" ref="L2332" si="1747">"vs "&amp;F2333</f>
        <v>vs Stavros</v>
      </c>
      <c r="M2332">
        <v>143</v>
      </c>
      <c r="N2332" s="1">
        <v>0.40899999999999997</v>
      </c>
      <c r="O2332">
        <v>43</v>
      </c>
      <c r="P2332" s="1">
        <v>0.32100000000000001</v>
      </c>
      <c r="Q2332" s="1">
        <v>0.80200000000000005</v>
      </c>
      <c r="R2332">
        <v>418</v>
      </c>
      <c r="S2332">
        <v>31</v>
      </c>
      <c r="T2332">
        <v>72</v>
      </c>
      <c r="U2332">
        <v>78</v>
      </c>
      <c r="V2332">
        <v>25</v>
      </c>
      <c r="W2332">
        <v>5</v>
      </c>
      <c r="X2332">
        <v>50</v>
      </c>
      <c r="Y2332">
        <v>1.56</v>
      </c>
    </row>
    <row r="2333" spans="1:25" x14ac:dyDescent="0.25">
      <c r="A2333">
        <v>2024</v>
      </c>
      <c r="B2333" t="s">
        <v>57</v>
      </c>
      <c r="C2333">
        <v>3</v>
      </c>
      <c r="D2333">
        <v>34</v>
      </c>
      <c r="E2333" t="s">
        <v>94</v>
      </c>
      <c r="F2333" t="s">
        <v>40</v>
      </c>
      <c r="G2333">
        <f t="shared" si="1741"/>
        <v>1</v>
      </c>
      <c r="H2333">
        <v>11</v>
      </c>
      <c r="I2333">
        <v>2</v>
      </c>
      <c r="J2333">
        <v>0</v>
      </c>
      <c r="K2333" s="6" t="str">
        <f t="shared" ref="K2333" si="1748">"vs "&amp;E2332</f>
        <v>vs st.Helens Eruptions</v>
      </c>
      <c r="L2333" s="6" t="str">
        <f t="shared" ref="L2333" si="1749">"vs "&amp;F2332</f>
        <v>vs Aris</v>
      </c>
      <c r="M2333">
        <v>168</v>
      </c>
      <c r="N2333" s="1">
        <v>0.46899999999999997</v>
      </c>
      <c r="O2333">
        <v>49</v>
      </c>
      <c r="P2333" s="1">
        <v>0.35799999999999998</v>
      </c>
      <c r="Q2333" s="1">
        <v>0.72599999999999998</v>
      </c>
      <c r="R2333">
        <v>462</v>
      </c>
      <c r="S2333">
        <v>49</v>
      </c>
      <c r="T2333">
        <v>128</v>
      </c>
      <c r="U2333">
        <v>105</v>
      </c>
      <c r="V2333">
        <v>27</v>
      </c>
      <c r="W2333">
        <v>27</v>
      </c>
      <c r="X2333">
        <v>63</v>
      </c>
      <c r="Y2333">
        <v>1.67</v>
      </c>
    </row>
    <row r="2334" spans="1:25" x14ac:dyDescent="0.25">
      <c r="A2334">
        <v>2024</v>
      </c>
      <c r="B2334" t="s">
        <v>57</v>
      </c>
      <c r="C2334">
        <v>3</v>
      </c>
      <c r="D2334">
        <v>35</v>
      </c>
      <c r="E2334" t="s">
        <v>95</v>
      </c>
      <c r="F2334" t="s">
        <v>101</v>
      </c>
      <c r="G2334">
        <f t="shared" si="1741"/>
        <v>0</v>
      </c>
      <c r="H2334">
        <v>4</v>
      </c>
      <c r="I2334">
        <v>8</v>
      </c>
      <c r="J2334">
        <v>1</v>
      </c>
      <c r="K2334" s="6" t="str">
        <f t="shared" ref="K2334" si="1750">"vs "&amp;E2335</f>
        <v>vs The Bad Boys</v>
      </c>
      <c r="L2334" s="6" t="str">
        <f t="shared" ref="L2334" si="1751">"vs "&amp;F2335</f>
        <v>vs Arvanitis</v>
      </c>
      <c r="M2334">
        <v>74</v>
      </c>
      <c r="N2334" s="1">
        <v>0.41099999999999998</v>
      </c>
      <c r="O2334">
        <v>29</v>
      </c>
      <c r="P2334" s="1">
        <v>0.312</v>
      </c>
      <c r="Q2334" s="1">
        <v>0.878</v>
      </c>
      <c r="R2334">
        <v>220</v>
      </c>
      <c r="S2334">
        <v>38</v>
      </c>
      <c r="T2334">
        <v>69</v>
      </c>
      <c r="U2334">
        <v>44</v>
      </c>
      <c r="V2334">
        <v>16</v>
      </c>
      <c r="W2334">
        <v>19</v>
      </c>
      <c r="X2334">
        <v>25</v>
      </c>
      <c r="Y2334">
        <v>1.76</v>
      </c>
    </row>
    <row r="2335" spans="1:25" x14ac:dyDescent="0.25">
      <c r="A2335">
        <v>2024</v>
      </c>
      <c r="B2335" t="s">
        <v>57</v>
      </c>
      <c r="C2335">
        <v>3</v>
      </c>
      <c r="D2335">
        <v>35</v>
      </c>
      <c r="E2335" t="s">
        <v>154</v>
      </c>
      <c r="F2335" t="s">
        <v>155</v>
      </c>
      <c r="G2335">
        <f t="shared" si="1741"/>
        <v>1</v>
      </c>
      <c r="H2335">
        <v>8</v>
      </c>
      <c r="I2335">
        <v>4</v>
      </c>
      <c r="J2335">
        <v>1</v>
      </c>
      <c r="K2335" s="6" t="str">
        <f t="shared" ref="K2335" si="1752">"vs "&amp;E2334</f>
        <v>vs Baltimore Hercules</v>
      </c>
      <c r="L2335" s="6" t="str">
        <f t="shared" ref="L2335" si="1753">"vs "&amp;F2334</f>
        <v>vs Sarantos</v>
      </c>
      <c r="M2335">
        <v>104</v>
      </c>
      <c r="N2335" s="1">
        <v>0.45</v>
      </c>
      <c r="O2335">
        <v>31</v>
      </c>
      <c r="P2335" s="1">
        <v>0.34399999999999997</v>
      </c>
      <c r="Q2335" s="1">
        <v>0.79600000000000004</v>
      </c>
      <c r="R2335">
        <v>278</v>
      </c>
      <c r="S2335">
        <v>36</v>
      </c>
      <c r="T2335">
        <v>69</v>
      </c>
      <c r="U2335">
        <v>66</v>
      </c>
      <c r="V2335">
        <v>18</v>
      </c>
      <c r="W2335">
        <v>11</v>
      </c>
      <c r="X2335">
        <v>34</v>
      </c>
      <c r="Y2335">
        <v>1.94</v>
      </c>
    </row>
    <row r="2336" spans="1:25" x14ac:dyDescent="0.25">
      <c r="A2336">
        <v>2024</v>
      </c>
      <c r="B2336" t="s">
        <v>57</v>
      </c>
      <c r="C2336">
        <v>3</v>
      </c>
      <c r="D2336">
        <v>36</v>
      </c>
      <c r="E2336" t="s">
        <v>98</v>
      </c>
      <c r="F2336" t="s">
        <v>41</v>
      </c>
      <c r="G2336">
        <f t="shared" si="1741"/>
        <v>1</v>
      </c>
      <c r="H2336">
        <v>10</v>
      </c>
      <c r="I2336">
        <v>3</v>
      </c>
      <c r="J2336">
        <v>0</v>
      </c>
      <c r="K2336" s="6" t="str">
        <f t="shared" ref="K2336" si="1754">"vs "&amp;E2337</f>
        <v>vs Heraklion Snakes</v>
      </c>
      <c r="L2336" s="6" t="str">
        <f t="shared" ref="L2336" si="1755">"vs "&amp;F2337</f>
        <v>vs Dimitris</v>
      </c>
      <c r="M2336">
        <v>182</v>
      </c>
      <c r="N2336" s="1">
        <v>0.45500000000000002</v>
      </c>
      <c r="O2336">
        <v>52</v>
      </c>
      <c r="P2336" s="1">
        <v>0.31</v>
      </c>
      <c r="Q2336" s="1">
        <v>0.81299999999999994</v>
      </c>
      <c r="R2336">
        <v>507</v>
      </c>
      <c r="S2336">
        <v>50</v>
      </c>
      <c r="T2336">
        <v>156</v>
      </c>
      <c r="U2336">
        <v>138</v>
      </c>
      <c r="V2336">
        <v>36</v>
      </c>
      <c r="W2336">
        <v>23</v>
      </c>
      <c r="X2336">
        <v>63</v>
      </c>
      <c r="Y2336">
        <v>2.19</v>
      </c>
    </row>
    <row r="2337" spans="1:25" x14ac:dyDescent="0.25">
      <c r="A2337">
        <v>2024</v>
      </c>
      <c r="B2337" t="s">
        <v>57</v>
      </c>
      <c r="C2337">
        <v>3</v>
      </c>
      <c r="D2337">
        <v>36</v>
      </c>
      <c r="E2337" t="s">
        <v>184</v>
      </c>
      <c r="F2337" t="s">
        <v>188</v>
      </c>
      <c r="G2337">
        <f t="shared" si="1741"/>
        <v>0</v>
      </c>
      <c r="H2337">
        <v>3</v>
      </c>
      <c r="I2337">
        <v>10</v>
      </c>
      <c r="J2337">
        <v>0</v>
      </c>
      <c r="K2337" s="6" t="str">
        <f t="shared" ref="K2337" si="1756">"vs "&amp;E2336</f>
        <v>vs Xanthi Ducks 🦆</v>
      </c>
      <c r="L2337" s="6" t="str">
        <f t="shared" ref="L2337" si="1757">"vs "&amp;F2336</f>
        <v>vs Kotakis</v>
      </c>
      <c r="M2337">
        <v>122</v>
      </c>
      <c r="N2337" s="1">
        <v>0.50600000000000001</v>
      </c>
      <c r="O2337">
        <v>32</v>
      </c>
      <c r="P2337" s="1">
        <v>0.38100000000000001</v>
      </c>
      <c r="Q2337" s="1">
        <v>0.71099999999999997</v>
      </c>
      <c r="R2337">
        <v>330</v>
      </c>
      <c r="S2337">
        <v>42</v>
      </c>
      <c r="T2337">
        <v>136</v>
      </c>
      <c r="U2337">
        <v>59</v>
      </c>
      <c r="V2337">
        <v>16</v>
      </c>
      <c r="W2337">
        <v>21</v>
      </c>
      <c r="X2337">
        <v>37</v>
      </c>
      <c r="Y2337">
        <v>1.59</v>
      </c>
    </row>
    <row r="2338" spans="1:25" x14ac:dyDescent="0.25">
      <c r="A2338">
        <v>2024</v>
      </c>
      <c r="B2338" t="s">
        <v>57</v>
      </c>
      <c r="C2338">
        <v>3</v>
      </c>
      <c r="D2338">
        <v>37</v>
      </c>
      <c r="E2338" t="s">
        <v>16</v>
      </c>
      <c r="F2338" t="s">
        <v>51</v>
      </c>
      <c r="G2338">
        <f t="shared" si="1741"/>
        <v>1</v>
      </c>
      <c r="H2338">
        <v>10</v>
      </c>
      <c r="I2338">
        <v>3</v>
      </c>
      <c r="J2338">
        <v>0</v>
      </c>
      <c r="K2338" s="6" t="str">
        <f t="shared" ref="K2338" si="1758">"vs "&amp;E2339</f>
        <v>vs The Guns</v>
      </c>
      <c r="L2338" s="6" t="str">
        <f t="shared" ref="L2338" si="1759">"vs "&amp;F2339</f>
        <v>vs Vasilis</v>
      </c>
      <c r="M2338">
        <v>243</v>
      </c>
      <c r="N2338" s="1">
        <v>0.52700000000000002</v>
      </c>
      <c r="O2338">
        <v>56</v>
      </c>
      <c r="P2338" s="1">
        <v>0.378</v>
      </c>
      <c r="Q2338" s="1">
        <v>0.86699999999999999</v>
      </c>
      <c r="R2338">
        <v>666</v>
      </c>
      <c r="S2338">
        <v>62</v>
      </c>
      <c r="T2338">
        <v>127</v>
      </c>
      <c r="U2338">
        <v>137</v>
      </c>
      <c r="V2338">
        <v>31</v>
      </c>
      <c r="W2338">
        <v>27</v>
      </c>
      <c r="X2338">
        <v>65</v>
      </c>
      <c r="Y2338">
        <v>2.11</v>
      </c>
    </row>
    <row r="2339" spans="1:25" x14ac:dyDescent="0.25">
      <c r="A2339">
        <v>2024</v>
      </c>
      <c r="B2339" t="s">
        <v>57</v>
      </c>
      <c r="C2339">
        <v>3</v>
      </c>
      <c r="D2339">
        <v>37</v>
      </c>
      <c r="E2339" t="s">
        <v>33</v>
      </c>
      <c r="F2339" t="s">
        <v>42</v>
      </c>
      <c r="G2339">
        <f t="shared" si="1741"/>
        <v>0</v>
      </c>
      <c r="H2339">
        <v>3</v>
      </c>
      <c r="I2339">
        <v>10</v>
      </c>
      <c r="J2339">
        <v>0</v>
      </c>
      <c r="K2339" s="6" t="str">
        <f t="shared" ref="K2339" si="1760">"vs "&amp;E2338</f>
        <v>vs The Bridgeburners</v>
      </c>
      <c r="L2339" s="6" t="str">
        <f t="shared" ref="L2339" si="1761">"vs "&amp;F2338</f>
        <v>vs Fanis</v>
      </c>
      <c r="M2339">
        <v>196</v>
      </c>
      <c r="N2339" s="1">
        <v>0.48499999999999999</v>
      </c>
      <c r="O2339">
        <v>39</v>
      </c>
      <c r="P2339" s="1">
        <v>0.30499999999999999</v>
      </c>
      <c r="Q2339" s="1">
        <v>0.748</v>
      </c>
      <c r="R2339">
        <v>529</v>
      </c>
      <c r="S2339">
        <v>49</v>
      </c>
      <c r="T2339">
        <v>160</v>
      </c>
      <c r="U2339">
        <v>116</v>
      </c>
      <c r="V2339">
        <v>27</v>
      </c>
      <c r="W2339">
        <v>29</v>
      </c>
      <c r="X2339">
        <v>61</v>
      </c>
      <c r="Y2339">
        <v>1.9</v>
      </c>
    </row>
    <row r="2340" spans="1:25" x14ac:dyDescent="0.25">
      <c r="A2340">
        <v>2024</v>
      </c>
      <c r="B2340" t="s">
        <v>57</v>
      </c>
      <c r="C2340">
        <v>3</v>
      </c>
      <c r="D2340">
        <v>38</v>
      </c>
      <c r="E2340" t="s">
        <v>28</v>
      </c>
      <c r="F2340" t="s">
        <v>46</v>
      </c>
      <c r="G2340">
        <f t="shared" si="1741"/>
        <v>0</v>
      </c>
      <c r="H2340">
        <v>6</v>
      </c>
      <c r="I2340">
        <v>7</v>
      </c>
      <c r="J2340">
        <v>0</v>
      </c>
      <c r="K2340" s="6" t="str">
        <f t="shared" ref="K2340" si="1762">"vs "&amp;E2341</f>
        <v>vs Salonika Devils</v>
      </c>
      <c r="L2340" s="6" t="str">
        <f t="shared" ref="L2340" si="1763">"vs "&amp;F2341</f>
        <v>vs Fountos</v>
      </c>
      <c r="M2340">
        <v>170</v>
      </c>
      <c r="N2340" s="1">
        <v>0.47199999999999998</v>
      </c>
      <c r="O2340">
        <v>52</v>
      </c>
      <c r="P2340" s="1">
        <v>0.33300000000000002</v>
      </c>
      <c r="Q2340" s="1">
        <v>0.76900000000000002</v>
      </c>
      <c r="R2340">
        <v>475</v>
      </c>
      <c r="S2340">
        <v>47</v>
      </c>
      <c r="T2340">
        <v>141</v>
      </c>
      <c r="U2340">
        <v>78</v>
      </c>
      <c r="V2340">
        <v>40</v>
      </c>
      <c r="W2340">
        <v>15</v>
      </c>
      <c r="X2340">
        <v>51</v>
      </c>
      <c r="Y2340">
        <v>1.53</v>
      </c>
    </row>
    <row r="2341" spans="1:25" x14ac:dyDescent="0.25">
      <c r="A2341">
        <v>2024</v>
      </c>
      <c r="B2341" t="s">
        <v>57</v>
      </c>
      <c r="C2341">
        <v>3</v>
      </c>
      <c r="D2341">
        <v>38</v>
      </c>
      <c r="E2341" t="s">
        <v>15</v>
      </c>
      <c r="F2341" t="s">
        <v>48</v>
      </c>
      <c r="G2341">
        <f t="shared" si="1741"/>
        <v>1</v>
      </c>
      <c r="H2341">
        <v>7</v>
      </c>
      <c r="I2341">
        <v>6</v>
      </c>
      <c r="J2341">
        <v>0</v>
      </c>
      <c r="K2341" s="6" t="str">
        <f t="shared" ref="K2341" si="1764">"vs "&amp;E2340</f>
        <v>vs Steven Adams' Moustache</v>
      </c>
      <c r="L2341" s="6" t="str">
        <f t="shared" ref="L2341" si="1765">"vs "&amp;F2340</f>
        <v>vs Johnny</v>
      </c>
      <c r="M2341">
        <v>208</v>
      </c>
      <c r="N2341" s="1">
        <v>0.47299999999999998</v>
      </c>
      <c r="O2341">
        <v>54</v>
      </c>
      <c r="P2341" s="1">
        <v>0.35099999999999998</v>
      </c>
      <c r="Q2341" s="1">
        <v>0.76200000000000001</v>
      </c>
      <c r="R2341">
        <v>547</v>
      </c>
      <c r="S2341">
        <v>41</v>
      </c>
      <c r="T2341">
        <v>108</v>
      </c>
      <c r="U2341">
        <v>108</v>
      </c>
      <c r="V2341">
        <v>22</v>
      </c>
      <c r="W2341">
        <v>14</v>
      </c>
      <c r="X2341">
        <v>65</v>
      </c>
      <c r="Y2341">
        <v>1.66</v>
      </c>
    </row>
    <row r="2342" spans="1:25" x14ac:dyDescent="0.25">
      <c r="A2342">
        <v>2024</v>
      </c>
      <c r="B2342" t="s">
        <v>57</v>
      </c>
      <c r="C2342">
        <v>3</v>
      </c>
      <c r="D2342">
        <v>39</v>
      </c>
      <c r="E2342" t="s">
        <v>26</v>
      </c>
      <c r="F2342" t="s">
        <v>118</v>
      </c>
      <c r="G2342">
        <f t="shared" si="1741"/>
        <v>0</v>
      </c>
      <c r="H2342">
        <v>6</v>
      </c>
      <c r="I2342">
        <v>7</v>
      </c>
      <c r="J2342">
        <v>0</v>
      </c>
      <c r="K2342" s="6" t="str">
        <f t="shared" ref="K2342" si="1766">"vs "&amp;E2343</f>
        <v>vs purple fuzzy apache pirates</v>
      </c>
      <c r="L2342" s="6" t="str">
        <f t="shared" ref="L2342" si="1767">"vs "&amp;F2343</f>
        <v>vs pi/Sotiris</v>
      </c>
      <c r="M2342">
        <v>171</v>
      </c>
      <c r="N2342" s="1">
        <v>0.5</v>
      </c>
      <c r="O2342">
        <v>62</v>
      </c>
      <c r="P2342" s="1">
        <v>0.41299999999999998</v>
      </c>
      <c r="Q2342" s="1">
        <v>0.86</v>
      </c>
      <c r="R2342">
        <v>478</v>
      </c>
      <c r="S2342">
        <v>45</v>
      </c>
      <c r="T2342">
        <v>165</v>
      </c>
      <c r="U2342">
        <v>91</v>
      </c>
      <c r="V2342">
        <v>36</v>
      </c>
      <c r="W2342">
        <v>21</v>
      </c>
      <c r="X2342">
        <v>48</v>
      </c>
      <c r="Y2342">
        <v>1.9</v>
      </c>
    </row>
    <row r="2343" spans="1:25" x14ac:dyDescent="0.25">
      <c r="A2343">
        <v>2024</v>
      </c>
      <c r="B2343" t="s">
        <v>57</v>
      </c>
      <c r="C2343">
        <v>3</v>
      </c>
      <c r="D2343">
        <v>39</v>
      </c>
      <c r="E2343" t="s">
        <v>159</v>
      </c>
      <c r="F2343" t="s">
        <v>116</v>
      </c>
      <c r="G2343">
        <f t="shared" si="1741"/>
        <v>1</v>
      </c>
      <c r="H2343">
        <v>7</v>
      </c>
      <c r="I2343">
        <v>6</v>
      </c>
      <c r="J2343">
        <v>0</v>
      </c>
      <c r="K2343" s="6" t="str">
        <f t="shared" ref="K2343" si="1768">"vs "&amp;E2342</f>
        <v>vs Kourayo Vallecano</v>
      </c>
      <c r="L2343" s="6" t="str">
        <f t="shared" ref="L2343" si="1769">"vs "&amp;F2342</f>
        <v>vs Ziogas/Christof</v>
      </c>
      <c r="M2343">
        <v>234</v>
      </c>
      <c r="N2343" s="1">
        <v>0.505</v>
      </c>
      <c r="O2343">
        <v>41</v>
      </c>
      <c r="P2343" s="1">
        <v>0.32500000000000001</v>
      </c>
      <c r="Q2343" s="1">
        <v>0.748</v>
      </c>
      <c r="R2343">
        <v>622</v>
      </c>
      <c r="S2343">
        <v>54</v>
      </c>
      <c r="T2343">
        <v>199</v>
      </c>
      <c r="U2343">
        <v>156</v>
      </c>
      <c r="V2343">
        <v>34</v>
      </c>
      <c r="W2343">
        <v>27</v>
      </c>
      <c r="X2343">
        <v>83</v>
      </c>
      <c r="Y2343">
        <v>1.88</v>
      </c>
    </row>
    <row r="2344" spans="1:25" x14ac:dyDescent="0.25">
      <c r="A2344">
        <v>2024</v>
      </c>
      <c r="B2344" t="s">
        <v>57</v>
      </c>
      <c r="C2344">
        <v>3</v>
      </c>
      <c r="D2344">
        <v>40</v>
      </c>
      <c r="E2344" t="s">
        <v>186</v>
      </c>
      <c r="F2344" t="s">
        <v>103</v>
      </c>
      <c r="G2344">
        <f t="shared" si="1741"/>
        <v>1</v>
      </c>
      <c r="H2344">
        <v>10</v>
      </c>
      <c r="I2344">
        <v>3</v>
      </c>
      <c r="J2344">
        <v>0</v>
      </c>
      <c r="K2344" s="6" t="str">
        <f t="shared" ref="K2344" si="1770">"vs "&amp;E2345</f>
        <v>vs Paralouistas</v>
      </c>
      <c r="L2344" s="6" t="str">
        <f t="shared" ref="L2344" si="1771">"vs "&amp;F2345</f>
        <v>vs Panos</v>
      </c>
      <c r="M2344">
        <v>244</v>
      </c>
      <c r="N2344" s="1">
        <v>0.499</v>
      </c>
      <c r="O2344">
        <v>74</v>
      </c>
      <c r="P2344" s="1">
        <v>0.42799999999999999</v>
      </c>
      <c r="Q2344" s="1">
        <v>0.81399999999999995</v>
      </c>
      <c r="R2344">
        <v>654</v>
      </c>
      <c r="S2344">
        <v>32</v>
      </c>
      <c r="T2344">
        <v>175</v>
      </c>
      <c r="U2344">
        <v>142</v>
      </c>
      <c r="V2344">
        <v>35</v>
      </c>
      <c r="W2344">
        <v>23</v>
      </c>
      <c r="X2344">
        <v>81</v>
      </c>
      <c r="Y2344">
        <v>1.75</v>
      </c>
    </row>
    <row r="2345" spans="1:25" x14ac:dyDescent="0.25">
      <c r="A2345">
        <v>2024</v>
      </c>
      <c r="B2345" t="s">
        <v>57</v>
      </c>
      <c r="C2345">
        <v>3</v>
      </c>
      <c r="D2345">
        <v>40</v>
      </c>
      <c r="E2345" t="s">
        <v>185</v>
      </c>
      <c r="F2345" t="s">
        <v>100</v>
      </c>
      <c r="G2345">
        <f t="shared" si="1741"/>
        <v>0</v>
      </c>
      <c r="H2345">
        <v>3</v>
      </c>
      <c r="I2345">
        <v>10</v>
      </c>
      <c r="J2345">
        <v>0</v>
      </c>
      <c r="K2345" s="6" t="str">
        <f t="shared" ref="K2345" si="1772">"vs "&amp;E2344</f>
        <v>vs Karafli Saita</v>
      </c>
      <c r="L2345" s="6" t="str">
        <f t="shared" ref="L2345" si="1773">"vs "&amp;F2344</f>
        <v>vs Tassos</v>
      </c>
      <c r="M2345">
        <v>136</v>
      </c>
      <c r="N2345" s="1">
        <v>0.41199999999999998</v>
      </c>
      <c r="O2345">
        <v>38</v>
      </c>
      <c r="P2345" s="1">
        <v>0.30599999999999999</v>
      </c>
      <c r="Q2345" s="1">
        <v>0.91600000000000004</v>
      </c>
      <c r="R2345">
        <v>386</v>
      </c>
      <c r="S2345">
        <v>37</v>
      </c>
      <c r="T2345">
        <v>89</v>
      </c>
      <c r="U2345">
        <v>78</v>
      </c>
      <c r="V2345">
        <v>19</v>
      </c>
      <c r="W2345">
        <v>13</v>
      </c>
      <c r="X2345">
        <v>66</v>
      </c>
      <c r="Y2345">
        <v>1.18</v>
      </c>
    </row>
    <row r="2346" spans="1:25" x14ac:dyDescent="0.25">
      <c r="A2346">
        <v>2024</v>
      </c>
      <c r="B2346" t="s">
        <v>57</v>
      </c>
      <c r="C2346">
        <v>4</v>
      </c>
      <c r="D2346">
        <v>41</v>
      </c>
      <c r="E2346" t="s">
        <v>99</v>
      </c>
      <c r="F2346" t="s">
        <v>45</v>
      </c>
      <c r="G2346">
        <f t="shared" si="1741"/>
        <v>1</v>
      </c>
      <c r="H2346">
        <v>7</v>
      </c>
      <c r="I2346">
        <v>6</v>
      </c>
      <c r="J2346">
        <v>0</v>
      </c>
      <c r="K2346" s="6" t="str">
        <f t="shared" ref="K2346" si="1774">"vs "&amp;E2347</f>
        <v>vs Pachiana NinjaBees</v>
      </c>
      <c r="L2346" s="6" t="str">
        <f t="shared" ref="L2346" si="1775">"vs "&amp;F2347</f>
        <v>vs Spiridaus/Oladipas</v>
      </c>
      <c r="M2346">
        <v>143</v>
      </c>
      <c r="N2346" s="1">
        <v>0.51300000000000001</v>
      </c>
      <c r="O2346">
        <v>37</v>
      </c>
      <c r="P2346" s="1">
        <v>0.39400000000000002</v>
      </c>
      <c r="Q2346" s="1">
        <v>0.76500000000000001</v>
      </c>
      <c r="R2346">
        <v>362</v>
      </c>
      <c r="S2346">
        <v>45</v>
      </c>
      <c r="T2346">
        <v>118</v>
      </c>
      <c r="U2346">
        <v>89</v>
      </c>
      <c r="V2346">
        <v>26</v>
      </c>
      <c r="W2346">
        <v>18</v>
      </c>
      <c r="X2346">
        <v>50</v>
      </c>
      <c r="Y2346">
        <v>1.78</v>
      </c>
    </row>
    <row r="2347" spans="1:25" x14ac:dyDescent="0.25">
      <c r="A2347">
        <v>2024</v>
      </c>
      <c r="B2347" t="s">
        <v>57</v>
      </c>
      <c r="C2347">
        <v>4</v>
      </c>
      <c r="D2347">
        <v>41</v>
      </c>
      <c r="E2347" t="s">
        <v>23</v>
      </c>
      <c r="F2347" t="s">
        <v>120</v>
      </c>
      <c r="G2347">
        <f t="shared" si="1741"/>
        <v>0</v>
      </c>
      <c r="H2347">
        <v>6</v>
      </c>
      <c r="I2347">
        <v>7</v>
      </c>
      <c r="J2347">
        <v>0</v>
      </c>
      <c r="K2347" s="6" t="str">
        <f t="shared" ref="K2347" si="1776">"vs "&amp;E2346</f>
        <v>vs Tsarlatans</v>
      </c>
      <c r="L2347" s="6" t="str">
        <f t="shared" ref="L2347" si="1777">"vs "&amp;F2346</f>
        <v>vs Tzokos</v>
      </c>
      <c r="M2347">
        <v>136</v>
      </c>
      <c r="N2347" s="1">
        <v>0.42599999999999999</v>
      </c>
      <c r="O2347">
        <v>50</v>
      </c>
      <c r="P2347" s="1">
        <v>0.36199999999999999</v>
      </c>
      <c r="Q2347" s="1">
        <v>0.89800000000000002</v>
      </c>
      <c r="R2347">
        <v>366</v>
      </c>
      <c r="S2347">
        <v>34</v>
      </c>
      <c r="T2347">
        <v>117</v>
      </c>
      <c r="U2347">
        <v>115</v>
      </c>
      <c r="V2347">
        <v>31</v>
      </c>
      <c r="W2347">
        <v>19</v>
      </c>
      <c r="X2347">
        <v>67</v>
      </c>
      <c r="Y2347">
        <v>1.72</v>
      </c>
    </row>
    <row r="2348" spans="1:25" x14ac:dyDescent="0.25">
      <c r="A2348">
        <v>2024</v>
      </c>
      <c r="B2348" t="s">
        <v>57</v>
      </c>
      <c r="C2348">
        <v>4</v>
      </c>
      <c r="D2348">
        <v>42</v>
      </c>
      <c r="E2348" t="s">
        <v>96</v>
      </c>
      <c r="F2348" t="s">
        <v>102</v>
      </c>
      <c r="G2348">
        <f t="shared" si="1741"/>
        <v>0</v>
      </c>
      <c r="H2348">
        <v>4</v>
      </c>
      <c r="I2348">
        <v>9</v>
      </c>
      <c r="J2348">
        <v>0</v>
      </c>
      <c r="K2348" s="6" t="str">
        <f t="shared" ref="K2348" si="1778">"vs "&amp;E2349</f>
        <v>vs Samarina Dudenbros</v>
      </c>
      <c r="L2348" s="6" t="str">
        <f t="shared" ref="L2348" si="1779">"vs "&amp;F2349</f>
        <v>vs Sakellariou</v>
      </c>
      <c r="M2348">
        <v>149</v>
      </c>
      <c r="N2348" s="1">
        <v>0.502</v>
      </c>
      <c r="O2348">
        <v>32</v>
      </c>
      <c r="P2348" s="1">
        <v>0.38100000000000001</v>
      </c>
      <c r="Q2348" s="1">
        <v>0.76</v>
      </c>
      <c r="R2348">
        <v>387</v>
      </c>
      <c r="S2348">
        <v>47</v>
      </c>
      <c r="T2348">
        <v>110</v>
      </c>
      <c r="U2348">
        <v>88</v>
      </c>
      <c r="V2348">
        <v>31</v>
      </c>
      <c r="W2348">
        <v>20</v>
      </c>
      <c r="X2348">
        <v>44</v>
      </c>
      <c r="Y2348">
        <v>2</v>
      </c>
    </row>
    <row r="2349" spans="1:25" x14ac:dyDescent="0.25">
      <c r="A2349">
        <v>2024</v>
      </c>
      <c r="B2349" t="s">
        <v>57</v>
      </c>
      <c r="C2349">
        <v>4</v>
      </c>
      <c r="D2349">
        <v>42</v>
      </c>
      <c r="E2349" t="s">
        <v>181</v>
      </c>
      <c r="F2349" t="s">
        <v>49</v>
      </c>
      <c r="G2349">
        <f t="shared" si="1741"/>
        <v>1</v>
      </c>
      <c r="H2349">
        <v>9</v>
      </c>
      <c r="I2349">
        <v>4</v>
      </c>
      <c r="J2349">
        <v>0</v>
      </c>
      <c r="K2349" s="6" t="str">
        <f t="shared" ref="K2349" si="1780">"vs "&amp;E2348</f>
        <v>vs Knights of Ni</v>
      </c>
      <c r="L2349" s="6" t="str">
        <f t="shared" ref="L2349" si="1781">"vs "&amp;F2348</f>
        <v>vs Tolios</v>
      </c>
      <c r="M2349">
        <v>186</v>
      </c>
      <c r="N2349" s="1">
        <v>0.49199999999999999</v>
      </c>
      <c r="O2349">
        <v>52</v>
      </c>
      <c r="P2349" s="1">
        <v>0.38200000000000001</v>
      </c>
      <c r="Q2349" s="1">
        <v>0.83799999999999997</v>
      </c>
      <c r="R2349">
        <v>517</v>
      </c>
      <c r="S2349">
        <v>41</v>
      </c>
      <c r="T2349">
        <v>147</v>
      </c>
      <c r="U2349">
        <v>114</v>
      </c>
      <c r="V2349">
        <v>32</v>
      </c>
      <c r="W2349">
        <v>19</v>
      </c>
      <c r="X2349">
        <v>50</v>
      </c>
      <c r="Y2349">
        <v>2.2799999999999998</v>
      </c>
    </row>
    <row r="2350" spans="1:25" x14ac:dyDescent="0.25">
      <c r="A2350">
        <v>2024</v>
      </c>
      <c r="B2350" t="s">
        <v>57</v>
      </c>
      <c r="C2350">
        <v>4</v>
      </c>
      <c r="D2350">
        <v>43</v>
      </c>
      <c r="E2350" t="s">
        <v>158</v>
      </c>
      <c r="F2350" t="s">
        <v>177</v>
      </c>
      <c r="G2350">
        <f t="shared" si="1741"/>
        <v>1</v>
      </c>
      <c r="H2350">
        <v>10</v>
      </c>
      <c r="I2350">
        <v>3</v>
      </c>
      <c r="J2350">
        <v>0</v>
      </c>
      <c r="K2350" s="6" t="str">
        <f t="shared" ref="K2350" si="1782">"vs "&amp;E2351</f>
        <v>vs st.Helens Eruptions</v>
      </c>
      <c r="L2350" s="6" t="str">
        <f t="shared" ref="L2350" si="1783">"vs "&amp;F2351</f>
        <v>vs Aris</v>
      </c>
      <c r="M2350">
        <v>183</v>
      </c>
      <c r="N2350" s="1">
        <v>0.52300000000000002</v>
      </c>
      <c r="O2350">
        <v>74</v>
      </c>
      <c r="P2350" s="1">
        <v>0.51</v>
      </c>
      <c r="Q2350" s="1">
        <v>0.71299999999999997</v>
      </c>
      <c r="R2350">
        <v>507</v>
      </c>
      <c r="S2350">
        <v>40</v>
      </c>
      <c r="T2350">
        <v>142</v>
      </c>
      <c r="U2350">
        <v>79</v>
      </c>
      <c r="V2350">
        <v>25</v>
      </c>
      <c r="W2350">
        <v>14</v>
      </c>
      <c r="X2350">
        <v>56</v>
      </c>
      <c r="Y2350">
        <v>1.41</v>
      </c>
    </row>
    <row r="2351" spans="1:25" x14ac:dyDescent="0.25">
      <c r="A2351">
        <v>2024</v>
      </c>
      <c r="B2351" t="s">
        <v>57</v>
      </c>
      <c r="C2351">
        <v>4</v>
      </c>
      <c r="D2351">
        <v>43</v>
      </c>
      <c r="E2351" t="s">
        <v>21</v>
      </c>
      <c r="F2351" t="s">
        <v>50</v>
      </c>
      <c r="G2351">
        <f t="shared" si="1741"/>
        <v>0</v>
      </c>
      <c r="H2351">
        <v>3</v>
      </c>
      <c r="I2351">
        <v>10</v>
      </c>
      <c r="J2351">
        <v>0</v>
      </c>
      <c r="K2351" s="6" t="str">
        <f t="shared" ref="K2351" si="1784">"vs "&amp;E2350</f>
        <v>vs LRBP PR3DATORS</v>
      </c>
      <c r="L2351" s="6" t="str">
        <f t="shared" ref="L2351" si="1785">"vs "&amp;F2350</f>
        <v>vs Lafa</v>
      </c>
      <c r="M2351">
        <v>123</v>
      </c>
      <c r="N2351" s="1">
        <v>0.47099999999999997</v>
      </c>
      <c r="O2351">
        <v>24</v>
      </c>
      <c r="P2351" s="1">
        <v>0.29299999999999998</v>
      </c>
      <c r="Q2351" s="1">
        <v>0.68799999999999994</v>
      </c>
      <c r="R2351">
        <v>325</v>
      </c>
      <c r="S2351">
        <v>32</v>
      </c>
      <c r="T2351">
        <v>90</v>
      </c>
      <c r="U2351">
        <v>75</v>
      </c>
      <c r="V2351">
        <v>17</v>
      </c>
      <c r="W2351">
        <v>20</v>
      </c>
      <c r="X2351">
        <v>51</v>
      </c>
      <c r="Y2351">
        <v>1.47</v>
      </c>
    </row>
    <row r="2352" spans="1:25" x14ac:dyDescent="0.25">
      <c r="A2352">
        <v>2024</v>
      </c>
      <c r="B2352" t="s">
        <v>57</v>
      </c>
      <c r="C2352">
        <v>4</v>
      </c>
      <c r="D2352">
        <v>44</v>
      </c>
      <c r="E2352" t="s">
        <v>93</v>
      </c>
      <c r="F2352" t="s">
        <v>189</v>
      </c>
      <c r="G2352">
        <f t="shared" si="1741"/>
        <v>1</v>
      </c>
      <c r="H2352">
        <v>11</v>
      </c>
      <c r="I2352">
        <v>2</v>
      </c>
      <c r="J2352">
        <v>0</v>
      </c>
      <c r="K2352" s="6" t="str">
        <f t="shared" ref="K2352" si="1786">"vs "&amp;E2353</f>
        <v>vs Baltimore Hercules</v>
      </c>
      <c r="L2352" s="6" t="str">
        <f t="shared" ref="L2352" si="1787">"vs "&amp;F2353</f>
        <v>vs Sarantos</v>
      </c>
      <c r="M2352">
        <v>190</v>
      </c>
      <c r="N2352" s="1">
        <v>0.50900000000000001</v>
      </c>
      <c r="O2352">
        <v>85</v>
      </c>
      <c r="P2352" s="1">
        <v>0.48299999999999998</v>
      </c>
      <c r="Q2352" s="1">
        <v>0.80900000000000005</v>
      </c>
      <c r="R2352">
        <v>520</v>
      </c>
      <c r="S2352">
        <v>27</v>
      </c>
      <c r="T2352">
        <v>113</v>
      </c>
      <c r="U2352">
        <v>115</v>
      </c>
      <c r="V2352">
        <v>29</v>
      </c>
      <c r="W2352">
        <v>14</v>
      </c>
      <c r="X2352">
        <v>50</v>
      </c>
      <c r="Y2352">
        <v>2.2999999999999998</v>
      </c>
    </row>
    <row r="2353" spans="1:25" x14ac:dyDescent="0.25">
      <c r="A2353">
        <v>2024</v>
      </c>
      <c r="B2353" t="s">
        <v>57</v>
      </c>
      <c r="C2353">
        <v>4</v>
      </c>
      <c r="D2353">
        <v>44</v>
      </c>
      <c r="E2353" t="s">
        <v>95</v>
      </c>
      <c r="F2353" t="s">
        <v>101</v>
      </c>
      <c r="G2353">
        <f t="shared" si="1741"/>
        <v>0</v>
      </c>
      <c r="H2353">
        <v>2</v>
      </c>
      <c r="I2353">
        <v>11</v>
      </c>
      <c r="J2353">
        <v>0</v>
      </c>
      <c r="K2353" s="6" t="str">
        <f t="shared" ref="K2353" si="1788">"vs "&amp;E2352</f>
        <v>vs Guruuu 🐐🐐🐐</v>
      </c>
      <c r="L2353" s="6" t="str">
        <f t="shared" ref="L2353" si="1789">"vs "&amp;F2352</f>
        <v>vs Guru</v>
      </c>
      <c r="M2353">
        <v>117</v>
      </c>
      <c r="N2353" s="1">
        <v>0.498</v>
      </c>
      <c r="O2353">
        <v>46</v>
      </c>
      <c r="P2353" s="1">
        <v>0.434</v>
      </c>
      <c r="Q2353" s="1">
        <v>0.73099999999999998</v>
      </c>
      <c r="R2353">
        <v>337</v>
      </c>
      <c r="S2353">
        <v>25</v>
      </c>
      <c r="T2353">
        <v>77</v>
      </c>
      <c r="U2353">
        <v>60</v>
      </c>
      <c r="V2353">
        <v>27</v>
      </c>
      <c r="W2353">
        <v>17</v>
      </c>
      <c r="X2353">
        <v>29</v>
      </c>
      <c r="Y2353">
        <v>2.0699999999999998</v>
      </c>
    </row>
    <row r="2354" spans="1:25" x14ac:dyDescent="0.25">
      <c r="A2354">
        <v>2024</v>
      </c>
      <c r="B2354" t="s">
        <v>57</v>
      </c>
      <c r="C2354">
        <v>4</v>
      </c>
      <c r="D2354">
        <v>45</v>
      </c>
      <c r="E2354" t="s">
        <v>94</v>
      </c>
      <c r="F2354" t="s">
        <v>40</v>
      </c>
      <c r="G2354">
        <f t="shared" si="1741"/>
        <v>0</v>
      </c>
      <c r="H2354">
        <v>5</v>
      </c>
      <c r="I2354">
        <v>8</v>
      </c>
      <c r="J2354">
        <v>0</v>
      </c>
      <c r="K2354" s="6" t="str">
        <f t="shared" ref="K2354" si="1790">"vs "&amp;E2355</f>
        <v>vs Xanthi Ducks 🦆</v>
      </c>
      <c r="L2354" s="6" t="str">
        <f t="shared" ref="L2354" si="1791">"vs "&amp;F2355</f>
        <v>vs Kotakis</v>
      </c>
      <c r="M2354">
        <v>184</v>
      </c>
      <c r="N2354" s="1">
        <v>0.47399999999999998</v>
      </c>
      <c r="O2354">
        <v>58</v>
      </c>
      <c r="P2354" s="1">
        <v>0.38700000000000001</v>
      </c>
      <c r="Q2354" s="1">
        <v>0.86399999999999999</v>
      </c>
      <c r="R2354">
        <v>553</v>
      </c>
      <c r="S2354">
        <v>44</v>
      </c>
      <c r="T2354">
        <v>122</v>
      </c>
      <c r="U2354">
        <v>123</v>
      </c>
      <c r="V2354">
        <v>29</v>
      </c>
      <c r="W2354">
        <v>16</v>
      </c>
      <c r="X2354">
        <v>73</v>
      </c>
      <c r="Y2354">
        <v>1.68</v>
      </c>
    </row>
    <row r="2355" spans="1:25" x14ac:dyDescent="0.25">
      <c r="A2355">
        <v>2024</v>
      </c>
      <c r="B2355" t="s">
        <v>57</v>
      </c>
      <c r="C2355">
        <v>4</v>
      </c>
      <c r="D2355">
        <v>45</v>
      </c>
      <c r="E2355" t="s">
        <v>98</v>
      </c>
      <c r="F2355" t="s">
        <v>41</v>
      </c>
      <c r="G2355">
        <f t="shared" si="1741"/>
        <v>1</v>
      </c>
      <c r="H2355">
        <v>8</v>
      </c>
      <c r="I2355">
        <v>5</v>
      </c>
      <c r="J2355">
        <v>0</v>
      </c>
      <c r="K2355" s="6" t="str">
        <f t="shared" ref="K2355" si="1792">"vs "&amp;E2354</f>
        <v>vs Fighting Thaddeus</v>
      </c>
      <c r="L2355" s="6" t="str">
        <f t="shared" ref="L2355" si="1793">"vs "&amp;F2354</f>
        <v>vs Stavros</v>
      </c>
      <c r="M2355">
        <v>188</v>
      </c>
      <c r="N2355" s="1">
        <v>0.53100000000000003</v>
      </c>
      <c r="O2355">
        <v>41</v>
      </c>
      <c r="P2355" s="1">
        <v>0.38</v>
      </c>
      <c r="Q2355" s="1">
        <v>0.753</v>
      </c>
      <c r="R2355">
        <v>487</v>
      </c>
      <c r="S2355">
        <v>46</v>
      </c>
      <c r="T2355">
        <v>155</v>
      </c>
      <c r="U2355">
        <v>116</v>
      </c>
      <c r="V2355">
        <v>36</v>
      </c>
      <c r="W2355">
        <v>34</v>
      </c>
      <c r="X2355">
        <v>57</v>
      </c>
      <c r="Y2355">
        <v>2.04</v>
      </c>
    </row>
    <row r="2356" spans="1:25" x14ac:dyDescent="0.25">
      <c r="A2356">
        <v>2024</v>
      </c>
      <c r="B2356" t="s">
        <v>57</v>
      </c>
      <c r="C2356">
        <v>4</v>
      </c>
      <c r="D2356">
        <v>46</v>
      </c>
      <c r="E2356" t="s">
        <v>154</v>
      </c>
      <c r="F2356" t="s">
        <v>155</v>
      </c>
      <c r="G2356">
        <f t="shared" si="1741"/>
        <v>0</v>
      </c>
      <c r="H2356">
        <v>3</v>
      </c>
      <c r="I2356">
        <v>10</v>
      </c>
      <c r="J2356">
        <v>0</v>
      </c>
      <c r="K2356" s="6" t="str">
        <f t="shared" ref="K2356" si="1794">"vs "&amp;E2357</f>
        <v>vs The Bridgeburners</v>
      </c>
      <c r="L2356" s="6" t="str">
        <f t="shared" ref="L2356" si="1795">"vs "&amp;F2357</f>
        <v>vs Fanis</v>
      </c>
      <c r="M2356">
        <v>89</v>
      </c>
      <c r="N2356" s="1">
        <v>0.54900000000000004</v>
      </c>
      <c r="O2356">
        <v>27</v>
      </c>
      <c r="P2356" s="1">
        <v>0.40300000000000002</v>
      </c>
      <c r="Q2356" s="1">
        <v>0.66700000000000004</v>
      </c>
      <c r="R2356">
        <v>219</v>
      </c>
      <c r="S2356">
        <v>15</v>
      </c>
      <c r="T2356">
        <v>56</v>
      </c>
      <c r="U2356">
        <v>35</v>
      </c>
      <c r="V2356">
        <v>17</v>
      </c>
      <c r="W2356">
        <v>8</v>
      </c>
      <c r="X2356">
        <v>22</v>
      </c>
      <c r="Y2356">
        <v>1.59</v>
      </c>
    </row>
    <row r="2357" spans="1:25" x14ac:dyDescent="0.25">
      <c r="A2357">
        <v>2024</v>
      </c>
      <c r="B2357" t="s">
        <v>57</v>
      </c>
      <c r="C2357">
        <v>4</v>
      </c>
      <c r="D2357">
        <v>46</v>
      </c>
      <c r="E2357" t="s">
        <v>16</v>
      </c>
      <c r="F2357" t="s">
        <v>51</v>
      </c>
      <c r="G2357">
        <f t="shared" si="1741"/>
        <v>1</v>
      </c>
      <c r="H2357">
        <v>10</v>
      </c>
      <c r="I2357">
        <v>3</v>
      </c>
      <c r="J2357">
        <v>0</v>
      </c>
      <c r="K2357" s="6" t="str">
        <f t="shared" ref="K2357" si="1796">"vs "&amp;E2356</f>
        <v>vs The Bad Boys</v>
      </c>
      <c r="L2357" s="6" t="str">
        <f t="shared" ref="L2357" si="1797">"vs "&amp;F2356</f>
        <v>vs Arvanitis</v>
      </c>
      <c r="M2357">
        <v>195</v>
      </c>
      <c r="N2357" s="1">
        <v>0.45</v>
      </c>
      <c r="O2357">
        <v>60</v>
      </c>
      <c r="P2357" s="1">
        <v>0.39200000000000002</v>
      </c>
      <c r="Q2357" s="1">
        <v>0.92300000000000004</v>
      </c>
      <c r="R2357">
        <v>594</v>
      </c>
      <c r="S2357">
        <v>45</v>
      </c>
      <c r="T2357">
        <v>125</v>
      </c>
      <c r="U2357">
        <v>189</v>
      </c>
      <c r="V2357">
        <v>28</v>
      </c>
      <c r="W2357">
        <v>15</v>
      </c>
      <c r="X2357">
        <v>79</v>
      </c>
      <c r="Y2357">
        <v>2.39</v>
      </c>
    </row>
    <row r="2358" spans="1:25" x14ac:dyDescent="0.25">
      <c r="A2358">
        <v>2024</v>
      </c>
      <c r="B2358" t="s">
        <v>57</v>
      </c>
      <c r="C2358">
        <v>4</v>
      </c>
      <c r="D2358">
        <v>47</v>
      </c>
      <c r="E2358" t="s">
        <v>184</v>
      </c>
      <c r="F2358" t="s">
        <v>188</v>
      </c>
      <c r="G2358">
        <f t="shared" si="1741"/>
        <v>0</v>
      </c>
      <c r="H2358">
        <v>3</v>
      </c>
      <c r="I2358">
        <v>10</v>
      </c>
      <c r="J2358">
        <v>0</v>
      </c>
      <c r="K2358" s="6" t="str">
        <f t="shared" ref="K2358" si="1798">"vs "&amp;E2359</f>
        <v>vs Steven Adams' Moustache</v>
      </c>
      <c r="L2358" s="6" t="str">
        <f t="shared" ref="L2358" si="1799">"vs "&amp;F2359</f>
        <v>vs Johnny</v>
      </c>
      <c r="M2358">
        <v>92</v>
      </c>
      <c r="N2358" s="1">
        <v>0.48199999999999998</v>
      </c>
      <c r="O2358">
        <v>42</v>
      </c>
      <c r="P2358" s="1">
        <v>0.50600000000000001</v>
      </c>
      <c r="Q2358" s="1">
        <v>0.74099999999999999</v>
      </c>
      <c r="R2358">
        <v>286</v>
      </c>
      <c r="S2358">
        <v>33</v>
      </c>
      <c r="T2358">
        <v>92</v>
      </c>
      <c r="U2358">
        <v>55</v>
      </c>
      <c r="V2358">
        <v>11</v>
      </c>
      <c r="W2358">
        <v>16</v>
      </c>
      <c r="X2358">
        <v>27</v>
      </c>
      <c r="Y2358">
        <v>2.04</v>
      </c>
    </row>
    <row r="2359" spans="1:25" x14ac:dyDescent="0.25">
      <c r="A2359">
        <v>2024</v>
      </c>
      <c r="B2359" t="s">
        <v>57</v>
      </c>
      <c r="C2359">
        <v>4</v>
      </c>
      <c r="D2359">
        <v>47</v>
      </c>
      <c r="E2359" t="s">
        <v>28</v>
      </c>
      <c r="F2359" t="s">
        <v>46</v>
      </c>
      <c r="G2359">
        <f t="shared" si="1741"/>
        <v>1</v>
      </c>
      <c r="H2359">
        <v>10</v>
      </c>
      <c r="I2359">
        <v>3</v>
      </c>
      <c r="J2359">
        <v>0</v>
      </c>
      <c r="K2359" s="6" t="str">
        <f t="shared" ref="K2359" si="1800">"vs "&amp;E2358</f>
        <v>vs Heraklion Snakes</v>
      </c>
      <c r="L2359" s="6" t="str">
        <f t="shared" ref="L2359" si="1801">"vs "&amp;F2358</f>
        <v>vs Dimitris</v>
      </c>
      <c r="M2359">
        <v>171</v>
      </c>
      <c r="N2359" s="1">
        <v>0.48299999999999998</v>
      </c>
      <c r="O2359">
        <v>52</v>
      </c>
      <c r="P2359" s="1">
        <v>0.38</v>
      </c>
      <c r="Q2359" s="1">
        <v>0.78400000000000003</v>
      </c>
      <c r="R2359">
        <v>463</v>
      </c>
      <c r="S2359">
        <v>62</v>
      </c>
      <c r="T2359">
        <v>132</v>
      </c>
      <c r="U2359">
        <v>112</v>
      </c>
      <c r="V2359">
        <v>40</v>
      </c>
      <c r="W2359">
        <v>28</v>
      </c>
      <c r="X2359">
        <v>57</v>
      </c>
      <c r="Y2359">
        <v>1.96</v>
      </c>
    </row>
    <row r="2360" spans="1:25" x14ac:dyDescent="0.25">
      <c r="A2360">
        <v>2024</v>
      </c>
      <c r="B2360" t="s">
        <v>57</v>
      </c>
      <c r="C2360">
        <v>4</v>
      </c>
      <c r="D2360">
        <v>48</v>
      </c>
      <c r="E2360" t="s">
        <v>33</v>
      </c>
      <c r="F2360" t="s">
        <v>42</v>
      </c>
      <c r="G2360">
        <f t="shared" si="1741"/>
        <v>1</v>
      </c>
      <c r="H2360">
        <v>11</v>
      </c>
      <c r="I2360">
        <v>2</v>
      </c>
      <c r="J2360">
        <v>0</v>
      </c>
      <c r="K2360" s="6" t="str">
        <f t="shared" ref="K2360" si="1802">"vs "&amp;E2361</f>
        <v>vs Kourayo Vallecano</v>
      </c>
      <c r="L2360" s="6" t="str">
        <f t="shared" ref="L2360" si="1803">"vs "&amp;F2361</f>
        <v>vs Ziogas/Christof</v>
      </c>
      <c r="M2360">
        <v>201</v>
      </c>
      <c r="N2360" s="1">
        <v>0.499</v>
      </c>
      <c r="O2360">
        <v>43</v>
      </c>
      <c r="P2360" s="1">
        <v>0.377</v>
      </c>
      <c r="Q2360" s="1">
        <v>0.81799999999999995</v>
      </c>
      <c r="R2360">
        <v>544</v>
      </c>
      <c r="S2360">
        <v>51</v>
      </c>
      <c r="T2360">
        <v>135</v>
      </c>
      <c r="U2360">
        <v>123</v>
      </c>
      <c r="V2360">
        <v>46</v>
      </c>
      <c r="W2360">
        <v>34</v>
      </c>
      <c r="X2360">
        <v>78</v>
      </c>
      <c r="Y2360">
        <v>1.58</v>
      </c>
    </row>
    <row r="2361" spans="1:25" x14ac:dyDescent="0.25">
      <c r="A2361">
        <v>2024</v>
      </c>
      <c r="B2361" t="s">
        <v>57</v>
      </c>
      <c r="C2361">
        <v>4</v>
      </c>
      <c r="D2361">
        <v>48</v>
      </c>
      <c r="E2361" t="s">
        <v>26</v>
      </c>
      <c r="F2361" t="s">
        <v>118</v>
      </c>
      <c r="G2361">
        <f t="shared" si="1741"/>
        <v>0</v>
      </c>
      <c r="H2361">
        <v>2</v>
      </c>
      <c r="I2361">
        <v>11</v>
      </c>
      <c r="J2361">
        <v>0</v>
      </c>
      <c r="K2361" s="6" t="str">
        <f t="shared" ref="K2361" si="1804">"vs "&amp;E2360</f>
        <v>vs The Guns</v>
      </c>
      <c r="L2361" s="6" t="str">
        <f t="shared" ref="L2361" si="1805">"vs "&amp;F2360</f>
        <v>vs Vasilis</v>
      </c>
      <c r="M2361">
        <v>143</v>
      </c>
      <c r="N2361" s="1">
        <v>0.495</v>
      </c>
      <c r="O2361">
        <v>35</v>
      </c>
      <c r="P2361" s="1">
        <v>0.32700000000000001</v>
      </c>
      <c r="Q2361" s="1">
        <v>0.69299999999999995</v>
      </c>
      <c r="R2361">
        <v>382</v>
      </c>
      <c r="S2361">
        <v>42</v>
      </c>
      <c r="T2361">
        <v>128</v>
      </c>
      <c r="U2361">
        <v>87</v>
      </c>
      <c r="V2361">
        <v>21</v>
      </c>
      <c r="W2361">
        <v>21</v>
      </c>
      <c r="X2361">
        <v>49</v>
      </c>
      <c r="Y2361">
        <v>1.78</v>
      </c>
    </row>
    <row r="2362" spans="1:25" x14ac:dyDescent="0.25">
      <c r="A2362">
        <v>2024</v>
      </c>
      <c r="B2362" t="s">
        <v>57</v>
      </c>
      <c r="C2362">
        <v>4</v>
      </c>
      <c r="D2362">
        <v>49</v>
      </c>
      <c r="E2362" t="s">
        <v>15</v>
      </c>
      <c r="F2362" t="s">
        <v>48</v>
      </c>
      <c r="G2362">
        <f t="shared" si="1741"/>
        <v>0</v>
      </c>
      <c r="H2362">
        <v>2</v>
      </c>
      <c r="I2362">
        <v>11</v>
      </c>
      <c r="J2362">
        <v>0</v>
      </c>
      <c r="K2362" s="6" t="str">
        <f t="shared" ref="K2362" si="1806">"vs "&amp;E2363</f>
        <v>vs Karafli Saita</v>
      </c>
      <c r="L2362" s="6" t="str">
        <f t="shared" ref="L2362" si="1807">"vs "&amp;F2363</f>
        <v>vs Tassos</v>
      </c>
      <c r="M2362">
        <v>158</v>
      </c>
      <c r="N2362" s="1">
        <v>0.47299999999999998</v>
      </c>
      <c r="O2362">
        <v>44</v>
      </c>
      <c r="P2362" s="1">
        <v>0.36699999999999999</v>
      </c>
      <c r="Q2362" s="1">
        <v>0.80800000000000005</v>
      </c>
      <c r="R2362">
        <v>423</v>
      </c>
      <c r="S2362">
        <v>31</v>
      </c>
      <c r="T2362">
        <v>95</v>
      </c>
      <c r="U2362">
        <v>105</v>
      </c>
      <c r="V2362">
        <v>19</v>
      </c>
      <c r="W2362">
        <v>4</v>
      </c>
      <c r="X2362">
        <v>47</v>
      </c>
      <c r="Y2362">
        <v>2.23</v>
      </c>
    </row>
    <row r="2363" spans="1:25" x14ac:dyDescent="0.25">
      <c r="A2363">
        <v>2024</v>
      </c>
      <c r="B2363" t="s">
        <v>57</v>
      </c>
      <c r="C2363">
        <v>4</v>
      </c>
      <c r="D2363">
        <v>49</v>
      </c>
      <c r="E2363" t="s">
        <v>186</v>
      </c>
      <c r="F2363" t="s">
        <v>103</v>
      </c>
      <c r="G2363">
        <f t="shared" si="1741"/>
        <v>1</v>
      </c>
      <c r="H2363">
        <v>11</v>
      </c>
      <c r="I2363">
        <v>2</v>
      </c>
      <c r="J2363">
        <v>0</v>
      </c>
      <c r="K2363" s="6" t="str">
        <f t="shared" ref="K2363" si="1808">"vs "&amp;E2362</f>
        <v>vs Salonika Devils</v>
      </c>
      <c r="L2363" s="6" t="str">
        <f t="shared" ref="L2363" si="1809">"vs "&amp;F2362</f>
        <v>vs Fountos</v>
      </c>
      <c r="M2363">
        <v>204</v>
      </c>
      <c r="N2363" s="1">
        <v>0.47799999999999998</v>
      </c>
      <c r="O2363">
        <v>55</v>
      </c>
      <c r="P2363" s="1">
        <v>0.372</v>
      </c>
      <c r="Q2363" s="1">
        <v>0.85199999999999998</v>
      </c>
      <c r="R2363">
        <v>555</v>
      </c>
      <c r="S2363">
        <v>39</v>
      </c>
      <c r="T2363">
        <v>136</v>
      </c>
      <c r="U2363">
        <v>97</v>
      </c>
      <c r="V2363">
        <v>20</v>
      </c>
      <c r="W2363">
        <v>27</v>
      </c>
      <c r="X2363">
        <v>45</v>
      </c>
      <c r="Y2363">
        <v>2.16</v>
      </c>
    </row>
    <row r="2364" spans="1:25" x14ac:dyDescent="0.25">
      <c r="A2364">
        <v>2024</v>
      </c>
      <c r="B2364" t="s">
        <v>57</v>
      </c>
      <c r="C2364">
        <v>4</v>
      </c>
      <c r="D2364">
        <v>50</v>
      </c>
      <c r="E2364" t="s">
        <v>159</v>
      </c>
      <c r="F2364" t="s">
        <v>116</v>
      </c>
      <c r="G2364">
        <f t="shared" si="1741"/>
        <v>1</v>
      </c>
      <c r="H2364">
        <v>8</v>
      </c>
      <c r="I2364">
        <v>5</v>
      </c>
      <c r="J2364">
        <v>0</v>
      </c>
      <c r="K2364" s="6" t="str">
        <f t="shared" ref="K2364" si="1810">"vs "&amp;E2365</f>
        <v>vs Paralouistas</v>
      </c>
      <c r="L2364" s="6" t="str">
        <f t="shared" ref="L2364" si="1811">"vs "&amp;F2365</f>
        <v>vs Panos</v>
      </c>
      <c r="M2364">
        <v>205</v>
      </c>
      <c r="N2364" s="1">
        <v>0.48799999999999999</v>
      </c>
      <c r="O2364">
        <v>48</v>
      </c>
      <c r="P2364" s="1">
        <v>0.34799999999999998</v>
      </c>
      <c r="Q2364" s="1">
        <v>0.754</v>
      </c>
      <c r="R2364">
        <v>556</v>
      </c>
      <c r="S2364">
        <v>31</v>
      </c>
      <c r="T2364">
        <v>178</v>
      </c>
      <c r="U2364">
        <v>153</v>
      </c>
      <c r="V2364">
        <v>41</v>
      </c>
      <c r="W2364">
        <v>13</v>
      </c>
      <c r="X2364">
        <v>70</v>
      </c>
      <c r="Y2364">
        <v>2.19</v>
      </c>
    </row>
    <row r="2365" spans="1:25" x14ac:dyDescent="0.25">
      <c r="A2365">
        <v>2024</v>
      </c>
      <c r="B2365" t="s">
        <v>57</v>
      </c>
      <c r="C2365">
        <v>4</v>
      </c>
      <c r="D2365">
        <v>50</v>
      </c>
      <c r="E2365" t="s">
        <v>185</v>
      </c>
      <c r="F2365" t="s">
        <v>100</v>
      </c>
      <c r="G2365">
        <f t="shared" si="1741"/>
        <v>0</v>
      </c>
      <c r="H2365">
        <v>5</v>
      </c>
      <c r="I2365">
        <v>8</v>
      </c>
      <c r="J2365">
        <v>0</v>
      </c>
      <c r="K2365" s="6" t="str">
        <f t="shared" ref="K2365" si="1812">"vs "&amp;E2364</f>
        <v>vs purple fuzzy apache pirates</v>
      </c>
      <c r="L2365" s="6" t="str">
        <f t="shared" ref="L2365" si="1813">"vs "&amp;F2364</f>
        <v>vs pi/Sotiris</v>
      </c>
      <c r="M2365">
        <v>198</v>
      </c>
      <c r="N2365" s="1">
        <v>0.47099999999999997</v>
      </c>
      <c r="O2365">
        <v>65</v>
      </c>
      <c r="P2365" s="1">
        <v>0.38900000000000001</v>
      </c>
      <c r="Q2365" s="1">
        <v>0.82299999999999995</v>
      </c>
      <c r="R2365">
        <v>526</v>
      </c>
      <c r="S2365">
        <v>35</v>
      </c>
      <c r="T2365">
        <v>128</v>
      </c>
      <c r="U2365">
        <v>95</v>
      </c>
      <c r="V2365">
        <v>21</v>
      </c>
      <c r="W2365">
        <v>7</v>
      </c>
      <c r="X2365">
        <v>48</v>
      </c>
      <c r="Y2365">
        <v>1.98</v>
      </c>
    </row>
    <row r="2366" spans="1:25" x14ac:dyDescent="0.25">
      <c r="A2366">
        <v>2024</v>
      </c>
      <c r="B2366" t="s">
        <v>57</v>
      </c>
      <c r="C2366">
        <v>5</v>
      </c>
      <c r="D2366">
        <v>51</v>
      </c>
      <c r="E2366" t="s">
        <v>181</v>
      </c>
      <c r="F2366" t="s">
        <v>49</v>
      </c>
      <c r="G2366">
        <f t="shared" si="1741"/>
        <v>1</v>
      </c>
      <c r="H2366">
        <v>8</v>
      </c>
      <c r="I2366">
        <v>4</v>
      </c>
      <c r="J2366">
        <v>1</v>
      </c>
      <c r="K2366" s="6" t="str">
        <f t="shared" ref="K2366" si="1814">"vs "&amp;E2367</f>
        <v>vs Tsarlatans</v>
      </c>
      <c r="L2366" s="6" t="str">
        <f t="shared" ref="L2366" si="1815">"vs "&amp;F2367</f>
        <v>vs Tzokos</v>
      </c>
      <c r="M2366">
        <v>177</v>
      </c>
      <c r="N2366" s="1">
        <v>0.45200000000000001</v>
      </c>
      <c r="O2366">
        <v>53</v>
      </c>
      <c r="P2366" s="1">
        <v>0.33800000000000002</v>
      </c>
      <c r="Q2366" s="1">
        <v>0.72</v>
      </c>
      <c r="R2366">
        <v>497</v>
      </c>
      <c r="S2366">
        <v>39</v>
      </c>
      <c r="T2366">
        <v>131</v>
      </c>
      <c r="U2366">
        <v>126</v>
      </c>
      <c r="V2366">
        <v>31</v>
      </c>
      <c r="W2366">
        <v>21</v>
      </c>
      <c r="X2366">
        <v>55</v>
      </c>
      <c r="Y2366">
        <v>2.29</v>
      </c>
    </row>
    <row r="2367" spans="1:25" x14ac:dyDescent="0.25">
      <c r="A2367">
        <v>2024</v>
      </c>
      <c r="B2367" t="s">
        <v>57</v>
      </c>
      <c r="C2367">
        <v>5</v>
      </c>
      <c r="D2367">
        <v>51</v>
      </c>
      <c r="E2367" t="s">
        <v>99</v>
      </c>
      <c r="F2367" t="s">
        <v>45</v>
      </c>
      <c r="G2367">
        <f t="shared" si="1741"/>
        <v>0</v>
      </c>
      <c r="H2367">
        <v>4</v>
      </c>
      <c r="I2367">
        <v>8</v>
      </c>
      <c r="J2367">
        <v>1</v>
      </c>
      <c r="K2367" s="6" t="str">
        <f t="shared" ref="K2367" si="1816">"vs "&amp;E2366</f>
        <v>vs Samarina Dudenbros</v>
      </c>
      <c r="L2367" s="6" t="str">
        <f t="shared" ref="L2367" si="1817">"vs "&amp;F2366</f>
        <v>vs Sakellariou</v>
      </c>
      <c r="M2367">
        <v>162</v>
      </c>
      <c r="N2367" s="1">
        <v>0.48899999999999999</v>
      </c>
      <c r="O2367">
        <v>48</v>
      </c>
      <c r="P2367" s="1">
        <v>0.35599999999999998</v>
      </c>
      <c r="Q2367" s="1">
        <v>0.91700000000000004</v>
      </c>
      <c r="R2367">
        <v>438</v>
      </c>
      <c r="S2367">
        <v>37</v>
      </c>
      <c r="T2367">
        <v>117</v>
      </c>
      <c r="U2367">
        <v>81</v>
      </c>
      <c r="V2367">
        <v>31</v>
      </c>
      <c r="W2367">
        <v>18</v>
      </c>
      <c r="X2367">
        <v>44</v>
      </c>
      <c r="Y2367">
        <v>1.84</v>
      </c>
    </row>
    <row r="2368" spans="1:25" x14ac:dyDescent="0.25">
      <c r="A2368">
        <v>2024</v>
      </c>
      <c r="B2368" t="s">
        <v>57</v>
      </c>
      <c r="C2368">
        <v>5</v>
      </c>
      <c r="D2368">
        <v>52</v>
      </c>
      <c r="E2368" t="s">
        <v>21</v>
      </c>
      <c r="F2368" t="s">
        <v>50</v>
      </c>
      <c r="G2368">
        <f t="shared" si="1741"/>
        <v>0</v>
      </c>
      <c r="H2368">
        <v>4</v>
      </c>
      <c r="I2368">
        <v>8</v>
      </c>
      <c r="J2368">
        <v>1</v>
      </c>
      <c r="K2368" s="6" t="str">
        <f t="shared" ref="K2368" si="1818">"vs "&amp;E2369</f>
        <v>vs Pachiana NinjaBees</v>
      </c>
      <c r="L2368" s="6" t="str">
        <f t="shared" ref="L2368" si="1819">"vs "&amp;F2369</f>
        <v>vs Spiridaus/Oladipas</v>
      </c>
      <c r="M2368">
        <v>176</v>
      </c>
      <c r="N2368" s="1">
        <v>0.52900000000000003</v>
      </c>
      <c r="O2368">
        <v>40</v>
      </c>
      <c r="P2368" s="1">
        <v>0.38500000000000001</v>
      </c>
      <c r="Q2368" s="1">
        <v>0.76800000000000002</v>
      </c>
      <c r="R2368">
        <v>455</v>
      </c>
      <c r="S2368">
        <v>37</v>
      </c>
      <c r="T2368">
        <v>95</v>
      </c>
      <c r="U2368">
        <v>93</v>
      </c>
      <c r="V2368">
        <v>23</v>
      </c>
      <c r="W2368">
        <v>11</v>
      </c>
      <c r="X2368">
        <v>54</v>
      </c>
      <c r="Y2368">
        <v>1.72</v>
      </c>
    </row>
    <row r="2369" spans="1:25" x14ac:dyDescent="0.25">
      <c r="A2369">
        <v>2024</v>
      </c>
      <c r="B2369" t="s">
        <v>57</v>
      </c>
      <c r="C2369">
        <v>5</v>
      </c>
      <c r="D2369">
        <v>52</v>
      </c>
      <c r="E2369" t="s">
        <v>23</v>
      </c>
      <c r="F2369" t="s">
        <v>120</v>
      </c>
      <c r="G2369">
        <f t="shared" si="1741"/>
        <v>1</v>
      </c>
      <c r="H2369">
        <v>8</v>
      </c>
      <c r="I2369">
        <v>4</v>
      </c>
      <c r="J2369">
        <v>1</v>
      </c>
      <c r="K2369" s="6" t="str">
        <f t="shared" ref="K2369" si="1820">"vs "&amp;E2368</f>
        <v>vs st.Helens Eruptions</v>
      </c>
      <c r="L2369" s="6" t="str">
        <f t="shared" ref="L2369" si="1821">"vs "&amp;F2368</f>
        <v>vs Aris</v>
      </c>
      <c r="M2369">
        <v>151</v>
      </c>
      <c r="N2369" s="1">
        <v>0.42499999999999999</v>
      </c>
      <c r="O2369">
        <v>49</v>
      </c>
      <c r="P2369" s="1">
        <v>0.38900000000000001</v>
      </c>
      <c r="Q2369" s="1">
        <v>0.89700000000000002</v>
      </c>
      <c r="R2369">
        <v>455</v>
      </c>
      <c r="S2369">
        <v>35</v>
      </c>
      <c r="T2369">
        <v>111</v>
      </c>
      <c r="U2369">
        <v>133</v>
      </c>
      <c r="V2369">
        <v>37</v>
      </c>
      <c r="W2369">
        <v>24</v>
      </c>
      <c r="X2369">
        <v>61</v>
      </c>
      <c r="Y2369">
        <v>2.1800000000000002</v>
      </c>
    </row>
    <row r="2370" spans="1:25" x14ac:dyDescent="0.25">
      <c r="A2370">
        <v>2024</v>
      </c>
      <c r="B2370" t="s">
        <v>57</v>
      </c>
      <c r="C2370">
        <v>5</v>
      </c>
      <c r="D2370">
        <v>53</v>
      </c>
      <c r="E2370" t="s">
        <v>95</v>
      </c>
      <c r="F2370" t="s">
        <v>101</v>
      </c>
      <c r="G2370">
        <f t="shared" si="1741"/>
        <v>0</v>
      </c>
      <c r="H2370">
        <v>5</v>
      </c>
      <c r="I2370">
        <v>8</v>
      </c>
      <c r="J2370">
        <v>0</v>
      </c>
      <c r="K2370" s="6" t="str">
        <f t="shared" ref="K2370" si="1822">"vs "&amp;E2371</f>
        <v>vs Knights of Ni</v>
      </c>
      <c r="L2370" s="6" t="str">
        <f t="shared" ref="L2370" si="1823">"vs "&amp;F2371</f>
        <v>vs Tolios</v>
      </c>
      <c r="M2370">
        <v>121</v>
      </c>
      <c r="N2370" s="1">
        <v>0.47099999999999997</v>
      </c>
      <c r="O2370">
        <v>37</v>
      </c>
      <c r="P2370" s="1">
        <v>0.36599999999999999</v>
      </c>
      <c r="Q2370" s="1">
        <v>0.8</v>
      </c>
      <c r="R2370">
        <v>331</v>
      </c>
      <c r="S2370">
        <v>35</v>
      </c>
      <c r="T2370">
        <v>77</v>
      </c>
      <c r="U2370">
        <v>72</v>
      </c>
      <c r="V2370">
        <v>26</v>
      </c>
      <c r="W2370">
        <v>17</v>
      </c>
      <c r="X2370">
        <v>42</v>
      </c>
      <c r="Y2370">
        <v>1.71</v>
      </c>
    </row>
    <row r="2371" spans="1:25" x14ac:dyDescent="0.25">
      <c r="A2371">
        <v>2024</v>
      </c>
      <c r="B2371" t="s">
        <v>57</v>
      </c>
      <c r="C2371">
        <v>5</v>
      </c>
      <c r="D2371">
        <v>53</v>
      </c>
      <c r="E2371" t="s">
        <v>96</v>
      </c>
      <c r="F2371" t="s">
        <v>102</v>
      </c>
      <c r="G2371">
        <f t="shared" si="1741"/>
        <v>1</v>
      </c>
      <c r="H2371">
        <v>8</v>
      </c>
      <c r="I2371">
        <v>5</v>
      </c>
      <c r="J2371">
        <v>0</v>
      </c>
      <c r="K2371" s="6" t="str">
        <f t="shared" ref="K2371" si="1824">"vs "&amp;E2370</f>
        <v>vs Baltimore Hercules</v>
      </c>
      <c r="L2371" s="6" t="str">
        <f t="shared" ref="L2371" si="1825">"vs "&amp;F2370</f>
        <v>vs Sarantos</v>
      </c>
      <c r="M2371">
        <v>162</v>
      </c>
      <c r="N2371" s="1">
        <v>0.505</v>
      </c>
      <c r="O2371">
        <v>34</v>
      </c>
      <c r="P2371" s="1">
        <v>0.35399999999999998</v>
      </c>
      <c r="Q2371" s="1">
        <v>0.77100000000000002</v>
      </c>
      <c r="R2371">
        <v>439</v>
      </c>
      <c r="S2371">
        <v>62</v>
      </c>
      <c r="T2371">
        <v>113</v>
      </c>
      <c r="U2371">
        <v>74</v>
      </c>
      <c r="V2371">
        <v>30</v>
      </c>
      <c r="W2371">
        <v>32</v>
      </c>
      <c r="X2371">
        <v>45</v>
      </c>
      <c r="Y2371">
        <v>1.64</v>
      </c>
    </row>
    <row r="2372" spans="1:25" x14ac:dyDescent="0.25">
      <c r="A2372">
        <v>2024</v>
      </c>
      <c r="B2372" t="s">
        <v>57</v>
      </c>
      <c r="C2372">
        <v>5</v>
      </c>
      <c r="D2372">
        <v>54</v>
      </c>
      <c r="E2372" t="s">
        <v>98</v>
      </c>
      <c r="F2372" t="s">
        <v>41</v>
      </c>
      <c r="G2372">
        <f t="shared" si="1741"/>
        <v>1</v>
      </c>
      <c r="H2372">
        <v>11</v>
      </c>
      <c r="I2372">
        <v>2</v>
      </c>
      <c r="J2372">
        <v>0</v>
      </c>
      <c r="K2372" s="6" t="str">
        <f t="shared" ref="K2372" si="1826">"vs "&amp;E2373</f>
        <v>vs LRBP PR3DATORS</v>
      </c>
      <c r="L2372" s="6" t="str">
        <f t="shared" ref="L2372" si="1827">"vs "&amp;F2373</f>
        <v>vs Lafa</v>
      </c>
      <c r="M2372">
        <v>236</v>
      </c>
      <c r="N2372" s="1">
        <v>0.51800000000000002</v>
      </c>
      <c r="O2372">
        <v>58</v>
      </c>
      <c r="P2372" s="1">
        <v>0.372</v>
      </c>
      <c r="Q2372" s="1">
        <v>0.82499999999999996</v>
      </c>
      <c r="R2372">
        <v>629</v>
      </c>
      <c r="S2372">
        <v>56</v>
      </c>
      <c r="T2372">
        <v>189</v>
      </c>
      <c r="U2372">
        <v>130</v>
      </c>
      <c r="V2372">
        <v>34</v>
      </c>
      <c r="W2372">
        <v>31</v>
      </c>
      <c r="X2372">
        <v>51</v>
      </c>
      <c r="Y2372">
        <v>2.5499999999999998</v>
      </c>
    </row>
    <row r="2373" spans="1:25" x14ac:dyDescent="0.25">
      <c r="A2373">
        <v>2024</v>
      </c>
      <c r="B2373" t="s">
        <v>57</v>
      </c>
      <c r="C2373">
        <v>5</v>
      </c>
      <c r="D2373">
        <v>54</v>
      </c>
      <c r="E2373" t="s">
        <v>158</v>
      </c>
      <c r="F2373" t="s">
        <v>177</v>
      </c>
      <c r="G2373">
        <f t="shared" si="1741"/>
        <v>0</v>
      </c>
      <c r="H2373">
        <v>2</v>
      </c>
      <c r="I2373">
        <v>11</v>
      </c>
      <c r="J2373">
        <v>0</v>
      </c>
      <c r="K2373" s="6" t="str">
        <f t="shared" ref="K2373" si="1828">"vs "&amp;E2372</f>
        <v>vs Xanthi Ducks 🦆</v>
      </c>
      <c r="L2373" s="6" t="str">
        <f t="shared" ref="L2373" si="1829">"vs "&amp;F2372</f>
        <v>vs Kotakis</v>
      </c>
      <c r="M2373">
        <v>148</v>
      </c>
      <c r="N2373" s="1">
        <v>0.48199999999999998</v>
      </c>
      <c r="O2373">
        <v>52</v>
      </c>
      <c r="P2373" s="1">
        <v>0.40600000000000003</v>
      </c>
      <c r="Q2373" s="1">
        <v>0.76300000000000001</v>
      </c>
      <c r="R2373">
        <v>406</v>
      </c>
      <c r="S2373">
        <v>27</v>
      </c>
      <c r="T2373">
        <v>120</v>
      </c>
      <c r="U2373">
        <v>71</v>
      </c>
      <c r="V2373">
        <v>21</v>
      </c>
      <c r="W2373">
        <v>21</v>
      </c>
      <c r="X2373">
        <v>42</v>
      </c>
      <c r="Y2373">
        <v>1.69</v>
      </c>
    </row>
    <row r="2374" spans="1:25" x14ac:dyDescent="0.25">
      <c r="A2374">
        <v>2024</v>
      </c>
      <c r="B2374" t="s">
        <v>57</v>
      </c>
      <c r="C2374">
        <v>5</v>
      </c>
      <c r="D2374">
        <v>55</v>
      </c>
      <c r="E2374" t="s">
        <v>16</v>
      </c>
      <c r="F2374" t="s">
        <v>51</v>
      </c>
      <c r="G2374">
        <f t="shared" si="1741"/>
        <v>0</v>
      </c>
      <c r="H2374">
        <v>6</v>
      </c>
      <c r="I2374">
        <v>7</v>
      </c>
      <c r="J2374">
        <v>0</v>
      </c>
      <c r="K2374" s="6" t="str">
        <f t="shared" ref="K2374" si="1830">"vs "&amp;E2375</f>
        <v>vs Guruuu 🐐🐐🐐</v>
      </c>
      <c r="L2374" s="6" t="str">
        <f t="shared" ref="L2374" si="1831">"vs "&amp;F2375</f>
        <v>vs Guru</v>
      </c>
      <c r="M2374">
        <v>198</v>
      </c>
      <c r="N2374" s="1">
        <v>0.45700000000000002</v>
      </c>
      <c r="O2374">
        <v>67</v>
      </c>
      <c r="P2374" s="1">
        <v>0.34499999999999997</v>
      </c>
      <c r="Q2374" s="1">
        <v>0.81699999999999995</v>
      </c>
      <c r="R2374">
        <v>579</v>
      </c>
      <c r="S2374">
        <v>40</v>
      </c>
      <c r="T2374">
        <v>119</v>
      </c>
      <c r="U2374">
        <v>135</v>
      </c>
      <c r="V2374">
        <v>24</v>
      </c>
      <c r="W2374">
        <v>19</v>
      </c>
      <c r="X2374">
        <v>73</v>
      </c>
      <c r="Y2374">
        <v>1.85</v>
      </c>
    </row>
    <row r="2375" spans="1:25" x14ac:dyDescent="0.25">
      <c r="A2375">
        <v>2024</v>
      </c>
      <c r="B2375" t="s">
        <v>57</v>
      </c>
      <c r="C2375">
        <v>5</v>
      </c>
      <c r="D2375">
        <v>55</v>
      </c>
      <c r="E2375" t="s">
        <v>93</v>
      </c>
      <c r="F2375" t="s">
        <v>189</v>
      </c>
      <c r="G2375">
        <f t="shared" si="1741"/>
        <v>1</v>
      </c>
      <c r="H2375">
        <v>7</v>
      </c>
      <c r="I2375">
        <v>6</v>
      </c>
      <c r="J2375">
        <v>0</v>
      </c>
      <c r="K2375" s="6" t="str">
        <f t="shared" ref="K2375" si="1832">"vs "&amp;E2374</f>
        <v>vs The Bridgeburners</v>
      </c>
      <c r="L2375" s="6" t="str">
        <f t="shared" ref="L2375" si="1833">"vs "&amp;F2374</f>
        <v>vs Fanis</v>
      </c>
      <c r="M2375">
        <v>136</v>
      </c>
      <c r="N2375" s="1">
        <v>0.47899999999999998</v>
      </c>
      <c r="O2375">
        <v>53</v>
      </c>
      <c r="P2375" s="1">
        <v>0.42099999999999999</v>
      </c>
      <c r="Q2375" s="1">
        <v>0.84599999999999997</v>
      </c>
      <c r="R2375">
        <v>391</v>
      </c>
      <c r="S2375">
        <v>29</v>
      </c>
      <c r="T2375">
        <v>120</v>
      </c>
      <c r="U2375">
        <v>136</v>
      </c>
      <c r="V2375">
        <v>20</v>
      </c>
      <c r="W2375">
        <v>14</v>
      </c>
      <c r="X2375">
        <v>47</v>
      </c>
      <c r="Y2375">
        <v>2.89</v>
      </c>
    </row>
    <row r="2376" spans="1:25" x14ac:dyDescent="0.25">
      <c r="A2376">
        <v>2024</v>
      </c>
      <c r="B2376" t="s">
        <v>57</v>
      </c>
      <c r="C2376">
        <v>5</v>
      </c>
      <c r="D2376">
        <v>56</v>
      </c>
      <c r="E2376" t="s">
        <v>28</v>
      </c>
      <c r="F2376" t="s">
        <v>46</v>
      </c>
      <c r="G2376">
        <f t="shared" si="1741"/>
        <v>1</v>
      </c>
      <c r="H2376">
        <v>8</v>
      </c>
      <c r="I2376">
        <v>5</v>
      </c>
      <c r="J2376">
        <v>0</v>
      </c>
      <c r="K2376" s="6" t="str">
        <f t="shared" ref="K2376" si="1834">"vs "&amp;E2377</f>
        <v>vs Fighting Thaddeus</v>
      </c>
      <c r="L2376" s="6" t="str">
        <f t="shared" ref="L2376" si="1835">"vs "&amp;F2377</f>
        <v>vs Stavros</v>
      </c>
      <c r="M2376">
        <v>199</v>
      </c>
      <c r="N2376" s="1">
        <v>0.48799999999999999</v>
      </c>
      <c r="O2376">
        <v>62</v>
      </c>
      <c r="P2376" s="1">
        <v>0.38300000000000001</v>
      </c>
      <c r="Q2376" s="1">
        <v>0.81100000000000005</v>
      </c>
      <c r="R2376">
        <v>580</v>
      </c>
      <c r="S2376">
        <v>60</v>
      </c>
      <c r="T2376">
        <v>191</v>
      </c>
      <c r="U2376">
        <v>100</v>
      </c>
      <c r="V2376">
        <v>36</v>
      </c>
      <c r="W2376">
        <v>27</v>
      </c>
      <c r="X2376">
        <v>65</v>
      </c>
      <c r="Y2376">
        <v>1.54</v>
      </c>
    </row>
    <row r="2377" spans="1:25" x14ac:dyDescent="0.25">
      <c r="A2377">
        <v>2024</v>
      </c>
      <c r="B2377" t="s">
        <v>57</v>
      </c>
      <c r="C2377">
        <v>5</v>
      </c>
      <c r="D2377">
        <v>56</v>
      </c>
      <c r="E2377" t="s">
        <v>94</v>
      </c>
      <c r="F2377" t="s">
        <v>40</v>
      </c>
      <c r="G2377">
        <f t="shared" si="1741"/>
        <v>0</v>
      </c>
      <c r="H2377">
        <v>5</v>
      </c>
      <c r="I2377">
        <v>8</v>
      </c>
      <c r="J2377">
        <v>0</v>
      </c>
      <c r="K2377" s="6" t="str">
        <f t="shared" ref="K2377" si="1836">"vs "&amp;E2376</f>
        <v>vs Steven Adams' Moustache</v>
      </c>
      <c r="L2377" s="6" t="str">
        <f t="shared" ref="L2377" si="1837">"vs "&amp;F2376</f>
        <v>vs Johnny</v>
      </c>
      <c r="M2377">
        <v>200</v>
      </c>
      <c r="N2377" s="1">
        <v>0.46500000000000002</v>
      </c>
      <c r="O2377">
        <v>65</v>
      </c>
      <c r="P2377" s="1">
        <v>0.374</v>
      </c>
      <c r="Q2377" s="1">
        <v>0.80300000000000005</v>
      </c>
      <c r="R2377">
        <v>567</v>
      </c>
      <c r="S2377">
        <v>45</v>
      </c>
      <c r="T2377">
        <v>152</v>
      </c>
      <c r="U2377">
        <v>124</v>
      </c>
      <c r="V2377">
        <v>23</v>
      </c>
      <c r="W2377">
        <v>24</v>
      </c>
      <c r="X2377">
        <v>62</v>
      </c>
      <c r="Y2377">
        <v>2</v>
      </c>
    </row>
    <row r="2378" spans="1:25" x14ac:dyDescent="0.25">
      <c r="A2378">
        <v>2024</v>
      </c>
      <c r="B2378" t="s">
        <v>57</v>
      </c>
      <c r="C2378">
        <v>5</v>
      </c>
      <c r="D2378">
        <v>57</v>
      </c>
      <c r="E2378" t="s">
        <v>26</v>
      </c>
      <c r="F2378" t="s">
        <v>118</v>
      </c>
      <c r="G2378">
        <f t="shared" si="1741"/>
        <v>1</v>
      </c>
      <c r="H2378">
        <v>11</v>
      </c>
      <c r="I2378">
        <v>2</v>
      </c>
      <c r="J2378">
        <v>0</v>
      </c>
      <c r="K2378" s="6" t="str">
        <f t="shared" ref="K2378" si="1838">"vs "&amp;E2379</f>
        <v>vs The Bad Boys</v>
      </c>
      <c r="L2378" s="6" t="str">
        <f t="shared" ref="L2378" si="1839">"vs "&amp;F2379</f>
        <v>vs Arvanitis</v>
      </c>
      <c r="M2378">
        <v>151</v>
      </c>
      <c r="N2378" s="1">
        <v>0.48899999999999999</v>
      </c>
      <c r="O2378">
        <v>41</v>
      </c>
      <c r="P2378" s="1">
        <v>0.34699999999999998</v>
      </c>
      <c r="Q2378" s="1">
        <v>0.79700000000000004</v>
      </c>
      <c r="R2378">
        <v>402</v>
      </c>
      <c r="S2378">
        <v>34</v>
      </c>
      <c r="T2378">
        <v>127</v>
      </c>
      <c r="U2378">
        <v>64</v>
      </c>
      <c r="V2378">
        <v>30</v>
      </c>
      <c r="W2378">
        <v>11</v>
      </c>
      <c r="X2378">
        <v>46</v>
      </c>
      <c r="Y2378">
        <v>1.39</v>
      </c>
    </row>
    <row r="2379" spans="1:25" x14ac:dyDescent="0.25">
      <c r="A2379">
        <v>2024</v>
      </c>
      <c r="B2379" t="s">
        <v>57</v>
      </c>
      <c r="C2379">
        <v>5</v>
      </c>
      <c r="D2379">
        <v>57</v>
      </c>
      <c r="E2379" t="s">
        <v>154</v>
      </c>
      <c r="F2379" t="s">
        <v>155</v>
      </c>
      <c r="G2379">
        <f t="shared" si="1741"/>
        <v>0</v>
      </c>
      <c r="H2379">
        <v>2</v>
      </c>
      <c r="I2379">
        <v>11</v>
      </c>
      <c r="J2379">
        <v>0</v>
      </c>
      <c r="K2379" s="6" t="str">
        <f t="shared" ref="K2379" si="1840">"vs "&amp;E2378</f>
        <v>vs Kourayo Vallecano</v>
      </c>
      <c r="L2379" s="6" t="str">
        <f t="shared" ref="L2379" si="1841">"vs "&amp;F2378</f>
        <v>vs Ziogas/Christof</v>
      </c>
      <c r="M2379">
        <v>67</v>
      </c>
      <c r="N2379" s="1">
        <v>0.40600000000000003</v>
      </c>
      <c r="O2379">
        <v>23</v>
      </c>
      <c r="P2379" s="1">
        <v>0.434</v>
      </c>
      <c r="Q2379" s="1">
        <v>0.76</v>
      </c>
      <c r="R2379">
        <v>195</v>
      </c>
      <c r="S2379">
        <v>30</v>
      </c>
      <c r="T2379">
        <v>87</v>
      </c>
      <c r="U2379">
        <v>39</v>
      </c>
      <c r="V2379">
        <v>10</v>
      </c>
      <c r="W2379">
        <v>9</v>
      </c>
      <c r="X2379">
        <v>31</v>
      </c>
      <c r="Y2379">
        <v>1.26</v>
      </c>
    </row>
    <row r="2380" spans="1:25" x14ac:dyDescent="0.25">
      <c r="A2380">
        <v>2024</v>
      </c>
      <c r="B2380" t="s">
        <v>57</v>
      </c>
      <c r="C2380">
        <v>5</v>
      </c>
      <c r="D2380">
        <v>58</v>
      </c>
      <c r="E2380" t="s">
        <v>186</v>
      </c>
      <c r="F2380" t="s">
        <v>103</v>
      </c>
      <c r="G2380">
        <f t="shared" si="1741"/>
        <v>1</v>
      </c>
      <c r="H2380">
        <v>10</v>
      </c>
      <c r="I2380">
        <v>3</v>
      </c>
      <c r="J2380">
        <v>0</v>
      </c>
      <c r="K2380" s="6" t="str">
        <f t="shared" ref="K2380" si="1842">"vs "&amp;E2381</f>
        <v>vs Heraklion Snakes</v>
      </c>
      <c r="L2380" s="6" t="str">
        <f t="shared" ref="L2380" si="1843">"vs "&amp;F2381</f>
        <v>vs Dimitris</v>
      </c>
      <c r="M2380">
        <v>220</v>
      </c>
      <c r="N2380" s="1">
        <v>0.46200000000000002</v>
      </c>
      <c r="O2380">
        <v>60</v>
      </c>
      <c r="P2380" s="1">
        <v>0.40500000000000003</v>
      </c>
      <c r="Q2380" s="1">
        <v>0.79800000000000004</v>
      </c>
      <c r="R2380">
        <v>599</v>
      </c>
      <c r="S2380">
        <v>47</v>
      </c>
      <c r="T2380">
        <v>164</v>
      </c>
      <c r="U2380">
        <v>135</v>
      </c>
      <c r="V2380">
        <v>33</v>
      </c>
      <c r="W2380">
        <v>22</v>
      </c>
      <c r="X2380">
        <v>75</v>
      </c>
      <c r="Y2380">
        <v>1.8</v>
      </c>
    </row>
    <row r="2381" spans="1:25" x14ac:dyDescent="0.25">
      <c r="A2381">
        <v>2024</v>
      </c>
      <c r="B2381" t="s">
        <v>57</v>
      </c>
      <c r="C2381">
        <v>5</v>
      </c>
      <c r="D2381">
        <v>58</v>
      </c>
      <c r="E2381" t="s">
        <v>184</v>
      </c>
      <c r="F2381" t="s">
        <v>188</v>
      </c>
      <c r="G2381">
        <f t="shared" si="1741"/>
        <v>0</v>
      </c>
      <c r="H2381">
        <v>3</v>
      </c>
      <c r="I2381">
        <v>10</v>
      </c>
      <c r="J2381">
        <v>0</v>
      </c>
      <c r="K2381" s="6" t="str">
        <f t="shared" ref="K2381" si="1844">"vs "&amp;E2380</f>
        <v>vs Karafli Saita</v>
      </c>
      <c r="L2381" s="6" t="str">
        <f t="shared" ref="L2381" si="1845">"vs "&amp;F2380</f>
        <v>vs Tassos</v>
      </c>
      <c r="M2381">
        <v>114</v>
      </c>
      <c r="N2381" s="1">
        <v>0.49399999999999999</v>
      </c>
      <c r="O2381">
        <v>28</v>
      </c>
      <c r="P2381" s="1">
        <v>0.32600000000000001</v>
      </c>
      <c r="Q2381" s="1">
        <v>0.78300000000000003</v>
      </c>
      <c r="R2381">
        <v>328</v>
      </c>
      <c r="S2381">
        <v>41</v>
      </c>
      <c r="T2381">
        <v>108</v>
      </c>
      <c r="U2381">
        <v>78</v>
      </c>
      <c r="V2381">
        <v>16</v>
      </c>
      <c r="W2381">
        <v>15</v>
      </c>
      <c r="X2381">
        <v>33</v>
      </c>
      <c r="Y2381">
        <v>2.36</v>
      </c>
    </row>
    <row r="2382" spans="1:25" x14ac:dyDescent="0.25">
      <c r="A2382">
        <v>2024</v>
      </c>
      <c r="B2382" t="s">
        <v>57</v>
      </c>
      <c r="C2382">
        <v>5</v>
      </c>
      <c r="D2382">
        <v>59</v>
      </c>
      <c r="E2382" t="s">
        <v>185</v>
      </c>
      <c r="F2382" t="s">
        <v>100</v>
      </c>
      <c r="G2382">
        <f t="shared" si="1741"/>
        <v>0</v>
      </c>
      <c r="H2382">
        <v>1</v>
      </c>
      <c r="I2382">
        <v>12</v>
      </c>
      <c r="J2382">
        <v>0</v>
      </c>
      <c r="K2382" s="6" t="str">
        <f t="shared" ref="K2382" si="1846">"vs "&amp;E2383</f>
        <v>vs The Guns</v>
      </c>
      <c r="L2382" s="6" t="str">
        <f t="shared" ref="L2382" si="1847">"vs "&amp;F2383</f>
        <v>vs Vasilis</v>
      </c>
      <c r="M2382">
        <v>105</v>
      </c>
      <c r="N2382" s="1">
        <v>0.45500000000000002</v>
      </c>
      <c r="O2382">
        <v>30</v>
      </c>
      <c r="P2382" s="1">
        <v>0.34499999999999997</v>
      </c>
      <c r="Q2382" s="1">
        <v>0.8</v>
      </c>
      <c r="R2382">
        <v>288</v>
      </c>
      <c r="S2382">
        <v>13</v>
      </c>
      <c r="T2382">
        <v>69</v>
      </c>
      <c r="U2382">
        <v>62</v>
      </c>
      <c r="V2382">
        <v>19</v>
      </c>
      <c r="W2382">
        <v>12</v>
      </c>
      <c r="X2382">
        <v>35</v>
      </c>
      <c r="Y2382">
        <v>1.77</v>
      </c>
    </row>
    <row r="2383" spans="1:25" x14ac:dyDescent="0.25">
      <c r="A2383">
        <v>2024</v>
      </c>
      <c r="B2383" t="s">
        <v>57</v>
      </c>
      <c r="C2383">
        <v>5</v>
      </c>
      <c r="D2383">
        <v>59</v>
      </c>
      <c r="E2383" t="s">
        <v>33</v>
      </c>
      <c r="F2383" t="s">
        <v>42</v>
      </c>
      <c r="G2383">
        <f t="shared" si="1741"/>
        <v>1</v>
      </c>
      <c r="H2383">
        <v>12</v>
      </c>
      <c r="I2383">
        <v>1</v>
      </c>
      <c r="J2383">
        <v>0</v>
      </c>
      <c r="K2383" s="6" t="str">
        <f t="shared" ref="K2383" si="1848">"vs "&amp;E2382</f>
        <v>vs Paralouistas</v>
      </c>
      <c r="L2383" s="6" t="str">
        <f t="shared" ref="L2383" si="1849">"vs "&amp;F2382</f>
        <v>vs Panos</v>
      </c>
      <c r="M2383">
        <v>205</v>
      </c>
      <c r="N2383" s="1">
        <v>0.501</v>
      </c>
      <c r="O2383">
        <v>44</v>
      </c>
      <c r="P2383" s="1">
        <v>0.35499999999999998</v>
      </c>
      <c r="Q2383" s="1">
        <v>0.82599999999999996</v>
      </c>
      <c r="R2383">
        <v>582</v>
      </c>
      <c r="S2383">
        <v>63</v>
      </c>
      <c r="T2383">
        <v>149</v>
      </c>
      <c r="U2383">
        <v>121</v>
      </c>
      <c r="V2383">
        <v>31</v>
      </c>
      <c r="W2383">
        <v>38</v>
      </c>
      <c r="X2383">
        <v>54</v>
      </c>
      <c r="Y2383">
        <v>2.2400000000000002</v>
      </c>
    </row>
    <row r="2384" spans="1:25" x14ac:dyDescent="0.25">
      <c r="A2384">
        <v>2024</v>
      </c>
      <c r="B2384" t="s">
        <v>57</v>
      </c>
      <c r="C2384">
        <v>5</v>
      </c>
      <c r="D2384">
        <v>60</v>
      </c>
      <c r="E2384" t="s">
        <v>159</v>
      </c>
      <c r="F2384" t="s">
        <v>116</v>
      </c>
      <c r="G2384">
        <f t="shared" si="1741"/>
        <v>0</v>
      </c>
      <c r="H2384">
        <v>5</v>
      </c>
      <c r="I2384">
        <v>7</v>
      </c>
      <c r="J2384">
        <v>1</v>
      </c>
      <c r="K2384" s="6" t="str">
        <f t="shared" ref="K2384" si="1850">"vs "&amp;E2385</f>
        <v>vs Salonika Devils</v>
      </c>
      <c r="L2384" s="6" t="str">
        <f t="shared" ref="L2384" si="1851">"vs "&amp;F2385</f>
        <v>vs Fountos</v>
      </c>
      <c r="M2384">
        <v>209</v>
      </c>
      <c r="N2384" s="1">
        <v>0.48499999999999999</v>
      </c>
      <c r="O2384">
        <v>35</v>
      </c>
      <c r="P2384" s="1">
        <v>0.32100000000000001</v>
      </c>
      <c r="Q2384" s="1">
        <v>0.73499999999999999</v>
      </c>
      <c r="R2384">
        <v>550</v>
      </c>
      <c r="S2384">
        <v>63</v>
      </c>
      <c r="T2384">
        <v>143</v>
      </c>
      <c r="U2384">
        <v>147</v>
      </c>
      <c r="V2384">
        <v>47</v>
      </c>
      <c r="W2384">
        <v>12</v>
      </c>
      <c r="X2384">
        <v>63</v>
      </c>
      <c r="Y2384">
        <v>2.33</v>
      </c>
    </row>
    <row r="2385" spans="1:25" x14ac:dyDescent="0.25">
      <c r="A2385">
        <v>2024</v>
      </c>
      <c r="B2385" t="s">
        <v>57</v>
      </c>
      <c r="C2385">
        <v>5</v>
      </c>
      <c r="D2385">
        <v>60</v>
      </c>
      <c r="E2385" t="s">
        <v>15</v>
      </c>
      <c r="F2385" t="s">
        <v>48</v>
      </c>
      <c r="G2385">
        <f t="shared" si="1741"/>
        <v>1</v>
      </c>
      <c r="H2385">
        <v>7</v>
      </c>
      <c r="I2385">
        <v>5</v>
      </c>
      <c r="J2385">
        <v>1</v>
      </c>
      <c r="K2385" s="6" t="str">
        <f t="shared" ref="K2385" si="1852">"vs "&amp;E2384</f>
        <v>vs purple fuzzy apache pirates</v>
      </c>
      <c r="L2385" s="6" t="str">
        <f t="shared" ref="L2385" si="1853">"vs "&amp;F2384</f>
        <v>vs pi/Sotiris</v>
      </c>
      <c r="M2385">
        <v>210</v>
      </c>
      <c r="N2385" s="1">
        <v>0.45600000000000002</v>
      </c>
      <c r="O2385">
        <v>70</v>
      </c>
      <c r="P2385" s="1">
        <v>0.38900000000000001</v>
      </c>
      <c r="Q2385" s="1">
        <v>0.86199999999999999</v>
      </c>
      <c r="R2385">
        <v>571</v>
      </c>
      <c r="S2385">
        <v>29</v>
      </c>
      <c r="T2385">
        <v>120</v>
      </c>
      <c r="U2385">
        <v>140</v>
      </c>
      <c r="V2385">
        <v>29</v>
      </c>
      <c r="W2385">
        <v>12</v>
      </c>
      <c r="X2385">
        <v>58</v>
      </c>
      <c r="Y2385">
        <v>2.41</v>
      </c>
    </row>
    <row r="2386" spans="1:25" x14ac:dyDescent="0.25">
      <c r="A2386">
        <v>2024</v>
      </c>
      <c r="B2386" t="s">
        <v>57</v>
      </c>
      <c r="C2386">
        <v>6</v>
      </c>
      <c r="D2386">
        <v>61</v>
      </c>
      <c r="E2386" t="s">
        <v>99</v>
      </c>
      <c r="F2386" t="s">
        <v>45</v>
      </c>
      <c r="G2386">
        <f t="shared" si="1741"/>
        <v>1</v>
      </c>
      <c r="H2386">
        <v>8</v>
      </c>
      <c r="I2386">
        <v>5</v>
      </c>
      <c r="J2386">
        <v>0</v>
      </c>
      <c r="K2386" s="6" t="str">
        <f t="shared" ref="K2386" si="1854">"vs "&amp;E2387</f>
        <v>vs st.Helens Eruptions</v>
      </c>
      <c r="L2386" s="6" t="str">
        <f t="shared" ref="L2386" si="1855">"vs "&amp;F2387</f>
        <v>vs Aris</v>
      </c>
      <c r="M2386">
        <v>153</v>
      </c>
      <c r="N2386" s="1">
        <v>0.51</v>
      </c>
      <c r="O2386">
        <v>51</v>
      </c>
      <c r="P2386" s="1">
        <v>0.44</v>
      </c>
      <c r="Q2386" s="1">
        <v>0.80600000000000005</v>
      </c>
      <c r="R2386">
        <v>432</v>
      </c>
      <c r="S2386">
        <v>35</v>
      </c>
      <c r="T2386">
        <v>135</v>
      </c>
      <c r="U2386">
        <v>83</v>
      </c>
      <c r="V2386">
        <v>17</v>
      </c>
      <c r="W2386">
        <v>27</v>
      </c>
      <c r="X2386">
        <v>38</v>
      </c>
      <c r="Y2386">
        <v>2.1800000000000002</v>
      </c>
    </row>
    <row r="2387" spans="1:25" x14ac:dyDescent="0.25">
      <c r="A2387">
        <v>2024</v>
      </c>
      <c r="B2387" t="s">
        <v>57</v>
      </c>
      <c r="C2387">
        <v>6</v>
      </c>
      <c r="D2387">
        <v>61</v>
      </c>
      <c r="E2387" t="s">
        <v>21</v>
      </c>
      <c r="F2387" t="s">
        <v>50</v>
      </c>
      <c r="G2387">
        <f t="shared" si="1741"/>
        <v>0</v>
      </c>
      <c r="H2387">
        <v>5</v>
      </c>
      <c r="I2387">
        <v>8</v>
      </c>
      <c r="J2387">
        <v>0</v>
      </c>
      <c r="K2387" s="6" t="str">
        <f t="shared" ref="K2387" si="1856">"vs "&amp;E2386</f>
        <v>vs Tsarlatans</v>
      </c>
      <c r="L2387" s="6" t="str">
        <f t="shared" ref="L2387" si="1857">"vs "&amp;F2386</f>
        <v>vs Tzokos</v>
      </c>
      <c r="M2387">
        <v>159</v>
      </c>
      <c r="N2387" s="1">
        <v>0.498</v>
      </c>
      <c r="O2387">
        <v>37</v>
      </c>
      <c r="P2387" s="1">
        <v>0.36599999999999999</v>
      </c>
      <c r="Q2387" s="1">
        <v>0.77200000000000002</v>
      </c>
      <c r="R2387">
        <v>453</v>
      </c>
      <c r="S2387">
        <v>41</v>
      </c>
      <c r="T2387">
        <v>123</v>
      </c>
      <c r="U2387">
        <v>111</v>
      </c>
      <c r="V2387">
        <v>21</v>
      </c>
      <c r="W2387">
        <v>11</v>
      </c>
      <c r="X2387">
        <v>57</v>
      </c>
      <c r="Y2387">
        <v>1.95</v>
      </c>
    </row>
    <row r="2388" spans="1:25" x14ac:dyDescent="0.25">
      <c r="A2388">
        <v>2024</v>
      </c>
      <c r="B2388" t="s">
        <v>57</v>
      </c>
      <c r="C2388">
        <v>6</v>
      </c>
      <c r="D2388">
        <v>62</v>
      </c>
      <c r="E2388" t="s">
        <v>181</v>
      </c>
      <c r="F2388" t="s">
        <v>49</v>
      </c>
      <c r="G2388">
        <f t="shared" si="1741"/>
        <v>1</v>
      </c>
      <c r="H2388">
        <v>7</v>
      </c>
      <c r="I2388">
        <v>6</v>
      </c>
      <c r="J2388">
        <v>0</v>
      </c>
      <c r="K2388" s="6" t="str">
        <f t="shared" ref="K2388" si="1858">"vs "&amp;E2389</f>
        <v>vs Baltimore Hercules</v>
      </c>
      <c r="L2388" s="6" t="str">
        <f t="shared" ref="L2388" si="1859">"vs "&amp;F2389</f>
        <v>vs Sarantos</v>
      </c>
      <c r="M2388">
        <v>158</v>
      </c>
      <c r="N2388" s="1">
        <v>0.46200000000000002</v>
      </c>
      <c r="O2388">
        <v>51</v>
      </c>
      <c r="P2388" s="1">
        <v>0.372</v>
      </c>
      <c r="Q2388" s="1">
        <v>0.82099999999999995</v>
      </c>
      <c r="R2388">
        <v>445</v>
      </c>
      <c r="S2388">
        <v>26</v>
      </c>
      <c r="T2388">
        <v>106</v>
      </c>
      <c r="U2388">
        <v>115</v>
      </c>
      <c r="V2388">
        <v>25</v>
      </c>
      <c r="W2388">
        <v>10</v>
      </c>
      <c r="X2388">
        <v>57</v>
      </c>
      <c r="Y2388">
        <v>2.02</v>
      </c>
    </row>
    <row r="2389" spans="1:25" x14ac:dyDescent="0.25">
      <c r="A2389">
        <v>2024</v>
      </c>
      <c r="B2389" t="s">
        <v>57</v>
      </c>
      <c r="C2389">
        <v>6</v>
      </c>
      <c r="D2389">
        <v>62</v>
      </c>
      <c r="E2389" t="s">
        <v>95</v>
      </c>
      <c r="F2389" t="s">
        <v>101</v>
      </c>
      <c r="G2389">
        <f t="shared" si="1741"/>
        <v>0</v>
      </c>
      <c r="H2389">
        <v>6</v>
      </c>
      <c r="I2389">
        <v>7</v>
      </c>
      <c r="J2389">
        <v>0</v>
      </c>
      <c r="K2389" s="6" t="str">
        <f t="shared" ref="K2389" si="1860">"vs "&amp;E2388</f>
        <v>vs Samarina Dudenbros</v>
      </c>
      <c r="L2389" s="6" t="str">
        <f t="shared" ref="L2389" si="1861">"vs "&amp;F2388</f>
        <v>vs Sakellariou</v>
      </c>
      <c r="M2389">
        <v>107</v>
      </c>
      <c r="N2389" s="1">
        <v>0.46899999999999997</v>
      </c>
      <c r="O2389">
        <v>29</v>
      </c>
      <c r="P2389" s="1">
        <v>0.35799999999999998</v>
      </c>
      <c r="Q2389" s="1">
        <v>0.66100000000000003</v>
      </c>
      <c r="R2389">
        <v>284</v>
      </c>
      <c r="S2389">
        <v>44</v>
      </c>
      <c r="T2389">
        <v>72</v>
      </c>
      <c r="U2389">
        <v>61</v>
      </c>
      <c r="V2389">
        <v>27</v>
      </c>
      <c r="W2389">
        <v>18</v>
      </c>
      <c r="X2389">
        <v>25</v>
      </c>
      <c r="Y2389">
        <v>2.44</v>
      </c>
    </row>
    <row r="2390" spans="1:25" x14ac:dyDescent="0.25">
      <c r="A2390">
        <v>2024</v>
      </c>
      <c r="B2390" t="s">
        <v>57</v>
      </c>
      <c r="C2390">
        <v>6</v>
      </c>
      <c r="D2390">
        <v>63</v>
      </c>
      <c r="E2390" t="s">
        <v>23</v>
      </c>
      <c r="F2390" t="s">
        <v>120</v>
      </c>
      <c r="G2390">
        <f t="shared" si="1741"/>
        <v>0</v>
      </c>
      <c r="H2390">
        <v>4</v>
      </c>
      <c r="I2390">
        <v>9</v>
      </c>
      <c r="J2390">
        <v>0</v>
      </c>
      <c r="K2390" s="6" t="str">
        <f t="shared" ref="K2390" si="1862">"vs "&amp;E2391</f>
        <v>vs Xanthi Ducks 🦆</v>
      </c>
      <c r="L2390" s="6" t="str">
        <f t="shared" ref="L2390" si="1863">"vs "&amp;F2391</f>
        <v>vs Kotakis</v>
      </c>
      <c r="M2390">
        <v>150</v>
      </c>
      <c r="N2390" s="1">
        <v>0.44</v>
      </c>
      <c r="O2390">
        <v>48</v>
      </c>
      <c r="P2390" s="1">
        <v>0.38100000000000001</v>
      </c>
      <c r="Q2390" s="1">
        <v>0.83599999999999997</v>
      </c>
      <c r="R2390">
        <v>404</v>
      </c>
      <c r="S2390">
        <v>22</v>
      </c>
      <c r="T2390">
        <v>86</v>
      </c>
      <c r="U2390">
        <v>122</v>
      </c>
      <c r="V2390">
        <v>29</v>
      </c>
      <c r="W2390">
        <v>23</v>
      </c>
      <c r="X2390">
        <v>48</v>
      </c>
      <c r="Y2390">
        <v>2.54</v>
      </c>
    </row>
    <row r="2391" spans="1:25" x14ac:dyDescent="0.25">
      <c r="A2391">
        <v>2024</v>
      </c>
      <c r="B2391" t="s">
        <v>57</v>
      </c>
      <c r="C2391">
        <v>6</v>
      </c>
      <c r="D2391">
        <v>63</v>
      </c>
      <c r="E2391" t="s">
        <v>98</v>
      </c>
      <c r="F2391" t="s">
        <v>41</v>
      </c>
      <c r="G2391">
        <f t="shared" si="1741"/>
        <v>1</v>
      </c>
      <c r="H2391">
        <v>9</v>
      </c>
      <c r="I2391">
        <v>4</v>
      </c>
      <c r="J2391">
        <v>0</v>
      </c>
      <c r="K2391" s="6" t="str">
        <f t="shared" ref="K2391" si="1864">"vs "&amp;E2390</f>
        <v>vs Pachiana NinjaBees</v>
      </c>
      <c r="L2391" s="6" t="str">
        <f t="shared" ref="L2391" si="1865">"vs "&amp;F2390</f>
        <v>vs Spiridaus/Oladipas</v>
      </c>
      <c r="M2391">
        <v>195</v>
      </c>
      <c r="N2391" s="1">
        <v>0.46899999999999997</v>
      </c>
      <c r="O2391">
        <v>56</v>
      </c>
      <c r="P2391" s="1">
        <v>0.39200000000000002</v>
      </c>
      <c r="Q2391" s="1">
        <v>0.83199999999999996</v>
      </c>
      <c r="R2391">
        <v>530</v>
      </c>
      <c r="S2391">
        <v>30</v>
      </c>
      <c r="T2391">
        <v>165</v>
      </c>
      <c r="U2391">
        <v>134</v>
      </c>
      <c r="V2391">
        <v>19</v>
      </c>
      <c r="W2391">
        <v>26</v>
      </c>
      <c r="X2391">
        <v>57</v>
      </c>
      <c r="Y2391">
        <v>2.35</v>
      </c>
    </row>
    <row r="2392" spans="1:25" x14ac:dyDescent="0.25">
      <c r="A2392">
        <v>2024</v>
      </c>
      <c r="B2392" t="s">
        <v>57</v>
      </c>
      <c r="C2392">
        <v>6</v>
      </c>
      <c r="D2392">
        <v>64</v>
      </c>
      <c r="E2392" t="s">
        <v>96</v>
      </c>
      <c r="F2392" t="s">
        <v>102</v>
      </c>
      <c r="G2392">
        <f t="shared" si="1741"/>
        <v>1</v>
      </c>
      <c r="H2392">
        <v>8</v>
      </c>
      <c r="I2392">
        <v>5</v>
      </c>
      <c r="J2392">
        <v>0</v>
      </c>
      <c r="K2392" s="6" t="str">
        <f t="shared" ref="K2392" si="1866">"vs "&amp;E2393</f>
        <v>vs The Bridgeburners</v>
      </c>
      <c r="L2392" s="6" t="str">
        <f t="shared" ref="L2392" si="1867">"vs "&amp;F2393</f>
        <v>vs Fanis</v>
      </c>
      <c r="M2392">
        <v>149</v>
      </c>
      <c r="N2392" s="1">
        <v>0.47899999999999998</v>
      </c>
      <c r="O2392">
        <v>28</v>
      </c>
      <c r="P2392" s="1">
        <v>0.29799999999999999</v>
      </c>
      <c r="Q2392" s="1">
        <v>0.89500000000000002</v>
      </c>
      <c r="R2392">
        <v>394</v>
      </c>
      <c r="S2392">
        <v>54</v>
      </c>
      <c r="T2392">
        <v>153</v>
      </c>
      <c r="U2392">
        <v>69</v>
      </c>
      <c r="V2392">
        <v>25</v>
      </c>
      <c r="W2392">
        <v>15</v>
      </c>
      <c r="X2392">
        <v>49</v>
      </c>
      <c r="Y2392">
        <v>1.41</v>
      </c>
    </row>
    <row r="2393" spans="1:25" x14ac:dyDescent="0.25">
      <c r="A2393">
        <v>2024</v>
      </c>
      <c r="B2393" t="s">
        <v>57</v>
      </c>
      <c r="C2393">
        <v>6</v>
      </c>
      <c r="D2393">
        <v>64</v>
      </c>
      <c r="E2393" t="s">
        <v>16</v>
      </c>
      <c r="F2393" t="s">
        <v>51</v>
      </c>
      <c r="G2393">
        <f t="shared" si="1741"/>
        <v>0</v>
      </c>
      <c r="H2393">
        <v>5</v>
      </c>
      <c r="I2393">
        <v>8</v>
      </c>
      <c r="J2393">
        <v>0</v>
      </c>
      <c r="K2393" s="6" t="str">
        <f t="shared" ref="K2393" si="1868">"vs "&amp;E2392</f>
        <v>vs Knights of Ni</v>
      </c>
      <c r="L2393" s="6" t="str">
        <f t="shared" ref="L2393" si="1869">"vs "&amp;F2392</f>
        <v>vs Tolios</v>
      </c>
      <c r="M2393">
        <v>119</v>
      </c>
      <c r="N2393" s="1">
        <v>0.46700000000000003</v>
      </c>
      <c r="O2393">
        <v>34</v>
      </c>
      <c r="P2393" s="1">
        <v>0.318</v>
      </c>
      <c r="Q2393" s="1">
        <v>0.85899999999999999</v>
      </c>
      <c r="R2393">
        <v>351</v>
      </c>
      <c r="S2393">
        <v>25</v>
      </c>
      <c r="T2393">
        <v>52</v>
      </c>
      <c r="U2393">
        <v>93</v>
      </c>
      <c r="V2393">
        <v>22</v>
      </c>
      <c r="W2393">
        <v>9</v>
      </c>
      <c r="X2393">
        <v>36</v>
      </c>
      <c r="Y2393">
        <v>2.58</v>
      </c>
    </row>
    <row r="2394" spans="1:25" x14ac:dyDescent="0.25">
      <c r="A2394">
        <v>2024</v>
      </c>
      <c r="B2394" t="s">
        <v>57</v>
      </c>
      <c r="C2394">
        <v>6</v>
      </c>
      <c r="D2394">
        <v>65</v>
      </c>
      <c r="E2394" t="s">
        <v>158</v>
      </c>
      <c r="F2394" t="s">
        <v>177</v>
      </c>
      <c r="G2394">
        <f t="shared" ref="G2394:G2457" si="1870">IF(H2394+0.5*J2394&gt;6.5,1,0)</f>
        <v>0</v>
      </c>
      <c r="H2394">
        <v>5</v>
      </c>
      <c r="I2394">
        <v>8</v>
      </c>
      <c r="J2394">
        <v>0</v>
      </c>
      <c r="K2394" s="6" t="str">
        <f t="shared" ref="K2394" si="1871">"vs "&amp;E2395</f>
        <v>vs Steven Adams' Moustache</v>
      </c>
      <c r="L2394" s="6" t="str">
        <f t="shared" ref="L2394" si="1872">"vs "&amp;F2395</f>
        <v>vs Johnny</v>
      </c>
      <c r="M2394">
        <v>127</v>
      </c>
      <c r="N2394" s="1">
        <v>0.43099999999999999</v>
      </c>
      <c r="O2394">
        <v>41</v>
      </c>
      <c r="P2394" s="1">
        <v>0.34200000000000003</v>
      </c>
      <c r="Q2394" s="1">
        <v>0.75</v>
      </c>
      <c r="R2394">
        <v>352</v>
      </c>
      <c r="S2394">
        <v>31</v>
      </c>
      <c r="T2394">
        <v>127</v>
      </c>
      <c r="U2394">
        <v>93</v>
      </c>
      <c r="V2394">
        <v>21</v>
      </c>
      <c r="W2394">
        <v>17</v>
      </c>
      <c r="X2394">
        <v>31</v>
      </c>
      <c r="Y2394">
        <v>3</v>
      </c>
    </row>
    <row r="2395" spans="1:25" x14ac:dyDescent="0.25">
      <c r="A2395">
        <v>2024</v>
      </c>
      <c r="B2395" t="s">
        <v>57</v>
      </c>
      <c r="C2395">
        <v>6</v>
      </c>
      <c r="D2395">
        <v>65</v>
      </c>
      <c r="E2395" t="s">
        <v>28</v>
      </c>
      <c r="F2395" t="s">
        <v>46</v>
      </c>
      <c r="G2395">
        <f t="shared" si="1870"/>
        <v>1</v>
      </c>
      <c r="H2395">
        <v>8</v>
      </c>
      <c r="I2395">
        <v>5</v>
      </c>
      <c r="J2395">
        <v>0</v>
      </c>
      <c r="K2395" s="6" t="str">
        <f t="shared" ref="K2395" si="1873">"vs "&amp;E2394</f>
        <v>vs LRBP PR3DATORS</v>
      </c>
      <c r="L2395" s="6" t="str">
        <f t="shared" ref="L2395" si="1874">"vs "&amp;F2394</f>
        <v>vs Lafa</v>
      </c>
      <c r="M2395">
        <v>134</v>
      </c>
      <c r="N2395" s="1">
        <v>0.48199999999999998</v>
      </c>
      <c r="O2395">
        <v>38</v>
      </c>
      <c r="P2395" s="1">
        <v>0.36899999999999999</v>
      </c>
      <c r="Q2395" s="1">
        <v>0.78200000000000003</v>
      </c>
      <c r="R2395">
        <v>367</v>
      </c>
      <c r="S2395">
        <v>45</v>
      </c>
      <c r="T2395">
        <v>111</v>
      </c>
      <c r="U2395">
        <v>64</v>
      </c>
      <c r="V2395">
        <v>28</v>
      </c>
      <c r="W2395">
        <v>30</v>
      </c>
      <c r="X2395">
        <v>51</v>
      </c>
      <c r="Y2395">
        <v>1.25</v>
      </c>
    </row>
    <row r="2396" spans="1:25" x14ac:dyDescent="0.25">
      <c r="A2396">
        <v>2024</v>
      </c>
      <c r="B2396" t="s">
        <v>57</v>
      </c>
      <c r="C2396">
        <v>6</v>
      </c>
      <c r="D2396">
        <v>66</v>
      </c>
      <c r="E2396" t="s">
        <v>93</v>
      </c>
      <c r="F2396" t="s">
        <v>189</v>
      </c>
      <c r="G2396">
        <f t="shared" si="1870"/>
        <v>0</v>
      </c>
      <c r="H2396">
        <v>5</v>
      </c>
      <c r="I2396">
        <v>8</v>
      </c>
      <c r="J2396">
        <v>0</v>
      </c>
      <c r="K2396" s="6" t="str">
        <f t="shared" ref="K2396" si="1875">"vs "&amp;E2397</f>
        <v>vs Kourayo Vallecano</v>
      </c>
      <c r="L2396" s="6" t="str">
        <f t="shared" ref="L2396" si="1876">"vs "&amp;F2397</f>
        <v>vs Ziogas/Christof</v>
      </c>
      <c r="M2396">
        <v>164</v>
      </c>
      <c r="N2396" s="1">
        <v>0.503</v>
      </c>
      <c r="O2396">
        <v>50</v>
      </c>
      <c r="P2396" s="1">
        <v>0.42</v>
      </c>
      <c r="Q2396" s="1">
        <v>0.78900000000000003</v>
      </c>
      <c r="R2396">
        <v>434</v>
      </c>
      <c r="S2396">
        <v>30</v>
      </c>
      <c r="T2396">
        <v>71</v>
      </c>
      <c r="U2396">
        <v>117</v>
      </c>
      <c r="V2396">
        <v>23</v>
      </c>
      <c r="W2396">
        <v>12</v>
      </c>
      <c r="X2396">
        <v>34</v>
      </c>
      <c r="Y2396">
        <v>3.44</v>
      </c>
    </row>
    <row r="2397" spans="1:25" x14ac:dyDescent="0.25">
      <c r="A2397">
        <v>2024</v>
      </c>
      <c r="B2397" t="s">
        <v>57</v>
      </c>
      <c r="C2397">
        <v>6</v>
      </c>
      <c r="D2397">
        <v>66</v>
      </c>
      <c r="E2397" t="s">
        <v>26</v>
      </c>
      <c r="F2397" t="s">
        <v>118</v>
      </c>
      <c r="G2397">
        <f t="shared" si="1870"/>
        <v>1</v>
      </c>
      <c r="H2397">
        <v>8</v>
      </c>
      <c r="I2397">
        <v>5</v>
      </c>
      <c r="J2397">
        <v>0</v>
      </c>
      <c r="K2397" s="6" t="str">
        <f t="shared" ref="K2397" si="1877">"vs "&amp;E2396</f>
        <v>vs Guruuu 🐐🐐🐐</v>
      </c>
      <c r="L2397" s="6" t="str">
        <f t="shared" ref="L2397" si="1878">"vs "&amp;F2396</f>
        <v>vs Guru</v>
      </c>
      <c r="M2397">
        <v>171</v>
      </c>
      <c r="N2397" s="1">
        <v>0.56100000000000005</v>
      </c>
      <c r="O2397">
        <v>48</v>
      </c>
      <c r="P2397" s="1">
        <v>0.45300000000000001</v>
      </c>
      <c r="Q2397" s="1">
        <v>0.73</v>
      </c>
      <c r="R2397">
        <v>436</v>
      </c>
      <c r="S2397">
        <v>33</v>
      </c>
      <c r="T2397">
        <v>137</v>
      </c>
      <c r="U2397">
        <v>97</v>
      </c>
      <c r="V2397">
        <v>28</v>
      </c>
      <c r="W2397">
        <v>23</v>
      </c>
      <c r="X2397">
        <v>39</v>
      </c>
      <c r="Y2397">
        <v>2.4900000000000002</v>
      </c>
    </row>
    <row r="2398" spans="1:25" x14ac:dyDescent="0.25">
      <c r="A2398">
        <v>2024</v>
      </c>
      <c r="B2398" t="s">
        <v>57</v>
      </c>
      <c r="C2398">
        <v>6</v>
      </c>
      <c r="D2398">
        <v>67</v>
      </c>
      <c r="E2398" t="s">
        <v>94</v>
      </c>
      <c r="F2398" t="s">
        <v>40</v>
      </c>
      <c r="G2398">
        <f t="shared" si="1870"/>
        <v>1</v>
      </c>
      <c r="H2398">
        <v>10</v>
      </c>
      <c r="I2398">
        <v>3</v>
      </c>
      <c r="J2398">
        <v>0</v>
      </c>
      <c r="K2398" s="6" t="str">
        <f t="shared" ref="K2398" si="1879">"vs "&amp;E2399</f>
        <v>vs Karafli Saita</v>
      </c>
      <c r="L2398" s="6" t="str">
        <f t="shared" ref="L2398" si="1880">"vs "&amp;F2399</f>
        <v>vs Tassos</v>
      </c>
      <c r="M2398">
        <v>182</v>
      </c>
      <c r="N2398" s="1">
        <v>0.53500000000000003</v>
      </c>
      <c r="O2398">
        <v>52</v>
      </c>
      <c r="P2398" s="1">
        <v>0.433</v>
      </c>
      <c r="Q2398" s="1">
        <v>0.83799999999999997</v>
      </c>
      <c r="R2398">
        <v>504</v>
      </c>
      <c r="S2398">
        <v>45</v>
      </c>
      <c r="T2398">
        <v>112</v>
      </c>
      <c r="U2398">
        <v>104</v>
      </c>
      <c r="V2398">
        <v>27</v>
      </c>
      <c r="W2398">
        <v>26</v>
      </c>
      <c r="X2398">
        <v>47</v>
      </c>
      <c r="Y2398">
        <v>2.21</v>
      </c>
    </row>
    <row r="2399" spans="1:25" x14ac:dyDescent="0.25">
      <c r="A2399">
        <v>2024</v>
      </c>
      <c r="B2399" t="s">
        <v>57</v>
      </c>
      <c r="C2399">
        <v>6</v>
      </c>
      <c r="D2399">
        <v>67</v>
      </c>
      <c r="E2399" t="s">
        <v>186</v>
      </c>
      <c r="F2399" t="s">
        <v>103</v>
      </c>
      <c r="G2399">
        <f t="shared" si="1870"/>
        <v>0</v>
      </c>
      <c r="H2399">
        <v>3</v>
      </c>
      <c r="I2399">
        <v>10</v>
      </c>
      <c r="J2399">
        <v>0</v>
      </c>
      <c r="K2399" s="6" t="str">
        <f t="shared" ref="K2399" si="1881">"vs "&amp;E2398</f>
        <v>vs Fighting Thaddeus</v>
      </c>
      <c r="L2399" s="6" t="str">
        <f t="shared" ref="L2399" si="1882">"vs "&amp;F2398</f>
        <v>vs Stavros</v>
      </c>
      <c r="M2399">
        <v>205</v>
      </c>
      <c r="N2399" s="1">
        <v>0.47099999999999997</v>
      </c>
      <c r="O2399">
        <v>45</v>
      </c>
      <c r="P2399" s="1">
        <v>0.32800000000000001</v>
      </c>
      <c r="Q2399" s="1">
        <v>0.82499999999999996</v>
      </c>
      <c r="R2399">
        <v>549</v>
      </c>
      <c r="S2399">
        <v>44</v>
      </c>
      <c r="T2399">
        <v>138</v>
      </c>
      <c r="U2399">
        <v>100</v>
      </c>
      <c r="V2399">
        <v>25</v>
      </c>
      <c r="W2399">
        <v>22</v>
      </c>
      <c r="X2399">
        <v>60</v>
      </c>
      <c r="Y2399">
        <v>1.67</v>
      </c>
    </row>
    <row r="2400" spans="1:25" x14ac:dyDescent="0.25">
      <c r="A2400">
        <v>2024</v>
      </c>
      <c r="B2400" t="s">
        <v>57</v>
      </c>
      <c r="C2400">
        <v>6</v>
      </c>
      <c r="D2400">
        <v>68</v>
      </c>
      <c r="E2400" t="s">
        <v>154</v>
      </c>
      <c r="F2400" t="s">
        <v>155</v>
      </c>
      <c r="G2400">
        <f t="shared" si="1870"/>
        <v>0</v>
      </c>
      <c r="H2400">
        <v>4</v>
      </c>
      <c r="I2400">
        <v>9</v>
      </c>
      <c r="J2400">
        <v>0</v>
      </c>
      <c r="K2400" s="6" t="str">
        <f t="shared" ref="K2400" si="1883">"vs "&amp;E2401</f>
        <v>vs Paralouistas</v>
      </c>
      <c r="L2400" s="6" t="str">
        <f t="shared" ref="L2400" si="1884">"vs "&amp;F2401</f>
        <v>vs Panos</v>
      </c>
      <c r="M2400">
        <v>118</v>
      </c>
      <c r="N2400" s="1">
        <v>0.52</v>
      </c>
      <c r="O2400">
        <v>22</v>
      </c>
      <c r="P2400" s="1">
        <v>0.33300000000000002</v>
      </c>
      <c r="Q2400" s="1">
        <v>0.67200000000000004</v>
      </c>
      <c r="R2400">
        <v>297</v>
      </c>
      <c r="S2400">
        <v>43</v>
      </c>
      <c r="T2400">
        <v>104</v>
      </c>
      <c r="U2400">
        <v>55</v>
      </c>
      <c r="V2400">
        <v>19</v>
      </c>
      <c r="W2400">
        <v>32</v>
      </c>
      <c r="X2400">
        <v>37</v>
      </c>
      <c r="Y2400">
        <v>1.49</v>
      </c>
    </row>
    <row r="2401" spans="1:25" x14ac:dyDescent="0.25">
      <c r="A2401">
        <v>2024</v>
      </c>
      <c r="B2401" t="s">
        <v>57</v>
      </c>
      <c r="C2401">
        <v>6</v>
      </c>
      <c r="D2401">
        <v>68</v>
      </c>
      <c r="E2401" t="s">
        <v>185</v>
      </c>
      <c r="F2401" t="s">
        <v>100</v>
      </c>
      <c r="G2401">
        <f t="shared" si="1870"/>
        <v>1</v>
      </c>
      <c r="H2401">
        <v>9</v>
      </c>
      <c r="I2401">
        <v>4</v>
      </c>
      <c r="J2401">
        <v>0</v>
      </c>
      <c r="K2401" s="6" t="str">
        <f t="shared" ref="K2401" si="1885">"vs "&amp;E2400</f>
        <v>vs The Bad Boys</v>
      </c>
      <c r="L2401" s="6" t="str">
        <f t="shared" ref="L2401" si="1886">"vs "&amp;F2400</f>
        <v>vs Arvanitis</v>
      </c>
      <c r="M2401">
        <v>143</v>
      </c>
      <c r="N2401" s="1">
        <v>0.42799999999999999</v>
      </c>
      <c r="O2401">
        <v>56</v>
      </c>
      <c r="P2401" s="1">
        <v>0.39400000000000002</v>
      </c>
      <c r="Q2401" s="1">
        <v>0.82299999999999995</v>
      </c>
      <c r="R2401">
        <v>393</v>
      </c>
      <c r="S2401">
        <v>32</v>
      </c>
      <c r="T2401">
        <v>111</v>
      </c>
      <c r="U2401">
        <v>107</v>
      </c>
      <c r="V2401">
        <v>28</v>
      </c>
      <c r="W2401">
        <v>7</v>
      </c>
      <c r="X2401">
        <v>52</v>
      </c>
      <c r="Y2401">
        <v>2.06</v>
      </c>
    </row>
    <row r="2402" spans="1:25" x14ac:dyDescent="0.25">
      <c r="A2402">
        <v>2024</v>
      </c>
      <c r="B2402" t="s">
        <v>57</v>
      </c>
      <c r="C2402">
        <v>6</v>
      </c>
      <c r="D2402">
        <v>69</v>
      </c>
      <c r="E2402" t="s">
        <v>184</v>
      </c>
      <c r="F2402" t="s">
        <v>188</v>
      </c>
      <c r="G2402">
        <f t="shared" si="1870"/>
        <v>0</v>
      </c>
      <c r="H2402">
        <v>5</v>
      </c>
      <c r="I2402">
        <v>7</v>
      </c>
      <c r="J2402">
        <v>1</v>
      </c>
      <c r="K2402" s="6" t="str">
        <f t="shared" ref="K2402" si="1887">"vs "&amp;E2403</f>
        <v>vs purple fuzzy apache pirates</v>
      </c>
      <c r="L2402" s="6" t="str">
        <f t="shared" ref="L2402" si="1888">"vs "&amp;F2403</f>
        <v>vs pi/Sotiris</v>
      </c>
      <c r="M2402">
        <v>107</v>
      </c>
      <c r="N2402" s="1">
        <v>0.52500000000000002</v>
      </c>
      <c r="O2402">
        <v>23</v>
      </c>
      <c r="P2402" s="1">
        <v>0.371</v>
      </c>
      <c r="Q2402" s="1">
        <v>0.83299999999999996</v>
      </c>
      <c r="R2402">
        <v>297</v>
      </c>
      <c r="S2402">
        <v>38</v>
      </c>
      <c r="T2402">
        <v>105</v>
      </c>
      <c r="U2402">
        <v>56</v>
      </c>
      <c r="V2402">
        <v>17</v>
      </c>
      <c r="W2402">
        <v>12</v>
      </c>
      <c r="X2402">
        <v>28</v>
      </c>
      <c r="Y2402">
        <v>2</v>
      </c>
    </row>
    <row r="2403" spans="1:25" x14ac:dyDescent="0.25">
      <c r="A2403">
        <v>2024</v>
      </c>
      <c r="B2403" t="s">
        <v>57</v>
      </c>
      <c r="C2403">
        <v>6</v>
      </c>
      <c r="D2403">
        <v>69</v>
      </c>
      <c r="E2403" t="s">
        <v>159</v>
      </c>
      <c r="F2403" t="s">
        <v>116</v>
      </c>
      <c r="G2403">
        <f t="shared" si="1870"/>
        <v>1</v>
      </c>
      <c r="H2403">
        <v>7</v>
      </c>
      <c r="I2403">
        <v>5</v>
      </c>
      <c r="J2403">
        <v>1</v>
      </c>
      <c r="K2403" s="6" t="str">
        <f t="shared" ref="K2403" si="1889">"vs "&amp;E2402</f>
        <v>vs Heraklion Snakes</v>
      </c>
      <c r="L2403" s="6" t="str">
        <f t="shared" ref="L2403" si="1890">"vs "&amp;F2402</f>
        <v>vs Dimitris</v>
      </c>
      <c r="M2403">
        <v>159</v>
      </c>
      <c r="N2403" s="1">
        <v>0.51800000000000002</v>
      </c>
      <c r="O2403">
        <v>23</v>
      </c>
      <c r="P2403" s="1">
        <v>0.26700000000000002</v>
      </c>
      <c r="Q2403" s="1">
        <v>0.82499999999999996</v>
      </c>
      <c r="R2403">
        <v>421</v>
      </c>
      <c r="S2403">
        <v>37</v>
      </c>
      <c r="T2403">
        <v>107</v>
      </c>
      <c r="U2403">
        <v>110</v>
      </c>
      <c r="V2403">
        <v>25</v>
      </c>
      <c r="W2403">
        <v>19</v>
      </c>
      <c r="X2403">
        <v>48</v>
      </c>
      <c r="Y2403">
        <v>2.29</v>
      </c>
    </row>
    <row r="2404" spans="1:25" x14ac:dyDescent="0.25">
      <c r="A2404">
        <v>2024</v>
      </c>
      <c r="B2404" t="s">
        <v>57</v>
      </c>
      <c r="C2404">
        <v>6</v>
      </c>
      <c r="D2404">
        <v>70</v>
      </c>
      <c r="E2404" t="s">
        <v>33</v>
      </c>
      <c r="F2404" t="s">
        <v>42</v>
      </c>
      <c r="G2404">
        <f t="shared" si="1870"/>
        <v>1</v>
      </c>
      <c r="H2404">
        <v>8</v>
      </c>
      <c r="I2404">
        <v>5</v>
      </c>
      <c r="J2404">
        <v>0</v>
      </c>
      <c r="K2404" s="6" t="str">
        <f t="shared" ref="K2404" si="1891">"vs "&amp;E2405</f>
        <v>vs Salonika Devils</v>
      </c>
      <c r="L2404" s="6" t="str">
        <f t="shared" ref="L2404" si="1892">"vs "&amp;F2405</f>
        <v>vs Fountos</v>
      </c>
      <c r="M2404">
        <v>188</v>
      </c>
      <c r="N2404" s="1">
        <v>0.46</v>
      </c>
      <c r="O2404">
        <v>33</v>
      </c>
      <c r="P2404" s="1">
        <v>0.29199999999999998</v>
      </c>
      <c r="Q2404" s="1">
        <v>0.85399999999999998</v>
      </c>
      <c r="R2404">
        <v>532</v>
      </c>
      <c r="S2404">
        <v>47</v>
      </c>
      <c r="T2404">
        <v>149</v>
      </c>
      <c r="U2404">
        <v>96</v>
      </c>
      <c r="V2404">
        <v>33</v>
      </c>
      <c r="W2404">
        <v>29</v>
      </c>
      <c r="X2404">
        <v>57</v>
      </c>
      <c r="Y2404">
        <v>1.68</v>
      </c>
    </row>
    <row r="2405" spans="1:25" x14ac:dyDescent="0.25">
      <c r="A2405">
        <v>2024</v>
      </c>
      <c r="B2405" t="s">
        <v>57</v>
      </c>
      <c r="C2405">
        <v>6</v>
      </c>
      <c r="D2405">
        <v>70</v>
      </c>
      <c r="E2405" t="s">
        <v>15</v>
      </c>
      <c r="F2405" t="s">
        <v>48</v>
      </c>
      <c r="G2405">
        <f t="shared" si="1870"/>
        <v>0</v>
      </c>
      <c r="H2405">
        <v>5</v>
      </c>
      <c r="I2405">
        <v>8</v>
      </c>
      <c r="J2405">
        <v>0</v>
      </c>
      <c r="K2405" s="6" t="str">
        <f t="shared" ref="K2405" si="1893">"vs "&amp;E2404</f>
        <v>vs The Guns</v>
      </c>
      <c r="L2405" s="6" t="str">
        <f t="shared" ref="L2405" si="1894">"vs "&amp;F2404</f>
        <v>vs Vasilis</v>
      </c>
      <c r="M2405">
        <v>182</v>
      </c>
      <c r="N2405" s="1">
        <v>0.442</v>
      </c>
      <c r="O2405">
        <v>50</v>
      </c>
      <c r="P2405" s="1">
        <v>0.34699999999999998</v>
      </c>
      <c r="Q2405" s="1">
        <v>0.78600000000000003</v>
      </c>
      <c r="R2405">
        <v>495</v>
      </c>
      <c r="S2405">
        <v>24</v>
      </c>
      <c r="T2405">
        <v>112</v>
      </c>
      <c r="U2405">
        <v>122</v>
      </c>
      <c r="V2405">
        <v>30</v>
      </c>
      <c r="W2405">
        <v>11</v>
      </c>
      <c r="X2405">
        <v>48</v>
      </c>
      <c r="Y2405">
        <v>2.54</v>
      </c>
    </row>
    <row r="2406" spans="1:25" x14ac:dyDescent="0.25">
      <c r="A2406">
        <v>2024</v>
      </c>
      <c r="B2406" t="s">
        <v>57</v>
      </c>
      <c r="C2406">
        <v>7</v>
      </c>
      <c r="D2406">
        <v>71</v>
      </c>
      <c r="E2406" t="s">
        <v>95</v>
      </c>
      <c r="F2406" t="s">
        <v>101</v>
      </c>
      <c r="G2406">
        <f t="shared" si="1870"/>
        <v>0</v>
      </c>
      <c r="H2406">
        <v>3</v>
      </c>
      <c r="I2406">
        <v>10</v>
      </c>
      <c r="J2406">
        <v>0</v>
      </c>
      <c r="K2406" s="6" t="str">
        <f t="shared" ref="K2406" si="1895">"vs "&amp;E2407</f>
        <v>vs Tsarlatans</v>
      </c>
      <c r="L2406" s="6" t="str">
        <f t="shared" ref="L2406" si="1896">"vs "&amp;F2407</f>
        <v>vs Tzokos</v>
      </c>
      <c r="M2406">
        <v>57</v>
      </c>
      <c r="N2406" s="1">
        <v>0.42899999999999999</v>
      </c>
      <c r="O2406">
        <v>17</v>
      </c>
      <c r="P2406" s="1">
        <v>0.29799999999999999</v>
      </c>
      <c r="Q2406" s="1">
        <v>0.83</v>
      </c>
      <c r="R2406">
        <v>175</v>
      </c>
      <c r="S2406">
        <v>22</v>
      </c>
      <c r="T2406">
        <v>45</v>
      </c>
      <c r="U2406">
        <v>32</v>
      </c>
      <c r="V2406">
        <v>11</v>
      </c>
      <c r="W2406">
        <v>9</v>
      </c>
      <c r="X2406">
        <v>16</v>
      </c>
      <c r="Y2406">
        <v>2</v>
      </c>
    </row>
    <row r="2407" spans="1:25" x14ac:dyDescent="0.25">
      <c r="A2407">
        <v>2024</v>
      </c>
      <c r="B2407" t="s">
        <v>57</v>
      </c>
      <c r="C2407">
        <v>7</v>
      </c>
      <c r="D2407">
        <v>71</v>
      </c>
      <c r="E2407" t="s">
        <v>99</v>
      </c>
      <c r="F2407" t="s">
        <v>45</v>
      </c>
      <c r="G2407">
        <f t="shared" si="1870"/>
        <v>1</v>
      </c>
      <c r="H2407">
        <v>10</v>
      </c>
      <c r="I2407">
        <v>3</v>
      </c>
      <c r="J2407">
        <v>0</v>
      </c>
      <c r="K2407" s="6" t="str">
        <f t="shared" ref="K2407" si="1897">"vs "&amp;E2406</f>
        <v>vs Baltimore Hercules</v>
      </c>
      <c r="L2407" s="6" t="str">
        <f t="shared" ref="L2407" si="1898">"vs "&amp;F2406</f>
        <v>vs Sarantos</v>
      </c>
      <c r="M2407">
        <v>107</v>
      </c>
      <c r="N2407" s="1">
        <v>0.498</v>
      </c>
      <c r="O2407">
        <v>27</v>
      </c>
      <c r="P2407" s="1">
        <v>0.375</v>
      </c>
      <c r="Q2407" s="1">
        <v>0.84199999999999997</v>
      </c>
      <c r="R2407">
        <v>273</v>
      </c>
      <c r="S2407">
        <v>19</v>
      </c>
      <c r="T2407">
        <v>80</v>
      </c>
      <c r="U2407">
        <v>50</v>
      </c>
      <c r="V2407">
        <v>17</v>
      </c>
      <c r="W2407">
        <v>13</v>
      </c>
      <c r="X2407">
        <v>28</v>
      </c>
      <c r="Y2407">
        <v>1.79</v>
      </c>
    </row>
    <row r="2408" spans="1:25" x14ac:dyDescent="0.25">
      <c r="A2408">
        <v>2024</v>
      </c>
      <c r="B2408" t="s">
        <v>57</v>
      </c>
      <c r="C2408">
        <v>7</v>
      </c>
      <c r="D2408">
        <v>72</v>
      </c>
      <c r="E2408" t="s">
        <v>98</v>
      </c>
      <c r="F2408" t="s">
        <v>41</v>
      </c>
      <c r="G2408">
        <f t="shared" si="1870"/>
        <v>1</v>
      </c>
      <c r="H2408">
        <v>13</v>
      </c>
      <c r="I2408">
        <v>0</v>
      </c>
      <c r="J2408">
        <v>0</v>
      </c>
      <c r="K2408" s="6" t="str">
        <f t="shared" ref="K2408" si="1899">"vs "&amp;E2409</f>
        <v>vs st.Helens Eruptions</v>
      </c>
      <c r="L2408" s="6" t="str">
        <f t="shared" ref="L2408" si="1900">"vs "&amp;F2409</f>
        <v>vs Aris</v>
      </c>
      <c r="M2408">
        <v>134</v>
      </c>
      <c r="N2408" s="1">
        <v>0.48699999999999999</v>
      </c>
      <c r="O2408">
        <v>39</v>
      </c>
      <c r="P2408" s="1">
        <v>0.40600000000000003</v>
      </c>
      <c r="Q2408" s="1">
        <v>0.83599999999999997</v>
      </c>
      <c r="R2408">
        <v>358</v>
      </c>
      <c r="S2408">
        <v>42</v>
      </c>
      <c r="T2408">
        <v>93</v>
      </c>
      <c r="U2408">
        <v>71</v>
      </c>
      <c r="V2408">
        <v>18</v>
      </c>
      <c r="W2408">
        <v>24</v>
      </c>
      <c r="X2408">
        <v>25</v>
      </c>
      <c r="Y2408">
        <v>2.84</v>
      </c>
    </row>
    <row r="2409" spans="1:25" x14ac:dyDescent="0.25">
      <c r="A2409">
        <v>2024</v>
      </c>
      <c r="B2409" t="s">
        <v>57</v>
      </c>
      <c r="C2409">
        <v>7</v>
      </c>
      <c r="D2409">
        <v>72</v>
      </c>
      <c r="E2409" t="s">
        <v>21</v>
      </c>
      <c r="F2409" t="s">
        <v>50</v>
      </c>
      <c r="G2409">
        <f t="shared" si="1870"/>
        <v>0</v>
      </c>
      <c r="H2409">
        <v>0</v>
      </c>
      <c r="I2409">
        <v>13</v>
      </c>
      <c r="J2409">
        <v>0</v>
      </c>
      <c r="K2409" s="6" t="str">
        <f t="shared" ref="K2409" si="1901">"vs "&amp;E2408</f>
        <v>vs Xanthi Ducks 🦆</v>
      </c>
      <c r="L2409" s="6" t="str">
        <f t="shared" ref="L2409" si="1902">"vs "&amp;F2408</f>
        <v>vs Kotakis</v>
      </c>
      <c r="M2409">
        <v>98</v>
      </c>
      <c r="N2409" s="1">
        <v>0.46899999999999997</v>
      </c>
      <c r="O2409">
        <v>25</v>
      </c>
      <c r="P2409" s="1">
        <v>0.32900000000000001</v>
      </c>
      <c r="Q2409" s="1">
        <v>0.73299999999999998</v>
      </c>
      <c r="R2409">
        <v>265</v>
      </c>
      <c r="S2409">
        <v>31</v>
      </c>
      <c r="T2409">
        <v>81</v>
      </c>
      <c r="U2409">
        <v>44</v>
      </c>
      <c r="V2409">
        <v>14</v>
      </c>
      <c r="W2409">
        <v>8</v>
      </c>
      <c r="X2409">
        <v>40</v>
      </c>
      <c r="Y2409">
        <v>1.1000000000000001</v>
      </c>
    </row>
    <row r="2410" spans="1:25" x14ac:dyDescent="0.25">
      <c r="A2410">
        <v>2024</v>
      </c>
      <c r="B2410" t="s">
        <v>57</v>
      </c>
      <c r="C2410">
        <v>7</v>
      </c>
      <c r="D2410">
        <v>73</v>
      </c>
      <c r="E2410" t="s">
        <v>16</v>
      </c>
      <c r="F2410" t="s">
        <v>51</v>
      </c>
      <c r="G2410">
        <f t="shared" si="1870"/>
        <v>0</v>
      </c>
      <c r="H2410">
        <v>6</v>
      </c>
      <c r="I2410">
        <v>7</v>
      </c>
      <c r="J2410">
        <v>0</v>
      </c>
      <c r="K2410" s="6" t="str">
        <f t="shared" ref="K2410" si="1903">"vs "&amp;E2411</f>
        <v>vs Samarina Dudenbros</v>
      </c>
      <c r="L2410" s="6" t="str">
        <f t="shared" ref="L2410" si="1904">"vs "&amp;F2411</f>
        <v>vs Sakellariou</v>
      </c>
      <c r="M2410">
        <v>116</v>
      </c>
      <c r="N2410" s="1">
        <v>0.48499999999999999</v>
      </c>
      <c r="O2410">
        <v>31</v>
      </c>
      <c r="P2410" s="1">
        <v>0.36899999999999999</v>
      </c>
      <c r="Q2410" s="1">
        <v>0.80600000000000005</v>
      </c>
      <c r="R2410">
        <v>321</v>
      </c>
      <c r="S2410">
        <v>29</v>
      </c>
      <c r="T2410">
        <v>58</v>
      </c>
      <c r="U2410">
        <v>73</v>
      </c>
      <c r="V2410">
        <v>13</v>
      </c>
      <c r="W2410">
        <v>14</v>
      </c>
      <c r="X2410">
        <v>36</v>
      </c>
      <c r="Y2410">
        <v>2.0299999999999998</v>
      </c>
    </row>
    <row r="2411" spans="1:25" x14ac:dyDescent="0.25">
      <c r="A2411">
        <v>2024</v>
      </c>
      <c r="B2411" t="s">
        <v>57</v>
      </c>
      <c r="C2411">
        <v>7</v>
      </c>
      <c r="D2411">
        <v>73</v>
      </c>
      <c r="E2411" t="s">
        <v>181</v>
      </c>
      <c r="F2411" t="s">
        <v>49</v>
      </c>
      <c r="G2411">
        <f t="shared" si="1870"/>
        <v>1</v>
      </c>
      <c r="H2411">
        <v>7</v>
      </c>
      <c r="I2411">
        <v>6</v>
      </c>
      <c r="J2411">
        <v>0</v>
      </c>
      <c r="K2411" s="6" t="str">
        <f t="shared" ref="K2411" si="1905">"vs "&amp;E2410</f>
        <v>vs The Bridgeburners</v>
      </c>
      <c r="L2411" s="6" t="str">
        <f t="shared" ref="L2411" si="1906">"vs "&amp;F2410</f>
        <v>vs Fanis</v>
      </c>
      <c r="M2411">
        <v>105</v>
      </c>
      <c r="N2411" s="1">
        <v>0.45500000000000002</v>
      </c>
      <c r="O2411">
        <v>38</v>
      </c>
      <c r="P2411" s="1">
        <v>0.40899999999999997</v>
      </c>
      <c r="Q2411" s="1">
        <v>0.79800000000000004</v>
      </c>
      <c r="R2411">
        <v>315</v>
      </c>
      <c r="S2411">
        <v>13</v>
      </c>
      <c r="T2411">
        <v>85</v>
      </c>
      <c r="U2411">
        <v>76</v>
      </c>
      <c r="V2411">
        <v>22</v>
      </c>
      <c r="W2411">
        <v>7</v>
      </c>
      <c r="X2411">
        <v>33</v>
      </c>
      <c r="Y2411">
        <v>2.2999999999999998</v>
      </c>
    </row>
    <row r="2412" spans="1:25" x14ac:dyDescent="0.25">
      <c r="A2412">
        <v>2024</v>
      </c>
      <c r="B2412" t="s">
        <v>57</v>
      </c>
      <c r="C2412">
        <v>7</v>
      </c>
      <c r="D2412">
        <v>74</v>
      </c>
      <c r="E2412" t="s">
        <v>28</v>
      </c>
      <c r="F2412" t="s">
        <v>46</v>
      </c>
      <c r="G2412">
        <f t="shared" si="1870"/>
        <v>1</v>
      </c>
      <c r="H2412">
        <v>8</v>
      </c>
      <c r="I2412">
        <v>5</v>
      </c>
      <c r="J2412">
        <v>0</v>
      </c>
      <c r="K2412" s="6" t="str">
        <f t="shared" ref="K2412" si="1907">"vs "&amp;E2413</f>
        <v>vs Pachiana NinjaBees</v>
      </c>
      <c r="L2412" s="6" t="str">
        <f t="shared" ref="L2412" si="1908">"vs "&amp;F2413</f>
        <v>vs Spiridaus/Oladipas</v>
      </c>
      <c r="M2412">
        <v>98</v>
      </c>
      <c r="N2412" s="1">
        <v>0.49199999999999999</v>
      </c>
      <c r="O2412">
        <v>25</v>
      </c>
      <c r="P2412" s="1">
        <v>0.36199999999999999</v>
      </c>
      <c r="Q2412" s="1">
        <v>0.60299999999999998</v>
      </c>
      <c r="R2412">
        <v>256</v>
      </c>
      <c r="S2412">
        <v>34</v>
      </c>
      <c r="T2412">
        <v>103</v>
      </c>
      <c r="U2412">
        <v>63</v>
      </c>
      <c r="V2412">
        <v>15</v>
      </c>
      <c r="W2412">
        <v>17</v>
      </c>
      <c r="X2412">
        <v>26</v>
      </c>
      <c r="Y2412">
        <v>2.42</v>
      </c>
    </row>
    <row r="2413" spans="1:25" x14ac:dyDescent="0.25">
      <c r="A2413">
        <v>2024</v>
      </c>
      <c r="B2413" t="s">
        <v>57</v>
      </c>
      <c r="C2413">
        <v>7</v>
      </c>
      <c r="D2413">
        <v>74</v>
      </c>
      <c r="E2413" t="s">
        <v>23</v>
      </c>
      <c r="F2413" t="s">
        <v>120</v>
      </c>
      <c r="G2413">
        <f t="shared" si="1870"/>
        <v>0</v>
      </c>
      <c r="H2413">
        <v>5</v>
      </c>
      <c r="I2413">
        <v>8</v>
      </c>
      <c r="J2413">
        <v>0</v>
      </c>
      <c r="K2413" s="6" t="str">
        <f t="shared" ref="K2413" si="1909">"vs "&amp;E2412</f>
        <v>vs Steven Adams' Moustache</v>
      </c>
      <c r="L2413" s="6" t="str">
        <f t="shared" ref="L2413" si="1910">"vs "&amp;F2412</f>
        <v>vs Johnny</v>
      </c>
      <c r="M2413">
        <v>87</v>
      </c>
      <c r="N2413" s="1">
        <v>0.45800000000000002</v>
      </c>
      <c r="O2413">
        <v>27</v>
      </c>
      <c r="P2413" s="1">
        <v>0.40899999999999997</v>
      </c>
      <c r="Q2413" s="1">
        <v>0.82599999999999996</v>
      </c>
      <c r="R2413">
        <v>239</v>
      </c>
      <c r="S2413">
        <v>22</v>
      </c>
      <c r="T2413">
        <v>74</v>
      </c>
      <c r="U2413">
        <v>71</v>
      </c>
      <c r="V2413">
        <v>16</v>
      </c>
      <c r="W2413">
        <v>12</v>
      </c>
      <c r="X2413">
        <v>35</v>
      </c>
      <c r="Y2413">
        <v>2.0299999999999998</v>
      </c>
    </row>
    <row r="2414" spans="1:25" x14ac:dyDescent="0.25">
      <c r="A2414">
        <v>2024</v>
      </c>
      <c r="B2414" t="s">
        <v>57</v>
      </c>
      <c r="C2414">
        <v>7</v>
      </c>
      <c r="D2414">
        <v>75</v>
      </c>
      <c r="E2414" t="s">
        <v>26</v>
      </c>
      <c r="F2414" t="s">
        <v>118</v>
      </c>
      <c r="G2414">
        <f t="shared" si="1870"/>
        <v>1</v>
      </c>
      <c r="H2414">
        <v>9</v>
      </c>
      <c r="I2414">
        <v>4</v>
      </c>
      <c r="J2414">
        <v>0</v>
      </c>
      <c r="K2414" s="6" t="str">
        <f t="shared" ref="K2414" si="1911">"vs "&amp;E2415</f>
        <v>vs Knights of Ni</v>
      </c>
      <c r="L2414" s="6" t="str">
        <f t="shared" ref="L2414" si="1912">"vs "&amp;F2415</f>
        <v>vs Tolios</v>
      </c>
      <c r="M2414">
        <v>104</v>
      </c>
      <c r="N2414" s="1">
        <v>0.49299999999999999</v>
      </c>
      <c r="O2414">
        <v>25</v>
      </c>
      <c r="P2414" s="1">
        <v>0.32500000000000001</v>
      </c>
      <c r="Q2414" s="1">
        <v>0.84599999999999997</v>
      </c>
      <c r="R2414">
        <v>266</v>
      </c>
      <c r="S2414">
        <v>24</v>
      </c>
      <c r="T2414">
        <v>74</v>
      </c>
      <c r="U2414">
        <v>52</v>
      </c>
      <c r="V2414">
        <v>15</v>
      </c>
      <c r="W2414">
        <v>8</v>
      </c>
      <c r="X2414">
        <v>25</v>
      </c>
      <c r="Y2414">
        <v>2.08</v>
      </c>
    </row>
    <row r="2415" spans="1:25" x14ac:dyDescent="0.25">
      <c r="A2415">
        <v>2024</v>
      </c>
      <c r="B2415" t="s">
        <v>57</v>
      </c>
      <c r="C2415">
        <v>7</v>
      </c>
      <c r="D2415">
        <v>75</v>
      </c>
      <c r="E2415" t="s">
        <v>96</v>
      </c>
      <c r="F2415" t="s">
        <v>102</v>
      </c>
      <c r="G2415">
        <f t="shared" si="1870"/>
        <v>0</v>
      </c>
      <c r="H2415">
        <v>4</v>
      </c>
      <c r="I2415">
        <v>9</v>
      </c>
      <c r="J2415">
        <v>0</v>
      </c>
      <c r="K2415" s="6" t="str">
        <f t="shared" ref="K2415" si="1913">"vs "&amp;E2414</f>
        <v>vs Kourayo Vallecano</v>
      </c>
      <c r="L2415" s="6" t="str">
        <f t="shared" ref="L2415" si="1914">"vs "&amp;F2414</f>
        <v>vs Ziogas/Christof</v>
      </c>
      <c r="M2415">
        <v>83</v>
      </c>
      <c r="N2415" s="1">
        <v>0.53900000000000003</v>
      </c>
      <c r="O2415">
        <v>18</v>
      </c>
      <c r="P2415" s="1">
        <v>0.48599999999999999</v>
      </c>
      <c r="Q2415" s="1">
        <v>0.77800000000000002</v>
      </c>
      <c r="R2415">
        <v>219</v>
      </c>
      <c r="S2415">
        <v>28</v>
      </c>
      <c r="T2415">
        <v>72</v>
      </c>
      <c r="U2415">
        <v>30</v>
      </c>
      <c r="V2415">
        <v>12</v>
      </c>
      <c r="W2415">
        <v>10</v>
      </c>
      <c r="X2415">
        <v>34</v>
      </c>
      <c r="Y2415">
        <v>0.88</v>
      </c>
    </row>
    <row r="2416" spans="1:25" x14ac:dyDescent="0.25">
      <c r="A2416">
        <v>2024</v>
      </c>
      <c r="B2416" t="s">
        <v>57</v>
      </c>
      <c r="C2416">
        <v>7</v>
      </c>
      <c r="D2416">
        <v>76</v>
      </c>
      <c r="E2416" t="s">
        <v>186</v>
      </c>
      <c r="F2416" t="s">
        <v>103</v>
      </c>
      <c r="G2416">
        <f t="shared" si="1870"/>
        <v>1</v>
      </c>
      <c r="H2416">
        <v>10</v>
      </c>
      <c r="I2416">
        <v>2</v>
      </c>
      <c r="J2416">
        <v>1</v>
      </c>
      <c r="K2416" s="6" t="str">
        <f t="shared" ref="K2416" si="1915">"vs "&amp;E2417</f>
        <v>vs LRBP PR3DATORS</v>
      </c>
      <c r="L2416" s="6" t="str">
        <f t="shared" ref="L2416" si="1916">"vs "&amp;F2417</f>
        <v>vs Lafa</v>
      </c>
      <c r="M2416">
        <v>144</v>
      </c>
      <c r="N2416" s="1">
        <v>0.56699999999999995</v>
      </c>
      <c r="O2416">
        <v>32</v>
      </c>
      <c r="P2416" s="1">
        <v>0.39500000000000002</v>
      </c>
      <c r="Q2416" s="1">
        <v>0.88100000000000001</v>
      </c>
      <c r="R2416">
        <v>372</v>
      </c>
      <c r="S2416">
        <v>28</v>
      </c>
      <c r="T2416">
        <v>75</v>
      </c>
      <c r="U2416">
        <v>73</v>
      </c>
      <c r="V2416">
        <v>20</v>
      </c>
      <c r="W2416">
        <v>17</v>
      </c>
      <c r="X2416">
        <v>32</v>
      </c>
      <c r="Y2416">
        <v>2.2799999999999998</v>
      </c>
    </row>
    <row r="2417" spans="1:25" x14ac:dyDescent="0.25">
      <c r="A2417">
        <v>2024</v>
      </c>
      <c r="B2417" t="s">
        <v>57</v>
      </c>
      <c r="C2417">
        <v>7</v>
      </c>
      <c r="D2417">
        <v>76</v>
      </c>
      <c r="E2417" t="s">
        <v>158</v>
      </c>
      <c r="F2417" t="s">
        <v>177</v>
      </c>
      <c r="G2417">
        <f t="shared" si="1870"/>
        <v>0</v>
      </c>
      <c r="H2417">
        <v>2</v>
      </c>
      <c r="I2417">
        <v>10</v>
      </c>
      <c r="J2417">
        <v>1</v>
      </c>
      <c r="K2417" s="6" t="str">
        <f t="shared" ref="K2417" si="1917">"vs "&amp;E2416</f>
        <v>vs Karafli Saita</v>
      </c>
      <c r="L2417" s="6" t="str">
        <f t="shared" ref="L2417" si="1918">"vs "&amp;F2416</f>
        <v>vs Tassos</v>
      </c>
      <c r="M2417">
        <v>116</v>
      </c>
      <c r="N2417" s="1">
        <v>0.46400000000000002</v>
      </c>
      <c r="O2417">
        <v>31</v>
      </c>
      <c r="P2417" s="1">
        <v>0.313</v>
      </c>
      <c r="Q2417" s="1">
        <v>0.75</v>
      </c>
      <c r="R2417">
        <v>320</v>
      </c>
      <c r="S2417">
        <v>14</v>
      </c>
      <c r="T2417">
        <v>82</v>
      </c>
      <c r="U2417">
        <v>59</v>
      </c>
      <c r="V2417">
        <v>12</v>
      </c>
      <c r="W2417">
        <v>18</v>
      </c>
      <c r="X2417">
        <v>32</v>
      </c>
      <c r="Y2417">
        <v>1.84</v>
      </c>
    </row>
    <row r="2418" spans="1:25" x14ac:dyDescent="0.25">
      <c r="A2418">
        <v>2024</v>
      </c>
      <c r="B2418" t="s">
        <v>57</v>
      </c>
      <c r="C2418">
        <v>7</v>
      </c>
      <c r="D2418">
        <v>77</v>
      </c>
      <c r="E2418" t="s">
        <v>185</v>
      </c>
      <c r="F2418" t="s">
        <v>100</v>
      </c>
      <c r="G2418">
        <f t="shared" si="1870"/>
        <v>0</v>
      </c>
      <c r="H2418">
        <v>4</v>
      </c>
      <c r="I2418">
        <v>9</v>
      </c>
      <c r="J2418">
        <v>0</v>
      </c>
      <c r="K2418" s="6" t="str">
        <f t="shared" ref="K2418" si="1919">"vs "&amp;E2419</f>
        <v>vs Guruuu 🐐🐐🐐</v>
      </c>
      <c r="L2418" s="6" t="str">
        <f t="shared" ref="L2418" si="1920">"vs "&amp;F2419</f>
        <v>vs Guru</v>
      </c>
      <c r="M2418">
        <v>93</v>
      </c>
      <c r="N2418" s="1">
        <v>0.44500000000000001</v>
      </c>
      <c r="O2418">
        <v>25</v>
      </c>
      <c r="P2418" s="1">
        <v>0.28399999999999997</v>
      </c>
      <c r="Q2418" s="1">
        <v>0.74</v>
      </c>
      <c r="R2418">
        <v>248</v>
      </c>
      <c r="S2418">
        <v>22</v>
      </c>
      <c r="T2418">
        <v>67</v>
      </c>
      <c r="U2418">
        <v>64</v>
      </c>
      <c r="V2418">
        <v>13</v>
      </c>
      <c r="W2418">
        <v>6</v>
      </c>
      <c r="X2418">
        <v>25</v>
      </c>
      <c r="Y2418">
        <v>2.56</v>
      </c>
    </row>
    <row r="2419" spans="1:25" x14ac:dyDescent="0.25">
      <c r="A2419">
        <v>2024</v>
      </c>
      <c r="B2419" t="s">
        <v>57</v>
      </c>
      <c r="C2419">
        <v>7</v>
      </c>
      <c r="D2419">
        <v>77</v>
      </c>
      <c r="E2419" t="s">
        <v>93</v>
      </c>
      <c r="F2419" t="s">
        <v>189</v>
      </c>
      <c r="G2419">
        <f t="shared" si="1870"/>
        <v>1</v>
      </c>
      <c r="H2419">
        <v>9</v>
      </c>
      <c r="I2419">
        <v>4</v>
      </c>
      <c r="J2419">
        <v>0</v>
      </c>
      <c r="K2419" s="6" t="str">
        <f t="shared" ref="K2419" si="1921">"vs "&amp;E2418</f>
        <v>vs Paralouistas</v>
      </c>
      <c r="L2419" s="6" t="str">
        <f t="shared" ref="L2419" si="1922">"vs "&amp;F2418</f>
        <v>vs Panos</v>
      </c>
      <c r="M2419">
        <v>99</v>
      </c>
      <c r="N2419" s="1">
        <v>0.49</v>
      </c>
      <c r="O2419">
        <v>41</v>
      </c>
      <c r="P2419" s="1">
        <v>0.42299999999999999</v>
      </c>
      <c r="Q2419" s="1">
        <v>0.8</v>
      </c>
      <c r="R2419">
        <v>259</v>
      </c>
      <c r="S2419">
        <v>25</v>
      </c>
      <c r="T2419">
        <v>71</v>
      </c>
      <c r="U2419">
        <v>54</v>
      </c>
      <c r="V2419">
        <v>16</v>
      </c>
      <c r="W2419">
        <v>4</v>
      </c>
      <c r="X2419">
        <v>41</v>
      </c>
      <c r="Y2419">
        <v>1.32</v>
      </c>
    </row>
    <row r="2420" spans="1:25" x14ac:dyDescent="0.25">
      <c r="A2420">
        <v>2024</v>
      </c>
      <c r="B2420" t="s">
        <v>57</v>
      </c>
      <c r="C2420">
        <v>7</v>
      </c>
      <c r="D2420">
        <v>78</v>
      </c>
      <c r="E2420" t="s">
        <v>159</v>
      </c>
      <c r="F2420" t="s">
        <v>116</v>
      </c>
      <c r="G2420">
        <f t="shared" si="1870"/>
        <v>0</v>
      </c>
      <c r="H2420">
        <v>4</v>
      </c>
      <c r="I2420">
        <v>9</v>
      </c>
      <c r="J2420">
        <v>0</v>
      </c>
      <c r="K2420" s="6" t="str">
        <f t="shared" ref="K2420" si="1923">"vs "&amp;E2421</f>
        <v>vs Fighting Thaddeus</v>
      </c>
      <c r="L2420" s="6" t="str">
        <f t="shared" ref="L2420" si="1924">"vs "&amp;F2421</f>
        <v>vs Stavros</v>
      </c>
      <c r="M2420">
        <v>80</v>
      </c>
      <c r="N2420" s="1">
        <v>0.40799999999999997</v>
      </c>
      <c r="O2420">
        <v>15</v>
      </c>
      <c r="P2420" s="1">
        <v>0.313</v>
      </c>
      <c r="Q2420" s="1">
        <v>0.75800000000000001</v>
      </c>
      <c r="R2420">
        <v>222</v>
      </c>
      <c r="S2420">
        <v>29</v>
      </c>
      <c r="T2420">
        <v>83</v>
      </c>
      <c r="U2420">
        <v>59</v>
      </c>
      <c r="V2420">
        <v>18</v>
      </c>
      <c r="W2420">
        <v>5</v>
      </c>
      <c r="X2420">
        <v>24</v>
      </c>
      <c r="Y2420">
        <v>2.46</v>
      </c>
    </row>
    <row r="2421" spans="1:25" x14ac:dyDescent="0.25">
      <c r="A2421">
        <v>2024</v>
      </c>
      <c r="B2421" t="s">
        <v>57</v>
      </c>
      <c r="C2421">
        <v>7</v>
      </c>
      <c r="D2421">
        <v>78</v>
      </c>
      <c r="E2421" t="s">
        <v>94</v>
      </c>
      <c r="F2421" t="s">
        <v>40</v>
      </c>
      <c r="G2421">
        <f t="shared" si="1870"/>
        <v>1</v>
      </c>
      <c r="H2421">
        <v>9</v>
      </c>
      <c r="I2421">
        <v>4</v>
      </c>
      <c r="J2421">
        <v>0</v>
      </c>
      <c r="K2421" s="6" t="str">
        <f t="shared" ref="K2421" si="1925">"vs "&amp;E2420</f>
        <v>vs purple fuzzy apache pirates</v>
      </c>
      <c r="L2421" s="6" t="str">
        <f t="shared" ref="L2421" si="1926">"vs "&amp;F2420</f>
        <v>vs pi/Sotiris</v>
      </c>
      <c r="M2421">
        <v>115</v>
      </c>
      <c r="N2421" s="1">
        <v>0.46200000000000002</v>
      </c>
      <c r="O2421">
        <v>39</v>
      </c>
      <c r="P2421" s="1">
        <v>0.42399999999999999</v>
      </c>
      <c r="Q2421" s="1">
        <v>0.92100000000000004</v>
      </c>
      <c r="R2421">
        <v>327</v>
      </c>
      <c r="S2421">
        <v>38</v>
      </c>
      <c r="T2421">
        <v>76</v>
      </c>
      <c r="U2421">
        <v>64</v>
      </c>
      <c r="V2421">
        <v>10</v>
      </c>
      <c r="W2421">
        <v>19</v>
      </c>
      <c r="X2421">
        <v>34</v>
      </c>
      <c r="Y2421">
        <v>1.88</v>
      </c>
    </row>
    <row r="2422" spans="1:25" x14ac:dyDescent="0.25">
      <c r="A2422">
        <v>2024</v>
      </c>
      <c r="B2422" t="s">
        <v>57</v>
      </c>
      <c r="C2422">
        <v>7</v>
      </c>
      <c r="D2422">
        <v>79</v>
      </c>
      <c r="E2422" t="s">
        <v>15</v>
      </c>
      <c r="F2422" t="s">
        <v>48</v>
      </c>
      <c r="G2422">
        <f t="shared" si="1870"/>
        <v>1</v>
      </c>
      <c r="H2422">
        <v>7</v>
      </c>
      <c r="I2422">
        <v>6</v>
      </c>
      <c r="J2422">
        <v>0</v>
      </c>
      <c r="K2422" s="6" t="str">
        <f t="shared" ref="K2422" si="1927">"vs "&amp;E2423</f>
        <v>vs The Bad Boys</v>
      </c>
      <c r="L2422" s="6" t="str">
        <f t="shared" ref="L2422" si="1928">"vs "&amp;F2423</f>
        <v>vs Arvanitis</v>
      </c>
      <c r="M2422">
        <v>90</v>
      </c>
      <c r="N2422" s="1">
        <v>0.38</v>
      </c>
      <c r="O2422">
        <v>27</v>
      </c>
      <c r="P2422" s="1">
        <v>0.28100000000000003</v>
      </c>
      <c r="Q2422" s="1">
        <v>0.76300000000000001</v>
      </c>
      <c r="R2422">
        <v>236</v>
      </c>
      <c r="S2422">
        <v>16</v>
      </c>
      <c r="T2422">
        <v>56</v>
      </c>
      <c r="U2422">
        <v>84</v>
      </c>
      <c r="V2422">
        <v>12</v>
      </c>
      <c r="W2422">
        <v>6</v>
      </c>
      <c r="X2422">
        <v>36</v>
      </c>
      <c r="Y2422">
        <v>2.33</v>
      </c>
    </row>
    <row r="2423" spans="1:25" x14ac:dyDescent="0.25">
      <c r="A2423">
        <v>2024</v>
      </c>
      <c r="B2423" t="s">
        <v>57</v>
      </c>
      <c r="C2423">
        <v>7</v>
      </c>
      <c r="D2423">
        <v>79</v>
      </c>
      <c r="E2423" t="s">
        <v>154</v>
      </c>
      <c r="F2423" t="s">
        <v>155</v>
      </c>
      <c r="G2423">
        <f t="shared" si="1870"/>
        <v>0</v>
      </c>
      <c r="H2423">
        <v>6</v>
      </c>
      <c r="I2423">
        <v>7</v>
      </c>
      <c r="J2423">
        <v>0</v>
      </c>
      <c r="K2423" s="6" t="str">
        <f t="shared" ref="K2423" si="1929">"vs "&amp;E2422</f>
        <v>vs Salonika Devils</v>
      </c>
      <c r="L2423" s="6" t="str">
        <f t="shared" ref="L2423" si="1930">"vs "&amp;F2422</f>
        <v>vs Fountos</v>
      </c>
      <c r="M2423">
        <v>62</v>
      </c>
      <c r="N2423" s="1">
        <v>0.42199999999999999</v>
      </c>
      <c r="O2423">
        <v>11</v>
      </c>
      <c r="P2423" s="1">
        <v>0.224</v>
      </c>
      <c r="Q2423" s="1">
        <v>0.84599999999999997</v>
      </c>
      <c r="R2423">
        <v>157</v>
      </c>
      <c r="S2423">
        <v>28</v>
      </c>
      <c r="T2423">
        <v>78</v>
      </c>
      <c r="U2423">
        <v>32</v>
      </c>
      <c r="V2423">
        <v>8</v>
      </c>
      <c r="W2423">
        <v>13</v>
      </c>
      <c r="X2423">
        <v>17</v>
      </c>
      <c r="Y2423">
        <v>1.88</v>
      </c>
    </row>
    <row r="2424" spans="1:25" x14ac:dyDescent="0.25">
      <c r="A2424">
        <v>2024</v>
      </c>
      <c r="B2424" t="s">
        <v>57</v>
      </c>
      <c r="C2424">
        <v>7</v>
      </c>
      <c r="D2424">
        <v>80</v>
      </c>
      <c r="E2424" t="s">
        <v>33</v>
      </c>
      <c r="F2424" t="s">
        <v>42</v>
      </c>
      <c r="G2424">
        <f t="shared" si="1870"/>
        <v>1</v>
      </c>
      <c r="H2424">
        <v>9</v>
      </c>
      <c r="I2424">
        <v>4</v>
      </c>
      <c r="J2424">
        <v>0</v>
      </c>
      <c r="K2424" s="6" t="str">
        <f t="shared" ref="K2424" si="1931">"vs "&amp;E2425</f>
        <v>vs Heraklion Snakes</v>
      </c>
      <c r="L2424" s="6" t="str">
        <f t="shared" ref="L2424" si="1932">"vs "&amp;F2425</f>
        <v>vs Dimitris</v>
      </c>
      <c r="M2424">
        <v>130</v>
      </c>
      <c r="N2424" s="1">
        <v>0.49099999999999999</v>
      </c>
      <c r="O2424">
        <v>21</v>
      </c>
      <c r="P2424" s="1">
        <v>0.28399999999999997</v>
      </c>
      <c r="Q2424" s="1">
        <v>0.78100000000000003</v>
      </c>
      <c r="R2424">
        <v>356</v>
      </c>
      <c r="S2424">
        <v>23</v>
      </c>
      <c r="T2424">
        <v>94</v>
      </c>
      <c r="U2424">
        <v>68</v>
      </c>
      <c r="V2424">
        <v>25</v>
      </c>
      <c r="W2424">
        <v>19</v>
      </c>
      <c r="X2424">
        <v>26</v>
      </c>
      <c r="Y2424">
        <v>2.62</v>
      </c>
    </row>
    <row r="2425" spans="1:25" x14ac:dyDescent="0.25">
      <c r="A2425">
        <v>2024</v>
      </c>
      <c r="B2425" t="s">
        <v>57</v>
      </c>
      <c r="C2425">
        <v>7</v>
      </c>
      <c r="D2425">
        <v>80</v>
      </c>
      <c r="E2425" t="s">
        <v>184</v>
      </c>
      <c r="F2425" t="s">
        <v>188</v>
      </c>
      <c r="G2425">
        <f t="shared" si="1870"/>
        <v>0</v>
      </c>
      <c r="H2425">
        <v>4</v>
      </c>
      <c r="I2425">
        <v>9</v>
      </c>
      <c r="J2425">
        <v>0</v>
      </c>
      <c r="K2425" s="6" t="str">
        <f t="shared" ref="K2425" si="1933">"vs "&amp;E2424</f>
        <v>vs The Guns</v>
      </c>
      <c r="L2425" s="6" t="str">
        <f t="shared" ref="L2425" si="1934">"vs "&amp;F2424</f>
        <v>vs Vasilis</v>
      </c>
      <c r="M2425">
        <v>70</v>
      </c>
      <c r="N2425" s="1">
        <v>0.44900000000000001</v>
      </c>
      <c r="O2425">
        <v>18</v>
      </c>
      <c r="P2425" s="1">
        <v>0.375</v>
      </c>
      <c r="Q2425" s="1">
        <v>0.82899999999999996</v>
      </c>
      <c r="R2425">
        <v>192</v>
      </c>
      <c r="S2425">
        <v>26</v>
      </c>
      <c r="T2425">
        <v>65</v>
      </c>
      <c r="U2425">
        <v>31</v>
      </c>
      <c r="V2425">
        <v>14</v>
      </c>
      <c r="W2425">
        <v>12</v>
      </c>
      <c r="X2425">
        <v>20</v>
      </c>
      <c r="Y2425">
        <v>1.55</v>
      </c>
    </row>
    <row r="2426" spans="1:25" x14ac:dyDescent="0.25">
      <c r="A2426">
        <v>2024</v>
      </c>
      <c r="B2426" t="s">
        <v>57</v>
      </c>
      <c r="C2426">
        <v>8</v>
      </c>
      <c r="D2426">
        <v>81</v>
      </c>
      <c r="E2426" t="s">
        <v>99</v>
      </c>
      <c r="F2426" t="s">
        <v>45</v>
      </c>
      <c r="G2426">
        <f t="shared" si="1870"/>
        <v>0</v>
      </c>
      <c r="H2426">
        <v>3</v>
      </c>
      <c r="I2426">
        <v>10</v>
      </c>
      <c r="J2426">
        <v>0</v>
      </c>
      <c r="K2426" s="6" t="str">
        <f t="shared" ref="K2426" si="1935">"vs "&amp;E2427</f>
        <v>vs Xanthi Ducks 🦆</v>
      </c>
      <c r="L2426" s="6" t="str">
        <f t="shared" ref="L2426" si="1936">"vs "&amp;F2427</f>
        <v>vs Kotakis</v>
      </c>
      <c r="M2426">
        <v>155</v>
      </c>
      <c r="N2426" s="1">
        <v>0.47799999999999998</v>
      </c>
      <c r="O2426">
        <v>53</v>
      </c>
      <c r="P2426" s="1">
        <v>0.38100000000000001</v>
      </c>
      <c r="Q2426" s="1">
        <v>0.84499999999999997</v>
      </c>
      <c r="R2426">
        <v>412</v>
      </c>
      <c r="S2426">
        <v>43</v>
      </c>
      <c r="T2426">
        <v>128</v>
      </c>
      <c r="U2426">
        <v>106</v>
      </c>
      <c r="V2426">
        <v>32</v>
      </c>
      <c r="W2426">
        <v>21</v>
      </c>
      <c r="X2426">
        <v>37</v>
      </c>
      <c r="Y2426">
        <v>2.86</v>
      </c>
    </row>
    <row r="2427" spans="1:25" x14ac:dyDescent="0.25">
      <c r="A2427">
        <v>2024</v>
      </c>
      <c r="B2427" t="s">
        <v>57</v>
      </c>
      <c r="C2427">
        <v>8</v>
      </c>
      <c r="D2427">
        <v>81</v>
      </c>
      <c r="E2427" t="s">
        <v>98</v>
      </c>
      <c r="F2427" t="s">
        <v>41</v>
      </c>
      <c r="G2427">
        <f t="shared" si="1870"/>
        <v>1</v>
      </c>
      <c r="H2427">
        <v>10</v>
      </c>
      <c r="I2427">
        <v>3</v>
      </c>
      <c r="J2427">
        <v>0</v>
      </c>
      <c r="K2427" s="6" t="str">
        <f t="shared" ref="K2427" si="1937">"vs "&amp;E2426</f>
        <v>vs Tsarlatans</v>
      </c>
      <c r="L2427" s="6" t="str">
        <f t="shared" ref="L2427" si="1938">"vs "&amp;F2426</f>
        <v>vs Tzokos</v>
      </c>
      <c r="M2427">
        <v>224</v>
      </c>
      <c r="N2427" s="1">
        <v>0.49</v>
      </c>
      <c r="O2427">
        <v>64</v>
      </c>
      <c r="P2427" s="1">
        <v>0.38300000000000001</v>
      </c>
      <c r="Q2427" s="1">
        <v>0.81100000000000005</v>
      </c>
      <c r="R2427">
        <v>628</v>
      </c>
      <c r="S2427">
        <v>56</v>
      </c>
      <c r="T2427">
        <v>184</v>
      </c>
      <c r="U2427">
        <v>142</v>
      </c>
      <c r="V2427">
        <v>41</v>
      </c>
      <c r="W2427">
        <v>30</v>
      </c>
      <c r="X2427">
        <v>64</v>
      </c>
      <c r="Y2427">
        <v>2.2200000000000002</v>
      </c>
    </row>
    <row r="2428" spans="1:25" x14ac:dyDescent="0.25">
      <c r="A2428">
        <v>2024</v>
      </c>
      <c r="B2428" t="s">
        <v>57</v>
      </c>
      <c r="C2428">
        <v>8</v>
      </c>
      <c r="D2428">
        <v>82</v>
      </c>
      <c r="E2428" t="s">
        <v>95</v>
      </c>
      <c r="F2428" t="s">
        <v>101</v>
      </c>
      <c r="G2428">
        <f t="shared" si="1870"/>
        <v>0</v>
      </c>
      <c r="H2428">
        <v>3</v>
      </c>
      <c r="I2428">
        <v>10</v>
      </c>
      <c r="J2428">
        <v>0</v>
      </c>
      <c r="K2428" s="6" t="str">
        <f t="shared" ref="K2428" si="1939">"vs "&amp;E2429</f>
        <v>vs The Bridgeburners</v>
      </c>
      <c r="L2428" s="6" t="str">
        <f t="shared" ref="L2428" si="1940">"vs "&amp;F2429</f>
        <v>vs Fanis</v>
      </c>
      <c r="M2428">
        <v>106</v>
      </c>
      <c r="N2428" s="1">
        <v>0.52200000000000002</v>
      </c>
      <c r="O2428">
        <v>37</v>
      </c>
      <c r="P2428" s="1">
        <v>0.45700000000000002</v>
      </c>
      <c r="Q2428" s="1">
        <v>0.76100000000000001</v>
      </c>
      <c r="R2428">
        <v>284</v>
      </c>
      <c r="S2428">
        <v>25</v>
      </c>
      <c r="T2428">
        <v>65</v>
      </c>
      <c r="U2428">
        <v>44</v>
      </c>
      <c r="V2428">
        <v>13</v>
      </c>
      <c r="W2428">
        <v>15</v>
      </c>
      <c r="X2428">
        <v>30</v>
      </c>
      <c r="Y2428">
        <v>1.47</v>
      </c>
    </row>
    <row r="2429" spans="1:25" x14ac:dyDescent="0.25">
      <c r="A2429">
        <v>2024</v>
      </c>
      <c r="B2429" t="s">
        <v>57</v>
      </c>
      <c r="C2429">
        <v>8</v>
      </c>
      <c r="D2429">
        <v>82</v>
      </c>
      <c r="E2429" t="s">
        <v>16</v>
      </c>
      <c r="F2429" t="s">
        <v>51</v>
      </c>
      <c r="G2429">
        <f t="shared" si="1870"/>
        <v>1</v>
      </c>
      <c r="H2429">
        <v>10</v>
      </c>
      <c r="I2429">
        <v>3</v>
      </c>
      <c r="J2429">
        <v>0</v>
      </c>
      <c r="K2429" s="6" t="str">
        <f t="shared" ref="K2429" si="1941">"vs "&amp;E2428</f>
        <v>vs Baltimore Hercules</v>
      </c>
      <c r="L2429" s="6" t="str">
        <f t="shared" ref="L2429" si="1942">"vs "&amp;F2428</f>
        <v>vs Sarantos</v>
      </c>
      <c r="M2429">
        <v>203</v>
      </c>
      <c r="N2429" s="1">
        <v>0.501</v>
      </c>
      <c r="O2429">
        <v>64</v>
      </c>
      <c r="P2429" s="1">
        <v>0.41799999999999998</v>
      </c>
      <c r="Q2429" s="1">
        <v>0.92800000000000005</v>
      </c>
      <c r="R2429">
        <v>573</v>
      </c>
      <c r="S2429">
        <v>28</v>
      </c>
      <c r="T2429">
        <v>127</v>
      </c>
      <c r="U2429">
        <v>160</v>
      </c>
      <c r="V2429">
        <v>32</v>
      </c>
      <c r="W2429">
        <v>23</v>
      </c>
      <c r="X2429">
        <v>74</v>
      </c>
      <c r="Y2429">
        <v>2.16</v>
      </c>
    </row>
    <row r="2430" spans="1:25" x14ac:dyDescent="0.25">
      <c r="A2430">
        <v>2024</v>
      </c>
      <c r="B2430" t="s">
        <v>57</v>
      </c>
      <c r="C2430">
        <v>8</v>
      </c>
      <c r="D2430">
        <v>83</v>
      </c>
      <c r="E2430" t="s">
        <v>21</v>
      </c>
      <c r="F2430" t="s">
        <v>50</v>
      </c>
      <c r="G2430">
        <f t="shared" si="1870"/>
        <v>1</v>
      </c>
      <c r="H2430">
        <v>9</v>
      </c>
      <c r="I2430">
        <v>4</v>
      </c>
      <c r="J2430">
        <v>0</v>
      </c>
      <c r="K2430" s="6" t="str">
        <f t="shared" ref="K2430" si="1943">"vs "&amp;E2431</f>
        <v>vs Steven Adams' Moustache</v>
      </c>
      <c r="L2430" s="6" t="str">
        <f t="shared" ref="L2430" si="1944">"vs "&amp;F2431</f>
        <v>vs Johnny</v>
      </c>
      <c r="M2430">
        <v>240</v>
      </c>
      <c r="N2430" s="1">
        <v>0.53200000000000003</v>
      </c>
      <c r="O2430">
        <v>57</v>
      </c>
      <c r="P2430" s="1">
        <v>0.39</v>
      </c>
      <c r="Q2430" s="1">
        <v>0.76900000000000002</v>
      </c>
      <c r="R2430">
        <v>620</v>
      </c>
      <c r="S2430">
        <v>50</v>
      </c>
      <c r="T2430">
        <v>136</v>
      </c>
      <c r="U2430">
        <v>128</v>
      </c>
      <c r="V2430">
        <v>33</v>
      </c>
      <c r="W2430">
        <v>20</v>
      </c>
      <c r="X2430">
        <v>66</v>
      </c>
      <c r="Y2430">
        <v>1.94</v>
      </c>
    </row>
    <row r="2431" spans="1:25" x14ac:dyDescent="0.25">
      <c r="A2431">
        <v>2024</v>
      </c>
      <c r="B2431" t="s">
        <v>57</v>
      </c>
      <c r="C2431">
        <v>8</v>
      </c>
      <c r="D2431">
        <v>83</v>
      </c>
      <c r="E2431" t="s">
        <v>28</v>
      </c>
      <c r="F2431" t="s">
        <v>46</v>
      </c>
      <c r="G2431">
        <f t="shared" si="1870"/>
        <v>0</v>
      </c>
      <c r="H2431">
        <v>4</v>
      </c>
      <c r="I2431">
        <v>9</v>
      </c>
      <c r="J2431">
        <v>0</v>
      </c>
      <c r="K2431" s="6" t="str">
        <f t="shared" ref="K2431" si="1945">"vs "&amp;E2430</f>
        <v>vs st.Helens Eruptions</v>
      </c>
      <c r="L2431" s="6" t="str">
        <f t="shared" ref="L2431" si="1946">"vs "&amp;F2430</f>
        <v>vs Aris</v>
      </c>
      <c r="M2431">
        <v>184</v>
      </c>
      <c r="N2431" s="1">
        <v>0.45800000000000002</v>
      </c>
      <c r="O2431">
        <v>49</v>
      </c>
      <c r="P2431" s="1">
        <v>0.36299999999999999</v>
      </c>
      <c r="Q2431" s="1">
        <v>0.73599999999999999</v>
      </c>
      <c r="R2431">
        <v>506</v>
      </c>
      <c r="S2431">
        <v>59</v>
      </c>
      <c r="T2431">
        <v>153</v>
      </c>
      <c r="U2431">
        <v>102</v>
      </c>
      <c r="V2431">
        <v>22</v>
      </c>
      <c r="W2431">
        <v>28</v>
      </c>
      <c r="X2431">
        <v>59</v>
      </c>
      <c r="Y2431">
        <v>1.73</v>
      </c>
    </row>
    <row r="2432" spans="1:25" x14ac:dyDescent="0.25">
      <c r="A2432">
        <v>2024</v>
      </c>
      <c r="B2432" t="s">
        <v>57</v>
      </c>
      <c r="C2432">
        <v>8</v>
      </c>
      <c r="D2432">
        <v>84</v>
      </c>
      <c r="E2432" t="s">
        <v>181</v>
      </c>
      <c r="F2432" t="s">
        <v>49</v>
      </c>
      <c r="G2432">
        <f t="shared" si="1870"/>
        <v>1</v>
      </c>
      <c r="H2432">
        <v>10</v>
      </c>
      <c r="I2432">
        <v>3</v>
      </c>
      <c r="J2432">
        <v>0</v>
      </c>
      <c r="K2432" s="6" t="str">
        <f t="shared" ref="K2432" si="1947">"vs "&amp;E2433</f>
        <v>vs Kourayo Vallecano</v>
      </c>
      <c r="L2432" s="6" t="str">
        <f t="shared" ref="L2432" si="1948">"vs "&amp;F2433</f>
        <v>vs Ziogas/Christof</v>
      </c>
      <c r="M2432">
        <v>198</v>
      </c>
      <c r="N2432" s="1">
        <v>0.45600000000000002</v>
      </c>
      <c r="O2432">
        <v>80</v>
      </c>
      <c r="P2432" s="1">
        <v>0.41499999999999998</v>
      </c>
      <c r="Q2432" s="1">
        <v>0.89</v>
      </c>
      <c r="R2432">
        <v>613</v>
      </c>
      <c r="S2432">
        <v>34</v>
      </c>
      <c r="T2432">
        <v>131</v>
      </c>
      <c r="U2432">
        <v>152</v>
      </c>
      <c r="V2432">
        <v>46</v>
      </c>
      <c r="W2432">
        <v>28</v>
      </c>
      <c r="X2432">
        <v>58</v>
      </c>
      <c r="Y2432">
        <v>2.62</v>
      </c>
    </row>
    <row r="2433" spans="1:25" x14ac:dyDescent="0.25">
      <c r="A2433">
        <v>2024</v>
      </c>
      <c r="B2433" t="s">
        <v>57</v>
      </c>
      <c r="C2433">
        <v>8</v>
      </c>
      <c r="D2433">
        <v>84</v>
      </c>
      <c r="E2433" t="s">
        <v>26</v>
      </c>
      <c r="F2433" t="s">
        <v>118</v>
      </c>
      <c r="G2433">
        <f t="shared" si="1870"/>
        <v>0</v>
      </c>
      <c r="H2433">
        <v>3</v>
      </c>
      <c r="I2433">
        <v>10</v>
      </c>
      <c r="J2433">
        <v>0</v>
      </c>
      <c r="K2433" s="6" t="str">
        <f t="shared" ref="K2433" si="1949">"vs "&amp;E2432</f>
        <v>vs Samarina Dudenbros</v>
      </c>
      <c r="L2433" s="6" t="str">
        <f t="shared" ref="L2433" si="1950">"vs "&amp;F2432</f>
        <v>vs Sakellariou</v>
      </c>
      <c r="M2433">
        <v>189</v>
      </c>
      <c r="N2433" s="1">
        <v>0.499</v>
      </c>
      <c r="O2433">
        <v>46</v>
      </c>
      <c r="P2433" s="1">
        <v>0.35699999999999998</v>
      </c>
      <c r="Q2433" s="1">
        <v>0.877</v>
      </c>
      <c r="R2433">
        <v>488</v>
      </c>
      <c r="S2433">
        <v>43</v>
      </c>
      <c r="T2433">
        <v>158</v>
      </c>
      <c r="U2433">
        <v>133</v>
      </c>
      <c r="V2433">
        <v>19</v>
      </c>
      <c r="W2433">
        <v>8</v>
      </c>
      <c r="X2433">
        <v>59</v>
      </c>
      <c r="Y2433">
        <v>2.25</v>
      </c>
    </row>
    <row r="2434" spans="1:25" x14ac:dyDescent="0.25">
      <c r="A2434">
        <v>2024</v>
      </c>
      <c r="B2434" t="s">
        <v>57</v>
      </c>
      <c r="C2434">
        <v>8</v>
      </c>
      <c r="D2434">
        <v>85</v>
      </c>
      <c r="E2434" t="s">
        <v>23</v>
      </c>
      <c r="F2434" t="s">
        <v>120</v>
      </c>
      <c r="G2434">
        <f t="shared" si="1870"/>
        <v>0</v>
      </c>
      <c r="H2434">
        <v>4</v>
      </c>
      <c r="I2434">
        <v>9</v>
      </c>
      <c r="J2434">
        <v>0</v>
      </c>
      <c r="K2434" s="6" t="str">
        <f t="shared" ref="K2434" si="1951">"vs "&amp;E2435</f>
        <v>vs Karafli Saita</v>
      </c>
      <c r="L2434" s="6" t="str">
        <f t="shared" ref="L2434" si="1952">"vs "&amp;F2435</f>
        <v>vs Tassos</v>
      </c>
      <c r="M2434">
        <v>162</v>
      </c>
      <c r="N2434" s="1">
        <v>0.46</v>
      </c>
      <c r="O2434">
        <v>49</v>
      </c>
      <c r="P2434" s="1">
        <v>0.35799999999999998</v>
      </c>
      <c r="Q2434" s="1">
        <v>0.77</v>
      </c>
      <c r="R2434">
        <v>430</v>
      </c>
      <c r="S2434">
        <v>22</v>
      </c>
      <c r="T2434">
        <v>136</v>
      </c>
      <c r="U2434">
        <v>136</v>
      </c>
      <c r="V2434">
        <v>26</v>
      </c>
      <c r="W2434">
        <v>28</v>
      </c>
      <c r="X2434">
        <v>66</v>
      </c>
      <c r="Y2434">
        <v>2.06</v>
      </c>
    </row>
    <row r="2435" spans="1:25" x14ac:dyDescent="0.25">
      <c r="A2435">
        <v>2024</v>
      </c>
      <c r="B2435" t="s">
        <v>57</v>
      </c>
      <c r="C2435">
        <v>8</v>
      </c>
      <c r="D2435">
        <v>85</v>
      </c>
      <c r="E2435" t="s">
        <v>186</v>
      </c>
      <c r="F2435" t="s">
        <v>103</v>
      </c>
      <c r="G2435">
        <f t="shared" si="1870"/>
        <v>1</v>
      </c>
      <c r="H2435">
        <v>9</v>
      </c>
      <c r="I2435">
        <v>4</v>
      </c>
      <c r="J2435">
        <v>0</v>
      </c>
      <c r="K2435" s="6" t="str">
        <f t="shared" ref="K2435" si="1953">"vs "&amp;E2434</f>
        <v>vs Pachiana NinjaBees</v>
      </c>
      <c r="L2435" s="6" t="str">
        <f t="shared" ref="L2435" si="1954">"vs "&amp;F2434</f>
        <v>vs Spiridaus/Oladipas</v>
      </c>
      <c r="M2435">
        <v>235</v>
      </c>
      <c r="N2435" s="1">
        <v>0.51800000000000002</v>
      </c>
      <c r="O2435">
        <v>53</v>
      </c>
      <c r="P2435" s="1">
        <v>0.36599999999999999</v>
      </c>
      <c r="Q2435" s="1">
        <v>0.84699999999999998</v>
      </c>
      <c r="R2435">
        <v>623</v>
      </c>
      <c r="S2435">
        <v>40</v>
      </c>
      <c r="T2435">
        <v>144</v>
      </c>
      <c r="U2435">
        <v>128</v>
      </c>
      <c r="V2435">
        <v>33</v>
      </c>
      <c r="W2435">
        <v>27</v>
      </c>
      <c r="X2435">
        <v>69</v>
      </c>
      <c r="Y2435">
        <v>1.86</v>
      </c>
    </row>
    <row r="2436" spans="1:25" x14ac:dyDescent="0.25">
      <c r="A2436">
        <v>2024</v>
      </c>
      <c r="B2436" t="s">
        <v>57</v>
      </c>
      <c r="C2436">
        <v>8</v>
      </c>
      <c r="D2436">
        <v>86</v>
      </c>
      <c r="E2436" t="s">
        <v>96</v>
      </c>
      <c r="F2436" t="s">
        <v>102</v>
      </c>
      <c r="G2436">
        <f t="shared" si="1870"/>
        <v>0</v>
      </c>
      <c r="H2436">
        <v>3</v>
      </c>
      <c r="I2436">
        <v>10</v>
      </c>
      <c r="J2436">
        <v>0</v>
      </c>
      <c r="K2436" s="6" t="str">
        <f t="shared" ref="K2436" si="1955">"vs "&amp;E2437</f>
        <v>vs Paralouistas</v>
      </c>
      <c r="L2436" s="6" t="str">
        <f t="shared" ref="L2436" si="1956">"vs "&amp;F2437</f>
        <v>vs Panos</v>
      </c>
      <c r="M2436">
        <v>172</v>
      </c>
      <c r="N2436" s="1">
        <v>0.45400000000000001</v>
      </c>
      <c r="O2436">
        <v>42</v>
      </c>
      <c r="P2436" s="1">
        <v>0.35</v>
      </c>
      <c r="Q2436" s="1">
        <v>0.76900000000000002</v>
      </c>
      <c r="R2436">
        <v>466</v>
      </c>
      <c r="S2436">
        <v>67</v>
      </c>
      <c r="T2436">
        <v>128</v>
      </c>
      <c r="U2436">
        <v>85</v>
      </c>
      <c r="V2436">
        <v>23</v>
      </c>
      <c r="W2436">
        <v>19</v>
      </c>
      <c r="X2436">
        <v>49</v>
      </c>
      <c r="Y2436">
        <v>1.73</v>
      </c>
    </row>
    <row r="2437" spans="1:25" x14ac:dyDescent="0.25">
      <c r="A2437">
        <v>2024</v>
      </c>
      <c r="B2437" t="s">
        <v>57</v>
      </c>
      <c r="C2437">
        <v>8</v>
      </c>
      <c r="D2437">
        <v>86</v>
      </c>
      <c r="E2437" t="s">
        <v>185</v>
      </c>
      <c r="F2437" t="s">
        <v>100</v>
      </c>
      <c r="G2437">
        <f t="shared" si="1870"/>
        <v>1</v>
      </c>
      <c r="H2437">
        <v>10</v>
      </c>
      <c r="I2437">
        <v>3</v>
      </c>
      <c r="J2437">
        <v>0</v>
      </c>
      <c r="K2437" s="6" t="str">
        <f t="shared" ref="K2437" si="1957">"vs "&amp;E2436</f>
        <v>vs Knights of Ni</v>
      </c>
      <c r="L2437" s="6" t="str">
        <f t="shared" ref="L2437" si="1958">"vs "&amp;F2436</f>
        <v>vs Tolios</v>
      </c>
      <c r="M2437">
        <v>200</v>
      </c>
      <c r="N2437" s="1">
        <v>0.51400000000000001</v>
      </c>
      <c r="O2437">
        <v>70</v>
      </c>
      <c r="P2437" s="1">
        <v>0.46100000000000002</v>
      </c>
      <c r="Q2437" s="1">
        <v>0.82499999999999996</v>
      </c>
      <c r="R2437">
        <v>574</v>
      </c>
      <c r="S2437">
        <v>44</v>
      </c>
      <c r="T2437">
        <v>131</v>
      </c>
      <c r="U2437">
        <v>128</v>
      </c>
      <c r="V2437">
        <v>39</v>
      </c>
      <c r="W2437">
        <v>15</v>
      </c>
      <c r="X2437">
        <v>58</v>
      </c>
      <c r="Y2437">
        <v>2.21</v>
      </c>
    </row>
    <row r="2438" spans="1:25" x14ac:dyDescent="0.25">
      <c r="A2438">
        <v>2024</v>
      </c>
      <c r="B2438" t="s">
        <v>57</v>
      </c>
      <c r="C2438">
        <v>8</v>
      </c>
      <c r="D2438">
        <v>87</v>
      </c>
      <c r="E2438" t="s">
        <v>158</v>
      </c>
      <c r="F2438" t="s">
        <v>177</v>
      </c>
      <c r="G2438">
        <f t="shared" si="1870"/>
        <v>1</v>
      </c>
      <c r="H2438">
        <v>8</v>
      </c>
      <c r="I2438">
        <v>5</v>
      </c>
      <c r="J2438">
        <v>0</v>
      </c>
      <c r="K2438" s="6" t="str">
        <f t="shared" ref="K2438" si="1959">"vs "&amp;E2439</f>
        <v>vs purple fuzzy apache pirates</v>
      </c>
      <c r="L2438" s="6" t="str">
        <f t="shared" ref="L2438" si="1960">"vs "&amp;F2439</f>
        <v>vs pi/Sotiris</v>
      </c>
      <c r="M2438">
        <v>244</v>
      </c>
      <c r="N2438" s="1">
        <v>0.47499999999999998</v>
      </c>
      <c r="O2438">
        <v>72</v>
      </c>
      <c r="P2438" s="1">
        <v>0.36899999999999999</v>
      </c>
      <c r="Q2438" s="1">
        <v>0.85099999999999998</v>
      </c>
      <c r="R2438">
        <v>691</v>
      </c>
      <c r="S2438">
        <v>43</v>
      </c>
      <c r="T2438">
        <v>182</v>
      </c>
      <c r="U2438">
        <v>137</v>
      </c>
      <c r="V2438">
        <v>36</v>
      </c>
      <c r="W2438">
        <v>27</v>
      </c>
      <c r="X2438">
        <v>82</v>
      </c>
      <c r="Y2438">
        <v>1.67</v>
      </c>
    </row>
    <row r="2439" spans="1:25" x14ac:dyDescent="0.25">
      <c r="A2439">
        <v>2024</v>
      </c>
      <c r="B2439" t="s">
        <v>57</v>
      </c>
      <c r="C2439">
        <v>8</v>
      </c>
      <c r="D2439">
        <v>87</v>
      </c>
      <c r="E2439" t="s">
        <v>159</v>
      </c>
      <c r="F2439" t="s">
        <v>116</v>
      </c>
      <c r="G2439">
        <f t="shared" si="1870"/>
        <v>0</v>
      </c>
      <c r="H2439">
        <v>5</v>
      </c>
      <c r="I2439">
        <v>8</v>
      </c>
      <c r="J2439">
        <v>0</v>
      </c>
      <c r="K2439" s="6" t="str">
        <f t="shared" ref="K2439" si="1961">"vs "&amp;E2438</f>
        <v>vs LRBP PR3DATORS</v>
      </c>
      <c r="L2439" s="6" t="str">
        <f t="shared" ref="L2439" si="1962">"vs "&amp;F2438</f>
        <v>vs Lafa</v>
      </c>
      <c r="M2439">
        <v>201</v>
      </c>
      <c r="N2439" s="1">
        <v>0.54600000000000004</v>
      </c>
      <c r="O2439">
        <v>36</v>
      </c>
      <c r="P2439" s="1">
        <v>0.36699999999999999</v>
      </c>
      <c r="Q2439" s="1">
        <v>0.745</v>
      </c>
      <c r="R2439">
        <v>543</v>
      </c>
      <c r="S2439">
        <v>66</v>
      </c>
      <c r="T2439">
        <v>156</v>
      </c>
      <c r="U2439">
        <v>140</v>
      </c>
      <c r="V2439">
        <v>31</v>
      </c>
      <c r="W2439">
        <v>11</v>
      </c>
      <c r="X2439">
        <v>51</v>
      </c>
      <c r="Y2439">
        <v>2.75</v>
      </c>
    </row>
    <row r="2440" spans="1:25" x14ac:dyDescent="0.25">
      <c r="A2440">
        <v>2024</v>
      </c>
      <c r="B2440" t="s">
        <v>57</v>
      </c>
      <c r="C2440">
        <v>8</v>
      </c>
      <c r="D2440">
        <v>88</v>
      </c>
      <c r="E2440" t="s">
        <v>93</v>
      </c>
      <c r="F2440" t="s">
        <v>189</v>
      </c>
      <c r="G2440">
        <f t="shared" si="1870"/>
        <v>1</v>
      </c>
      <c r="H2440">
        <v>9</v>
      </c>
      <c r="I2440">
        <v>2</v>
      </c>
      <c r="J2440">
        <v>2</v>
      </c>
      <c r="K2440" s="6" t="str">
        <f t="shared" ref="K2440" si="1963">"vs "&amp;E2441</f>
        <v>vs Salonika Devils</v>
      </c>
      <c r="L2440" s="6" t="str">
        <f t="shared" ref="L2440" si="1964">"vs "&amp;F2441</f>
        <v>vs Fountos</v>
      </c>
      <c r="M2440">
        <v>194</v>
      </c>
      <c r="N2440" s="1">
        <v>0.46100000000000002</v>
      </c>
      <c r="O2440">
        <v>75</v>
      </c>
      <c r="P2440" s="1">
        <v>0.39900000000000002</v>
      </c>
      <c r="Q2440" s="1">
        <v>0.80200000000000005</v>
      </c>
      <c r="R2440">
        <v>536</v>
      </c>
      <c r="S2440">
        <v>20</v>
      </c>
      <c r="T2440">
        <v>96</v>
      </c>
      <c r="U2440">
        <v>135</v>
      </c>
      <c r="V2440">
        <v>25</v>
      </c>
      <c r="W2440">
        <v>7</v>
      </c>
      <c r="X2440">
        <v>55</v>
      </c>
      <c r="Y2440">
        <v>2.4500000000000002</v>
      </c>
    </row>
    <row r="2441" spans="1:25" x14ac:dyDescent="0.25">
      <c r="A2441">
        <v>2024</v>
      </c>
      <c r="B2441" t="s">
        <v>57</v>
      </c>
      <c r="C2441">
        <v>8</v>
      </c>
      <c r="D2441">
        <v>88</v>
      </c>
      <c r="E2441" t="s">
        <v>15</v>
      </c>
      <c r="F2441" t="s">
        <v>48</v>
      </c>
      <c r="G2441">
        <f t="shared" si="1870"/>
        <v>0</v>
      </c>
      <c r="H2441">
        <v>2</v>
      </c>
      <c r="I2441">
        <v>9</v>
      </c>
      <c r="J2441">
        <v>2</v>
      </c>
      <c r="K2441" s="6" t="str">
        <f t="shared" ref="K2441" si="1965">"vs "&amp;E2440</f>
        <v>vs Guruuu 🐐🐐🐐</v>
      </c>
      <c r="L2441" s="6" t="str">
        <f t="shared" ref="L2441" si="1966">"vs "&amp;F2440</f>
        <v>vs Guru</v>
      </c>
      <c r="M2441">
        <v>178</v>
      </c>
      <c r="N2441" s="1">
        <v>0.47</v>
      </c>
      <c r="O2441">
        <v>67</v>
      </c>
      <c r="P2441" s="1">
        <v>0.39900000000000002</v>
      </c>
      <c r="Q2441" s="1">
        <v>0.78400000000000003</v>
      </c>
      <c r="R2441">
        <v>492</v>
      </c>
      <c r="S2441">
        <v>12</v>
      </c>
      <c r="T2441">
        <v>83</v>
      </c>
      <c r="U2441">
        <v>126</v>
      </c>
      <c r="V2441">
        <v>25</v>
      </c>
      <c r="W2441">
        <v>13</v>
      </c>
      <c r="X2441">
        <v>55</v>
      </c>
      <c r="Y2441">
        <v>2.29</v>
      </c>
    </row>
    <row r="2442" spans="1:25" x14ac:dyDescent="0.25">
      <c r="A2442">
        <v>2024</v>
      </c>
      <c r="B2442" t="s">
        <v>57</v>
      </c>
      <c r="C2442">
        <v>8</v>
      </c>
      <c r="D2442">
        <v>89</v>
      </c>
      <c r="E2442" t="s">
        <v>94</v>
      </c>
      <c r="F2442" t="s">
        <v>40</v>
      </c>
      <c r="G2442">
        <f t="shared" si="1870"/>
        <v>0</v>
      </c>
      <c r="H2442">
        <v>4</v>
      </c>
      <c r="I2442">
        <v>9</v>
      </c>
      <c r="J2442">
        <v>0</v>
      </c>
      <c r="K2442" s="6" t="str">
        <f t="shared" ref="K2442" si="1967">"vs "&amp;E2443</f>
        <v>vs The Guns</v>
      </c>
      <c r="L2442" s="6" t="str">
        <f t="shared" ref="L2442" si="1968">"vs "&amp;F2443</f>
        <v>vs Vasilis</v>
      </c>
      <c r="M2442">
        <v>150</v>
      </c>
      <c r="N2442" s="1">
        <v>0.40200000000000002</v>
      </c>
      <c r="O2442">
        <v>44</v>
      </c>
      <c r="P2442" s="1">
        <v>0.27300000000000002</v>
      </c>
      <c r="Q2442" s="1">
        <v>0.79</v>
      </c>
      <c r="R2442">
        <v>442</v>
      </c>
      <c r="S2442">
        <v>43</v>
      </c>
      <c r="T2442">
        <v>138</v>
      </c>
      <c r="U2442">
        <v>120</v>
      </c>
      <c r="V2442">
        <v>30</v>
      </c>
      <c r="W2442">
        <v>10</v>
      </c>
      <c r="X2442">
        <v>58</v>
      </c>
      <c r="Y2442">
        <v>2.0699999999999998</v>
      </c>
    </row>
    <row r="2443" spans="1:25" x14ac:dyDescent="0.25">
      <c r="A2443">
        <v>2024</v>
      </c>
      <c r="B2443" t="s">
        <v>57</v>
      </c>
      <c r="C2443">
        <v>8</v>
      </c>
      <c r="D2443">
        <v>89</v>
      </c>
      <c r="E2443" t="s">
        <v>33</v>
      </c>
      <c r="F2443" t="s">
        <v>42</v>
      </c>
      <c r="G2443">
        <f t="shared" si="1870"/>
        <v>1</v>
      </c>
      <c r="H2443">
        <v>9</v>
      </c>
      <c r="I2443">
        <v>4</v>
      </c>
      <c r="J2443">
        <v>0</v>
      </c>
      <c r="K2443" s="6" t="str">
        <f t="shared" ref="K2443" si="1969">"vs "&amp;E2442</f>
        <v>vs Fighting Thaddeus</v>
      </c>
      <c r="L2443" s="6" t="str">
        <f t="shared" ref="L2443" si="1970">"vs "&amp;F2442</f>
        <v>vs Stavros</v>
      </c>
      <c r="M2443">
        <v>223</v>
      </c>
      <c r="N2443" s="1">
        <v>0.51400000000000001</v>
      </c>
      <c r="O2443">
        <v>42</v>
      </c>
      <c r="P2443" s="1">
        <v>0.36499999999999999</v>
      </c>
      <c r="Q2443" s="1">
        <v>0.78</v>
      </c>
      <c r="R2443">
        <v>605</v>
      </c>
      <c r="S2443">
        <v>62</v>
      </c>
      <c r="T2443">
        <v>161</v>
      </c>
      <c r="U2443">
        <v>101</v>
      </c>
      <c r="V2443">
        <v>45</v>
      </c>
      <c r="W2443">
        <v>28</v>
      </c>
      <c r="X2443">
        <v>55</v>
      </c>
      <c r="Y2443">
        <v>1.84</v>
      </c>
    </row>
    <row r="2444" spans="1:25" x14ac:dyDescent="0.25">
      <c r="A2444">
        <v>2024</v>
      </c>
      <c r="B2444" t="s">
        <v>57</v>
      </c>
      <c r="C2444">
        <v>8</v>
      </c>
      <c r="D2444">
        <v>90</v>
      </c>
      <c r="E2444" t="s">
        <v>154</v>
      </c>
      <c r="F2444" t="s">
        <v>155</v>
      </c>
      <c r="G2444">
        <f t="shared" si="1870"/>
        <v>0</v>
      </c>
      <c r="H2444">
        <v>3</v>
      </c>
      <c r="I2444">
        <v>10</v>
      </c>
      <c r="J2444">
        <v>0</v>
      </c>
      <c r="K2444" s="6" t="str">
        <f t="shared" ref="K2444" si="1971">"vs "&amp;E2445</f>
        <v>vs Heraklion Snakes</v>
      </c>
      <c r="L2444" s="6" t="str">
        <f t="shared" ref="L2444" si="1972">"vs "&amp;F2445</f>
        <v>vs Dimitris</v>
      </c>
      <c r="M2444">
        <v>114</v>
      </c>
      <c r="N2444" s="1">
        <v>0.48299999999999998</v>
      </c>
      <c r="O2444">
        <v>40</v>
      </c>
      <c r="P2444" s="1">
        <v>0.42099999999999999</v>
      </c>
      <c r="Q2444" s="1">
        <v>0.76800000000000002</v>
      </c>
      <c r="R2444">
        <v>321</v>
      </c>
      <c r="S2444">
        <v>32</v>
      </c>
      <c r="T2444">
        <v>101</v>
      </c>
      <c r="U2444">
        <v>50</v>
      </c>
      <c r="V2444">
        <v>20</v>
      </c>
      <c r="W2444">
        <v>10</v>
      </c>
      <c r="X2444">
        <v>29</v>
      </c>
      <c r="Y2444">
        <v>1.72</v>
      </c>
    </row>
    <row r="2445" spans="1:25" x14ac:dyDescent="0.25">
      <c r="A2445">
        <v>2024</v>
      </c>
      <c r="B2445" t="s">
        <v>57</v>
      </c>
      <c r="C2445">
        <v>8</v>
      </c>
      <c r="D2445">
        <v>90</v>
      </c>
      <c r="E2445" t="s">
        <v>184</v>
      </c>
      <c r="F2445" t="s">
        <v>188</v>
      </c>
      <c r="G2445">
        <f t="shared" si="1870"/>
        <v>1</v>
      </c>
      <c r="H2445">
        <v>10</v>
      </c>
      <c r="I2445">
        <v>3</v>
      </c>
      <c r="J2445">
        <v>0</v>
      </c>
      <c r="K2445" s="6" t="str">
        <f t="shared" ref="K2445" si="1973">"vs "&amp;E2444</f>
        <v>vs The Bad Boys</v>
      </c>
      <c r="L2445" s="6" t="str">
        <f t="shared" ref="L2445" si="1974">"vs "&amp;F2444</f>
        <v>vs Arvanitis</v>
      </c>
      <c r="M2445">
        <v>153</v>
      </c>
      <c r="N2445" s="1">
        <v>0.50800000000000001</v>
      </c>
      <c r="O2445">
        <v>30</v>
      </c>
      <c r="P2445" s="1">
        <v>0.32300000000000001</v>
      </c>
      <c r="Q2445" s="1">
        <v>0.81200000000000006</v>
      </c>
      <c r="R2445">
        <v>405</v>
      </c>
      <c r="S2445">
        <v>46</v>
      </c>
      <c r="T2445">
        <v>116</v>
      </c>
      <c r="U2445">
        <v>105</v>
      </c>
      <c r="V2445">
        <v>32</v>
      </c>
      <c r="W2445">
        <v>28</v>
      </c>
      <c r="X2445">
        <v>47</v>
      </c>
      <c r="Y2445">
        <v>2.23</v>
      </c>
    </row>
    <row r="2446" spans="1:25" x14ac:dyDescent="0.25">
      <c r="A2446">
        <v>2024</v>
      </c>
      <c r="B2446" t="s">
        <v>57</v>
      </c>
      <c r="C2446">
        <v>9</v>
      </c>
      <c r="D2446">
        <v>91</v>
      </c>
      <c r="E2446" t="s">
        <v>16</v>
      </c>
      <c r="F2446" t="s">
        <v>51</v>
      </c>
      <c r="G2446">
        <f t="shared" si="1870"/>
        <v>1</v>
      </c>
      <c r="H2446">
        <v>10</v>
      </c>
      <c r="I2446">
        <v>2</v>
      </c>
      <c r="J2446">
        <v>1</v>
      </c>
      <c r="K2446" s="6" t="str">
        <f t="shared" ref="K2446" si="1975">"vs "&amp;E2447</f>
        <v>vs Tsarlatans</v>
      </c>
      <c r="L2446" s="6" t="str">
        <f t="shared" ref="L2446" si="1976">"vs "&amp;F2447</f>
        <v>vs Tzokos</v>
      </c>
      <c r="M2446">
        <v>221</v>
      </c>
      <c r="N2446" s="1">
        <v>0.51900000000000002</v>
      </c>
      <c r="O2446">
        <v>85</v>
      </c>
      <c r="P2446" s="1">
        <v>0.45</v>
      </c>
      <c r="Q2446" s="1">
        <v>0.83299999999999996</v>
      </c>
      <c r="R2446">
        <v>622</v>
      </c>
      <c r="S2446">
        <v>30</v>
      </c>
      <c r="T2446">
        <v>145</v>
      </c>
      <c r="U2446">
        <v>181</v>
      </c>
      <c r="V2446">
        <v>27</v>
      </c>
      <c r="W2446">
        <v>31</v>
      </c>
      <c r="X2446">
        <v>71</v>
      </c>
      <c r="Y2446">
        <v>2.5499999999999998</v>
      </c>
    </row>
    <row r="2447" spans="1:25" x14ac:dyDescent="0.25">
      <c r="A2447">
        <v>2024</v>
      </c>
      <c r="B2447" t="s">
        <v>57</v>
      </c>
      <c r="C2447">
        <v>9</v>
      </c>
      <c r="D2447">
        <v>91</v>
      </c>
      <c r="E2447" t="s">
        <v>99</v>
      </c>
      <c r="F2447" t="s">
        <v>45</v>
      </c>
      <c r="G2447">
        <f t="shared" si="1870"/>
        <v>0</v>
      </c>
      <c r="H2447">
        <v>2</v>
      </c>
      <c r="I2447">
        <v>10</v>
      </c>
      <c r="J2447">
        <v>1</v>
      </c>
      <c r="K2447" s="6" t="str">
        <f t="shared" ref="K2447" si="1977">"vs "&amp;E2446</f>
        <v>vs The Bridgeburners</v>
      </c>
      <c r="L2447" s="6" t="str">
        <f t="shared" ref="L2447" si="1978">"vs "&amp;F2446</f>
        <v>vs Fanis</v>
      </c>
      <c r="M2447">
        <v>150</v>
      </c>
      <c r="N2447" s="1">
        <v>0.48399999999999999</v>
      </c>
      <c r="O2447">
        <v>35</v>
      </c>
      <c r="P2447" s="1">
        <v>0.32400000000000001</v>
      </c>
      <c r="Q2447" s="1">
        <v>0.85299999999999998</v>
      </c>
      <c r="R2447">
        <v>393</v>
      </c>
      <c r="S2447">
        <v>28</v>
      </c>
      <c r="T2447">
        <v>99</v>
      </c>
      <c r="U2447">
        <v>88</v>
      </c>
      <c r="V2447">
        <v>27</v>
      </c>
      <c r="W2447">
        <v>23</v>
      </c>
      <c r="X2447">
        <v>48</v>
      </c>
      <c r="Y2447">
        <v>1.83</v>
      </c>
    </row>
    <row r="2448" spans="1:25" x14ac:dyDescent="0.25">
      <c r="A2448">
        <v>2024</v>
      </c>
      <c r="B2448" t="s">
        <v>57</v>
      </c>
      <c r="C2448">
        <v>9</v>
      </c>
      <c r="D2448">
        <v>92</v>
      </c>
      <c r="E2448" t="s">
        <v>28</v>
      </c>
      <c r="F2448" t="s">
        <v>46</v>
      </c>
      <c r="G2448">
        <f t="shared" si="1870"/>
        <v>1</v>
      </c>
      <c r="H2448">
        <v>7</v>
      </c>
      <c r="I2448">
        <v>6</v>
      </c>
      <c r="J2448">
        <v>0</v>
      </c>
      <c r="K2448" s="6" t="str">
        <f t="shared" ref="K2448" si="1979">"vs "&amp;E2449</f>
        <v>vs Xanthi Ducks 🦆</v>
      </c>
      <c r="L2448" s="6" t="str">
        <f t="shared" ref="L2448" si="1980">"vs "&amp;F2449</f>
        <v>vs Kotakis</v>
      </c>
      <c r="M2448">
        <v>207</v>
      </c>
      <c r="N2448" s="1">
        <v>0.51100000000000001</v>
      </c>
      <c r="O2448">
        <v>59</v>
      </c>
      <c r="P2448" s="1">
        <v>0.40400000000000003</v>
      </c>
      <c r="Q2448" s="1">
        <v>0.84699999999999998</v>
      </c>
      <c r="R2448">
        <v>573</v>
      </c>
      <c r="S2448">
        <v>52</v>
      </c>
      <c r="T2448">
        <v>167</v>
      </c>
      <c r="U2448">
        <v>133</v>
      </c>
      <c r="V2448">
        <v>27</v>
      </c>
      <c r="W2448">
        <v>39</v>
      </c>
      <c r="X2448">
        <v>65</v>
      </c>
      <c r="Y2448">
        <v>2.0499999999999998</v>
      </c>
    </row>
    <row r="2449" spans="1:25" x14ac:dyDescent="0.25">
      <c r="A2449">
        <v>2024</v>
      </c>
      <c r="B2449" t="s">
        <v>57</v>
      </c>
      <c r="C2449">
        <v>9</v>
      </c>
      <c r="D2449">
        <v>92</v>
      </c>
      <c r="E2449" t="s">
        <v>98</v>
      </c>
      <c r="F2449" t="s">
        <v>41</v>
      </c>
      <c r="G2449">
        <f t="shared" si="1870"/>
        <v>0</v>
      </c>
      <c r="H2449">
        <v>6</v>
      </c>
      <c r="I2449">
        <v>7</v>
      </c>
      <c r="J2449">
        <v>0</v>
      </c>
      <c r="K2449" s="6" t="str">
        <f t="shared" ref="K2449" si="1981">"vs "&amp;E2448</f>
        <v>vs Steven Adams' Moustache</v>
      </c>
      <c r="L2449" s="6" t="str">
        <f t="shared" ref="L2449" si="1982">"vs "&amp;F2448</f>
        <v>vs Johnny</v>
      </c>
      <c r="M2449">
        <v>225</v>
      </c>
      <c r="N2449" s="1">
        <v>0.48399999999999999</v>
      </c>
      <c r="O2449">
        <v>51</v>
      </c>
      <c r="P2449" s="1">
        <v>0.33100000000000002</v>
      </c>
      <c r="Q2449" s="1">
        <v>0.85799999999999998</v>
      </c>
      <c r="R2449">
        <v>592</v>
      </c>
      <c r="S2449">
        <v>43</v>
      </c>
      <c r="T2449">
        <v>141</v>
      </c>
      <c r="U2449">
        <v>158</v>
      </c>
      <c r="V2449">
        <v>23</v>
      </c>
      <c r="W2449">
        <v>27</v>
      </c>
      <c r="X2449">
        <v>49</v>
      </c>
      <c r="Y2449">
        <v>3.22</v>
      </c>
    </row>
    <row r="2450" spans="1:25" x14ac:dyDescent="0.25">
      <c r="A2450">
        <v>2024</v>
      </c>
      <c r="B2450" t="s">
        <v>57</v>
      </c>
      <c r="C2450">
        <v>9</v>
      </c>
      <c r="D2450">
        <v>93</v>
      </c>
      <c r="E2450" t="s">
        <v>26</v>
      </c>
      <c r="F2450" t="s">
        <v>118</v>
      </c>
      <c r="G2450">
        <f t="shared" si="1870"/>
        <v>0</v>
      </c>
      <c r="H2450">
        <v>5</v>
      </c>
      <c r="I2450">
        <v>7</v>
      </c>
      <c r="J2450">
        <v>1</v>
      </c>
      <c r="K2450" s="6" t="str">
        <f t="shared" ref="K2450" si="1983">"vs "&amp;E2451</f>
        <v>vs Baltimore Hercules</v>
      </c>
      <c r="L2450" s="6" t="str">
        <f t="shared" ref="L2450" si="1984">"vs "&amp;F2451</f>
        <v>vs Sarantos</v>
      </c>
      <c r="M2450">
        <v>136</v>
      </c>
      <c r="N2450" s="1">
        <v>0.437</v>
      </c>
      <c r="O2450">
        <v>35</v>
      </c>
      <c r="P2450" s="1">
        <v>0.28000000000000003</v>
      </c>
      <c r="Q2450" s="1">
        <v>0.86899999999999999</v>
      </c>
      <c r="R2450">
        <v>380</v>
      </c>
      <c r="S2450">
        <v>36</v>
      </c>
      <c r="T2450">
        <v>131</v>
      </c>
      <c r="U2450">
        <v>65</v>
      </c>
      <c r="V2450">
        <v>27</v>
      </c>
      <c r="W2450">
        <v>22</v>
      </c>
      <c r="X2450">
        <v>44</v>
      </c>
      <c r="Y2450">
        <v>1.48</v>
      </c>
    </row>
    <row r="2451" spans="1:25" x14ac:dyDescent="0.25">
      <c r="A2451">
        <v>2024</v>
      </c>
      <c r="B2451" t="s">
        <v>57</v>
      </c>
      <c r="C2451">
        <v>9</v>
      </c>
      <c r="D2451">
        <v>93</v>
      </c>
      <c r="E2451" t="s">
        <v>95</v>
      </c>
      <c r="F2451" t="s">
        <v>101</v>
      </c>
      <c r="G2451">
        <f t="shared" si="1870"/>
        <v>1</v>
      </c>
      <c r="H2451">
        <v>7</v>
      </c>
      <c r="I2451">
        <v>5</v>
      </c>
      <c r="J2451">
        <v>1</v>
      </c>
      <c r="K2451" s="6" t="str">
        <f t="shared" ref="K2451" si="1985">"vs "&amp;E2450</f>
        <v>vs Kourayo Vallecano</v>
      </c>
      <c r="L2451" s="6" t="str">
        <f t="shared" ref="L2451" si="1986">"vs "&amp;F2450</f>
        <v>vs Ziogas/Christof</v>
      </c>
      <c r="M2451">
        <v>111</v>
      </c>
      <c r="N2451" s="1">
        <v>0.496</v>
      </c>
      <c r="O2451">
        <v>40</v>
      </c>
      <c r="P2451" s="1">
        <v>0.40400000000000003</v>
      </c>
      <c r="Q2451" s="1">
        <v>0.79200000000000004</v>
      </c>
      <c r="R2451">
        <v>300</v>
      </c>
      <c r="S2451">
        <v>24</v>
      </c>
      <c r="T2451">
        <v>82</v>
      </c>
      <c r="U2451">
        <v>68</v>
      </c>
      <c r="V2451">
        <v>27</v>
      </c>
      <c r="W2451">
        <v>25</v>
      </c>
      <c r="X2451">
        <v>25</v>
      </c>
      <c r="Y2451">
        <v>2.72</v>
      </c>
    </row>
    <row r="2452" spans="1:25" x14ac:dyDescent="0.25">
      <c r="A2452">
        <v>2024</v>
      </c>
      <c r="B2452" t="s">
        <v>57</v>
      </c>
      <c r="C2452">
        <v>9</v>
      </c>
      <c r="D2452">
        <v>94</v>
      </c>
      <c r="E2452" t="s">
        <v>186</v>
      </c>
      <c r="F2452" t="s">
        <v>103</v>
      </c>
      <c r="G2452">
        <f t="shared" si="1870"/>
        <v>1</v>
      </c>
      <c r="H2452">
        <v>9</v>
      </c>
      <c r="I2452">
        <v>4</v>
      </c>
      <c r="J2452">
        <v>0</v>
      </c>
      <c r="K2452" s="6" t="str">
        <f t="shared" ref="K2452" si="1987">"vs "&amp;E2453</f>
        <v>vs st.Helens Eruptions</v>
      </c>
      <c r="L2452" s="6" t="str">
        <f t="shared" ref="L2452" si="1988">"vs "&amp;F2453</f>
        <v>vs Aris</v>
      </c>
      <c r="M2452">
        <v>226</v>
      </c>
      <c r="N2452" s="1">
        <v>0.49099999999999999</v>
      </c>
      <c r="O2452">
        <v>62</v>
      </c>
      <c r="P2452" s="1">
        <v>0.39200000000000002</v>
      </c>
      <c r="Q2452" s="1">
        <v>0.81799999999999995</v>
      </c>
      <c r="R2452">
        <v>622</v>
      </c>
      <c r="S2452">
        <v>45</v>
      </c>
      <c r="T2452">
        <v>140</v>
      </c>
      <c r="U2452">
        <v>144</v>
      </c>
      <c r="V2452">
        <v>29</v>
      </c>
      <c r="W2452">
        <v>20</v>
      </c>
      <c r="X2452">
        <v>77</v>
      </c>
      <c r="Y2452">
        <v>1.87</v>
      </c>
    </row>
    <row r="2453" spans="1:25" x14ac:dyDescent="0.25">
      <c r="A2453">
        <v>2024</v>
      </c>
      <c r="B2453" t="s">
        <v>57</v>
      </c>
      <c r="C2453">
        <v>9</v>
      </c>
      <c r="D2453">
        <v>94</v>
      </c>
      <c r="E2453" t="s">
        <v>21</v>
      </c>
      <c r="F2453" t="s">
        <v>50</v>
      </c>
      <c r="G2453">
        <f t="shared" si="1870"/>
        <v>0</v>
      </c>
      <c r="H2453">
        <v>4</v>
      </c>
      <c r="I2453">
        <v>9</v>
      </c>
      <c r="J2453">
        <v>0</v>
      </c>
      <c r="K2453" s="6" t="str">
        <f t="shared" ref="K2453" si="1989">"vs "&amp;E2452</f>
        <v>vs Karafli Saita</v>
      </c>
      <c r="L2453" s="6" t="str">
        <f t="shared" ref="L2453" si="1990">"vs "&amp;F2452</f>
        <v>vs Tassos</v>
      </c>
      <c r="M2453">
        <v>148</v>
      </c>
      <c r="N2453" s="1">
        <v>0.50700000000000001</v>
      </c>
      <c r="O2453">
        <v>19</v>
      </c>
      <c r="P2453" s="1">
        <v>0.32200000000000001</v>
      </c>
      <c r="Q2453" s="1">
        <v>0.72899999999999998</v>
      </c>
      <c r="R2453">
        <v>393</v>
      </c>
      <c r="S2453">
        <v>57</v>
      </c>
      <c r="T2453">
        <v>111</v>
      </c>
      <c r="U2453">
        <v>100</v>
      </c>
      <c r="V2453">
        <v>26</v>
      </c>
      <c r="W2453">
        <v>12</v>
      </c>
      <c r="X2453">
        <v>45</v>
      </c>
      <c r="Y2453">
        <v>2.2200000000000002</v>
      </c>
    </row>
    <row r="2454" spans="1:25" x14ac:dyDescent="0.25">
      <c r="A2454">
        <v>2024</v>
      </c>
      <c r="B2454" t="s">
        <v>57</v>
      </c>
      <c r="C2454">
        <v>9</v>
      </c>
      <c r="D2454">
        <v>95</v>
      </c>
      <c r="E2454" t="s">
        <v>185</v>
      </c>
      <c r="F2454" t="s">
        <v>100</v>
      </c>
      <c r="G2454">
        <f t="shared" si="1870"/>
        <v>0</v>
      </c>
      <c r="H2454">
        <v>1</v>
      </c>
      <c r="I2454">
        <v>11</v>
      </c>
      <c r="J2454">
        <v>1</v>
      </c>
      <c r="K2454" s="6" t="str">
        <f t="shared" ref="K2454" si="1991">"vs "&amp;E2455</f>
        <v>vs Samarina Dudenbros</v>
      </c>
      <c r="L2454" s="6" t="str">
        <f t="shared" ref="L2454" si="1992">"vs "&amp;F2455</f>
        <v>vs Sakellariou</v>
      </c>
      <c r="M2454">
        <v>164</v>
      </c>
      <c r="N2454" s="1">
        <v>0.48</v>
      </c>
      <c r="O2454">
        <v>53</v>
      </c>
      <c r="P2454" s="1">
        <v>0.39600000000000002</v>
      </c>
      <c r="Q2454" s="1">
        <v>0.877</v>
      </c>
      <c r="R2454">
        <v>431</v>
      </c>
      <c r="S2454">
        <v>29</v>
      </c>
      <c r="T2454">
        <v>111</v>
      </c>
      <c r="U2454">
        <v>84</v>
      </c>
      <c r="V2454">
        <v>26</v>
      </c>
      <c r="W2454">
        <v>12</v>
      </c>
      <c r="X2454">
        <v>46</v>
      </c>
      <c r="Y2454">
        <v>1.83</v>
      </c>
    </row>
    <row r="2455" spans="1:25" x14ac:dyDescent="0.25">
      <c r="A2455">
        <v>2024</v>
      </c>
      <c r="B2455" t="s">
        <v>57</v>
      </c>
      <c r="C2455">
        <v>9</v>
      </c>
      <c r="D2455">
        <v>95</v>
      </c>
      <c r="E2455" t="s">
        <v>181</v>
      </c>
      <c r="F2455" t="s">
        <v>49</v>
      </c>
      <c r="G2455">
        <f t="shared" si="1870"/>
        <v>1</v>
      </c>
      <c r="H2455">
        <v>11</v>
      </c>
      <c r="I2455">
        <v>1</v>
      </c>
      <c r="J2455">
        <v>1</v>
      </c>
      <c r="K2455" s="6" t="str">
        <f t="shared" ref="K2455" si="1993">"vs "&amp;E2454</f>
        <v>vs Paralouistas</v>
      </c>
      <c r="L2455" s="6" t="str">
        <f t="shared" ref="L2455" si="1994">"vs "&amp;F2454</f>
        <v>vs Panos</v>
      </c>
      <c r="M2455">
        <v>197</v>
      </c>
      <c r="N2455" s="1">
        <v>0.501</v>
      </c>
      <c r="O2455">
        <v>63</v>
      </c>
      <c r="P2455" s="1">
        <v>0.42899999999999999</v>
      </c>
      <c r="Q2455" s="1">
        <v>0.88900000000000001</v>
      </c>
      <c r="R2455">
        <v>537</v>
      </c>
      <c r="S2455">
        <v>29</v>
      </c>
      <c r="T2455">
        <v>138</v>
      </c>
      <c r="U2455">
        <v>146</v>
      </c>
      <c r="V2455">
        <v>32</v>
      </c>
      <c r="W2455">
        <v>25</v>
      </c>
      <c r="X2455">
        <v>62</v>
      </c>
      <c r="Y2455">
        <v>2.35</v>
      </c>
    </row>
    <row r="2456" spans="1:25" x14ac:dyDescent="0.25">
      <c r="A2456">
        <v>2024</v>
      </c>
      <c r="B2456" t="s">
        <v>57</v>
      </c>
      <c r="C2456">
        <v>9</v>
      </c>
      <c r="D2456">
        <v>96</v>
      </c>
      <c r="E2456" t="s">
        <v>159</v>
      </c>
      <c r="F2456" t="s">
        <v>116</v>
      </c>
      <c r="G2456">
        <f t="shared" si="1870"/>
        <v>1</v>
      </c>
      <c r="H2456">
        <v>10</v>
      </c>
      <c r="I2456">
        <v>3</v>
      </c>
      <c r="J2456">
        <v>0</v>
      </c>
      <c r="K2456" s="6" t="str">
        <f t="shared" ref="K2456" si="1995">"vs "&amp;E2457</f>
        <v>vs Pachiana NinjaBees</v>
      </c>
      <c r="L2456" s="6" t="str">
        <f t="shared" ref="L2456" si="1996">"vs "&amp;F2457</f>
        <v>vs Spiridaus/Oladipas</v>
      </c>
      <c r="M2456">
        <v>213</v>
      </c>
      <c r="N2456" s="1">
        <v>0.50700000000000001</v>
      </c>
      <c r="O2456">
        <v>57</v>
      </c>
      <c r="P2456" s="1">
        <v>0.375</v>
      </c>
      <c r="Q2456" s="1">
        <v>0.84799999999999998</v>
      </c>
      <c r="R2456">
        <v>589</v>
      </c>
      <c r="S2456">
        <v>41</v>
      </c>
      <c r="T2456">
        <v>133</v>
      </c>
      <c r="U2456">
        <v>155</v>
      </c>
      <c r="V2456">
        <v>30</v>
      </c>
      <c r="W2456">
        <v>15</v>
      </c>
      <c r="X2456">
        <v>54</v>
      </c>
      <c r="Y2456">
        <v>2.87</v>
      </c>
    </row>
    <row r="2457" spans="1:25" x14ac:dyDescent="0.25">
      <c r="A2457">
        <v>2024</v>
      </c>
      <c r="B2457" t="s">
        <v>57</v>
      </c>
      <c r="C2457">
        <v>9</v>
      </c>
      <c r="D2457">
        <v>96</v>
      </c>
      <c r="E2457" t="s">
        <v>23</v>
      </c>
      <c r="F2457" t="s">
        <v>120</v>
      </c>
      <c r="G2457">
        <f t="shared" si="1870"/>
        <v>0</v>
      </c>
      <c r="H2457">
        <v>3</v>
      </c>
      <c r="I2457">
        <v>10</v>
      </c>
      <c r="J2457">
        <v>0</v>
      </c>
      <c r="K2457" s="6" t="str">
        <f t="shared" ref="K2457" si="1997">"vs "&amp;E2456</f>
        <v>vs purple fuzzy apache pirates</v>
      </c>
      <c r="L2457" s="6" t="str">
        <f t="shared" ref="L2457" si="1998">"vs "&amp;F2456</f>
        <v>vs pi/Sotiris</v>
      </c>
      <c r="M2457">
        <v>148</v>
      </c>
      <c r="N2457" s="1">
        <v>0.47699999999999998</v>
      </c>
      <c r="O2457">
        <v>50</v>
      </c>
      <c r="P2457" s="1">
        <v>0.39100000000000001</v>
      </c>
      <c r="Q2457" s="1">
        <v>0.79300000000000004</v>
      </c>
      <c r="R2457">
        <v>392</v>
      </c>
      <c r="S2457">
        <v>14</v>
      </c>
      <c r="T2457">
        <v>85</v>
      </c>
      <c r="U2457">
        <v>122</v>
      </c>
      <c r="V2457">
        <v>22</v>
      </c>
      <c r="W2457">
        <v>21</v>
      </c>
      <c r="X2457">
        <v>49</v>
      </c>
      <c r="Y2457">
        <v>2.4900000000000002</v>
      </c>
    </row>
    <row r="2458" spans="1:25" x14ac:dyDescent="0.25">
      <c r="A2458">
        <v>2024</v>
      </c>
      <c r="B2458" t="s">
        <v>57</v>
      </c>
      <c r="C2458">
        <v>9</v>
      </c>
      <c r="D2458">
        <v>97</v>
      </c>
      <c r="E2458" t="s">
        <v>15</v>
      </c>
      <c r="F2458" t="s">
        <v>48</v>
      </c>
      <c r="G2458">
        <f t="shared" ref="G2458:G2521" si="1999">IF(H2458+0.5*J2458&gt;6.5,1,0)</f>
        <v>1</v>
      </c>
      <c r="H2458">
        <v>8</v>
      </c>
      <c r="I2458">
        <v>5</v>
      </c>
      <c r="J2458">
        <v>0</v>
      </c>
      <c r="K2458" s="6" t="str">
        <f t="shared" ref="K2458" si="2000">"vs "&amp;E2459</f>
        <v>vs Knights of Ni</v>
      </c>
      <c r="L2458" s="6" t="str">
        <f t="shared" ref="L2458" si="2001">"vs "&amp;F2459</f>
        <v>vs Tolios</v>
      </c>
      <c r="M2458">
        <v>206</v>
      </c>
      <c r="N2458" s="1">
        <v>0.52600000000000002</v>
      </c>
      <c r="O2458">
        <v>75</v>
      </c>
      <c r="P2458" s="1">
        <v>0.42399999999999999</v>
      </c>
      <c r="Q2458" s="1">
        <v>0.83499999999999996</v>
      </c>
      <c r="R2458">
        <v>568</v>
      </c>
      <c r="S2458">
        <v>23</v>
      </c>
      <c r="T2458">
        <v>105</v>
      </c>
      <c r="U2458">
        <v>119</v>
      </c>
      <c r="V2458">
        <v>25</v>
      </c>
      <c r="W2458">
        <v>11</v>
      </c>
      <c r="X2458">
        <v>63</v>
      </c>
      <c r="Y2458">
        <v>1.89</v>
      </c>
    </row>
    <row r="2459" spans="1:25" x14ac:dyDescent="0.25">
      <c r="A2459">
        <v>2024</v>
      </c>
      <c r="B2459" t="s">
        <v>57</v>
      </c>
      <c r="C2459">
        <v>9</v>
      </c>
      <c r="D2459">
        <v>97</v>
      </c>
      <c r="E2459" t="s">
        <v>96</v>
      </c>
      <c r="F2459" t="s">
        <v>102</v>
      </c>
      <c r="G2459">
        <f t="shared" si="1999"/>
        <v>0</v>
      </c>
      <c r="H2459">
        <v>5</v>
      </c>
      <c r="I2459">
        <v>8</v>
      </c>
      <c r="J2459">
        <v>0</v>
      </c>
      <c r="K2459" s="6" t="str">
        <f t="shared" ref="K2459" si="2002">"vs "&amp;E2458</f>
        <v>vs Salonika Devils</v>
      </c>
      <c r="L2459" s="6" t="str">
        <f t="shared" ref="L2459" si="2003">"vs "&amp;F2458</f>
        <v>vs Fountos</v>
      </c>
      <c r="M2459">
        <v>147</v>
      </c>
      <c r="N2459" s="1">
        <v>0.47299999999999998</v>
      </c>
      <c r="O2459">
        <v>26</v>
      </c>
      <c r="P2459" s="1">
        <v>0.34699999999999998</v>
      </c>
      <c r="Q2459" s="1">
        <v>0.77</v>
      </c>
      <c r="R2459">
        <v>377</v>
      </c>
      <c r="S2459">
        <v>64</v>
      </c>
      <c r="T2459">
        <v>108</v>
      </c>
      <c r="U2459">
        <v>82</v>
      </c>
      <c r="V2459">
        <v>16</v>
      </c>
      <c r="W2459">
        <v>21</v>
      </c>
      <c r="X2459">
        <v>28</v>
      </c>
      <c r="Y2459">
        <v>2.93</v>
      </c>
    </row>
    <row r="2460" spans="1:25" x14ac:dyDescent="0.25">
      <c r="A2460">
        <v>2024</v>
      </c>
      <c r="B2460" t="s">
        <v>57</v>
      </c>
      <c r="C2460">
        <v>9</v>
      </c>
      <c r="D2460">
        <v>98</v>
      </c>
      <c r="E2460" t="s">
        <v>33</v>
      </c>
      <c r="F2460" t="s">
        <v>42</v>
      </c>
      <c r="G2460">
        <f t="shared" si="1999"/>
        <v>0</v>
      </c>
      <c r="H2460">
        <v>6</v>
      </c>
      <c r="I2460">
        <v>7</v>
      </c>
      <c r="J2460">
        <v>0</v>
      </c>
      <c r="K2460" s="6" t="str">
        <f t="shared" ref="K2460" si="2004">"vs "&amp;E2461</f>
        <v>vs LRBP PR3DATORS</v>
      </c>
      <c r="L2460" s="6" t="str">
        <f t="shared" ref="L2460" si="2005">"vs "&amp;F2461</f>
        <v>vs Lafa</v>
      </c>
      <c r="M2460">
        <v>198</v>
      </c>
      <c r="N2460" s="1">
        <v>0.51</v>
      </c>
      <c r="O2460">
        <v>33</v>
      </c>
      <c r="P2460" s="1">
        <v>0.33300000000000002</v>
      </c>
      <c r="Q2460" s="1">
        <v>0.85399999999999998</v>
      </c>
      <c r="R2460">
        <v>552</v>
      </c>
      <c r="S2460">
        <v>56</v>
      </c>
      <c r="T2460">
        <v>145</v>
      </c>
      <c r="U2460">
        <v>96</v>
      </c>
      <c r="V2460">
        <v>33</v>
      </c>
      <c r="W2460">
        <v>33</v>
      </c>
      <c r="X2460">
        <v>46</v>
      </c>
      <c r="Y2460">
        <v>2.09</v>
      </c>
    </row>
    <row r="2461" spans="1:25" x14ac:dyDescent="0.25">
      <c r="A2461">
        <v>2024</v>
      </c>
      <c r="B2461" t="s">
        <v>57</v>
      </c>
      <c r="C2461">
        <v>9</v>
      </c>
      <c r="D2461">
        <v>98</v>
      </c>
      <c r="E2461" t="s">
        <v>158</v>
      </c>
      <c r="F2461" t="s">
        <v>177</v>
      </c>
      <c r="G2461">
        <f t="shared" si="1999"/>
        <v>1</v>
      </c>
      <c r="H2461">
        <v>7</v>
      </c>
      <c r="I2461">
        <v>6</v>
      </c>
      <c r="J2461">
        <v>0</v>
      </c>
      <c r="K2461" s="6" t="str">
        <f t="shared" ref="K2461" si="2006">"vs "&amp;E2460</f>
        <v>vs The Guns</v>
      </c>
      <c r="L2461" s="6" t="str">
        <f t="shared" ref="L2461" si="2007">"vs "&amp;F2460</f>
        <v>vs Vasilis</v>
      </c>
      <c r="M2461">
        <v>219</v>
      </c>
      <c r="N2461" s="1">
        <v>0.47699999999999998</v>
      </c>
      <c r="O2461">
        <v>72</v>
      </c>
      <c r="P2461" s="1">
        <v>0.442</v>
      </c>
      <c r="Q2461" s="1">
        <v>0.77600000000000002</v>
      </c>
      <c r="R2461">
        <v>624</v>
      </c>
      <c r="S2461">
        <v>42</v>
      </c>
      <c r="T2461">
        <v>154</v>
      </c>
      <c r="U2461">
        <v>124</v>
      </c>
      <c r="V2461">
        <v>17</v>
      </c>
      <c r="W2461">
        <v>16</v>
      </c>
      <c r="X2461">
        <v>47</v>
      </c>
      <c r="Y2461">
        <v>2.64</v>
      </c>
    </row>
    <row r="2462" spans="1:25" x14ac:dyDescent="0.25">
      <c r="A2462">
        <v>2024</v>
      </c>
      <c r="B2462" t="s">
        <v>57</v>
      </c>
      <c r="C2462">
        <v>9</v>
      </c>
      <c r="D2462">
        <v>99</v>
      </c>
      <c r="E2462" t="s">
        <v>184</v>
      </c>
      <c r="F2462" t="s">
        <v>188</v>
      </c>
      <c r="G2462">
        <f t="shared" si="1999"/>
        <v>0</v>
      </c>
      <c r="H2462">
        <v>5</v>
      </c>
      <c r="I2462">
        <v>8</v>
      </c>
      <c r="J2462">
        <v>0</v>
      </c>
      <c r="K2462" s="6" t="str">
        <f t="shared" ref="K2462" si="2008">"vs "&amp;E2463</f>
        <v>vs Guruuu 🐐🐐🐐</v>
      </c>
      <c r="L2462" s="6" t="str">
        <f t="shared" ref="L2462" si="2009">"vs "&amp;F2463</f>
        <v>vs Guru</v>
      </c>
      <c r="M2462">
        <v>126</v>
      </c>
      <c r="N2462" s="1">
        <v>0.51400000000000001</v>
      </c>
      <c r="O2462">
        <v>25</v>
      </c>
      <c r="P2462" s="1">
        <v>0.32500000000000001</v>
      </c>
      <c r="Q2462" s="1">
        <v>0.72399999999999998</v>
      </c>
      <c r="R2462">
        <v>332</v>
      </c>
      <c r="S2462">
        <v>61</v>
      </c>
      <c r="T2462">
        <v>113</v>
      </c>
      <c r="U2462">
        <v>59</v>
      </c>
      <c r="V2462">
        <v>15</v>
      </c>
      <c r="W2462">
        <v>16</v>
      </c>
      <c r="X2462">
        <v>31</v>
      </c>
      <c r="Y2462">
        <v>1.9</v>
      </c>
    </row>
    <row r="2463" spans="1:25" x14ac:dyDescent="0.25">
      <c r="A2463">
        <v>2024</v>
      </c>
      <c r="B2463" t="s">
        <v>57</v>
      </c>
      <c r="C2463">
        <v>9</v>
      </c>
      <c r="D2463">
        <v>99</v>
      </c>
      <c r="E2463" t="s">
        <v>93</v>
      </c>
      <c r="F2463" t="s">
        <v>189</v>
      </c>
      <c r="G2463">
        <f t="shared" si="1999"/>
        <v>1</v>
      </c>
      <c r="H2463">
        <v>8</v>
      </c>
      <c r="I2463">
        <v>5</v>
      </c>
      <c r="J2463">
        <v>0</v>
      </c>
      <c r="K2463" s="6" t="str">
        <f t="shared" ref="K2463" si="2010">"vs "&amp;E2462</f>
        <v>vs Heraklion Snakes</v>
      </c>
      <c r="L2463" s="6" t="str">
        <f t="shared" ref="L2463" si="2011">"vs "&amp;F2462</f>
        <v>vs Dimitris</v>
      </c>
      <c r="M2463">
        <v>177</v>
      </c>
      <c r="N2463" s="1">
        <v>0.438</v>
      </c>
      <c r="O2463">
        <v>69</v>
      </c>
      <c r="P2463" s="1">
        <v>0.35899999999999999</v>
      </c>
      <c r="Q2463" s="1">
        <v>0.81499999999999995</v>
      </c>
      <c r="R2463">
        <v>476</v>
      </c>
      <c r="S2463">
        <v>14</v>
      </c>
      <c r="T2463">
        <v>109</v>
      </c>
      <c r="U2463">
        <v>117</v>
      </c>
      <c r="V2463">
        <v>30</v>
      </c>
      <c r="W2463">
        <v>7</v>
      </c>
      <c r="X2463">
        <v>49</v>
      </c>
      <c r="Y2463">
        <v>2.39</v>
      </c>
    </row>
    <row r="2464" spans="1:25" x14ac:dyDescent="0.25">
      <c r="A2464">
        <v>2024</v>
      </c>
      <c r="B2464" t="s">
        <v>57</v>
      </c>
      <c r="C2464">
        <v>9</v>
      </c>
      <c r="D2464">
        <v>100</v>
      </c>
      <c r="E2464" t="s">
        <v>154</v>
      </c>
      <c r="F2464" t="s">
        <v>155</v>
      </c>
      <c r="G2464">
        <f t="shared" si="1999"/>
        <v>0</v>
      </c>
      <c r="H2464">
        <v>2</v>
      </c>
      <c r="I2464">
        <v>10</v>
      </c>
      <c r="J2464">
        <v>1</v>
      </c>
      <c r="K2464" s="6" t="str">
        <f t="shared" ref="K2464" si="2012">"vs "&amp;E2465</f>
        <v>vs Fighting Thaddeus</v>
      </c>
      <c r="L2464" s="6" t="str">
        <f t="shared" ref="L2464" si="2013">"vs "&amp;F2465</f>
        <v>vs Stavros</v>
      </c>
      <c r="M2464">
        <v>93</v>
      </c>
      <c r="N2464" s="1">
        <v>0.46700000000000003</v>
      </c>
      <c r="O2464">
        <v>18</v>
      </c>
      <c r="P2464" s="1">
        <v>0.34599999999999997</v>
      </c>
      <c r="Q2464" s="1">
        <v>0.73699999999999999</v>
      </c>
      <c r="R2464">
        <v>246</v>
      </c>
      <c r="S2464">
        <v>41</v>
      </c>
      <c r="T2464">
        <v>105</v>
      </c>
      <c r="U2464">
        <v>42</v>
      </c>
      <c r="V2464">
        <v>26</v>
      </c>
      <c r="W2464">
        <v>21</v>
      </c>
      <c r="X2464">
        <v>29</v>
      </c>
      <c r="Y2464">
        <v>1.45</v>
      </c>
    </row>
    <row r="2465" spans="1:25" x14ac:dyDescent="0.25">
      <c r="A2465">
        <v>2024</v>
      </c>
      <c r="B2465" t="s">
        <v>57</v>
      </c>
      <c r="C2465">
        <v>9</v>
      </c>
      <c r="D2465">
        <v>100</v>
      </c>
      <c r="E2465" t="s">
        <v>94</v>
      </c>
      <c r="F2465" t="s">
        <v>40</v>
      </c>
      <c r="G2465">
        <f t="shared" si="1999"/>
        <v>1</v>
      </c>
      <c r="H2465">
        <v>10</v>
      </c>
      <c r="I2465">
        <v>2</v>
      </c>
      <c r="J2465">
        <v>1</v>
      </c>
      <c r="K2465" s="6" t="str">
        <f t="shared" ref="K2465" si="2014">"vs "&amp;E2464</f>
        <v>vs The Bad Boys</v>
      </c>
      <c r="L2465" s="6" t="str">
        <f t="shared" ref="L2465" si="2015">"vs "&amp;F2464</f>
        <v>vs Arvanitis</v>
      </c>
      <c r="M2465">
        <v>190</v>
      </c>
      <c r="N2465" s="1">
        <v>0.46</v>
      </c>
      <c r="O2465">
        <v>73</v>
      </c>
      <c r="P2465" s="1">
        <v>0.38800000000000001</v>
      </c>
      <c r="Q2465" s="1">
        <v>0.78100000000000003</v>
      </c>
      <c r="R2465">
        <v>535</v>
      </c>
      <c r="S2465">
        <v>49</v>
      </c>
      <c r="T2465">
        <v>147</v>
      </c>
      <c r="U2465">
        <v>102</v>
      </c>
      <c r="V2465">
        <v>32</v>
      </c>
      <c r="W2465">
        <v>21</v>
      </c>
      <c r="X2465">
        <v>52</v>
      </c>
      <c r="Y2465">
        <v>1.96</v>
      </c>
    </row>
    <row r="2466" spans="1:25" x14ac:dyDescent="0.25">
      <c r="A2466">
        <v>2024</v>
      </c>
      <c r="B2466" t="s">
        <v>57</v>
      </c>
      <c r="C2466">
        <v>10</v>
      </c>
      <c r="D2466">
        <v>101</v>
      </c>
      <c r="E2466" t="s">
        <v>99</v>
      </c>
      <c r="F2466" t="s">
        <v>45</v>
      </c>
      <c r="G2466">
        <f t="shared" si="1999"/>
        <v>0</v>
      </c>
      <c r="H2466">
        <v>5</v>
      </c>
      <c r="I2466">
        <v>8</v>
      </c>
      <c r="J2466">
        <v>0</v>
      </c>
      <c r="K2466" s="6" t="str">
        <f t="shared" ref="K2466" si="2016">"vs "&amp;E2467</f>
        <v>vs Steven Adams' Moustache</v>
      </c>
      <c r="L2466" s="6" t="str">
        <f t="shared" ref="L2466" si="2017">"vs "&amp;F2467</f>
        <v>vs Johnny</v>
      </c>
      <c r="M2466">
        <v>120</v>
      </c>
      <c r="N2466" s="1">
        <v>0.47199999999999998</v>
      </c>
      <c r="O2466">
        <v>29</v>
      </c>
      <c r="P2466" s="1">
        <v>0.29899999999999999</v>
      </c>
      <c r="Q2466" s="1">
        <v>0.82799999999999996</v>
      </c>
      <c r="R2466">
        <v>322</v>
      </c>
      <c r="S2466">
        <v>13</v>
      </c>
      <c r="T2466">
        <v>76</v>
      </c>
      <c r="U2466">
        <v>78</v>
      </c>
      <c r="V2466">
        <v>22</v>
      </c>
      <c r="W2466">
        <v>17</v>
      </c>
      <c r="X2466">
        <v>33</v>
      </c>
      <c r="Y2466">
        <v>2.36</v>
      </c>
    </row>
    <row r="2467" spans="1:25" x14ac:dyDescent="0.25">
      <c r="A2467">
        <v>2024</v>
      </c>
      <c r="B2467" t="s">
        <v>57</v>
      </c>
      <c r="C2467">
        <v>10</v>
      </c>
      <c r="D2467">
        <v>101</v>
      </c>
      <c r="E2467" t="s">
        <v>28</v>
      </c>
      <c r="F2467" t="s">
        <v>46</v>
      </c>
      <c r="G2467">
        <f t="shared" si="1999"/>
        <v>1</v>
      </c>
      <c r="H2467">
        <v>8</v>
      </c>
      <c r="I2467">
        <v>5</v>
      </c>
      <c r="J2467">
        <v>0</v>
      </c>
      <c r="K2467" s="6" t="str">
        <f t="shared" ref="K2467" si="2018">"vs "&amp;E2466</f>
        <v>vs Tsarlatans</v>
      </c>
      <c r="L2467" s="6" t="str">
        <f t="shared" ref="L2467" si="2019">"vs "&amp;F2466</f>
        <v>vs Tzokos</v>
      </c>
      <c r="M2467">
        <v>143</v>
      </c>
      <c r="N2467" s="1">
        <v>0.45700000000000002</v>
      </c>
      <c r="O2467">
        <v>41</v>
      </c>
      <c r="P2467" s="1">
        <v>0.35699999999999998</v>
      </c>
      <c r="Q2467" s="1">
        <v>0.79800000000000004</v>
      </c>
      <c r="R2467">
        <v>430</v>
      </c>
      <c r="S2467">
        <v>47</v>
      </c>
      <c r="T2467">
        <v>100</v>
      </c>
      <c r="U2467">
        <v>76</v>
      </c>
      <c r="V2467">
        <v>32</v>
      </c>
      <c r="W2467">
        <v>19</v>
      </c>
      <c r="X2467">
        <v>39</v>
      </c>
      <c r="Y2467">
        <v>1.95</v>
      </c>
    </row>
    <row r="2468" spans="1:25" x14ac:dyDescent="0.25">
      <c r="A2468">
        <v>2024</v>
      </c>
      <c r="B2468" t="s">
        <v>57</v>
      </c>
      <c r="C2468">
        <v>10</v>
      </c>
      <c r="D2468">
        <v>102</v>
      </c>
      <c r="E2468" t="s">
        <v>16</v>
      </c>
      <c r="F2468" t="s">
        <v>51</v>
      </c>
      <c r="G2468">
        <f t="shared" si="1999"/>
        <v>1</v>
      </c>
      <c r="H2468">
        <v>9</v>
      </c>
      <c r="I2468">
        <v>4</v>
      </c>
      <c r="J2468">
        <v>0</v>
      </c>
      <c r="K2468" s="6" t="str">
        <f t="shared" ref="K2468" si="2020">"vs "&amp;E2469</f>
        <v>vs Kourayo Vallecano</v>
      </c>
      <c r="L2468" s="6" t="str">
        <f t="shared" ref="L2468" si="2021">"vs "&amp;F2469</f>
        <v>vs Ziogas/Christof</v>
      </c>
      <c r="M2468">
        <v>154</v>
      </c>
      <c r="N2468" s="1">
        <v>0.46200000000000002</v>
      </c>
      <c r="O2468">
        <v>48</v>
      </c>
      <c r="P2468" s="1">
        <v>0.33600000000000002</v>
      </c>
      <c r="Q2468" s="1">
        <v>0.755</v>
      </c>
      <c r="R2468">
        <v>439</v>
      </c>
      <c r="S2468">
        <v>25</v>
      </c>
      <c r="T2468">
        <v>81</v>
      </c>
      <c r="U2468">
        <v>122</v>
      </c>
      <c r="V2468">
        <v>28</v>
      </c>
      <c r="W2468">
        <v>21</v>
      </c>
      <c r="X2468">
        <v>40</v>
      </c>
      <c r="Y2468">
        <v>3.05</v>
      </c>
    </row>
    <row r="2469" spans="1:25" x14ac:dyDescent="0.25">
      <c r="A2469">
        <v>2024</v>
      </c>
      <c r="B2469" t="s">
        <v>57</v>
      </c>
      <c r="C2469">
        <v>10</v>
      </c>
      <c r="D2469">
        <v>102</v>
      </c>
      <c r="E2469" t="s">
        <v>26</v>
      </c>
      <c r="F2469" t="s">
        <v>118</v>
      </c>
      <c r="G2469">
        <f t="shared" si="1999"/>
        <v>0</v>
      </c>
      <c r="H2469">
        <v>4</v>
      </c>
      <c r="I2469">
        <v>9</v>
      </c>
      <c r="J2469">
        <v>0</v>
      </c>
      <c r="K2469" s="6" t="str">
        <f t="shared" ref="K2469" si="2022">"vs "&amp;E2468</f>
        <v>vs The Bridgeburners</v>
      </c>
      <c r="L2469" s="6" t="str">
        <f t="shared" ref="L2469" si="2023">"vs "&amp;F2468</f>
        <v>vs Fanis</v>
      </c>
      <c r="M2469">
        <v>148</v>
      </c>
      <c r="N2469" s="1">
        <v>0.46400000000000002</v>
      </c>
      <c r="O2469">
        <v>41</v>
      </c>
      <c r="P2469" s="1">
        <v>0.313</v>
      </c>
      <c r="Q2469" s="1">
        <v>0.83</v>
      </c>
      <c r="R2469">
        <v>410</v>
      </c>
      <c r="S2469">
        <v>42</v>
      </c>
      <c r="T2469">
        <v>151</v>
      </c>
      <c r="U2469">
        <v>80</v>
      </c>
      <c r="V2469">
        <v>19</v>
      </c>
      <c r="W2469">
        <v>11</v>
      </c>
      <c r="X2469">
        <v>58</v>
      </c>
      <c r="Y2469">
        <v>1.38</v>
      </c>
    </row>
    <row r="2470" spans="1:25" x14ac:dyDescent="0.25">
      <c r="A2470">
        <v>2024</v>
      </c>
      <c r="B2470" t="s">
        <v>57</v>
      </c>
      <c r="C2470">
        <v>10</v>
      </c>
      <c r="D2470">
        <v>103</v>
      </c>
      <c r="E2470" t="s">
        <v>98</v>
      </c>
      <c r="F2470" t="s">
        <v>41</v>
      </c>
      <c r="G2470">
        <f t="shared" si="1999"/>
        <v>1</v>
      </c>
      <c r="H2470">
        <v>8</v>
      </c>
      <c r="I2470">
        <v>5</v>
      </c>
      <c r="J2470">
        <v>0</v>
      </c>
      <c r="K2470" s="6" t="str">
        <f t="shared" ref="K2470" si="2024">"vs "&amp;E2471</f>
        <v>vs Karafli Saita</v>
      </c>
      <c r="L2470" s="6" t="str">
        <f t="shared" ref="L2470" si="2025">"vs "&amp;F2471</f>
        <v>vs Tassos</v>
      </c>
      <c r="M2470">
        <v>196</v>
      </c>
      <c r="N2470" s="1">
        <v>0.48299999999999998</v>
      </c>
      <c r="O2470">
        <v>48</v>
      </c>
      <c r="P2470" s="1">
        <v>0.36399999999999999</v>
      </c>
      <c r="Q2470" s="1">
        <v>0.755</v>
      </c>
      <c r="R2470">
        <v>514</v>
      </c>
      <c r="S2470">
        <v>35</v>
      </c>
      <c r="T2470">
        <v>150</v>
      </c>
      <c r="U2470">
        <v>147</v>
      </c>
      <c r="V2470">
        <v>26</v>
      </c>
      <c r="W2470">
        <v>24</v>
      </c>
      <c r="X2470">
        <v>51</v>
      </c>
      <c r="Y2470">
        <v>2.88</v>
      </c>
    </row>
    <row r="2471" spans="1:25" x14ac:dyDescent="0.25">
      <c r="A2471">
        <v>2024</v>
      </c>
      <c r="B2471" t="s">
        <v>57</v>
      </c>
      <c r="C2471">
        <v>10</v>
      </c>
      <c r="D2471">
        <v>103</v>
      </c>
      <c r="E2471" t="s">
        <v>186</v>
      </c>
      <c r="F2471" t="s">
        <v>103</v>
      </c>
      <c r="G2471">
        <f t="shared" si="1999"/>
        <v>0</v>
      </c>
      <c r="H2471">
        <v>5</v>
      </c>
      <c r="I2471">
        <v>8</v>
      </c>
      <c r="J2471">
        <v>0</v>
      </c>
      <c r="K2471" s="6" t="str">
        <f t="shared" ref="K2471" si="2026">"vs "&amp;E2470</f>
        <v>vs Xanthi Ducks 🦆</v>
      </c>
      <c r="L2471" s="6" t="str">
        <f t="shared" ref="L2471" si="2027">"vs "&amp;F2470</f>
        <v>vs Kotakis</v>
      </c>
      <c r="M2471">
        <v>182</v>
      </c>
      <c r="N2471" s="1">
        <v>0.47</v>
      </c>
      <c r="O2471">
        <v>54</v>
      </c>
      <c r="P2471" s="1">
        <v>0.38</v>
      </c>
      <c r="Q2471" s="1">
        <v>0.79200000000000004</v>
      </c>
      <c r="R2471">
        <v>513</v>
      </c>
      <c r="S2471">
        <v>41</v>
      </c>
      <c r="T2471">
        <v>136</v>
      </c>
      <c r="U2471">
        <v>122</v>
      </c>
      <c r="V2471">
        <v>31</v>
      </c>
      <c r="W2471">
        <v>17</v>
      </c>
      <c r="X2471">
        <v>61</v>
      </c>
      <c r="Y2471">
        <v>2</v>
      </c>
    </row>
    <row r="2472" spans="1:25" x14ac:dyDescent="0.25">
      <c r="A2472">
        <v>2024</v>
      </c>
      <c r="B2472" t="s">
        <v>57</v>
      </c>
      <c r="C2472">
        <v>10</v>
      </c>
      <c r="D2472">
        <v>104</v>
      </c>
      <c r="E2472" t="s">
        <v>95</v>
      </c>
      <c r="F2472" t="s">
        <v>101</v>
      </c>
      <c r="G2472">
        <f t="shared" si="1999"/>
        <v>1</v>
      </c>
      <c r="H2472">
        <v>8</v>
      </c>
      <c r="I2472">
        <v>5</v>
      </c>
      <c r="J2472">
        <v>0</v>
      </c>
      <c r="K2472" s="6" t="str">
        <f t="shared" ref="K2472" si="2028">"vs "&amp;E2473</f>
        <v>vs Paralouistas</v>
      </c>
      <c r="L2472" s="6" t="str">
        <f t="shared" ref="L2472" si="2029">"vs "&amp;F2473</f>
        <v>vs Panos</v>
      </c>
      <c r="M2472">
        <v>130</v>
      </c>
      <c r="N2472" s="1">
        <v>0.504</v>
      </c>
      <c r="O2472">
        <v>51</v>
      </c>
      <c r="P2472" s="1">
        <v>0.42499999999999999</v>
      </c>
      <c r="Q2472" s="1">
        <v>0.59</v>
      </c>
      <c r="R2472">
        <v>347</v>
      </c>
      <c r="S2472">
        <v>42</v>
      </c>
      <c r="T2472">
        <v>106</v>
      </c>
      <c r="U2472">
        <v>69</v>
      </c>
      <c r="V2472">
        <v>23</v>
      </c>
      <c r="W2472">
        <v>16</v>
      </c>
      <c r="X2472">
        <v>24</v>
      </c>
      <c r="Y2472">
        <v>2.88</v>
      </c>
    </row>
    <row r="2473" spans="1:25" x14ac:dyDescent="0.25">
      <c r="A2473">
        <v>2024</v>
      </c>
      <c r="B2473" t="s">
        <v>57</v>
      </c>
      <c r="C2473">
        <v>10</v>
      </c>
      <c r="D2473">
        <v>104</v>
      </c>
      <c r="E2473" t="s">
        <v>185</v>
      </c>
      <c r="F2473" t="s">
        <v>100</v>
      </c>
      <c r="G2473">
        <f t="shared" si="1999"/>
        <v>0</v>
      </c>
      <c r="H2473">
        <v>5</v>
      </c>
      <c r="I2473">
        <v>8</v>
      </c>
      <c r="J2473">
        <v>0</v>
      </c>
      <c r="K2473" s="6" t="str">
        <f t="shared" ref="K2473" si="2030">"vs "&amp;E2472</f>
        <v>vs Baltimore Hercules</v>
      </c>
      <c r="L2473" s="6" t="str">
        <f t="shared" ref="L2473" si="2031">"vs "&amp;F2472</f>
        <v>vs Sarantos</v>
      </c>
      <c r="M2473">
        <v>146</v>
      </c>
      <c r="N2473" s="1">
        <v>0.435</v>
      </c>
      <c r="O2473">
        <v>46</v>
      </c>
      <c r="P2473" s="1">
        <v>0.34300000000000003</v>
      </c>
      <c r="Q2473" s="1">
        <v>0.83599999999999997</v>
      </c>
      <c r="R2473">
        <v>394</v>
      </c>
      <c r="S2473">
        <v>27</v>
      </c>
      <c r="T2473">
        <v>92</v>
      </c>
      <c r="U2473">
        <v>89</v>
      </c>
      <c r="V2473">
        <v>30</v>
      </c>
      <c r="W2473">
        <v>12</v>
      </c>
      <c r="X2473">
        <v>36</v>
      </c>
      <c r="Y2473">
        <v>2.4700000000000002</v>
      </c>
    </row>
    <row r="2474" spans="1:25" x14ac:dyDescent="0.25">
      <c r="A2474">
        <v>2024</v>
      </c>
      <c r="B2474" t="s">
        <v>57</v>
      </c>
      <c r="C2474">
        <v>10</v>
      </c>
      <c r="D2474">
        <v>105</v>
      </c>
      <c r="E2474" t="s">
        <v>21</v>
      </c>
      <c r="F2474" t="s">
        <v>50</v>
      </c>
      <c r="G2474">
        <f t="shared" si="1999"/>
        <v>1</v>
      </c>
      <c r="H2474">
        <v>8</v>
      </c>
      <c r="I2474">
        <v>4</v>
      </c>
      <c r="J2474">
        <v>1</v>
      </c>
      <c r="K2474" s="6" t="str">
        <f t="shared" ref="K2474" si="2032">"vs "&amp;E2475</f>
        <v>vs purple fuzzy apache pirates</v>
      </c>
      <c r="L2474" s="6" t="str">
        <f t="shared" ref="L2474" si="2033">"vs "&amp;F2475</f>
        <v>vs pi/Sotiris</v>
      </c>
      <c r="M2474">
        <v>167</v>
      </c>
      <c r="N2474" s="1">
        <v>0.52800000000000002</v>
      </c>
      <c r="O2474">
        <v>24</v>
      </c>
      <c r="P2474" s="1">
        <v>0.35799999999999998</v>
      </c>
      <c r="Q2474" s="1">
        <v>0.76600000000000001</v>
      </c>
      <c r="R2474">
        <v>440</v>
      </c>
      <c r="S2474">
        <v>52</v>
      </c>
      <c r="T2474">
        <v>124</v>
      </c>
      <c r="U2474">
        <v>127</v>
      </c>
      <c r="V2474">
        <v>24</v>
      </c>
      <c r="W2474">
        <v>13</v>
      </c>
      <c r="X2474">
        <v>64</v>
      </c>
      <c r="Y2474">
        <v>1.98</v>
      </c>
    </row>
    <row r="2475" spans="1:25" x14ac:dyDescent="0.25">
      <c r="A2475">
        <v>2024</v>
      </c>
      <c r="B2475" t="s">
        <v>57</v>
      </c>
      <c r="C2475">
        <v>10</v>
      </c>
      <c r="D2475">
        <v>105</v>
      </c>
      <c r="E2475" t="s">
        <v>159</v>
      </c>
      <c r="F2475" t="s">
        <v>116</v>
      </c>
      <c r="G2475">
        <f t="shared" si="1999"/>
        <v>0</v>
      </c>
      <c r="H2475">
        <v>4</v>
      </c>
      <c r="I2475">
        <v>8</v>
      </c>
      <c r="J2475">
        <v>1</v>
      </c>
      <c r="K2475" s="6" t="str">
        <f t="shared" ref="K2475" si="2034">"vs "&amp;E2474</f>
        <v>vs st.Helens Eruptions</v>
      </c>
      <c r="L2475" s="6" t="str">
        <f t="shared" ref="L2475" si="2035">"vs "&amp;F2474</f>
        <v>vs Aris</v>
      </c>
      <c r="M2475">
        <v>154</v>
      </c>
      <c r="N2475" s="1">
        <v>0.48099999999999998</v>
      </c>
      <c r="O2475">
        <v>33</v>
      </c>
      <c r="P2475" s="1">
        <v>0.28399999999999997</v>
      </c>
      <c r="Q2475" s="1">
        <v>0.82799999999999996</v>
      </c>
      <c r="R2475">
        <v>423</v>
      </c>
      <c r="S2475">
        <v>35</v>
      </c>
      <c r="T2475">
        <v>112</v>
      </c>
      <c r="U2475">
        <v>109</v>
      </c>
      <c r="V2475">
        <v>13</v>
      </c>
      <c r="W2475">
        <v>13</v>
      </c>
      <c r="X2475">
        <v>47</v>
      </c>
      <c r="Y2475">
        <v>2.3199999999999998</v>
      </c>
    </row>
    <row r="2476" spans="1:25" x14ac:dyDescent="0.25">
      <c r="A2476">
        <v>2024</v>
      </c>
      <c r="B2476" t="s">
        <v>57</v>
      </c>
      <c r="C2476">
        <v>10</v>
      </c>
      <c r="D2476">
        <v>106</v>
      </c>
      <c r="E2476" t="s">
        <v>181</v>
      </c>
      <c r="F2476" t="s">
        <v>49</v>
      </c>
      <c r="G2476">
        <f t="shared" si="1999"/>
        <v>0</v>
      </c>
      <c r="H2476">
        <v>5</v>
      </c>
      <c r="I2476">
        <v>8</v>
      </c>
      <c r="J2476">
        <v>0</v>
      </c>
      <c r="K2476" s="6" t="str">
        <f t="shared" ref="K2476" si="2036">"vs "&amp;E2477</f>
        <v>vs Salonika Devils</v>
      </c>
      <c r="L2476" s="6" t="str">
        <f t="shared" ref="L2476" si="2037">"vs "&amp;F2477</f>
        <v>vs Fountos</v>
      </c>
      <c r="M2476">
        <v>183</v>
      </c>
      <c r="N2476" s="1">
        <v>0.44600000000000001</v>
      </c>
      <c r="O2476">
        <v>47</v>
      </c>
      <c r="P2476" s="1">
        <v>0.29399999999999998</v>
      </c>
      <c r="Q2476" s="1">
        <v>0.78900000000000003</v>
      </c>
      <c r="R2476">
        <v>540</v>
      </c>
      <c r="S2476">
        <v>24</v>
      </c>
      <c r="T2476">
        <v>155</v>
      </c>
      <c r="U2476">
        <v>139</v>
      </c>
      <c r="V2476">
        <v>34</v>
      </c>
      <c r="W2476">
        <v>25</v>
      </c>
      <c r="X2476">
        <v>60</v>
      </c>
      <c r="Y2476">
        <v>2.3199999999999998</v>
      </c>
    </row>
    <row r="2477" spans="1:25" x14ac:dyDescent="0.25">
      <c r="A2477">
        <v>2024</v>
      </c>
      <c r="B2477" t="s">
        <v>57</v>
      </c>
      <c r="C2477">
        <v>10</v>
      </c>
      <c r="D2477">
        <v>106</v>
      </c>
      <c r="E2477" t="s">
        <v>15</v>
      </c>
      <c r="F2477" t="s">
        <v>48</v>
      </c>
      <c r="G2477">
        <f t="shared" si="1999"/>
        <v>1</v>
      </c>
      <c r="H2477">
        <v>8</v>
      </c>
      <c r="I2477">
        <v>5</v>
      </c>
      <c r="J2477">
        <v>0</v>
      </c>
      <c r="K2477" s="6" t="str">
        <f t="shared" ref="K2477" si="2038">"vs "&amp;E2476</f>
        <v>vs Samarina Dudenbros</v>
      </c>
      <c r="L2477" s="6" t="str">
        <f t="shared" ref="L2477" si="2039">"vs "&amp;F2476</f>
        <v>vs Sakellariou</v>
      </c>
      <c r="M2477">
        <v>187</v>
      </c>
      <c r="N2477" s="1">
        <v>0.46300000000000002</v>
      </c>
      <c r="O2477">
        <v>76</v>
      </c>
      <c r="P2477" s="1">
        <v>0.40600000000000003</v>
      </c>
      <c r="Q2477" s="1">
        <v>0.76900000000000002</v>
      </c>
      <c r="R2477">
        <v>500</v>
      </c>
      <c r="S2477">
        <v>29</v>
      </c>
      <c r="T2477">
        <v>106</v>
      </c>
      <c r="U2477">
        <v>141</v>
      </c>
      <c r="V2477">
        <v>27</v>
      </c>
      <c r="W2477">
        <v>19</v>
      </c>
      <c r="X2477">
        <v>56</v>
      </c>
      <c r="Y2477">
        <v>2.52</v>
      </c>
    </row>
    <row r="2478" spans="1:25" x14ac:dyDescent="0.25">
      <c r="A2478">
        <v>2024</v>
      </c>
      <c r="B2478" t="s">
        <v>57</v>
      </c>
      <c r="C2478">
        <v>10</v>
      </c>
      <c r="D2478">
        <v>107</v>
      </c>
      <c r="E2478" t="s">
        <v>23</v>
      </c>
      <c r="F2478" t="s">
        <v>120</v>
      </c>
      <c r="G2478">
        <f t="shared" si="1999"/>
        <v>0</v>
      </c>
      <c r="H2478">
        <v>5</v>
      </c>
      <c r="I2478">
        <v>7</v>
      </c>
      <c r="J2478">
        <v>1</v>
      </c>
      <c r="K2478" s="6" t="str">
        <f t="shared" ref="K2478" si="2040">"vs "&amp;E2479</f>
        <v>vs The Guns</v>
      </c>
      <c r="L2478" s="6" t="str">
        <f t="shared" ref="L2478" si="2041">"vs "&amp;F2479</f>
        <v>vs Vasilis</v>
      </c>
      <c r="M2478">
        <v>180</v>
      </c>
      <c r="N2478" s="1">
        <v>0.495</v>
      </c>
      <c r="O2478">
        <v>65</v>
      </c>
      <c r="P2478" s="1">
        <v>0.41699999999999998</v>
      </c>
      <c r="Q2478" s="1">
        <v>0.84899999999999998</v>
      </c>
      <c r="R2478">
        <v>498</v>
      </c>
      <c r="S2478">
        <v>21</v>
      </c>
      <c r="T2478">
        <v>99</v>
      </c>
      <c r="U2478">
        <v>136</v>
      </c>
      <c r="V2478">
        <v>32</v>
      </c>
      <c r="W2478">
        <v>30</v>
      </c>
      <c r="X2478">
        <v>58</v>
      </c>
      <c r="Y2478">
        <v>2.34</v>
      </c>
    </row>
    <row r="2479" spans="1:25" x14ac:dyDescent="0.25">
      <c r="A2479">
        <v>2024</v>
      </c>
      <c r="B2479" t="s">
        <v>57</v>
      </c>
      <c r="C2479">
        <v>10</v>
      </c>
      <c r="D2479">
        <v>107</v>
      </c>
      <c r="E2479" t="s">
        <v>33</v>
      </c>
      <c r="F2479" t="s">
        <v>42</v>
      </c>
      <c r="G2479">
        <f t="shared" si="1999"/>
        <v>1</v>
      </c>
      <c r="H2479">
        <v>7</v>
      </c>
      <c r="I2479">
        <v>5</v>
      </c>
      <c r="J2479">
        <v>1</v>
      </c>
      <c r="K2479" s="6" t="str">
        <f t="shared" ref="K2479" si="2042">"vs "&amp;E2478</f>
        <v>vs Pachiana NinjaBees</v>
      </c>
      <c r="L2479" s="6" t="str">
        <f t="shared" ref="L2479" si="2043">"vs "&amp;F2478</f>
        <v>vs Spiridaus/Oladipas</v>
      </c>
      <c r="M2479">
        <v>251</v>
      </c>
      <c r="N2479" s="1">
        <v>0.53700000000000003</v>
      </c>
      <c r="O2479">
        <v>53</v>
      </c>
      <c r="P2479" s="1">
        <v>0.39300000000000002</v>
      </c>
      <c r="Q2479" s="1">
        <v>0.81899999999999995</v>
      </c>
      <c r="R2479">
        <v>677</v>
      </c>
      <c r="S2479">
        <v>46</v>
      </c>
      <c r="T2479">
        <v>182</v>
      </c>
      <c r="U2479">
        <v>129</v>
      </c>
      <c r="V2479">
        <v>41</v>
      </c>
      <c r="W2479">
        <v>35</v>
      </c>
      <c r="X2479">
        <v>58</v>
      </c>
      <c r="Y2479">
        <v>2.2200000000000002</v>
      </c>
    </row>
    <row r="2480" spans="1:25" x14ac:dyDescent="0.25">
      <c r="A2480">
        <v>2024</v>
      </c>
      <c r="B2480" t="s">
        <v>57</v>
      </c>
      <c r="C2480">
        <v>10</v>
      </c>
      <c r="D2480">
        <v>108</v>
      </c>
      <c r="E2480" t="s">
        <v>96</v>
      </c>
      <c r="F2480" t="s">
        <v>102</v>
      </c>
      <c r="G2480">
        <f t="shared" si="1999"/>
        <v>1</v>
      </c>
      <c r="H2480">
        <v>7</v>
      </c>
      <c r="I2480">
        <v>6</v>
      </c>
      <c r="J2480">
        <v>0</v>
      </c>
      <c r="K2480" s="6" t="str">
        <f t="shared" ref="K2480" si="2044">"vs "&amp;E2481</f>
        <v>vs Heraklion Snakes</v>
      </c>
      <c r="L2480" s="6" t="str">
        <f t="shared" ref="L2480" si="2045">"vs "&amp;F2481</f>
        <v>vs Dimitris</v>
      </c>
      <c r="M2480">
        <v>136</v>
      </c>
      <c r="N2480" s="1">
        <v>0.502</v>
      </c>
      <c r="O2480">
        <v>40</v>
      </c>
      <c r="P2480" s="1">
        <v>0.40799999999999997</v>
      </c>
      <c r="Q2480" s="1">
        <v>0.78</v>
      </c>
      <c r="R2480">
        <v>376</v>
      </c>
      <c r="S2480">
        <v>33</v>
      </c>
      <c r="T2480">
        <v>92</v>
      </c>
      <c r="U2480">
        <v>87</v>
      </c>
      <c r="V2480">
        <v>14</v>
      </c>
      <c r="W2480">
        <v>24</v>
      </c>
      <c r="X2480">
        <v>36</v>
      </c>
      <c r="Y2480">
        <v>2.42</v>
      </c>
    </row>
    <row r="2481" spans="1:25" x14ac:dyDescent="0.25">
      <c r="A2481">
        <v>2024</v>
      </c>
      <c r="B2481" t="s">
        <v>57</v>
      </c>
      <c r="C2481">
        <v>10</v>
      </c>
      <c r="D2481">
        <v>108</v>
      </c>
      <c r="E2481" t="s">
        <v>184</v>
      </c>
      <c r="F2481" t="s">
        <v>188</v>
      </c>
      <c r="G2481">
        <f t="shared" si="1999"/>
        <v>0</v>
      </c>
      <c r="H2481">
        <v>6</v>
      </c>
      <c r="I2481">
        <v>7</v>
      </c>
      <c r="J2481">
        <v>0</v>
      </c>
      <c r="K2481" s="6" t="str">
        <f t="shared" ref="K2481" si="2046">"vs "&amp;E2480</f>
        <v>vs Knights of Ni</v>
      </c>
      <c r="L2481" s="6" t="str">
        <f t="shared" ref="L2481" si="2047">"vs "&amp;F2480</f>
        <v>vs Tolios</v>
      </c>
      <c r="M2481">
        <v>156</v>
      </c>
      <c r="N2481" s="1">
        <v>0.48599999999999999</v>
      </c>
      <c r="O2481">
        <v>46</v>
      </c>
      <c r="P2481" s="1">
        <v>0.35099999999999998</v>
      </c>
      <c r="Q2481" s="1">
        <v>0.73299999999999998</v>
      </c>
      <c r="R2481">
        <v>432</v>
      </c>
      <c r="S2481">
        <v>40</v>
      </c>
      <c r="T2481">
        <v>116</v>
      </c>
      <c r="U2481">
        <v>77</v>
      </c>
      <c r="V2481">
        <v>16</v>
      </c>
      <c r="W2481">
        <v>13</v>
      </c>
      <c r="X2481">
        <v>44</v>
      </c>
      <c r="Y2481">
        <v>1.75</v>
      </c>
    </row>
    <row r="2482" spans="1:25" x14ac:dyDescent="0.25">
      <c r="A2482">
        <v>2024</v>
      </c>
      <c r="B2482" t="s">
        <v>57</v>
      </c>
      <c r="C2482">
        <v>10</v>
      </c>
      <c r="D2482">
        <v>109</v>
      </c>
      <c r="E2482" t="s">
        <v>158</v>
      </c>
      <c r="F2482" t="s">
        <v>177</v>
      </c>
      <c r="G2482">
        <f t="shared" si="1999"/>
        <v>1</v>
      </c>
      <c r="H2482">
        <v>10</v>
      </c>
      <c r="I2482">
        <v>3</v>
      </c>
      <c r="J2482">
        <v>0</v>
      </c>
      <c r="K2482" s="6" t="str">
        <f t="shared" ref="K2482" si="2048">"vs "&amp;E2483</f>
        <v>vs The Bad Boys</v>
      </c>
      <c r="L2482" s="6" t="str">
        <f t="shared" ref="L2482" si="2049">"vs "&amp;F2483</f>
        <v>vs Arvanitis</v>
      </c>
      <c r="M2482">
        <v>211</v>
      </c>
      <c r="N2482" s="1">
        <v>0.50800000000000001</v>
      </c>
      <c r="O2482">
        <v>61</v>
      </c>
      <c r="P2482" s="1">
        <v>0.40100000000000002</v>
      </c>
      <c r="Q2482" s="1">
        <v>0.73799999999999999</v>
      </c>
      <c r="R2482">
        <v>573</v>
      </c>
      <c r="S2482">
        <v>30</v>
      </c>
      <c r="T2482">
        <v>133</v>
      </c>
      <c r="U2482">
        <v>108</v>
      </c>
      <c r="V2482">
        <v>23</v>
      </c>
      <c r="W2482">
        <v>21</v>
      </c>
      <c r="X2482">
        <v>53</v>
      </c>
      <c r="Y2482">
        <v>2.04</v>
      </c>
    </row>
    <row r="2483" spans="1:25" x14ac:dyDescent="0.25">
      <c r="A2483">
        <v>2024</v>
      </c>
      <c r="B2483" t="s">
        <v>57</v>
      </c>
      <c r="C2483">
        <v>10</v>
      </c>
      <c r="D2483">
        <v>109</v>
      </c>
      <c r="E2483" t="s">
        <v>154</v>
      </c>
      <c r="F2483" t="s">
        <v>155</v>
      </c>
      <c r="G2483">
        <f t="shared" si="1999"/>
        <v>0</v>
      </c>
      <c r="H2483">
        <v>3</v>
      </c>
      <c r="I2483">
        <v>10</v>
      </c>
      <c r="J2483">
        <v>0</v>
      </c>
      <c r="K2483" s="6" t="str">
        <f t="shared" ref="K2483" si="2050">"vs "&amp;E2482</f>
        <v>vs LRBP PR3DATORS</v>
      </c>
      <c r="L2483" s="6" t="str">
        <f t="shared" ref="L2483" si="2051">"vs "&amp;F2482</f>
        <v>vs Lafa</v>
      </c>
      <c r="M2483">
        <v>116</v>
      </c>
      <c r="N2483" s="1">
        <v>0.47499999999999998</v>
      </c>
      <c r="O2483">
        <v>33</v>
      </c>
      <c r="P2483" s="1">
        <v>0.36299999999999999</v>
      </c>
      <c r="Q2483" s="1">
        <v>0.58799999999999997</v>
      </c>
      <c r="R2483">
        <v>295</v>
      </c>
      <c r="S2483">
        <v>32</v>
      </c>
      <c r="T2483">
        <v>98</v>
      </c>
      <c r="U2483">
        <v>45</v>
      </c>
      <c r="V2483">
        <v>37</v>
      </c>
      <c r="W2483">
        <v>20</v>
      </c>
      <c r="X2483">
        <v>38</v>
      </c>
      <c r="Y2483">
        <v>1.18</v>
      </c>
    </row>
    <row r="2484" spans="1:25" x14ac:dyDescent="0.25">
      <c r="A2484">
        <v>2024</v>
      </c>
      <c r="B2484" t="s">
        <v>57</v>
      </c>
      <c r="C2484">
        <v>10</v>
      </c>
      <c r="D2484">
        <v>110</v>
      </c>
      <c r="E2484" t="s">
        <v>93</v>
      </c>
      <c r="F2484" t="s">
        <v>189</v>
      </c>
      <c r="G2484">
        <f t="shared" si="1999"/>
        <v>1</v>
      </c>
      <c r="H2484">
        <v>9</v>
      </c>
      <c r="I2484">
        <v>4</v>
      </c>
      <c r="J2484">
        <v>0</v>
      </c>
      <c r="K2484" s="6" t="str">
        <f t="shared" ref="K2484" si="2052">"vs "&amp;E2485</f>
        <v>vs Fighting Thaddeus</v>
      </c>
      <c r="L2484" s="6" t="str">
        <f t="shared" ref="L2484" si="2053">"vs "&amp;F2485</f>
        <v>vs Stavros</v>
      </c>
      <c r="M2484">
        <v>170</v>
      </c>
      <c r="N2484" s="1">
        <v>0.49099999999999999</v>
      </c>
      <c r="O2484">
        <v>70</v>
      </c>
      <c r="P2484" s="1">
        <v>0.42899999999999999</v>
      </c>
      <c r="Q2484" s="1">
        <v>0.78200000000000003</v>
      </c>
      <c r="R2484">
        <v>471</v>
      </c>
      <c r="S2484">
        <v>13</v>
      </c>
      <c r="T2484">
        <v>118</v>
      </c>
      <c r="U2484">
        <v>135</v>
      </c>
      <c r="V2484">
        <v>22</v>
      </c>
      <c r="W2484">
        <v>11</v>
      </c>
      <c r="X2484">
        <v>44</v>
      </c>
      <c r="Y2484">
        <v>3.07</v>
      </c>
    </row>
    <row r="2485" spans="1:25" x14ac:dyDescent="0.25">
      <c r="A2485">
        <v>2024</v>
      </c>
      <c r="B2485" t="s">
        <v>57</v>
      </c>
      <c r="C2485">
        <v>10</v>
      </c>
      <c r="D2485">
        <v>110</v>
      </c>
      <c r="E2485" t="s">
        <v>94</v>
      </c>
      <c r="F2485" t="s">
        <v>40</v>
      </c>
      <c r="G2485">
        <f t="shared" si="1999"/>
        <v>0</v>
      </c>
      <c r="H2485">
        <v>4</v>
      </c>
      <c r="I2485">
        <v>9</v>
      </c>
      <c r="J2485">
        <v>0</v>
      </c>
      <c r="K2485" s="6" t="str">
        <f t="shared" ref="K2485" si="2054">"vs "&amp;E2484</f>
        <v>vs Guruuu 🐐🐐🐐</v>
      </c>
      <c r="L2485" s="6" t="str">
        <f t="shared" ref="L2485" si="2055">"vs "&amp;F2484</f>
        <v>vs Guru</v>
      </c>
      <c r="M2485">
        <v>149</v>
      </c>
      <c r="N2485" s="1">
        <v>0.51900000000000002</v>
      </c>
      <c r="O2485">
        <v>44</v>
      </c>
      <c r="P2485" s="1">
        <v>0.379</v>
      </c>
      <c r="Q2485" s="1">
        <v>0.88700000000000001</v>
      </c>
      <c r="R2485">
        <v>428</v>
      </c>
      <c r="S2485">
        <v>36</v>
      </c>
      <c r="T2485">
        <v>116</v>
      </c>
      <c r="U2485">
        <v>69</v>
      </c>
      <c r="V2485">
        <v>21</v>
      </c>
      <c r="W2485">
        <v>16</v>
      </c>
      <c r="X2485">
        <v>45</v>
      </c>
      <c r="Y2485">
        <v>1.53</v>
      </c>
    </row>
    <row r="2486" spans="1:25" x14ac:dyDescent="0.25">
      <c r="A2486">
        <v>2024</v>
      </c>
      <c r="B2486" t="s">
        <v>57</v>
      </c>
      <c r="C2486">
        <v>11</v>
      </c>
      <c r="D2486">
        <v>111</v>
      </c>
      <c r="E2486" t="s">
        <v>26</v>
      </c>
      <c r="F2486" t="s">
        <v>118</v>
      </c>
      <c r="G2486">
        <f t="shared" si="1999"/>
        <v>1</v>
      </c>
      <c r="H2486">
        <v>8</v>
      </c>
      <c r="I2486">
        <v>5</v>
      </c>
      <c r="J2486">
        <v>0</v>
      </c>
      <c r="K2486" s="6" t="str">
        <f t="shared" ref="K2486" si="2056">"vs "&amp;E2487</f>
        <v>vs Tsarlatans</v>
      </c>
      <c r="L2486" s="6" t="str">
        <f t="shared" ref="L2486" si="2057">"vs "&amp;F2487</f>
        <v>vs Tzokos</v>
      </c>
      <c r="M2486">
        <v>191</v>
      </c>
      <c r="N2486" s="1">
        <v>0.49199999999999999</v>
      </c>
      <c r="O2486">
        <v>57</v>
      </c>
      <c r="P2486" s="1">
        <v>0.36799999999999999</v>
      </c>
      <c r="Q2486" s="1">
        <v>0.755</v>
      </c>
      <c r="R2486">
        <v>510</v>
      </c>
      <c r="S2486">
        <v>43</v>
      </c>
      <c r="T2486">
        <v>140</v>
      </c>
      <c r="U2486">
        <v>92</v>
      </c>
      <c r="V2486">
        <v>31</v>
      </c>
      <c r="W2486">
        <v>17</v>
      </c>
      <c r="X2486">
        <v>47</v>
      </c>
      <c r="Y2486">
        <v>1.96</v>
      </c>
    </row>
    <row r="2487" spans="1:25" x14ac:dyDescent="0.25">
      <c r="A2487">
        <v>2024</v>
      </c>
      <c r="B2487" t="s">
        <v>57</v>
      </c>
      <c r="C2487">
        <v>11</v>
      </c>
      <c r="D2487">
        <v>111</v>
      </c>
      <c r="E2487" t="s">
        <v>99</v>
      </c>
      <c r="F2487" t="s">
        <v>45</v>
      </c>
      <c r="G2487">
        <f t="shared" si="1999"/>
        <v>0</v>
      </c>
      <c r="H2487">
        <v>5</v>
      </c>
      <c r="I2487">
        <v>8</v>
      </c>
      <c r="J2487">
        <v>0</v>
      </c>
      <c r="K2487" s="6" t="str">
        <f t="shared" ref="K2487" si="2058">"vs "&amp;E2486</f>
        <v>vs Kourayo Vallecano</v>
      </c>
      <c r="L2487" s="6" t="str">
        <f t="shared" ref="L2487" si="2059">"vs "&amp;F2486</f>
        <v>vs Ziogas/Christof</v>
      </c>
      <c r="M2487">
        <v>90</v>
      </c>
      <c r="N2487" s="1">
        <v>0.46200000000000002</v>
      </c>
      <c r="O2487">
        <v>35</v>
      </c>
      <c r="P2487" s="1">
        <v>0.372</v>
      </c>
      <c r="Q2487" s="1">
        <v>0.77100000000000002</v>
      </c>
      <c r="R2487">
        <v>252</v>
      </c>
      <c r="S2487">
        <v>27</v>
      </c>
      <c r="T2487">
        <v>68</v>
      </c>
      <c r="U2487">
        <v>74</v>
      </c>
      <c r="V2487">
        <v>24</v>
      </c>
      <c r="W2487">
        <v>20</v>
      </c>
      <c r="X2487">
        <v>25</v>
      </c>
      <c r="Y2487">
        <v>2.96</v>
      </c>
    </row>
    <row r="2488" spans="1:25" x14ac:dyDescent="0.25">
      <c r="A2488">
        <v>2024</v>
      </c>
      <c r="B2488" t="s">
        <v>57</v>
      </c>
      <c r="C2488">
        <v>11</v>
      </c>
      <c r="D2488">
        <v>112</v>
      </c>
      <c r="E2488" t="s">
        <v>186</v>
      </c>
      <c r="F2488" t="s">
        <v>103</v>
      </c>
      <c r="G2488">
        <f t="shared" si="1999"/>
        <v>1</v>
      </c>
      <c r="H2488">
        <v>11</v>
      </c>
      <c r="I2488">
        <v>2</v>
      </c>
      <c r="J2488">
        <v>0</v>
      </c>
      <c r="K2488" s="6" t="str">
        <f t="shared" ref="K2488" si="2060">"vs "&amp;E2489</f>
        <v>vs Steven Adams' Moustache</v>
      </c>
      <c r="L2488" s="6" t="str">
        <f t="shared" ref="L2488" si="2061">"vs "&amp;F2489</f>
        <v>vs Johnny</v>
      </c>
      <c r="M2488">
        <v>284</v>
      </c>
      <c r="N2488" s="1">
        <v>0.503</v>
      </c>
      <c r="O2488">
        <v>73</v>
      </c>
      <c r="P2488" s="1">
        <v>0.372</v>
      </c>
      <c r="Q2488" s="1">
        <v>0.81799999999999995</v>
      </c>
      <c r="R2488">
        <v>753</v>
      </c>
      <c r="S2488">
        <v>44</v>
      </c>
      <c r="T2488">
        <v>191</v>
      </c>
      <c r="U2488">
        <v>146</v>
      </c>
      <c r="V2488">
        <v>41</v>
      </c>
      <c r="W2488">
        <v>43</v>
      </c>
      <c r="X2488">
        <v>75</v>
      </c>
      <c r="Y2488">
        <v>1.95</v>
      </c>
    </row>
    <row r="2489" spans="1:25" x14ac:dyDescent="0.25">
      <c r="A2489">
        <v>2024</v>
      </c>
      <c r="B2489" t="s">
        <v>57</v>
      </c>
      <c r="C2489">
        <v>11</v>
      </c>
      <c r="D2489">
        <v>112</v>
      </c>
      <c r="E2489" t="s">
        <v>28</v>
      </c>
      <c r="F2489" t="s">
        <v>46</v>
      </c>
      <c r="G2489">
        <f t="shared" si="1999"/>
        <v>0</v>
      </c>
      <c r="H2489">
        <v>2</v>
      </c>
      <c r="I2489">
        <v>11</v>
      </c>
      <c r="J2489">
        <v>0</v>
      </c>
      <c r="K2489" s="6" t="str">
        <f t="shared" ref="K2489" si="2062">"vs "&amp;E2488</f>
        <v>vs Karafli Saita</v>
      </c>
      <c r="L2489" s="6" t="str">
        <f t="shared" ref="L2489" si="2063">"vs "&amp;F2488</f>
        <v>vs Tassos</v>
      </c>
      <c r="M2489">
        <v>165</v>
      </c>
      <c r="N2489" s="1">
        <v>0.47099999999999997</v>
      </c>
      <c r="O2489">
        <v>61</v>
      </c>
      <c r="P2489" s="1">
        <v>0.442</v>
      </c>
      <c r="Q2489" s="1">
        <v>0.78</v>
      </c>
      <c r="R2489">
        <v>490</v>
      </c>
      <c r="S2489">
        <v>37</v>
      </c>
      <c r="T2489">
        <v>133</v>
      </c>
      <c r="U2489">
        <v>92</v>
      </c>
      <c r="V2489">
        <v>20</v>
      </c>
      <c r="W2489">
        <v>17</v>
      </c>
      <c r="X2489">
        <v>71</v>
      </c>
      <c r="Y2489">
        <v>1.3</v>
      </c>
    </row>
    <row r="2490" spans="1:25" x14ac:dyDescent="0.25">
      <c r="A2490">
        <v>2024</v>
      </c>
      <c r="B2490" t="s">
        <v>57</v>
      </c>
      <c r="C2490">
        <v>11</v>
      </c>
      <c r="D2490">
        <v>113</v>
      </c>
      <c r="E2490" t="s">
        <v>185</v>
      </c>
      <c r="F2490" t="s">
        <v>100</v>
      </c>
      <c r="G2490">
        <f t="shared" si="1999"/>
        <v>1</v>
      </c>
      <c r="H2490">
        <v>7</v>
      </c>
      <c r="I2490">
        <v>6</v>
      </c>
      <c r="J2490">
        <v>0</v>
      </c>
      <c r="K2490" s="6" t="str">
        <f t="shared" ref="K2490" si="2064">"vs "&amp;E2491</f>
        <v>vs The Bridgeburners</v>
      </c>
      <c r="L2490" s="6" t="str">
        <f t="shared" ref="L2490" si="2065">"vs "&amp;F2491</f>
        <v>vs Fanis</v>
      </c>
      <c r="M2490">
        <v>167</v>
      </c>
      <c r="N2490" s="1">
        <v>0.442</v>
      </c>
      <c r="O2490">
        <v>60</v>
      </c>
      <c r="P2490" s="1">
        <v>0.36599999999999999</v>
      </c>
      <c r="Q2490" s="1">
        <v>0.78700000000000003</v>
      </c>
      <c r="R2490">
        <v>453</v>
      </c>
      <c r="S2490">
        <v>33</v>
      </c>
      <c r="T2490">
        <v>108</v>
      </c>
      <c r="U2490">
        <v>101</v>
      </c>
      <c r="V2490">
        <v>26</v>
      </c>
      <c r="W2490">
        <v>8</v>
      </c>
      <c r="X2490">
        <v>32</v>
      </c>
      <c r="Y2490">
        <v>3.16</v>
      </c>
    </row>
    <row r="2491" spans="1:25" x14ac:dyDescent="0.25">
      <c r="A2491">
        <v>2024</v>
      </c>
      <c r="B2491" t="s">
        <v>57</v>
      </c>
      <c r="C2491">
        <v>11</v>
      </c>
      <c r="D2491">
        <v>113</v>
      </c>
      <c r="E2491" t="s">
        <v>16</v>
      </c>
      <c r="F2491" t="s">
        <v>51</v>
      </c>
      <c r="G2491">
        <f t="shared" si="1999"/>
        <v>0</v>
      </c>
      <c r="H2491">
        <v>6</v>
      </c>
      <c r="I2491">
        <v>7</v>
      </c>
      <c r="J2491">
        <v>0</v>
      </c>
      <c r="K2491" s="6" t="str">
        <f t="shared" ref="K2491" si="2066">"vs "&amp;E2490</f>
        <v>vs Paralouistas</v>
      </c>
      <c r="L2491" s="6" t="str">
        <f t="shared" ref="L2491" si="2067">"vs "&amp;F2490</f>
        <v>vs Panos</v>
      </c>
      <c r="M2491">
        <v>157</v>
      </c>
      <c r="N2491" s="1">
        <v>0.45</v>
      </c>
      <c r="O2491">
        <v>51</v>
      </c>
      <c r="P2491" s="1">
        <v>0.34499999999999997</v>
      </c>
      <c r="Q2491" s="1">
        <v>0.80900000000000005</v>
      </c>
      <c r="R2491">
        <v>458</v>
      </c>
      <c r="S2491">
        <v>29</v>
      </c>
      <c r="T2491">
        <v>132</v>
      </c>
      <c r="U2491">
        <v>99</v>
      </c>
      <c r="V2491">
        <v>30</v>
      </c>
      <c r="W2491">
        <v>21</v>
      </c>
      <c r="X2491">
        <v>55</v>
      </c>
      <c r="Y2491">
        <v>1.8</v>
      </c>
    </row>
    <row r="2492" spans="1:25" x14ac:dyDescent="0.25">
      <c r="A2492">
        <v>2024</v>
      </c>
      <c r="B2492" t="s">
        <v>57</v>
      </c>
      <c r="C2492">
        <v>11</v>
      </c>
      <c r="D2492">
        <v>114</v>
      </c>
      <c r="E2492" t="s">
        <v>159</v>
      </c>
      <c r="F2492" t="s">
        <v>116</v>
      </c>
      <c r="G2492">
        <f t="shared" si="1999"/>
        <v>1</v>
      </c>
      <c r="H2492">
        <v>10</v>
      </c>
      <c r="I2492">
        <v>3</v>
      </c>
      <c r="J2492">
        <v>0</v>
      </c>
      <c r="K2492" s="6" t="str">
        <f t="shared" ref="K2492" si="2068">"vs "&amp;E2493</f>
        <v>vs Xanthi Ducks 🦆</v>
      </c>
      <c r="L2492" s="6" t="str">
        <f t="shared" ref="L2492" si="2069">"vs "&amp;F2493</f>
        <v>vs Kotakis</v>
      </c>
      <c r="M2492">
        <v>233</v>
      </c>
      <c r="N2492" s="1">
        <v>0.55600000000000005</v>
      </c>
      <c r="O2492">
        <v>57</v>
      </c>
      <c r="P2492" s="1">
        <v>0.39300000000000002</v>
      </c>
      <c r="Q2492" s="1">
        <v>0.79500000000000004</v>
      </c>
      <c r="R2492">
        <v>655</v>
      </c>
      <c r="S2492">
        <v>47</v>
      </c>
      <c r="T2492">
        <v>175</v>
      </c>
      <c r="U2492">
        <v>154</v>
      </c>
      <c r="V2492">
        <v>38</v>
      </c>
      <c r="W2492">
        <v>27</v>
      </c>
      <c r="X2492">
        <v>55</v>
      </c>
      <c r="Y2492">
        <v>2.8</v>
      </c>
    </row>
    <row r="2493" spans="1:25" x14ac:dyDescent="0.25">
      <c r="A2493">
        <v>2024</v>
      </c>
      <c r="B2493" t="s">
        <v>57</v>
      </c>
      <c r="C2493">
        <v>11</v>
      </c>
      <c r="D2493">
        <v>114</v>
      </c>
      <c r="E2493" t="s">
        <v>98</v>
      </c>
      <c r="F2493" t="s">
        <v>41</v>
      </c>
      <c r="G2493">
        <f t="shared" si="1999"/>
        <v>0</v>
      </c>
      <c r="H2493">
        <v>3</v>
      </c>
      <c r="I2493">
        <v>10</v>
      </c>
      <c r="J2493">
        <v>0</v>
      </c>
      <c r="K2493" s="6" t="str">
        <f t="shared" ref="K2493" si="2070">"vs "&amp;E2492</f>
        <v>vs purple fuzzy apache pirates</v>
      </c>
      <c r="L2493" s="6" t="str">
        <f t="shared" ref="L2493" si="2071">"vs "&amp;F2492</f>
        <v>vs pi/Sotiris</v>
      </c>
      <c r="M2493">
        <v>222</v>
      </c>
      <c r="N2493" s="1">
        <v>0.5</v>
      </c>
      <c r="O2493">
        <v>65</v>
      </c>
      <c r="P2493" s="1">
        <v>0.38700000000000001</v>
      </c>
      <c r="Q2493" s="1">
        <v>0.77100000000000002</v>
      </c>
      <c r="R2493">
        <v>600</v>
      </c>
      <c r="S2493">
        <v>48</v>
      </c>
      <c r="T2493">
        <v>174</v>
      </c>
      <c r="U2493">
        <v>135</v>
      </c>
      <c r="V2493">
        <v>31</v>
      </c>
      <c r="W2493">
        <v>37</v>
      </c>
      <c r="X2493">
        <v>85</v>
      </c>
      <c r="Y2493">
        <v>1.59</v>
      </c>
    </row>
    <row r="2494" spans="1:25" x14ac:dyDescent="0.25">
      <c r="A2494">
        <v>2024</v>
      </c>
      <c r="B2494" t="s">
        <v>57</v>
      </c>
      <c r="C2494">
        <v>11</v>
      </c>
      <c r="D2494">
        <v>115</v>
      </c>
      <c r="E2494" t="s">
        <v>15</v>
      </c>
      <c r="F2494" t="s">
        <v>48</v>
      </c>
      <c r="G2494">
        <f t="shared" si="1999"/>
        <v>1</v>
      </c>
      <c r="H2494">
        <v>7</v>
      </c>
      <c r="I2494">
        <v>6</v>
      </c>
      <c r="J2494">
        <v>0</v>
      </c>
      <c r="K2494" s="6" t="str">
        <f t="shared" ref="K2494" si="2072">"vs "&amp;E2495</f>
        <v>vs Baltimore Hercules</v>
      </c>
      <c r="L2494" s="6" t="str">
        <f t="shared" ref="L2494" si="2073">"vs "&amp;F2495</f>
        <v>vs Sarantos</v>
      </c>
      <c r="M2494">
        <v>173</v>
      </c>
      <c r="N2494" s="1">
        <v>0.44700000000000001</v>
      </c>
      <c r="O2494">
        <v>48</v>
      </c>
      <c r="P2494" s="1">
        <v>0.31</v>
      </c>
      <c r="Q2494" s="1">
        <v>0.83</v>
      </c>
      <c r="R2494">
        <v>472</v>
      </c>
      <c r="S2494">
        <v>17</v>
      </c>
      <c r="T2494">
        <v>92</v>
      </c>
      <c r="U2494">
        <v>107</v>
      </c>
      <c r="V2494">
        <v>17</v>
      </c>
      <c r="W2494">
        <v>9</v>
      </c>
      <c r="X2494">
        <v>49</v>
      </c>
      <c r="Y2494">
        <v>2.1800000000000002</v>
      </c>
    </row>
    <row r="2495" spans="1:25" x14ac:dyDescent="0.25">
      <c r="A2495">
        <v>2024</v>
      </c>
      <c r="B2495" t="s">
        <v>57</v>
      </c>
      <c r="C2495">
        <v>11</v>
      </c>
      <c r="D2495">
        <v>115</v>
      </c>
      <c r="E2495" t="s">
        <v>95</v>
      </c>
      <c r="F2495" t="s">
        <v>101</v>
      </c>
      <c r="G2495">
        <f t="shared" si="1999"/>
        <v>0</v>
      </c>
      <c r="H2495">
        <v>6</v>
      </c>
      <c r="I2495">
        <v>7</v>
      </c>
      <c r="J2495">
        <v>0</v>
      </c>
      <c r="K2495" s="6" t="str">
        <f t="shared" ref="K2495" si="2074">"vs "&amp;E2494</f>
        <v>vs Salonika Devils</v>
      </c>
      <c r="L2495" s="6" t="str">
        <f t="shared" ref="L2495" si="2075">"vs "&amp;F2494</f>
        <v>vs Fountos</v>
      </c>
      <c r="M2495">
        <v>147</v>
      </c>
      <c r="N2495" s="1">
        <v>0.46200000000000002</v>
      </c>
      <c r="O2495">
        <v>38</v>
      </c>
      <c r="P2495" s="1">
        <v>0.30599999999999999</v>
      </c>
      <c r="Q2495" s="1">
        <v>0.81799999999999995</v>
      </c>
      <c r="R2495">
        <v>386</v>
      </c>
      <c r="S2495">
        <v>52</v>
      </c>
      <c r="T2495">
        <v>111</v>
      </c>
      <c r="U2495">
        <v>82</v>
      </c>
      <c r="V2495">
        <v>38</v>
      </c>
      <c r="W2495">
        <v>23</v>
      </c>
      <c r="X2495">
        <v>42</v>
      </c>
      <c r="Y2495">
        <v>1.95</v>
      </c>
    </row>
    <row r="2496" spans="1:25" x14ac:dyDescent="0.25">
      <c r="A2496">
        <v>2024</v>
      </c>
      <c r="B2496" t="s">
        <v>57</v>
      </c>
      <c r="C2496">
        <v>11</v>
      </c>
      <c r="D2496">
        <v>116</v>
      </c>
      <c r="E2496" t="s">
        <v>33</v>
      </c>
      <c r="F2496" t="s">
        <v>42</v>
      </c>
      <c r="G2496">
        <f t="shared" si="1999"/>
        <v>1</v>
      </c>
      <c r="H2496">
        <v>8</v>
      </c>
      <c r="I2496">
        <v>4</v>
      </c>
      <c r="J2496">
        <v>1</v>
      </c>
      <c r="K2496" s="6" t="str">
        <f t="shared" ref="K2496" si="2076">"vs "&amp;E2497</f>
        <v>vs st.Helens Eruptions</v>
      </c>
      <c r="L2496" s="6" t="str">
        <f t="shared" ref="L2496" si="2077">"vs "&amp;F2497</f>
        <v>vs Aris</v>
      </c>
      <c r="M2496">
        <v>217</v>
      </c>
      <c r="N2496" s="1">
        <v>0.55500000000000005</v>
      </c>
      <c r="O2496">
        <v>42</v>
      </c>
      <c r="P2496" s="1">
        <v>0.42</v>
      </c>
      <c r="Q2496" s="1">
        <v>0.76800000000000002</v>
      </c>
      <c r="R2496">
        <v>585</v>
      </c>
      <c r="S2496">
        <v>50</v>
      </c>
      <c r="T2496">
        <v>193</v>
      </c>
      <c r="U2496">
        <v>112</v>
      </c>
      <c r="V2496">
        <v>42</v>
      </c>
      <c r="W2496">
        <v>35</v>
      </c>
      <c r="X2496">
        <v>57</v>
      </c>
      <c r="Y2496">
        <v>1.96</v>
      </c>
    </row>
    <row r="2497" spans="1:25" x14ac:dyDescent="0.25">
      <c r="A2497">
        <v>2024</v>
      </c>
      <c r="B2497" t="s">
        <v>57</v>
      </c>
      <c r="C2497">
        <v>11</v>
      </c>
      <c r="D2497">
        <v>116</v>
      </c>
      <c r="E2497" t="s">
        <v>21</v>
      </c>
      <c r="F2497" t="s">
        <v>50</v>
      </c>
      <c r="G2497">
        <f t="shared" si="1999"/>
        <v>0</v>
      </c>
      <c r="H2497">
        <v>4</v>
      </c>
      <c r="I2497">
        <v>8</v>
      </c>
      <c r="J2497">
        <v>1</v>
      </c>
      <c r="K2497" s="6" t="str">
        <f t="shared" ref="K2497" si="2078">"vs "&amp;E2496</f>
        <v>vs The Guns</v>
      </c>
      <c r="L2497" s="6" t="str">
        <f t="shared" ref="L2497" si="2079">"vs "&amp;F2496</f>
        <v>vs Vasilis</v>
      </c>
      <c r="M2497">
        <v>162</v>
      </c>
      <c r="N2497" s="1">
        <v>0.48499999999999999</v>
      </c>
      <c r="O2497">
        <v>20</v>
      </c>
      <c r="P2497" s="1">
        <v>0.28599999999999998</v>
      </c>
      <c r="Q2497" s="1">
        <v>0.81399999999999995</v>
      </c>
      <c r="R2497">
        <v>436</v>
      </c>
      <c r="S2497">
        <v>62</v>
      </c>
      <c r="T2497">
        <v>128</v>
      </c>
      <c r="U2497">
        <v>149</v>
      </c>
      <c r="V2497">
        <v>34</v>
      </c>
      <c r="W2497">
        <v>20</v>
      </c>
      <c r="X2497">
        <v>57</v>
      </c>
      <c r="Y2497">
        <v>2.61</v>
      </c>
    </row>
    <row r="2498" spans="1:25" x14ac:dyDescent="0.25">
      <c r="A2498">
        <v>2024</v>
      </c>
      <c r="B2498" t="s">
        <v>57</v>
      </c>
      <c r="C2498">
        <v>11</v>
      </c>
      <c r="D2498">
        <v>117</v>
      </c>
      <c r="E2498" t="s">
        <v>184</v>
      </c>
      <c r="F2498" t="s">
        <v>188</v>
      </c>
      <c r="G2498">
        <f t="shared" si="1999"/>
        <v>0</v>
      </c>
      <c r="H2498">
        <v>5</v>
      </c>
      <c r="I2498">
        <v>8</v>
      </c>
      <c r="J2498">
        <v>0</v>
      </c>
      <c r="K2498" s="6" t="str">
        <f t="shared" ref="K2498" si="2080">"vs "&amp;E2499</f>
        <v>vs Samarina Dudenbros</v>
      </c>
      <c r="L2498" s="6" t="str">
        <f t="shared" ref="L2498" si="2081">"vs "&amp;F2499</f>
        <v>vs Sakellariou</v>
      </c>
      <c r="M2498">
        <v>190</v>
      </c>
      <c r="N2498" s="1">
        <v>0.497</v>
      </c>
      <c r="O2498">
        <v>60</v>
      </c>
      <c r="P2498" s="1">
        <v>0.41699999999999998</v>
      </c>
      <c r="Q2498" s="1">
        <v>0.77200000000000002</v>
      </c>
      <c r="R2498">
        <v>528</v>
      </c>
      <c r="S2498">
        <v>52</v>
      </c>
      <c r="T2498">
        <v>165</v>
      </c>
      <c r="U2498">
        <v>94</v>
      </c>
      <c r="V2498">
        <v>22</v>
      </c>
      <c r="W2498">
        <v>16</v>
      </c>
      <c r="X2498">
        <v>52</v>
      </c>
      <c r="Y2498">
        <v>1.81</v>
      </c>
    </row>
    <row r="2499" spans="1:25" x14ac:dyDescent="0.25">
      <c r="A2499">
        <v>2024</v>
      </c>
      <c r="B2499" t="s">
        <v>57</v>
      </c>
      <c r="C2499">
        <v>11</v>
      </c>
      <c r="D2499">
        <v>117</v>
      </c>
      <c r="E2499" t="s">
        <v>181</v>
      </c>
      <c r="F2499" t="s">
        <v>49</v>
      </c>
      <c r="G2499">
        <f t="shared" si="1999"/>
        <v>1</v>
      </c>
      <c r="H2499">
        <v>8</v>
      </c>
      <c r="I2499">
        <v>5</v>
      </c>
      <c r="J2499">
        <v>0</v>
      </c>
      <c r="K2499" s="6" t="str">
        <f t="shared" ref="K2499" si="2082">"vs "&amp;E2498</f>
        <v>vs Heraklion Snakes</v>
      </c>
      <c r="L2499" s="6" t="str">
        <f t="shared" ref="L2499" si="2083">"vs "&amp;F2498</f>
        <v>vs Dimitris</v>
      </c>
      <c r="M2499">
        <v>204</v>
      </c>
      <c r="N2499" s="1">
        <v>0.46400000000000002</v>
      </c>
      <c r="O2499">
        <v>69</v>
      </c>
      <c r="P2499" s="1">
        <v>0.373</v>
      </c>
      <c r="Q2499" s="1">
        <v>0.80100000000000005</v>
      </c>
      <c r="R2499">
        <v>590</v>
      </c>
      <c r="S2499">
        <v>31</v>
      </c>
      <c r="T2499">
        <v>131</v>
      </c>
      <c r="U2499">
        <v>177</v>
      </c>
      <c r="V2499">
        <v>40</v>
      </c>
      <c r="W2499">
        <v>22</v>
      </c>
      <c r="X2499">
        <v>76</v>
      </c>
      <c r="Y2499">
        <v>2.33</v>
      </c>
    </row>
    <row r="2500" spans="1:25" x14ac:dyDescent="0.25">
      <c r="A2500">
        <v>2024</v>
      </c>
      <c r="B2500" t="s">
        <v>57</v>
      </c>
      <c r="C2500">
        <v>11</v>
      </c>
      <c r="D2500">
        <v>118</v>
      </c>
      <c r="E2500" t="s">
        <v>154</v>
      </c>
      <c r="F2500" t="s">
        <v>155</v>
      </c>
      <c r="G2500">
        <f t="shared" si="1999"/>
        <v>0</v>
      </c>
      <c r="H2500">
        <v>4</v>
      </c>
      <c r="I2500">
        <v>8</v>
      </c>
      <c r="J2500">
        <v>1</v>
      </c>
      <c r="K2500" s="6" t="str">
        <f t="shared" ref="K2500" si="2084">"vs "&amp;E2501</f>
        <v>vs Pachiana NinjaBees</v>
      </c>
      <c r="L2500" s="6" t="str">
        <f t="shared" ref="L2500" si="2085">"vs "&amp;F2501</f>
        <v>vs Spiridaus/Oladipas</v>
      </c>
      <c r="M2500">
        <v>140</v>
      </c>
      <c r="N2500" s="1">
        <v>0.54100000000000004</v>
      </c>
      <c r="O2500">
        <v>32</v>
      </c>
      <c r="P2500" s="1">
        <v>0.36799999999999999</v>
      </c>
      <c r="Q2500" s="1">
        <v>0.71399999999999997</v>
      </c>
      <c r="R2500">
        <v>367</v>
      </c>
      <c r="S2500">
        <v>38</v>
      </c>
      <c r="T2500">
        <v>133</v>
      </c>
      <c r="U2500">
        <v>74</v>
      </c>
      <c r="V2500">
        <v>24</v>
      </c>
      <c r="W2500">
        <v>23</v>
      </c>
      <c r="X2500">
        <v>42</v>
      </c>
      <c r="Y2500">
        <v>1.76</v>
      </c>
    </row>
    <row r="2501" spans="1:25" x14ac:dyDescent="0.25">
      <c r="A2501">
        <v>2024</v>
      </c>
      <c r="B2501" t="s">
        <v>57</v>
      </c>
      <c r="C2501">
        <v>11</v>
      </c>
      <c r="D2501">
        <v>118</v>
      </c>
      <c r="E2501" t="s">
        <v>23</v>
      </c>
      <c r="F2501" t="s">
        <v>120</v>
      </c>
      <c r="G2501">
        <f t="shared" si="1999"/>
        <v>1</v>
      </c>
      <c r="H2501">
        <v>8</v>
      </c>
      <c r="I2501">
        <v>4</v>
      </c>
      <c r="J2501">
        <v>1</v>
      </c>
      <c r="K2501" s="6" t="str">
        <f t="shared" ref="K2501" si="2086">"vs "&amp;E2500</f>
        <v>vs The Bad Boys</v>
      </c>
      <c r="L2501" s="6" t="str">
        <f t="shared" ref="L2501" si="2087">"vs "&amp;F2500</f>
        <v>vs Arvanitis</v>
      </c>
      <c r="M2501">
        <v>186</v>
      </c>
      <c r="N2501" s="1">
        <v>0.46500000000000002</v>
      </c>
      <c r="O2501">
        <v>71</v>
      </c>
      <c r="P2501" s="1">
        <v>0.39900000000000002</v>
      </c>
      <c r="Q2501" s="1">
        <v>0.69699999999999995</v>
      </c>
      <c r="R2501">
        <v>505</v>
      </c>
      <c r="S2501">
        <v>43</v>
      </c>
      <c r="T2501">
        <v>126</v>
      </c>
      <c r="U2501">
        <v>143</v>
      </c>
      <c r="V2501">
        <v>24</v>
      </c>
      <c r="W2501">
        <v>36</v>
      </c>
      <c r="X2501">
        <v>71</v>
      </c>
      <c r="Y2501">
        <v>2.0099999999999998</v>
      </c>
    </row>
    <row r="2502" spans="1:25" x14ac:dyDescent="0.25">
      <c r="A2502">
        <v>2024</v>
      </c>
      <c r="B2502" t="s">
        <v>57</v>
      </c>
      <c r="C2502">
        <v>11</v>
      </c>
      <c r="D2502">
        <v>119</v>
      </c>
      <c r="E2502" t="s">
        <v>94</v>
      </c>
      <c r="F2502" t="s">
        <v>40</v>
      </c>
      <c r="G2502">
        <f t="shared" si="1999"/>
        <v>1</v>
      </c>
      <c r="H2502">
        <v>8</v>
      </c>
      <c r="I2502">
        <v>5</v>
      </c>
      <c r="J2502">
        <v>0</v>
      </c>
      <c r="K2502" s="6" t="str">
        <f t="shared" ref="K2502" si="2088">"vs "&amp;E2503</f>
        <v>vs Knights of Ni</v>
      </c>
      <c r="L2502" s="6" t="str">
        <f t="shared" ref="L2502" si="2089">"vs "&amp;F2503</f>
        <v>vs Tolios</v>
      </c>
      <c r="M2502">
        <v>159</v>
      </c>
      <c r="N2502" s="1">
        <v>0.44900000000000001</v>
      </c>
      <c r="O2502">
        <v>54</v>
      </c>
      <c r="P2502" s="1">
        <v>0.34399999999999997</v>
      </c>
      <c r="Q2502" s="1">
        <v>0.76700000000000002</v>
      </c>
      <c r="R2502">
        <v>451</v>
      </c>
      <c r="S2502">
        <v>41</v>
      </c>
      <c r="T2502">
        <v>144</v>
      </c>
      <c r="U2502">
        <v>126</v>
      </c>
      <c r="V2502">
        <v>26</v>
      </c>
      <c r="W2502">
        <v>14</v>
      </c>
      <c r="X2502">
        <v>44</v>
      </c>
      <c r="Y2502">
        <v>2.86</v>
      </c>
    </row>
    <row r="2503" spans="1:25" x14ac:dyDescent="0.25">
      <c r="A2503">
        <v>2024</v>
      </c>
      <c r="B2503" t="s">
        <v>57</v>
      </c>
      <c r="C2503">
        <v>11</v>
      </c>
      <c r="D2503">
        <v>119</v>
      </c>
      <c r="E2503" t="s">
        <v>96</v>
      </c>
      <c r="F2503" t="s">
        <v>102</v>
      </c>
      <c r="G2503">
        <f t="shared" si="1999"/>
        <v>0</v>
      </c>
      <c r="H2503">
        <v>5</v>
      </c>
      <c r="I2503">
        <v>8</v>
      </c>
      <c r="J2503">
        <v>0</v>
      </c>
      <c r="K2503" s="6" t="str">
        <f t="shared" ref="K2503" si="2090">"vs "&amp;E2502</f>
        <v>vs Fighting Thaddeus</v>
      </c>
      <c r="L2503" s="6" t="str">
        <f t="shared" ref="L2503" si="2091">"vs "&amp;F2502</f>
        <v>vs Stavros</v>
      </c>
      <c r="M2503">
        <v>158</v>
      </c>
      <c r="N2503" s="1">
        <v>0.51500000000000001</v>
      </c>
      <c r="O2503">
        <v>49</v>
      </c>
      <c r="P2503" s="1">
        <v>0.434</v>
      </c>
      <c r="Q2503" s="1">
        <v>0.71</v>
      </c>
      <c r="R2503">
        <v>414</v>
      </c>
      <c r="S2503">
        <v>42</v>
      </c>
      <c r="T2503">
        <v>87</v>
      </c>
      <c r="U2503">
        <v>73</v>
      </c>
      <c r="V2503">
        <v>34</v>
      </c>
      <c r="W2503">
        <v>21</v>
      </c>
      <c r="X2503">
        <v>52</v>
      </c>
      <c r="Y2503">
        <v>1.4</v>
      </c>
    </row>
    <row r="2504" spans="1:25" x14ac:dyDescent="0.25">
      <c r="A2504">
        <v>2024</v>
      </c>
      <c r="B2504" t="s">
        <v>57</v>
      </c>
      <c r="C2504">
        <v>11</v>
      </c>
      <c r="D2504">
        <v>120</v>
      </c>
      <c r="E2504" t="s">
        <v>93</v>
      </c>
      <c r="F2504" t="s">
        <v>189</v>
      </c>
      <c r="G2504">
        <f t="shared" si="1999"/>
        <v>0</v>
      </c>
      <c r="H2504">
        <v>6</v>
      </c>
      <c r="I2504">
        <v>7</v>
      </c>
      <c r="J2504">
        <v>0</v>
      </c>
      <c r="K2504" s="6" t="str">
        <f t="shared" ref="K2504" si="2092">"vs "&amp;E2505</f>
        <v>vs LRBP PR3DATORS</v>
      </c>
      <c r="L2504" s="6" t="str">
        <f t="shared" ref="L2504" si="2093">"vs "&amp;F2505</f>
        <v>vs Lafa</v>
      </c>
      <c r="M2504">
        <v>163</v>
      </c>
      <c r="N2504" s="1">
        <v>0.46800000000000003</v>
      </c>
      <c r="O2504">
        <v>75</v>
      </c>
      <c r="P2504" s="1">
        <v>0.44600000000000001</v>
      </c>
      <c r="Q2504" s="1">
        <v>0.71399999999999997</v>
      </c>
      <c r="R2504">
        <v>431</v>
      </c>
      <c r="S2504">
        <v>26</v>
      </c>
      <c r="T2504">
        <v>109</v>
      </c>
      <c r="U2504">
        <v>107</v>
      </c>
      <c r="V2504">
        <v>18</v>
      </c>
      <c r="W2504">
        <v>17</v>
      </c>
      <c r="X2504">
        <v>35</v>
      </c>
      <c r="Y2504">
        <v>3.06</v>
      </c>
    </row>
    <row r="2505" spans="1:25" x14ac:dyDescent="0.25">
      <c r="A2505">
        <v>2024</v>
      </c>
      <c r="B2505" t="s">
        <v>57</v>
      </c>
      <c r="C2505">
        <v>11</v>
      </c>
      <c r="D2505">
        <v>120</v>
      </c>
      <c r="E2505" t="s">
        <v>158</v>
      </c>
      <c r="F2505" t="s">
        <v>177</v>
      </c>
      <c r="G2505">
        <f t="shared" si="1999"/>
        <v>1</v>
      </c>
      <c r="H2505">
        <v>7</v>
      </c>
      <c r="I2505">
        <v>6</v>
      </c>
      <c r="J2505">
        <v>0</v>
      </c>
      <c r="K2505" s="6" t="str">
        <f t="shared" ref="K2505" si="2094">"vs "&amp;E2504</f>
        <v>vs Guruuu 🐐🐐🐐</v>
      </c>
      <c r="L2505" s="6" t="str">
        <f t="shared" ref="L2505" si="2095">"vs "&amp;F2504</f>
        <v>vs Guru</v>
      </c>
      <c r="M2505">
        <v>198</v>
      </c>
      <c r="N2505" s="1">
        <v>0.45800000000000002</v>
      </c>
      <c r="O2505">
        <v>59</v>
      </c>
      <c r="P2505" s="1">
        <v>0.376</v>
      </c>
      <c r="Q2505" s="1">
        <v>0.77800000000000002</v>
      </c>
      <c r="R2505">
        <v>581</v>
      </c>
      <c r="S2505">
        <v>38</v>
      </c>
      <c r="T2505">
        <v>134</v>
      </c>
      <c r="U2505">
        <v>128</v>
      </c>
      <c r="V2505">
        <v>23</v>
      </c>
      <c r="W2505">
        <v>12</v>
      </c>
      <c r="X2505">
        <v>65</v>
      </c>
      <c r="Y2505">
        <v>1.97</v>
      </c>
    </row>
    <row r="2506" spans="1:25" x14ac:dyDescent="0.25">
      <c r="A2506">
        <v>2024</v>
      </c>
      <c r="B2506" t="s">
        <v>57</v>
      </c>
      <c r="C2506">
        <v>12</v>
      </c>
      <c r="D2506">
        <v>121</v>
      </c>
      <c r="E2506" t="s">
        <v>99</v>
      </c>
      <c r="F2506" t="s">
        <v>45</v>
      </c>
      <c r="G2506">
        <f t="shared" si="1999"/>
        <v>0</v>
      </c>
      <c r="H2506">
        <v>3</v>
      </c>
      <c r="I2506">
        <v>10</v>
      </c>
      <c r="J2506">
        <v>0</v>
      </c>
      <c r="K2506" s="6" t="str">
        <f t="shared" ref="K2506" si="2096">"vs "&amp;E2507</f>
        <v>vs Karafli Saita</v>
      </c>
      <c r="L2506" s="6" t="str">
        <f t="shared" ref="L2506" si="2097">"vs "&amp;F2507</f>
        <v>vs Tassos</v>
      </c>
      <c r="M2506">
        <v>43</v>
      </c>
      <c r="N2506" s="1">
        <v>0.39100000000000001</v>
      </c>
      <c r="O2506">
        <v>16</v>
      </c>
      <c r="P2506" s="1">
        <v>0.27600000000000002</v>
      </c>
      <c r="Q2506" s="1">
        <v>0.85699999999999998</v>
      </c>
      <c r="R2506">
        <v>120</v>
      </c>
      <c r="S2506">
        <v>24</v>
      </c>
      <c r="T2506">
        <v>37</v>
      </c>
      <c r="U2506">
        <v>22</v>
      </c>
      <c r="V2506">
        <v>12</v>
      </c>
      <c r="W2506">
        <v>17</v>
      </c>
      <c r="X2506">
        <v>11</v>
      </c>
      <c r="Y2506">
        <v>2</v>
      </c>
    </row>
    <row r="2507" spans="1:25" x14ac:dyDescent="0.25">
      <c r="A2507">
        <v>2024</v>
      </c>
      <c r="B2507" t="s">
        <v>57</v>
      </c>
      <c r="C2507">
        <v>12</v>
      </c>
      <c r="D2507">
        <v>121</v>
      </c>
      <c r="E2507" t="s">
        <v>186</v>
      </c>
      <c r="F2507" t="s">
        <v>103</v>
      </c>
      <c r="G2507">
        <f t="shared" si="1999"/>
        <v>1</v>
      </c>
      <c r="H2507">
        <v>10</v>
      </c>
      <c r="I2507">
        <v>3</v>
      </c>
      <c r="J2507">
        <v>0</v>
      </c>
      <c r="K2507" s="6" t="str">
        <f t="shared" ref="K2507" si="2098">"vs "&amp;E2506</f>
        <v>vs Tsarlatans</v>
      </c>
      <c r="L2507" s="6" t="str">
        <f t="shared" ref="L2507" si="2099">"vs "&amp;F2506</f>
        <v>vs Tzokos</v>
      </c>
      <c r="M2507">
        <v>221</v>
      </c>
      <c r="N2507" s="1">
        <v>0.53300000000000003</v>
      </c>
      <c r="O2507">
        <v>62</v>
      </c>
      <c r="P2507" s="1">
        <v>0.443</v>
      </c>
      <c r="Q2507" s="1">
        <v>0.81599999999999995</v>
      </c>
      <c r="R2507">
        <v>606</v>
      </c>
      <c r="S2507">
        <v>28</v>
      </c>
      <c r="T2507">
        <v>132</v>
      </c>
      <c r="U2507">
        <v>101</v>
      </c>
      <c r="V2507">
        <v>31</v>
      </c>
      <c r="W2507">
        <v>14</v>
      </c>
      <c r="X2507">
        <v>49</v>
      </c>
      <c r="Y2507">
        <v>2.06</v>
      </c>
    </row>
    <row r="2508" spans="1:25" x14ac:dyDescent="0.25">
      <c r="A2508">
        <v>2024</v>
      </c>
      <c r="B2508" t="s">
        <v>57</v>
      </c>
      <c r="C2508">
        <v>12</v>
      </c>
      <c r="D2508">
        <v>122</v>
      </c>
      <c r="E2508" t="s">
        <v>26</v>
      </c>
      <c r="F2508" t="s">
        <v>118</v>
      </c>
      <c r="G2508">
        <f t="shared" si="1999"/>
        <v>1</v>
      </c>
      <c r="H2508">
        <v>11</v>
      </c>
      <c r="I2508">
        <v>2</v>
      </c>
      <c r="J2508">
        <v>0</v>
      </c>
      <c r="K2508" s="6" t="str">
        <f t="shared" ref="K2508" si="2100">"vs "&amp;E2509</f>
        <v>vs Paralouistas</v>
      </c>
      <c r="L2508" s="6" t="str">
        <f t="shared" ref="L2508" si="2101">"vs "&amp;F2509</f>
        <v>vs Panos</v>
      </c>
      <c r="M2508">
        <v>189</v>
      </c>
      <c r="N2508" s="1">
        <v>0.49299999999999999</v>
      </c>
      <c r="O2508">
        <v>63</v>
      </c>
      <c r="P2508" s="1">
        <v>0.438</v>
      </c>
      <c r="Q2508" s="1">
        <v>0.84099999999999997</v>
      </c>
      <c r="R2508">
        <v>536</v>
      </c>
      <c r="S2508">
        <v>48</v>
      </c>
      <c r="T2508">
        <v>162</v>
      </c>
      <c r="U2508">
        <v>128</v>
      </c>
      <c r="V2508">
        <v>27</v>
      </c>
      <c r="W2508">
        <v>13</v>
      </c>
      <c r="X2508">
        <v>71</v>
      </c>
      <c r="Y2508">
        <v>1.8</v>
      </c>
    </row>
    <row r="2509" spans="1:25" x14ac:dyDescent="0.25">
      <c r="A2509">
        <v>2024</v>
      </c>
      <c r="B2509" t="s">
        <v>57</v>
      </c>
      <c r="C2509">
        <v>12</v>
      </c>
      <c r="D2509">
        <v>122</v>
      </c>
      <c r="E2509" t="s">
        <v>185</v>
      </c>
      <c r="F2509" t="s">
        <v>100</v>
      </c>
      <c r="G2509">
        <f t="shared" si="1999"/>
        <v>0</v>
      </c>
      <c r="H2509">
        <v>2</v>
      </c>
      <c r="I2509">
        <v>11</v>
      </c>
      <c r="J2509">
        <v>0</v>
      </c>
      <c r="K2509" s="6" t="str">
        <f t="shared" ref="K2509" si="2102">"vs "&amp;E2508</f>
        <v>vs Kourayo Vallecano</v>
      </c>
      <c r="L2509" s="6" t="str">
        <f t="shared" ref="L2509" si="2103">"vs "&amp;F2508</f>
        <v>vs Ziogas/Christof</v>
      </c>
      <c r="M2509">
        <v>119</v>
      </c>
      <c r="N2509" s="1">
        <v>0.439</v>
      </c>
      <c r="O2509">
        <v>40</v>
      </c>
      <c r="P2509" s="1">
        <v>0.33300000000000002</v>
      </c>
      <c r="Q2509" s="1">
        <v>0.73299999999999998</v>
      </c>
      <c r="R2509">
        <v>311</v>
      </c>
      <c r="S2509">
        <v>18</v>
      </c>
      <c r="T2509">
        <v>94</v>
      </c>
      <c r="U2509">
        <v>76</v>
      </c>
      <c r="V2509">
        <v>19</v>
      </c>
      <c r="W2509">
        <v>10</v>
      </c>
      <c r="X2509">
        <v>25</v>
      </c>
      <c r="Y2509">
        <v>3.04</v>
      </c>
    </row>
    <row r="2510" spans="1:25" x14ac:dyDescent="0.25">
      <c r="A2510">
        <v>2024</v>
      </c>
      <c r="B2510" t="s">
        <v>57</v>
      </c>
      <c r="C2510">
        <v>12</v>
      </c>
      <c r="D2510">
        <v>123</v>
      </c>
      <c r="E2510" t="s">
        <v>28</v>
      </c>
      <c r="F2510" t="s">
        <v>46</v>
      </c>
      <c r="G2510">
        <f t="shared" si="1999"/>
        <v>0</v>
      </c>
      <c r="H2510">
        <v>4</v>
      </c>
      <c r="I2510">
        <v>9</v>
      </c>
      <c r="J2510">
        <v>0</v>
      </c>
      <c r="K2510" s="6" t="str">
        <f t="shared" ref="K2510" si="2104">"vs "&amp;E2511</f>
        <v>vs purple fuzzy apache pirates</v>
      </c>
      <c r="L2510" s="6" t="str">
        <f t="shared" ref="L2510" si="2105">"vs "&amp;F2511</f>
        <v>vs pi/Sotiris</v>
      </c>
      <c r="M2510">
        <v>155</v>
      </c>
      <c r="N2510" s="1">
        <v>0.45200000000000001</v>
      </c>
      <c r="O2510">
        <v>53</v>
      </c>
      <c r="P2510" s="1">
        <v>0.371</v>
      </c>
      <c r="Q2510" s="1">
        <v>0.73799999999999999</v>
      </c>
      <c r="R2510">
        <v>442</v>
      </c>
      <c r="S2510">
        <v>37</v>
      </c>
      <c r="T2510">
        <v>103</v>
      </c>
      <c r="U2510">
        <v>96</v>
      </c>
      <c r="V2510">
        <v>19</v>
      </c>
      <c r="W2510">
        <v>20</v>
      </c>
      <c r="X2510">
        <v>56</v>
      </c>
      <c r="Y2510">
        <v>1.71</v>
      </c>
    </row>
    <row r="2511" spans="1:25" x14ac:dyDescent="0.25">
      <c r="A2511">
        <v>2024</v>
      </c>
      <c r="B2511" t="s">
        <v>57</v>
      </c>
      <c r="C2511">
        <v>12</v>
      </c>
      <c r="D2511">
        <v>123</v>
      </c>
      <c r="E2511" t="s">
        <v>159</v>
      </c>
      <c r="F2511" t="s">
        <v>116</v>
      </c>
      <c r="G2511">
        <f t="shared" si="1999"/>
        <v>1</v>
      </c>
      <c r="H2511">
        <v>9</v>
      </c>
      <c r="I2511">
        <v>4</v>
      </c>
      <c r="J2511">
        <v>0</v>
      </c>
      <c r="K2511" s="6" t="str">
        <f t="shared" ref="K2511" si="2106">"vs "&amp;E2510</f>
        <v>vs Steven Adams' Moustache</v>
      </c>
      <c r="L2511" s="6" t="str">
        <f t="shared" ref="L2511" si="2107">"vs "&amp;F2510</f>
        <v>vs Johnny</v>
      </c>
      <c r="M2511">
        <v>183</v>
      </c>
      <c r="N2511" s="1">
        <v>0.53</v>
      </c>
      <c r="O2511">
        <v>35</v>
      </c>
      <c r="P2511" s="1">
        <v>0.34699999999999998</v>
      </c>
      <c r="Q2511" s="1">
        <v>0.75600000000000001</v>
      </c>
      <c r="R2511">
        <v>491</v>
      </c>
      <c r="S2511">
        <v>48</v>
      </c>
      <c r="T2511">
        <v>153</v>
      </c>
      <c r="U2511">
        <v>160</v>
      </c>
      <c r="V2511">
        <v>35</v>
      </c>
      <c r="W2511">
        <v>10</v>
      </c>
      <c r="X2511">
        <v>60</v>
      </c>
      <c r="Y2511">
        <v>2.67</v>
      </c>
    </row>
    <row r="2512" spans="1:25" x14ac:dyDescent="0.25">
      <c r="A2512">
        <v>2024</v>
      </c>
      <c r="B2512" t="s">
        <v>57</v>
      </c>
      <c r="C2512">
        <v>12</v>
      </c>
      <c r="D2512">
        <v>124</v>
      </c>
      <c r="E2512" t="s">
        <v>16</v>
      </c>
      <c r="F2512" t="s">
        <v>51</v>
      </c>
      <c r="G2512">
        <f t="shared" si="1999"/>
        <v>0</v>
      </c>
      <c r="H2512">
        <v>4</v>
      </c>
      <c r="I2512">
        <v>8</v>
      </c>
      <c r="J2512">
        <v>1</v>
      </c>
      <c r="K2512" s="6" t="str">
        <f t="shared" ref="K2512" si="2108">"vs "&amp;E2513</f>
        <v>vs Salonika Devils</v>
      </c>
      <c r="L2512" s="6" t="str">
        <f t="shared" ref="L2512" si="2109">"vs "&amp;F2513</f>
        <v>vs Fountos</v>
      </c>
      <c r="M2512">
        <v>102</v>
      </c>
      <c r="N2512" s="1">
        <v>0.38100000000000001</v>
      </c>
      <c r="O2512">
        <v>51</v>
      </c>
      <c r="P2512" s="1">
        <v>0.375</v>
      </c>
      <c r="Q2512" s="1">
        <v>0.83799999999999997</v>
      </c>
      <c r="R2512">
        <v>322</v>
      </c>
      <c r="S2512">
        <v>26</v>
      </c>
      <c r="T2512">
        <v>71</v>
      </c>
      <c r="U2512">
        <v>98</v>
      </c>
      <c r="V2512">
        <v>36</v>
      </c>
      <c r="W2512">
        <v>18</v>
      </c>
      <c r="X2512">
        <v>33</v>
      </c>
      <c r="Y2512">
        <v>2.97</v>
      </c>
    </row>
    <row r="2513" spans="1:25" x14ac:dyDescent="0.25">
      <c r="A2513">
        <v>2024</v>
      </c>
      <c r="B2513" t="s">
        <v>57</v>
      </c>
      <c r="C2513">
        <v>12</v>
      </c>
      <c r="D2513">
        <v>124</v>
      </c>
      <c r="E2513" t="s">
        <v>15</v>
      </c>
      <c r="F2513" t="s">
        <v>48</v>
      </c>
      <c r="G2513">
        <f t="shared" si="1999"/>
        <v>1</v>
      </c>
      <c r="H2513">
        <v>8</v>
      </c>
      <c r="I2513">
        <v>4</v>
      </c>
      <c r="J2513">
        <v>1</v>
      </c>
      <c r="K2513" s="6" t="str">
        <f t="shared" ref="K2513" si="2110">"vs "&amp;E2512</f>
        <v>vs The Bridgeburners</v>
      </c>
      <c r="L2513" s="6" t="str">
        <f t="shared" ref="L2513" si="2111">"vs "&amp;F2512</f>
        <v>vs Fanis</v>
      </c>
      <c r="M2513">
        <v>196</v>
      </c>
      <c r="N2513" s="1">
        <v>0.47699999999999998</v>
      </c>
      <c r="O2513">
        <v>70</v>
      </c>
      <c r="P2513" s="1">
        <v>0.38500000000000001</v>
      </c>
      <c r="Q2513" s="1">
        <v>0.86099999999999999</v>
      </c>
      <c r="R2513">
        <v>524</v>
      </c>
      <c r="S2513">
        <v>26</v>
      </c>
      <c r="T2513">
        <v>121</v>
      </c>
      <c r="U2513">
        <v>119</v>
      </c>
      <c r="V2513">
        <v>27</v>
      </c>
      <c r="W2513">
        <v>10</v>
      </c>
      <c r="X2513">
        <v>57</v>
      </c>
      <c r="Y2513">
        <v>2.09</v>
      </c>
    </row>
    <row r="2514" spans="1:25" x14ac:dyDescent="0.25">
      <c r="A2514">
        <v>2024</v>
      </c>
      <c r="B2514" t="s">
        <v>57</v>
      </c>
      <c r="C2514">
        <v>12</v>
      </c>
      <c r="D2514">
        <v>125</v>
      </c>
      <c r="E2514" t="s">
        <v>98</v>
      </c>
      <c r="F2514" t="s">
        <v>41</v>
      </c>
      <c r="G2514">
        <f t="shared" si="1999"/>
        <v>1</v>
      </c>
      <c r="H2514">
        <v>10</v>
      </c>
      <c r="I2514">
        <v>2</v>
      </c>
      <c r="J2514">
        <v>1</v>
      </c>
      <c r="K2514" s="6" t="str">
        <f t="shared" ref="K2514" si="2112">"vs "&amp;E2515</f>
        <v>vs The Guns</v>
      </c>
      <c r="L2514" s="6" t="str">
        <f t="shared" ref="L2514" si="2113">"vs "&amp;F2515</f>
        <v>vs Vasilis</v>
      </c>
      <c r="M2514">
        <v>271</v>
      </c>
      <c r="N2514" s="1">
        <v>0.53</v>
      </c>
      <c r="O2514">
        <v>86</v>
      </c>
      <c r="P2514" s="1">
        <v>0.437</v>
      </c>
      <c r="Q2514" s="1">
        <v>0.92900000000000005</v>
      </c>
      <c r="R2514">
        <v>720</v>
      </c>
      <c r="S2514">
        <v>47</v>
      </c>
      <c r="T2514">
        <v>171</v>
      </c>
      <c r="U2514">
        <v>167</v>
      </c>
      <c r="V2514">
        <v>30</v>
      </c>
      <c r="W2514">
        <v>34</v>
      </c>
      <c r="X2514">
        <v>47</v>
      </c>
      <c r="Y2514">
        <v>3.55</v>
      </c>
    </row>
    <row r="2515" spans="1:25" x14ac:dyDescent="0.25">
      <c r="A2515">
        <v>2024</v>
      </c>
      <c r="B2515" t="s">
        <v>57</v>
      </c>
      <c r="C2515">
        <v>12</v>
      </c>
      <c r="D2515">
        <v>125</v>
      </c>
      <c r="E2515" t="s">
        <v>33</v>
      </c>
      <c r="F2515" t="s">
        <v>42</v>
      </c>
      <c r="G2515">
        <f t="shared" si="1999"/>
        <v>0</v>
      </c>
      <c r="H2515">
        <v>2</v>
      </c>
      <c r="I2515">
        <v>10</v>
      </c>
      <c r="J2515">
        <v>1</v>
      </c>
      <c r="K2515" s="6" t="str">
        <f t="shared" ref="K2515" si="2114">"vs "&amp;E2514</f>
        <v>vs Xanthi Ducks 🦆</v>
      </c>
      <c r="L2515" s="6" t="str">
        <f t="shared" ref="L2515" si="2115">"vs "&amp;F2514</f>
        <v>vs Kotakis</v>
      </c>
      <c r="M2515">
        <v>187</v>
      </c>
      <c r="N2515" s="1">
        <v>0.56799999999999995</v>
      </c>
      <c r="O2515">
        <v>35</v>
      </c>
      <c r="P2515" s="1">
        <v>0.40200000000000002</v>
      </c>
      <c r="Q2515" s="1">
        <v>0.79800000000000004</v>
      </c>
      <c r="R2515">
        <v>508</v>
      </c>
      <c r="S2515">
        <v>50</v>
      </c>
      <c r="T2515">
        <v>157</v>
      </c>
      <c r="U2515">
        <v>107</v>
      </c>
      <c r="V2515">
        <v>30</v>
      </c>
      <c r="W2515">
        <v>31</v>
      </c>
      <c r="X2515">
        <v>53</v>
      </c>
      <c r="Y2515">
        <v>2.02</v>
      </c>
    </row>
    <row r="2516" spans="1:25" x14ac:dyDescent="0.25">
      <c r="A2516">
        <v>2024</v>
      </c>
      <c r="B2516" t="s">
        <v>57</v>
      </c>
      <c r="C2516">
        <v>12</v>
      </c>
      <c r="D2516">
        <v>126</v>
      </c>
      <c r="E2516" t="s">
        <v>95</v>
      </c>
      <c r="F2516" t="s">
        <v>101</v>
      </c>
      <c r="G2516">
        <f t="shared" si="1999"/>
        <v>0</v>
      </c>
      <c r="H2516">
        <v>3</v>
      </c>
      <c r="I2516">
        <v>10</v>
      </c>
      <c r="J2516">
        <v>0</v>
      </c>
      <c r="K2516" s="6" t="str">
        <f t="shared" ref="K2516" si="2116">"vs "&amp;E2517</f>
        <v>vs Heraklion Snakes</v>
      </c>
      <c r="L2516" s="6" t="str">
        <f t="shared" ref="L2516" si="2117">"vs "&amp;F2517</f>
        <v>vs Dimitris</v>
      </c>
      <c r="M2516">
        <v>117</v>
      </c>
      <c r="N2516" s="1">
        <v>0.48299999999999998</v>
      </c>
      <c r="O2516">
        <v>42</v>
      </c>
      <c r="P2516" s="1">
        <v>0.40799999999999997</v>
      </c>
      <c r="Q2516" s="1">
        <v>0.73099999999999998</v>
      </c>
      <c r="R2516">
        <v>325</v>
      </c>
      <c r="S2516">
        <v>18</v>
      </c>
      <c r="T2516">
        <v>86</v>
      </c>
      <c r="U2516">
        <v>61</v>
      </c>
      <c r="V2516">
        <v>30</v>
      </c>
      <c r="W2516">
        <v>22</v>
      </c>
      <c r="X2516">
        <v>45</v>
      </c>
      <c r="Y2516">
        <v>1.36</v>
      </c>
    </row>
    <row r="2517" spans="1:25" x14ac:dyDescent="0.25">
      <c r="A2517">
        <v>2024</v>
      </c>
      <c r="B2517" t="s">
        <v>57</v>
      </c>
      <c r="C2517">
        <v>12</v>
      </c>
      <c r="D2517">
        <v>126</v>
      </c>
      <c r="E2517" t="s">
        <v>184</v>
      </c>
      <c r="F2517" t="s">
        <v>188</v>
      </c>
      <c r="G2517">
        <f t="shared" si="1999"/>
        <v>1</v>
      </c>
      <c r="H2517">
        <v>10</v>
      </c>
      <c r="I2517">
        <v>3</v>
      </c>
      <c r="J2517">
        <v>0</v>
      </c>
      <c r="K2517" s="6" t="str">
        <f t="shared" ref="K2517" si="2118">"vs "&amp;E2516</f>
        <v>vs Baltimore Hercules</v>
      </c>
      <c r="L2517" s="6" t="str">
        <f t="shared" ref="L2517" si="2119">"vs "&amp;F2516</f>
        <v>vs Sarantos</v>
      </c>
      <c r="M2517">
        <v>170</v>
      </c>
      <c r="N2517" s="1">
        <v>0.51100000000000001</v>
      </c>
      <c r="O2517">
        <v>43</v>
      </c>
      <c r="P2517" s="1">
        <v>0.38100000000000001</v>
      </c>
      <c r="Q2517" s="1">
        <v>0.84599999999999997</v>
      </c>
      <c r="R2517">
        <v>493</v>
      </c>
      <c r="S2517">
        <v>48</v>
      </c>
      <c r="T2517">
        <v>136</v>
      </c>
      <c r="U2517">
        <v>92</v>
      </c>
      <c r="V2517">
        <v>20</v>
      </c>
      <c r="W2517">
        <v>29</v>
      </c>
      <c r="X2517">
        <v>49</v>
      </c>
      <c r="Y2517">
        <v>1.88</v>
      </c>
    </row>
    <row r="2518" spans="1:25" x14ac:dyDescent="0.25">
      <c r="A2518">
        <v>2024</v>
      </c>
      <c r="B2518" t="s">
        <v>57</v>
      </c>
      <c r="C2518">
        <v>12</v>
      </c>
      <c r="D2518">
        <v>127</v>
      </c>
      <c r="E2518" t="s">
        <v>21</v>
      </c>
      <c r="F2518" t="s">
        <v>50</v>
      </c>
      <c r="G2518">
        <f t="shared" si="1999"/>
        <v>1</v>
      </c>
      <c r="H2518">
        <v>8</v>
      </c>
      <c r="I2518">
        <v>5</v>
      </c>
      <c r="J2518">
        <v>0</v>
      </c>
      <c r="K2518" s="6" t="str">
        <f t="shared" ref="K2518" si="2120">"vs "&amp;E2519</f>
        <v>vs The Bad Boys</v>
      </c>
      <c r="L2518" s="6" t="str">
        <f t="shared" ref="L2518" si="2121">"vs "&amp;F2519</f>
        <v>vs Arvanitis</v>
      </c>
      <c r="M2518">
        <v>146</v>
      </c>
      <c r="N2518" s="1">
        <v>0.47699999999999998</v>
      </c>
      <c r="O2518">
        <v>36</v>
      </c>
      <c r="P2518" s="1">
        <v>0.41899999999999998</v>
      </c>
      <c r="Q2518" s="1">
        <v>0.76</v>
      </c>
      <c r="R2518">
        <v>407</v>
      </c>
      <c r="S2518">
        <v>32</v>
      </c>
      <c r="T2518">
        <v>75</v>
      </c>
      <c r="U2518">
        <v>114</v>
      </c>
      <c r="V2518">
        <v>29</v>
      </c>
      <c r="W2518">
        <v>9</v>
      </c>
      <c r="X2518">
        <v>46</v>
      </c>
      <c r="Y2518">
        <v>2.48</v>
      </c>
    </row>
    <row r="2519" spans="1:25" x14ac:dyDescent="0.25">
      <c r="A2519">
        <v>2024</v>
      </c>
      <c r="B2519" t="s">
        <v>57</v>
      </c>
      <c r="C2519">
        <v>12</v>
      </c>
      <c r="D2519">
        <v>127</v>
      </c>
      <c r="E2519" t="s">
        <v>154</v>
      </c>
      <c r="F2519" t="s">
        <v>155</v>
      </c>
      <c r="G2519">
        <f t="shared" si="1999"/>
        <v>0</v>
      </c>
      <c r="H2519">
        <v>5</v>
      </c>
      <c r="I2519">
        <v>8</v>
      </c>
      <c r="J2519">
        <v>0</v>
      </c>
      <c r="K2519" s="6" t="str">
        <f t="shared" ref="K2519" si="2122">"vs "&amp;E2518</f>
        <v>vs st.Helens Eruptions</v>
      </c>
      <c r="L2519" s="6" t="str">
        <f t="shared" ref="L2519" si="2123">"vs "&amp;F2518</f>
        <v>vs Aris</v>
      </c>
      <c r="M2519">
        <v>132</v>
      </c>
      <c r="N2519" s="1">
        <v>0.51200000000000001</v>
      </c>
      <c r="O2519">
        <v>31</v>
      </c>
      <c r="P2519" s="1">
        <v>0.35599999999999998</v>
      </c>
      <c r="Q2519" s="1">
        <v>0.70199999999999996</v>
      </c>
      <c r="R2519">
        <v>335</v>
      </c>
      <c r="S2519">
        <v>33</v>
      </c>
      <c r="T2519">
        <v>135</v>
      </c>
      <c r="U2519">
        <v>68</v>
      </c>
      <c r="V2519">
        <v>34</v>
      </c>
      <c r="W2519">
        <v>18</v>
      </c>
      <c r="X2519">
        <v>58</v>
      </c>
      <c r="Y2519">
        <v>1.17</v>
      </c>
    </row>
    <row r="2520" spans="1:25" x14ac:dyDescent="0.25">
      <c r="A2520">
        <v>2024</v>
      </c>
      <c r="B2520" t="s">
        <v>57</v>
      </c>
      <c r="C2520">
        <v>12</v>
      </c>
      <c r="D2520">
        <v>128</v>
      </c>
      <c r="E2520" t="s">
        <v>181</v>
      </c>
      <c r="F2520" t="s">
        <v>49</v>
      </c>
      <c r="G2520">
        <f t="shared" si="1999"/>
        <v>1</v>
      </c>
      <c r="H2520">
        <v>10</v>
      </c>
      <c r="I2520">
        <v>3</v>
      </c>
      <c r="J2520">
        <v>0</v>
      </c>
      <c r="K2520" s="6" t="str">
        <f t="shared" ref="K2520" si="2124">"vs "&amp;E2521</f>
        <v>vs Fighting Thaddeus</v>
      </c>
      <c r="L2520" s="6" t="str">
        <f t="shared" ref="L2520" si="2125">"vs "&amp;F2521</f>
        <v>vs Stavros</v>
      </c>
      <c r="M2520">
        <v>192</v>
      </c>
      <c r="N2520" s="1">
        <v>0.47299999999999998</v>
      </c>
      <c r="O2520">
        <v>52</v>
      </c>
      <c r="P2520" s="1">
        <v>0.35899999999999999</v>
      </c>
      <c r="Q2520" s="1">
        <v>0.82699999999999996</v>
      </c>
      <c r="R2520">
        <v>517</v>
      </c>
      <c r="S2520">
        <v>31</v>
      </c>
      <c r="T2520">
        <v>136</v>
      </c>
      <c r="U2520">
        <v>203</v>
      </c>
      <c r="V2520">
        <v>32</v>
      </c>
      <c r="W2520">
        <v>24</v>
      </c>
      <c r="X2520">
        <v>68</v>
      </c>
      <c r="Y2520">
        <v>2.99</v>
      </c>
    </row>
    <row r="2521" spans="1:25" x14ac:dyDescent="0.25">
      <c r="A2521">
        <v>2024</v>
      </c>
      <c r="B2521" t="s">
        <v>57</v>
      </c>
      <c r="C2521">
        <v>12</v>
      </c>
      <c r="D2521">
        <v>128</v>
      </c>
      <c r="E2521" t="s">
        <v>94</v>
      </c>
      <c r="F2521" t="s">
        <v>40</v>
      </c>
      <c r="G2521">
        <f t="shared" si="1999"/>
        <v>0</v>
      </c>
      <c r="H2521">
        <v>3</v>
      </c>
      <c r="I2521">
        <v>10</v>
      </c>
      <c r="J2521">
        <v>0</v>
      </c>
      <c r="K2521" s="6" t="str">
        <f t="shared" ref="K2521" si="2126">"vs "&amp;E2520</f>
        <v>vs Samarina Dudenbros</v>
      </c>
      <c r="L2521" s="6" t="str">
        <f t="shared" ref="L2521" si="2127">"vs "&amp;F2520</f>
        <v>vs Sakellariou</v>
      </c>
      <c r="M2521">
        <v>118</v>
      </c>
      <c r="N2521" s="1">
        <v>0.46100000000000002</v>
      </c>
      <c r="O2521">
        <v>35</v>
      </c>
      <c r="P2521" s="1">
        <v>0.38</v>
      </c>
      <c r="Q2521" s="1">
        <v>0.83</v>
      </c>
      <c r="R2521">
        <v>359</v>
      </c>
      <c r="S2521">
        <v>25</v>
      </c>
      <c r="T2521">
        <v>114</v>
      </c>
      <c r="U2521">
        <v>62</v>
      </c>
      <c r="V2521">
        <v>13</v>
      </c>
      <c r="W2521">
        <v>19</v>
      </c>
      <c r="X2521">
        <v>25</v>
      </c>
      <c r="Y2521">
        <v>2.48</v>
      </c>
    </row>
    <row r="2522" spans="1:25" x14ac:dyDescent="0.25">
      <c r="A2522">
        <v>2024</v>
      </c>
      <c r="B2522" t="s">
        <v>57</v>
      </c>
      <c r="C2522">
        <v>12</v>
      </c>
      <c r="D2522">
        <v>129</v>
      </c>
      <c r="E2522" t="s">
        <v>23</v>
      </c>
      <c r="F2522" t="s">
        <v>120</v>
      </c>
      <c r="G2522">
        <f t="shared" ref="G2522:G2585" si="2128">IF(H2522+0.5*J2522&gt;6.5,1,0)</f>
        <v>1</v>
      </c>
      <c r="H2522">
        <v>9</v>
      </c>
      <c r="I2522">
        <v>4</v>
      </c>
      <c r="J2522">
        <v>0</v>
      </c>
      <c r="K2522" s="6" t="str">
        <f t="shared" ref="K2522" si="2129">"vs "&amp;E2523</f>
        <v>vs Guruuu 🐐🐐🐐</v>
      </c>
      <c r="L2522" s="6" t="str">
        <f t="shared" ref="L2522" si="2130">"vs "&amp;F2523</f>
        <v>vs Guru</v>
      </c>
      <c r="M2522">
        <v>153</v>
      </c>
      <c r="N2522" s="1">
        <v>0.47699999999999998</v>
      </c>
      <c r="O2522">
        <v>46</v>
      </c>
      <c r="P2522" s="1">
        <v>0.34300000000000003</v>
      </c>
      <c r="Q2522" s="1">
        <v>0.76500000000000001</v>
      </c>
      <c r="R2522">
        <v>417</v>
      </c>
      <c r="S2522">
        <v>42</v>
      </c>
      <c r="T2522">
        <v>105</v>
      </c>
      <c r="U2522">
        <v>107</v>
      </c>
      <c r="V2522">
        <v>28</v>
      </c>
      <c r="W2522">
        <v>18</v>
      </c>
      <c r="X2522">
        <v>35</v>
      </c>
      <c r="Y2522">
        <v>3.06</v>
      </c>
    </row>
    <row r="2523" spans="1:25" x14ac:dyDescent="0.25">
      <c r="A2523">
        <v>2024</v>
      </c>
      <c r="B2523" t="s">
        <v>57</v>
      </c>
      <c r="C2523">
        <v>12</v>
      </c>
      <c r="D2523">
        <v>129</v>
      </c>
      <c r="E2523" t="s">
        <v>93</v>
      </c>
      <c r="F2523" t="s">
        <v>189</v>
      </c>
      <c r="G2523">
        <f t="shared" si="2128"/>
        <v>0</v>
      </c>
      <c r="H2523">
        <v>4</v>
      </c>
      <c r="I2523">
        <v>9</v>
      </c>
      <c r="J2523">
        <v>0</v>
      </c>
      <c r="K2523" s="6" t="str">
        <f t="shared" ref="K2523" si="2131">"vs "&amp;E2522</f>
        <v>vs Pachiana NinjaBees</v>
      </c>
      <c r="L2523" s="6" t="str">
        <f t="shared" ref="L2523" si="2132">"vs "&amp;F2522</f>
        <v>vs Spiridaus/Oladipas</v>
      </c>
      <c r="M2523">
        <v>144</v>
      </c>
      <c r="N2523" s="1">
        <v>0.53300000000000003</v>
      </c>
      <c r="O2523">
        <v>61</v>
      </c>
      <c r="P2523" s="1">
        <v>0.44900000000000001</v>
      </c>
      <c r="Q2523" s="1">
        <v>0.80300000000000005</v>
      </c>
      <c r="R2523">
        <v>398</v>
      </c>
      <c r="S2523">
        <v>11</v>
      </c>
      <c r="T2523">
        <v>83</v>
      </c>
      <c r="U2523">
        <v>92</v>
      </c>
      <c r="V2523">
        <v>23</v>
      </c>
      <c r="W2523">
        <v>10</v>
      </c>
      <c r="X2523">
        <v>48</v>
      </c>
      <c r="Y2523">
        <v>1.92</v>
      </c>
    </row>
    <row r="2524" spans="1:25" x14ac:dyDescent="0.25">
      <c r="A2524">
        <v>2024</v>
      </c>
      <c r="B2524" t="s">
        <v>57</v>
      </c>
      <c r="C2524">
        <v>12</v>
      </c>
      <c r="D2524">
        <v>130</v>
      </c>
      <c r="E2524" t="s">
        <v>96</v>
      </c>
      <c r="F2524" t="s">
        <v>102</v>
      </c>
      <c r="G2524">
        <f t="shared" si="2128"/>
        <v>0</v>
      </c>
      <c r="H2524">
        <v>5</v>
      </c>
      <c r="I2524">
        <v>6</v>
      </c>
      <c r="J2524">
        <v>2</v>
      </c>
      <c r="K2524" s="6" t="str">
        <f t="shared" ref="K2524" si="2133">"vs "&amp;E2525</f>
        <v>vs LRBP PR3DATORS</v>
      </c>
      <c r="L2524" s="6" t="str">
        <f t="shared" ref="L2524" si="2134">"vs "&amp;F2525</f>
        <v>vs Lafa</v>
      </c>
      <c r="M2524">
        <v>148</v>
      </c>
      <c r="N2524" s="1">
        <v>0.51700000000000002</v>
      </c>
      <c r="O2524">
        <v>46</v>
      </c>
      <c r="P2524" s="1">
        <v>0.442</v>
      </c>
      <c r="Q2524" s="1">
        <v>0.78900000000000003</v>
      </c>
      <c r="R2524">
        <v>387</v>
      </c>
      <c r="S2524">
        <v>38</v>
      </c>
      <c r="T2524">
        <v>105</v>
      </c>
      <c r="U2524">
        <v>89</v>
      </c>
      <c r="V2524">
        <v>14</v>
      </c>
      <c r="W2524">
        <v>17</v>
      </c>
      <c r="X2524">
        <v>31</v>
      </c>
      <c r="Y2524">
        <v>2.87</v>
      </c>
    </row>
    <row r="2525" spans="1:25" x14ac:dyDescent="0.25">
      <c r="A2525">
        <v>2024</v>
      </c>
      <c r="B2525" t="s">
        <v>57</v>
      </c>
      <c r="C2525">
        <v>12</v>
      </c>
      <c r="D2525">
        <v>130</v>
      </c>
      <c r="E2525" t="s">
        <v>158</v>
      </c>
      <c r="F2525" t="s">
        <v>177</v>
      </c>
      <c r="G2525">
        <f t="shared" si="2128"/>
        <v>1</v>
      </c>
      <c r="H2525">
        <v>6</v>
      </c>
      <c r="I2525">
        <v>5</v>
      </c>
      <c r="J2525">
        <v>2</v>
      </c>
      <c r="K2525" s="6" t="str">
        <f t="shared" ref="K2525" si="2135">"vs "&amp;E2524</f>
        <v>vs Knights of Ni</v>
      </c>
      <c r="L2525" s="6" t="str">
        <f t="shared" ref="L2525" si="2136">"vs "&amp;F2524</f>
        <v>vs Tolios</v>
      </c>
      <c r="M2525">
        <v>187</v>
      </c>
      <c r="N2525" s="1">
        <v>0.48299999999999998</v>
      </c>
      <c r="O2525">
        <v>50</v>
      </c>
      <c r="P2525" s="1">
        <v>0.35199999999999998</v>
      </c>
      <c r="Q2525" s="1">
        <v>0.68600000000000005</v>
      </c>
      <c r="R2525">
        <v>505</v>
      </c>
      <c r="S2525">
        <v>38</v>
      </c>
      <c r="T2525">
        <v>123</v>
      </c>
      <c r="U2525">
        <v>91</v>
      </c>
      <c r="V2525">
        <v>26</v>
      </c>
      <c r="W2525">
        <v>17</v>
      </c>
      <c r="X2525">
        <v>46</v>
      </c>
      <c r="Y2525">
        <v>1.98</v>
      </c>
    </row>
    <row r="2526" spans="1:25" x14ac:dyDescent="0.25">
      <c r="A2526">
        <v>2024</v>
      </c>
      <c r="B2526" t="s">
        <v>57</v>
      </c>
      <c r="C2526">
        <v>13</v>
      </c>
      <c r="D2526">
        <v>131</v>
      </c>
      <c r="E2526" t="s">
        <v>185</v>
      </c>
      <c r="F2526" t="s">
        <v>100</v>
      </c>
      <c r="G2526">
        <f t="shared" si="2128"/>
        <v>1</v>
      </c>
      <c r="H2526">
        <v>7</v>
      </c>
      <c r="I2526">
        <v>6</v>
      </c>
      <c r="J2526">
        <v>0</v>
      </c>
      <c r="K2526" s="6" t="str">
        <f t="shared" ref="K2526" si="2137">"vs "&amp;E2527</f>
        <v>vs Tsarlatans</v>
      </c>
      <c r="L2526" s="6" t="str">
        <f t="shared" ref="L2526" si="2138">"vs "&amp;F2527</f>
        <v>vs Tzokos</v>
      </c>
      <c r="M2526">
        <v>157</v>
      </c>
      <c r="N2526" s="1">
        <v>0.48199999999999998</v>
      </c>
      <c r="O2526">
        <v>54</v>
      </c>
      <c r="P2526" s="1">
        <v>0.38</v>
      </c>
      <c r="Q2526" s="1">
        <v>0.79400000000000004</v>
      </c>
      <c r="R2526">
        <v>418</v>
      </c>
      <c r="S2526">
        <v>24</v>
      </c>
      <c r="T2526">
        <v>85</v>
      </c>
      <c r="U2526">
        <v>73</v>
      </c>
      <c r="V2526">
        <v>19</v>
      </c>
      <c r="W2526">
        <v>15</v>
      </c>
      <c r="X2526">
        <v>45</v>
      </c>
      <c r="Y2526">
        <v>1.62</v>
      </c>
    </row>
    <row r="2527" spans="1:25" x14ac:dyDescent="0.25">
      <c r="A2527">
        <v>2024</v>
      </c>
      <c r="B2527" t="s">
        <v>57</v>
      </c>
      <c r="C2527">
        <v>13</v>
      </c>
      <c r="D2527">
        <v>131</v>
      </c>
      <c r="E2527" t="s">
        <v>99</v>
      </c>
      <c r="F2527" t="s">
        <v>45</v>
      </c>
      <c r="G2527">
        <f t="shared" si="2128"/>
        <v>0</v>
      </c>
      <c r="H2527">
        <v>6</v>
      </c>
      <c r="I2527">
        <v>7</v>
      </c>
      <c r="J2527">
        <v>0</v>
      </c>
      <c r="K2527" s="6" t="str">
        <f t="shared" ref="K2527" si="2139">"vs "&amp;E2526</f>
        <v>vs Paralouistas</v>
      </c>
      <c r="L2527" s="6" t="str">
        <f t="shared" ref="L2527" si="2140">"vs "&amp;F2526</f>
        <v>vs Panos</v>
      </c>
      <c r="M2527">
        <v>60</v>
      </c>
      <c r="N2527" s="1">
        <v>0.5</v>
      </c>
      <c r="O2527">
        <v>17</v>
      </c>
      <c r="P2527" s="1">
        <v>0.39500000000000002</v>
      </c>
      <c r="Q2527" s="1">
        <v>0.86399999999999999</v>
      </c>
      <c r="R2527">
        <v>156</v>
      </c>
      <c r="S2527">
        <v>37</v>
      </c>
      <c r="T2527">
        <v>59</v>
      </c>
      <c r="U2527">
        <v>38</v>
      </c>
      <c r="V2527">
        <v>17</v>
      </c>
      <c r="W2527">
        <v>14</v>
      </c>
      <c r="X2527">
        <v>21</v>
      </c>
      <c r="Y2527">
        <v>1.81</v>
      </c>
    </row>
    <row r="2528" spans="1:25" x14ac:dyDescent="0.25">
      <c r="A2528">
        <v>2024</v>
      </c>
      <c r="B2528" t="s">
        <v>57</v>
      </c>
      <c r="C2528">
        <v>13</v>
      </c>
      <c r="D2528">
        <v>132</v>
      </c>
      <c r="E2528" t="s">
        <v>159</v>
      </c>
      <c r="F2528" t="s">
        <v>116</v>
      </c>
      <c r="G2528">
        <f t="shared" si="2128"/>
        <v>1</v>
      </c>
      <c r="H2528">
        <v>7</v>
      </c>
      <c r="I2528">
        <v>6</v>
      </c>
      <c r="J2528">
        <v>0</v>
      </c>
      <c r="K2528" s="6" t="str">
        <f t="shared" ref="K2528" si="2141">"vs "&amp;E2529</f>
        <v>vs Karafli Saita</v>
      </c>
      <c r="L2528" s="6" t="str">
        <f t="shared" ref="L2528" si="2142">"vs "&amp;F2529</f>
        <v>vs Tassos</v>
      </c>
      <c r="M2528">
        <v>151</v>
      </c>
      <c r="N2528" s="1">
        <v>0.502</v>
      </c>
      <c r="O2528">
        <v>25</v>
      </c>
      <c r="P2528" s="1">
        <v>0.27500000000000002</v>
      </c>
      <c r="Q2528" s="1">
        <v>0.70799999999999996</v>
      </c>
      <c r="R2528">
        <v>390</v>
      </c>
      <c r="S2528">
        <v>53</v>
      </c>
      <c r="T2528">
        <v>133</v>
      </c>
      <c r="U2528">
        <v>106</v>
      </c>
      <c r="V2528">
        <v>24</v>
      </c>
      <c r="W2528">
        <v>23</v>
      </c>
      <c r="X2528">
        <v>46</v>
      </c>
      <c r="Y2528">
        <v>2.2999999999999998</v>
      </c>
    </row>
    <row r="2529" spans="1:25" x14ac:dyDescent="0.25">
      <c r="A2529">
        <v>2024</v>
      </c>
      <c r="B2529" t="s">
        <v>57</v>
      </c>
      <c r="C2529">
        <v>13</v>
      </c>
      <c r="D2529">
        <v>132</v>
      </c>
      <c r="E2529" t="s">
        <v>186</v>
      </c>
      <c r="F2529" t="s">
        <v>103</v>
      </c>
      <c r="G2529">
        <f t="shared" si="2128"/>
        <v>0</v>
      </c>
      <c r="H2529">
        <v>6</v>
      </c>
      <c r="I2529">
        <v>7</v>
      </c>
      <c r="J2529">
        <v>0</v>
      </c>
      <c r="K2529" s="6" t="str">
        <f t="shared" ref="K2529" si="2143">"vs "&amp;E2528</f>
        <v>vs purple fuzzy apache pirates</v>
      </c>
      <c r="L2529" s="6" t="str">
        <f t="shared" ref="L2529" si="2144">"vs "&amp;F2528</f>
        <v>vs pi/Sotiris</v>
      </c>
      <c r="M2529">
        <v>182</v>
      </c>
      <c r="N2529" s="1">
        <v>0.44700000000000001</v>
      </c>
      <c r="O2529">
        <v>40</v>
      </c>
      <c r="P2529" s="1">
        <v>0.30499999999999999</v>
      </c>
      <c r="Q2529" s="1">
        <v>0.85699999999999998</v>
      </c>
      <c r="R2529">
        <v>500</v>
      </c>
      <c r="S2529">
        <v>34</v>
      </c>
      <c r="T2529">
        <v>126</v>
      </c>
      <c r="U2529">
        <v>100</v>
      </c>
      <c r="V2529">
        <v>14</v>
      </c>
      <c r="W2529">
        <v>13</v>
      </c>
      <c r="X2529">
        <v>45</v>
      </c>
      <c r="Y2529">
        <v>2.2200000000000002</v>
      </c>
    </row>
    <row r="2530" spans="1:25" x14ac:dyDescent="0.25">
      <c r="A2530">
        <v>2024</v>
      </c>
      <c r="B2530" t="s">
        <v>57</v>
      </c>
      <c r="C2530">
        <v>13</v>
      </c>
      <c r="D2530">
        <v>133</v>
      </c>
      <c r="E2530" t="s">
        <v>15</v>
      </c>
      <c r="F2530" t="s">
        <v>48</v>
      </c>
      <c r="G2530">
        <f t="shared" si="2128"/>
        <v>1</v>
      </c>
      <c r="H2530">
        <v>9</v>
      </c>
      <c r="I2530">
        <v>3</v>
      </c>
      <c r="J2530">
        <v>1</v>
      </c>
      <c r="K2530" s="6" t="str">
        <f t="shared" ref="K2530" si="2145">"vs "&amp;E2531</f>
        <v>vs Kourayo Vallecano</v>
      </c>
      <c r="L2530" s="6" t="str">
        <f t="shared" ref="L2530" si="2146">"vs "&amp;F2531</f>
        <v>vs Ziogas/Christof</v>
      </c>
      <c r="M2530">
        <v>185</v>
      </c>
      <c r="N2530" s="1">
        <v>0.46800000000000003</v>
      </c>
      <c r="O2530">
        <v>61</v>
      </c>
      <c r="P2530" s="1">
        <v>0.36499999999999999</v>
      </c>
      <c r="Q2530" s="1">
        <v>0.84799999999999998</v>
      </c>
      <c r="R2530">
        <v>487</v>
      </c>
      <c r="S2530">
        <v>21</v>
      </c>
      <c r="T2530">
        <v>143</v>
      </c>
      <c r="U2530">
        <v>179</v>
      </c>
      <c r="V2530">
        <v>35</v>
      </c>
      <c r="W2530">
        <v>12</v>
      </c>
      <c r="X2530">
        <v>57</v>
      </c>
      <c r="Y2530">
        <v>3.14</v>
      </c>
    </row>
    <row r="2531" spans="1:25" x14ac:dyDescent="0.25">
      <c r="A2531">
        <v>2024</v>
      </c>
      <c r="B2531" t="s">
        <v>57</v>
      </c>
      <c r="C2531">
        <v>13</v>
      </c>
      <c r="D2531">
        <v>133</v>
      </c>
      <c r="E2531" t="s">
        <v>26</v>
      </c>
      <c r="F2531" t="s">
        <v>118</v>
      </c>
      <c r="G2531">
        <f t="shared" si="2128"/>
        <v>0</v>
      </c>
      <c r="H2531">
        <v>3</v>
      </c>
      <c r="I2531">
        <v>9</v>
      </c>
      <c r="J2531">
        <v>1</v>
      </c>
      <c r="K2531" s="6" t="str">
        <f t="shared" ref="K2531" si="2147">"vs "&amp;E2530</f>
        <v>vs Salonika Devils</v>
      </c>
      <c r="L2531" s="6" t="str">
        <f t="shared" ref="L2531" si="2148">"vs "&amp;F2530</f>
        <v>vs Fountos</v>
      </c>
      <c r="M2531">
        <v>148</v>
      </c>
      <c r="N2531" s="1">
        <v>0.46800000000000003</v>
      </c>
      <c r="O2531">
        <v>49</v>
      </c>
      <c r="P2531" s="1">
        <v>0.38300000000000001</v>
      </c>
      <c r="Q2531" s="1">
        <v>0.77900000000000003</v>
      </c>
      <c r="R2531">
        <v>398</v>
      </c>
      <c r="S2531">
        <v>31</v>
      </c>
      <c r="T2531">
        <v>130</v>
      </c>
      <c r="U2531">
        <v>78</v>
      </c>
      <c r="V2531">
        <v>12</v>
      </c>
      <c r="W2531">
        <v>11</v>
      </c>
      <c r="X2531">
        <v>52</v>
      </c>
      <c r="Y2531">
        <v>1.5</v>
      </c>
    </row>
    <row r="2532" spans="1:25" x14ac:dyDescent="0.25">
      <c r="A2532">
        <v>2024</v>
      </c>
      <c r="B2532" t="s">
        <v>57</v>
      </c>
      <c r="C2532">
        <v>13</v>
      </c>
      <c r="D2532">
        <v>134</v>
      </c>
      <c r="E2532" t="s">
        <v>33</v>
      </c>
      <c r="F2532" t="s">
        <v>42</v>
      </c>
      <c r="G2532">
        <f t="shared" si="2128"/>
        <v>1</v>
      </c>
      <c r="H2532">
        <v>11</v>
      </c>
      <c r="I2532">
        <v>2</v>
      </c>
      <c r="J2532">
        <v>0</v>
      </c>
      <c r="K2532" s="6" t="str">
        <f t="shared" ref="K2532" si="2149">"vs "&amp;E2533</f>
        <v>vs Steven Adams' Moustache</v>
      </c>
      <c r="L2532" s="6" t="str">
        <f t="shared" ref="L2532" si="2150">"vs "&amp;F2533</f>
        <v>vs Johnny</v>
      </c>
      <c r="M2532">
        <v>191</v>
      </c>
      <c r="N2532" s="1">
        <v>0.48099999999999998</v>
      </c>
      <c r="O2532">
        <v>33</v>
      </c>
      <c r="P2532" s="1">
        <v>0.311</v>
      </c>
      <c r="Q2532" s="1">
        <v>0.84399999999999997</v>
      </c>
      <c r="R2532">
        <v>529</v>
      </c>
      <c r="S2532">
        <v>47</v>
      </c>
      <c r="T2532">
        <v>186</v>
      </c>
      <c r="U2532">
        <v>155</v>
      </c>
      <c r="V2532">
        <v>36</v>
      </c>
      <c r="W2532">
        <v>25</v>
      </c>
      <c r="X2532">
        <v>54</v>
      </c>
      <c r="Y2532">
        <v>2.87</v>
      </c>
    </row>
    <row r="2533" spans="1:25" x14ac:dyDescent="0.25">
      <c r="A2533">
        <v>2024</v>
      </c>
      <c r="B2533" t="s">
        <v>57</v>
      </c>
      <c r="C2533">
        <v>13</v>
      </c>
      <c r="D2533">
        <v>134</v>
      </c>
      <c r="E2533" t="s">
        <v>28</v>
      </c>
      <c r="F2533" t="s">
        <v>46</v>
      </c>
      <c r="G2533">
        <f t="shared" si="2128"/>
        <v>0</v>
      </c>
      <c r="H2533">
        <v>2</v>
      </c>
      <c r="I2533">
        <v>11</v>
      </c>
      <c r="J2533">
        <v>0</v>
      </c>
      <c r="K2533" s="6" t="str">
        <f t="shared" ref="K2533" si="2151">"vs "&amp;E2532</f>
        <v>vs The Guns</v>
      </c>
      <c r="L2533" s="6" t="str">
        <f t="shared" ref="L2533" si="2152">"vs "&amp;F2532</f>
        <v>vs Vasilis</v>
      </c>
      <c r="M2533">
        <v>174</v>
      </c>
      <c r="N2533" s="1">
        <v>0.46899999999999997</v>
      </c>
      <c r="O2533">
        <v>51</v>
      </c>
      <c r="P2533" s="1">
        <v>0.35699999999999998</v>
      </c>
      <c r="Q2533" s="1">
        <v>0.73199999999999998</v>
      </c>
      <c r="R2533">
        <v>470</v>
      </c>
      <c r="S2533">
        <v>32</v>
      </c>
      <c r="T2533">
        <v>130</v>
      </c>
      <c r="U2533">
        <v>92</v>
      </c>
      <c r="V2533">
        <v>21</v>
      </c>
      <c r="W2533">
        <v>14</v>
      </c>
      <c r="X2533">
        <v>59</v>
      </c>
      <c r="Y2533">
        <v>1.56</v>
      </c>
    </row>
    <row r="2534" spans="1:25" x14ac:dyDescent="0.25">
      <c r="A2534">
        <v>2024</v>
      </c>
      <c r="B2534" t="s">
        <v>57</v>
      </c>
      <c r="C2534">
        <v>13</v>
      </c>
      <c r="D2534">
        <v>135</v>
      </c>
      <c r="E2534" t="s">
        <v>184</v>
      </c>
      <c r="F2534" t="s">
        <v>188</v>
      </c>
      <c r="G2534">
        <f t="shared" si="2128"/>
        <v>0</v>
      </c>
      <c r="H2534">
        <v>2</v>
      </c>
      <c r="I2534">
        <v>11</v>
      </c>
      <c r="J2534">
        <v>0</v>
      </c>
      <c r="K2534" s="6" t="str">
        <f t="shared" ref="K2534" si="2153">"vs "&amp;E2535</f>
        <v>vs The Bridgeburners</v>
      </c>
      <c r="L2534" s="6" t="str">
        <f t="shared" ref="L2534" si="2154">"vs "&amp;F2535</f>
        <v>vs Fanis</v>
      </c>
      <c r="M2534">
        <v>142</v>
      </c>
      <c r="N2534" s="1">
        <v>0.46300000000000002</v>
      </c>
      <c r="O2534">
        <v>47</v>
      </c>
      <c r="P2534" s="1">
        <v>0.35899999999999999</v>
      </c>
      <c r="Q2534" s="1">
        <v>0.76400000000000001</v>
      </c>
      <c r="R2534">
        <v>399</v>
      </c>
      <c r="S2534">
        <v>31</v>
      </c>
      <c r="T2534">
        <v>101</v>
      </c>
      <c r="U2534">
        <v>81</v>
      </c>
      <c r="V2534">
        <v>20</v>
      </c>
      <c r="W2534">
        <v>14</v>
      </c>
      <c r="X2534">
        <v>45</v>
      </c>
      <c r="Y2534">
        <v>1.8</v>
      </c>
    </row>
    <row r="2535" spans="1:25" x14ac:dyDescent="0.25">
      <c r="A2535">
        <v>2024</v>
      </c>
      <c r="B2535" t="s">
        <v>57</v>
      </c>
      <c r="C2535">
        <v>13</v>
      </c>
      <c r="D2535">
        <v>135</v>
      </c>
      <c r="E2535" t="s">
        <v>16</v>
      </c>
      <c r="F2535" t="s">
        <v>51</v>
      </c>
      <c r="G2535">
        <f t="shared" si="2128"/>
        <v>1</v>
      </c>
      <c r="H2535">
        <v>11</v>
      </c>
      <c r="I2535">
        <v>2</v>
      </c>
      <c r="J2535">
        <v>0</v>
      </c>
      <c r="K2535" s="6" t="str">
        <f t="shared" ref="K2535" si="2155">"vs "&amp;E2534</f>
        <v>vs Heraklion Snakes</v>
      </c>
      <c r="L2535" s="6" t="str">
        <f t="shared" ref="L2535" si="2156">"vs "&amp;F2534</f>
        <v>vs Dimitris</v>
      </c>
      <c r="M2535">
        <v>183</v>
      </c>
      <c r="N2535" s="1">
        <v>0.46400000000000002</v>
      </c>
      <c r="O2535">
        <v>69</v>
      </c>
      <c r="P2535" s="1">
        <v>0.375</v>
      </c>
      <c r="Q2535" s="1">
        <v>0.88</v>
      </c>
      <c r="R2535">
        <v>545</v>
      </c>
      <c r="S2535">
        <v>25</v>
      </c>
      <c r="T2535">
        <v>119</v>
      </c>
      <c r="U2535">
        <v>134</v>
      </c>
      <c r="V2535">
        <v>33</v>
      </c>
      <c r="W2535">
        <v>19</v>
      </c>
      <c r="X2535">
        <v>54</v>
      </c>
      <c r="Y2535">
        <v>2.48</v>
      </c>
    </row>
    <row r="2536" spans="1:25" x14ac:dyDescent="0.25">
      <c r="A2536">
        <v>2024</v>
      </c>
      <c r="B2536" t="s">
        <v>57</v>
      </c>
      <c r="C2536">
        <v>13</v>
      </c>
      <c r="D2536">
        <v>136</v>
      </c>
      <c r="E2536" t="s">
        <v>154</v>
      </c>
      <c r="F2536" t="s">
        <v>155</v>
      </c>
      <c r="G2536">
        <f t="shared" si="2128"/>
        <v>0</v>
      </c>
      <c r="H2536">
        <v>5</v>
      </c>
      <c r="I2536">
        <v>8</v>
      </c>
      <c r="J2536">
        <v>0</v>
      </c>
      <c r="K2536" s="6" t="str">
        <f t="shared" ref="K2536" si="2157">"vs "&amp;E2537</f>
        <v>vs Xanthi Ducks 🦆</v>
      </c>
      <c r="L2536" s="6" t="str">
        <f t="shared" ref="L2536" si="2158">"vs "&amp;F2537</f>
        <v>vs Kotakis</v>
      </c>
      <c r="M2536">
        <v>153</v>
      </c>
      <c r="N2536" s="1">
        <v>0.52400000000000002</v>
      </c>
      <c r="O2536">
        <v>29</v>
      </c>
      <c r="P2536" s="1">
        <v>0.32600000000000001</v>
      </c>
      <c r="Q2536" s="1">
        <v>0.58899999999999997</v>
      </c>
      <c r="R2536">
        <v>391</v>
      </c>
      <c r="S2536">
        <v>45</v>
      </c>
      <c r="T2536">
        <v>154</v>
      </c>
      <c r="U2536">
        <v>67</v>
      </c>
      <c r="V2536">
        <v>17</v>
      </c>
      <c r="W2536">
        <v>27</v>
      </c>
      <c r="X2536">
        <v>37</v>
      </c>
      <c r="Y2536">
        <v>1.81</v>
      </c>
    </row>
    <row r="2537" spans="1:25" x14ac:dyDescent="0.25">
      <c r="A2537">
        <v>2024</v>
      </c>
      <c r="B2537" t="s">
        <v>57</v>
      </c>
      <c r="C2537">
        <v>13</v>
      </c>
      <c r="D2537">
        <v>136</v>
      </c>
      <c r="E2537" t="s">
        <v>98</v>
      </c>
      <c r="F2537" t="s">
        <v>41</v>
      </c>
      <c r="G2537">
        <f t="shared" si="2128"/>
        <v>1</v>
      </c>
      <c r="H2537">
        <v>8</v>
      </c>
      <c r="I2537">
        <v>5</v>
      </c>
      <c r="J2537">
        <v>0</v>
      </c>
      <c r="K2537" s="6" t="str">
        <f t="shared" ref="K2537" si="2159">"vs "&amp;E2536</f>
        <v>vs The Bad Boys</v>
      </c>
      <c r="L2537" s="6" t="str">
        <f t="shared" ref="L2537" si="2160">"vs "&amp;F2536</f>
        <v>vs Arvanitis</v>
      </c>
      <c r="M2537">
        <v>184</v>
      </c>
      <c r="N2537" s="1">
        <v>0.501</v>
      </c>
      <c r="O2537">
        <v>55</v>
      </c>
      <c r="P2537" s="1">
        <v>0.379</v>
      </c>
      <c r="Q2537" s="1">
        <v>0.75900000000000001</v>
      </c>
      <c r="R2537">
        <v>486</v>
      </c>
      <c r="S2537">
        <v>24</v>
      </c>
      <c r="T2537">
        <v>144</v>
      </c>
      <c r="U2537">
        <v>137</v>
      </c>
      <c r="V2537">
        <v>23</v>
      </c>
      <c r="W2537">
        <v>24</v>
      </c>
      <c r="X2537">
        <v>41</v>
      </c>
      <c r="Y2537">
        <v>3.34</v>
      </c>
    </row>
    <row r="2538" spans="1:25" x14ac:dyDescent="0.25">
      <c r="A2538">
        <v>2024</v>
      </c>
      <c r="B2538" t="s">
        <v>57</v>
      </c>
      <c r="C2538">
        <v>13</v>
      </c>
      <c r="D2538">
        <v>137</v>
      </c>
      <c r="E2538" t="s">
        <v>94</v>
      </c>
      <c r="F2538" t="s">
        <v>40</v>
      </c>
      <c r="G2538">
        <f t="shared" si="2128"/>
        <v>1</v>
      </c>
      <c r="H2538">
        <v>8</v>
      </c>
      <c r="I2538">
        <v>4</v>
      </c>
      <c r="J2538">
        <v>1</v>
      </c>
      <c r="K2538" s="6" t="str">
        <f t="shared" ref="K2538" si="2161">"vs "&amp;E2539</f>
        <v>vs Baltimore Hercules</v>
      </c>
      <c r="L2538" s="6" t="str">
        <f t="shared" ref="L2538" si="2162">"vs "&amp;F2539</f>
        <v>vs Sarantos</v>
      </c>
      <c r="M2538">
        <v>172</v>
      </c>
      <c r="N2538" s="1">
        <v>0.48699999999999999</v>
      </c>
      <c r="O2538">
        <v>39</v>
      </c>
      <c r="P2538" s="1">
        <v>0.375</v>
      </c>
      <c r="Q2538" s="1">
        <v>0.86299999999999999</v>
      </c>
      <c r="R2538">
        <v>496</v>
      </c>
      <c r="S2538">
        <v>52</v>
      </c>
      <c r="T2538">
        <v>140</v>
      </c>
      <c r="U2538">
        <v>141</v>
      </c>
      <c r="V2538">
        <v>29</v>
      </c>
      <c r="W2538">
        <v>25</v>
      </c>
      <c r="X2538">
        <v>45</v>
      </c>
      <c r="Y2538">
        <v>3.13</v>
      </c>
    </row>
    <row r="2539" spans="1:25" x14ac:dyDescent="0.25">
      <c r="A2539">
        <v>2024</v>
      </c>
      <c r="B2539" t="s">
        <v>57</v>
      </c>
      <c r="C2539">
        <v>13</v>
      </c>
      <c r="D2539">
        <v>137</v>
      </c>
      <c r="E2539" t="s">
        <v>95</v>
      </c>
      <c r="F2539" t="s">
        <v>101</v>
      </c>
      <c r="G2539">
        <f t="shared" si="2128"/>
        <v>0</v>
      </c>
      <c r="H2539">
        <v>4</v>
      </c>
      <c r="I2539">
        <v>8</v>
      </c>
      <c r="J2539">
        <v>1</v>
      </c>
      <c r="K2539" s="6" t="str">
        <f t="shared" ref="K2539" si="2163">"vs "&amp;E2538</f>
        <v>vs Fighting Thaddeus</v>
      </c>
      <c r="L2539" s="6" t="str">
        <f t="shared" ref="L2539" si="2164">"vs "&amp;F2538</f>
        <v>vs Stavros</v>
      </c>
      <c r="M2539">
        <v>145</v>
      </c>
      <c r="N2539" s="1">
        <v>0.45700000000000002</v>
      </c>
      <c r="O2539">
        <v>48</v>
      </c>
      <c r="P2539" s="1">
        <v>0.375</v>
      </c>
      <c r="Q2539" s="1">
        <v>0.64900000000000002</v>
      </c>
      <c r="R2539">
        <v>386</v>
      </c>
      <c r="S2539">
        <v>38</v>
      </c>
      <c r="T2539">
        <v>158</v>
      </c>
      <c r="U2539">
        <v>68</v>
      </c>
      <c r="V2539">
        <v>40</v>
      </c>
      <c r="W2539">
        <v>24</v>
      </c>
      <c r="X2539">
        <v>37</v>
      </c>
      <c r="Y2539">
        <v>1.84</v>
      </c>
    </row>
    <row r="2540" spans="1:25" x14ac:dyDescent="0.25">
      <c r="A2540">
        <v>2024</v>
      </c>
      <c r="B2540" t="s">
        <v>57</v>
      </c>
      <c r="C2540">
        <v>13</v>
      </c>
      <c r="D2540">
        <v>138</v>
      </c>
      <c r="E2540" t="s">
        <v>93</v>
      </c>
      <c r="F2540" t="s">
        <v>189</v>
      </c>
      <c r="G2540">
        <f t="shared" si="2128"/>
        <v>1</v>
      </c>
      <c r="H2540">
        <v>9</v>
      </c>
      <c r="I2540">
        <v>3</v>
      </c>
      <c r="J2540">
        <v>1</v>
      </c>
      <c r="K2540" s="6" t="str">
        <f t="shared" ref="K2540" si="2165">"vs "&amp;E2541</f>
        <v>vs st.Helens Eruptions</v>
      </c>
      <c r="L2540" s="6" t="str">
        <f t="shared" ref="L2540" si="2166">"vs "&amp;F2541</f>
        <v>vs Aris</v>
      </c>
      <c r="M2540">
        <v>186</v>
      </c>
      <c r="N2540" s="1">
        <v>0.46300000000000002</v>
      </c>
      <c r="O2540">
        <v>77</v>
      </c>
      <c r="P2540" s="1">
        <v>0.40300000000000002</v>
      </c>
      <c r="Q2540" s="1">
        <v>0.871</v>
      </c>
      <c r="R2540">
        <v>503</v>
      </c>
      <c r="S2540">
        <v>31</v>
      </c>
      <c r="T2540">
        <v>110</v>
      </c>
      <c r="U2540">
        <v>81</v>
      </c>
      <c r="V2540">
        <v>21</v>
      </c>
      <c r="W2540">
        <v>21</v>
      </c>
      <c r="X2540">
        <v>37</v>
      </c>
      <c r="Y2540">
        <v>2.19</v>
      </c>
    </row>
    <row r="2541" spans="1:25" x14ac:dyDescent="0.25">
      <c r="A2541">
        <v>2024</v>
      </c>
      <c r="B2541" t="s">
        <v>57</v>
      </c>
      <c r="C2541">
        <v>13</v>
      </c>
      <c r="D2541">
        <v>138</v>
      </c>
      <c r="E2541" t="s">
        <v>21</v>
      </c>
      <c r="F2541" t="s">
        <v>50</v>
      </c>
      <c r="G2541">
        <f t="shared" si="2128"/>
        <v>0</v>
      </c>
      <c r="H2541">
        <v>3</v>
      </c>
      <c r="I2541">
        <v>9</v>
      </c>
      <c r="J2541">
        <v>1</v>
      </c>
      <c r="K2541" s="6" t="str">
        <f t="shared" ref="K2541" si="2167">"vs "&amp;E2540</f>
        <v>vs Guruuu 🐐🐐🐐</v>
      </c>
      <c r="L2541" s="6" t="str">
        <f t="shared" ref="L2541" si="2168">"vs "&amp;F2540</f>
        <v>vs Guru</v>
      </c>
      <c r="M2541">
        <v>138</v>
      </c>
      <c r="N2541" s="1">
        <v>0.51300000000000001</v>
      </c>
      <c r="O2541">
        <v>17</v>
      </c>
      <c r="P2541" s="1">
        <v>0.28299999999999997</v>
      </c>
      <c r="Q2541" s="1">
        <v>0.76900000000000002</v>
      </c>
      <c r="R2541">
        <v>343</v>
      </c>
      <c r="S2541">
        <v>37</v>
      </c>
      <c r="T2541">
        <v>74</v>
      </c>
      <c r="U2541">
        <v>81</v>
      </c>
      <c r="V2541">
        <v>33</v>
      </c>
      <c r="W2541">
        <v>10</v>
      </c>
      <c r="X2541">
        <v>54</v>
      </c>
      <c r="Y2541">
        <v>1.5</v>
      </c>
    </row>
    <row r="2542" spans="1:25" x14ac:dyDescent="0.25">
      <c r="A2542">
        <v>2024</v>
      </c>
      <c r="B2542" t="s">
        <v>57</v>
      </c>
      <c r="C2542">
        <v>13</v>
      </c>
      <c r="D2542">
        <v>139</v>
      </c>
      <c r="E2542" t="s">
        <v>158</v>
      </c>
      <c r="F2542" t="s">
        <v>177</v>
      </c>
      <c r="G2542">
        <f t="shared" si="2128"/>
        <v>0</v>
      </c>
      <c r="H2542">
        <v>2</v>
      </c>
      <c r="I2542">
        <v>11</v>
      </c>
      <c r="J2542">
        <v>0</v>
      </c>
      <c r="K2542" s="6" t="str">
        <f t="shared" ref="K2542" si="2169">"vs "&amp;E2543</f>
        <v>vs Samarina Dudenbros</v>
      </c>
      <c r="L2542" s="6" t="str">
        <f t="shared" ref="L2542" si="2170">"vs "&amp;F2543</f>
        <v>vs Sakellariou</v>
      </c>
      <c r="M2542">
        <v>165</v>
      </c>
      <c r="N2542" s="1">
        <v>0.45800000000000002</v>
      </c>
      <c r="O2542">
        <v>36</v>
      </c>
      <c r="P2542" s="1">
        <v>0.316</v>
      </c>
      <c r="Q2542" s="1">
        <v>0.754</v>
      </c>
      <c r="R2542">
        <v>452</v>
      </c>
      <c r="S2542">
        <v>25</v>
      </c>
      <c r="T2542">
        <v>126</v>
      </c>
      <c r="U2542">
        <v>101</v>
      </c>
      <c r="V2542">
        <v>15</v>
      </c>
      <c r="W2542">
        <v>23</v>
      </c>
      <c r="X2542">
        <v>55</v>
      </c>
      <c r="Y2542">
        <v>1.84</v>
      </c>
    </row>
    <row r="2543" spans="1:25" x14ac:dyDescent="0.25">
      <c r="A2543">
        <v>2024</v>
      </c>
      <c r="B2543" t="s">
        <v>57</v>
      </c>
      <c r="C2543">
        <v>13</v>
      </c>
      <c r="D2543">
        <v>139</v>
      </c>
      <c r="E2543" t="s">
        <v>181</v>
      </c>
      <c r="F2543" t="s">
        <v>49</v>
      </c>
      <c r="G2543">
        <f t="shared" si="2128"/>
        <v>1</v>
      </c>
      <c r="H2543">
        <v>11</v>
      </c>
      <c r="I2543">
        <v>2</v>
      </c>
      <c r="J2543">
        <v>0</v>
      </c>
      <c r="K2543" s="6" t="str">
        <f t="shared" ref="K2543" si="2171">"vs "&amp;E2542</f>
        <v>vs LRBP PR3DATORS</v>
      </c>
      <c r="L2543" s="6" t="str">
        <f t="shared" ref="L2543" si="2172">"vs "&amp;F2542</f>
        <v>vs Lafa</v>
      </c>
      <c r="M2543">
        <v>184</v>
      </c>
      <c r="N2543" s="1">
        <v>0.46600000000000003</v>
      </c>
      <c r="O2543">
        <v>58</v>
      </c>
      <c r="P2543" s="1">
        <v>0.42</v>
      </c>
      <c r="Q2543" s="1">
        <v>0.876</v>
      </c>
      <c r="R2543">
        <v>532</v>
      </c>
      <c r="S2543">
        <v>39</v>
      </c>
      <c r="T2543">
        <v>135</v>
      </c>
      <c r="U2543">
        <v>138</v>
      </c>
      <c r="V2543">
        <v>26</v>
      </c>
      <c r="W2543">
        <v>18</v>
      </c>
      <c r="X2543">
        <v>62</v>
      </c>
      <c r="Y2543">
        <v>2.23</v>
      </c>
    </row>
    <row r="2544" spans="1:25" x14ac:dyDescent="0.25">
      <c r="A2544">
        <v>2024</v>
      </c>
      <c r="B2544" t="s">
        <v>57</v>
      </c>
      <c r="C2544">
        <v>13</v>
      </c>
      <c r="D2544">
        <v>140</v>
      </c>
      <c r="E2544" t="s">
        <v>96</v>
      </c>
      <c r="F2544" t="s">
        <v>102</v>
      </c>
      <c r="G2544">
        <f t="shared" si="2128"/>
        <v>1</v>
      </c>
      <c r="H2544">
        <v>11</v>
      </c>
      <c r="I2544">
        <v>2</v>
      </c>
      <c r="J2544">
        <v>0</v>
      </c>
      <c r="K2544" s="6" t="str">
        <f t="shared" ref="K2544" si="2173">"vs "&amp;E2545</f>
        <v>vs Pachiana NinjaBees</v>
      </c>
      <c r="L2544" s="6" t="str">
        <f t="shared" ref="L2544" si="2174">"vs "&amp;F2545</f>
        <v>vs Spiridaus/Oladipas</v>
      </c>
      <c r="M2544">
        <v>158</v>
      </c>
      <c r="N2544" s="1">
        <v>0.52700000000000002</v>
      </c>
      <c r="O2544">
        <v>38</v>
      </c>
      <c r="P2544" s="1">
        <v>0.437</v>
      </c>
      <c r="Q2544" s="1">
        <v>0.77200000000000002</v>
      </c>
      <c r="R2544">
        <v>415</v>
      </c>
      <c r="S2544">
        <v>41</v>
      </c>
      <c r="T2544">
        <v>95</v>
      </c>
      <c r="U2544">
        <v>71</v>
      </c>
      <c r="V2544">
        <v>21</v>
      </c>
      <c r="W2544">
        <v>25</v>
      </c>
      <c r="X2544">
        <v>29</v>
      </c>
      <c r="Y2544">
        <v>2.4500000000000002</v>
      </c>
    </row>
    <row r="2545" spans="1:25" x14ac:dyDescent="0.25">
      <c r="A2545">
        <v>2024</v>
      </c>
      <c r="B2545" t="s">
        <v>57</v>
      </c>
      <c r="C2545">
        <v>13</v>
      </c>
      <c r="D2545">
        <v>140</v>
      </c>
      <c r="E2545" t="s">
        <v>23</v>
      </c>
      <c r="F2545" t="s">
        <v>120</v>
      </c>
      <c r="G2545">
        <f t="shared" si="2128"/>
        <v>0</v>
      </c>
      <c r="H2545">
        <v>2</v>
      </c>
      <c r="I2545">
        <v>11</v>
      </c>
      <c r="J2545">
        <v>0</v>
      </c>
      <c r="K2545" s="6" t="str">
        <f t="shared" ref="K2545" si="2175">"vs "&amp;E2544</f>
        <v>vs Knights of Ni</v>
      </c>
      <c r="L2545" s="6" t="str">
        <f t="shared" ref="L2545" si="2176">"vs "&amp;F2544</f>
        <v>vs Tolios</v>
      </c>
      <c r="M2545">
        <v>105</v>
      </c>
      <c r="N2545" s="1">
        <v>0.36599999999999999</v>
      </c>
      <c r="O2545">
        <v>32</v>
      </c>
      <c r="P2545" s="1">
        <v>0.24399999999999999</v>
      </c>
      <c r="Q2545" s="1">
        <v>0.72099999999999997</v>
      </c>
      <c r="R2545">
        <v>291</v>
      </c>
      <c r="S2545">
        <v>29</v>
      </c>
      <c r="T2545">
        <v>82</v>
      </c>
      <c r="U2545">
        <v>85</v>
      </c>
      <c r="V2545">
        <v>16</v>
      </c>
      <c r="W2545">
        <v>30</v>
      </c>
      <c r="X2545">
        <v>52</v>
      </c>
      <c r="Y2545">
        <v>1.63</v>
      </c>
    </row>
    <row r="2546" spans="1:25" x14ac:dyDescent="0.25">
      <c r="A2546">
        <v>2024</v>
      </c>
      <c r="B2546" t="s">
        <v>57</v>
      </c>
      <c r="C2546">
        <v>14</v>
      </c>
      <c r="D2546">
        <v>141</v>
      </c>
      <c r="E2546" t="s">
        <v>99</v>
      </c>
      <c r="F2546" t="s">
        <v>45</v>
      </c>
      <c r="G2546">
        <f t="shared" si="2128"/>
        <v>0</v>
      </c>
      <c r="H2546">
        <v>5</v>
      </c>
      <c r="I2546">
        <v>7</v>
      </c>
      <c r="J2546">
        <v>1</v>
      </c>
      <c r="K2546" s="6" t="str">
        <f t="shared" ref="K2546" si="2177">"vs "&amp;E2547</f>
        <v>vs purple fuzzy apache pirates</v>
      </c>
      <c r="L2546" s="6" t="str">
        <f t="shared" ref="L2546" si="2178">"vs "&amp;F2547</f>
        <v>vs pi/Sotiris</v>
      </c>
      <c r="M2546">
        <v>106</v>
      </c>
      <c r="N2546" s="1">
        <v>0.53500000000000003</v>
      </c>
      <c r="O2546">
        <v>30</v>
      </c>
      <c r="P2546" s="1">
        <v>0.4</v>
      </c>
      <c r="Q2546" s="1">
        <v>0.81799999999999995</v>
      </c>
      <c r="R2546">
        <v>260</v>
      </c>
      <c r="S2546">
        <v>42</v>
      </c>
      <c r="T2546">
        <v>102</v>
      </c>
      <c r="U2546">
        <v>54</v>
      </c>
      <c r="V2546">
        <v>26</v>
      </c>
      <c r="W2546">
        <v>17</v>
      </c>
      <c r="X2546">
        <v>29</v>
      </c>
      <c r="Y2546">
        <v>1.86</v>
      </c>
    </row>
    <row r="2547" spans="1:25" x14ac:dyDescent="0.25">
      <c r="A2547">
        <v>2024</v>
      </c>
      <c r="B2547" t="s">
        <v>57</v>
      </c>
      <c r="C2547">
        <v>14</v>
      </c>
      <c r="D2547">
        <v>141</v>
      </c>
      <c r="E2547" t="s">
        <v>159</v>
      </c>
      <c r="F2547" t="s">
        <v>116</v>
      </c>
      <c r="G2547">
        <f t="shared" si="2128"/>
        <v>1</v>
      </c>
      <c r="H2547">
        <v>7</v>
      </c>
      <c r="I2547">
        <v>5</v>
      </c>
      <c r="J2547">
        <v>1</v>
      </c>
      <c r="K2547" s="6" t="str">
        <f t="shared" ref="K2547" si="2179">"vs "&amp;E2546</f>
        <v>vs Tsarlatans</v>
      </c>
      <c r="L2547" s="6" t="str">
        <f t="shared" ref="L2547" si="2180">"vs "&amp;F2546</f>
        <v>vs Tzokos</v>
      </c>
      <c r="M2547">
        <v>222</v>
      </c>
      <c r="N2547" s="1">
        <v>0.53200000000000003</v>
      </c>
      <c r="O2547">
        <v>63</v>
      </c>
      <c r="P2547" s="1">
        <v>0.441</v>
      </c>
      <c r="Q2547" s="1">
        <v>0.76400000000000001</v>
      </c>
      <c r="R2547">
        <v>601</v>
      </c>
      <c r="S2547">
        <v>42</v>
      </c>
      <c r="T2547">
        <v>163</v>
      </c>
      <c r="U2547">
        <v>138</v>
      </c>
      <c r="V2547">
        <v>24</v>
      </c>
      <c r="W2547">
        <v>16</v>
      </c>
      <c r="X2547">
        <v>59</v>
      </c>
      <c r="Y2547">
        <v>2.34</v>
      </c>
    </row>
    <row r="2548" spans="1:25" x14ac:dyDescent="0.25">
      <c r="A2548">
        <v>2024</v>
      </c>
      <c r="B2548" t="s">
        <v>57</v>
      </c>
      <c r="C2548">
        <v>14</v>
      </c>
      <c r="D2548">
        <v>142</v>
      </c>
      <c r="E2548" t="s">
        <v>185</v>
      </c>
      <c r="F2548" t="s">
        <v>100</v>
      </c>
      <c r="G2548">
        <f t="shared" si="2128"/>
        <v>1</v>
      </c>
      <c r="H2548">
        <v>7</v>
      </c>
      <c r="I2548">
        <v>6</v>
      </c>
      <c r="J2548">
        <v>0</v>
      </c>
      <c r="K2548" s="6" t="str">
        <f t="shared" ref="K2548" si="2181">"vs "&amp;E2549</f>
        <v>vs Salonika Devils</v>
      </c>
      <c r="L2548" s="6" t="str">
        <f t="shared" ref="L2548" si="2182">"vs "&amp;F2549</f>
        <v>vs Fountos</v>
      </c>
      <c r="M2548">
        <v>172</v>
      </c>
      <c r="N2548" s="1">
        <v>0.52</v>
      </c>
      <c r="O2548">
        <v>57</v>
      </c>
      <c r="P2548" s="1">
        <v>0.38800000000000001</v>
      </c>
      <c r="Q2548" s="1">
        <v>0.8</v>
      </c>
      <c r="R2548">
        <v>449</v>
      </c>
      <c r="S2548">
        <v>15</v>
      </c>
      <c r="T2548">
        <v>88</v>
      </c>
      <c r="U2548">
        <v>101</v>
      </c>
      <c r="V2548">
        <v>15</v>
      </c>
      <c r="W2548">
        <v>15</v>
      </c>
      <c r="X2548">
        <v>33</v>
      </c>
      <c r="Y2548">
        <v>3.06</v>
      </c>
    </row>
    <row r="2549" spans="1:25" x14ac:dyDescent="0.25">
      <c r="A2549">
        <v>2024</v>
      </c>
      <c r="B2549" t="s">
        <v>57</v>
      </c>
      <c r="C2549">
        <v>14</v>
      </c>
      <c r="D2549">
        <v>142</v>
      </c>
      <c r="E2549" t="s">
        <v>15</v>
      </c>
      <c r="F2549" t="s">
        <v>48</v>
      </c>
      <c r="G2549">
        <f t="shared" si="2128"/>
        <v>0</v>
      </c>
      <c r="H2549">
        <v>6</v>
      </c>
      <c r="I2549">
        <v>7</v>
      </c>
      <c r="J2549">
        <v>0</v>
      </c>
      <c r="K2549" s="6" t="str">
        <f t="shared" ref="K2549" si="2183">"vs "&amp;E2548</f>
        <v>vs Paralouistas</v>
      </c>
      <c r="L2549" s="6" t="str">
        <f t="shared" ref="L2549" si="2184">"vs "&amp;F2548</f>
        <v>vs Panos</v>
      </c>
      <c r="M2549">
        <v>175</v>
      </c>
      <c r="N2549" s="1">
        <v>0.46200000000000002</v>
      </c>
      <c r="O2549">
        <v>56</v>
      </c>
      <c r="P2549" s="1">
        <v>0.35699999999999998</v>
      </c>
      <c r="Q2549" s="1">
        <v>0.77</v>
      </c>
      <c r="R2549">
        <v>463</v>
      </c>
      <c r="S2549">
        <v>22</v>
      </c>
      <c r="T2549">
        <v>114</v>
      </c>
      <c r="U2549">
        <v>136</v>
      </c>
      <c r="V2549">
        <v>29</v>
      </c>
      <c r="W2549">
        <v>13</v>
      </c>
      <c r="X2549">
        <v>62</v>
      </c>
      <c r="Y2549">
        <v>2.19</v>
      </c>
    </row>
    <row r="2550" spans="1:25" x14ac:dyDescent="0.25">
      <c r="A2550">
        <v>2024</v>
      </c>
      <c r="B2550" t="s">
        <v>57</v>
      </c>
      <c r="C2550">
        <v>14</v>
      </c>
      <c r="D2550">
        <v>143</v>
      </c>
      <c r="E2550" t="s">
        <v>186</v>
      </c>
      <c r="F2550" t="s">
        <v>103</v>
      </c>
      <c r="G2550">
        <f t="shared" si="2128"/>
        <v>1</v>
      </c>
      <c r="H2550">
        <v>7</v>
      </c>
      <c r="I2550">
        <v>6</v>
      </c>
      <c r="J2550">
        <v>0</v>
      </c>
      <c r="K2550" s="6" t="str">
        <f t="shared" ref="K2550" si="2185">"vs "&amp;E2551</f>
        <v>vs The Guns</v>
      </c>
      <c r="L2550" s="6" t="str">
        <f t="shared" ref="L2550" si="2186">"vs "&amp;F2551</f>
        <v>vs Vasilis</v>
      </c>
      <c r="M2550">
        <v>223</v>
      </c>
      <c r="N2550" s="1">
        <v>0.503</v>
      </c>
      <c r="O2550">
        <v>53</v>
      </c>
      <c r="P2550" s="1">
        <v>0.36799999999999999</v>
      </c>
      <c r="Q2550" s="1">
        <v>0.75600000000000001</v>
      </c>
      <c r="R2550">
        <v>592</v>
      </c>
      <c r="S2550">
        <v>42</v>
      </c>
      <c r="T2550">
        <v>151</v>
      </c>
      <c r="U2550">
        <v>89</v>
      </c>
      <c r="V2550">
        <v>21</v>
      </c>
      <c r="W2550">
        <v>21</v>
      </c>
      <c r="X2550">
        <v>59</v>
      </c>
      <c r="Y2550">
        <v>1.51</v>
      </c>
    </row>
    <row r="2551" spans="1:25" x14ac:dyDescent="0.25">
      <c r="A2551">
        <v>2024</v>
      </c>
      <c r="B2551" t="s">
        <v>57</v>
      </c>
      <c r="C2551">
        <v>14</v>
      </c>
      <c r="D2551">
        <v>143</v>
      </c>
      <c r="E2551" t="s">
        <v>33</v>
      </c>
      <c r="F2551" t="s">
        <v>42</v>
      </c>
      <c r="G2551">
        <f t="shared" si="2128"/>
        <v>0</v>
      </c>
      <c r="H2551">
        <v>6</v>
      </c>
      <c r="I2551">
        <v>7</v>
      </c>
      <c r="J2551">
        <v>0</v>
      </c>
      <c r="K2551" s="6" t="str">
        <f t="shared" ref="K2551" si="2187">"vs "&amp;E2550</f>
        <v>vs Karafli Saita</v>
      </c>
      <c r="L2551" s="6" t="str">
        <f t="shared" ref="L2551" si="2188">"vs "&amp;F2550</f>
        <v>vs Tassos</v>
      </c>
      <c r="M2551">
        <v>185</v>
      </c>
      <c r="N2551" s="1">
        <v>0.503</v>
      </c>
      <c r="O2551">
        <v>23</v>
      </c>
      <c r="P2551" s="1">
        <v>0.307</v>
      </c>
      <c r="Q2551" s="1">
        <v>0.76600000000000001</v>
      </c>
      <c r="R2551">
        <v>488</v>
      </c>
      <c r="S2551">
        <v>46</v>
      </c>
      <c r="T2551">
        <v>126</v>
      </c>
      <c r="U2551">
        <v>142</v>
      </c>
      <c r="V2551">
        <v>31</v>
      </c>
      <c r="W2551">
        <v>19</v>
      </c>
      <c r="X2551">
        <v>44</v>
      </c>
      <c r="Y2551">
        <v>3.23</v>
      </c>
    </row>
    <row r="2552" spans="1:25" x14ac:dyDescent="0.25">
      <c r="A2552">
        <v>2024</v>
      </c>
      <c r="B2552" t="s">
        <v>57</v>
      </c>
      <c r="C2552">
        <v>14</v>
      </c>
      <c r="D2552">
        <v>144</v>
      </c>
      <c r="E2552" t="s">
        <v>26</v>
      </c>
      <c r="F2552" t="s">
        <v>118</v>
      </c>
      <c r="G2552">
        <f t="shared" si="2128"/>
        <v>1</v>
      </c>
      <c r="H2552">
        <v>9</v>
      </c>
      <c r="I2552">
        <v>4</v>
      </c>
      <c r="J2552">
        <v>0</v>
      </c>
      <c r="K2552" s="6" t="str">
        <f t="shared" ref="K2552" si="2189">"vs "&amp;E2553</f>
        <v>vs Heraklion Snakes</v>
      </c>
      <c r="L2552" s="6" t="str">
        <f t="shared" ref="L2552" si="2190">"vs "&amp;F2553</f>
        <v>vs Dimitris</v>
      </c>
      <c r="M2552">
        <v>192</v>
      </c>
      <c r="N2552" s="1">
        <v>0.47799999999999998</v>
      </c>
      <c r="O2552">
        <v>58</v>
      </c>
      <c r="P2552" s="1">
        <v>0.377</v>
      </c>
      <c r="Q2552" s="1">
        <v>0.85099999999999998</v>
      </c>
      <c r="R2552">
        <v>505</v>
      </c>
      <c r="S2552">
        <v>46</v>
      </c>
      <c r="T2552">
        <v>141</v>
      </c>
      <c r="U2552">
        <v>115</v>
      </c>
      <c r="V2552">
        <v>29</v>
      </c>
      <c r="W2552">
        <v>17</v>
      </c>
      <c r="X2552">
        <v>54</v>
      </c>
      <c r="Y2552">
        <v>2.13</v>
      </c>
    </row>
    <row r="2553" spans="1:25" x14ac:dyDescent="0.25">
      <c r="A2553">
        <v>2024</v>
      </c>
      <c r="B2553" t="s">
        <v>57</v>
      </c>
      <c r="C2553">
        <v>14</v>
      </c>
      <c r="D2553">
        <v>144</v>
      </c>
      <c r="E2553" t="s">
        <v>184</v>
      </c>
      <c r="F2553" t="s">
        <v>188</v>
      </c>
      <c r="G2553">
        <f t="shared" si="2128"/>
        <v>0</v>
      </c>
      <c r="H2553">
        <v>4</v>
      </c>
      <c r="I2553">
        <v>9</v>
      </c>
      <c r="J2553">
        <v>0</v>
      </c>
      <c r="K2553" s="6" t="str">
        <f t="shared" ref="K2553" si="2191">"vs "&amp;E2552</f>
        <v>vs Kourayo Vallecano</v>
      </c>
      <c r="L2553" s="6" t="str">
        <f t="shared" ref="L2553" si="2192">"vs "&amp;F2552</f>
        <v>vs Ziogas/Christof</v>
      </c>
      <c r="M2553">
        <v>178</v>
      </c>
      <c r="N2553" s="1">
        <v>0.51</v>
      </c>
      <c r="O2553">
        <v>39</v>
      </c>
      <c r="P2553" s="1">
        <v>0.35499999999999998</v>
      </c>
      <c r="Q2553" s="1">
        <v>0.78200000000000003</v>
      </c>
      <c r="R2553">
        <v>481</v>
      </c>
      <c r="S2553">
        <v>57</v>
      </c>
      <c r="T2553">
        <v>132</v>
      </c>
      <c r="U2553">
        <v>72</v>
      </c>
      <c r="V2553">
        <v>19</v>
      </c>
      <c r="W2553">
        <v>26</v>
      </c>
      <c r="X2553">
        <v>42</v>
      </c>
      <c r="Y2553">
        <v>1.71</v>
      </c>
    </row>
    <row r="2554" spans="1:25" x14ac:dyDescent="0.25">
      <c r="A2554">
        <v>2024</v>
      </c>
      <c r="B2554" t="s">
        <v>57</v>
      </c>
      <c r="C2554">
        <v>14</v>
      </c>
      <c r="D2554">
        <v>145</v>
      </c>
      <c r="E2554" t="s">
        <v>28</v>
      </c>
      <c r="F2554" t="s">
        <v>46</v>
      </c>
      <c r="G2554">
        <f t="shared" si="2128"/>
        <v>0</v>
      </c>
      <c r="H2554">
        <v>6</v>
      </c>
      <c r="I2554">
        <v>7</v>
      </c>
      <c r="J2554">
        <v>0</v>
      </c>
      <c r="K2554" s="6" t="str">
        <f t="shared" ref="K2554" si="2193">"vs "&amp;E2555</f>
        <v>vs The Bad Boys</v>
      </c>
      <c r="L2554" s="6" t="str">
        <f t="shared" ref="L2554" si="2194">"vs "&amp;F2555</f>
        <v>vs Arvanitis</v>
      </c>
      <c r="M2554">
        <v>144</v>
      </c>
      <c r="N2554" s="1">
        <v>0.44</v>
      </c>
      <c r="O2554">
        <v>41</v>
      </c>
      <c r="P2554" s="1">
        <v>0.35699999999999998</v>
      </c>
      <c r="Q2554" s="1">
        <v>0.85099999999999998</v>
      </c>
      <c r="R2554">
        <v>426</v>
      </c>
      <c r="S2554">
        <v>36</v>
      </c>
      <c r="T2554">
        <v>125</v>
      </c>
      <c r="U2554">
        <v>101</v>
      </c>
      <c r="V2554">
        <v>12</v>
      </c>
      <c r="W2554">
        <v>20</v>
      </c>
      <c r="X2554">
        <v>54</v>
      </c>
      <c r="Y2554">
        <v>1.87</v>
      </c>
    </row>
    <row r="2555" spans="1:25" x14ac:dyDescent="0.25">
      <c r="A2555">
        <v>2024</v>
      </c>
      <c r="B2555" t="s">
        <v>57</v>
      </c>
      <c r="C2555">
        <v>14</v>
      </c>
      <c r="D2555">
        <v>145</v>
      </c>
      <c r="E2555" t="s">
        <v>154</v>
      </c>
      <c r="F2555" t="s">
        <v>155</v>
      </c>
      <c r="G2555">
        <f t="shared" si="2128"/>
        <v>1</v>
      </c>
      <c r="H2555">
        <v>7</v>
      </c>
      <c r="I2555">
        <v>6</v>
      </c>
      <c r="J2555">
        <v>0</v>
      </c>
      <c r="K2555" s="6" t="str">
        <f t="shared" ref="K2555" si="2195">"vs "&amp;E2554</f>
        <v>vs Steven Adams' Moustache</v>
      </c>
      <c r="L2555" s="6" t="str">
        <f t="shared" ref="L2555" si="2196">"vs "&amp;F2554</f>
        <v>vs Johnny</v>
      </c>
      <c r="M2555">
        <v>135</v>
      </c>
      <c r="N2555" s="1">
        <v>0.51100000000000001</v>
      </c>
      <c r="O2555">
        <v>32</v>
      </c>
      <c r="P2555" s="1">
        <v>0.39</v>
      </c>
      <c r="Q2555" s="1">
        <v>0.77800000000000002</v>
      </c>
      <c r="R2555">
        <v>351</v>
      </c>
      <c r="S2555">
        <v>41</v>
      </c>
      <c r="T2555">
        <v>140</v>
      </c>
      <c r="U2555">
        <v>69</v>
      </c>
      <c r="V2555">
        <v>25</v>
      </c>
      <c r="W2555">
        <v>18</v>
      </c>
      <c r="X2555">
        <v>29</v>
      </c>
      <c r="Y2555">
        <v>2.38</v>
      </c>
    </row>
    <row r="2556" spans="1:25" x14ac:dyDescent="0.25">
      <c r="A2556">
        <v>2024</v>
      </c>
      <c r="B2556" t="s">
        <v>57</v>
      </c>
      <c r="C2556">
        <v>14</v>
      </c>
      <c r="D2556">
        <v>146</v>
      </c>
      <c r="E2556" t="s">
        <v>16</v>
      </c>
      <c r="F2556" t="s">
        <v>51</v>
      </c>
      <c r="G2556">
        <f t="shared" si="2128"/>
        <v>0</v>
      </c>
      <c r="H2556">
        <v>4</v>
      </c>
      <c r="I2556">
        <v>8</v>
      </c>
      <c r="J2556">
        <v>1</v>
      </c>
      <c r="K2556" s="6" t="str">
        <f t="shared" ref="K2556" si="2197">"vs "&amp;E2557</f>
        <v>vs Fighting Thaddeus</v>
      </c>
      <c r="L2556" s="6" t="str">
        <f t="shared" ref="L2556" si="2198">"vs "&amp;F2557</f>
        <v>vs Stavros</v>
      </c>
      <c r="M2556">
        <v>136</v>
      </c>
      <c r="N2556" s="1">
        <v>0.41299999999999998</v>
      </c>
      <c r="O2556">
        <v>44</v>
      </c>
      <c r="P2556" s="1">
        <v>0.29499999999999998</v>
      </c>
      <c r="Q2556" s="1">
        <v>0.83099999999999996</v>
      </c>
      <c r="R2556">
        <v>385</v>
      </c>
      <c r="S2556">
        <v>32</v>
      </c>
      <c r="T2556">
        <v>99</v>
      </c>
      <c r="U2556">
        <v>100</v>
      </c>
      <c r="V2556">
        <v>19</v>
      </c>
      <c r="W2556">
        <v>18</v>
      </c>
      <c r="X2556">
        <v>38</v>
      </c>
      <c r="Y2556">
        <v>2.63</v>
      </c>
    </row>
    <row r="2557" spans="1:25" x14ac:dyDescent="0.25">
      <c r="A2557">
        <v>2024</v>
      </c>
      <c r="B2557" t="s">
        <v>57</v>
      </c>
      <c r="C2557">
        <v>14</v>
      </c>
      <c r="D2557">
        <v>146</v>
      </c>
      <c r="E2557" t="s">
        <v>94</v>
      </c>
      <c r="F2557" t="s">
        <v>40</v>
      </c>
      <c r="G2557">
        <f t="shared" si="2128"/>
        <v>1</v>
      </c>
      <c r="H2557">
        <v>8</v>
      </c>
      <c r="I2557">
        <v>4</v>
      </c>
      <c r="J2557">
        <v>1</v>
      </c>
      <c r="K2557" s="6" t="str">
        <f t="shared" ref="K2557" si="2199">"vs "&amp;E2556</f>
        <v>vs The Bridgeburners</v>
      </c>
      <c r="L2557" s="6" t="str">
        <f t="shared" ref="L2557" si="2200">"vs "&amp;F2556</f>
        <v>vs Fanis</v>
      </c>
      <c r="M2557">
        <v>162</v>
      </c>
      <c r="N2557" s="1">
        <v>0.46400000000000002</v>
      </c>
      <c r="O2557">
        <v>41</v>
      </c>
      <c r="P2557" s="1">
        <v>0.33300000000000002</v>
      </c>
      <c r="Q2557" s="1">
        <v>0.82899999999999996</v>
      </c>
      <c r="R2557">
        <v>457</v>
      </c>
      <c r="S2557">
        <v>51</v>
      </c>
      <c r="T2557">
        <v>135</v>
      </c>
      <c r="U2557">
        <v>105</v>
      </c>
      <c r="V2557">
        <v>35</v>
      </c>
      <c r="W2557">
        <v>18</v>
      </c>
      <c r="X2557">
        <v>46</v>
      </c>
      <c r="Y2557">
        <v>2.2799999999999998</v>
      </c>
    </row>
    <row r="2558" spans="1:25" x14ac:dyDescent="0.25">
      <c r="A2558">
        <v>2024</v>
      </c>
      <c r="B2558" t="s">
        <v>57</v>
      </c>
      <c r="C2558">
        <v>14</v>
      </c>
      <c r="D2558">
        <v>147</v>
      </c>
      <c r="E2558" t="s">
        <v>98</v>
      </c>
      <c r="F2558" t="s">
        <v>41</v>
      </c>
      <c r="G2558">
        <f t="shared" si="2128"/>
        <v>1</v>
      </c>
      <c r="H2558">
        <v>8</v>
      </c>
      <c r="I2558">
        <v>5</v>
      </c>
      <c r="J2558">
        <v>0</v>
      </c>
      <c r="K2558" s="6" t="str">
        <f t="shared" ref="K2558" si="2201">"vs "&amp;E2559</f>
        <v>vs Guruuu 🐐🐐🐐</v>
      </c>
      <c r="L2558" s="6" t="str">
        <f t="shared" ref="L2558" si="2202">"vs "&amp;F2559</f>
        <v>vs Guru</v>
      </c>
      <c r="M2558">
        <v>185</v>
      </c>
      <c r="N2558" s="1">
        <v>0.504</v>
      </c>
      <c r="O2558">
        <v>47</v>
      </c>
      <c r="P2558" s="1">
        <v>0.33100000000000002</v>
      </c>
      <c r="Q2558" s="1">
        <v>0.83799999999999997</v>
      </c>
      <c r="R2558">
        <v>479</v>
      </c>
      <c r="S2558">
        <v>38</v>
      </c>
      <c r="T2558">
        <v>169</v>
      </c>
      <c r="U2558">
        <v>137</v>
      </c>
      <c r="V2558">
        <v>35</v>
      </c>
      <c r="W2558">
        <v>34</v>
      </c>
      <c r="X2558">
        <v>63</v>
      </c>
      <c r="Y2558">
        <v>2.17</v>
      </c>
    </row>
    <row r="2559" spans="1:25" x14ac:dyDescent="0.25">
      <c r="A2559">
        <v>2024</v>
      </c>
      <c r="B2559" t="s">
        <v>57</v>
      </c>
      <c r="C2559">
        <v>14</v>
      </c>
      <c r="D2559">
        <v>147</v>
      </c>
      <c r="E2559" t="s">
        <v>93</v>
      </c>
      <c r="F2559" t="s">
        <v>189</v>
      </c>
      <c r="G2559">
        <f t="shared" si="2128"/>
        <v>0</v>
      </c>
      <c r="H2559">
        <v>5</v>
      </c>
      <c r="I2559">
        <v>8</v>
      </c>
      <c r="J2559">
        <v>0</v>
      </c>
      <c r="K2559" s="6" t="str">
        <f t="shared" ref="K2559" si="2203">"vs "&amp;E2558</f>
        <v>vs Xanthi Ducks 🦆</v>
      </c>
      <c r="L2559" s="6" t="str">
        <f t="shared" ref="L2559" si="2204">"vs "&amp;F2558</f>
        <v>vs Kotakis</v>
      </c>
      <c r="M2559">
        <v>192</v>
      </c>
      <c r="N2559" s="1">
        <v>0.45700000000000002</v>
      </c>
      <c r="O2559">
        <v>84</v>
      </c>
      <c r="P2559" s="1">
        <v>0.41399999999999998</v>
      </c>
      <c r="Q2559" s="1">
        <v>0.82899999999999996</v>
      </c>
      <c r="R2559">
        <v>531</v>
      </c>
      <c r="S2559">
        <v>25</v>
      </c>
      <c r="T2559">
        <v>111</v>
      </c>
      <c r="U2559">
        <v>108</v>
      </c>
      <c r="V2559">
        <v>18</v>
      </c>
      <c r="W2559">
        <v>17</v>
      </c>
      <c r="X2559">
        <v>54</v>
      </c>
      <c r="Y2559">
        <v>2</v>
      </c>
    </row>
    <row r="2560" spans="1:25" x14ac:dyDescent="0.25">
      <c r="A2560">
        <v>2024</v>
      </c>
      <c r="B2560" t="s">
        <v>57</v>
      </c>
      <c r="C2560">
        <v>14</v>
      </c>
      <c r="D2560">
        <v>148</v>
      </c>
      <c r="E2560" t="s">
        <v>95</v>
      </c>
      <c r="F2560" t="s">
        <v>101</v>
      </c>
      <c r="G2560">
        <f t="shared" si="2128"/>
        <v>0</v>
      </c>
      <c r="H2560">
        <v>2</v>
      </c>
      <c r="I2560">
        <v>11</v>
      </c>
      <c r="J2560">
        <v>0</v>
      </c>
      <c r="K2560" s="6" t="str">
        <f t="shared" ref="K2560" si="2205">"vs "&amp;E2561</f>
        <v>vs LRBP PR3DATORS</v>
      </c>
      <c r="L2560" s="6" t="str">
        <f t="shared" ref="L2560" si="2206">"vs "&amp;F2561</f>
        <v>vs Lafa</v>
      </c>
      <c r="M2560">
        <v>124</v>
      </c>
      <c r="N2560" s="1">
        <v>0.44600000000000001</v>
      </c>
      <c r="O2560">
        <v>30</v>
      </c>
      <c r="P2560" s="1">
        <v>0.27300000000000002</v>
      </c>
      <c r="Q2560" s="1">
        <v>0.70399999999999996</v>
      </c>
      <c r="R2560">
        <v>328</v>
      </c>
      <c r="S2560">
        <v>29</v>
      </c>
      <c r="T2560">
        <v>99</v>
      </c>
      <c r="U2560">
        <v>61</v>
      </c>
      <c r="V2560">
        <v>36</v>
      </c>
      <c r="W2560">
        <v>19</v>
      </c>
      <c r="X2560">
        <v>31</v>
      </c>
      <c r="Y2560">
        <v>1.97</v>
      </c>
    </row>
    <row r="2561" spans="1:25" x14ac:dyDescent="0.25">
      <c r="A2561">
        <v>2024</v>
      </c>
      <c r="B2561" t="s">
        <v>57</v>
      </c>
      <c r="C2561">
        <v>14</v>
      </c>
      <c r="D2561">
        <v>148</v>
      </c>
      <c r="E2561" t="s">
        <v>158</v>
      </c>
      <c r="F2561" t="s">
        <v>177</v>
      </c>
      <c r="G2561">
        <f t="shared" si="2128"/>
        <v>1</v>
      </c>
      <c r="H2561">
        <v>11</v>
      </c>
      <c r="I2561">
        <v>2</v>
      </c>
      <c r="J2561">
        <v>0</v>
      </c>
      <c r="K2561" s="6" t="str">
        <f t="shared" ref="K2561" si="2207">"vs "&amp;E2560</f>
        <v>vs Baltimore Hercules</v>
      </c>
      <c r="L2561" s="6" t="str">
        <f t="shared" ref="L2561" si="2208">"vs "&amp;F2560</f>
        <v>vs Sarantos</v>
      </c>
      <c r="M2561">
        <v>219</v>
      </c>
      <c r="N2561" s="1">
        <v>0.49199999999999999</v>
      </c>
      <c r="O2561">
        <v>65</v>
      </c>
      <c r="P2561" s="1">
        <v>0.35899999999999999</v>
      </c>
      <c r="Q2561" s="1">
        <v>0.755</v>
      </c>
      <c r="R2561">
        <v>614</v>
      </c>
      <c r="S2561">
        <v>43</v>
      </c>
      <c r="T2561">
        <v>161</v>
      </c>
      <c r="U2561">
        <v>149</v>
      </c>
      <c r="V2561">
        <v>21</v>
      </c>
      <c r="W2561">
        <v>21</v>
      </c>
      <c r="X2561">
        <v>71</v>
      </c>
      <c r="Y2561">
        <v>2.1</v>
      </c>
    </row>
    <row r="2562" spans="1:25" x14ac:dyDescent="0.25">
      <c r="A2562">
        <v>2024</v>
      </c>
      <c r="B2562" t="s">
        <v>57</v>
      </c>
      <c r="C2562">
        <v>14</v>
      </c>
      <c r="D2562">
        <v>149</v>
      </c>
      <c r="E2562" t="s">
        <v>21</v>
      </c>
      <c r="F2562" t="s">
        <v>50</v>
      </c>
      <c r="G2562">
        <f t="shared" si="2128"/>
        <v>0</v>
      </c>
      <c r="H2562">
        <v>5</v>
      </c>
      <c r="I2562">
        <v>8</v>
      </c>
      <c r="J2562">
        <v>0</v>
      </c>
      <c r="K2562" s="6" t="str">
        <f t="shared" ref="K2562" si="2209">"vs "&amp;E2563</f>
        <v>vs Knights of Ni</v>
      </c>
      <c r="L2562" s="6" t="str">
        <f t="shared" ref="L2562" si="2210">"vs "&amp;F2563</f>
        <v>vs Tolios</v>
      </c>
      <c r="M2562">
        <v>167</v>
      </c>
      <c r="N2562" s="1">
        <v>0.52700000000000002</v>
      </c>
      <c r="O2562">
        <v>28</v>
      </c>
      <c r="P2562" s="1">
        <v>0.40600000000000003</v>
      </c>
      <c r="Q2562" s="1">
        <v>0.79700000000000004</v>
      </c>
      <c r="R2562">
        <v>425</v>
      </c>
      <c r="S2562">
        <v>40</v>
      </c>
      <c r="T2562">
        <v>101</v>
      </c>
      <c r="U2562">
        <v>115</v>
      </c>
      <c r="V2562">
        <v>28</v>
      </c>
      <c r="W2562">
        <v>13</v>
      </c>
      <c r="X2562">
        <v>51</v>
      </c>
      <c r="Y2562">
        <v>2.25</v>
      </c>
    </row>
    <row r="2563" spans="1:25" x14ac:dyDescent="0.25">
      <c r="A2563">
        <v>2024</v>
      </c>
      <c r="B2563" t="s">
        <v>57</v>
      </c>
      <c r="C2563">
        <v>14</v>
      </c>
      <c r="D2563">
        <v>149</v>
      </c>
      <c r="E2563" t="s">
        <v>96</v>
      </c>
      <c r="F2563" t="s">
        <v>102</v>
      </c>
      <c r="G2563">
        <f t="shared" si="2128"/>
        <v>1</v>
      </c>
      <c r="H2563">
        <v>8</v>
      </c>
      <c r="I2563">
        <v>5</v>
      </c>
      <c r="J2563">
        <v>0</v>
      </c>
      <c r="K2563" s="6" t="str">
        <f t="shared" ref="K2563" si="2211">"vs "&amp;E2562</f>
        <v>vs st.Helens Eruptions</v>
      </c>
      <c r="L2563" s="6" t="str">
        <f t="shared" ref="L2563" si="2212">"vs "&amp;F2562</f>
        <v>vs Aris</v>
      </c>
      <c r="M2563">
        <v>216</v>
      </c>
      <c r="N2563" s="1">
        <v>0.54100000000000004</v>
      </c>
      <c r="O2563">
        <v>42</v>
      </c>
      <c r="P2563" s="1">
        <v>0.39300000000000002</v>
      </c>
      <c r="Q2563" s="1">
        <v>0.77700000000000002</v>
      </c>
      <c r="R2563">
        <v>547</v>
      </c>
      <c r="S2563">
        <v>50</v>
      </c>
      <c r="T2563">
        <v>144</v>
      </c>
      <c r="U2563">
        <v>75</v>
      </c>
      <c r="V2563">
        <v>21</v>
      </c>
      <c r="W2563">
        <v>24</v>
      </c>
      <c r="X2563">
        <v>39</v>
      </c>
      <c r="Y2563">
        <v>1.92</v>
      </c>
    </row>
    <row r="2564" spans="1:25" x14ac:dyDescent="0.25">
      <c r="A2564">
        <v>2024</v>
      </c>
      <c r="B2564" t="s">
        <v>57</v>
      </c>
      <c r="C2564">
        <v>14</v>
      </c>
      <c r="D2564">
        <v>150</v>
      </c>
      <c r="E2564" t="s">
        <v>181</v>
      </c>
      <c r="F2564" t="s">
        <v>49</v>
      </c>
      <c r="G2564">
        <f t="shared" si="2128"/>
        <v>1</v>
      </c>
      <c r="H2564">
        <v>10</v>
      </c>
      <c r="I2564">
        <v>2</v>
      </c>
      <c r="J2564">
        <v>1</v>
      </c>
      <c r="K2564" s="6" t="str">
        <f t="shared" ref="K2564" si="2213">"vs "&amp;E2565</f>
        <v>vs Pachiana NinjaBees</v>
      </c>
      <c r="L2564" s="6" t="str">
        <f t="shared" ref="L2564" si="2214">"vs "&amp;F2565</f>
        <v>vs Spiridaus/Oladipas</v>
      </c>
      <c r="M2564">
        <v>189</v>
      </c>
      <c r="N2564" s="1">
        <v>0.49099999999999999</v>
      </c>
      <c r="O2564">
        <v>65</v>
      </c>
      <c r="P2564" s="1">
        <v>0.42499999999999999</v>
      </c>
      <c r="Q2564" s="1">
        <v>0.78600000000000003</v>
      </c>
      <c r="R2564">
        <v>524</v>
      </c>
      <c r="S2564">
        <v>22</v>
      </c>
      <c r="T2564">
        <v>153</v>
      </c>
      <c r="U2564">
        <v>147</v>
      </c>
      <c r="V2564">
        <v>25</v>
      </c>
      <c r="W2564">
        <v>18</v>
      </c>
      <c r="X2564">
        <v>47</v>
      </c>
      <c r="Y2564">
        <v>3.13</v>
      </c>
    </row>
    <row r="2565" spans="1:25" x14ac:dyDescent="0.25">
      <c r="A2565">
        <v>2024</v>
      </c>
      <c r="B2565" t="s">
        <v>57</v>
      </c>
      <c r="C2565">
        <v>14</v>
      </c>
      <c r="D2565">
        <v>150</v>
      </c>
      <c r="E2565" t="s">
        <v>23</v>
      </c>
      <c r="F2565" t="s">
        <v>120</v>
      </c>
      <c r="G2565">
        <f t="shared" si="2128"/>
        <v>0</v>
      </c>
      <c r="H2565">
        <v>2</v>
      </c>
      <c r="I2565">
        <v>10</v>
      </c>
      <c r="J2565">
        <v>1</v>
      </c>
      <c r="K2565" s="6" t="str">
        <f t="shared" ref="K2565" si="2215">"vs "&amp;E2564</f>
        <v>vs Samarina Dudenbros</v>
      </c>
      <c r="L2565" s="6" t="str">
        <f t="shared" ref="L2565" si="2216">"vs "&amp;F2564</f>
        <v>vs Sakellariou</v>
      </c>
      <c r="M2565">
        <v>147</v>
      </c>
      <c r="N2565" s="1">
        <v>0.46100000000000002</v>
      </c>
      <c r="O2565">
        <v>38</v>
      </c>
      <c r="P2565" s="1">
        <v>0.33300000000000002</v>
      </c>
      <c r="Q2565" s="1">
        <v>0.78300000000000003</v>
      </c>
      <c r="R2565">
        <v>415</v>
      </c>
      <c r="S2565">
        <v>45</v>
      </c>
      <c r="T2565">
        <v>110</v>
      </c>
      <c r="U2565">
        <v>105</v>
      </c>
      <c r="V2565">
        <v>25</v>
      </c>
      <c r="W2565">
        <v>21</v>
      </c>
      <c r="X2565">
        <v>49</v>
      </c>
      <c r="Y2565">
        <v>2.14</v>
      </c>
    </row>
    <row r="2566" spans="1:25" x14ac:dyDescent="0.25">
      <c r="A2566">
        <v>2024</v>
      </c>
      <c r="B2566" t="s">
        <v>57</v>
      </c>
      <c r="C2566">
        <v>15</v>
      </c>
      <c r="D2566">
        <v>151</v>
      </c>
      <c r="E2566" t="s">
        <v>15</v>
      </c>
      <c r="F2566" t="s">
        <v>48</v>
      </c>
      <c r="G2566">
        <f t="shared" si="2128"/>
        <v>1</v>
      </c>
      <c r="H2566">
        <v>7</v>
      </c>
      <c r="I2566">
        <v>6</v>
      </c>
      <c r="J2566">
        <v>0</v>
      </c>
      <c r="K2566" s="6" t="str">
        <f t="shared" ref="K2566" si="2217">"vs "&amp;E2567</f>
        <v>vs Tsarlatans</v>
      </c>
      <c r="L2566" s="6" t="str">
        <f t="shared" ref="L2566" si="2218">"vs "&amp;F2567</f>
        <v>vs Tzokos</v>
      </c>
      <c r="M2566">
        <v>190</v>
      </c>
      <c r="N2566" s="1">
        <v>0.44600000000000001</v>
      </c>
      <c r="O2566">
        <v>43</v>
      </c>
      <c r="P2566" s="1">
        <v>0.28100000000000003</v>
      </c>
      <c r="Q2566" s="1">
        <v>0.86499999999999999</v>
      </c>
      <c r="R2566">
        <v>506</v>
      </c>
      <c r="S2566">
        <v>33</v>
      </c>
      <c r="T2566">
        <v>124</v>
      </c>
      <c r="U2566">
        <v>133</v>
      </c>
      <c r="V2566">
        <v>30</v>
      </c>
      <c r="W2566">
        <v>11</v>
      </c>
      <c r="X2566">
        <v>52</v>
      </c>
      <c r="Y2566">
        <v>2.56</v>
      </c>
    </row>
    <row r="2567" spans="1:25" x14ac:dyDescent="0.25">
      <c r="A2567">
        <v>2024</v>
      </c>
      <c r="B2567" t="s">
        <v>57</v>
      </c>
      <c r="C2567">
        <v>15</v>
      </c>
      <c r="D2567">
        <v>151</v>
      </c>
      <c r="E2567" t="s">
        <v>99</v>
      </c>
      <c r="F2567" t="s">
        <v>45</v>
      </c>
      <c r="G2567">
        <f t="shared" si="2128"/>
        <v>0</v>
      </c>
      <c r="H2567">
        <v>6</v>
      </c>
      <c r="I2567">
        <v>7</v>
      </c>
      <c r="J2567">
        <v>0</v>
      </c>
      <c r="K2567" s="6" t="str">
        <f t="shared" ref="K2567" si="2219">"vs "&amp;E2566</f>
        <v>vs Salonika Devils</v>
      </c>
      <c r="L2567" s="6" t="str">
        <f t="shared" ref="L2567" si="2220">"vs "&amp;F2566</f>
        <v>vs Fountos</v>
      </c>
      <c r="M2567">
        <v>125</v>
      </c>
      <c r="N2567" s="1">
        <v>0.52100000000000002</v>
      </c>
      <c r="O2567">
        <v>34</v>
      </c>
      <c r="P2567" s="1">
        <v>0.37</v>
      </c>
      <c r="Q2567" s="1">
        <v>0.72199999999999998</v>
      </c>
      <c r="R2567">
        <v>310</v>
      </c>
      <c r="S2567">
        <v>37</v>
      </c>
      <c r="T2567">
        <v>89</v>
      </c>
      <c r="U2567">
        <v>55</v>
      </c>
      <c r="V2567">
        <v>22</v>
      </c>
      <c r="W2567">
        <v>17</v>
      </c>
      <c r="X2567">
        <v>21</v>
      </c>
      <c r="Y2567">
        <v>2.62</v>
      </c>
    </row>
    <row r="2568" spans="1:25" x14ac:dyDescent="0.25">
      <c r="A2568">
        <v>2024</v>
      </c>
      <c r="B2568" t="s">
        <v>57</v>
      </c>
      <c r="C2568">
        <v>15</v>
      </c>
      <c r="D2568">
        <v>152</v>
      </c>
      <c r="E2568" t="s">
        <v>33</v>
      </c>
      <c r="F2568" t="s">
        <v>42</v>
      </c>
      <c r="G2568">
        <f t="shared" si="2128"/>
        <v>1</v>
      </c>
      <c r="H2568">
        <v>7</v>
      </c>
      <c r="I2568">
        <v>6</v>
      </c>
      <c r="J2568">
        <v>0</v>
      </c>
      <c r="K2568" s="6" t="str">
        <f t="shared" ref="K2568" si="2221">"vs "&amp;E2569</f>
        <v>vs purple fuzzy apache pirates</v>
      </c>
      <c r="L2568" s="6" t="str">
        <f t="shared" ref="L2568" si="2222">"vs "&amp;F2569</f>
        <v>vs pi/Sotiris</v>
      </c>
      <c r="M2568">
        <v>235</v>
      </c>
      <c r="N2568" s="1">
        <v>0.49099999999999999</v>
      </c>
      <c r="O2568">
        <v>35</v>
      </c>
      <c r="P2568" s="1">
        <v>0.29899999999999999</v>
      </c>
      <c r="Q2568" s="1">
        <v>0.76800000000000002</v>
      </c>
      <c r="R2568">
        <v>601</v>
      </c>
      <c r="S2568">
        <v>68</v>
      </c>
      <c r="T2568">
        <v>174</v>
      </c>
      <c r="U2568">
        <v>156</v>
      </c>
      <c r="V2568">
        <v>40</v>
      </c>
      <c r="W2568">
        <v>29</v>
      </c>
      <c r="X2568">
        <v>58</v>
      </c>
      <c r="Y2568">
        <v>2.69</v>
      </c>
    </row>
    <row r="2569" spans="1:25" x14ac:dyDescent="0.25">
      <c r="A2569">
        <v>2024</v>
      </c>
      <c r="B2569" t="s">
        <v>57</v>
      </c>
      <c r="C2569">
        <v>15</v>
      </c>
      <c r="D2569">
        <v>152</v>
      </c>
      <c r="E2569" t="s">
        <v>159</v>
      </c>
      <c r="F2569" t="s">
        <v>116</v>
      </c>
      <c r="G2569">
        <f t="shared" si="2128"/>
        <v>0</v>
      </c>
      <c r="H2569">
        <v>6</v>
      </c>
      <c r="I2569">
        <v>7</v>
      </c>
      <c r="J2569">
        <v>0</v>
      </c>
      <c r="K2569" s="6" t="str">
        <f t="shared" ref="K2569" si="2223">"vs "&amp;E2568</f>
        <v>vs The Guns</v>
      </c>
      <c r="L2569" s="6" t="str">
        <f t="shared" ref="L2569" si="2224">"vs "&amp;F2568</f>
        <v>vs Vasilis</v>
      </c>
      <c r="M2569">
        <v>250</v>
      </c>
      <c r="N2569" s="1">
        <v>0.504</v>
      </c>
      <c r="O2569">
        <v>70</v>
      </c>
      <c r="P2569" s="1">
        <v>0.378</v>
      </c>
      <c r="Q2569" s="1">
        <v>0.75</v>
      </c>
      <c r="R2569">
        <v>681</v>
      </c>
      <c r="S2569">
        <v>46</v>
      </c>
      <c r="T2569">
        <v>167</v>
      </c>
      <c r="U2569">
        <v>161</v>
      </c>
      <c r="V2569">
        <v>35</v>
      </c>
      <c r="W2569">
        <v>26</v>
      </c>
      <c r="X2569">
        <v>65</v>
      </c>
      <c r="Y2569">
        <v>2.48</v>
      </c>
    </row>
    <row r="2570" spans="1:25" x14ac:dyDescent="0.25">
      <c r="A2570">
        <v>2024</v>
      </c>
      <c r="B2570" t="s">
        <v>57</v>
      </c>
      <c r="C2570">
        <v>15</v>
      </c>
      <c r="D2570">
        <v>153</v>
      </c>
      <c r="E2570" t="s">
        <v>184</v>
      </c>
      <c r="F2570" t="s">
        <v>188</v>
      </c>
      <c r="G2570">
        <f t="shared" si="2128"/>
        <v>0</v>
      </c>
      <c r="H2570">
        <v>6</v>
      </c>
      <c r="I2570">
        <v>6</v>
      </c>
      <c r="J2570">
        <v>1</v>
      </c>
      <c r="K2570" s="6" t="str">
        <f t="shared" ref="K2570" si="2225">"vs "&amp;E2571</f>
        <v>vs Paralouistas</v>
      </c>
      <c r="L2570" s="6" t="str">
        <f t="shared" ref="L2570" si="2226">"vs "&amp;F2571</f>
        <v>vs Panos</v>
      </c>
      <c r="M2570">
        <v>151</v>
      </c>
      <c r="N2570" s="1">
        <v>0.52800000000000002</v>
      </c>
      <c r="O2570">
        <v>36</v>
      </c>
      <c r="P2570" s="1">
        <v>0.375</v>
      </c>
      <c r="Q2570" s="1">
        <v>0.80200000000000005</v>
      </c>
      <c r="R2570">
        <v>407</v>
      </c>
      <c r="S2570">
        <v>31</v>
      </c>
      <c r="T2570">
        <v>118</v>
      </c>
      <c r="U2570">
        <v>92</v>
      </c>
      <c r="V2570">
        <v>19</v>
      </c>
      <c r="W2570">
        <v>13</v>
      </c>
      <c r="X2570">
        <v>42</v>
      </c>
      <c r="Y2570">
        <v>2.19</v>
      </c>
    </row>
    <row r="2571" spans="1:25" x14ac:dyDescent="0.25">
      <c r="A2571">
        <v>2024</v>
      </c>
      <c r="B2571" t="s">
        <v>57</v>
      </c>
      <c r="C2571">
        <v>15</v>
      </c>
      <c r="D2571">
        <v>153</v>
      </c>
      <c r="E2571" t="s">
        <v>185</v>
      </c>
      <c r="F2571" t="s">
        <v>100</v>
      </c>
      <c r="G2571">
        <f t="shared" si="2128"/>
        <v>0</v>
      </c>
      <c r="H2571">
        <v>6</v>
      </c>
      <c r="I2571">
        <v>6</v>
      </c>
      <c r="J2571">
        <v>1</v>
      </c>
      <c r="K2571" s="6" t="str">
        <f t="shared" ref="K2571" si="2227">"vs "&amp;E2570</f>
        <v>vs Heraklion Snakes</v>
      </c>
      <c r="L2571" s="6" t="str">
        <f t="shared" ref="L2571" si="2228">"vs "&amp;F2570</f>
        <v>vs Dimitris</v>
      </c>
      <c r="M2571">
        <v>205</v>
      </c>
      <c r="N2571" s="1">
        <v>0.45200000000000001</v>
      </c>
      <c r="O2571">
        <v>56</v>
      </c>
      <c r="P2571" s="1">
        <v>0.30099999999999999</v>
      </c>
      <c r="Q2571" s="1">
        <v>0.77400000000000002</v>
      </c>
      <c r="R2571">
        <v>548</v>
      </c>
      <c r="S2571">
        <v>24</v>
      </c>
      <c r="T2571">
        <v>120</v>
      </c>
      <c r="U2571">
        <v>126</v>
      </c>
      <c r="V2571">
        <v>16</v>
      </c>
      <c r="W2571">
        <v>13</v>
      </c>
      <c r="X2571">
        <v>53</v>
      </c>
      <c r="Y2571">
        <v>2.38</v>
      </c>
    </row>
    <row r="2572" spans="1:25" x14ac:dyDescent="0.25">
      <c r="A2572">
        <v>2024</v>
      </c>
      <c r="B2572" t="s">
        <v>57</v>
      </c>
      <c r="C2572">
        <v>15</v>
      </c>
      <c r="D2572">
        <v>154</v>
      </c>
      <c r="E2572" t="s">
        <v>154</v>
      </c>
      <c r="F2572" t="s">
        <v>155</v>
      </c>
      <c r="G2572">
        <f t="shared" si="2128"/>
        <v>0</v>
      </c>
      <c r="H2572">
        <v>4</v>
      </c>
      <c r="I2572">
        <v>9</v>
      </c>
      <c r="J2572">
        <v>0</v>
      </c>
      <c r="K2572" s="6" t="str">
        <f t="shared" ref="K2572" si="2229">"vs "&amp;E2573</f>
        <v>vs Karafli Saita</v>
      </c>
      <c r="L2572" s="6" t="str">
        <f t="shared" ref="L2572" si="2230">"vs "&amp;F2573</f>
        <v>vs Tassos</v>
      </c>
      <c r="M2572">
        <v>174</v>
      </c>
      <c r="N2572" s="1">
        <v>0.52700000000000002</v>
      </c>
      <c r="O2572">
        <v>50</v>
      </c>
      <c r="P2572" s="1">
        <v>0.373</v>
      </c>
      <c r="Q2572" s="1">
        <v>0.70299999999999996</v>
      </c>
      <c r="R2572">
        <v>450</v>
      </c>
      <c r="S2572">
        <v>53</v>
      </c>
      <c r="T2572">
        <v>123</v>
      </c>
      <c r="U2572">
        <v>64</v>
      </c>
      <c r="V2572">
        <v>26</v>
      </c>
      <c r="W2572">
        <v>22</v>
      </c>
      <c r="X2572">
        <v>48</v>
      </c>
      <c r="Y2572">
        <v>1.33</v>
      </c>
    </row>
    <row r="2573" spans="1:25" x14ac:dyDescent="0.25">
      <c r="A2573">
        <v>2024</v>
      </c>
      <c r="B2573" t="s">
        <v>57</v>
      </c>
      <c r="C2573">
        <v>15</v>
      </c>
      <c r="D2573">
        <v>154</v>
      </c>
      <c r="E2573" t="s">
        <v>186</v>
      </c>
      <c r="F2573" t="s">
        <v>103</v>
      </c>
      <c r="G2573">
        <f t="shared" si="2128"/>
        <v>1</v>
      </c>
      <c r="H2573">
        <v>9</v>
      </c>
      <c r="I2573">
        <v>4</v>
      </c>
      <c r="J2573">
        <v>0</v>
      </c>
      <c r="K2573" s="6" t="str">
        <f t="shared" ref="K2573" si="2231">"vs "&amp;E2572</f>
        <v>vs The Bad Boys</v>
      </c>
      <c r="L2573" s="6" t="str">
        <f t="shared" ref="L2573" si="2232">"vs "&amp;F2572</f>
        <v>vs Arvanitis</v>
      </c>
      <c r="M2573">
        <v>231</v>
      </c>
      <c r="N2573" s="1">
        <v>0.48499999999999999</v>
      </c>
      <c r="O2573">
        <v>46</v>
      </c>
      <c r="P2573" s="1">
        <v>0.313</v>
      </c>
      <c r="Q2573" s="1">
        <v>0.80600000000000005</v>
      </c>
      <c r="R2573">
        <v>620</v>
      </c>
      <c r="S2573">
        <v>57</v>
      </c>
      <c r="T2573">
        <v>162</v>
      </c>
      <c r="U2573">
        <v>127</v>
      </c>
      <c r="V2573">
        <v>29</v>
      </c>
      <c r="W2573">
        <v>30</v>
      </c>
      <c r="X2573">
        <v>57</v>
      </c>
      <c r="Y2573">
        <v>2.23</v>
      </c>
    </row>
    <row r="2574" spans="1:25" x14ac:dyDescent="0.25">
      <c r="A2574">
        <v>2024</v>
      </c>
      <c r="B2574" t="s">
        <v>57</v>
      </c>
      <c r="C2574">
        <v>15</v>
      </c>
      <c r="D2574">
        <v>155</v>
      </c>
      <c r="E2574" t="s">
        <v>94</v>
      </c>
      <c r="F2574" t="s">
        <v>40</v>
      </c>
      <c r="G2574">
        <f t="shared" si="2128"/>
        <v>1</v>
      </c>
      <c r="H2574">
        <v>7</v>
      </c>
      <c r="I2574">
        <v>6</v>
      </c>
      <c r="J2574">
        <v>0</v>
      </c>
      <c r="K2574" s="6" t="str">
        <f t="shared" ref="K2574" si="2233">"vs "&amp;E2575</f>
        <v>vs Kourayo Vallecano</v>
      </c>
      <c r="L2574" s="6" t="str">
        <f t="shared" ref="L2574" si="2234">"vs "&amp;F2575</f>
        <v>vs Ziogas/Christof</v>
      </c>
      <c r="M2574">
        <v>194</v>
      </c>
      <c r="N2574" s="1">
        <v>0.496</v>
      </c>
      <c r="O2574">
        <v>47</v>
      </c>
      <c r="P2574" s="1">
        <v>0.34100000000000003</v>
      </c>
      <c r="Q2574" s="1">
        <v>0.746</v>
      </c>
      <c r="R2574">
        <v>535</v>
      </c>
      <c r="S2574">
        <v>87</v>
      </c>
      <c r="T2574">
        <v>171</v>
      </c>
      <c r="U2574">
        <v>124</v>
      </c>
      <c r="V2574">
        <v>25</v>
      </c>
      <c r="W2574">
        <v>29</v>
      </c>
      <c r="X2574">
        <v>57</v>
      </c>
      <c r="Y2574">
        <v>2.1800000000000002</v>
      </c>
    </row>
    <row r="2575" spans="1:25" x14ac:dyDescent="0.25">
      <c r="A2575">
        <v>2024</v>
      </c>
      <c r="B2575" t="s">
        <v>57</v>
      </c>
      <c r="C2575">
        <v>15</v>
      </c>
      <c r="D2575">
        <v>155</v>
      </c>
      <c r="E2575" t="s">
        <v>26</v>
      </c>
      <c r="F2575" t="s">
        <v>118</v>
      </c>
      <c r="G2575">
        <f t="shared" si="2128"/>
        <v>0</v>
      </c>
      <c r="H2575">
        <v>6</v>
      </c>
      <c r="I2575">
        <v>7</v>
      </c>
      <c r="J2575">
        <v>0</v>
      </c>
      <c r="K2575" s="6" t="str">
        <f t="shared" ref="K2575" si="2235">"vs "&amp;E2574</f>
        <v>vs Fighting Thaddeus</v>
      </c>
      <c r="L2575" s="6" t="str">
        <f t="shared" ref="L2575" si="2236">"vs "&amp;F2574</f>
        <v>vs Stavros</v>
      </c>
      <c r="M2575">
        <v>162</v>
      </c>
      <c r="N2575" s="1">
        <v>0.42899999999999999</v>
      </c>
      <c r="O2575">
        <v>51</v>
      </c>
      <c r="P2575" s="1">
        <v>0.33800000000000002</v>
      </c>
      <c r="Q2575" s="1">
        <v>0.81100000000000005</v>
      </c>
      <c r="R2575">
        <v>435</v>
      </c>
      <c r="S2575">
        <v>53</v>
      </c>
      <c r="T2575">
        <v>188</v>
      </c>
      <c r="U2575">
        <v>117</v>
      </c>
      <c r="V2575">
        <v>26</v>
      </c>
      <c r="W2575">
        <v>20</v>
      </c>
      <c r="X2575">
        <v>53</v>
      </c>
      <c r="Y2575">
        <v>2.21</v>
      </c>
    </row>
    <row r="2576" spans="1:25" x14ac:dyDescent="0.25">
      <c r="A2576">
        <v>2024</v>
      </c>
      <c r="B2576" t="s">
        <v>57</v>
      </c>
      <c r="C2576">
        <v>15</v>
      </c>
      <c r="D2576">
        <v>156</v>
      </c>
      <c r="E2576" t="s">
        <v>93</v>
      </c>
      <c r="F2576" t="s">
        <v>189</v>
      </c>
      <c r="G2576">
        <f t="shared" si="2128"/>
        <v>1</v>
      </c>
      <c r="H2576">
        <v>9</v>
      </c>
      <c r="I2576">
        <v>4</v>
      </c>
      <c r="J2576">
        <v>0</v>
      </c>
      <c r="K2576" s="6" t="str">
        <f t="shared" ref="K2576" si="2237">"vs "&amp;E2577</f>
        <v>vs Steven Adams' Moustache</v>
      </c>
      <c r="L2576" s="6" t="str">
        <f t="shared" ref="L2576" si="2238">"vs "&amp;F2577</f>
        <v>vs Johnny</v>
      </c>
      <c r="M2576">
        <v>188</v>
      </c>
      <c r="N2576" s="1">
        <v>0.44900000000000001</v>
      </c>
      <c r="O2576">
        <v>77</v>
      </c>
      <c r="P2576" s="1">
        <v>0.38100000000000001</v>
      </c>
      <c r="Q2576" s="1">
        <v>0.82399999999999995</v>
      </c>
      <c r="R2576">
        <v>528</v>
      </c>
      <c r="S2576">
        <v>19</v>
      </c>
      <c r="T2576">
        <v>134</v>
      </c>
      <c r="U2576">
        <v>120</v>
      </c>
      <c r="V2576">
        <v>32</v>
      </c>
      <c r="W2576">
        <v>20</v>
      </c>
      <c r="X2576">
        <v>63</v>
      </c>
      <c r="Y2576">
        <v>1.9</v>
      </c>
    </row>
    <row r="2577" spans="1:25" x14ac:dyDescent="0.25">
      <c r="A2577">
        <v>2024</v>
      </c>
      <c r="B2577" t="s">
        <v>57</v>
      </c>
      <c r="C2577">
        <v>15</v>
      </c>
      <c r="D2577">
        <v>156</v>
      </c>
      <c r="E2577" t="s">
        <v>28</v>
      </c>
      <c r="F2577" t="s">
        <v>46</v>
      </c>
      <c r="G2577">
        <f t="shared" si="2128"/>
        <v>0</v>
      </c>
      <c r="H2577">
        <v>4</v>
      </c>
      <c r="I2577">
        <v>9</v>
      </c>
      <c r="J2577">
        <v>0</v>
      </c>
      <c r="K2577" s="6" t="str">
        <f t="shared" ref="K2577" si="2239">"vs "&amp;E2576</f>
        <v>vs Guruuu 🐐🐐🐐</v>
      </c>
      <c r="L2577" s="6" t="str">
        <f t="shared" ref="L2577" si="2240">"vs "&amp;F2576</f>
        <v>vs Guru</v>
      </c>
      <c r="M2577">
        <v>175</v>
      </c>
      <c r="N2577" s="1">
        <v>0.51800000000000002</v>
      </c>
      <c r="O2577">
        <v>51</v>
      </c>
      <c r="P2577" s="1">
        <v>0.38900000000000001</v>
      </c>
      <c r="Q2577" s="1">
        <v>0.78100000000000003</v>
      </c>
      <c r="R2577">
        <v>458</v>
      </c>
      <c r="S2577">
        <v>42</v>
      </c>
      <c r="T2577">
        <v>128</v>
      </c>
      <c r="U2577">
        <v>88</v>
      </c>
      <c r="V2577">
        <v>27</v>
      </c>
      <c r="W2577">
        <v>16</v>
      </c>
      <c r="X2577">
        <v>59</v>
      </c>
      <c r="Y2577">
        <v>1.49</v>
      </c>
    </row>
    <row r="2578" spans="1:25" x14ac:dyDescent="0.25">
      <c r="A2578">
        <v>2024</v>
      </c>
      <c r="B2578" t="s">
        <v>57</v>
      </c>
      <c r="C2578">
        <v>15</v>
      </c>
      <c r="D2578">
        <v>157</v>
      </c>
      <c r="E2578" t="s">
        <v>158</v>
      </c>
      <c r="F2578" t="s">
        <v>177</v>
      </c>
      <c r="G2578">
        <f t="shared" si="2128"/>
        <v>1</v>
      </c>
      <c r="H2578">
        <v>8</v>
      </c>
      <c r="I2578">
        <v>5</v>
      </c>
      <c r="J2578">
        <v>0</v>
      </c>
      <c r="K2578" s="6" t="str">
        <f t="shared" ref="K2578" si="2241">"vs "&amp;E2579</f>
        <v>vs The Bridgeburners</v>
      </c>
      <c r="L2578" s="6" t="str">
        <f t="shared" ref="L2578" si="2242">"vs "&amp;F2579</f>
        <v>vs Fanis</v>
      </c>
      <c r="M2578">
        <v>222</v>
      </c>
      <c r="N2578" s="1">
        <v>0.497</v>
      </c>
      <c r="O2578">
        <v>68</v>
      </c>
      <c r="P2578" s="1">
        <v>0.39500000000000002</v>
      </c>
      <c r="Q2578" s="1">
        <v>0.78900000000000003</v>
      </c>
      <c r="R2578">
        <v>598</v>
      </c>
      <c r="S2578">
        <v>35</v>
      </c>
      <c r="T2578">
        <v>154</v>
      </c>
      <c r="U2578">
        <v>135</v>
      </c>
      <c r="V2578">
        <v>31</v>
      </c>
      <c r="W2578">
        <v>19</v>
      </c>
      <c r="X2578">
        <v>65</v>
      </c>
      <c r="Y2578">
        <v>2.08</v>
      </c>
    </row>
    <row r="2579" spans="1:25" x14ac:dyDescent="0.25">
      <c r="A2579">
        <v>2024</v>
      </c>
      <c r="B2579" t="s">
        <v>57</v>
      </c>
      <c r="C2579">
        <v>15</v>
      </c>
      <c r="D2579">
        <v>157</v>
      </c>
      <c r="E2579" t="s">
        <v>16</v>
      </c>
      <c r="F2579" t="s">
        <v>51</v>
      </c>
      <c r="G2579">
        <f t="shared" si="2128"/>
        <v>0</v>
      </c>
      <c r="H2579">
        <v>5</v>
      </c>
      <c r="I2579">
        <v>8</v>
      </c>
      <c r="J2579">
        <v>0</v>
      </c>
      <c r="K2579" s="6" t="str">
        <f t="shared" ref="K2579" si="2243">"vs "&amp;E2578</f>
        <v>vs LRBP PR3DATORS</v>
      </c>
      <c r="L2579" s="6" t="str">
        <f t="shared" ref="L2579" si="2244">"vs "&amp;F2578</f>
        <v>vs Lafa</v>
      </c>
      <c r="M2579">
        <v>131</v>
      </c>
      <c r="N2579" s="1">
        <v>0.45500000000000002</v>
      </c>
      <c r="O2579">
        <v>74</v>
      </c>
      <c r="P2579" s="1">
        <v>0.46500000000000002</v>
      </c>
      <c r="Q2579" s="1">
        <v>0.8</v>
      </c>
      <c r="R2579">
        <v>372</v>
      </c>
      <c r="S2579">
        <v>15</v>
      </c>
      <c r="T2579">
        <v>68</v>
      </c>
      <c r="U2579">
        <v>89</v>
      </c>
      <c r="V2579">
        <v>25</v>
      </c>
      <c r="W2579">
        <v>17</v>
      </c>
      <c r="X2579">
        <v>40</v>
      </c>
      <c r="Y2579">
        <v>2.23</v>
      </c>
    </row>
    <row r="2580" spans="1:25" x14ac:dyDescent="0.25">
      <c r="A2580">
        <v>2024</v>
      </c>
      <c r="B2580" t="s">
        <v>57</v>
      </c>
      <c r="C2580">
        <v>15</v>
      </c>
      <c r="D2580">
        <v>158</v>
      </c>
      <c r="E2580" t="s">
        <v>96</v>
      </c>
      <c r="F2580" t="s">
        <v>102</v>
      </c>
      <c r="G2580">
        <f t="shared" si="2128"/>
        <v>0</v>
      </c>
      <c r="H2580">
        <v>3</v>
      </c>
      <c r="I2580">
        <v>10</v>
      </c>
      <c r="J2580">
        <v>0</v>
      </c>
      <c r="K2580" s="6" t="str">
        <f t="shared" ref="K2580" si="2245">"vs "&amp;E2581</f>
        <v>vs Xanthi Ducks 🦆</v>
      </c>
      <c r="L2580" s="6" t="str">
        <f t="shared" ref="L2580" si="2246">"vs "&amp;F2581</f>
        <v>vs Kotakis</v>
      </c>
      <c r="M2580">
        <v>154</v>
      </c>
      <c r="N2580" s="1">
        <v>0.51</v>
      </c>
      <c r="O2580">
        <v>31</v>
      </c>
      <c r="P2580" s="1">
        <v>0.378</v>
      </c>
      <c r="Q2580" s="1">
        <v>0.79200000000000004</v>
      </c>
      <c r="R2580">
        <v>377</v>
      </c>
      <c r="S2580">
        <v>49</v>
      </c>
      <c r="T2580">
        <v>121</v>
      </c>
      <c r="U2580">
        <v>75</v>
      </c>
      <c r="V2580">
        <v>21</v>
      </c>
      <c r="W2580">
        <v>26</v>
      </c>
      <c r="X2580">
        <v>24</v>
      </c>
      <c r="Y2580">
        <v>3.13</v>
      </c>
    </row>
    <row r="2581" spans="1:25" x14ac:dyDescent="0.25">
      <c r="A2581">
        <v>2024</v>
      </c>
      <c r="B2581" t="s">
        <v>57</v>
      </c>
      <c r="C2581">
        <v>15</v>
      </c>
      <c r="D2581">
        <v>158</v>
      </c>
      <c r="E2581" t="s">
        <v>98</v>
      </c>
      <c r="F2581" t="s">
        <v>41</v>
      </c>
      <c r="G2581">
        <f t="shared" si="2128"/>
        <v>1</v>
      </c>
      <c r="H2581">
        <v>10</v>
      </c>
      <c r="I2581">
        <v>3</v>
      </c>
      <c r="J2581">
        <v>0</v>
      </c>
      <c r="K2581" s="6" t="str">
        <f t="shared" ref="K2581" si="2247">"vs "&amp;E2580</f>
        <v>vs Knights of Ni</v>
      </c>
      <c r="L2581" s="6" t="str">
        <f t="shared" ref="L2581" si="2248">"vs "&amp;F2580</f>
        <v>vs Tolios</v>
      </c>
      <c r="M2581">
        <v>226</v>
      </c>
      <c r="N2581" s="1">
        <v>0.48899999999999999</v>
      </c>
      <c r="O2581">
        <v>65</v>
      </c>
      <c r="P2581" s="1">
        <v>0.36099999999999999</v>
      </c>
      <c r="Q2581" s="1">
        <v>0.89500000000000002</v>
      </c>
      <c r="R2581">
        <v>602</v>
      </c>
      <c r="S2581">
        <v>52</v>
      </c>
      <c r="T2581">
        <v>189</v>
      </c>
      <c r="U2581">
        <v>166</v>
      </c>
      <c r="V2581">
        <v>37</v>
      </c>
      <c r="W2581">
        <v>29</v>
      </c>
      <c r="X2581">
        <v>52</v>
      </c>
      <c r="Y2581">
        <v>3.19</v>
      </c>
    </row>
    <row r="2582" spans="1:25" x14ac:dyDescent="0.25">
      <c r="A2582">
        <v>2024</v>
      </c>
      <c r="B2582" t="s">
        <v>57</v>
      </c>
      <c r="C2582">
        <v>15</v>
      </c>
      <c r="D2582">
        <v>159</v>
      </c>
      <c r="E2582" t="s">
        <v>23</v>
      </c>
      <c r="F2582" t="s">
        <v>120</v>
      </c>
      <c r="G2582">
        <f t="shared" si="2128"/>
        <v>1</v>
      </c>
      <c r="H2582">
        <v>11</v>
      </c>
      <c r="I2582">
        <v>2</v>
      </c>
      <c r="J2582">
        <v>0</v>
      </c>
      <c r="K2582" s="6" t="str">
        <f t="shared" ref="K2582" si="2249">"vs "&amp;E2583</f>
        <v>vs Baltimore Hercules</v>
      </c>
      <c r="L2582" s="6" t="str">
        <f t="shared" ref="L2582" si="2250">"vs "&amp;F2583</f>
        <v>vs Sarantos</v>
      </c>
      <c r="M2582">
        <v>178</v>
      </c>
      <c r="N2582" s="1">
        <v>0.45500000000000002</v>
      </c>
      <c r="O2582">
        <v>54</v>
      </c>
      <c r="P2582" s="1">
        <v>0.36</v>
      </c>
      <c r="Q2582" s="1">
        <v>0.84099999999999997</v>
      </c>
      <c r="R2582">
        <v>479</v>
      </c>
      <c r="S2582">
        <v>29</v>
      </c>
      <c r="T2582">
        <v>129</v>
      </c>
      <c r="U2582">
        <v>131</v>
      </c>
      <c r="V2582">
        <v>42</v>
      </c>
      <c r="W2582">
        <v>28</v>
      </c>
      <c r="X2582">
        <v>57</v>
      </c>
      <c r="Y2582">
        <v>2.2999999999999998</v>
      </c>
    </row>
    <row r="2583" spans="1:25" x14ac:dyDescent="0.25">
      <c r="A2583">
        <v>2024</v>
      </c>
      <c r="B2583" t="s">
        <v>57</v>
      </c>
      <c r="C2583">
        <v>15</v>
      </c>
      <c r="D2583">
        <v>159</v>
      </c>
      <c r="E2583" t="s">
        <v>95</v>
      </c>
      <c r="F2583" t="s">
        <v>101</v>
      </c>
      <c r="G2583">
        <f t="shared" si="2128"/>
        <v>0</v>
      </c>
      <c r="H2583">
        <v>2</v>
      </c>
      <c r="I2583">
        <v>11</v>
      </c>
      <c r="J2583">
        <v>0</v>
      </c>
      <c r="K2583" s="6" t="str">
        <f t="shared" ref="K2583" si="2251">"vs "&amp;E2582</f>
        <v>vs Pachiana NinjaBees</v>
      </c>
      <c r="L2583" s="6" t="str">
        <f t="shared" ref="L2583" si="2252">"vs "&amp;F2582</f>
        <v>vs Spiridaus/Oladipas</v>
      </c>
      <c r="M2583">
        <v>114</v>
      </c>
      <c r="N2583" s="1">
        <v>0.46500000000000002</v>
      </c>
      <c r="O2583">
        <v>31</v>
      </c>
      <c r="P2583" s="1">
        <v>0.32300000000000001</v>
      </c>
      <c r="Q2583" s="1">
        <v>0.73199999999999998</v>
      </c>
      <c r="R2583">
        <v>311</v>
      </c>
      <c r="S2583">
        <v>23</v>
      </c>
      <c r="T2583">
        <v>106</v>
      </c>
      <c r="U2583">
        <v>54</v>
      </c>
      <c r="V2583">
        <v>29</v>
      </c>
      <c r="W2583">
        <v>15</v>
      </c>
      <c r="X2583">
        <v>26</v>
      </c>
      <c r="Y2583">
        <v>2.08</v>
      </c>
    </row>
    <row r="2584" spans="1:25" x14ac:dyDescent="0.25">
      <c r="A2584">
        <v>2024</v>
      </c>
      <c r="B2584" t="s">
        <v>57</v>
      </c>
      <c r="C2584">
        <v>15</v>
      </c>
      <c r="D2584">
        <v>160</v>
      </c>
      <c r="E2584" t="s">
        <v>181</v>
      </c>
      <c r="F2584" t="s">
        <v>49</v>
      </c>
      <c r="G2584">
        <f t="shared" si="2128"/>
        <v>1</v>
      </c>
      <c r="H2584">
        <v>9</v>
      </c>
      <c r="I2584">
        <v>4</v>
      </c>
      <c r="J2584">
        <v>0</v>
      </c>
      <c r="K2584" s="6" t="str">
        <f t="shared" ref="K2584" si="2253">"vs "&amp;E2585</f>
        <v>vs st.Helens Eruptions</v>
      </c>
      <c r="L2584" s="6" t="str">
        <f t="shared" ref="L2584" si="2254">"vs "&amp;F2585</f>
        <v>vs Aris</v>
      </c>
      <c r="M2584">
        <v>216</v>
      </c>
      <c r="N2584" s="1">
        <v>0.47199999999999998</v>
      </c>
      <c r="O2584">
        <v>53</v>
      </c>
      <c r="P2584" s="1">
        <v>0.315</v>
      </c>
      <c r="Q2584" s="1">
        <v>0.76</v>
      </c>
      <c r="R2584">
        <v>596</v>
      </c>
      <c r="S2584">
        <v>49</v>
      </c>
      <c r="T2584">
        <v>179</v>
      </c>
      <c r="U2584">
        <v>149</v>
      </c>
      <c r="V2584">
        <v>39</v>
      </c>
      <c r="W2584">
        <v>43</v>
      </c>
      <c r="X2584">
        <v>71</v>
      </c>
      <c r="Y2584">
        <v>2.1</v>
      </c>
    </row>
    <row r="2585" spans="1:25" x14ac:dyDescent="0.25">
      <c r="A2585">
        <v>2024</v>
      </c>
      <c r="B2585" t="s">
        <v>57</v>
      </c>
      <c r="C2585">
        <v>15</v>
      </c>
      <c r="D2585">
        <v>160</v>
      </c>
      <c r="E2585" t="s">
        <v>21</v>
      </c>
      <c r="F2585" t="s">
        <v>50</v>
      </c>
      <c r="G2585">
        <f t="shared" si="2128"/>
        <v>0</v>
      </c>
      <c r="H2585">
        <v>4</v>
      </c>
      <c r="I2585">
        <v>9</v>
      </c>
      <c r="J2585">
        <v>0</v>
      </c>
      <c r="K2585" s="6" t="str">
        <f t="shared" ref="K2585" si="2255">"vs "&amp;E2584</f>
        <v>vs Samarina Dudenbros</v>
      </c>
      <c r="L2585" s="6" t="str">
        <f t="shared" ref="L2585" si="2256">"vs "&amp;F2584</f>
        <v>vs Sakellariou</v>
      </c>
      <c r="M2585">
        <v>182</v>
      </c>
      <c r="N2585" s="1">
        <v>0.48699999999999999</v>
      </c>
      <c r="O2585">
        <v>28</v>
      </c>
      <c r="P2585" s="1">
        <v>0.32200000000000001</v>
      </c>
      <c r="Q2585" s="1">
        <v>0.81699999999999995</v>
      </c>
      <c r="R2585">
        <v>490</v>
      </c>
      <c r="S2585">
        <v>48</v>
      </c>
      <c r="T2585">
        <v>106</v>
      </c>
      <c r="U2585">
        <v>108</v>
      </c>
      <c r="V2585">
        <v>27</v>
      </c>
      <c r="W2585">
        <v>12</v>
      </c>
      <c r="X2585">
        <v>60</v>
      </c>
      <c r="Y2585">
        <v>1.8</v>
      </c>
    </row>
    <row r="2586" spans="1:25" x14ac:dyDescent="0.25">
      <c r="A2586">
        <v>2024</v>
      </c>
      <c r="B2586" t="s">
        <v>57</v>
      </c>
      <c r="C2586">
        <v>16</v>
      </c>
      <c r="D2586">
        <v>161</v>
      </c>
      <c r="E2586" t="s">
        <v>99</v>
      </c>
      <c r="F2586" t="s">
        <v>45</v>
      </c>
      <c r="G2586">
        <f t="shared" ref="G2586:G2649" si="2257">IF(H2586+0.5*J2586&gt;6.5,1,0)</f>
        <v>0</v>
      </c>
      <c r="H2586">
        <v>3</v>
      </c>
      <c r="I2586">
        <v>10</v>
      </c>
      <c r="J2586">
        <v>0</v>
      </c>
      <c r="K2586" s="6" t="str">
        <f t="shared" ref="K2586" si="2258">"vs "&amp;E2587</f>
        <v>vs The Guns</v>
      </c>
      <c r="L2586" s="6" t="str">
        <f t="shared" ref="L2586" si="2259">"vs "&amp;F2587</f>
        <v>vs Vasilis</v>
      </c>
      <c r="M2586">
        <v>129</v>
      </c>
      <c r="N2586" s="1">
        <v>0.54400000000000004</v>
      </c>
      <c r="O2586">
        <v>37</v>
      </c>
      <c r="P2586" s="1">
        <v>0.38100000000000001</v>
      </c>
      <c r="Q2586" s="1">
        <v>0.8</v>
      </c>
      <c r="R2586">
        <v>343</v>
      </c>
      <c r="S2586">
        <v>31</v>
      </c>
      <c r="T2586">
        <v>95</v>
      </c>
      <c r="U2586">
        <v>57</v>
      </c>
      <c r="V2586">
        <v>18</v>
      </c>
      <c r="W2586">
        <v>20</v>
      </c>
      <c r="X2586">
        <v>32</v>
      </c>
      <c r="Y2586">
        <v>1.78</v>
      </c>
    </row>
    <row r="2587" spans="1:25" x14ac:dyDescent="0.25">
      <c r="A2587">
        <v>2024</v>
      </c>
      <c r="B2587" t="s">
        <v>57</v>
      </c>
      <c r="C2587">
        <v>16</v>
      </c>
      <c r="D2587">
        <v>161</v>
      </c>
      <c r="E2587" t="s">
        <v>33</v>
      </c>
      <c r="F2587" t="s">
        <v>42</v>
      </c>
      <c r="G2587">
        <f t="shared" si="2257"/>
        <v>1</v>
      </c>
      <c r="H2587">
        <v>10</v>
      </c>
      <c r="I2587">
        <v>3</v>
      </c>
      <c r="J2587">
        <v>0</v>
      </c>
      <c r="K2587" s="6" t="str">
        <f t="shared" ref="K2587" si="2260">"vs "&amp;E2586</f>
        <v>vs Tsarlatans</v>
      </c>
      <c r="L2587" s="6" t="str">
        <f t="shared" ref="L2587" si="2261">"vs "&amp;F2586</f>
        <v>vs Tzokos</v>
      </c>
      <c r="M2587">
        <v>212</v>
      </c>
      <c r="N2587" s="1">
        <v>0.53900000000000003</v>
      </c>
      <c r="O2587">
        <v>47</v>
      </c>
      <c r="P2587" s="1">
        <v>0.40500000000000003</v>
      </c>
      <c r="Q2587" s="1">
        <v>0.67900000000000005</v>
      </c>
      <c r="R2587">
        <v>545</v>
      </c>
      <c r="S2587">
        <v>36</v>
      </c>
      <c r="T2587">
        <v>128</v>
      </c>
      <c r="U2587">
        <v>116</v>
      </c>
      <c r="V2587">
        <v>28</v>
      </c>
      <c r="W2587">
        <v>25</v>
      </c>
      <c r="X2587">
        <v>46</v>
      </c>
      <c r="Y2587">
        <v>2.52</v>
      </c>
    </row>
    <row r="2588" spans="1:25" x14ac:dyDescent="0.25">
      <c r="A2588">
        <v>2024</v>
      </c>
      <c r="B2588" t="s">
        <v>57</v>
      </c>
      <c r="C2588">
        <v>16</v>
      </c>
      <c r="D2588">
        <v>162</v>
      </c>
      <c r="E2588" t="s">
        <v>15</v>
      </c>
      <c r="F2588" t="s">
        <v>48</v>
      </c>
      <c r="G2588">
        <f t="shared" si="2257"/>
        <v>1</v>
      </c>
      <c r="H2588">
        <v>7</v>
      </c>
      <c r="I2588">
        <v>5</v>
      </c>
      <c r="J2588">
        <v>1</v>
      </c>
      <c r="K2588" s="6" t="str">
        <f t="shared" ref="K2588" si="2262">"vs "&amp;E2589</f>
        <v>vs Heraklion Snakes</v>
      </c>
      <c r="L2588" s="6" t="str">
        <f t="shared" ref="L2588" si="2263">"vs "&amp;F2589</f>
        <v>vs Dimitris</v>
      </c>
      <c r="M2588">
        <v>194</v>
      </c>
      <c r="N2588" s="1">
        <v>0.47399999999999998</v>
      </c>
      <c r="O2588">
        <v>73</v>
      </c>
      <c r="P2588" s="1">
        <v>0.40600000000000003</v>
      </c>
      <c r="Q2588" s="1">
        <v>0.76600000000000001</v>
      </c>
      <c r="R2588">
        <v>520</v>
      </c>
      <c r="S2588">
        <v>19</v>
      </c>
      <c r="T2588">
        <v>104</v>
      </c>
      <c r="U2588">
        <v>143</v>
      </c>
      <c r="V2588">
        <v>33</v>
      </c>
      <c r="W2588">
        <v>14</v>
      </c>
      <c r="X2588">
        <v>55</v>
      </c>
      <c r="Y2588">
        <v>2.6</v>
      </c>
    </row>
    <row r="2589" spans="1:25" x14ac:dyDescent="0.25">
      <c r="A2589">
        <v>2024</v>
      </c>
      <c r="B2589" t="s">
        <v>57</v>
      </c>
      <c r="C2589">
        <v>16</v>
      </c>
      <c r="D2589">
        <v>162</v>
      </c>
      <c r="E2589" t="s">
        <v>184</v>
      </c>
      <c r="F2589" t="s">
        <v>188</v>
      </c>
      <c r="G2589">
        <f t="shared" si="2257"/>
        <v>0</v>
      </c>
      <c r="H2589">
        <v>5</v>
      </c>
      <c r="I2589">
        <v>7</v>
      </c>
      <c r="J2589">
        <v>1</v>
      </c>
      <c r="K2589" s="6" t="str">
        <f t="shared" ref="K2589" si="2264">"vs "&amp;E2588</f>
        <v>vs Salonika Devils</v>
      </c>
      <c r="L2589" s="6" t="str">
        <f t="shared" ref="L2589" si="2265">"vs "&amp;F2588</f>
        <v>vs Fountos</v>
      </c>
      <c r="M2589">
        <v>121</v>
      </c>
      <c r="N2589" s="1">
        <v>0.47499999999999998</v>
      </c>
      <c r="O2589">
        <v>33</v>
      </c>
      <c r="P2589" s="1">
        <v>0.35099999999999998</v>
      </c>
      <c r="Q2589" s="1">
        <v>0.78500000000000003</v>
      </c>
      <c r="R2589">
        <v>326</v>
      </c>
      <c r="S2589">
        <v>25</v>
      </c>
      <c r="T2589">
        <v>108</v>
      </c>
      <c r="U2589">
        <v>76</v>
      </c>
      <c r="V2589">
        <v>13</v>
      </c>
      <c r="W2589">
        <v>14</v>
      </c>
      <c r="X2589">
        <v>39</v>
      </c>
      <c r="Y2589">
        <v>1.95</v>
      </c>
    </row>
    <row r="2590" spans="1:25" x14ac:dyDescent="0.25">
      <c r="A2590">
        <v>2024</v>
      </c>
      <c r="B2590" t="s">
        <v>57</v>
      </c>
      <c r="C2590">
        <v>16</v>
      </c>
      <c r="D2590">
        <v>163</v>
      </c>
      <c r="E2590" t="s">
        <v>159</v>
      </c>
      <c r="F2590" t="s">
        <v>116</v>
      </c>
      <c r="G2590">
        <f t="shared" si="2257"/>
        <v>1</v>
      </c>
      <c r="H2590">
        <v>7</v>
      </c>
      <c r="I2590">
        <v>6</v>
      </c>
      <c r="J2590">
        <v>0</v>
      </c>
      <c r="K2590" s="6" t="str">
        <f t="shared" ref="K2590" si="2266">"vs "&amp;E2591</f>
        <v>vs The Bad Boys</v>
      </c>
      <c r="L2590" s="6" t="str">
        <f t="shared" ref="L2590" si="2267">"vs "&amp;F2591</f>
        <v>vs Arvanitis</v>
      </c>
      <c r="M2590">
        <v>178</v>
      </c>
      <c r="N2590" s="1">
        <v>0.46800000000000003</v>
      </c>
      <c r="O2590">
        <v>66</v>
      </c>
      <c r="P2590" s="1">
        <v>0.39800000000000002</v>
      </c>
      <c r="Q2590" s="1">
        <v>0.73199999999999998</v>
      </c>
      <c r="R2590">
        <v>482</v>
      </c>
      <c r="S2590">
        <v>27</v>
      </c>
      <c r="T2590">
        <v>107</v>
      </c>
      <c r="U2590">
        <v>114</v>
      </c>
      <c r="V2590">
        <v>20</v>
      </c>
      <c r="W2590">
        <v>14</v>
      </c>
      <c r="X2590">
        <v>45</v>
      </c>
      <c r="Y2590">
        <v>2.5299999999999998</v>
      </c>
    </row>
    <row r="2591" spans="1:25" x14ac:dyDescent="0.25">
      <c r="A2591">
        <v>2024</v>
      </c>
      <c r="B2591" t="s">
        <v>57</v>
      </c>
      <c r="C2591">
        <v>16</v>
      </c>
      <c r="D2591">
        <v>163</v>
      </c>
      <c r="E2591" t="s">
        <v>154</v>
      </c>
      <c r="F2591" t="s">
        <v>155</v>
      </c>
      <c r="G2591">
        <f t="shared" si="2257"/>
        <v>0</v>
      </c>
      <c r="H2591">
        <v>6</v>
      </c>
      <c r="I2591">
        <v>7</v>
      </c>
      <c r="J2591">
        <v>0</v>
      </c>
      <c r="K2591" s="6" t="str">
        <f t="shared" ref="K2591" si="2268">"vs "&amp;E2590</f>
        <v>vs purple fuzzy apache pirates</v>
      </c>
      <c r="L2591" s="6" t="str">
        <f t="shared" ref="L2591" si="2269">"vs "&amp;F2590</f>
        <v>vs pi/Sotiris</v>
      </c>
      <c r="M2591">
        <v>122</v>
      </c>
      <c r="N2591" s="1">
        <v>0.53700000000000003</v>
      </c>
      <c r="O2591">
        <v>29</v>
      </c>
      <c r="P2591" s="1">
        <v>0.42599999999999999</v>
      </c>
      <c r="Q2591" s="1">
        <v>0.81499999999999995</v>
      </c>
      <c r="R2591">
        <v>317</v>
      </c>
      <c r="S2591">
        <v>42</v>
      </c>
      <c r="T2591">
        <v>131</v>
      </c>
      <c r="U2591">
        <v>57</v>
      </c>
      <c r="V2591">
        <v>15</v>
      </c>
      <c r="W2591">
        <v>21</v>
      </c>
      <c r="X2591">
        <v>51</v>
      </c>
      <c r="Y2591">
        <v>1.1200000000000001</v>
      </c>
    </row>
    <row r="2592" spans="1:25" x14ac:dyDescent="0.25">
      <c r="A2592">
        <v>2024</v>
      </c>
      <c r="B2592" t="s">
        <v>57</v>
      </c>
      <c r="C2592">
        <v>16</v>
      </c>
      <c r="D2592">
        <v>164</v>
      </c>
      <c r="E2592" t="s">
        <v>185</v>
      </c>
      <c r="F2592" t="s">
        <v>100</v>
      </c>
      <c r="G2592">
        <f t="shared" si="2257"/>
        <v>0</v>
      </c>
      <c r="H2592">
        <v>5</v>
      </c>
      <c r="I2592">
        <v>8</v>
      </c>
      <c r="J2592">
        <v>0</v>
      </c>
      <c r="K2592" s="6" t="str">
        <f t="shared" ref="K2592" si="2270">"vs "&amp;E2593</f>
        <v>vs Fighting Thaddeus</v>
      </c>
      <c r="L2592" s="6" t="str">
        <f t="shared" ref="L2592" si="2271">"vs "&amp;F2593</f>
        <v>vs Stavros</v>
      </c>
      <c r="M2592">
        <v>154</v>
      </c>
      <c r="N2592" s="1">
        <v>0.46100000000000002</v>
      </c>
      <c r="O2592">
        <v>39</v>
      </c>
      <c r="P2592" s="1">
        <v>0.29799999999999999</v>
      </c>
      <c r="Q2592" s="1">
        <v>0.79600000000000004</v>
      </c>
      <c r="R2592">
        <v>390</v>
      </c>
      <c r="S2592">
        <v>27</v>
      </c>
      <c r="T2592">
        <v>99</v>
      </c>
      <c r="U2592">
        <v>92</v>
      </c>
      <c r="V2592">
        <v>17</v>
      </c>
      <c r="W2592">
        <v>8</v>
      </c>
      <c r="X2592">
        <v>36</v>
      </c>
      <c r="Y2592">
        <v>2.56</v>
      </c>
    </row>
    <row r="2593" spans="1:25" x14ac:dyDescent="0.25">
      <c r="A2593">
        <v>2024</v>
      </c>
      <c r="B2593" t="s">
        <v>57</v>
      </c>
      <c r="C2593">
        <v>16</v>
      </c>
      <c r="D2593">
        <v>164</v>
      </c>
      <c r="E2593" t="s">
        <v>94</v>
      </c>
      <c r="F2593" t="s">
        <v>40</v>
      </c>
      <c r="G2593">
        <f t="shared" si="2257"/>
        <v>1</v>
      </c>
      <c r="H2593">
        <v>8</v>
      </c>
      <c r="I2593">
        <v>5</v>
      </c>
      <c r="J2593">
        <v>0</v>
      </c>
      <c r="K2593" s="6" t="str">
        <f t="shared" ref="K2593" si="2272">"vs "&amp;E2592</f>
        <v>vs Paralouistas</v>
      </c>
      <c r="L2593" s="6" t="str">
        <f t="shared" ref="L2593" si="2273">"vs "&amp;F2592</f>
        <v>vs Panos</v>
      </c>
      <c r="M2593">
        <v>135</v>
      </c>
      <c r="N2593" s="1">
        <v>0.52700000000000002</v>
      </c>
      <c r="O2593">
        <v>37</v>
      </c>
      <c r="P2593" s="1">
        <v>0.374</v>
      </c>
      <c r="Q2593" s="1">
        <v>0.75900000000000001</v>
      </c>
      <c r="R2593">
        <v>351</v>
      </c>
      <c r="S2593">
        <v>36</v>
      </c>
      <c r="T2593">
        <v>115</v>
      </c>
      <c r="U2593">
        <v>79</v>
      </c>
      <c r="V2593">
        <v>25</v>
      </c>
      <c r="W2593">
        <v>12</v>
      </c>
      <c r="X2593">
        <v>20</v>
      </c>
      <c r="Y2593">
        <v>3.95</v>
      </c>
    </row>
    <row r="2594" spans="1:25" x14ac:dyDescent="0.25">
      <c r="A2594">
        <v>2024</v>
      </c>
      <c r="B2594" t="s">
        <v>57</v>
      </c>
      <c r="C2594">
        <v>16</v>
      </c>
      <c r="D2594">
        <v>165</v>
      </c>
      <c r="E2594" t="s">
        <v>186</v>
      </c>
      <c r="F2594" t="s">
        <v>103</v>
      </c>
      <c r="G2594">
        <f t="shared" si="2257"/>
        <v>1</v>
      </c>
      <c r="H2594">
        <v>8</v>
      </c>
      <c r="I2594">
        <v>5</v>
      </c>
      <c r="J2594">
        <v>0</v>
      </c>
      <c r="K2594" s="6" t="str">
        <f t="shared" ref="K2594" si="2274">"vs "&amp;E2595</f>
        <v>vs Guruuu 🐐🐐🐐</v>
      </c>
      <c r="L2594" s="6" t="str">
        <f t="shared" ref="L2594" si="2275">"vs "&amp;F2595</f>
        <v>vs Guru</v>
      </c>
      <c r="M2594">
        <v>207</v>
      </c>
      <c r="N2594" s="1">
        <v>0.502</v>
      </c>
      <c r="O2594">
        <v>61</v>
      </c>
      <c r="P2594" s="1">
        <v>0.41199999999999998</v>
      </c>
      <c r="Q2594" s="1">
        <v>0.73599999999999999</v>
      </c>
      <c r="R2594">
        <v>514</v>
      </c>
      <c r="S2594">
        <v>35</v>
      </c>
      <c r="T2594">
        <v>116</v>
      </c>
      <c r="U2594">
        <v>152</v>
      </c>
      <c r="V2594">
        <v>25</v>
      </c>
      <c r="W2594">
        <v>15</v>
      </c>
      <c r="X2594">
        <v>70</v>
      </c>
      <c r="Y2594">
        <v>2.17</v>
      </c>
    </row>
    <row r="2595" spans="1:25" x14ac:dyDescent="0.25">
      <c r="A2595">
        <v>2024</v>
      </c>
      <c r="B2595" t="s">
        <v>57</v>
      </c>
      <c r="C2595">
        <v>16</v>
      </c>
      <c r="D2595">
        <v>165</v>
      </c>
      <c r="E2595" t="s">
        <v>93</v>
      </c>
      <c r="F2595" t="s">
        <v>189</v>
      </c>
      <c r="G2595">
        <f t="shared" si="2257"/>
        <v>0</v>
      </c>
      <c r="H2595">
        <v>5</v>
      </c>
      <c r="I2595">
        <v>8</v>
      </c>
      <c r="J2595">
        <v>0</v>
      </c>
      <c r="K2595" s="6" t="str">
        <f t="shared" ref="K2595" si="2276">"vs "&amp;E2594</f>
        <v>vs Karafli Saita</v>
      </c>
      <c r="L2595" s="6" t="str">
        <f t="shared" ref="L2595" si="2277">"vs "&amp;F2594</f>
        <v>vs Tassos</v>
      </c>
      <c r="M2595">
        <v>152</v>
      </c>
      <c r="N2595" s="1">
        <v>0.45100000000000001</v>
      </c>
      <c r="O2595">
        <v>63</v>
      </c>
      <c r="P2595" s="1">
        <v>0.38</v>
      </c>
      <c r="Q2595" s="1">
        <v>0.83699999999999997</v>
      </c>
      <c r="R2595">
        <v>408</v>
      </c>
      <c r="S2595">
        <v>28</v>
      </c>
      <c r="T2595">
        <v>110</v>
      </c>
      <c r="U2595">
        <v>80</v>
      </c>
      <c r="V2595">
        <v>23</v>
      </c>
      <c r="W2595">
        <v>24</v>
      </c>
      <c r="X2595">
        <v>32</v>
      </c>
      <c r="Y2595">
        <v>2.5</v>
      </c>
    </row>
    <row r="2596" spans="1:25" x14ac:dyDescent="0.25">
      <c r="A2596">
        <v>2024</v>
      </c>
      <c r="B2596" t="s">
        <v>57</v>
      </c>
      <c r="C2596">
        <v>16</v>
      </c>
      <c r="D2596">
        <v>166</v>
      </c>
      <c r="E2596" t="s">
        <v>26</v>
      </c>
      <c r="F2596" t="s">
        <v>118</v>
      </c>
      <c r="G2596">
        <f t="shared" si="2257"/>
        <v>0</v>
      </c>
      <c r="H2596">
        <v>4</v>
      </c>
      <c r="I2596">
        <v>8</v>
      </c>
      <c r="J2596">
        <v>1</v>
      </c>
      <c r="K2596" s="6" t="str">
        <f t="shared" ref="K2596" si="2278">"vs "&amp;E2597</f>
        <v>vs LRBP PR3DATORS</v>
      </c>
      <c r="L2596" s="6" t="str">
        <f t="shared" ref="L2596" si="2279">"vs "&amp;F2597</f>
        <v>vs Lafa</v>
      </c>
      <c r="M2596">
        <v>150</v>
      </c>
      <c r="N2596" s="1">
        <v>0.51200000000000001</v>
      </c>
      <c r="O2596">
        <v>47</v>
      </c>
      <c r="P2596" s="1">
        <v>0.45600000000000002</v>
      </c>
      <c r="Q2596" s="1">
        <v>0.76500000000000001</v>
      </c>
      <c r="R2596">
        <v>399</v>
      </c>
      <c r="S2596">
        <v>35</v>
      </c>
      <c r="T2596">
        <v>98</v>
      </c>
      <c r="U2596">
        <v>86</v>
      </c>
      <c r="V2596">
        <v>27</v>
      </c>
      <c r="W2596">
        <v>8</v>
      </c>
      <c r="X2596">
        <v>40</v>
      </c>
      <c r="Y2596">
        <v>2.15</v>
      </c>
    </row>
    <row r="2597" spans="1:25" x14ac:dyDescent="0.25">
      <c r="A2597">
        <v>2024</v>
      </c>
      <c r="B2597" t="s">
        <v>57</v>
      </c>
      <c r="C2597">
        <v>16</v>
      </c>
      <c r="D2597">
        <v>166</v>
      </c>
      <c r="E2597" t="s">
        <v>158</v>
      </c>
      <c r="F2597" t="s">
        <v>177</v>
      </c>
      <c r="G2597">
        <f t="shared" si="2257"/>
        <v>1</v>
      </c>
      <c r="H2597">
        <v>8</v>
      </c>
      <c r="I2597">
        <v>4</v>
      </c>
      <c r="J2597">
        <v>1</v>
      </c>
      <c r="K2597" s="6" t="str">
        <f t="shared" ref="K2597" si="2280">"vs "&amp;E2596</f>
        <v>vs Kourayo Vallecano</v>
      </c>
      <c r="L2597" s="6" t="str">
        <f t="shared" ref="L2597" si="2281">"vs "&amp;F2596</f>
        <v>vs Ziogas/Christof</v>
      </c>
      <c r="M2597">
        <v>155</v>
      </c>
      <c r="N2597" s="1">
        <v>0.46800000000000003</v>
      </c>
      <c r="O2597">
        <v>56</v>
      </c>
      <c r="P2597" s="1">
        <v>0.40300000000000002</v>
      </c>
      <c r="Q2597" s="1">
        <v>0.76</v>
      </c>
      <c r="R2597">
        <v>458</v>
      </c>
      <c r="S2597">
        <v>34</v>
      </c>
      <c r="T2597">
        <v>134</v>
      </c>
      <c r="U2597">
        <v>100</v>
      </c>
      <c r="V2597">
        <v>27</v>
      </c>
      <c r="W2597">
        <v>19</v>
      </c>
      <c r="X2597">
        <v>38</v>
      </c>
      <c r="Y2597">
        <v>2.63</v>
      </c>
    </row>
    <row r="2598" spans="1:25" x14ac:dyDescent="0.25">
      <c r="A2598">
        <v>2024</v>
      </c>
      <c r="B2598" t="s">
        <v>57</v>
      </c>
      <c r="C2598">
        <v>16</v>
      </c>
      <c r="D2598">
        <v>167</v>
      </c>
      <c r="E2598" t="s">
        <v>28</v>
      </c>
      <c r="F2598" t="s">
        <v>46</v>
      </c>
      <c r="G2598">
        <f t="shared" si="2257"/>
        <v>1</v>
      </c>
      <c r="H2598">
        <v>7</v>
      </c>
      <c r="I2598">
        <v>6</v>
      </c>
      <c r="J2598">
        <v>0</v>
      </c>
      <c r="K2598" s="6" t="str">
        <f t="shared" ref="K2598" si="2282">"vs "&amp;E2599</f>
        <v>vs Knights of Ni</v>
      </c>
      <c r="L2598" s="6" t="str">
        <f t="shared" ref="L2598" si="2283">"vs "&amp;F2599</f>
        <v>vs Tolios</v>
      </c>
      <c r="M2598">
        <v>153</v>
      </c>
      <c r="N2598" s="1">
        <v>0.45700000000000002</v>
      </c>
      <c r="O2598">
        <v>45</v>
      </c>
      <c r="P2598" s="1">
        <v>0.375</v>
      </c>
      <c r="Q2598" s="1">
        <v>0.81</v>
      </c>
      <c r="R2598">
        <v>419</v>
      </c>
      <c r="S2598">
        <v>37</v>
      </c>
      <c r="T2598">
        <v>124</v>
      </c>
      <c r="U2598">
        <v>90</v>
      </c>
      <c r="V2598">
        <v>21</v>
      </c>
      <c r="W2598">
        <v>24</v>
      </c>
      <c r="X2598">
        <v>46</v>
      </c>
      <c r="Y2598">
        <v>1.96</v>
      </c>
    </row>
    <row r="2599" spans="1:25" x14ac:dyDescent="0.25">
      <c r="A2599">
        <v>2024</v>
      </c>
      <c r="B2599" t="s">
        <v>57</v>
      </c>
      <c r="C2599">
        <v>16</v>
      </c>
      <c r="D2599">
        <v>167</v>
      </c>
      <c r="E2599" t="s">
        <v>96</v>
      </c>
      <c r="F2599" t="s">
        <v>102</v>
      </c>
      <c r="G2599">
        <f t="shared" si="2257"/>
        <v>0</v>
      </c>
      <c r="H2599">
        <v>6</v>
      </c>
      <c r="I2599">
        <v>7</v>
      </c>
      <c r="J2599">
        <v>0</v>
      </c>
      <c r="K2599" s="6" t="str">
        <f t="shared" ref="K2599" si="2284">"vs "&amp;E2598</f>
        <v>vs Steven Adams' Moustache</v>
      </c>
      <c r="L2599" s="6" t="str">
        <f t="shared" ref="L2599" si="2285">"vs "&amp;F2598</f>
        <v>vs Johnny</v>
      </c>
      <c r="M2599">
        <v>145</v>
      </c>
      <c r="N2599" s="1">
        <v>0.53500000000000003</v>
      </c>
      <c r="O2599">
        <v>35</v>
      </c>
      <c r="P2599" s="1">
        <v>0.42699999999999999</v>
      </c>
      <c r="Q2599" s="1">
        <v>0.75</v>
      </c>
      <c r="R2599">
        <v>370</v>
      </c>
      <c r="S2599">
        <v>41</v>
      </c>
      <c r="T2599">
        <v>96</v>
      </c>
      <c r="U2599">
        <v>81</v>
      </c>
      <c r="V2599">
        <v>22</v>
      </c>
      <c r="W2599">
        <v>13</v>
      </c>
      <c r="X2599">
        <v>40</v>
      </c>
      <c r="Y2599">
        <v>2.02</v>
      </c>
    </row>
    <row r="2600" spans="1:25" x14ac:dyDescent="0.25">
      <c r="A2600">
        <v>2024</v>
      </c>
      <c r="B2600" t="s">
        <v>57</v>
      </c>
      <c r="C2600">
        <v>16</v>
      </c>
      <c r="D2600">
        <v>168</v>
      </c>
      <c r="E2600" t="s">
        <v>16</v>
      </c>
      <c r="F2600" t="s">
        <v>51</v>
      </c>
      <c r="G2600">
        <f t="shared" si="2257"/>
        <v>0</v>
      </c>
      <c r="H2600">
        <v>4</v>
      </c>
      <c r="I2600">
        <v>8</v>
      </c>
      <c r="J2600">
        <v>1</v>
      </c>
      <c r="K2600" s="6" t="str">
        <f t="shared" ref="K2600" si="2286">"vs "&amp;E2601</f>
        <v>vs Pachiana NinjaBees</v>
      </c>
      <c r="L2600" s="6" t="str">
        <f t="shared" ref="L2600" si="2287">"vs "&amp;F2601</f>
        <v>vs Spiridaus/Oladipas</v>
      </c>
      <c r="M2600">
        <v>122</v>
      </c>
      <c r="N2600" s="1">
        <v>0.433</v>
      </c>
      <c r="O2600">
        <v>40</v>
      </c>
      <c r="P2600" s="1">
        <v>0.29599999999999999</v>
      </c>
      <c r="Q2600" s="1">
        <v>0.78300000000000003</v>
      </c>
      <c r="R2600">
        <v>338</v>
      </c>
      <c r="S2600">
        <v>21</v>
      </c>
      <c r="T2600">
        <v>111</v>
      </c>
      <c r="U2600">
        <v>126</v>
      </c>
      <c r="V2600">
        <v>26</v>
      </c>
      <c r="W2600">
        <v>19</v>
      </c>
      <c r="X2600">
        <v>59</v>
      </c>
      <c r="Y2600">
        <v>2.14</v>
      </c>
    </row>
    <row r="2601" spans="1:25" x14ac:dyDescent="0.25">
      <c r="A2601">
        <v>2024</v>
      </c>
      <c r="B2601" t="s">
        <v>57</v>
      </c>
      <c r="C2601">
        <v>16</v>
      </c>
      <c r="D2601">
        <v>168</v>
      </c>
      <c r="E2601" t="s">
        <v>23</v>
      </c>
      <c r="F2601" t="s">
        <v>120</v>
      </c>
      <c r="G2601">
        <f t="shared" si="2257"/>
        <v>1</v>
      </c>
      <c r="H2601">
        <v>8</v>
      </c>
      <c r="I2601">
        <v>4</v>
      </c>
      <c r="J2601">
        <v>1</v>
      </c>
      <c r="K2601" s="6" t="str">
        <f t="shared" ref="K2601" si="2288">"vs "&amp;E2600</f>
        <v>vs The Bridgeburners</v>
      </c>
      <c r="L2601" s="6" t="str">
        <f t="shared" ref="L2601" si="2289">"vs "&amp;F2600</f>
        <v>vs Fanis</v>
      </c>
      <c r="M2601">
        <v>183</v>
      </c>
      <c r="N2601" s="1">
        <v>0.52600000000000002</v>
      </c>
      <c r="O2601">
        <v>67</v>
      </c>
      <c r="P2601" s="1">
        <v>0.45</v>
      </c>
      <c r="Q2601" s="1">
        <v>0.76900000000000002</v>
      </c>
      <c r="R2601">
        <v>493</v>
      </c>
      <c r="S2601">
        <v>30</v>
      </c>
      <c r="T2601">
        <v>119</v>
      </c>
      <c r="U2601">
        <v>84</v>
      </c>
      <c r="V2601">
        <v>23</v>
      </c>
      <c r="W2601">
        <v>19</v>
      </c>
      <c r="X2601">
        <v>54</v>
      </c>
      <c r="Y2601">
        <v>1.56</v>
      </c>
    </row>
    <row r="2602" spans="1:25" x14ac:dyDescent="0.25">
      <c r="A2602">
        <v>2024</v>
      </c>
      <c r="B2602" t="s">
        <v>57</v>
      </c>
      <c r="C2602">
        <v>16</v>
      </c>
      <c r="D2602">
        <v>169</v>
      </c>
      <c r="E2602" t="s">
        <v>98</v>
      </c>
      <c r="F2602" t="s">
        <v>41</v>
      </c>
      <c r="G2602">
        <f t="shared" si="2257"/>
        <v>1</v>
      </c>
      <c r="H2602">
        <v>7</v>
      </c>
      <c r="I2602">
        <v>6</v>
      </c>
      <c r="J2602">
        <v>0</v>
      </c>
      <c r="K2602" s="6" t="str">
        <f t="shared" ref="K2602" si="2290">"vs "&amp;E2603</f>
        <v>vs Samarina Dudenbros</v>
      </c>
      <c r="L2602" s="6" t="str">
        <f t="shared" ref="L2602" si="2291">"vs "&amp;F2603</f>
        <v>vs Sakellariou</v>
      </c>
      <c r="M2602">
        <v>236</v>
      </c>
      <c r="N2602" s="1">
        <v>0.51300000000000001</v>
      </c>
      <c r="O2602">
        <v>54</v>
      </c>
      <c r="P2602" s="1">
        <v>0.375</v>
      </c>
      <c r="Q2602" s="1">
        <v>0.77500000000000002</v>
      </c>
      <c r="R2602">
        <v>588</v>
      </c>
      <c r="S2602">
        <v>53</v>
      </c>
      <c r="T2602">
        <v>189</v>
      </c>
      <c r="U2602">
        <v>174</v>
      </c>
      <c r="V2602">
        <v>37</v>
      </c>
      <c r="W2602">
        <v>29</v>
      </c>
      <c r="X2602">
        <v>72</v>
      </c>
      <c r="Y2602">
        <v>2.42</v>
      </c>
    </row>
    <row r="2603" spans="1:25" x14ac:dyDescent="0.25">
      <c r="A2603">
        <v>2024</v>
      </c>
      <c r="B2603" t="s">
        <v>57</v>
      </c>
      <c r="C2603">
        <v>16</v>
      </c>
      <c r="D2603">
        <v>169</v>
      </c>
      <c r="E2603" t="s">
        <v>181</v>
      </c>
      <c r="F2603" t="s">
        <v>49</v>
      </c>
      <c r="G2603">
        <f t="shared" si="2257"/>
        <v>0</v>
      </c>
      <c r="H2603">
        <v>6</v>
      </c>
      <c r="I2603">
        <v>7</v>
      </c>
      <c r="J2603">
        <v>0</v>
      </c>
      <c r="K2603" s="6" t="str">
        <f t="shared" ref="K2603" si="2292">"vs "&amp;E2602</f>
        <v>vs Xanthi Ducks 🦆</v>
      </c>
      <c r="L2603" s="6" t="str">
        <f t="shared" ref="L2603" si="2293">"vs "&amp;F2602</f>
        <v>vs Kotakis</v>
      </c>
      <c r="M2603">
        <v>224</v>
      </c>
      <c r="N2603" s="1">
        <v>0.53600000000000003</v>
      </c>
      <c r="O2603">
        <v>63</v>
      </c>
      <c r="P2603" s="1">
        <v>0.48799999999999999</v>
      </c>
      <c r="Q2603" s="1">
        <v>0.91600000000000004</v>
      </c>
      <c r="R2603">
        <v>620</v>
      </c>
      <c r="S2603">
        <v>32</v>
      </c>
      <c r="T2603">
        <v>145</v>
      </c>
      <c r="U2603">
        <v>127</v>
      </c>
      <c r="V2603">
        <v>32</v>
      </c>
      <c r="W2603">
        <v>26</v>
      </c>
      <c r="X2603">
        <v>61</v>
      </c>
      <c r="Y2603">
        <v>2.08</v>
      </c>
    </row>
    <row r="2604" spans="1:25" x14ac:dyDescent="0.25">
      <c r="A2604">
        <v>2024</v>
      </c>
      <c r="B2604" t="s">
        <v>57</v>
      </c>
      <c r="C2604">
        <v>16</v>
      </c>
      <c r="D2604">
        <v>170</v>
      </c>
      <c r="E2604" t="s">
        <v>95</v>
      </c>
      <c r="F2604" t="s">
        <v>101</v>
      </c>
      <c r="G2604">
        <f t="shared" si="2257"/>
        <v>0</v>
      </c>
      <c r="H2604">
        <v>4</v>
      </c>
      <c r="I2604">
        <v>8</v>
      </c>
      <c r="J2604">
        <v>1</v>
      </c>
      <c r="K2604" s="6" t="str">
        <f t="shared" ref="K2604" si="2294">"vs "&amp;E2605</f>
        <v>vs st.Helens Eruptions</v>
      </c>
      <c r="L2604" s="6" t="str">
        <f t="shared" ref="L2604" si="2295">"vs "&amp;F2605</f>
        <v>vs Aris</v>
      </c>
      <c r="M2604">
        <v>89</v>
      </c>
      <c r="N2604" s="1">
        <v>0.45200000000000001</v>
      </c>
      <c r="O2604">
        <v>22</v>
      </c>
      <c r="P2604" s="1">
        <v>0.35499999999999998</v>
      </c>
      <c r="Q2604" s="1">
        <v>0.58099999999999996</v>
      </c>
      <c r="R2604">
        <v>218</v>
      </c>
      <c r="S2604">
        <v>23</v>
      </c>
      <c r="T2604">
        <v>77</v>
      </c>
      <c r="U2604">
        <v>53</v>
      </c>
      <c r="V2604">
        <v>23</v>
      </c>
      <c r="W2604">
        <v>26</v>
      </c>
      <c r="X2604">
        <v>27</v>
      </c>
      <c r="Y2604">
        <v>1.96</v>
      </c>
    </row>
    <row r="2605" spans="1:25" x14ac:dyDescent="0.25">
      <c r="A2605">
        <v>2024</v>
      </c>
      <c r="B2605" t="s">
        <v>57</v>
      </c>
      <c r="C2605">
        <v>16</v>
      </c>
      <c r="D2605">
        <v>170</v>
      </c>
      <c r="E2605" t="s">
        <v>21</v>
      </c>
      <c r="F2605" t="s">
        <v>50</v>
      </c>
      <c r="G2605">
        <f t="shared" si="2257"/>
        <v>1</v>
      </c>
      <c r="H2605">
        <v>8</v>
      </c>
      <c r="I2605">
        <v>4</v>
      </c>
      <c r="J2605">
        <v>1</v>
      </c>
      <c r="K2605" s="6" t="str">
        <f t="shared" ref="K2605" si="2296">"vs "&amp;E2604</f>
        <v>vs Baltimore Hercules</v>
      </c>
      <c r="L2605" s="6" t="str">
        <f t="shared" ref="L2605" si="2297">"vs "&amp;F2604</f>
        <v>vs Sarantos</v>
      </c>
      <c r="M2605">
        <v>152</v>
      </c>
      <c r="N2605" s="1">
        <v>0.51500000000000001</v>
      </c>
      <c r="O2605">
        <v>19</v>
      </c>
      <c r="P2605" s="1">
        <v>0.32800000000000001</v>
      </c>
      <c r="Q2605" s="1">
        <v>0.71299999999999997</v>
      </c>
      <c r="R2605">
        <v>395</v>
      </c>
      <c r="S2605">
        <v>42</v>
      </c>
      <c r="T2605">
        <v>99</v>
      </c>
      <c r="U2605">
        <v>96</v>
      </c>
      <c r="V2605">
        <v>23</v>
      </c>
      <c r="W2605">
        <v>24</v>
      </c>
      <c r="X2605">
        <v>43</v>
      </c>
      <c r="Y2605">
        <v>2.23</v>
      </c>
    </row>
    <row r="2606" spans="1:25" x14ac:dyDescent="0.25">
      <c r="A2606">
        <v>2024</v>
      </c>
      <c r="B2606" t="s">
        <v>57</v>
      </c>
      <c r="C2606">
        <v>17</v>
      </c>
      <c r="D2606">
        <v>171</v>
      </c>
      <c r="E2606" t="s">
        <v>184</v>
      </c>
      <c r="F2606" t="s">
        <v>188</v>
      </c>
      <c r="G2606">
        <f t="shared" si="2257"/>
        <v>1</v>
      </c>
      <c r="H2606">
        <v>8</v>
      </c>
      <c r="I2606">
        <v>5</v>
      </c>
      <c r="J2606">
        <v>0</v>
      </c>
      <c r="K2606" s="6" t="str">
        <f t="shared" ref="K2606" si="2298">"vs "&amp;E2607</f>
        <v>vs Tsarlatans</v>
      </c>
      <c r="L2606" s="6" t="str">
        <f t="shared" ref="L2606" si="2299">"vs "&amp;F2607</f>
        <v>vs Tzokos</v>
      </c>
      <c r="M2606">
        <v>194</v>
      </c>
      <c r="N2606" s="1">
        <v>0.47</v>
      </c>
      <c r="O2606">
        <v>57</v>
      </c>
      <c r="P2606" s="1">
        <v>0.36099999999999999</v>
      </c>
      <c r="Q2606" s="1">
        <v>0.77600000000000002</v>
      </c>
      <c r="R2606">
        <v>521</v>
      </c>
      <c r="S2606">
        <v>54</v>
      </c>
      <c r="T2606">
        <v>144</v>
      </c>
      <c r="U2606">
        <v>100</v>
      </c>
      <c r="V2606">
        <v>33</v>
      </c>
      <c r="W2606">
        <v>23</v>
      </c>
      <c r="X2606">
        <v>52</v>
      </c>
      <c r="Y2606">
        <v>1.92</v>
      </c>
    </row>
    <row r="2607" spans="1:25" x14ac:dyDescent="0.25">
      <c r="A2607">
        <v>2024</v>
      </c>
      <c r="B2607" t="s">
        <v>57</v>
      </c>
      <c r="C2607">
        <v>17</v>
      </c>
      <c r="D2607">
        <v>171</v>
      </c>
      <c r="E2607" t="s">
        <v>99</v>
      </c>
      <c r="F2607" t="s">
        <v>45</v>
      </c>
      <c r="G2607">
        <f t="shared" si="2257"/>
        <v>0</v>
      </c>
      <c r="H2607">
        <v>5</v>
      </c>
      <c r="I2607">
        <v>8</v>
      </c>
      <c r="J2607">
        <v>0</v>
      </c>
      <c r="K2607" s="6" t="str">
        <f t="shared" ref="K2607" si="2300">"vs "&amp;E2606</f>
        <v>vs Heraklion Snakes</v>
      </c>
      <c r="L2607" s="6" t="str">
        <f t="shared" ref="L2607" si="2301">"vs "&amp;F2606</f>
        <v>vs Dimitris</v>
      </c>
      <c r="M2607">
        <v>145</v>
      </c>
      <c r="N2607" s="1">
        <v>0.498</v>
      </c>
      <c r="O2607">
        <v>41</v>
      </c>
      <c r="P2607" s="1">
        <v>0.38700000000000001</v>
      </c>
      <c r="Q2607" s="1">
        <v>0.83099999999999996</v>
      </c>
      <c r="R2607">
        <v>395</v>
      </c>
      <c r="S2607">
        <v>50</v>
      </c>
      <c r="T2607">
        <v>110</v>
      </c>
      <c r="U2607">
        <v>59</v>
      </c>
      <c r="V2607">
        <v>26</v>
      </c>
      <c r="W2607">
        <v>31</v>
      </c>
      <c r="X2607">
        <v>38</v>
      </c>
      <c r="Y2607">
        <v>1.55</v>
      </c>
    </row>
    <row r="2608" spans="1:25" x14ac:dyDescent="0.25">
      <c r="A2608">
        <v>2024</v>
      </c>
      <c r="B2608" t="s">
        <v>57</v>
      </c>
      <c r="C2608">
        <v>17</v>
      </c>
      <c r="D2608">
        <v>172</v>
      </c>
      <c r="E2608" t="s">
        <v>154</v>
      </c>
      <c r="F2608" t="s">
        <v>155</v>
      </c>
      <c r="G2608">
        <f t="shared" si="2257"/>
        <v>0</v>
      </c>
      <c r="H2608">
        <v>3</v>
      </c>
      <c r="I2608">
        <v>10</v>
      </c>
      <c r="J2608">
        <v>0</v>
      </c>
      <c r="K2608" s="6" t="str">
        <f t="shared" ref="K2608" si="2302">"vs "&amp;E2609</f>
        <v>vs The Guns</v>
      </c>
      <c r="L2608" s="6" t="str">
        <f t="shared" ref="L2608" si="2303">"vs "&amp;F2609</f>
        <v>vs Vasilis</v>
      </c>
      <c r="M2608">
        <v>164</v>
      </c>
      <c r="N2608" s="1">
        <v>0.47799999999999998</v>
      </c>
      <c r="O2608">
        <v>37</v>
      </c>
      <c r="P2608" s="1">
        <v>0.33</v>
      </c>
      <c r="Q2608" s="1">
        <v>0.63700000000000001</v>
      </c>
      <c r="R2608">
        <v>423</v>
      </c>
      <c r="S2608">
        <v>72</v>
      </c>
      <c r="T2608">
        <v>144</v>
      </c>
      <c r="U2608">
        <v>65</v>
      </c>
      <c r="V2608">
        <v>34</v>
      </c>
      <c r="W2608">
        <v>40</v>
      </c>
      <c r="X2608">
        <v>63</v>
      </c>
      <c r="Y2608">
        <v>1.03</v>
      </c>
    </row>
    <row r="2609" spans="1:25" x14ac:dyDescent="0.25">
      <c r="A2609">
        <v>2024</v>
      </c>
      <c r="B2609" t="s">
        <v>57</v>
      </c>
      <c r="C2609">
        <v>17</v>
      </c>
      <c r="D2609">
        <v>172</v>
      </c>
      <c r="E2609" t="s">
        <v>33</v>
      </c>
      <c r="F2609" t="s">
        <v>42</v>
      </c>
      <c r="G2609">
        <f t="shared" si="2257"/>
        <v>1</v>
      </c>
      <c r="H2609">
        <v>10</v>
      </c>
      <c r="I2609">
        <v>3</v>
      </c>
      <c r="J2609">
        <v>0</v>
      </c>
      <c r="K2609" s="6" t="str">
        <f t="shared" ref="K2609" si="2304">"vs "&amp;E2608</f>
        <v>vs The Bad Boys</v>
      </c>
      <c r="L2609" s="6" t="str">
        <f t="shared" ref="L2609" si="2305">"vs "&amp;F2608</f>
        <v>vs Arvanitis</v>
      </c>
      <c r="M2609">
        <v>278</v>
      </c>
      <c r="N2609" s="1">
        <v>0.504</v>
      </c>
      <c r="O2609">
        <v>79</v>
      </c>
      <c r="P2609" s="1">
        <v>0.42499999999999999</v>
      </c>
      <c r="Q2609" s="1">
        <v>0.81399999999999995</v>
      </c>
      <c r="R2609">
        <v>766</v>
      </c>
      <c r="S2609">
        <v>46</v>
      </c>
      <c r="T2609">
        <v>190</v>
      </c>
      <c r="U2609">
        <v>177</v>
      </c>
      <c r="V2609">
        <v>52</v>
      </c>
      <c r="W2609">
        <v>36</v>
      </c>
      <c r="X2609">
        <v>91</v>
      </c>
      <c r="Y2609">
        <v>1.95</v>
      </c>
    </row>
    <row r="2610" spans="1:25" x14ac:dyDescent="0.25">
      <c r="A2610">
        <v>2024</v>
      </c>
      <c r="B2610" t="s">
        <v>57</v>
      </c>
      <c r="C2610">
        <v>17</v>
      </c>
      <c r="D2610">
        <v>173</v>
      </c>
      <c r="E2610" t="s">
        <v>94</v>
      </c>
      <c r="F2610" t="s">
        <v>40</v>
      </c>
      <c r="G2610">
        <f t="shared" si="2257"/>
        <v>0</v>
      </c>
      <c r="H2610">
        <v>5</v>
      </c>
      <c r="I2610">
        <v>8</v>
      </c>
      <c r="J2610">
        <v>0</v>
      </c>
      <c r="K2610" s="6" t="str">
        <f t="shared" ref="K2610" si="2306">"vs "&amp;E2611</f>
        <v>vs Salonika Devils</v>
      </c>
      <c r="L2610" s="6" t="str">
        <f t="shared" ref="L2610" si="2307">"vs "&amp;F2611</f>
        <v>vs Fountos</v>
      </c>
      <c r="M2610">
        <v>208</v>
      </c>
      <c r="N2610" s="1">
        <v>0.5</v>
      </c>
      <c r="O2610">
        <v>72</v>
      </c>
      <c r="P2610" s="1">
        <v>0.39100000000000001</v>
      </c>
      <c r="Q2610" s="1">
        <v>0.74099999999999999</v>
      </c>
      <c r="R2610">
        <v>551</v>
      </c>
      <c r="S2610">
        <v>52</v>
      </c>
      <c r="T2610">
        <v>146</v>
      </c>
      <c r="U2610">
        <v>105</v>
      </c>
      <c r="V2610">
        <v>37</v>
      </c>
      <c r="W2610">
        <v>28</v>
      </c>
      <c r="X2610">
        <v>52</v>
      </c>
      <c r="Y2610">
        <v>2.02</v>
      </c>
    </row>
    <row r="2611" spans="1:25" x14ac:dyDescent="0.25">
      <c r="A2611">
        <v>2024</v>
      </c>
      <c r="B2611" t="s">
        <v>57</v>
      </c>
      <c r="C2611">
        <v>17</v>
      </c>
      <c r="D2611">
        <v>173</v>
      </c>
      <c r="E2611" t="s">
        <v>15</v>
      </c>
      <c r="F2611" t="s">
        <v>48</v>
      </c>
      <c r="G2611">
        <f t="shared" si="2257"/>
        <v>1</v>
      </c>
      <c r="H2611">
        <v>8</v>
      </c>
      <c r="I2611">
        <v>5</v>
      </c>
      <c r="J2611">
        <v>0</v>
      </c>
      <c r="K2611" s="6" t="str">
        <f t="shared" ref="K2611" si="2308">"vs "&amp;E2610</f>
        <v>vs Fighting Thaddeus</v>
      </c>
      <c r="L2611" s="6" t="str">
        <f t="shared" ref="L2611" si="2309">"vs "&amp;F2610</f>
        <v>vs Stavros</v>
      </c>
      <c r="M2611">
        <v>234</v>
      </c>
      <c r="N2611" s="1">
        <v>0.45400000000000001</v>
      </c>
      <c r="O2611">
        <v>87</v>
      </c>
      <c r="P2611" s="1">
        <v>0.39900000000000002</v>
      </c>
      <c r="Q2611" s="1">
        <v>0.66700000000000004</v>
      </c>
      <c r="R2611">
        <v>601</v>
      </c>
      <c r="S2611">
        <v>27</v>
      </c>
      <c r="T2611">
        <v>180</v>
      </c>
      <c r="U2611">
        <v>194</v>
      </c>
      <c r="V2611">
        <v>42</v>
      </c>
      <c r="W2611">
        <v>12</v>
      </c>
      <c r="X2611">
        <v>84</v>
      </c>
      <c r="Y2611">
        <v>2.31</v>
      </c>
    </row>
    <row r="2612" spans="1:25" x14ac:dyDescent="0.25">
      <c r="A2612">
        <v>2024</v>
      </c>
      <c r="B2612" t="s">
        <v>57</v>
      </c>
      <c r="C2612">
        <v>17</v>
      </c>
      <c r="D2612">
        <v>174</v>
      </c>
      <c r="E2612" t="s">
        <v>93</v>
      </c>
      <c r="F2612" t="s">
        <v>189</v>
      </c>
      <c r="G2612">
        <f t="shared" si="2257"/>
        <v>0</v>
      </c>
      <c r="H2612">
        <v>3</v>
      </c>
      <c r="I2612">
        <v>10</v>
      </c>
      <c r="J2612">
        <v>0</v>
      </c>
      <c r="K2612" s="6" t="str">
        <f t="shared" ref="K2612" si="2310">"vs "&amp;E2613</f>
        <v>vs purple fuzzy apache pirates</v>
      </c>
      <c r="L2612" s="6" t="str">
        <f t="shared" ref="L2612" si="2311">"vs "&amp;F2613</f>
        <v>vs pi/Sotiris</v>
      </c>
      <c r="M2612">
        <v>222</v>
      </c>
      <c r="N2612" s="1">
        <v>0.45400000000000001</v>
      </c>
      <c r="O2612">
        <v>70</v>
      </c>
      <c r="P2612" s="1">
        <v>0.36499999999999999</v>
      </c>
      <c r="Q2612" s="1">
        <v>0.76600000000000001</v>
      </c>
      <c r="R2612">
        <v>586</v>
      </c>
      <c r="S2612">
        <v>64</v>
      </c>
      <c r="T2612">
        <v>168</v>
      </c>
      <c r="U2612">
        <v>130</v>
      </c>
      <c r="V2612">
        <v>38</v>
      </c>
      <c r="W2612">
        <v>27</v>
      </c>
      <c r="X2612">
        <v>63</v>
      </c>
      <c r="Y2612">
        <v>2.06</v>
      </c>
    </row>
    <row r="2613" spans="1:25" x14ac:dyDescent="0.25">
      <c r="A2613">
        <v>2024</v>
      </c>
      <c r="B2613" t="s">
        <v>57</v>
      </c>
      <c r="C2613">
        <v>17</v>
      </c>
      <c r="D2613">
        <v>174</v>
      </c>
      <c r="E2613" t="s">
        <v>159</v>
      </c>
      <c r="F2613" t="s">
        <v>116</v>
      </c>
      <c r="G2613">
        <f t="shared" si="2257"/>
        <v>1</v>
      </c>
      <c r="H2613">
        <v>10</v>
      </c>
      <c r="I2613">
        <v>3</v>
      </c>
      <c r="J2613">
        <v>0</v>
      </c>
      <c r="K2613" s="6" t="str">
        <f t="shared" ref="K2613" si="2312">"vs "&amp;E2612</f>
        <v>vs Guruuu 🐐🐐🐐</v>
      </c>
      <c r="L2613" s="6" t="str">
        <f t="shared" ref="L2613" si="2313">"vs "&amp;F2612</f>
        <v>vs Guru</v>
      </c>
      <c r="M2613">
        <v>333</v>
      </c>
      <c r="N2613" s="1">
        <v>0.53100000000000003</v>
      </c>
      <c r="O2613">
        <v>96</v>
      </c>
      <c r="P2613" s="1">
        <v>0.374</v>
      </c>
      <c r="Q2613" s="1">
        <v>0.77800000000000002</v>
      </c>
      <c r="R2613">
        <v>892</v>
      </c>
      <c r="S2613">
        <v>49</v>
      </c>
      <c r="T2613">
        <v>237</v>
      </c>
      <c r="U2613">
        <v>235</v>
      </c>
      <c r="V2613">
        <v>45</v>
      </c>
      <c r="W2613">
        <v>20</v>
      </c>
      <c r="X2613">
        <v>94</v>
      </c>
      <c r="Y2613">
        <v>2.5</v>
      </c>
    </row>
    <row r="2614" spans="1:25" x14ac:dyDescent="0.25">
      <c r="A2614">
        <v>2024</v>
      </c>
      <c r="B2614" t="s">
        <v>57</v>
      </c>
      <c r="C2614">
        <v>17</v>
      </c>
      <c r="D2614">
        <v>175</v>
      </c>
      <c r="E2614" t="s">
        <v>158</v>
      </c>
      <c r="F2614" t="s">
        <v>177</v>
      </c>
      <c r="G2614">
        <f t="shared" si="2257"/>
        <v>1</v>
      </c>
      <c r="H2614">
        <v>11</v>
      </c>
      <c r="I2614">
        <v>2</v>
      </c>
      <c r="J2614">
        <v>0</v>
      </c>
      <c r="K2614" s="6" t="str">
        <f t="shared" ref="K2614" si="2314">"vs "&amp;E2615</f>
        <v>vs Paralouistas</v>
      </c>
      <c r="L2614" s="6" t="str">
        <f t="shared" ref="L2614" si="2315">"vs "&amp;F2615</f>
        <v>vs Panos</v>
      </c>
      <c r="M2614">
        <v>241</v>
      </c>
      <c r="N2614" s="1">
        <v>0.45600000000000002</v>
      </c>
      <c r="O2614">
        <v>75</v>
      </c>
      <c r="P2614" s="1">
        <v>0.35699999999999998</v>
      </c>
      <c r="Q2614" s="1">
        <v>0.79100000000000004</v>
      </c>
      <c r="R2614">
        <v>682</v>
      </c>
      <c r="S2614">
        <v>52</v>
      </c>
      <c r="T2614">
        <v>208</v>
      </c>
      <c r="U2614">
        <v>188</v>
      </c>
      <c r="V2614">
        <v>37</v>
      </c>
      <c r="W2614">
        <v>38</v>
      </c>
      <c r="X2614">
        <v>91</v>
      </c>
      <c r="Y2614">
        <v>2.0699999999999998</v>
      </c>
    </row>
    <row r="2615" spans="1:25" x14ac:dyDescent="0.25">
      <c r="A2615">
        <v>2024</v>
      </c>
      <c r="B2615" t="s">
        <v>57</v>
      </c>
      <c r="C2615">
        <v>17</v>
      </c>
      <c r="D2615">
        <v>175</v>
      </c>
      <c r="E2615" t="s">
        <v>185</v>
      </c>
      <c r="F2615" t="s">
        <v>100</v>
      </c>
      <c r="G2615">
        <f t="shared" si="2257"/>
        <v>0</v>
      </c>
      <c r="H2615">
        <v>2</v>
      </c>
      <c r="I2615">
        <v>11</v>
      </c>
      <c r="J2615">
        <v>0</v>
      </c>
      <c r="K2615" s="6" t="str">
        <f t="shared" ref="K2615" si="2316">"vs "&amp;E2614</f>
        <v>vs LRBP PR3DATORS</v>
      </c>
      <c r="L2615" s="6" t="str">
        <f t="shared" ref="L2615" si="2317">"vs "&amp;F2614</f>
        <v>vs Lafa</v>
      </c>
      <c r="M2615">
        <v>218</v>
      </c>
      <c r="N2615" s="1">
        <v>0.44900000000000001</v>
      </c>
      <c r="O2615">
        <v>74</v>
      </c>
      <c r="P2615" s="1">
        <v>0.376</v>
      </c>
      <c r="Q2615" s="1">
        <v>0.76</v>
      </c>
      <c r="R2615">
        <v>583</v>
      </c>
      <c r="S2615">
        <v>43</v>
      </c>
      <c r="T2615">
        <v>157</v>
      </c>
      <c r="U2615">
        <v>146</v>
      </c>
      <c r="V2615">
        <v>26</v>
      </c>
      <c r="W2615">
        <v>22</v>
      </c>
      <c r="X2615">
        <v>74</v>
      </c>
      <c r="Y2615">
        <v>1.97</v>
      </c>
    </row>
    <row r="2616" spans="1:25" x14ac:dyDescent="0.25">
      <c r="A2616">
        <v>2024</v>
      </c>
      <c r="B2616" t="s">
        <v>57</v>
      </c>
      <c r="C2616">
        <v>17</v>
      </c>
      <c r="D2616">
        <v>176</v>
      </c>
      <c r="E2616" t="s">
        <v>96</v>
      </c>
      <c r="F2616" t="s">
        <v>102</v>
      </c>
      <c r="G2616">
        <f t="shared" si="2257"/>
        <v>0</v>
      </c>
      <c r="H2616">
        <v>5</v>
      </c>
      <c r="I2616">
        <v>8</v>
      </c>
      <c r="J2616">
        <v>0</v>
      </c>
      <c r="K2616" s="6" t="str">
        <f t="shared" ref="K2616" si="2318">"vs "&amp;E2617</f>
        <v>vs Karafli Saita</v>
      </c>
      <c r="L2616" s="6" t="str">
        <f t="shared" ref="L2616" si="2319">"vs "&amp;F2617</f>
        <v>vs Tassos</v>
      </c>
      <c r="M2616">
        <v>221</v>
      </c>
      <c r="N2616" s="1">
        <v>0.501</v>
      </c>
      <c r="O2616">
        <v>53</v>
      </c>
      <c r="P2616" s="1">
        <v>0.40799999999999997</v>
      </c>
      <c r="Q2616" s="1">
        <v>0.76100000000000001</v>
      </c>
      <c r="R2616">
        <v>578</v>
      </c>
      <c r="S2616">
        <v>57</v>
      </c>
      <c r="T2616">
        <v>164</v>
      </c>
      <c r="U2616">
        <v>138</v>
      </c>
      <c r="V2616">
        <v>48</v>
      </c>
      <c r="W2616">
        <v>20</v>
      </c>
      <c r="X2616">
        <v>61</v>
      </c>
      <c r="Y2616">
        <v>2.2599999999999998</v>
      </c>
    </row>
    <row r="2617" spans="1:25" x14ac:dyDescent="0.25">
      <c r="A2617">
        <v>2024</v>
      </c>
      <c r="B2617" t="s">
        <v>57</v>
      </c>
      <c r="C2617">
        <v>17</v>
      </c>
      <c r="D2617">
        <v>176</v>
      </c>
      <c r="E2617" t="s">
        <v>186</v>
      </c>
      <c r="F2617" t="s">
        <v>103</v>
      </c>
      <c r="G2617">
        <f t="shared" si="2257"/>
        <v>1</v>
      </c>
      <c r="H2617">
        <v>8</v>
      </c>
      <c r="I2617">
        <v>5</v>
      </c>
      <c r="J2617">
        <v>0</v>
      </c>
      <c r="K2617" s="6" t="str">
        <f t="shared" ref="K2617" si="2320">"vs "&amp;E2616</f>
        <v>vs Knights of Ni</v>
      </c>
      <c r="L2617" s="6" t="str">
        <f t="shared" ref="L2617" si="2321">"vs "&amp;F2616</f>
        <v>vs Tolios</v>
      </c>
      <c r="M2617">
        <v>300</v>
      </c>
      <c r="N2617" s="1">
        <v>0.50800000000000001</v>
      </c>
      <c r="O2617">
        <v>82</v>
      </c>
      <c r="P2617" s="1">
        <v>0.38900000000000001</v>
      </c>
      <c r="Q2617" s="1">
        <v>0.83099999999999996</v>
      </c>
      <c r="R2617">
        <v>785</v>
      </c>
      <c r="S2617">
        <v>54</v>
      </c>
      <c r="T2617">
        <v>211</v>
      </c>
      <c r="U2617">
        <v>181</v>
      </c>
      <c r="V2617">
        <v>39</v>
      </c>
      <c r="W2617">
        <v>25</v>
      </c>
      <c r="X2617">
        <v>84</v>
      </c>
      <c r="Y2617">
        <v>2.15</v>
      </c>
    </row>
    <row r="2618" spans="1:25" x14ac:dyDescent="0.25">
      <c r="A2618">
        <v>2024</v>
      </c>
      <c r="B2618" t="s">
        <v>57</v>
      </c>
      <c r="C2618">
        <v>17</v>
      </c>
      <c r="D2618">
        <v>177</v>
      </c>
      <c r="E2618" t="s">
        <v>23</v>
      </c>
      <c r="F2618" t="s">
        <v>120</v>
      </c>
      <c r="G2618">
        <f t="shared" si="2257"/>
        <v>1</v>
      </c>
      <c r="H2618">
        <v>8</v>
      </c>
      <c r="I2618">
        <v>5</v>
      </c>
      <c r="J2618">
        <v>0</v>
      </c>
      <c r="K2618" s="6" t="str">
        <f t="shared" ref="K2618" si="2322">"vs "&amp;E2619</f>
        <v>vs Kourayo Vallecano</v>
      </c>
      <c r="L2618" s="6" t="str">
        <f t="shared" ref="L2618" si="2323">"vs "&amp;F2619</f>
        <v>vs Ziogas/Christof</v>
      </c>
      <c r="M2618">
        <v>237</v>
      </c>
      <c r="N2618" s="1">
        <v>0.46700000000000003</v>
      </c>
      <c r="O2618">
        <v>61</v>
      </c>
      <c r="P2618" s="1">
        <v>0.33300000000000002</v>
      </c>
      <c r="Q2618" s="1">
        <v>0.84799999999999998</v>
      </c>
      <c r="R2618">
        <v>624</v>
      </c>
      <c r="S2618">
        <v>51</v>
      </c>
      <c r="T2618">
        <v>189</v>
      </c>
      <c r="U2618">
        <v>167</v>
      </c>
      <c r="V2618">
        <v>51</v>
      </c>
      <c r="W2618">
        <v>47</v>
      </c>
      <c r="X2618">
        <v>91</v>
      </c>
      <c r="Y2618">
        <v>1.84</v>
      </c>
    </row>
    <row r="2619" spans="1:25" x14ac:dyDescent="0.25">
      <c r="A2619">
        <v>2024</v>
      </c>
      <c r="B2619" t="s">
        <v>57</v>
      </c>
      <c r="C2619">
        <v>17</v>
      </c>
      <c r="D2619">
        <v>177</v>
      </c>
      <c r="E2619" t="s">
        <v>26</v>
      </c>
      <c r="F2619" t="s">
        <v>118</v>
      </c>
      <c r="G2619">
        <f t="shared" si="2257"/>
        <v>0</v>
      </c>
      <c r="H2619">
        <v>5</v>
      </c>
      <c r="I2619">
        <v>8</v>
      </c>
      <c r="J2619">
        <v>0</v>
      </c>
      <c r="K2619" s="6" t="str">
        <f t="shared" ref="K2619" si="2324">"vs "&amp;E2618</f>
        <v>vs Pachiana NinjaBees</v>
      </c>
      <c r="L2619" s="6" t="str">
        <f t="shared" ref="L2619" si="2325">"vs "&amp;F2618</f>
        <v>vs Spiridaus/Oladipas</v>
      </c>
      <c r="M2619">
        <v>211</v>
      </c>
      <c r="N2619" s="1">
        <v>0.48499999999999999</v>
      </c>
      <c r="O2619">
        <v>57</v>
      </c>
      <c r="P2619" s="1">
        <v>0.35</v>
      </c>
      <c r="Q2619" s="1">
        <v>0.71799999999999997</v>
      </c>
      <c r="R2619">
        <v>535</v>
      </c>
      <c r="S2619">
        <v>52</v>
      </c>
      <c r="T2619">
        <v>187</v>
      </c>
      <c r="U2619">
        <v>105</v>
      </c>
      <c r="V2619">
        <v>39</v>
      </c>
      <c r="W2619">
        <v>22</v>
      </c>
      <c r="X2619">
        <v>53</v>
      </c>
      <c r="Y2619">
        <v>1.98</v>
      </c>
    </row>
    <row r="2620" spans="1:25" x14ac:dyDescent="0.25">
      <c r="A2620">
        <v>2024</v>
      </c>
      <c r="B2620" t="s">
        <v>57</v>
      </c>
      <c r="C2620">
        <v>17</v>
      </c>
      <c r="D2620">
        <v>178</v>
      </c>
      <c r="E2620" t="s">
        <v>181</v>
      </c>
      <c r="F2620" t="s">
        <v>49</v>
      </c>
      <c r="G2620">
        <f t="shared" si="2257"/>
        <v>1</v>
      </c>
      <c r="H2620">
        <v>10</v>
      </c>
      <c r="I2620">
        <v>3</v>
      </c>
      <c r="J2620">
        <v>0</v>
      </c>
      <c r="K2620" s="6" t="str">
        <f t="shared" ref="K2620" si="2326">"vs "&amp;E2621</f>
        <v>vs Steven Adams' Moustache</v>
      </c>
      <c r="L2620" s="6" t="str">
        <f t="shared" ref="L2620" si="2327">"vs "&amp;F2621</f>
        <v>vs Johnny</v>
      </c>
      <c r="M2620">
        <v>250</v>
      </c>
      <c r="N2620" s="1">
        <v>0.498</v>
      </c>
      <c r="O2620">
        <v>79</v>
      </c>
      <c r="P2620" s="1">
        <v>0.39500000000000002</v>
      </c>
      <c r="Q2620" s="1">
        <v>0.85299999999999998</v>
      </c>
      <c r="R2620">
        <v>718</v>
      </c>
      <c r="S2620">
        <v>56</v>
      </c>
      <c r="T2620">
        <v>166</v>
      </c>
      <c r="U2620">
        <v>192</v>
      </c>
      <c r="V2620">
        <v>36</v>
      </c>
      <c r="W2620">
        <v>23</v>
      </c>
      <c r="X2620">
        <v>69</v>
      </c>
      <c r="Y2620">
        <v>2.78</v>
      </c>
    </row>
    <row r="2621" spans="1:25" x14ac:dyDescent="0.25">
      <c r="A2621">
        <v>2024</v>
      </c>
      <c r="B2621" t="s">
        <v>57</v>
      </c>
      <c r="C2621">
        <v>17</v>
      </c>
      <c r="D2621">
        <v>178</v>
      </c>
      <c r="E2621" t="s">
        <v>28</v>
      </c>
      <c r="F2621" t="s">
        <v>46</v>
      </c>
      <c r="G2621">
        <f t="shared" si="2257"/>
        <v>0</v>
      </c>
      <c r="H2621">
        <v>3</v>
      </c>
      <c r="I2621">
        <v>10</v>
      </c>
      <c r="J2621">
        <v>0</v>
      </c>
      <c r="K2621" s="6" t="str">
        <f t="shared" ref="K2621" si="2328">"vs "&amp;E2620</f>
        <v>vs Samarina Dudenbros</v>
      </c>
      <c r="L2621" s="6" t="str">
        <f t="shared" ref="L2621" si="2329">"vs "&amp;F2620</f>
        <v>vs Sakellariou</v>
      </c>
      <c r="M2621">
        <v>197</v>
      </c>
      <c r="N2621" s="1">
        <v>0.42499999999999999</v>
      </c>
      <c r="O2621">
        <v>54</v>
      </c>
      <c r="P2621" s="1">
        <v>0.307</v>
      </c>
      <c r="Q2621" s="1">
        <v>0.82</v>
      </c>
      <c r="R2621">
        <v>548</v>
      </c>
      <c r="S2621">
        <v>54</v>
      </c>
      <c r="T2621">
        <v>173</v>
      </c>
      <c r="U2621">
        <v>117</v>
      </c>
      <c r="V2621">
        <v>35</v>
      </c>
      <c r="W2621">
        <v>25</v>
      </c>
      <c r="X2621">
        <v>66</v>
      </c>
      <c r="Y2621">
        <v>1.77</v>
      </c>
    </row>
    <row r="2622" spans="1:25" x14ac:dyDescent="0.25">
      <c r="A2622">
        <v>2024</v>
      </c>
      <c r="B2622" t="s">
        <v>57</v>
      </c>
      <c r="C2622">
        <v>17</v>
      </c>
      <c r="D2622">
        <v>179</v>
      </c>
      <c r="E2622" t="s">
        <v>21</v>
      </c>
      <c r="F2622" t="s">
        <v>50</v>
      </c>
      <c r="G2622">
        <f t="shared" si="2257"/>
        <v>0</v>
      </c>
      <c r="H2622">
        <v>6</v>
      </c>
      <c r="I2622">
        <v>6</v>
      </c>
      <c r="J2622">
        <v>1</v>
      </c>
      <c r="K2622" s="6" t="str">
        <f t="shared" ref="K2622" si="2330">"vs "&amp;E2623</f>
        <v>vs The Bridgeburners</v>
      </c>
      <c r="L2622" s="6" t="str">
        <f t="shared" ref="L2622" si="2331">"vs "&amp;F2623</f>
        <v>vs Fanis</v>
      </c>
      <c r="M2622">
        <v>225</v>
      </c>
      <c r="N2622" s="1">
        <v>0.48799999999999999</v>
      </c>
      <c r="O2622">
        <v>30</v>
      </c>
      <c r="P2622" s="1">
        <v>0.32600000000000001</v>
      </c>
      <c r="Q2622" s="1">
        <v>0.745</v>
      </c>
      <c r="R2622">
        <v>600</v>
      </c>
      <c r="S2622">
        <v>51</v>
      </c>
      <c r="T2622">
        <v>132</v>
      </c>
      <c r="U2622">
        <v>157</v>
      </c>
      <c r="V2622">
        <v>31</v>
      </c>
      <c r="W2622">
        <v>22</v>
      </c>
      <c r="X2622">
        <v>73</v>
      </c>
      <c r="Y2622">
        <v>2.15</v>
      </c>
    </row>
    <row r="2623" spans="1:25" x14ac:dyDescent="0.25">
      <c r="A2623">
        <v>2024</v>
      </c>
      <c r="B2623" t="s">
        <v>57</v>
      </c>
      <c r="C2623">
        <v>17</v>
      </c>
      <c r="D2623">
        <v>179</v>
      </c>
      <c r="E2623" t="s">
        <v>16</v>
      </c>
      <c r="F2623" t="s">
        <v>51</v>
      </c>
      <c r="G2623">
        <f t="shared" si="2257"/>
        <v>0</v>
      </c>
      <c r="H2623">
        <v>6</v>
      </c>
      <c r="I2623">
        <v>6</v>
      </c>
      <c r="J2623">
        <v>1</v>
      </c>
      <c r="K2623" s="6" t="str">
        <f t="shared" ref="K2623" si="2332">"vs "&amp;E2622</f>
        <v>vs st.Helens Eruptions</v>
      </c>
      <c r="L2623" s="6" t="str">
        <f t="shared" ref="L2623" si="2333">"vs "&amp;F2622</f>
        <v>vs Aris</v>
      </c>
      <c r="M2623">
        <v>188</v>
      </c>
      <c r="N2623" s="1">
        <v>0.44400000000000001</v>
      </c>
      <c r="O2623">
        <v>50</v>
      </c>
      <c r="P2623" s="1">
        <v>0.318</v>
      </c>
      <c r="Q2623" s="1">
        <v>0.81299999999999994</v>
      </c>
      <c r="R2623">
        <v>513</v>
      </c>
      <c r="S2623">
        <v>64</v>
      </c>
      <c r="T2623">
        <v>176</v>
      </c>
      <c r="U2623">
        <v>167</v>
      </c>
      <c r="V2623">
        <v>31</v>
      </c>
      <c r="W2623">
        <v>26</v>
      </c>
      <c r="X2623">
        <v>80</v>
      </c>
      <c r="Y2623">
        <v>2.09</v>
      </c>
    </row>
    <row r="2624" spans="1:25" x14ac:dyDescent="0.25">
      <c r="A2624">
        <v>2024</v>
      </c>
      <c r="B2624" t="s">
        <v>57</v>
      </c>
      <c r="C2624">
        <v>17</v>
      </c>
      <c r="D2624">
        <v>180</v>
      </c>
      <c r="E2624" t="s">
        <v>95</v>
      </c>
      <c r="F2624" t="s">
        <v>101</v>
      </c>
      <c r="G2624">
        <f t="shared" si="2257"/>
        <v>0</v>
      </c>
      <c r="H2624">
        <v>4</v>
      </c>
      <c r="I2624">
        <v>9</v>
      </c>
      <c r="J2624">
        <v>0</v>
      </c>
      <c r="K2624" s="6" t="str">
        <f t="shared" ref="K2624" si="2334">"vs "&amp;E2625</f>
        <v>vs Xanthi Ducks 🦆</v>
      </c>
      <c r="L2624" s="6" t="str">
        <f t="shared" ref="L2624" si="2335">"vs "&amp;F2625</f>
        <v>vs Kotakis</v>
      </c>
      <c r="M2624">
        <v>165</v>
      </c>
      <c r="N2624" s="1">
        <v>0.49299999999999999</v>
      </c>
      <c r="O2624">
        <v>43</v>
      </c>
      <c r="P2624" s="1">
        <v>0.35</v>
      </c>
      <c r="Q2624" s="1">
        <v>0.73499999999999999</v>
      </c>
      <c r="R2624">
        <v>423</v>
      </c>
      <c r="S2624">
        <v>46</v>
      </c>
      <c r="T2624">
        <v>120</v>
      </c>
      <c r="U2624">
        <v>91</v>
      </c>
      <c r="V2624">
        <v>32</v>
      </c>
      <c r="W2624">
        <v>17</v>
      </c>
      <c r="X2624">
        <v>38</v>
      </c>
      <c r="Y2624">
        <v>2.39</v>
      </c>
    </row>
    <row r="2625" spans="1:25" x14ac:dyDescent="0.25">
      <c r="A2625">
        <v>2024</v>
      </c>
      <c r="B2625" t="s">
        <v>57</v>
      </c>
      <c r="C2625">
        <v>17</v>
      </c>
      <c r="D2625">
        <v>180</v>
      </c>
      <c r="E2625" t="s">
        <v>98</v>
      </c>
      <c r="F2625" t="s">
        <v>41</v>
      </c>
      <c r="G2625">
        <f t="shared" si="2257"/>
        <v>1</v>
      </c>
      <c r="H2625">
        <v>9</v>
      </c>
      <c r="I2625">
        <v>4</v>
      </c>
      <c r="J2625">
        <v>0</v>
      </c>
      <c r="K2625" s="6" t="str">
        <f t="shared" ref="K2625" si="2336">"vs "&amp;E2624</f>
        <v>vs Baltimore Hercules</v>
      </c>
      <c r="L2625" s="6" t="str">
        <f t="shared" ref="L2625" si="2337">"vs "&amp;F2624</f>
        <v>vs Sarantos</v>
      </c>
      <c r="M2625">
        <v>251</v>
      </c>
      <c r="N2625" s="1">
        <v>0.46600000000000003</v>
      </c>
      <c r="O2625">
        <v>50</v>
      </c>
      <c r="P2625" s="1">
        <v>0.29099999999999998</v>
      </c>
      <c r="Q2625" s="1">
        <v>0.83</v>
      </c>
      <c r="R2625">
        <v>630</v>
      </c>
      <c r="S2625">
        <v>79</v>
      </c>
      <c r="T2625">
        <v>212</v>
      </c>
      <c r="U2625">
        <v>144</v>
      </c>
      <c r="V2625">
        <v>42</v>
      </c>
      <c r="W2625">
        <v>34</v>
      </c>
      <c r="X2625">
        <v>68</v>
      </c>
      <c r="Y2625">
        <v>2.12</v>
      </c>
    </row>
    <row r="2626" spans="1:25" x14ac:dyDescent="0.25">
      <c r="A2626">
        <v>2024</v>
      </c>
      <c r="B2626" t="s">
        <v>57</v>
      </c>
      <c r="C2626">
        <v>18</v>
      </c>
      <c r="D2626">
        <v>181</v>
      </c>
      <c r="E2626" t="s">
        <v>99</v>
      </c>
      <c r="F2626" t="s">
        <v>45</v>
      </c>
      <c r="G2626">
        <f t="shared" si="2257"/>
        <v>0</v>
      </c>
      <c r="H2626">
        <v>5</v>
      </c>
      <c r="I2626">
        <v>8</v>
      </c>
      <c r="J2626">
        <v>0</v>
      </c>
      <c r="K2626" s="6" t="str">
        <f t="shared" ref="K2626" si="2338">"vs "&amp;E2627</f>
        <v>vs The Bad Boys</v>
      </c>
      <c r="L2626" s="6" t="str">
        <f t="shared" ref="L2626" si="2339">"vs "&amp;F2627</f>
        <v>vs Arvanitis</v>
      </c>
      <c r="M2626">
        <v>136</v>
      </c>
      <c r="N2626" s="1">
        <v>0.52300000000000002</v>
      </c>
      <c r="O2626">
        <v>25</v>
      </c>
      <c r="P2626" s="1">
        <v>0.28699999999999998</v>
      </c>
      <c r="Q2626" s="1">
        <v>0.64</v>
      </c>
      <c r="R2626">
        <v>345</v>
      </c>
      <c r="S2626">
        <v>37</v>
      </c>
      <c r="T2626">
        <v>114</v>
      </c>
      <c r="U2626">
        <v>61</v>
      </c>
      <c r="V2626">
        <v>32</v>
      </c>
      <c r="W2626">
        <v>32</v>
      </c>
      <c r="X2626">
        <v>36</v>
      </c>
      <c r="Y2626">
        <v>1.69</v>
      </c>
    </row>
    <row r="2627" spans="1:25" x14ac:dyDescent="0.25">
      <c r="A2627">
        <v>2024</v>
      </c>
      <c r="B2627" t="s">
        <v>57</v>
      </c>
      <c r="C2627">
        <v>18</v>
      </c>
      <c r="D2627">
        <v>181</v>
      </c>
      <c r="E2627" t="s">
        <v>154</v>
      </c>
      <c r="F2627" t="s">
        <v>155</v>
      </c>
      <c r="G2627">
        <f t="shared" si="2257"/>
        <v>1</v>
      </c>
      <c r="H2627">
        <v>8</v>
      </c>
      <c r="I2627">
        <v>5</v>
      </c>
      <c r="J2627">
        <v>0</v>
      </c>
      <c r="K2627" s="6" t="str">
        <f t="shared" ref="K2627" si="2340">"vs "&amp;E2626</f>
        <v>vs Tsarlatans</v>
      </c>
      <c r="L2627" s="6" t="str">
        <f t="shared" ref="L2627" si="2341">"vs "&amp;F2626</f>
        <v>vs Tzokos</v>
      </c>
      <c r="M2627">
        <v>145</v>
      </c>
      <c r="N2627" s="1">
        <v>0.47399999999999998</v>
      </c>
      <c r="O2627">
        <v>45</v>
      </c>
      <c r="P2627" s="1">
        <v>0.38100000000000001</v>
      </c>
      <c r="Q2627" s="1">
        <v>0.67700000000000005</v>
      </c>
      <c r="R2627">
        <v>379</v>
      </c>
      <c r="S2627">
        <v>52</v>
      </c>
      <c r="T2627">
        <v>117</v>
      </c>
      <c r="U2627">
        <v>73</v>
      </c>
      <c r="V2627">
        <v>31</v>
      </c>
      <c r="W2627">
        <v>22</v>
      </c>
      <c r="X2627">
        <v>50</v>
      </c>
      <c r="Y2627">
        <v>1.46</v>
      </c>
    </row>
    <row r="2628" spans="1:25" x14ac:dyDescent="0.25">
      <c r="A2628">
        <v>2024</v>
      </c>
      <c r="B2628" t="s">
        <v>57</v>
      </c>
      <c r="C2628">
        <v>18</v>
      </c>
      <c r="D2628">
        <v>182</v>
      </c>
      <c r="E2628" t="s">
        <v>184</v>
      </c>
      <c r="F2628" t="s">
        <v>188</v>
      </c>
      <c r="G2628">
        <f t="shared" si="2257"/>
        <v>0</v>
      </c>
      <c r="H2628">
        <v>2</v>
      </c>
      <c r="I2628">
        <v>10</v>
      </c>
      <c r="J2628">
        <v>1</v>
      </c>
      <c r="K2628" s="6" t="str">
        <f t="shared" ref="K2628" si="2342">"vs "&amp;E2629</f>
        <v>vs Fighting Thaddeus</v>
      </c>
      <c r="L2628" s="6" t="str">
        <f t="shared" ref="L2628" si="2343">"vs "&amp;F2629</f>
        <v>vs Stavros</v>
      </c>
      <c r="M2628">
        <v>142</v>
      </c>
      <c r="N2628" s="1">
        <v>0.441</v>
      </c>
      <c r="O2628">
        <v>49</v>
      </c>
      <c r="P2628" s="1">
        <v>0.35</v>
      </c>
      <c r="Q2628" s="1">
        <v>0.80200000000000005</v>
      </c>
      <c r="R2628">
        <v>410</v>
      </c>
      <c r="S2628">
        <v>37</v>
      </c>
      <c r="T2628">
        <v>111</v>
      </c>
      <c r="U2628">
        <v>90</v>
      </c>
      <c r="V2628">
        <v>28</v>
      </c>
      <c r="W2628">
        <v>13</v>
      </c>
      <c r="X2628">
        <v>50</v>
      </c>
      <c r="Y2628">
        <v>1.8</v>
      </c>
    </row>
    <row r="2629" spans="1:25" x14ac:dyDescent="0.25">
      <c r="A2629">
        <v>2024</v>
      </c>
      <c r="B2629" t="s">
        <v>57</v>
      </c>
      <c r="C2629">
        <v>18</v>
      </c>
      <c r="D2629">
        <v>182</v>
      </c>
      <c r="E2629" t="s">
        <v>94</v>
      </c>
      <c r="F2629" t="s">
        <v>40</v>
      </c>
      <c r="G2629">
        <f t="shared" si="2257"/>
        <v>1</v>
      </c>
      <c r="H2629">
        <v>10</v>
      </c>
      <c r="I2629">
        <v>2</v>
      </c>
      <c r="J2629">
        <v>1</v>
      </c>
      <c r="K2629" s="6" t="str">
        <f t="shared" ref="K2629" si="2344">"vs "&amp;E2628</f>
        <v>vs Heraklion Snakes</v>
      </c>
      <c r="L2629" s="6" t="str">
        <f t="shared" ref="L2629" si="2345">"vs "&amp;F2628</f>
        <v>vs Dimitris</v>
      </c>
      <c r="M2629">
        <v>182</v>
      </c>
      <c r="N2629" s="1">
        <v>0.495</v>
      </c>
      <c r="O2629">
        <v>70</v>
      </c>
      <c r="P2629" s="1">
        <v>0.44600000000000001</v>
      </c>
      <c r="Q2629" s="1">
        <v>0.79700000000000004</v>
      </c>
      <c r="R2629">
        <v>497</v>
      </c>
      <c r="S2629">
        <v>37</v>
      </c>
      <c r="T2629">
        <v>152</v>
      </c>
      <c r="U2629">
        <v>122</v>
      </c>
      <c r="V2629">
        <v>27</v>
      </c>
      <c r="W2629">
        <v>30</v>
      </c>
      <c r="X2629">
        <v>48</v>
      </c>
      <c r="Y2629">
        <v>2.54</v>
      </c>
    </row>
    <row r="2630" spans="1:25" x14ac:dyDescent="0.25">
      <c r="A2630">
        <v>2024</v>
      </c>
      <c r="B2630" t="s">
        <v>57</v>
      </c>
      <c r="C2630">
        <v>18</v>
      </c>
      <c r="D2630">
        <v>183</v>
      </c>
      <c r="E2630" t="s">
        <v>33</v>
      </c>
      <c r="F2630" t="s">
        <v>42</v>
      </c>
      <c r="G2630">
        <f t="shared" si="2257"/>
        <v>1</v>
      </c>
      <c r="H2630">
        <v>8</v>
      </c>
      <c r="I2630">
        <v>5</v>
      </c>
      <c r="J2630">
        <v>0</v>
      </c>
      <c r="K2630" s="6" t="str">
        <f t="shared" ref="K2630" si="2346">"vs "&amp;E2631</f>
        <v>vs Guruuu 🐐🐐🐐</v>
      </c>
      <c r="L2630" s="6" t="str">
        <f t="shared" ref="L2630" si="2347">"vs "&amp;F2631</f>
        <v>vs Guru</v>
      </c>
      <c r="M2630">
        <v>199</v>
      </c>
      <c r="N2630" s="1">
        <v>0.47399999999999998</v>
      </c>
      <c r="O2630">
        <v>35</v>
      </c>
      <c r="P2630" s="1">
        <v>0.29899999999999999</v>
      </c>
      <c r="Q2630" s="1">
        <v>0.79200000000000004</v>
      </c>
      <c r="R2630">
        <v>532</v>
      </c>
      <c r="S2630">
        <v>56</v>
      </c>
      <c r="T2630">
        <v>173</v>
      </c>
      <c r="U2630">
        <v>145</v>
      </c>
      <c r="V2630">
        <v>28</v>
      </c>
      <c r="W2630">
        <v>33</v>
      </c>
      <c r="X2630">
        <v>60</v>
      </c>
      <c r="Y2630">
        <v>2.42</v>
      </c>
    </row>
    <row r="2631" spans="1:25" x14ac:dyDescent="0.25">
      <c r="A2631">
        <v>2024</v>
      </c>
      <c r="B2631" t="s">
        <v>57</v>
      </c>
      <c r="C2631">
        <v>18</v>
      </c>
      <c r="D2631">
        <v>183</v>
      </c>
      <c r="E2631" t="s">
        <v>93</v>
      </c>
      <c r="F2631" t="s">
        <v>189</v>
      </c>
      <c r="G2631">
        <f t="shared" si="2257"/>
        <v>0</v>
      </c>
      <c r="H2631">
        <v>5</v>
      </c>
      <c r="I2631">
        <v>8</v>
      </c>
      <c r="J2631">
        <v>0</v>
      </c>
      <c r="K2631" s="6" t="str">
        <f t="shared" ref="K2631" si="2348">"vs "&amp;E2630</f>
        <v>vs The Guns</v>
      </c>
      <c r="L2631" s="6" t="str">
        <f t="shared" ref="L2631" si="2349">"vs "&amp;F2630</f>
        <v>vs Vasilis</v>
      </c>
      <c r="M2631">
        <v>170</v>
      </c>
      <c r="N2631" s="1">
        <v>0.48399999999999999</v>
      </c>
      <c r="O2631">
        <v>58</v>
      </c>
      <c r="P2631" s="1">
        <v>0.36199999999999999</v>
      </c>
      <c r="Q2631" s="1">
        <v>0.84099999999999997</v>
      </c>
      <c r="R2631">
        <v>456</v>
      </c>
      <c r="S2631">
        <v>34</v>
      </c>
      <c r="T2631">
        <v>125</v>
      </c>
      <c r="U2631">
        <v>97</v>
      </c>
      <c r="V2631">
        <v>25</v>
      </c>
      <c r="W2631">
        <v>17</v>
      </c>
      <c r="X2631">
        <v>48</v>
      </c>
      <c r="Y2631">
        <v>2.02</v>
      </c>
    </row>
    <row r="2632" spans="1:25" x14ac:dyDescent="0.25">
      <c r="A2632">
        <v>2024</v>
      </c>
      <c r="B2632" t="s">
        <v>57</v>
      </c>
      <c r="C2632">
        <v>18</v>
      </c>
      <c r="D2632">
        <v>184</v>
      </c>
      <c r="E2632" t="s">
        <v>15</v>
      </c>
      <c r="F2632" t="s">
        <v>48</v>
      </c>
      <c r="G2632">
        <f t="shared" si="2257"/>
        <v>0</v>
      </c>
      <c r="H2632">
        <v>6</v>
      </c>
      <c r="I2632">
        <v>7</v>
      </c>
      <c r="J2632">
        <v>0</v>
      </c>
      <c r="K2632" s="6" t="str">
        <f t="shared" ref="K2632" si="2350">"vs "&amp;E2633</f>
        <v>vs LRBP PR3DATORS</v>
      </c>
      <c r="L2632" s="6" t="str">
        <f t="shared" ref="L2632" si="2351">"vs "&amp;F2633</f>
        <v>vs Lafa</v>
      </c>
      <c r="M2632">
        <v>205</v>
      </c>
      <c r="N2632" s="1">
        <v>0.51600000000000001</v>
      </c>
      <c r="O2632">
        <v>70</v>
      </c>
      <c r="P2632" s="1">
        <v>0.44600000000000001</v>
      </c>
      <c r="Q2632" s="1">
        <v>0.77100000000000002</v>
      </c>
      <c r="R2632">
        <v>534</v>
      </c>
      <c r="S2632">
        <v>29</v>
      </c>
      <c r="T2632">
        <v>142</v>
      </c>
      <c r="U2632">
        <v>162</v>
      </c>
      <c r="V2632">
        <v>17</v>
      </c>
      <c r="W2632">
        <v>21</v>
      </c>
      <c r="X2632">
        <v>72</v>
      </c>
      <c r="Y2632">
        <v>2.25</v>
      </c>
    </row>
    <row r="2633" spans="1:25" x14ac:dyDescent="0.25">
      <c r="A2633">
        <v>2024</v>
      </c>
      <c r="B2633" t="s">
        <v>57</v>
      </c>
      <c r="C2633">
        <v>18</v>
      </c>
      <c r="D2633">
        <v>184</v>
      </c>
      <c r="E2633" t="s">
        <v>158</v>
      </c>
      <c r="F2633" t="s">
        <v>177</v>
      </c>
      <c r="G2633">
        <f t="shared" si="2257"/>
        <v>1</v>
      </c>
      <c r="H2633">
        <v>7</v>
      </c>
      <c r="I2633">
        <v>6</v>
      </c>
      <c r="J2633">
        <v>0</v>
      </c>
      <c r="K2633" s="6" t="str">
        <f t="shared" ref="K2633" si="2352">"vs "&amp;E2632</f>
        <v>vs Salonika Devils</v>
      </c>
      <c r="L2633" s="6" t="str">
        <f t="shared" ref="L2633" si="2353">"vs "&amp;F2632</f>
        <v>vs Fountos</v>
      </c>
      <c r="M2633">
        <v>193</v>
      </c>
      <c r="N2633" s="1">
        <v>0.48499999999999999</v>
      </c>
      <c r="O2633">
        <v>53</v>
      </c>
      <c r="P2633" s="1">
        <v>0.35599999999999998</v>
      </c>
      <c r="Q2633" s="1">
        <v>0.79300000000000004</v>
      </c>
      <c r="R2633">
        <v>535</v>
      </c>
      <c r="S2633">
        <v>36</v>
      </c>
      <c r="T2633">
        <v>145</v>
      </c>
      <c r="U2633">
        <v>154</v>
      </c>
      <c r="V2633">
        <v>27</v>
      </c>
      <c r="W2633">
        <v>8</v>
      </c>
      <c r="X2633">
        <v>58</v>
      </c>
      <c r="Y2633">
        <v>2.66</v>
      </c>
    </row>
    <row r="2634" spans="1:25" x14ac:dyDescent="0.25">
      <c r="A2634">
        <v>2024</v>
      </c>
      <c r="B2634" t="s">
        <v>57</v>
      </c>
      <c r="C2634">
        <v>18</v>
      </c>
      <c r="D2634">
        <v>185</v>
      </c>
      <c r="E2634" t="s">
        <v>159</v>
      </c>
      <c r="F2634" t="s">
        <v>116</v>
      </c>
      <c r="G2634">
        <f t="shared" si="2257"/>
        <v>1</v>
      </c>
      <c r="H2634">
        <v>9</v>
      </c>
      <c r="I2634">
        <v>4</v>
      </c>
      <c r="J2634">
        <v>0</v>
      </c>
      <c r="K2634" s="6" t="str">
        <f t="shared" ref="K2634" si="2354">"vs "&amp;E2635</f>
        <v>vs Knights of Ni</v>
      </c>
      <c r="L2634" s="6" t="str">
        <f t="shared" ref="L2634" si="2355">"vs "&amp;F2635</f>
        <v>vs Tolios</v>
      </c>
      <c r="M2634">
        <v>183</v>
      </c>
      <c r="N2634" s="1">
        <v>0.50800000000000001</v>
      </c>
      <c r="O2634">
        <v>52</v>
      </c>
      <c r="P2634" s="1">
        <v>0.36599999999999999</v>
      </c>
      <c r="Q2634" s="1">
        <v>0.873</v>
      </c>
      <c r="R2634">
        <v>487</v>
      </c>
      <c r="S2634">
        <v>37</v>
      </c>
      <c r="T2634">
        <v>154</v>
      </c>
      <c r="U2634">
        <v>119</v>
      </c>
      <c r="V2634">
        <v>22</v>
      </c>
      <c r="W2634">
        <v>14</v>
      </c>
      <c r="X2634">
        <v>50</v>
      </c>
      <c r="Y2634">
        <v>2.38</v>
      </c>
    </row>
    <row r="2635" spans="1:25" x14ac:dyDescent="0.25">
      <c r="A2635">
        <v>2024</v>
      </c>
      <c r="B2635" t="s">
        <v>57</v>
      </c>
      <c r="C2635">
        <v>18</v>
      </c>
      <c r="D2635">
        <v>185</v>
      </c>
      <c r="E2635" t="s">
        <v>96</v>
      </c>
      <c r="F2635" t="s">
        <v>102</v>
      </c>
      <c r="G2635">
        <f t="shared" si="2257"/>
        <v>0</v>
      </c>
      <c r="H2635">
        <v>4</v>
      </c>
      <c r="I2635">
        <v>9</v>
      </c>
      <c r="J2635">
        <v>0</v>
      </c>
      <c r="K2635" s="6" t="str">
        <f t="shared" ref="K2635" si="2356">"vs "&amp;E2634</f>
        <v>vs purple fuzzy apache pirates</v>
      </c>
      <c r="L2635" s="6" t="str">
        <f t="shared" ref="L2635" si="2357">"vs "&amp;F2634</f>
        <v>vs pi/Sotiris</v>
      </c>
      <c r="M2635">
        <v>107</v>
      </c>
      <c r="N2635" s="1">
        <v>0.56899999999999995</v>
      </c>
      <c r="O2635">
        <v>22</v>
      </c>
      <c r="P2635" s="1">
        <v>0.44</v>
      </c>
      <c r="Q2635" s="1">
        <v>0.91900000000000004</v>
      </c>
      <c r="R2635">
        <v>270</v>
      </c>
      <c r="S2635">
        <v>28</v>
      </c>
      <c r="T2635">
        <v>66</v>
      </c>
      <c r="U2635">
        <v>34</v>
      </c>
      <c r="V2635">
        <v>17</v>
      </c>
      <c r="W2635">
        <v>13</v>
      </c>
      <c r="X2635">
        <v>24</v>
      </c>
      <c r="Y2635">
        <v>1.42</v>
      </c>
    </row>
    <row r="2636" spans="1:25" x14ac:dyDescent="0.25">
      <c r="A2636">
        <v>2024</v>
      </c>
      <c r="B2636" t="s">
        <v>57</v>
      </c>
      <c r="C2636">
        <v>18</v>
      </c>
      <c r="D2636">
        <v>186</v>
      </c>
      <c r="E2636" t="s">
        <v>185</v>
      </c>
      <c r="F2636" t="s">
        <v>100</v>
      </c>
      <c r="G2636">
        <f t="shared" si="2257"/>
        <v>0</v>
      </c>
      <c r="H2636">
        <v>1</v>
      </c>
      <c r="I2636">
        <v>12</v>
      </c>
      <c r="J2636">
        <v>0</v>
      </c>
      <c r="K2636" s="6" t="str">
        <f t="shared" ref="K2636" si="2358">"vs "&amp;E2637</f>
        <v>vs Pachiana NinjaBees</v>
      </c>
      <c r="L2636" s="6" t="str">
        <f t="shared" ref="L2636" si="2359">"vs "&amp;F2637</f>
        <v>vs Spiridaus/Oladipas</v>
      </c>
      <c r="M2636">
        <v>150</v>
      </c>
      <c r="N2636" s="1">
        <v>0.45700000000000002</v>
      </c>
      <c r="O2636">
        <v>53</v>
      </c>
      <c r="P2636" s="1">
        <v>0.36799999999999999</v>
      </c>
      <c r="Q2636" s="1">
        <v>0.75600000000000001</v>
      </c>
      <c r="R2636">
        <v>384</v>
      </c>
      <c r="S2636">
        <v>37</v>
      </c>
      <c r="T2636">
        <v>99</v>
      </c>
      <c r="U2636">
        <v>73</v>
      </c>
      <c r="V2636">
        <v>27</v>
      </c>
      <c r="W2636">
        <v>14</v>
      </c>
      <c r="X2636">
        <v>40</v>
      </c>
      <c r="Y2636">
        <v>1.82</v>
      </c>
    </row>
    <row r="2637" spans="1:25" x14ac:dyDescent="0.25">
      <c r="A2637">
        <v>2024</v>
      </c>
      <c r="B2637" t="s">
        <v>57</v>
      </c>
      <c r="C2637">
        <v>18</v>
      </c>
      <c r="D2637">
        <v>186</v>
      </c>
      <c r="E2637" t="s">
        <v>23</v>
      </c>
      <c r="F2637" t="s">
        <v>120</v>
      </c>
      <c r="G2637">
        <f t="shared" si="2257"/>
        <v>1</v>
      </c>
      <c r="H2637">
        <v>12</v>
      </c>
      <c r="I2637">
        <v>1</v>
      </c>
      <c r="J2637">
        <v>0</v>
      </c>
      <c r="K2637" s="6" t="str">
        <f t="shared" ref="K2637" si="2360">"vs "&amp;E2636</f>
        <v>vs Paralouistas</v>
      </c>
      <c r="L2637" s="6" t="str">
        <f t="shared" ref="L2637" si="2361">"vs "&amp;F2636</f>
        <v>vs Panos</v>
      </c>
      <c r="M2637">
        <v>204</v>
      </c>
      <c r="N2637" s="1">
        <v>0.48799999999999999</v>
      </c>
      <c r="O2637">
        <v>54</v>
      </c>
      <c r="P2637" s="1">
        <v>0.41499999999999998</v>
      </c>
      <c r="Q2637" s="1">
        <v>0.78900000000000003</v>
      </c>
      <c r="R2637">
        <v>533</v>
      </c>
      <c r="S2637">
        <v>52</v>
      </c>
      <c r="T2637">
        <v>149</v>
      </c>
      <c r="U2637">
        <v>128</v>
      </c>
      <c r="V2637">
        <v>29</v>
      </c>
      <c r="W2637">
        <v>32</v>
      </c>
      <c r="X2637">
        <v>64</v>
      </c>
      <c r="Y2637">
        <v>2</v>
      </c>
    </row>
    <row r="2638" spans="1:25" x14ac:dyDescent="0.25">
      <c r="A2638">
        <v>2024</v>
      </c>
      <c r="B2638" t="s">
        <v>57</v>
      </c>
      <c r="C2638">
        <v>18</v>
      </c>
      <c r="D2638">
        <v>187</v>
      </c>
      <c r="E2638" t="s">
        <v>186</v>
      </c>
      <c r="F2638" t="s">
        <v>103</v>
      </c>
      <c r="G2638">
        <f t="shared" si="2257"/>
        <v>0</v>
      </c>
      <c r="H2638">
        <v>6</v>
      </c>
      <c r="I2638">
        <v>7</v>
      </c>
      <c r="J2638">
        <v>0</v>
      </c>
      <c r="K2638" s="6" t="str">
        <f t="shared" ref="K2638" si="2362">"vs "&amp;E2639</f>
        <v>vs Samarina Dudenbros</v>
      </c>
      <c r="L2638" s="6" t="str">
        <f t="shared" ref="L2638" si="2363">"vs "&amp;F2639</f>
        <v>vs Sakellariou</v>
      </c>
      <c r="M2638">
        <v>216</v>
      </c>
      <c r="N2638" s="1">
        <v>0.45800000000000002</v>
      </c>
      <c r="O2638">
        <v>71</v>
      </c>
      <c r="P2638" s="1">
        <v>0.39400000000000002</v>
      </c>
      <c r="Q2638" s="1">
        <v>0.79800000000000004</v>
      </c>
      <c r="R2638">
        <v>578</v>
      </c>
      <c r="S2638">
        <v>44</v>
      </c>
      <c r="T2638">
        <v>139</v>
      </c>
      <c r="U2638">
        <v>128</v>
      </c>
      <c r="V2638">
        <v>31</v>
      </c>
      <c r="W2638">
        <v>12</v>
      </c>
      <c r="X2638">
        <v>65</v>
      </c>
      <c r="Y2638">
        <v>1.97</v>
      </c>
    </row>
    <row r="2639" spans="1:25" x14ac:dyDescent="0.25">
      <c r="A2639">
        <v>2024</v>
      </c>
      <c r="B2639" t="s">
        <v>57</v>
      </c>
      <c r="C2639">
        <v>18</v>
      </c>
      <c r="D2639">
        <v>187</v>
      </c>
      <c r="E2639" t="s">
        <v>181</v>
      </c>
      <c r="F2639" t="s">
        <v>49</v>
      </c>
      <c r="G2639">
        <f t="shared" si="2257"/>
        <v>1</v>
      </c>
      <c r="H2639">
        <v>7</v>
      </c>
      <c r="I2639">
        <v>6</v>
      </c>
      <c r="J2639">
        <v>0</v>
      </c>
      <c r="K2639" s="6" t="str">
        <f t="shared" ref="K2639" si="2364">"vs "&amp;E2638</f>
        <v>vs Karafli Saita</v>
      </c>
      <c r="L2639" s="6" t="str">
        <f t="shared" ref="L2639" si="2365">"vs "&amp;F2638</f>
        <v>vs Tassos</v>
      </c>
      <c r="M2639">
        <v>198</v>
      </c>
      <c r="N2639" s="1">
        <v>0.49299999999999999</v>
      </c>
      <c r="O2639">
        <v>64</v>
      </c>
      <c r="P2639" s="1">
        <v>0.438</v>
      </c>
      <c r="Q2639" s="1">
        <v>0.81100000000000005</v>
      </c>
      <c r="R2639">
        <v>563</v>
      </c>
      <c r="S2639">
        <v>41</v>
      </c>
      <c r="T2639">
        <v>142</v>
      </c>
      <c r="U2639">
        <v>144</v>
      </c>
      <c r="V2639">
        <v>24</v>
      </c>
      <c r="W2639">
        <v>27</v>
      </c>
      <c r="X2639">
        <v>69</v>
      </c>
      <c r="Y2639">
        <v>2.09</v>
      </c>
    </row>
    <row r="2640" spans="1:25" x14ac:dyDescent="0.25">
      <c r="A2640">
        <v>2024</v>
      </c>
      <c r="B2640" t="s">
        <v>57</v>
      </c>
      <c r="C2640">
        <v>18</v>
      </c>
      <c r="D2640">
        <v>188</v>
      </c>
      <c r="E2640" t="s">
        <v>26</v>
      </c>
      <c r="F2640" t="s">
        <v>118</v>
      </c>
      <c r="G2640">
        <f t="shared" si="2257"/>
        <v>1</v>
      </c>
      <c r="H2640">
        <v>10</v>
      </c>
      <c r="I2640">
        <v>3</v>
      </c>
      <c r="J2640">
        <v>0</v>
      </c>
      <c r="K2640" s="6" t="str">
        <f t="shared" ref="K2640" si="2366">"vs "&amp;E2641</f>
        <v>vs st.Helens Eruptions</v>
      </c>
      <c r="L2640" s="6" t="str">
        <f t="shared" ref="L2640" si="2367">"vs "&amp;F2641</f>
        <v>vs Aris</v>
      </c>
      <c r="M2640">
        <v>184</v>
      </c>
      <c r="N2640" s="1">
        <v>0.44</v>
      </c>
      <c r="O2640">
        <v>57</v>
      </c>
      <c r="P2640" s="1">
        <v>0.34799999999999998</v>
      </c>
      <c r="Q2640" s="1">
        <v>0.74299999999999999</v>
      </c>
      <c r="R2640">
        <v>506</v>
      </c>
      <c r="S2640">
        <v>60</v>
      </c>
      <c r="T2640">
        <v>177</v>
      </c>
      <c r="U2640">
        <v>108</v>
      </c>
      <c r="V2640">
        <v>54</v>
      </c>
      <c r="W2640">
        <v>20</v>
      </c>
      <c r="X2640">
        <v>63</v>
      </c>
      <c r="Y2640">
        <v>1.71</v>
      </c>
    </row>
    <row r="2641" spans="1:25" x14ac:dyDescent="0.25">
      <c r="A2641">
        <v>2024</v>
      </c>
      <c r="B2641" t="s">
        <v>57</v>
      </c>
      <c r="C2641">
        <v>18</v>
      </c>
      <c r="D2641">
        <v>188</v>
      </c>
      <c r="E2641" t="s">
        <v>21</v>
      </c>
      <c r="F2641" t="s">
        <v>50</v>
      </c>
      <c r="G2641">
        <f t="shared" si="2257"/>
        <v>0</v>
      </c>
      <c r="H2641">
        <v>3</v>
      </c>
      <c r="I2641">
        <v>10</v>
      </c>
      <c r="J2641">
        <v>0</v>
      </c>
      <c r="K2641" s="6" t="str">
        <f t="shared" ref="K2641" si="2368">"vs "&amp;E2640</f>
        <v>vs Kourayo Vallecano</v>
      </c>
      <c r="L2641" s="6" t="str">
        <f t="shared" ref="L2641" si="2369">"vs "&amp;F2640</f>
        <v>vs Ziogas/Christof</v>
      </c>
      <c r="M2641">
        <v>156</v>
      </c>
      <c r="N2641" s="1">
        <v>0.48099999999999998</v>
      </c>
      <c r="O2641">
        <v>18</v>
      </c>
      <c r="P2641" s="1">
        <v>0.28999999999999998</v>
      </c>
      <c r="Q2641" s="1">
        <v>0.75700000000000001</v>
      </c>
      <c r="R2641">
        <v>411</v>
      </c>
      <c r="S2641">
        <v>41</v>
      </c>
      <c r="T2641">
        <v>106</v>
      </c>
      <c r="U2641">
        <v>73</v>
      </c>
      <c r="V2641">
        <v>23</v>
      </c>
      <c r="W2641">
        <v>13</v>
      </c>
      <c r="X2641">
        <v>50</v>
      </c>
      <c r="Y2641">
        <v>1.46</v>
      </c>
    </row>
    <row r="2642" spans="1:25" x14ac:dyDescent="0.25">
      <c r="A2642">
        <v>2024</v>
      </c>
      <c r="B2642" t="s">
        <v>57</v>
      </c>
      <c r="C2642">
        <v>18</v>
      </c>
      <c r="D2642">
        <v>189</v>
      </c>
      <c r="E2642" t="s">
        <v>28</v>
      </c>
      <c r="F2642" t="s">
        <v>46</v>
      </c>
      <c r="G2642">
        <f t="shared" si="2257"/>
        <v>0</v>
      </c>
      <c r="H2642">
        <v>6</v>
      </c>
      <c r="I2642">
        <v>6</v>
      </c>
      <c r="J2642">
        <v>1</v>
      </c>
      <c r="K2642" s="6" t="str">
        <f t="shared" ref="K2642" si="2370">"vs "&amp;E2643</f>
        <v>vs Baltimore Hercules</v>
      </c>
      <c r="L2642" s="6" t="str">
        <f t="shared" ref="L2642" si="2371">"vs "&amp;F2643</f>
        <v>vs Sarantos</v>
      </c>
      <c r="M2642">
        <v>151</v>
      </c>
      <c r="N2642" s="1">
        <v>0.45200000000000001</v>
      </c>
      <c r="O2642">
        <v>33</v>
      </c>
      <c r="P2642" s="1">
        <v>0.28000000000000003</v>
      </c>
      <c r="Q2642" s="1">
        <v>0.90300000000000002</v>
      </c>
      <c r="R2642">
        <v>437</v>
      </c>
      <c r="S2642">
        <v>30</v>
      </c>
      <c r="T2642">
        <v>126</v>
      </c>
      <c r="U2642">
        <v>79</v>
      </c>
      <c r="V2642">
        <v>22</v>
      </c>
      <c r="W2642">
        <v>23</v>
      </c>
      <c r="X2642">
        <v>44</v>
      </c>
      <c r="Y2642">
        <v>1.8</v>
      </c>
    </row>
    <row r="2643" spans="1:25" x14ac:dyDescent="0.25">
      <c r="A2643">
        <v>2024</v>
      </c>
      <c r="B2643" t="s">
        <v>57</v>
      </c>
      <c r="C2643">
        <v>18</v>
      </c>
      <c r="D2643">
        <v>189</v>
      </c>
      <c r="E2643" t="s">
        <v>95</v>
      </c>
      <c r="F2643" t="s">
        <v>101</v>
      </c>
      <c r="G2643">
        <f t="shared" si="2257"/>
        <v>0</v>
      </c>
      <c r="H2643">
        <v>6</v>
      </c>
      <c r="I2643">
        <v>6</v>
      </c>
      <c r="J2643">
        <v>1</v>
      </c>
      <c r="K2643" s="6" t="str">
        <f t="shared" ref="K2643" si="2372">"vs "&amp;E2642</f>
        <v>vs Steven Adams' Moustache</v>
      </c>
      <c r="L2643" s="6" t="str">
        <f t="shared" ref="L2643" si="2373">"vs "&amp;F2642</f>
        <v>vs Johnny</v>
      </c>
      <c r="M2643">
        <v>113</v>
      </c>
      <c r="N2643" s="1">
        <v>0.47299999999999998</v>
      </c>
      <c r="O2643">
        <v>39</v>
      </c>
      <c r="P2643" s="1">
        <v>0.39800000000000002</v>
      </c>
      <c r="Q2643" s="1">
        <v>0.71</v>
      </c>
      <c r="R2643">
        <v>287</v>
      </c>
      <c r="S2643">
        <v>30</v>
      </c>
      <c r="T2643">
        <v>108</v>
      </c>
      <c r="U2643">
        <v>67</v>
      </c>
      <c r="V2643">
        <v>27</v>
      </c>
      <c r="W2643">
        <v>17</v>
      </c>
      <c r="X2643">
        <v>32</v>
      </c>
      <c r="Y2643">
        <v>2.09</v>
      </c>
    </row>
    <row r="2644" spans="1:25" x14ac:dyDescent="0.25">
      <c r="A2644">
        <v>2024</v>
      </c>
      <c r="B2644" t="s">
        <v>57</v>
      </c>
      <c r="C2644">
        <v>18</v>
      </c>
      <c r="D2644">
        <v>190</v>
      </c>
      <c r="E2644" t="s">
        <v>16</v>
      </c>
      <c r="F2644" t="s">
        <v>51</v>
      </c>
      <c r="G2644">
        <f t="shared" si="2257"/>
        <v>0</v>
      </c>
      <c r="H2644">
        <v>2</v>
      </c>
      <c r="I2644">
        <v>11</v>
      </c>
      <c r="J2644">
        <v>0</v>
      </c>
      <c r="K2644" s="6" t="str">
        <f t="shared" ref="K2644" si="2374">"vs "&amp;E2645</f>
        <v>vs Xanthi Ducks 🦆</v>
      </c>
      <c r="L2644" s="6" t="str">
        <f t="shared" ref="L2644" si="2375">"vs "&amp;F2645</f>
        <v>vs Kotakis</v>
      </c>
      <c r="M2644">
        <v>117</v>
      </c>
      <c r="N2644" s="1">
        <v>0.438</v>
      </c>
      <c r="O2644">
        <v>45</v>
      </c>
      <c r="P2644" s="1">
        <v>0.36299999999999999</v>
      </c>
      <c r="Q2644" s="1">
        <v>0.89800000000000002</v>
      </c>
      <c r="R2644">
        <v>323</v>
      </c>
      <c r="S2644">
        <v>29</v>
      </c>
      <c r="T2644">
        <v>97</v>
      </c>
      <c r="U2644">
        <v>74</v>
      </c>
      <c r="V2644">
        <v>24</v>
      </c>
      <c r="W2644">
        <v>17</v>
      </c>
      <c r="X2644">
        <v>48</v>
      </c>
      <c r="Y2644">
        <v>1.54</v>
      </c>
    </row>
    <row r="2645" spans="1:25" x14ac:dyDescent="0.25">
      <c r="A2645">
        <v>2024</v>
      </c>
      <c r="B2645" t="s">
        <v>57</v>
      </c>
      <c r="C2645">
        <v>18</v>
      </c>
      <c r="D2645">
        <v>190</v>
      </c>
      <c r="E2645" t="s">
        <v>98</v>
      </c>
      <c r="F2645" t="s">
        <v>41</v>
      </c>
      <c r="G2645">
        <f t="shared" si="2257"/>
        <v>1</v>
      </c>
      <c r="H2645">
        <v>11</v>
      </c>
      <c r="I2645">
        <v>2</v>
      </c>
      <c r="J2645">
        <v>0</v>
      </c>
      <c r="K2645" s="6" t="str">
        <f t="shared" ref="K2645" si="2376">"vs "&amp;E2644</f>
        <v>vs The Bridgeburners</v>
      </c>
      <c r="L2645" s="6" t="str">
        <f t="shared" ref="L2645" si="2377">"vs "&amp;F2644</f>
        <v>vs Fanis</v>
      </c>
      <c r="M2645">
        <v>206</v>
      </c>
      <c r="N2645" s="1">
        <v>0.47099999999999997</v>
      </c>
      <c r="O2645">
        <v>54</v>
      </c>
      <c r="P2645" s="1">
        <v>0.34399999999999997</v>
      </c>
      <c r="Q2645" s="1">
        <v>0.72</v>
      </c>
      <c r="R2645">
        <v>533</v>
      </c>
      <c r="S2645">
        <v>63</v>
      </c>
      <c r="T2645">
        <v>147</v>
      </c>
      <c r="U2645">
        <v>114</v>
      </c>
      <c r="V2645">
        <v>27</v>
      </c>
      <c r="W2645">
        <v>26</v>
      </c>
      <c r="X2645">
        <v>40</v>
      </c>
      <c r="Y2645">
        <v>2.85</v>
      </c>
    </row>
    <row r="2646" spans="1:25" x14ac:dyDescent="0.25">
      <c r="A2646">
        <v>2024</v>
      </c>
      <c r="B2646" t="s">
        <v>142</v>
      </c>
      <c r="C2646" t="s">
        <v>148</v>
      </c>
      <c r="D2646">
        <v>191</v>
      </c>
      <c r="E2646" t="s">
        <v>16</v>
      </c>
      <c r="F2646" t="s">
        <v>51</v>
      </c>
      <c r="G2646">
        <f t="shared" si="2257"/>
        <v>1</v>
      </c>
      <c r="H2646">
        <v>7</v>
      </c>
      <c r="I2646">
        <v>6</v>
      </c>
      <c r="J2646">
        <v>0</v>
      </c>
      <c r="K2646" s="6" t="str">
        <f t="shared" ref="K2646" si="2378">"vs "&amp;E2647</f>
        <v>vs Guruuu 🐐🐐🐐</v>
      </c>
      <c r="L2646" s="6" t="str">
        <f t="shared" ref="L2646" si="2379">"vs "&amp;F2647</f>
        <v>vs Guru</v>
      </c>
      <c r="M2646">
        <v>138</v>
      </c>
      <c r="N2646" s="1">
        <v>0.505</v>
      </c>
      <c r="O2646">
        <v>42</v>
      </c>
      <c r="P2646" s="1">
        <v>0.36799999999999999</v>
      </c>
      <c r="Q2646" s="1">
        <v>0.78100000000000003</v>
      </c>
      <c r="R2646">
        <v>368</v>
      </c>
      <c r="S2646">
        <v>39</v>
      </c>
      <c r="T2646">
        <v>128</v>
      </c>
      <c r="U2646">
        <v>105</v>
      </c>
      <c r="V2646">
        <v>25</v>
      </c>
      <c r="W2646">
        <v>36</v>
      </c>
      <c r="X2646">
        <v>32</v>
      </c>
      <c r="Y2646">
        <v>3.28</v>
      </c>
    </row>
    <row r="2647" spans="1:25" x14ac:dyDescent="0.25">
      <c r="A2647">
        <v>2024</v>
      </c>
      <c r="B2647" t="s">
        <v>142</v>
      </c>
      <c r="C2647" t="s">
        <v>148</v>
      </c>
      <c r="D2647">
        <v>191</v>
      </c>
      <c r="E2647" t="s">
        <v>93</v>
      </c>
      <c r="F2647" t="s">
        <v>189</v>
      </c>
      <c r="G2647">
        <f t="shared" si="2257"/>
        <v>0</v>
      </c>
      <c r="H2647">
        <v>6</v>
      </c>
      <c r="I2647">
        <v>7</v>
      </c>
      <c r="J2647">
        <v>0</v>
      </c>
      <c r="K2647" s="6" t="str">
        <f t="shared" ref="K2647" si="2380">"vs "&amp;E2646</f>
        <v>vs The Bridgeburners</v>
      </c>
      <c r="L2647" s="6" t="str">
        <f t="shared" ref="L2647" si="2381">"vs "&amp;F2646</f>
        <v>vs Fanis</v>
      </c>
      <c r="M2647">
        <v>165</v>
      </c>
      <c r="N2647" s="1">
        <v>0.46600000000000003</v>
      </c>
      <c r="O2647">
        <v>61</v>
      </c>
      <c r="P2647" s="1">
        <v>0.39600000000000002</v>
      </c>
      <c r="Q2647" s="1">
        <v>0.79</v>
      </c>
      <c r="R2647">
        <v>440</v>
      </c>
      <c r="S2647">
        <v>34</v>
      </c>
      <c r="T2647">
        <v>106</v>
      </c>
      <c r="U2647">
        <v>89</v>
      </c>
      <c r="V2647">
        <v>26</v>
      </c>
      <c r="W2647">
        <v>15</v>
      </c>
      <c r="X2647">
        <v>47</v>
      </c>
      <c r="Y2647">
        <v>1.89</v>
      </c>
    </row>
    <row r="2648" spans="1:25" x14ac:dyDescent="0.25">
      <c r="A2648">
        <v>2024</v>
      </c>
      <c r="B2648" t="s">
        <v>142</v>
      </c>
      <c r="C2648" t="s">
        <v>148</v>
      </c>
      <c r="D2648">
        <v>192</v>
      </c>
      <c r="E2648" t="s">
        <v>26</v>
      </c>
      <c r="F2648" t="s">
        <v>118</v>
      </c>
      <c r="G2648">
        <f t="shared" si="2257"/>
        <v>0</v>
      </c>
      <c r="H2648">
        <v>4</v>
      </c>
      <c r="I2648">
        <v>9</v>
      </c>
      <c r="J2648">
        <v>0</v>
      </c>
      <c r="K2648" s="6" t="str">
        <f t="shared" ref="K2648" si="2382">"vs "&amp;E2649</f>
        <v>vs LRBP PR3DATORS</v>
      </c>
      <c r="L2648" s="6" t="str">
        <f t="shared" ref="L2648" si="2383">"vs "&amp;F2649</f>
        <v>vs Lafa</v>
      </c>
      <c r="M2648">
        <v>144</v>
      </c>
      <c r="N2648" s="1">
        <v>0.503</v>
      </c>
      <c r="O2648">
        <v>48</v>
      </c>
      <c r="P2648" s="1">
        <v>0.39700000000000002</v>
      </c>
      <c r="Q2648" s="1">
        <v>0.70799999999999996</v>
      </c>
      <c r="R2648">
        <v>382</v>
      </c>
      <c r="S2648">
        <v>33</v>
      </c>
      <c r="T2648">
        <v>132</v>
      </c>
      <c r="U2648">
        <v>81</v>
      </c>
      <c r="V2648">
        <v>29</v>
      </c>
      <c r="W2648">
        <v>24</v>
      </c>
      <c r="X2648">
        <v>50</v>
      </c>
      <c r="Y2648">
        <v>1.62</v>
      </c>
    </row>
    <row r="2649" spans="1:25" x14ac:dyDescent="0.25">
      <c r="A2649">
        <v>2024</v>
      </c>
      <c r="B2649" t="s">
        <v>142</v>
      </c>
      <c r="C2649" t="s">
        <v>148</v>
      </c>
      <c r="D2649">
        <v>192</v>
      </c>
      <c r="E2649" t="s">
        <v>158</v>
      </c>
      <c r="F2649" t="s">
        <v>177</v>
      </c>
      <c r="G2649">
        <f t="shared" si="2257"/>
        <v>1</v>
      </c>
      <c r="H2649">
        <v>9</v>
      </c>
      <c r="I2649">
        <v>4</v>
      </c>
      <c r="J2649">
        <v>0</v>
      </c>
      <c r="K2649" s="6" t="str">
        <f t="shared" ref="K2649" si="2384">"vs "&amp;E2648</f>
        <v>vs Kourayo Vallecano</v>
      </c>
      <c r="L2649" s="6" t="str">
        <f t="shared" ref="L2649" si="2385">"vs "&amp;F2648</f>
        <v>vs Ziogas/Christof</v>
      </c>
      <c r="M2649">
        <v>248</v>
      </c>
      <c r="N2649" s="1">
        <v>0.48399999999999999</v>
      </c>
      <c r="O2649">
        <v>81</v>
      </c>
      <c r="P2649" s="1">
        <v>0.38900000000000001</v>
      </c>
      <c r="Q2649" s="1">
        <v>0.77800000000000002</v>
      </c>
      <c r="R2649">
        <v>668</v>
      </c>
      <c r="S2649">
        <v>37</v>
      </c>
      <c r="T2649">
        <v>165</v>
      </c>
      <c r="U2649">
        <v>148</v>
      </c>
      <c r="V2649">
        <v>37</v>
      </c>
      <c r="W2649">
        <v>15</v>
      </c>
      <c r="X2649">
        <v>74</v>
      </c>
      <c r="Y2649">
        <v>2</v>
      </c>
    </row>
    <row r="2650" spans="1:25" x14ac:dyDescent="0.25">
      <c r="A2650">
        <v>2024</v>
      </c>
      <c r="B2650" t="s">
        <v>142</v>
      </c>
      <c r="C2650" t="s">
        <v>148</v>
      </c>
      <c r="D2650">
        <v>193</v>
      </c>
      <c r="E2650" t="s">
        <v>15</v>
      </c>
      <c r="F2650" t="s">
        <v>48</v>
      </c>
      <c r="G2650">
        <f t="shared" ref="G2650:G2713" si="2386">IF(H2650+0.5*J2650&gt;6.5,1,0)</f>
        <v>1</v>
      </c>
      <c r="H2650">
        <v>8</v>
      </c>
      <c r="I2650">
        <v>5</v>
      </c>
      <c r="J2650">
        <v>0</v>
      </c>
      <c r="K2650" s="6" t="str">
        <f t="shared" ref="K2650" si="2387">"vs "&amp;E2651</f>
        <v>vs purple fuzzy apache pirates</v>
      </c>
      <c r="L2650" s="6" t="str">
        <f t="shared" ref="L2650" si="2388">"vs "&amp;F2651</f>
        <v>vs pi/Sotiris</v>
      </c>
      <c r="M2650">
        <v>215</v>
      </c>
      <c r="N2650" s="1">
        <v>0.45500000000000002</v>
      </c>
      <c r="O2650">
        <v>71</v>
      </c>
      <c r="P2650" s="1">
        <v>0.38400000000000001</v>
      </c>
      <c r="Q2650" s="1">
        <v>0.78200000000000003</v>
      </c>
      <c r="R2650">
        <v>594</v>
      </c>
      <c r="S2650">
        <v>29</v>
      </c>
      <c r="T2650">
        <v>135</v>
      </c>
      <c r="U2650">
        <v>206</v>
      </c>
      <c r="V2650">
        <v>31</v>
      </c>
      <c r="W2650">
        <v>15</v>
      </c>
      <c r="X2650">
        <v>70</v>
      </c>
      <c r="Y2650">
        <v>2.94</v>
      </c>
    </row>
    <row r="2651" spans="1:25" x14ac:dyDescent="0.25">
      <c r="A2651">
        <v>2024</v>
      </c>
      <c r="B2651" t="s">
        <v>142</v>
      </c>
      <c r="C2651" t="s">
        <v>148</v>
      </c>
      <c r="D2651">
        <v>193</v>
      </c>
      <c r="E2651" t="s">
        <v>159</v>
      </c>
      <c r="F2651" t="s">
        <v>116</v>
      </c>
      <c r="G2651">
        <f t="shared" si="2386"/>
        <v>0</v>
      </c>
      <c r="H2651">
        <v>5</v>
      </c>
      <c r="I2651">
        <v>8</v>
      </c>
      <c r="J2651">
        <v>0</v>
      </c>
      <c r="K2651" s="6" t="str">
        <f t="shared" ref="K2651" si="2389">"vs "&amp;E2650</f>
        <v>vs Salonika Devils</v>
      </c>
      <c r="L2651" s="6" t="str">
        <f t="shared" ref="L2651" si="2390">"vs "&amp;F2650</f>
        <v>vs Fountos</v>
      </c>
      <c r="M2651">
        <v>208</v>
      </c>
      <c r="N2651" s="1">
        <v>0.52100000000000002</v>
      </c>
      <c r="O2651">
        <v>58</v>
      </c>
      <c r="P2651" s="1">
        <v>0.4</v>
      </c>
      <c r="Q2651" s="1">
        <v>0.78400000000000003</v>
      </c>
      <c r="R2651">
        <v>543</v>
      </c>
      <c r="S2651">
        <v>34</v>
      </c>
      <c r="T2651">
        <v>130</v>
      </c>
      <c r="U2651">
        <v>142</v>
      </c>
      <c r="V2651">
        <v>23</v>
      </c>
      <c r="W2651">
        <v>12</v>
      </c>
      <c r="X2651">
        <v>66</v>
      </c>
      <c r="Y2651">
        <v>2.15</v>
      </c>
    </row>
    <row r="2652" spans="1:25" x14ac:dyDescent="0.25">
      <c r="A2652">
        <v>2024</v>
      </c>
      <c r="B2652" t="s">
        <v>142</v>
      </c>
      <c r="C2652" t="s">
        <v>148</v>
      </c>
      <c r="D2652">
        <v>194</v>
      </c>
      <c r="E2652" t="s">
        <v>23</v>
      </c>
      <c r="F2652" t="s">
        <v>120</v>
      </c>
      <c r="G2652">
        <f t="shared" si="2386"/>
        <v>0</v>
      </c>
      <c r="H2652">
        <v>6</v>
      </c>
      <c r="I2652">
        <v>7</v>
      </c>
      <c r="J2652">
        <v>0</v>
      </c>
      <c r="K2652" s="6" t="str">
        <f t="shared" ref="K2652" si="2391">"vs "&amp;E2653</f>
        <v>vs Fighting Thaddeus</v>
      </c>
      <c r="L2652" s="6" t="str">
        <f t="shared" ref="L2652" si="2392">"vs "&amp;F2653</f>
        <v>vs Stavros</v>
      </c>
      <c r="M2652">
        <v>157</v>
      </c>
      <c r="N2652" s="1">
        <v>0.439</v>
      </c>
      <c r="O2652">
        <v>56</v>
      </c>
      <c r="P2652" s="1">
        <v>0.373</v>
      </c>
      <c r="Q2652" s="1">
        <v>0.79500000000000004</v>
      </c>
      <c r="R2652">
        <v>436</v>
      </c>
      <c r="S2652">
        <v>40</v>
      </c>
      <c r="T2652">
        <v>125</v>
      </c>
      <c r="U2652">
        <v>126</v>
      </c>
      <c r="V2652">
        <v>24</v>
      </c>
      <c r="W2652">
        <v>18</v>
      </c>
      <c r="X2652">
        <v>66</v>
      </c>
      <c r="Y2652">
        <v>1.91</v>
      </c>
    </row>
    <row r="2653" spans="1:25" x14ac:dyDescent="0.25">
      <c r="A2653">
        <v>2024</v>
      </c>
      <c r="B2653" t="s">
        <v>142</v>
      </c>
      <c r="C2653" t="s">
        <v>148</v>
      </c>
      <c r="D2653">
        <v>194</v>
      </c>
      <c r="E2653" t="s">
        <v>94</v>
      </c>
      <c r="F2653" t="s">
        <v>40</v>
      </c>
      <c r="G2653">
        <f t="shared" si="2386"/>
        <v>1</v>
      </c>
      <c r="H2653">
        <v>7</v>
      </c>
      <c r="I2653">
        <v>6</v>
      </c>
      <c r="J2653">
        <v>0</v>
      </c>
      <c r="K2653" s="6" t="str">
        <f t="shared" ref="K2653" si="2393">"vs "&amp;E2652</f>
        <v>vs Pachiana NinjaBees</v>
      </c>
      <c r="L2653" s="6" t="str">
        <f t="shared" ref="L2653" si="2394">"vs "&amp;F2652</f>
        <v>vs Spiridaus/Oladipas</v>
      </c>
      <c r="M2653">
        <v>161</v>
      </c>
      <c r="N2653" s="1">
        <v>0.47199999999999998</v>
      </c>
      <c r="O2653">
        <v>43</v>
      </c>
      <c r="P2653" s="1">
        <v>0.34100000000000003</v>
      </c>
      <c r="Q2653" s="1">
        <v>0.77800000000000002</v>
      </c>
      <c r="R2653">
        <v>435</v>
      </c>
      <c r="S2653">
        <v>41</v>
      </c>
      <c r="T2653">
        <v>133</v>
      </c>
      <c r="U2653">
        <v>109</v>
      </c>
      <c r="V2653">
        <v>23</v>
      </c>
      <c r="W2653">
        <v>24</v>
      </c>
      <c r="X2653">
        <v>48</v>
      </c>
      <c r="Y2653">
        <v>2.27</v>
      </c>
    </row>
    <row r="2654" spans="1:25" x14ac:dyDescent="0.25">
      <c r="A2654">
        <v>2024</v>
      </c>
      <c r="B2654" t="s">
        <v>142</v>
      </c>
      <c r="C2654" t="s">
        <v>146</v>
      </c>
      <c r="D2654">
        <v>195</v>
      </c>
      <c r="E2654" t="s">
        <v>16</v>
      </c>
      <c r="F2654" t="s">
        <v>51</v>
      </c>
      <c r="G2654">
        <f t="shared" si="2386"/>
        <v>0</v>
      </c>
      <c r="H2654">
        <v>4</v>
      </c>
      <c r="I2654">
        <v>9</v>
      </c>
      <c r="J2654">
        <v>0</v>
      </c>
      <c r="K2654" s="6" t="str">
        <f t="shared" ref="K2654" si="2395">"vs "&amp;E2655</f>
        <v>vs Xanthi Ducks 🦆</v>
      </c>
      <c r="L2654" s="6" t="str">
        <f t="shared" ref="L2654" si="2396">"vs "&amp;F2655</f>
        <v>vs Kotakis</v>
      </c>
      <c r="M2654">
        <v>147</v>
      </c>
      <c r="N2654" s="1">
        <v>0.47699999999999998</v>
      </c>
      <c r="O2654">
        <v>46</v>
      </c>
      <c r="P2654" s="1">
        <v>0.36199999999999999</v>
      </c>
      <c r="Q2654" s="1">
        <v>0.81299999999999994</v>
      </c>
      <c r="R2654">
        <v>401</v>
      </c>
      <c r="S2654">
        <v>50</v>
      </c>
      <c r="T2654">
        <v>142</v>
      </c>
      <c r="U2654">
        <v>112</v>
      </c>
      <c r="V2654">
        <v>27</v>
      </c>
      <c r="W2654">
        <v>28</v>
      </c>
      <c r="X2654">
        <v>52</v>
      </c>
      <c r="Y2654">
        <v>2.15</v>
      </c>
    </row>
    <row r="2655" spans="1:25" x14ac:dyDescent="0.25">
      <c r="A2655">
        <v>2024</v>
      </c>
      <c r="B2655" t="s">
        <v>142</v>
      </c>
      <c r="C2655" t="s">
        <v>146</v>
      </c>
      <c r="D2655">
        <v>195</v>
      </c>
      <c r="E2655" t="s">
        <v>98</v>
      </c>
      <c r="F2655" t="s">
        <v>41</v>
      </c>
      <c r="G2655">
        <f t="shared" si="2386"/>
        <v>1</v>
      </c>
      <c r="H2655">
        <v>9</v>
      </c>
      <c r="I2655">
        <v>4</v>
      </c>
      <c r="J2655">
        <v>0</v>
      </c>
      <c r="K2655" s="6" t="str">
        <f t="shared" ref="K2655" si="2397">"vs "&amp;E2654</f>
        <v>vs The Bridgeburners</v>
      </c>
      <c r="L2655" s="6" t="str">
        <f t="shared" ref="L2655" si="2398">"vs "&amp;F2654</f>
        <v>vs Fanis</v>
      </c>
      <c r="M2655">
        <v>206</v>
      </c>
      <c r="N2655" s="1">
        <v>0.49399999999999999</v>
      </c>
      <c r="O2655">
        <v>56</v>
      </c>
      <c r="P2655" s="1">
        <v>0.35899999999999999</v>
      </c>
      <c r="Q2655" s="1">
        <v>0.85</v>
      </c>
      <c r="R2655">
        <v>559</v>
      </c>
      <c r="S2655">
        <v>42</v>
      </c>
      <c r="T2655">
        <v>166</v>
      </c>
      <c r="U2655">
        <v>134</v>
      </c>
      <c r="V2655">
        <v>31</v>
      </c>
      <c r="W2655">
        <v>20</v>
      </c>
      <c r="X2655">
        <v>57</v>
      </c>
      <c r="Y2655">
        <v>2.35</v>
      </c>
    </row>
    <row r="2656" spans="1:25" x14ac:dyDescent="0.25">
      <c r="A2656">
        <v>2024</v>
      </c>
      <c r="B2656" t="s">
        <v>142</v>
      </c>
      <c r="C2656" t="s">
        <v>146</v>
      </c>
      <c r="D2656">
        <v>196</v>
      </c>
      <c r="E2656" t="s">
        <v>158</v>
      </c>
      <c r="F2656" t="s">
        <v>177</v>
      </c>
      <c r="G2656">
        <f t="shared" si="2386"/>
        <v>0</v>
      </c>
      <c r="H2656">
        <v>6</v>
      </c>
      <c r="I2656">
        <v>7</v>
      </c>
      <c r="J2656">
        <v>0</v>
      </c>
      <c r="K2656" s="6" t="str">
        <f t="shared" ref="K2656" si="2399">"vs "&amp;E2657</f>
        <v>vs The Guns</v>
      </c>
      <c r="L2656" s="6" t="str">
        <f t="shared" ref="L2656" si="2400">"vs "&amp;F2657</f>
        <v>vs Vasilis</v>
      </c>
      <c r="M2656">
        <v>159</v>
      </c>
      <c r="N2656" s="1">
        <v>0.46899999999999997</v>
      </c>
      <c r="O2656">
        <v>60</v>
      </c>
      <c r="P2656" s="1">
        <v>0.4</v>
      </c>
      <c r="Q2656" s="1">
        <v>0.878</v>
      </c>
      <c r="R2656">
        <v>450</v>
      </c>
      <c r="S2656">
        <v>20</v>
      </c>
      <c r="T2656">
        <v>112</v>
      </c>
      <c r="U2656">
        <v>104</v>
      </c>
      <c r="V2656">
        <v>12</v>
      </c>
      <c r="W2656">
        <v>9</v>
      </c>
      <c r="X2656">
        <v>41</v>
      </c>
      <c r="Y2656">
        <v>2.54</v>
      </c>
    </row>
    <row r="2657" spans="1:25" x14ac:dyDescent="0.25">
      <c r="A2657">
        <v>2024</v>
      </c>
      <c r="B2657" t="s">
        <v>142</v>
      </c>
      <c r="C2657" t="s">
        <v>146</v>
      </c>
      <c r="D2657">
        <v>196</v>
      </c>
      <c r="E2657" t="s">
        <v>33</v>
      </c>
      <c r="F2657" t="s">
        <v>42</v>
      </c>
      <c r="G2657">
        <f t="shared" si="2386"/>
        <v>1</v>
      </c>
      <c r="H2657">
        <v>7</v>
      </c>
      <c r="I2657">
        <v>6</v>
      </c>
      <c r="J2657">
        <v>0</v>
      </c>
      <c r="K2657" s="6" t="str">
        <f t="shared" ref="K2657" si="2401">"vs "&amp;E2656</f>
        <v>vs LRBP PR3DATORS</v>
      </c>
      <c r="L2657" s="6" t="str">
        <f t="shared" ref="L2657" si="2402">"vs "&amp;F2656</f>
        <v>vs Lafa</v>
      </c>
      <c r="M2657">
        <v>181</v>
      </c>
      <c r="N2657" s="1">
        <v>0.496</v>
      </c>
      <c r="O2657">
        <v>40</v>
      </c>
      <c r="P2657" s="1">
        <v>0.36699999999999999</v>
      </c>
      <c r="Q2657" s="1">
        <v>0.72399999999999998</v>
      </c>
      <c r="R2657">
        <v>478</v>
      </c>
      <c r="S2657">
        <v>46</v>
      </c>
      <c r="T2657">
        <v>137</v>
      </c>
      <c r="U2657">
        <v>101</v>
      </c>
      <c r="V2657">
        <v>20</v>
      </c>
      <c r="W2657">
        <v>22</v>
      </c>
      <c r="X2657">
        <v>47</v>
      </c>
      <c r="Y2657">
        <v>2.15</v>
      </c>
    </row>
    <row r="2658" spans="1:25" x14ac:dyDescent="0.25">
      <c r="A2658">
        <v>2024</v>
      </c>
      <c r="B2658" t="s">
        <v>142</v>
      </c>
      <c r="C2658" t="s">
        <v>146</v>
      </c>
      <c r="D2658">
        <v>197</v>
      </c>
      <c r="E2658" t="s">
        <v>15</v>
      </c>
      <c r="F2658" t="s">
        <v>48</v>
      </c>
      <c r="G2658">
        <f t="shared" si="2386"/>
        <v>0</v>
      </c>
      <c r="H2658">
        <v>6</v>
      </c>
      <c r="I2658">
        <v>7</v>
      </c>
      <c r="J2658">
        <v>0</v>
      </c>
      <c r="K2658" s="6" t="str">
        <f t="shared" ref="K2658" si="2403">"vs "&amp;E2659</f>
        <v>vs Samarina Dudenbros</v>
      </c>
      <c r="L2658" s="6" t="str">
        <f t="shared" ref="L2658" si="2404">"vs "&amp;F2659</f>
        <v>vs Sakellariou</v>
      </c>
      <c r="M2658">
        <v>209</v>
      </c>
      <c r="N2658" s="1">
        <v>0.496</v>
      </c>
      <c r="O2658">
        <v>58</v>
      </c>
      <c r="P2658" s="1">
        <v>0.372</v>
      </c>
      <c r="Q2658" s="1">
        <v>0.83699999999999997</v>
      </c>
      <c r="R2658">
        <v>563</v>
      </c>
      <c r="S2658">
        <v>25</v>
      </c>
      <c r="T2658">
        <v>116</v>
      </c>
      <c r="U2658">
        <v>155</v>
      </c>
      <c r="V2658">
        <v>43</v>
      </c>
      <c r="W2658">
        <v>14</v>
      </c>
      <c r="X2658">
        <v>77</v>
      </c>
      <c r="Y2658">
        <v>2.0099999999999998</v>
      </c>
    </row>
    <row r="2659" spans="1:25" x14ac:dyDescent="0.25">
      <c r="A2659">
        <v>2024</v>
      </c>
      <c r="B2659" t="s">
        <v>142</v>
      </c>
      <c r="C2659" t="s">
        <v>146</v>
      </c>
      <c r="D2659">
        <v>197</v>
      </c>
      <c r="E2659" t="s">
        <v>181</v>
      </c>
      <c r="F2659" t="s">
        <v>49</v>
      </c>
      <c r="G2659">
        <f t="shared" si="2386"/>
        <v>1</v>
      </c>
      <c r="H2659">
        <v>7</v>
      </c>
      <c r="I2659">
        <v>6</v>
      </c>
      <c r="J2659">
        <v>0</v>
      </c>
      <c r="K2659" s="6" t="str">
        <f t="shared" ref="K2659" si="2405">"vs "&amp;E2658</f>
        <v>vs Salonika Devils</v>
      </c>
      <c r="L2659" s="6" t="str">
        <f t="shared" ref="L2659" si="2406">"vs "&amp;F2658</f>
        <v>vs Fountos</v>
      </c>
      <c r="M2659">
        <v>166</v>
      </c>
      <c r="N2659" s="1">
        <v>0.53400000000000003</v>
      </c>
      <c r="O2659">
        <v>59</v>
      </c>
      <c r="P2659" s="1">
        <v>0.46100000000000002</v>
      </c>
      <c r="Q2659" s="1">
        <v>0.78700000000000003</v>
      </c>
      <c r="R2659">
        <v>461</v>
      </c>
      <c r="S2659">
        <v>29</v>
      </c>
      <c r="T2659">
        <v>109</v>
      </c>
      <c r="U2659">
        <v>108</v>
      </c>
      <c r="V2659">
        <v>29</v>
      </c>
      <c r="W2659">
        <v>20</v>
      </c>
      <c r="X2659">
        <v>47</v>
      </c>
      <c r="Y2659">
        <v>2.2999999999999998</v>
      </c>
    </row>
    <row r="2660" spans="1:25" x14ac:dyDescent="0.25">
      <c r="A2660">
        <v>2024</v>
      </c>
      <c r="B2660" t="s">
        <v>142</v>
      </c>
      <c r="C2660" t="s">
        <v>146</v>
      </c>
      <c r="D2660">
        <v>198</v>
      </c>
      <c r="E2660" t="s">
        <v>94</v>
      </c>
      <c r="F2660" t="s">
        <v>40</v>
      </c>
      <c r="G2660">
        <f t="shared" si="2386"/>
        <v>0</v>
      </c>
      <c r="H2660">
        <v>4</v>
      </c>
      <c r="I2660">
        <v>9</v>
      </c>
      <c r="J2660">
        <v>0</v>
      </c>
      <c r="K2660" s="6" t="str">
        <f t="shared" ref="K2660" si="2407">"vs "&amp;E2661</f>
        <v>vs Karafli Saita</v>
      </c>
      <c r="L2660" s="6" t="str">
        <f t="shared" ref="L2660" si="2408">"vs "&amp;F2661</f>
        <v>vs Tassos</v>
      </c>
      <c r="M2660">
        <v>141</v>
      </c>
      <c r="N2660" s="1">
        <v>0.45</v>
      </c>
      <c r="O2660">
        <v>44</v>
      </c>
      <c r="P2660" s="1">
        <v>0.34100000000000003</v>
      </c>
      <c r="Q2660" s="1">
        <v>0.84299999999999997</v>
      </c>
      <c r="R2660">
        <v>369</v>
      </c>
      <c r="S2660">
        <v>39</v>
      </c>
      <c r="T2660">
        <v>126</v>
      </c>
      <c r="U2660">
        <v>81</v>
      </c>
      <c r="V2660">
        <v>23</v>
      </c>
      <c r="W2660">
        <v>24</v>
      </c>
      <c r="X2660">
        <v>44</v>
      </c>
      <c r="Y2660">
        <v>1.84</v>
      </c>
    </row>
    <row r="2661" spans="1:25" x14ac:dyDescent="0.25">
      <c r="A2661">
        <v>2024</v>
      </c>
      <c r="B2661" t="s">
        <v>142</v>
      </c>
      <c r="C2661" t="s">
        <v>146</v>
      </c>
      <c r="D2661">
        <v>198</v>
      </c>
      <c r="E2661" t="s">
        <v>186</v>
      </c>
      <c r="F2661" t="s">
        <v>103</v>
      </c>
      <c r="G2661">
        <f t="shared" si="2386"/>
        <v>1</v>
      </c>
      <c r="H2661">
        <v>9</v>
      </c>
      <c r="I2661">
        <v>4</v>
      </c>
      <c r="J2661">
        <v>0</v>
      </c>
      <c r="K2661" s="6" t="str">
        <f t="shared" ref="K2661" si="2409">"vs "&amp;E2660</f>
        <v>vs Fighting Thaddeus</v>
      </c>
      <c r="L2661" s="6" t="str">
        <f t="shared" ref="L2661" si="2410">"vs "&amp;F2660</f>
        <v>vs Stavros</v>
      </c>
      <c r="M2661">
        <v>200</v>
      </c>
      <c r="N2661" s="1">
        <v>0.49099999999999999</v>
      </c>
      <c r="O2661">
        <v>62</v>
      </c>
      <c r="P2661" s="1">
        <v>0.41099999999999998</v>
      </c>
      <c r="Q2661" s="1">
        <v>0.86099999999999999</v>
      </c>
      <c r="R2661">
        <v>530</v>
      </c>
      <c r="S2661">
        <v>23</v>
      </c>
      <c r="T2661">
        <v>119</v>
      </c>
      <c r="U2661">
        <v>159</v>
      </c>
      <c r="V2661">
        <v>34</v>
      </c>
      <c r="W2661">
        <v>16</v>
      </c>
      <c r="X2661">
        <v>52</v>
      </c>
      <c r="Y2661">
        <v>3.06</v>
      </c>
    </row>
    <row r="2662" spans="1:25" x14ac:dyDescent="0.25">
      <c r="A2662">
        <v>2024</v>
      </c>
      <c r="B2662" t="s">
        <v>142</v>
      </c>
      <c r="C2662" t="s">
        <v>147</v>
      </c>
      <c r="D2662">
        <v>199</v>
      </c>
      <c r="E2662" t="s">
        <v>33</v>
      </c>
      <c r="F2662" t="s">
        <v>42</v>
      </c>
      <c r="G2662">
        <f t="shared" si="2386"/>
        <v>0</v>
      </c>
      <c r="H2662">
        <v>3</v>
      </c>
      <c r="I2662">
        <v>10</v>
      </c>
      <c r="J2662">
        <v>0</v>
      </c>
      <c r="K2662" s="6" t="str">
        <f t="shared" ref="K2662" si="2411">"vs "&amp;E2663</f>
        <v>vs Xanthi Ducks 🦆</v>
      </c>
      <c r="L2662" s="6" t="str">
        <f t="shared" ref="L2662" si="2412">"vs "&amp;F2663</f>
        <v>vs Kotakis</v>
      </c>
      <c r="M2662">
        <v>187</v>
      </c>
      <c r="N2662" s="1">
        <v>0.47699999999999998</v>
      </c>
      <c r="O2662">
        <v>33</v>
      </c>
      <c r="P2662" s="1">
        <v>0.314</v>
      </c>
      <c r="Q2662" s="1">
        <v>0.73299999999999998</v>
      </c>
      <c r="R2662">
        <v>470</v>
      </c>
      <c r="S2662">
        <v>54</v>
      </c>
      <c r="T2662">
        <v>156</v>
      </c>
      <c r="U2662">
        <v>104</v>
      </c>
      <c r="V2662">
        <v>44</v>
      </c>
      <c r="W2662">
        <v>38</v>
      </c>
      <c r="X2662">
        <v>62</v>
      </c>
      <c r="Y2662">
        <v>1.68</v>
      </c>
    </row>
    <row r="2663" spans="1:25" x14ac:dyDescent="0.25">
      <c r="A2663">
        <v>2024</v>
      </c>
      <c r="B2663" t="s">
        <v>142</v>
      </c>
      <c r="C2663" t="s">
        <v>147</v>
      </c>
      <c r="D2663">
        <v>199</v>
      </c>
      <c r="E2663" t="s">
        <v>98</v>
      </c>
      <c r="F2663" t="s">
        <v>41</v>
      </c>
      <c r="G2663">
        <f t="shared" si="2386"/>
        <v>1</v>
      </c>
      <c r="H2663">
        <v>10</v>
      </c>
      <c r="I2663">
        <v>3</v>
      </c>
      <c r="J2663">
        <v>0</v>
      </c>
      <c r="K2663" s="6" t="str">
        <f t="shared" ref="K2663" si="2413">"vs "&amp;E2662</f>
        <v>vs The Guns</v>
      </c>
      <c r="L2663" s="6" t="str">
        <f t="shared" ref="L2663" si="2414">"vs "&amp;F2662</f>
        <v>vs Vasilis</v>
      </c>
      <c r="M2663">
        <v>202</v>
      </c>
      <c r="N2663" s="1">
        <v>0.49</v>
      </c>
      <c r="O2663">
        <v>70</v>
      </c>
      <c r="P2663" s="1">
        <v>0.41399999999999998</v>
      </c>
      <c r="Q2663" s="1">
        <v>0.78400000000000003</v>
      </c>
      <c r="R2663">
        <v>543</v>
      </c>
      <c r="S2663">
        <v>42</v>
      </c>
      <c r="T2663">
        <v>166</v>
      </c>
      <c r="U2663">
        <v>126</v>
      </c>
      <c r="V2663">
        <v>32</v>
      </c>
      <c r="W2663">
        <v>22</v>
      </c>
      <c r="X2663">
        <v>61</v>
      </c>
      <c r="Y2663">
        <v>2.0699999999999998</v>
      </c>
    </row>
    <row r="2664" spans="1:25" x14ac:dyDescent="0.25">
      <c r="A2664">
        <v>2024</v>
      </c>
      <c r="B2664" t="s">
        <v>142</v>
      </c>
      <c r="C2664" t="s">
        <v>147</v>
      </c>
      <c r="D2664">
        <v>200</v>
      </c>
      <c r="E2664" t="s">
        <v>186</v>
      </c>
      <c r="F2664" t="s">
        <v>103</v>
      </c>
      <c r="G2664">
        <f t="shared" si="2386"/>
        <v>0</v>
      </c>
      <c r="H2664">
        <v>6</v>
      </c>
      <c r="I2664">
        <v>6</v>
      </c>
      <c r="J2664">
        <v>1</v>
      </c>
      <c r="K2664" s="6" t="str">
        <f t="shared" ref="K2664" si="2415">"vs "&amp;E2665</f>
        <v>vs Samarina Dudenbros</v>
      </c>
      <c r="L2664" s="6" t="str">
        <f t="shared" ref="L2664" si="2416">"vs "&amp;F2665</f>
        <v>vs Sakellariou</v>
      </c>
      <c r="M2664">
        <v>220</v>
      </c>
      <c r="N2664" s="1">
        <v>0.47299999999999998</v>
      </c>
      <c r="O2664">
        <v>42</v>
      </c>
      <c r="P2664" s="1">
        <v>0.29799999999999999</v>
      </c>
      <c r="Q2664" s="1">
        <v>0.76500000000000001</v>
      </c>
      <c r="R2664">
        <v>573</v>
      </c>
      <c r="S2664">
        <v>44</v>
      </c>
      <c r="T2664">
        <v>136</v>
      </c>
      <c r="U2664">
        <v>142</v>
      </c>
      <c r="V2664">
        <v>42</v>
      </c>
      <c r="W2664">
        <v>17</v>
      </c>
      <c r="X2664">
        <v>62</v>
      </c>
      <c r="Y2664">
        <v>2.29</v>
      </c>
    </row>
    <row r="2665" spans="1:25" x14ac:dyDescent="0.25">
      <c r="A2665">
        <v>2024</v>
      </c>
      <c r="B2665" t="s">
        <v>142</v>
      </c>
      <c r="C2665" t="s">
        <v>147</v>
      </c>
      <c r="D2665">
        <v>200</v>
      </c>
      <c r="E2665" t="s">
        <v>181</v>
      </c>
      <c r="F2665" t="s">
        <v>49</v>
      </c>
      <c r="G2665">
        <f t="shared" si="2386"/>
        <v>0</v>
      </c>
      <c r="H2665">
        <v>6</v>
      </c>
      <c r="I2665">
        <v>6</v>
      </c>
      <c r="J2665">
        <v>1</v>
      </c>
      <c r="K2665" s="6" t="str">
        <f t="shared" ref="K2665" si="2417">"vs "&amp;E2664</f>
        <v>vs Karafli Saita</v>
      </c>
      <c r="L2665" s="6" t="str">
        <f t="shared" ref="L2665" si="2418">"vs "&amp;F2664</f>
        <v>vs Tassos</v>
      </c>
      <c r="M2665">
        <v>157</v>
      </c>
      <c r="N2665" s="1">
        <v>0.48299999999999998</v>
      </c>
      <c r="O2665">
        <v>47</v>
      </c>
      <c r="P2665" s="1">
        <v>0.35899999999999999</v>
      </c>
      <c r="Q2665" s="1">
        <v>0.85699999999999998</v>
      </c>
      <c r="R2665">
        <v>433</v>
      </c>
      <c r="S2665">
        <v>28</v>
      </c>
      <c r="T2665">
        <v>108</v>
      </c>
      <c r="U2665">
        <v>134</v>
      </c>
      <c r="V2665">
        <v>26</v>
      </c>
      <c r="W2665">
        <v>17</v>
      </c>
      <c r="X2665">
        <v>43</v>
      </c>
      <c r="Y2665">
        <v>3.12</v>
      </c>
    </row>
    <row r="2666" spans="1:25" x14ac:dyDescent="0.25">
      <c r="A2666">
        <v>2024</v>
      </c>
      <c r="B2666" t="s">
        <v>142</v>
      </c>
      <c r="C2666" t="s">
        <v>30</v>
      </c>
      <c r="D2666">
        <v>201</v>
      </c>
      <c r="E2666" t="s">
        <v>181</v>
      </c>
      <c r="F2666" t="s">
        <v>49</v>
      </c>
      <c r="G2666">
        <f t="shared" si="2386"/>
        <v>0</v>
      </c>
      <c r="H2666">
        <v>3</v>
      </c>
      <c r="I2666">
        <v>10</v>
      </c>
      <c r="J2666">
        <v>0</v>
      </c>
      <c r="K2666" s="6" t="str">
        <f t="shared" ref="K2666" si="2419">"vs "&amp;E2667</f>
        <v>vs Xanthi Ducks 🦆</v>
      </c>
      <c r="L2666" s="6" t="str">
        <f t="shared" ref="L2666" si="2420">"vs "&amp;F2667</f>
        <v>vs Kotakis</v>
      </c>
      <c r="M2666">
        <v>202</v>
      </c>
      <c r="N2666" s="1">
        <v>0.49399999999999999</v>
      </c>
      <c r="O2666">
        <v>55</v>
      </c>
      <c r="P2666" s="1">
        <v>0.34799999999999998</v>
      </c>
      <c r="Q2666" s="1">
        <v>0.77</v>
      </c>
      <c r="R2666">
        <v>556</v>
      </c>
      <c r="S2666">
        <v>38</v>
      </c>
      <c r="T2666">
        <v>165</v>
      </c>
      <c r="U2666">
        <v>152</v>
      </c>
      <c r="V2666">
        <v>40</v>
      </c>
      <c r="W2666">
        <v>27</v>
      </c>
      <c r="X2666">
        <v>67</v>
      </c>
      <c r="Y2666">
        <v>2.27</v>
      </c>
    </row>
    <row r="2667" spans="1:25" x14ac:dyDescent="0.25">
      <c r="A2667">
        <v>2024</v>
      </c>
      <c r="B2667" t="s">
        <v>142</v>
      </c>
      <c r="C2667" t="s">
        <v>30</v>
      </c>
      <c r="D2667">
        <v>201</v>
      </c>
      <c r="E2667" t="s">
        <v>98</v>
      </c>
      <c r="F2667" t="s">
        <v>41</v>
      </c>
      <c r="G2667">
        <f t="shared" si="2386"/>
        <v>1</v>
      </c>
      <c r="H2667">
        <v>10</v>
      </c>
      <c r="I2667">
        <v>3</v>
      </c>
      <c r="J2667">
        <v>0</v>
      </c>
      <c r="K2667" s="6" t="str">
        <f t="shared" ref="K2667" si="2421">"vs "&amp;E2666</f>
        <v>vs Samarina Dudenbros</v>
      </c>
      <c r="L2667" s="6" t="str">
        <f t="shared" ref="L2667" si="2422">"vs "&amp;F2666</f>
        <v>vs Sakellariou</v>
      </c>
      <c r="M2667">
        <v>237</v>
      </c>
      <c r="N2667" s="1">
        <v>0.47099999999999997</v>
      </c>
      <c r="O2667">
        <v>78</v>
      </c>
      <c r="P2667" s="1">
        <v>0.38600000000000001</v>
      </c>
      <c r="Q2667" s="1">
        <v>0.82399999999999995</v>
      </c>
      <c r="R2667">
        <v>627</v>
      </c>
      <c r="S2667">
        <v>46</v>
      </c>
      <c r="T2667">
        <v>204</v>
      </c>
      <c r="U2667">
        <v>136</v>
      </c>
      <c r="V2667">
        <v>42</v>
      </c>
      <c r="W2667">
        <v>38</v>
      </c>
      <c r="X2667">
        <v>64</v>
      </c>
      <c r="Y2667">
        <v>2.13</v>
      </c>
    </row>
    <row r="2668" spans="1:25" x14ac:dyDescent="0.25">
      <c r="A2668">
        <v>2025</v>
      </c>
      <c r="B2668" t="s">
        <v>57</v>
      </c>
      <c r="C2668">
        <v>1</v>
      </c>
      <c r="D2668">
        <v>1</v>
      </c>
      <c r="E2668" t="s">
        <v>158</v>
      </c>
      <c r="F2668" t="s">
        <v>177</v>
      </c>
      <c r="G2668">
        <f t="shared" si="2386"/>
        <v>1</v>
      </c>
      <c r="H2668">
        <v>8</v>
      </c>
      <c r="I2668">
        <v>5</v>
      </c>
      <c r="J2668">
        <v>0</v>
      </c>
      <c r="K2668" s="6" t="str">
        <f t="shared" ref="K2668" si="2423">"vs "&amp;E2669</f>
        <v>vs Knights of Ni</v>
      </c>
      <c r="L2668" s="6" t="str">
        <f t="shared" ref="L2668" si="2424">"vs "&amp;F2669</f>
        <v>vs Tolios</v>
      </c>
      <c r="M2668">
        <v>159</v>
      </c>
      <c r="N2668" s="1">
        <v>0.42899999999999999</v>
      </c>
      <c r="O2668">
        <v>52</v>
      </c>
      <c r="P2668" s="1">
        <v>0.36899999999999999</v>
      </c>
      <c r="Q2668" s="1">
        <v>0.74099999999999999</v>
      </c>
      <c r="R2668">
        <v>476</v>
      </c>
      <c r="S2668">
        <v>36</v>
      </c>
      <c r="T2668">
        <v>111</v>
      </c>
      <c r="U2668">
        <v>84</v>
      </c>
      <c r="V2668">
        <v>26</v>
      </c>
      <c r="W2668">
        <v>20</v>
      </c>
      <c r="X2668">
        <v>58</v>
      </c>
      <c r="Y2668">
        <v>1.45</v>
      </c>
    </row>
    <row r="2669" spans="1:25" x14ac:dyDescent="0.25">
      <c r="A2669">
        <v>2025</v>
      </c>
      <c r="B2669" t="s">
        <v>57</v>
      </c>
      <c r="C2669">
        <v>1</v>
      </c>
      <c r="D2669">
        <v>1</v>
      </c>
      <c r="E2669" t="s">
        <v>96</v>
      </c>
      <c r="F2669" t="s">
        <v>102</v>
      </c>
      <c r="G2669">
        <f t="shared" si="2386"/>
        <v>0</v>
      </c>
      <c r="H2669">
        <v>5</v>
      </c>
      <c r="I2669">
        <v>8</v>
      </c>
      <c r="J2669">
        <v>0</v>
      </c>
      <c r="K2669" s="6" t="str">
        <f t="shared" ref="K2669" si="2425">"vs "&amp;E2668</f>
        <v>vs LRBP PR3DATORS</v>
      </c>
      <c r="L2669" s="6" t="str">
        <f t="shared" ref="L2669" si="2426">"vs "&amp;F2668</f>
        <v>vs Lafa</v>
      </c>
      <c r="M2669">
        <v>127</v>
      </c>
      <c r="N2669" s="1">
        <v>0.47899999999999998</v>
      </c>
      <c r="O2669">
        <v>27</v>
      </c>
      <c r="P2669" s="1">
        <v>0.32900000000000001</v>
      </c>
      <c r="Q2669" s="1">
        <v>0.73199999999999998</v>
      </c>
      <c r="R2669">
        <v>341</v>
      </c>
      <c r="S2669">
        <v>38</v>
      </c>
      <c r="T2669">
        <v>96</v>
      </c>
      <c r="U2669">
        <v>77</v>
      </c>
      <c r="V2669">
        <v>23</v>
      </c>
      <c r="W2669">
        <v>24</v>
      </c>
      <c r="X2669">
        <v>49</v>
      </c>
      <c r="Y2669">
        <v>1.57</v>
      </c>
    </row>
    <row r="2670" spans="1:25" x14ac:dyDescent="0.25">
      <c r="A2670">
        <v>2025</v>
      </c>
      <c r="B2670" t="s">
        <v>57</v>
      </c>
      <c r="C2670">
        <v>1</v>
      </c>
      <c r="D2670">
        <v>2</v>
      </c>
      <c r="E2670" t="s">
        <v>26</v>
      </c>
      <c r="F2670" t="s">
        <v>118</v>
      </c>
      <c r="G2670">
        <f t="shared" si="2386"/>
        <v>1</v>
      </c>
      <c r="H2670">
        <v>9</v>
      </c>
      <c r="I2670">
        <v>3</v>
      </c>
      <c r="J2670">
        <v>1</v>
      </c>
      <c r="K2670" s="6" t="str">
        <f t="shared" ref="K2670" si="2427">"vs "&amp;E2671</f>
        <v>vs Baltimore Hercules</v>
      </c>
      <c r="L2670" s="6" t="str">
        <f t="shared" ref="L2670" si="2428">"vs "&amp;F2671</f>
        <v>vs Sarantos</v>
      </c>
      <c r="M2670">
        <v>121</v>
      </c>
      <c r="N2670" s="1">
        <v>0.48</v>
      </c>
      <c r="O2670">
        <v>34</v>
      </c>
      <c r="P2670" s="1">
        <v>0.34</v>
      </c>
      <c r="Q2670" s="1">
        <v>0.79800000000000004</v>
      </c>
      <c r="R2670">
        <v>351</v>
      </c>
      <c r="S2670">
        <v>26</v>
      </c>
      <c r="T2670">
        <v>115</v>
      </c>
      <c r="U2670">
        <v>72</v>
      </c>
      <c r="V2670">
        <v>16</v>
      </c>
      <c r="W2670">
        <v>6</v>
      </c>
      <c r="X2670">
        <v>44</v>
      </c>
      <c r="Y2670">
        <v>1.64</v>
      </c>
    </row>
    <row r="2671" spans="1:25" x14ac:dyDescent="0.25">
      <c r="A2671">
        <v>2025</v>
      </c>
      <c r="B2671" t="s">
        <v>57</v>
      </c>
      <c r="C2671">
        <v>1</v>
      </c>
      <c r="D2671">
        <v>2</v>
      </c>
      <c r="E2671" t="s">
        <v>95</v>
      </c>
      <c r="F2671" t="s">
        <v>101</v>
      </c>
      <c r="G2671">
        <f t="shared" si="2386"/>
        <v>0</v>
      </c>
      <c r="H2671">
        <v>3</v>
      </c>
      <c r="I2671">
        <v>9</v>
      </c>
      <c r="J2671">
        <v>1</v>
      </c>
      <c r="K2671" s="6" t="str">
        <f t="shared" ref="K2671" si="2429">"vs "&amp;E2670</f>
        <v>vs Kourayo Vallecano</v>
      </c>
      <c r="L2671" s="6" t="str">
        <f t="shared" ref="L2671" si="2430">"vs "&amp;F2670</f>
        <v>vs Ziogas/Christof</v>
      </c>
      <c r="M2671">
        <v>95</v>
      </c>
      <c r="N2671" s="1">
        <v>0.47299999999999998</v>
      </c>
      <c r="O2671">
        <v>32</v>
      </c>
      <c r="P2671" s="1">
        <v>0.314</v>
      </c>
      <c r="Q2671" s="1">
        <v>0.81699999999999995</v>
      </c>
      <c r="R2671">
        <v>271</v>
      </c>
      <c r="S2671">
        <v>26</v>
      </c>
      <c r="T2671">
        <v>85</v>
      </c>
      <c r="U2671">
        <v>55</v>
      </c>
      <c r="V2671">
        <v>14</v>
      </c>
      <c r="W2671">
        <v>22</v>
      </c>
      <c r="X2671">
        <v>37</v>
      </c>
      <c r="Y2671">
        <v>1.49</v>
      </c>
    </row>
    <row r="2672" spans="1:25" x14ac:dyDescent="0.25">
      <c r="A2672">
        <v>2025</v>
      </c>
      <c r="B2672" t="s">
        <v>57</v>
      </c>
      <c r="C2672">
        <v>1</v>
      </c>
      <c r="D2672">
        <v>3</v>
      </c>
      <c r="E2672" t="s">
        <v>99</v>
      </c>
      <c r="F2672" t="s">
        <v>45</v>
      </c>
      <c r="G2672">
        <f t="shared" si="2386"/>
        <v>1</v>
      </c>
      <c r="H2672">
        <v>8</v>
      </c>
      <c r="I2672">
        <v>5</v>
      </c>
      <c r="J2672">
        <v>0</v>
      </c>
      <c r="K2672" s="6" t="str">
        <f t="shared" ref="K2672" si="2431">"vs "&amp;E2673</f>
        <v>vs Guruuu 🐐🐐🐐</v>
      </c>
      <c r="L2672" s="6" t="str">
        <f t="shared" ref="L2672" si="2432">"vs "&amp;F2673</f>
        <v>vs Guru</v>
      </c>
      <c r="M2672">
        <v>117</v>
      </c>
      <c r="N2672" s="1">
        <v>0.49399999999999999</v>
      </c>
      <c r="O2672">
        <v>24</v>
      </c>
      <c r="P2672" s="1">
        <v>0.34799999999999998</v>
      </c>
      <c r="Q2672" s="1">
        <v>0.83</v>
      </c>
      <c r="R2672">
        <v>341</v>
      </c>
      <c r="S2672">
        <v>35</v>
      </c>
      <c r="T2672">
        <v>97</v>
      </c>
      <c r="U2672">
        <v>78</v>
      </c>
      <c r="V2672">
        <v>31</v>
      </c>
      <c r="W2672">
        <v>16</v>
      </c>
      <c r="X2672">
        <v>39</v>
      </c>
      <c r="Y2672">
        <v>2</v>
      </c>
    </row>
    <row r="2673" spans="1:25" x14ac:dyDescent="0.25">
      <c r="A2673">
        <v>2025</v>
      </c>
      <c r="B2673" t="s">
        <v>57</v>
      </c>
      <c r="C2673">
        <v>1</v>
      </c>
      <c r="D2673">
        <v>3</v>
      </c>
      <c r="E2673" t="s">
        <v>93</v>
      </c>
      <c r="F2673" t="s">
        <v>189</v>
      </c>
      <c r="G2673">
        <f t="shared" si="2386"/>
        <v>0</v>
      </c>
      <c r="H2673">
        <v>5</v>
      </c>
      <c r="I2673">
        <v>8</v>
      </c>
      <c r="J2673">
        <v>0</v>
      </c>
      <c r="K2673" s="6" t="str">
        <f t="shared" ref="K2673" si="2433">"vs "&amp;E2672</f>
        <v>vs Tsarlatans</v>
      </c>
      <c r="L2673" s="6" t="str">
        <f t="shared" ref="L2673" si="2434">"vs "&amp;F2672</f>
        <v>vs Tzokos</v>
      </c>
      <c r="M2673">
        <v>120</v>
      </c>
      <c r="N2673" s="1">
        <v>0.44</v>
      </c>
      <c r="O2673">
        <v>53</v>
      </c>
      <c r="P2673" s="1">
        <v>0.36299999999999999</v>
      </c>
      <c r="Q2673" s="1">
        <v>0.80400000000000005</v>
      </c>
      <c r="R2673">
        <v>338</v>
      </c>
      <c r="S2673">
        <v>25</v>
      </c>
      <c r="T2673">
        <v>81</v>
      </c>
      <c r="U2673">
        <v>68</v>
      </c>
      <c r="V2673">
        <v>34</v>
      </c>
      <c r="W2673">
        <v>13</v>
      </c>
      <c r="X2673">
        <v>37</v>
      </c>
      <c r="Y2673">
        <v>1.84</v>
      </c>
    </row>
    <row r="2674" spans="1:25" x14ac:dyDescent="0.25">
      <c r="A2674">
        <v>2025</v>
      </c>
      <c r="B2674" t="s">
        <v>57</v>
      </c>
      <c r="C2674">
        <v>1</v>
      </c>
      <c r="D2674">
        <v>4</v>
      </c>
      <c r="E2674" t="s">
        <v>98</v>
      </c>
      <c r="F2674" t="s">
        <v>41</v>
      </c>
      <c r="G2674">
        <f t="shared" si="2386"/>
        <v>0</v>
      </c>
      <c r="H2674">
        <v>4</v>
      </c>
      <c r="I2674">
        <v>9</v>
      </c>
      <c r="J2674">
        <v>0</v>
      </c>
      <c r="K2674" s="6" t="str">
        <f t="shared" ref="K2674" si="2435">"vs "&amp;E2675</f>
        <v>vs The Bridgeburners</v>
      </c>
      <c r="L2674" s="6" t="str">
        <f t="shared" ref="L2674" si="2436">"vs "&amp;F2675</f>
        <v>vs Fanis</v>
      </c>
      <c r="M2674">
        <v>115</v>
      </c>
      <c r="N2674" s="1">
        <v>0.46400000000000002</v>
      </c>
      <c r="O2674">
        <v>41</v>
      </c>
      <c r="P2674" s="1">
        <v>0.36299999999999999</v>
      </c>
      <c r="Q2674" s="1">
        <v>0.77400000000000002</v>
      </c>
      <c r="R2674">
        <v>336</v>
      </c>
      <c r="S2674">
        <v>40</v>
      </c>
      <c r="T2674">
        <v>138</v>
      </c>
      <c r="U2674">
        <v>82</v>
      </c>
      <c r="V2674">
        <v>25</v>
      </c>
      <c r="W2674">
        <v>19</v>
      </c>
      <c r="X2674">
        <v>42</v>
      </c>
      <c r="Y2674">
        <v>1.95</v>
      </c>
    </row>
    <row r="2675" spans="1:25" x14ac:dyDescent="0.25">
      <c r="A2675">
        <v>2025</v>
      </c>
      <c r="B2675" t="s">
        <v>57</v>
      </c>
      <c r="C2675">
        <v>1</v>
      </c>
      <c r="D2675">
        <v>4</v>
      </c>
      <c r="E2675" t="s">
        <v>16</v>
      </c>
      <c r="F2675" t="s">
        <v>51</v>
      </c>
      <c r="G2675">
        <f t="shared" si="2386"/>
        <v>1</v>
      </c>
      <c r="H2675">
        <v>9</v>
      </c>
      <c r="I2675">
        <v>4</v>
      </c>
      <c r="J2675">
        <v>0</v>
      </c>
      <c r="K2675" s="6" t="str">
        <f t="shared" ref="K2675" si="2437">"vs "&amp;E2674</f>
        <v>vs Xanthi Ducks 🦆</v>
      </c>
      <c r="L2675" s="6" t="str">
        <f t="shared" ref="L2675" si="2438">"vs "&amp;F2674</f>
        <v>vs Kotakis</v>
      </c>
      <c r="M2675">
        <v>167</v>
      </c>
      <c r="N2675" s="1">
        <v>0.42899999999999999</v>
      </c>
      <c r="O2675">
        <v>44</v>
      </c>
      <c r="P2675" s="1">
        <v>0.30299999999999999</v>
      </c>
      <c r="Q2675" s="1">
        <v>0.78100000000000003</v>
      </c>
      <c r="R2675">
        <v>496</v>
      </c>
      <c r="S2675">
        <v>52</v>
      </c>
      <c r="T2675">
        <v>141</v>
      </c>
      <c r="U2675">
        <v>112</v>
      </c>
      <c r="V2675">
        <v>36</v>
      </c>
      <c r="W2675">
        <v>24</v>
      </c>
      <c r="X2675">
        <v>85</v>
      </c>
      <c r="Y2675">
        <v>1.32</v>
      </c>
    </row>
    <row r="2676" spans="1:25" x14ac:dyDescent="0.25">
      <c r="A2676">
        <v>2025</v>
      </c>
      <c r="B2676" t="s">
        <v>57</v>
      </c>
      <c r="C2676">
        <v>1</v>
      </c>
      <c r="D2676">
        <v>5</v>
      </c>
      <c r="E2676" t="s">
        <v>154</v>
      </c>
      <c r="F2676" t="s">
        <v>155</v>
      </c>
      <c r="G2676">
        <f t="shared" si="2386"/>
        <v>0</v>
      </c>
      <c r="H2676">
        <v>5</v>
      </c>
      <c r="I2676">
        <v>8</v>
      </c>
      <c r="J2676">
        <v>0</v>
      </c>
      <c r="K2676" s="6" t="str">
        <f t="shared" ref="K2676" si="2439">"vs "&amp;E2677</f>
        <v>vs Paralouistas</v>
      </c>
      <c r="L2676" s="6" t="str">
        <f t="shared" ref="L2676" si="2440">"vs "&amp;F2677</f>
        <v>vs Panos</v>
      </c>
      <c r="M2676">
        <v>90</v>
      </c>
      <c r="N2676" s="1">
        <v>0.42699999999999999</v>
      </c>
      <c r="O2676">
        <v>20</v>
      </c>
      <c r="P2676" s="1">
        <v>0.23499999999999999</v>
      </c>
      <c r="Q2676" s="1">
        <v>0.73199999999999998</v>
      </c>
      <c r="R2676">
        <v>241</v>
      </c>
      <c r="S2676">
        <v>47</v>
      </c>
      <c r="T2676">
        <v>81</v>
      </c>
      <c r="U2676">
        <v>53</v>
      </c>
      <c r="V2676">
        <v>21</v>
      </c>
      <c r="W2676">
        <v>22</v>
      </c>
      <c r="X2676">
        <v>43</v>
      </c>
      <c r="Y2676">
        <v>1.23</v>
      </c>
    </row>
    <row r="2677" spans="1:25" x14ac:dyDescent="0.25">
      <c r="A2677">
        <v>2025</v>
      </c>
      <c r="B2677" t="s">
        <v>57</v>
      </c>
      <c r="C2677">
        <v>1</v>
      </c>
      <c r="D2677">
        <v>5</v>
      </c>
      <c r="E2677" t="s">
        <v>185</v>
      </c>
      <c r="F2677" t="s">
        <v>100</v>
      </c>
      <c r="G2677">
        <f t="shared" si="2386"/>
        <v>1</v>
      </c>
      <c r="H2677">
        <v>8</v>
      </c>
      <c r="I2677">
        <v>5</v>
      </c>
      <c r="J2677">
        <v>0</v>
      </c>
      <c r="K2677" s="6" t="str">
        <f t="shared" ref="K2677" si="2441">"vs "&amp;E2676</f>
        <v>vs The Bad Boys</v>
      </c>
      <c r="L2677" s="6" t="str">
        <f t="shared" ref="L2677" si="2442">"vs "&amp;F2676</f>
        <v>vs Arvanitis</v>
      </c>
      <c r="M2677">
        <v>91</v>
      </c>
      <c r="N2677" s="1">
        <v>0.42499999999999999</v>
      </c>
      <c r="O2677">
        <v>31</v>
      </c>
      <c r="P2677" s="1">
        <v>0.316</v>
      </c>
      <c r="Q2677" s="1">
        <v>0.82499999999999996</v>
      </c>
      <c r="R2677">
        <v>246</v>
      </c>
      <c r="S2677">
        <v>31</v>
      </c>
      <c r="T2677">
        <v>85</v>
      </c>
      <c r="U2677">
        <v>39</v>
      </c>
      <c r="V2677">
        <v>18</v>
      </c>
      <c r="W2677">
        <v>19</v>
      </c>
      <c r="X2677">
        <v>22</v>
      </c>
      <c r="Y2677">
        <v>1.77</v>
      </c>
    </row>
    <row r="2678" spans="1:25" x14ac:dyDescent="0.25">
      <c r="A2678">
        <v>2025</v>
      </c>
      <c r="B2678" t="s">
        <v>57</v>
      </c>
      <c r="C2678">
        <v>1</v>
      </c>
      <c r="D2678">
        <v>6</v>
      </c>
      <c r="E2678" t="s">
        <v>21</v>
      </c>
      <c r="F2678" t="s">
        <v>50</v>
      </c>
      <c r="G2678">
        <f t="shared" si="2386"/>
        <v>0</v>
      </c>
      <c r="H2678">
        <v>2</v>
      </c>
      <c r="I2678">
        <v>11</v>
      </c>
      <c r="J2678">
        <v>0</v>
      </c>
      <c r="K2678" s="6" t="str">
        <f t="shared" ref="K2678" si="2443">"vs "&amp;E2679</f>
        <v>vs Fighting Thaddeus</v>
      </c>
      <c r="L2678" s="6" t="str">
        <f t="shared" ref="L2678" si="2444">"vs "&amp;F2679</f>
        <v>vs Stavros</v>
      </c>
      <c r="M2678">
        <v>110</v>
      </c>
      <c r="N2678" s="1">
        <v>0.42799999999999999</v>
      </c>
      <c r="O2678">
        <v>29</v>
      </c>
      <c r="P2678" s="1">
        <v>0.33</v>
      </c>
      <c r="Q2678" s="1">
        <v>0.73699999999999999</v>
      </c>
      <c r="R2678">
        <v>322</v>
      </c>
      <c r="S2678">
        <v>30</v>
      </c>
      <c r="T2678">
        <v>84</v>
      </c>
      <c r="U2678">
        <v>66</v>
      </c>
      <c r="V2678">
        <v>26</v>
      </c>
      <c r="W2678">
        <v>18</v>
      </c>
      <c r="X2678">
        <v>51</v>
      </c>
      <c r="Y2678">
        <v>1.29</v>
      </c>
    </row>
    <row r="2679" spans="1:25" x14ac:dyDescent="0.25">
      <c r="A2679">
        <v>2025</v>
      </c>
      <c r="B2679" t="s">
        <v>57</v>
      </c>
      <c r="C2679">
        <v>1</v>
      </c>
      <c r="D2679">
        <v>6</v>
      </c>
      <c r="E2679" t="s">
        <v>94</v>
      </c>
      <c r="F2679" t="s">
        <v>40</v>
      </c>
      <c r="G2679">
        <f t="shared" si="2386"/>
        <v>1</v>
      </c>
      <c r="H2679">
        <v>11</v>
      </c>
      <c r="I2679">
        <v>2</v>
      </c>
      <c r="J2679">
        <v>0</v>
      </c>
      <c r="K2679" s="6" t="str">
        <f t="shared" ref="K2679" si="2445">"vs "&amp;E2678</f>
        <v>vs st.Helens Eruptions</v>
      </c>
      <c r="L2679" s="6" t="str">
        <f t="shared" ref="L2679" si="2446">"vs "&amp;F2678</f>
        <v>vs Aris</v>
      </c>
      <c r="M2679">
        <v>126</v>
      </c>
      <c r="N2679" s="1">
        <v>0.49399999999999999</v>
      </c>
      <c r="O2679">
        <v>32</v>
      </c>
      <c r="P2679" s="1">
        <v>0.39</v>
      </c>
      <c r="Q2679" s="1">
        <v>0.73</v>
      </c>
      <c r="R2679">
        <v>349</v>
      </c>
      <c r="S2679">
        <v>38</v>
      </c>
      <c r="T2679">
        <v>107</v>
      </c>
      <c r="U2679">
        <v>80</v>
      </c>
      <c r="V2679">
        <v>18</v>
      </c>
      <c r="W2679">
        <v>20</v>
      </c>
      <c r="X2679">
        <v>43</v>
      </c>
      <c r="Y2679">
        <v>1.86</v>
      </c>
    </row>
    <row r="2680" spans="1:25" x14ac:dyDescent="0.25">
      <c r="A2680">
        <v>2025</v>
      </c>
      <c r="B2680" t="s">
        <v>57</v>
      </c>
      <c r="C2680">
        <v>1</v>
      </c>
      <c r="D2680">
        <v>7</v>
      </c>
      <c r="E2680" t="s">
        <v>28</v>
      </c>
      <c r="F2680" t="s">
        <v>46</v>
      </c>
      <c r="G2680">
        <f t="shared" si="2386"/>
        <v>1</v>
      </c>
      <c r="H2680">
        <v>7</v>
      </c>
      <c r="I2680">
        <v>5</v>
      </c>
      <c r="J2680">
        <v>1</v>
      </c>
      <c r="K2680" s="6" t="str">
        <f t="shared" ref="K2680" si="2447">"vs "&amp;E2681</f>
        <v>vs Karafli Saita</v>
      </c>
      <c r="L2680" s="6" t="str">
        <f t="shared" ref="L2680" si="2448">"vs "&amp;F2681</f>
        <v>vs Tassos</v>
      </c>
      <c r="M2680">
        <v>184</v>
      </c>
      <c r="N2680" s="1">
        <v>0.45500000000000002</v>
      </c>
      <c r="O2680">
        <v>70</v>
      </c>
      <c r="P2680" s="1">
        <v>0.38700000000000001</v>
      </c>
      <c r="Q2680" s="1">
        <v>0.77700000000000002</v>
      </c>
      <c r="R2680">
        <v>511</v>
      </c>
      <c r="S2680">
        <v>32</v>
      </c>
      <c r="T2680">
        <v>126</v>
      </c>
      <c r="U2680">
        <v>101</v>
      </c>
      <c r="V2680">
        <v>19</v>
      </c>
      <c r="W2680">
        <v>18</v>
      </c>
      <c r="X2680">
        <v>55</v>
      </c>
      <c r="Y2680">
        <v>1.84</v>
      </c>
    </row>
    <row r="2681" spans="1:25" x14ac:dyDescent="0.25">
      <c r="A2681">
        <v>2025</v>
      </c>
      <c r="B2681" t="s">
        <v>57</v>
      </c>
      <c r="C2681">
        <v>1</v>
      </c>
      <c r="D2681">
        <v>7</v>
      </c>
      <c r="E2681" t="s">
        <v>186</v>
      </c>
      <c r="F2681" t="s">
        <v>103</v>
      </c>
      <c r="G2681">
        <f t="shared" si="2386"/>
        <v>0</v>
      </c>
      <c r="H2681">
        <v>5</v>
      </c>
      <c r="I2681">
        <v>7</v>
      </c>
      <c r="J2681">
        <v>1</v>
      </c>
      <c r="K2681" s="6" t="str">
        <f t="shared" ref="K2681" si="2449">"vs "&amp;E2680</f>
        <v>vs Steven Adams' Moustache</v>
      </c>
      <c r="L2681" s="6" t="str">
        <f t="shared" ref="L2681" si="2450">"vs "&amp;F2680</f>
        <v>vs Johnny</v>
      </c>
      <c r="M2681">
        <v>156</v>
      </c>
      <c r="N2681" s="1">
        <v>0.44700000000000001</v>
      </c>
      <c r="O2681">
        <v>44</v>
      </c>
      <c r="P2681" s="1">
        <v>0.35799999999999998</v>
      </c>
      <c r="Q2681" s="1">
        <v>0.83799999999999997</v>
      </c>
      <c r="R2681">
        <v>423</v>
      </c>
      <c r="S2681">
        <v>38</v>
      </c>
      <c r="T2681">
        <v>126</v>
      </c>
      <c r="U2681">
        <v>77</v>
      </c>
      <c r="V2681">
        <v>33</v>
      </c>
      <c r="W2681">
        <v>22</v>
      </c>
      <c r="X2681">
        <v>47</v>
      </c>
      <c r="Y2681">
        <v>1.64</v>
      </c>
    </row>
    <row r="2682" spans="1:25" x14ac:dyDescent="0.25">
      <c r="A2682">
        <v>2025</v>
      </c>
      <c r="B2682" t="s">
        <v>57</v>
      </c>
      <c r="C2682">
        <v>1</v>
      </c>
      <c r="D2682">
        <v>8</v>
      </c>
      <c r="E2682" t="s">
        <v>23</v>
      </c>
      <c r="F2682" t="s">
        <v>120</v>
      </c>
      <c r="G2682">
        <f t="shared" si="2386"/>
        <v>0</v>
      </c>
      <c r="H2682">
        <v>5</v>
      </c>
      <c r="I2682">
        <v>8</v>
      </c>
      <c r="J2682">
        <v>0</v>
      </c>
      <c r="K2682" s="6" t="str">
        <f t="shared" ref="K2682" si="2451">"vs "&amp;E2683</f>
        <v>vs Heraklion Snakes</v>
      </c>
      <c r="L2682" s="6" t="str">
        <f t="shared" ref="L2682" si="2452">"vs "&amp;F2683</f>
        <v>vs Dimitris</v>
      </c>
      <c r="M2682">
        <v>96</v>
      </c>
      <c r="N2682" s="1">
        <v>0.47099999999999997</v>
      </c>
      <c r="O2682">
        <v>27</v>
      </c>
      <c r="P2682" s="1">
        <v>0.32900000000000001</v>
      </c>
      <c r="Q2682" s="1">
        <v>0.873</v>
      </c>
      <c r="R2682">
        <v>274</v>
      </c>
      <c r="S2682">
        <v>21</v>
      </c>
      <c r="T2682">
        <v>73</v>
      </c>
      <c r="U2682">
        <v>55</v>
      </c>
      <c r="V2682">
        <v>19</v>
      </c>
      <c r="W2682">
        <v>9</v>
      </c>
      <c r="X2682">
        <v>37</v>
      </c>
      <c r="Y2682">
        <v>1.49</v>
      </c>
    </row>
    <row r="2683" spans="1:25" x14ac:dyDescent="0.25">
      <c r="A2683">
        <v>2025</v>
      </c>
      <c r="B2683" t="s">
        <v>57</v>
      </c>
      <c r="C2683">
        <v>1</v>
      </c>
      <c r="D2683">
        <v>8</v>
      </c>
      <c r="E2683" t="s">
        <v>184</v>
      </c>
      <c r="F2683" t="s">
        <v>188</v>
      </c>
      <c r="G2683">
        <f t="shared" si="2386"/>
        <v>1</v>
      </c>
      <c r="H2683">
        <v>8</v>
      </c>
      <c r="I2683">
        <v>5</v>
      </c>
      <c r="J2683">
        <v>0</v>
      </c>
      <c r="K2683" s="6" t="str">
        <f t="shared" ref="K2683" si="2453">"vs "&amp;E2682</f>
        <v>vs Pachiana NinjaBees</v>
      </c>
      <c r="L2683" s="6" t="str">
        <f t="shared" ref="L2683" si="2454">"vs "&amp;F2682</f>
        <v>vs Spiridaus/Oladipas</v>
      </c>
      <c r="M2683">
        <v>121</v>
      </c>
      <c r="N2683" s="1">
        <v>0.45700000000000002</v>
      </c>
      <c r="O2683">
        <v>41</v>
      </c>
      <c r="P2683" s="1">
        <v>0.32</v>
      </c>
      <c r="Q2683" s="1">
        <v>0.67900000000000005</v>
      </c>
      <c r="R2683">
        <v>340</v>
      </c>
      <c r="S2683">
        <v>35</v>
      </c>
      <c r="T2683">
        <v>96</v>
      </c>
      <c r="U2683">
        <v>58</v>
      </c>
      <c r="V2683">
        <v>18</v>
      </c>
      <c r="W2683">
        <v>11</v>
      </c>
      <c r="X2683">
        <v>38</v>
      </c>
      <c r="Y2683">
        <v>1.53</v>
      </c>
    </row>
    <row r="2684" spans="1:25" x14ac:dyDescent="0.25">
      <c r="A2684">
        <v>2025</v>
      </c>
      <c r="B2684" t="s">
        <v>57</v>
      </c>
      <c r="C2684">
        <v>1</v>
      </c>
      <c r="D2684">
        <v>9</v>
      </c>
      <c r="E2684" t="s">
        <v>159</v>
      </c>
      <c r="F2684" t="s">
        <v>116</v>
      </c>
      <c r="G2684">
        <f t="shared" si="2386"/>
        <v>1</v>
      </c>
      <c r="H2684">
        <v>8</v>
      </c>
      <c r="I2684">
        <v>5</v>
      </c>
      <c r="J2684">
        <v>0</v>
      </c>
      <c r="K2684" s="6" t="str">
        <f t="shared" ref="K2684" si="2455">"vs "&amp;E2685</f>
        <v>vs Salonika Devils</v>
      </c>
      <c r="L2684" s="6" t="str">
        <f t="shared" ref="L2684" si="2456">"vs "&amp;F2685</f>
        <v>vs Fountos</v>
      </c>
      <c r="M2684">
        <v>130</v>
      </c>
      <c r="N2684" s="1">
        <v>0.45</v>
      </c>
      <c r="O2684">
        <v>39</v>
      </c>
      <c r="P2684" s="1">
        <v>0.34200000000000003</v>
      </c>
      <c r="Q2684" s="1">
        <v>0.69</v>
      </c>
      <c r="R2684">
        <v>368</v>
      </c>
      <c r="S2684">
        <v>32</v>
      </c>
      <c r="T2684">
        <v>120</v>
      </c>
      <c r="U2684">
        <v>110</v>
      </c>
      <c r="V2684">
        <v>23</v>
      </c>
      <c r="W2684">
        <v>14</v>
      </c>
      <c r="X2684">
        <v>55</v>
      </c>
      <c r="Y2684">
        <v>2</v>
      </c>
    </row>
    <row r="2685" spans="1:25" x14ac:dyDescent="0.25">
      <c r="A2685">
        <v>2025</v>
      </c>
      <c r="B2685" t="s">
        <v>57</v>
      </c>
      <c r="C2685">
        <v>1</v>
      </c>
      <c r="D2685">
        <v>9</v>
      </c>
      <c r="E2685" t="s">
        <v>15</v>
      </c>
      <c r="F2685" t="s">
        <v>48</v>
      </c>
      <c r="G2685">
        <f t="shared" si="2386"/>
        <v>0</v>
      </c>
      <c r="H2685">
        <v>5</v>
      </c>
      <c r="I2685">
        <v>8</v>
      </c>
      <c r="J2685">
        <v>0</v>
      </c>
      <c r="K2685" s="6" t="str">
        <f t="shared" ref="K2685" si="2457">"vs "&amp;E2684</f>
        <v>vs purple fuzzy apache pirates</v>
      </c>
      <c r="L2685" s="6" t="str">
        <f t="shared" ref="L2685" si="2458">"vs "&amp;F2684</f>
        <v>vs pi/Sotiris</v>
      </c>
      <c r="M2685">
        <v>123</v>
      </c>
      <c r="N2685" s="1">
        <v>0.43</v>
      </c>
      <c r="O2685">
        <v>46</v>
      </c>
      <c r="P2685" s="1">
        <v>0.4</v>
      </c>
      <c r="Q2685" s="1">
        <v>0.78100000000000003</v>
      </c>
      <c r="R2685">
        <v>349</v>
      </c>
      <c r="S2685">
        <v>20</v>
      </c>
      <c r="T2685">
        <v>87</v>
      </c>
      <c r="U2685">
        <v>99</v>
      </c>
      <c r="V2685">
        <v>20</v>
      </c>
      <c r="W2685">
        <v>8</v>
      </c>
      <c r="X2685">
        <v>41</v>
      </c>
      <c r="Y2685">
        <v>2.41</v>
      </c>
    </row>
    <row r="2686" spans="1:25" x14ac:dyDescent="0.25">
      <c r="A2686">
        <v>2025</v>
      </c>
      <c r="B2686" t="s">
        <v>57</v>
      </c>
      <c r="C2686">
        <v>1</v>
      </c>
      <c r="D2686">
        <v>10</v>
      </c>
      <c r="E2686" t="s">
        <v>181</v>
      </c>
      <c r="F2686" t="s">
        <v>49</v>
      </c>
      <c r="G2686">
        <f t="shared" si="2386"/>
        <v>0</v>
      </c>
      <c r="H2686">
        <v>4</v>
      </c>
      <c r="I2686">
        <v>9</v>
      </c>
      <c r="J2686">
        <v>0</v>
      </c>
      <c r="K2686" s="6" t="str">
        <f t="shared" ref="K2686" si="2459">"vs "&amp;E2687</f>
        <v>vs The Guns</v>
      </c>
      <c r="L2686" s="6" t="str">
        <f t="shared" ref="L2686" si="2460">"vs "&amp;F2687</f>
        <v>vs Vasilis</v>
      </c>
      <c r="M2686">
        <v>151</v>
      </c>
      <c r="N2686" s="1">
        <v>0.45500000000000002</v>
      </c>
      <c r="O2686">
        <v>55</v>
      </c>
      <c r="P2686" s="1">
        <v>0.377</v>
      </c>
      <c r="Q2686" s="1">
        <v>0.8</v>
      </c>
      <c r="R2686">
        <v>445</v>
      </c>
      <c r="S2686">
        <v>40</v>
      </c>
      <c r="T2686">
        <v>92</v>
      </c>
      <c r="U2686">
        <v>114</v>
      </c>
      <c r="V2686">
        <v>34</v>
      </c>
      <c r="W2686">
        <v>10</v>
      </c>
      <c r="X2686">
        <v>63</v>
      </c>
      <c r="Y2686">
        <v>1.81</v>
      </c>
    </row>
    <row r="2687" spans="1:25" x14ac:dyDescent="0.25">
      <c r="A2687">
        <v>2025</v>
      </c>
      <c r="B2687" t="s">
        <v>57</v>
      </c>
      <c r="C2687">
        <v>1</v>
      </c>
      <c r="D2687">
        <v>10</v>
      </c>
      <c r="E2687" t="s">
        <v>33</v>
      </c>
      <c r="F2687" t="s">
        <v>42</v>
      </c>
      <c r="G2687">
        <f t="shared" si="2386"/>
        <v>1</v>
      </c>
      <c r="H2687">
        <v>9</v>
      </c>
      <c r="I2687">
        <v>4</v>
      </c>
      <c r="J2687">
        <v>0</v>
      </c>
      <c r="K2687" s="6" t="str">
        <f t="shared" ref="K2687" si="2461">"vs "&amp;E2686</f>
        <v>vs Samarina Dudenbros</v>
      </c>
      <c r="L2687" s="6" t="str">
        <f t="shared" ref="L2687" si="2462">"vs "&amp;F2686</f>
        <v>vs Sakellariou</v>
      </c>
      <c r="M2687">
        <v>202</v>
      </c>
      <c r="N2687" s="1">
        <v>0.46400000000000002</v>
      </c>
      <c r="O2687">
        <v>60</v>
      </c>
      <c r="P2687" s="1">
        <v>0.35899999999999999</v>
      </c>
      <c r="Q2687" s="1">
        <v>0.80700000000000005</v>
      </c>
      <c r="R2687">
        <v>577</v>
      </c>
      <c r="S2687">
        <v>34</v>
      </c>
      <c r="T2687">
        <v>132</v>
      </c>
      <c r="U2687">
        <v>103</v>
      </c>
      <c r="V2687">
        <v>44</v>
      </c>
      <c r="W2687">
        <v>31</v>
      </c>
      <c r="X2687">
        <v>60</v>
      </c>
      <c r="Y2687">
        <v>1.72</v>
      </c>
    </row>
    <row r="2688" spans="1:25" x14ac:dyDescent="0.25">
      <c r="A2688">
        <v>2025</v>
      </c>
      <c r="B2688" t="s">
        <v>57</v>
      </c>
      <c r="C2688">
        <v>1</v>
      </c>
      <c r="D2688">
        <v>11</v>
      </c>
      <c r="E2688" t="s">
        <v>95</v>
      </c>
      <c r="F2688" t="s">
        <v>101</v>
      </c>
      <c r="G2688">
        <f t="shared" si="2386"/>
        <v>0</v>
      </c>
      <c r="H2688">
        <v>3</v>
      </c>
      <c r="I2688">
        <v>10</v>
      </c>
      <c r="J2688">
        <v>0</v>
      </c>
      <c r="K2688" s="6" t="str">
        <f t="shared" ref="K2688" si="2463">"vs "&amp;E2689</f>
        <v>vs Knights of Ni</v>
      </c>
      <c r="L2688" s="6" t="str">
        <f t="shared" ref="L2688" si="2464">"vs "&amp;F2689</f>
        <v>vs Tolios</v>
      </c>
      <c r="M2688">
        <v>95</v>
      </c>
      <c r="N2688" s="1">
        <v>0.47299999999999998</v>
      </c>
      <c r="O2688">
        <v>32</v>
      </c>
      <c r="P2688" s="1">
        <v>0.314</v>
      </c>
      <c r="Q2688" s="1">
        <v>0.81699999999999995</v>
      </c>
      <c r="R2688">
        <v>271</v>
      </c>
      <c r="S2688">
        <v>26</v>
      </c>
      <c r="T2688">
        <v>85</v>
      </c>
      <c r="U2688">
        <v>55</v>
      </c>
      <c r="V2688">
        <v>14</v>
      </c>
      <c r="W2688">
        <v>22</v>
      </c>
      <c r="X2688">
        <v>37</v>
      </c>
      <c r="Y2688">
        <v>1.49</v>
      </c>
    </row>
    <row r="2689" spans="1:25" x14ac:dyDescent="0.25">
      <c r="A2689">
        <v>2025</v>
      </c>
      <c r="B2689" t="s">
        <v>57</v>
      </c>
      <c r="C2689">
        <v>1</v>
      </c>
      <c r="D2689">
        <v>11</v>
      </c>
      <c r="E2689" t="s">
        <v>96</v>
      </c>
      <c r="F2689" t="s">
        <v>102</v>
      </c>
      <c r="G2689">
        <f t="shared" si="2386"/>
        <v>1</v>
      </c>
      <c r="H2689">
        <v>10</v>
      </c>
      <c r="I2689">
        <v>3</v>
      </c>
      <c r="J2689">
        <v>0</v>
      </c>
      <c r="K2689" s="6" t="str">
        <f t="shared" ref="K2689" si="2465">"vs "&amp;E2688</f>
        <v>vs Baltimore Hercules</v>
      </c>
      <c r="L2689" s="6" t="str">
        <f t="shared" ref="L2689" si="2466">"vs "&amp;F2688</f>
        <v>vs Sarantos</v>
      </c>
      <c r="M2689">
        <v>127</v>
      </c>
      <c r="N2689" s="1">
        <v>0.47899999999999998</v>
      </c>
      <c r="O2689">
        <v>27</v>
      </c>
      <c r="P2689" s="1">
        <v>0.32900000000000001</v>
      </c>
      <c r="Q2689" s="1">
        <v>0.73199999999999998</v>
      </c>
      <c r="R2689">
        <v>341</v>
      </c>
      <c r="S2689">
        <v>38</v>
      </c>
      <c r="T2689">
        <v>96</v>
      </c>
      <c r="U2689">
        <v>77</v>
      </c>
      <c r="V2689">
        <v>23</v>
      </c>
      <c r="W2689">
        <v>24</v>
      </c>
      <c r="X2689">
        <v>49</v>
      </c>
      <c r="Y2689">
        <v>1.57</v>
      </c>
    </row>
    <row r="2690" spans="1:25" x14ac:dyDescent="0.25">
      <c r="A2690">
        <v>2025</v>
      </c>
      <c r="B2690" t="s">
        <v>57</v>
      </c>
      <c r="C2690">
        <v>1</v>
      </c>
      <c r="D2690">
        <v>12</v>
      </c>
      <c r="E2690" t="s">
        <v>98</v>
      </c>
      <c r="F2690" t="s">
        <v>41</v>
      </c>
      <c r="G2690">
        <f t="shared" si="2386"/>
        <v>1</v>
      </c>
      <c r="H2690">
        <v>8</v>
      </c>
      <c r="I2690">
        <v>5</v>
      </c>
      <c r="J2690">
        <v>0</v>
      </c>
      <c r="K2690" s="6" t="str">
        <f t="shared" ref="K2690" si="2467">"vs "&amp;E2691</f>
        <v>vs Fighting Thaddeus</v>
      </c>
      <c r="L2690" s="6" t="str">
        <f t="shared" ref="L2690" si="2468">"vs "&amp;F2691</f>
        <v>vs Stavros</v>
      </c>
      <c r="M2690">
        <v>115</v>
      </c>
      <c r="N2690" s="1">
        <v>0.46400000000000002</v>
      </c>
      <c r="O2690">
        <v>41</v>
      </c>
      <c r="P2690" s="1">
        <v>0.36299999999999999</v>
      </c>
      <c r="Q2690" s="1">
        <v>0.77400000000000002</v>
      </c>
      <c r="R2690">
        <v>336</v>
      </c>
      <c r="S2690">
        <v>40</v>
      </c>
      <c r="T2690">
        <v>138</v>
      </c>
      <c r="U2690">
        <v>82</v>
      </c>
      <c r="V2690">
        <v>25</v>
      </c>
      <c r="W2690">
        <v>19</v>
      </c>
      <c r="X2690">
        <v>42</v>
      </c>
      <c r="Y2690">
        <v>1.95</v>
      </c>
    </row>
    <row r="2691" spans="1:25" x14ac:dyDescent="0.25">
      <c r="A2691">
        <v>2025</v>
      </c>
      <c r="B2691" t="s">
        <v>57</v>
      </c>
      <c r="C2691">
        <v>1</v>
      </c>
      <c r="D2691">
        <v>12</v>
      </c>
      <c r="E2691" t="s">
        <v>94</v>
      </c>
      <c r="F2691" t="s">
        <v>40</v>
      </c>
      <c r="G2691">
        <f t="shared" si="2386"/>
        <v>0</v>
      </c>
      <c r="H2691">
        <v>5</v>
      </c>
      <c r="I2691">
        <v>8</v>
      </c>
      <c r="J2691">
        <v>0</v>
      </c>
      <c r="K2691" s="6" t="str">
        <f t="shared" ref="K2691" si="2469">"vs "&amp;E2690</f>
        <v>vs Xanthi Ducks 🦆</v>
      </c>
      <c r="L2691" s="6" t="str">
        <f t="shared" ref="L2691" si="2470">"vs "&amp;F2690</f>
        <v>vs Kotakis</v>
      </c>
      <c r="M2691">
        <v>126</v>
      </c>
      <c r="N2691" s="1">
        <v>0.49399999999999999</v>
      </c>
      <c r="O2691">
        <v>32</v>
      </c>
      <c r="P2691" s="1">
        <v>0.39</v>
      </c>
      <c r="Q2691" s="1">
        <v>0.73</v>
      </c>
      <c r="R2691">
        <v>349</v>
      </c>
      <c r="S2691">
        <v>38</v>
      </c>
      <c r="T2691">
        <v>107</v>
      </c>
      <c r="U2691">
        <v>80</v>
      </c>
      <c r="V2691">
        <v>18</v>
      </c>
      <c r="W2691">
        <v>20</v>
      </c>
      <c r="X2691">
        <v>43</v>
      </c>
      <c r="Y2691">
        <v>1.86</v>
      </c>
    </row>
    <row r="2692" spans="1:25" x14ac:dyDescent="0.25">
      <c r="A2692">
        <v>2025</v>
      </c>
      <c r="B2692" t="s">
        <v>57</v>
      </c>
      <c r="C2692">
        <v>1</v>
      </c>
      <c r="D2692">
        <v>13</v>
      </c>
      <c r="E2692" t="s">
        <v>158</v>
      </c>
      <c r="F2692" t="s">
        <v>177</v>
      </c>
      <c r="G2692">
        <f t="shared" si="2386"/>
        <v>1</v>
      </c>
      <c r="H2692">
        <v>7</v>
      </c>
      <c r="I2692">
        <v>6</v>
      </c>
      <c r="J2692">
        <v>0</v>
      </c>
      <c r="K2692" s="6" t="str">
        <f t="shared" ref="K2692" si="2471">"vs "&amp;E2693</f>
        <v>vs Guruuu 🐐🐐🐐</v>
      </c>
      <c r="L2692" s="6" t="str">
        <f t="shared" ref="L2692" si="2472">"vs "&amp;F2693</f>
        <v>vs Guru</v>
      </c>
      <c r="M2692">
        <v>159</v>
      </c>
      <c r="N2692" s="1">
        <v>0.42899999999999999</v>
      </c>
      <c r="O2692">
        <v>52</v>
      </c>
      <c r="P2692" s="1">
        <v>0.36899999999999999</v>
      </c>
      <c r="Q2692" s="1">
        <v>0.74099999999999999</v>
      </c>
      <c r="R2692">
        <v>476</v>
      </c>
      <c r="S2692">
        <v>36</v>
      </c>
      <c r="T2692">
        <v>111</v>
      </c>
      <c r="U2692">
        <v>84</v>
      </c>
      <c r="V2692">
        <v>26</v>
      </c>
      <c r="W2692">
        <v>20</v>
      </c>
      <c r="X2692">
        <v>58</v>
      </c>
      <c r="Y2692">
        <v>1.45</v>
      </c>
    </row>
    <row r="2693" spans="1:25" x14ac:dyDescent="0.25">
      <c r="A2693">
        <v>2025</v>
      </c>
      <c r="B2693" t="s">
        <v>57</v>
      </c>
      <c r="C2693">
        <v>1</v>
      </c>
      <c r="D2693">
        <v>13</v>
      </c>
      <c r="E2693" t="s">
        <v>93</v>
      </c>
      <c r="F2693" t="s">
        <v>189</v>
      </c>
      <c r="G2693">
        <f t="shared" si="2386"/>
        <v>0</v>
      </c>
      <c r="H2693">
        <v>6</v>
      </c>
      <c r="I2693">
        <v>7</v>
      </c>
      <c r="J2693">
        <v>0</v>
      </c>
      <c r="K2693" s="6" t="str">
        <f t="shared" ref="K2693" si="2473">"vs "&amp;E2692</f>
        <v>vs LRBP PR3DATORS</v>
      </c>
      <c r="L2693" s="6" t="str">
        <f t="shared" ref="L2693" si="2474">"vs "&amp;F2692</f>
        <v>vs Lafa</v>
      </c>
      <c r="M2693">
        <v>120</v>
      </c>
      <c r="N2693" s="1">
        <v>0.44</v>
      </c>
      <c r="O2693">
        <v>53</v>
      </c>
      <c r="P2693" s="1">
        <v>0.36299999999999999</v>
      </c>
      <c r="Q2693" s="1">
        <v>0.80400000000000005</v>
      </c>
      <c r="R2693">
        <v>338</v>
      </c>
      <c r="S2693">
        <v>25</v>
      </c>
      <c r="T2693">
        <v>81</v>
      </c>
      <c r="U2693">
        <v>68</v>
      </c>
      <c r="V2693">
        <v>34</v>
      </c>
      <c r="W2693">
        <v>13</v>
      </c>
      <c r="X2693">
        <v>37</v>
      </c>
      <c r="Y2693">
        <v>1.84</v>
      </c>
    </row>
    <row r="2694" spans="1:25" x14ac:dyDescent="0.25">
      <c r="A2694">
        <v>2025</v>
      </c>
      <c r="B2694" t="s">
        <v>57</v>
      </c>
      <c r="C2694">
        <v>1</v>
      </c>
      <c r="D2694">
        <v>14</v>
      </c>
      <c r="E2694" t="s">
        <v>21</v>
      </c>
      <c r="F2694" t="s">
        <v>50</v>
      </c>
      <c r="G2694">
        <f t="shared" si="2386"/>
        <v>0</v>
      </c>
      <c r="H2694">
        <v>5</v>
      </c>
      <c r="I2694">
        <v>8</v>
      </c>
      <c r="J2694">
        <v>0</v>
      </c>
      <c r="K2694" s="6" t="str">
        <f t="shared" ref="K2694" si="2475">"vs "&amp;E2695</f>
        <v>vs Heraklion Snakes</v>
      </c>
      <c r="L2694" s="6" t="str">
        <f t="shared" ref="L2694" si="2476">"vs "&amp;F2695</f>
        <v>vs Dimitris</v>
      </c>
      <c r="M2694">
        <v>110</v>
      </c>
      <c r="N2694" s="1">
        <v>0.42799999999999999</v>
      </c>
      <c r="O2694">
        <v>29</v>
      </c>
      <c r="P2694" s="1">
        <v>0.33</v>
      </c>
      <c r="Q2694" s="1">
        <v>0.73699999999999999</v>
      </c>
      <c r="R2694">
        <v>322</v>
      </c>
      <c r="S2694">
        <v>30</v>
      </c>
      <c r="T2694">
        <v>84</v>
      </c>
      <c r="U2694">
        <v>66</v>
      </c>
      <c r="V2694">
        <v>26</v>
      </c>
      <c r="W2694">
        <v>18</v>
      </c>
      <c r="X2694">
        <v>51</v>
      </c>
      <c r="Y2694">
        <v>1.29</v>
      </c>
    </row>
    <row r="2695" spans="1:25" x14ac:dyDescent="0.25">
      <c r="A2695">
        <v>2025</v>
      </c>
      <c r="B2695" t="s">
        <v>57</v>
      </c>
      <c r="C2695">
        <v>1</v>
      </c>
      <c r="D2695">
        <v>14</v>
      </c>
      <c r="E2695" t="s">
        <v>184</v>
      </c>
      <c r="F2695" t="s">
        <v>188</v>
      </c>
      <c r="G2695">
        <f t="shared" si="2386"/>
        <v>1</v>
      </c>
      <c r="H2695">
        <v>8</v>
      </c>
      <c r="I2695">
        <v>5</v>
      </c>
      <c r="J2695">
        <v>0</v>
      </c>
      <c r="K2695" s="6" t="str">
        <f t="shared" ref="K2695" si="2477">"vs "&amp;E2694</f>
        <v>vs st.Helens Eruptions</v>
      </c>
      <c r="L2695" s="6" t="str">
        <f t="shared" ref="L2695" si="2478">"vs "&amp;F2694</f>
        <v>vs Aris</v>
      </c>
      <c r="M2695">
        <v>121</v>
      </c>
      <c r="N2695" s="1">
        <v>0.45700000000000002</v>
      </c>
      <c r="O2695">
        <v>41</v>
      </c>
      <c r="P2695" s="1">
        <v>0.32</v>
      </c>
      <c r="Q2695" s="1">
        <v>0.67900000000000005</v>
      </c>
      <c r="R2695">
        <v>340</v>
      </c>
      <c r="S2695">
        <v>35</v>
      </c>
      <c r="T2695">
        <v>96</v>
      </c>
      <c r="U2695">
        <v>58</v>
      </c>
      <c r="V2695">
        <v>18</v>
      </c>
      <c r="W2695">
        <v>11</v>
      </c>
      <c r="X2695">
        <v>38</v>
      </c>
      <c r="Y2695">
        <v>1.53</v>
      </c>
    </row>
    <row r="2696" spans="1:25" x14ac:dyDescent="0.25">
      <c r="A2696">
        <v>2025</v>
      </c>
      <c r="B2696" t="s">
        <v>57</v>
      </c>
      <c r="C2696">
        <v>1</v>
      </c>
      <c r="D2696">
        <v>15</v>
      </c>
      <c r="E2696" t="s">
        <v>186</v>
      </c>
      <c r="F2696" t="s">
        <v>103</v>
      </c>
      <c r="G2696">
        <f t="shared" si="2386"/>
        <v>1</v>
      </c>
      <c r="H2696">
        <v>10</v>
      </c>
      <c r="I2696">
        <v>2</v>
      </c>
      <c r="J2696">
        <v>1</v>
      </c>
      <c r="K2696" s="6" t="str">
        <f t="shared" ref="K2696" si="2479">"vs "&amp;E2697</f>
        <v>vs The Bad Boys</v>
      </c>
      <c r="L2696" s="6" t="str">
        <f t="shared" ref="L2696" si="2480">"vs "&amp;F2697</f>
        <v>vs Arvanitis</v>
      </c>
      <c r="M2696">
        <v>156</v>
      </c>
      <c r="N2696" s="1">
        <v>0.44700000000000001</v>
      </c>
      <c r="O2696">
        <v>44</v>
      </c>
      <c r="P2696" s="1">
        <v>0.35799999999999998</v>
      </c>
      <c r="Q2696" s="1">
        <v>0.83799999999999997</v>
      </c>
      <c r="R2696">
        <v>423</v>
      </c>
      <c r="S2696">
        <v>38</v>
      </c>
      <c r="T2696">
        <v>126</v>
      </c>
      <c r="U2696">
        <v>77</v>
      </c>
      <c r="V2696">
        <v>33</v>
      </c>
      <c r="W2696">
        <v>22</v>
      </c>
      <c r="X2696">
        <v>47</v>
      </c>
      <c r="Y2696">
        <v>1.64</v>
      </c>
    </row>
    <row r="2697" spans="1:25" x14ac:dyDescent="0.25">
      <c r="A2697">
        <v>2025</v>
      </c>
      <c r="B2697" t="s">
        <v>57</v>
      </c>
      <c r="C2697">
        <v>1</v>
      </c>
      <c r="D2697">
        <v>15</v>
      </c>
      <c r="E2697" t="s">
        <v>154</v>
      </c>
      <c r="F2697" t="s">
        <v>155</v>
      </c>
      <c r="G2697">
        <f t="shared" si="2386"/>
        <v>0</v>
      </c>
      <c r="H2697">
        <v>2</v>
      </c>
      <c r="I2697">
        <v>10</v>
      </c>
      <c r="J2697">
        <v>1</v>
      </c>
      <c r="K2697" s="6" t="str">
        <f t="shared" ref="K2697" si="2481">"vs "&amp;E2696</f>
        <v>vs Karafli Saita</v>
      </c>
      <c r="L2697" s="6" t="str">
        <f t="shared" ref="L2697" si="2482">"vs "&amp;F2696</f>
        <v>vs Tassos</v>
      </c>
      <c r="M2697">
        <v>90</v>
      </c>
      <c r="N2697" s="1">
        <v>0.42699999999999999</v>
      </c>
      <c r="O2697">
        <v>20</v>
      </c>
      <c r="P2697" s="1">
        <v>0.23499999999999999</v>
      </c>
      <c r="Q2697" s="1">
        <v>0.73199999999999998</v>
      </c>
      <c r="R2697">
        <v>241</v>
      </c>
      <c r="S2697">
        <v>47</v>
      </c>
      <c r="T2697">
        <v>81</v>
      </c>
      <c r="U2697">
        <v>53</v>
      </c>
      <c r="V2697">
        <v>21</v>
      </c>
      <c r="W2697">
        <v>22</v>
      </c>
      <c r="X2697">
        <v>43</v>
      </c>
      <c r="Y2697">
        <v>1.23</v>
      </c>
    </row>
    <row r="2698" spans="1:25" x14ac:dyDescent="0.25">
      <c r="A2698">
        <v>2025</v>
      </c>
      <c r="B2698" t="s">
        <v>57</v>
      </c>
      <c r="C2698">
        <v>1</v>
      </c>
      <c r="D2698">
        <v>16</v>
      </c>
      <c r="E2698" t="s">
        <v>26</v>
      </c>
      <c r="F2698" t="s">
        <v>118</v>
      </c>
      <c r="G2698">
        <f t="shared" si="2386"/>
        <v>0</v>
      </c>
      <c r="H2698">
        <v>5</v>
      </c>
      <c r="I2698">
        <v>8</v>
      </c>
      <c r="J2698">
        <v>0</v>
      </c>
      <c r="K2698" s="6" t="str">
        <f t="shared" ref="K2698" si="2483">"vs "&amp;E2699</f>
        <v>vs The Bridgeburners</v>
      </c>
      <c r="L2698" s="6" t="str">
        <f t="shared" ref="L2698" si="2484">"vs "&amp;F2699</f>
        <v>vs Fanis</v>
      </c>
      <c r="M2698">
        <v>121</v>
      </c>
      <c r="N2698" s="1">
        <v>0.48</v>
      </c>
      <c r="O2698">
        <v>34</v>
      </c>
      <c r="P2698" s="1">
        <v>0.34</v>
      </c>
      <c r="Q2698" s="1">
        <v>0.79800000000000004</v>
      </c>
      <c r="R2698">
        <v>351</v>
      </c>
      <c r="S2698">
        <v>26</v>
      </c>
      <c r="T2698">
        <v>115</v>
      </c>
      <c r="U2698">
        <v>72</v>
      </c>
      <c r="V2698">
        <v>16</v>
      </c>
      <c r="W2698">
        <v>6</v>
      </c>
      <c r="X2698">
        <v>44</v>
      </c>
      <c r="Y2698">
        <v>1.64</v>
      </c>
    </row>
    <row r="2699" spans="1:25" x14ac:dyDescent="0.25">
      <c r="A2699">
        <v>2025</v>
      </c>
      <c r="B2699" t="s">
        <v>57</v>
      </c>
      <c r="C2699">
        <v>1</v>
      </c>
      <c r="D2699">
        <v>16</v>
      </c>
      <c r="E2699" t="s">
        <v>16</v>
      </c>
      <c r="F2699" t="s">
        <v>51</v>
      </c>
      <c r="G2699">
        <f t="shared" si="2386"/>
        <v>1</v>
      </c>
      <c r="H2699">
        <v>8</v>
      </c>
      <c r="I2699">
        <v>5</v>
      </c>
      <c r="J2699">
        <v>0</v>
      </c>
      <c r="K2699" s="6" t="str">
        <f t="shared" ref="K2699" si="2485">"vs "&amp;E2698</f>
        <v>vs Kourayo Vallecano</v>
      </c>
      <c r="L2699" s="6" t="str">
        <f t="shared" ref="L2699" si="2486">"vs "&amp;F2698</f>
        <v>vs Ziogas/Christof</v>
      </c>
      <c r="M2699">
        <v>167</v>
      </c>
      <c r="N2699" s="1">
        <v>0.42899999999999999</v>
      </c>
      <c r="O2699">
        <v>44</v>
      </c>
      <c r="P2699" s="1">
        <v>0.30299999999999999</v>
      </c>
      <c r="Q2699" s="1">
        <v>0.78100000000000003</v>
      </c>
      <c r="R2699">
        <v>496</v>
      </c>
      <c r="S2699">
        <v>52</v>
      </c>
      <c r="T2699">
        <v>141</v>
      </c>
      <c r="U2699">
        <v>112</v>
      </c>
      <c r="V2699">
        <v>36</v>
      </c>
      <c r="W2699">
        <v>24</v>
      </c>
      <c r="X2699">
        <v>85</v>
      </c>
      <c r="Y2699">
        <v>1.32</v>
      </c>
    </row>
    <row r="2700" spans="1:25" x14ac:dyDescent="0.25">
      <c r="A2700">
        <v>2025</v>
      </c>
      <c r="B2700" t="s">
        <v>57</v>
      </c>
      <c r="C2700">
        <v>1</v>
      </c>
      <c r="D2700">
        <v>17</v>
      </c>
      <c r="E2700" t="s">
        <v>33</v>
      </c>
      <c r="F2700" t="s">
        <v>42</v>
      </c>
      <c r="G2700">
        <f t="shared" si="2386"/>
        <v>1</v>
      </c>
      <c r="H2700">
        <v>10</v>
      </c>
      <c r="I2700">
        <v>3</v>
      </c>
      <c r="J2700">
        <v>0</v>
      </c>
      <c r="K2700" s="6" t="str">
        <f t="shared" ref="K2700" si="2487">"vs "&amp;E2701</f>
        <v>vs Pachiana NinjaBees</v>
      </c>
      <c r="L2700" s="6" t="str">
        <f t="shared" ref="L2700" si="2488">"vs "&amp;F2701</f>
        <v>vs Spiridaus/Oladipas</v>
      </c>
      <c r="M2700">
        <v>202</v>
      </c>
      <c r="N2700" s="1">
        <v>0.46400000000000002</v>
      </c>
      <c r="O2700">
        <v>60</v>
      </c>
      <c r="P2700" s="1">
        <v>0.35899999999999999</v>
      </c>
      <c r="Q2700" s="1">
        <v>0.80700000000000005</v>
      </c>
      <c r="R2700">
        <v>577</v>
      </c>
      <c r="S2700">
        <v>34</v>
      </c>
      <c r="T2700">
        <v>132</v>
      </c>
      <c r="U2700">
        <v>103</v>
      </c>
      <c r="V2700">
        <v>44</v>
      </c>
      <c r="W2700">
        <v>31</v>
      </c>
      <c r="X2700">
        <v>60</v>
      </c>
      <c r="Y2700">
        <v>1.72</v>
      </c>
    </row>
    <row r="2701" spans="1:25" x14ac:dyDescent="0.25">
      <c r="A2701">
        <v>2025</v>
      </c>
      <c r="B2701" t="s">
        <v>57</v>
      </c>
      <c r="C2701">
        <v>1</v>
      </c>
      <c r="D2701">
        <v>17</v>
      </c>
      <c r="E2701" t="s">
        <v>23</v>
      </c>
      <c r="F2701" t="s">
        <v>120</v>
      </c>
      <c r="G2701">
        <f t="shared" si="2386"/>
        <v>0</v>
      </c>
      <c r="H2701">
        <v>3</v>
      </c>
      <c r="I2701">
        <v>10</v>
      </c>
      <c r="J2701">
        <v>0</v>
      </c>
      <c r="K2701" s="6" t="str">
        <f t="shared" ref="K2701" si="2489">"vs "&amp;E2700</f>
        <v>vs The Guns</v>
      </c>
      <c r="L2701" s="6" t="str">
        <f t="shared" ref="L2701" si="2490">"vs "&amp;F2700</f>
        <v>vs Vasilis</v>
      </c>
      <c r="M2701">
        <v>96</v>
      </c>
      <c r="N2701" s="1">
        <v>0.47099999999999997</v>
      </c>
      <c r="O2701">
        <v>27</v>
      </c>
      <c r="P2701" s="1">
        <v>0.32900000000000001</v>
      </c>
      <c r="Q2701" s="1">
        <v>0.873</v>
      </c>
      <c r="R2701">
        <v>274</v>
      </c>
      <c r="S2701">
        <v>21</v>
      </c>
      <c r="T2701">
        <v>73</v>
      </c>
      <c r="U2701">
        <v>55</v>
      </c>
      <c r="V2701">
        <v>19</v>
      </c>
      <c r="W2701">
        <v>9</v>
      </c>
      <c r="X2701">
        <v>37</v>
      </c>
      <c r="Y2701">
        <v>1.49</v>
      </c>
    </row>
    <row r="2702" spans="1:25" x14ac:dyDescent="0.25">
      <c r="A2702">
        <v>2025</v>
      </c>
      <c r="B2702" t="s">
        <v>57</v>
      </c>
      <c r="C2702">
        <v>1</v>
      </c>
      <c r="D2702">
        <v>18</v>
      </c>
      <c r="E2702" t="s">
        <v>99</v>
      </c>
      <c r="F2702" t="s">
        <v>45</v>
      </c>
      <c r="G2702">
        <f t="shared" si="2386"/>
        <v>1</v>
      </c>
      <c r="H2702">
        <v>10</v>
      </c>
      <c r="I2702">
        <v>3</v>
      </c>
      <c r="J2702">
        <v>0</v>
      </c>
      <c r="K2702" s="6" t="str">
        <f t="shared" ref="K2702" si="2491">"vs "&amp;E2703</f>
        <v>vs Paralouistas</v>
      </c>
      <c r="L2702" s="6" t="str">
        <f t="shared" ref="L2702" si="2492">"vs "&amp;F2703</f>
        <v>vs Panos</v>
      </c>
      <c r="M2702">
        <v>117</v>
      </c>
      <c r="N2702" s="1">
        <v>0.49399999999999999</v>
      </c>
      <c r="O2702">
        <v>24</v>
      </c>
      <c r="P2702" s="1">
        <v>0.34799999999999998</v>
      </c>
      <c r="Q2702" s="1">
        <v>0.83</v>
      </c>
      <c r="R2702">
        <v>341</v>
      </c>
      <c r="S2702">
        <v>35</v>
      </c>
      <c r="T2702">
        <v>97</v>
      </c>
      <c r="U2702">
        <v>78</v>
      </c>
      <c r="V2702">
        <v>31</v>
      </c>
      <c r="W2702">
        <v>16</v>
      </c>
      <c r="X2702">
        <v>39</v>
      </c>
      <c r="Y2702">
        <v>2</v>
      </c>
    </row>
    <row r="2703" spans="1:25" x14ac:dyDescent="0.25">
      <c r="A2703">
        <v>2025</v>
      </c>
      <c r="B2703" t="s">
        <v>57</v>
      </c>
      <c r="C2703">
        <v>1</v>
      </c>
      <c r="D2703">
        <v>18</v>
      </c>
      <c r="E2703" t="s">
        <v>185</v>
      </c>
      <c r="F2703" t="s">
        <v>100</v>
      </c>
      <c r="G2703">
        <f t="shared" si="2386"/>
        <v>0</v>
      </c>
      <c r="H2703">
        <v>3</v>
      </c>
      <c r="I2703">
        <v>10</v>
      </c>
      <c r="J2703">
        <v>0</v>
      </c>
      <c r="K2703" s="6" t="str">
        <f t="shared" ref="K2703" si="2493">"vs "&amp;E2702</f>
        <v>vs Tsarlatans</v>
      </c>
      <c r="L2703" s="6" t="str">
        <f t="shared" ref="L2703" si="2494">"vs "&amp;F2702</f>
        <v>vs Tzokos</v>
      </c>
      <c r="M2703">
        <v>91</v>
      </c>
      <c r="N2703" s="1">
        <v>0.42499999999999999</v>
      </c>
      <c r="O2703">
        <v>31</v>
      </c>
      <c r="P2703" s="1">
        <v>0.316</v>
      </c>
      <c r="Q2703" s="1">
        <v>0.82499999999999996</v>
      </c>
      <c r="R2703">
        <v>246</v>
      </c>
      <c r="S2703">
        <v>31</v>
      </c>
      <c r="T2703">
        <v>85</v>
      </c>
      <c r="U2703">
        <v>39</v>
      </c>
      <c r="V2703">
        <v>18</v>
      </c>
      <c r="W2703">
        <v>19</v>
      </c>
      <c r="X2703">
        <v>22</v>
      </c>
      <c r="Y2703">
        <v>1.77</v>
      </c>
    </row>
    <row r="2704" spans="1:25" x14ac:dyDescent="0.25">
      <c r="A2704">
        <v>2025</v>
      </c>
      <c r="B2704" t="s">
        <v>57</v>
      </c>
      <c r="C2704">
        <v>1</v>
      </c>
      <c r="D2704">
        <v>19</v>
      </c>
      <c r="E2704" t="s">
        <v>159</v>
      </c>
      <c r="F2704" t="s">
        <v>116</v>
      </c>
      <c r="G2704">
        <f t="shared" si="2386"/>
        <v>0</v>
      </c>
      <c r="H2704">
        <v>4</v>
      </c>
      <c r="I2704">
        <v>9</v>
      </c>
      <c r="J2704">
        <v>0</v>
      </c>
      <c r="K2704" s="6" t="str">
        <f t="shared" ref="K2704" si="2495">"vs "&amp;E2705</f>
        <v>vs Samarina Dudenbros</v>
      </c>
      <c r="L2704" s="6" t="str">
        <f t="shared" ref="L2704" si="2496">"vs "&amp;F2705</f>
        <v>vs Sakellariou</v>
      </c>
      <c r="M2704">
        <v>130</v>
      </c>
      <c r="N2704" s="1">
        <v>0.45</v>
      </c>
      <c r="O2704">
        <v>39</v>
      </c>
      <c r="P2704" s="1">
        <v>0.34200000000000003</v>
      </c>
      <c r="Q2704" s="1">
        <v>0.69</v>
      </c>
      <c r="R2704">
        <v>368</v>
      </c>
      <c r="S2704">
        <v>32</v>
      </c>
      <c r="T2704">
        <v>120</v>
      </c>
      <c r="U2704">
        <v>110</v>
      </c>
      <c r="V2704">
        <v>23</v>
      </c>
      <c r="W2704">
        <v>14</v>
      </c>
      <c r="X2704">
        <v>55</v>
      </c>
      <c r="Y2704">
        <v>2</v>
      </c>
    </row>
    <row r="2705" spans="1:25" x14ac:dyDescent="0.25">
      <c r="A2705">
        <v>2025</v>
      </c>
      <c r="B2705" t="s">
        <v>57</v>
      </c>
      <c r="C2705">
        <v>1</v>
      </c>
      <c r="D2705">
        <v>19</v>
      </c>
      <c r="E2705" t="s">
        <v>181</v>
      </c>
      <c r="F2705" t="s">
        <v>49</v>
      </c>
      <c r="G2705">
        <f t="shared" si="2386"/>
        <v>1</v>
      </c>
      <c r="H2705">
        <v>9</v>
      </c>
      <c r="I2705">
        <v>4</v>
      </c>
      <c r="J2705">
        <v>0</v>
      </c>
      <c r="K2705" s="6" t="str">
        <f t="shared" ref="K2705" si="2497">"vs "&amp;E2704</f>
        <v>vs purple fuzzy apache pirates</v>
      </c>
      <c r="L2705" s="6" t="str">
        <f t="shared" ref="L2705" si="2498">"vs "&amp;F2704</f>
        <v>vs pi/Sotiris</v>
      </c>
      <c r="M2705">
        <v>151</v>
      </c>
      <c r="N2705" s="1">
        <v>0.45500000000000002</v>
      </c>
      <c r="O2705">
        <v>55</v>
      </c>
      <c r="P2705" s="1">
        <v>0.377</v>
      </c>
      <c r="Q2705" s="1">
        <v>0.8</v>
      </c>
      <c r="R2705">
        <v>445</v>
      </c>
      <c r="S2705">
        <v>40</v>
      </c>
      <c r="T2705">
        <v>92</v>
      </c>
      <c r="U2705">
        <v>114</v>
      </c>
      <c r="V2705">
        <v>34</v>
      </c>
      <c r="W2705">
        <v>10</v>
      </c>
      <c r="X2705">
        <v>63</v>
      </c>
      <c r="Y2705">
        <v>1.81</v>
      </c>
    </row>
    <row r="2706" spans="1:25" x14ac:dyDescent="0.25">
      <c r="A2706">
        <v>2025</v>
      </c>
      <c r="B2706" t="s">
        <v>57</v>
      </c>
      <c r="C2706">
        <v>1</v>
      </c>
      <c r="D2706">
        <v>20</v>
      </c>
      <c r="E2706" t="s">
        <v>15</v>
      </c>
      <c r="F2706" t="s">
        <v>48</v>
      </c>
      <c r="G2706">
        <f t="shared" si="2386"/>
        <v>0</v>
      </c>
      <c r="H2706">
        <v>5</v>
      </c>
      <c r="I2706">
        <v>8</v>
      </c>
      <c r="J2706">
        <v>0</v>
      </c>
      <c r="K2706" s="6" t="str">
        <f t="shared" ref="K2706" si="2499">"vs "&amp;E2707</f>
        <v>vs Steven Adams' Moustache</v>
      </c>
      <c r="L2706" s="6" t="str">
        <f t="shared" ref="L2706" si="2500">"vs "&amp;F2707</f>
        <v>vs Johnny</v>
      </c>
      <c r="M2706">
        <v>123</v>
      </c>
      <c r="N2706" s="1">
        <v>0.43</v>
      </c>
      <c r="O2706">
        <v>46</v>
      </c>
      <c r="P2706" s="1">
        <v>0.4</v>
      </c>
      <c r="Q2706" s="1">
        <v>0.78100000000000003</v>
      </c>
      <c r="R2706">
        <v>349</v>
      </c>
      <c r="S2706">
        <v>20</v>
      </c>
      <c r="T2706">
        <v>87</v>
      </c>
      <c r="U2706">
        <v>99</v>
      </c>
      <c r="V2706">
        <v>20</v>
      </c>
      <c r="W2706">
        <v>8</v>
      </c>
      <c r="X2706">
        <v>41</v>
      </c>
      <c r="Y2706">
        <v>2.41</v>
      </c>
    </row>
    <row r="2707" spans="1:25" x14ac:dyDescent="0.25">
      <c r="A2707">
        <v>2025</v>
      </c>
      <c r="B2707" t="s">
        <v>57</v>
      </c>
      <c r="C2707">
        <v>1</v>
      </c>
      <c r="D2707">
        <v>20</v>
      </c>
      <c r="E2707" t="s">
        <v>28</v>
      </c>
      <c r="F2707" t="s">
        <v>46</v>
      </c>
      <c r="G2707">
        <f t="shared" si="2386"/>
        <v>1</v>
      </c>
      <c r="H2707">
        <v>8</v>
      </c>
      <c r="I2707">
        <v>5</v>
      </c>
      <c r="J2707">
        <v>0</v>
      </c>
      <c r="K2707" s="6" t="str">
        <f t="shared" ref="K2707" si="2501">"vs "&amp;E2706</f>
        <v>vs Salonika Devils</v>
      </c>
      <c r="L2707" s="6" t="str">
        <f t="shared" ref="L2707" si="2502">"vs "&amp;F2706</f>
        <v>vs Fountos</v>
      </c>
      <c r="M2707">
        <v>184</v>
      </c>
      <c r="N2707" s="1">
        <v>0.45500000000000002</v>
      </c>
      <c r="O2707">
        <v>70</v>
      </c>
      <c r="P2707" s="1">
        <v>0.38700000000000001</v>
      </c>
      <c r="Q2707" s="1">
        <v>0.77700000000000002</v>
      </c>
      <c r="R2707">
        <v>511</v>
      </c>
      <c r="S2707">
        <v>32</v>
      </c>
      <c r="T2707">
        <v>126</v>
      </c>
      <c r="U2707">
        <v>101</v>
      </c>
      <c r="V2707">
        <v>19</v>
      </c>
      <c r="W2707">
        <v>18</v>
      </c>
      <c r="X2707">
        <v>55</v>
      </c>
      <c r="Y2707">
        <v>1.84</v>
      </c>
    </row>
    <row r="2708" spans="1:25" x14ac:dyDescent="0.25">
      <c r="A2708">
        <v>2025</v>
      </c>
      <c r="B2708" t="s">
        <v>57</v>
      </c>
      <c r="C2708">
        <v>2</v>
      </c>
      <c r="D2708">
        <v>21</v>
      </c>
      <c r="E2708" t="s">
        <v>96</v>
      </c>
      <c r="F2708" t="s">
        <v>102</v>
      </c>
      <c r="G2708">
        <f t="shared" si="2386"/>
        <v>1</v>
      </c>
      <c r="H2708">
        <v>11</v>
      </c>
      <c r="I2708">
        <v>2</v>
      </c>
      <c r="J2708">
        <v>0</v>
      </c>
      <c r="K2708" s="6" t="str">
        <f t="shared" ref="K2708" si="2503">"vs "&amp;E2709</f>
        <v>vs Kourayo Vallecano</v>
      </c>
      <c r="L2708" s="6" t="str">
        <f t="shared" ref="L2708" si="2504">"vs "&amp;F2709</f>
        <v>vs Ziogas/Christof</v>
      </c>
      <c r="M2708">
        <v>160</v>
      </c>
      <c r="N2708" s="1">
        <v>0.51900000000000002</v>
      </c>
      <c r="O2708">
        <v>35</v>
      </c>
      <c r="P2708" s="1">
        <v>0.38</v>
      </c>
      <c r="Q2708" s="1">
        <v>0.82099999999999995</v>
      </c>
      <c r="R2708">
        <v>447</v>
      </c>
      <c r="S2708">
        <v>36</v>
      </c>
      <c r="T2708">
        <v>147</v>
      </c>
      <c r="U2708">
        <v>84</v>
      </c>
      <c r="V2708">
        <v>37</v>
      </c>
      <c r="W2708">
        <v>13</v>
      </c>
      <c r="X2708">
        <v>55</v>
      </c>
      <c r="Y2708">
        <v>1.53</v>
      </c>
    </row>
    <row r="2709" spans="1:25" x14ac:dyDescent="0.25">
      <c r="A2709">
        <v>2025</v>
      </c>
      <c r="B2709" t="s">
        <v>57</v>
      </c>
      <c r="C2709">
        <v>2</v>
      </c>
      <c r="D2709">
        <v>21</v>
      </c>
      <c r="E2709" t="s">
        <v>26</v>
      </c>
      <c r="F2709" t="s">
        <v>118</v>
      </c>
      <c r="G2709">
        <f t="shared" si="2386"/>
        <v>0</v>
      </c>
      <c r="H2709">
        <v>2</v>
      </c>
      <c r="I2709">
        <v>11</v>
      </c>
      <c r="J2709">
        <v>0</v>
      </c>
      <c r="K2709" s="6" t="str">
        <f t="shared" ref="K2709" si="2505">"vs "&amp;E2708</f>
        <v>vs Knights of Ni</v>
      </c>
      <c r="L2709" s="6" t="str">
        <f t="shared" ref="L2709" si="2506">"vs "&amp;F2708</f>
        <v>vs Tolios</v>
      </c>
      <c r="M2709">
        <v>118</v>
      </c>
      <c r="N2709" s="1">
        <v>0.46500000000000002</v>
      </c>
      <c r="O2709">
        <v>36</v>
      </c>
      <c r="P2709" s="1">
        <v>0.35</v>
      </c>
      <c r="Q2709" s="1">
        <v>0.77600000000000002</v>
      </c>
      <c r="R2709">
        <v>317</v>
      </c>
      <c r="S2709">
        <v>34</v>
      </c>
      <c r="T2709">
        <v>133</v>
      </c>
      <c r="U2709">
        <v>68</v>
      </c>
      <c r="V2709">
        <v>22</v>
      </c>
      <c r="W2709">
        <v>6</v>
      </c>
      <c r="X2709">
        <v>49</v>
      </c>
      <c r="Y2709">
        <v>1.39</v>
      </c>
    </row>
    <row r="2710" spans="1:25" x14ac:dyDescent="0.25">
      <c r="A2710">
        <v>2025</v>
      </c>
      <c r="B2710" t="s">
        <v>57</v>
      </c>
      <c r="C2710">
        <v>2</v>
      </c>
      <c r="D2710">
        <v>22</v>
      </c>
      <c r="E2710" t="s">
        <v>158</v>
      </c>
      <c r="F2710" t="s">
        <v>177</v>
      </c>
      <c r="G2710">
        <f t="shared" si="2386"/>
        <v>0</v>
      </c>
      <c r="H2710">
        <v>6</v>
      </c>
      <c r="I2710">
        <v>7</v>
      </c>
      <c r="J2710">
        <v>0</v>
      </c>
      <c r="K2710" s="6" t="str">
        <f t="shared" ref="K2710" si="2507">"vs "&amp;E2711</f>
        <v>vs Tsarlatans</v>
      </c>
      <c r="L2710" s="6" t="str">
        <f t="shared" ref="L2710" si="2508">"vs "&amp;F2711</f>
        <v>vs Tzokos</v>
      </c>
      <c r="M2710">
        <v>201</v>
      </c>
      <c r="N2710" s="1">
        <v>0.44800000000000001</v>
      </c>
      <c r="O2710">
        <v>50</v>
      </c>
      <c r="P2710" s="1">
        <v>0.29899999999999999</v>
      </c>
      <c r="Q2710" s="1">
        <v>0.752</v>
      </c>
      <c r="R2710">
        <v>558</v>
      </c>
      <c r="S2710">
        <v>29</v>
      </c>
      <c r="T2710">
        <v>130</v>
      </c>
      <c r="U2710">
        <v>104</v>
      </c>
      <c r="V2710">
        <v>28</v>
      </c>
      <c r="W2710">
        <v>15</v>
      </c>
      <c r="X2710">
        <v>59</v>
      </c>
      <c r="Y2710">
        <v>1.76</v>
      </c>
    </row>
    <row r="2711" spans="1:25" x14ac:dyDescent="0.25">
      <c r="A2711">
        <v>2025</v>
      </c>
      <c r="B2711" t="s">
        <v>57</v>
      </c>
      <c r="C2711">
        <v>2</v>
      </c>
      <c r="D2711">
        <v>22</v>
      </c>
      <c r="E2711" t="s">
        <v>99</v>
      </c>
      <c r="F2711" t="s">
        <v>45</v>
      </c>
      <c r="G2711">
        <f t="shared" si="2386"/>
        <v>1</v>
      </c>
      <c r="H2711">
        <v>7</v>
      </c>
      <c r="I2711">
        <v>6</v>
      </c>
      <c r="J2711">
        <v>0</v>
      </c>
      <c r="K2711" s="6" t="str">
        <f t="shared" ref="K2711" si="2509">"vs "&amp;E2710</f>
        <v>vs LRBP PR3DATORS</v>
      </c>
      <c r="L2711" s="6" t="str">
        <f t="shared" ref="L2711" si="2510">"vs "&amp;F2710</f>
        <v>vs Lafa</v>
      </c>
      <c r="M2711">
        <v>149</v>
      </c>
      <c r="N2711" s="1">
        <v>0.53600000000000003</v>
      </c>
      <c r="O2711">
        <v>31</v>
      </c>
      <c r="P2711" s="1">
        <v>0.373</v>
      </c>
      <c r="Q2711" s="1">
        <v>0.74099999999999999</v>
      </c>
      <c r="R2711">
        <v>369</v>
      </c>
      <c r="S2711">
        <v>33</v>
      </c>
      <c r="T2711">
        <v>116</v>
      </c>
      <c r="U2711">
        <v>89</v>
      </c>
      <c r="V2711">
        <v>29</v>
      </c>
      <c r="W2711">
        <v>18</v>
      </c>
      <c r="X2711">
        <v>41</v>
      </c>
      <c r="Y2711">
        <v>2.17</v>
      </c>
    </row>
    <row r="2712" spans="1:25" x14ac:dyDescent="0.25">
      <c r="A2712">
        <v>2025</v>
      </c>
      <c r="B2712" t="s">
        <v>57</v>
      </c>
      <c r="C2712">
        <v>2</v>
      </c>
      <c r="D2712">
        <v>23</v>
      </c>
      <c r="E2712" t="s">
        <v>95</v>
      </c>
      <c r="F2712" t="s">
        <v>101</v>
      </c>
      <c r="G2712">
        <f t="shared" si="2386"/>
        <v>0</v>
      </c>
      <c r="H2712">
        <v>3</v>
      </c>
      <c r="I2712">
        <v>8</v>
      </c>
      <c r="J2712">
        <v>2</v>
      </c>
      <c r="K2712" s="6" t="str">
        <f t="shared" ref="K2712" si="2511">"vs "&amp;E2713</f>
        <v>vs Xanthi Ducks 🦆</v>
      </c>
      <c r="L2712" s="6" t="str">
        <f t="shared" ref="L2712" si="2512">"vs "&amp;F2713</f>
        <v>vs Kotakis</v>
      </c>
      <c r="M2712">
        <v>175</v>
      </c>
      <c r="N2712" s="1">
        <v>0.47599999999999998</v>
      </c>
      <c r="O2712">
        <v>52</v>
      </c>
      <c r="P2712" s="1">
        <v>0.33500000000000002</v>
      </c>
      <c r="Q2712" s="1">
        <v>0.76100000000000001</v>
      </c>
      <c r="R2712">
        <v>485</v>
      </c>
      <c r="S2712">
        <v>47</v>
      </c>
      <c r="T2712">
        <v>131</v>
      </c>
      <c r="U2712">
        <v>100</v>
      </c>
      <c r="V2712">
        <v>39</v>
      </c>
      <c r="W2712">
        <v>15</v>
      </c>
      <c r="X2712">
        <v>52</v>
      </c>
      <c r="Y2712">
        <v>1.92</v>
      </c>
    </row>
    <row r="2713" spans="1:25" x14ac:dyDescent="0.25">
      <c r="A2713">
        <v>2025</v>
      </c>
      <c r="B2713" t="s">
        <v>57</v>
      </c>
      <c r="C2713">
        <v>2</v>
      </c>
      <c r="D2713">
        <v>23</v>
      </c>
      <c r="E2713" t="s">
        <v>98</v>
      </c>
      <c r="F2713" t="s">
        <v>41</v>
      </c>
      <c r="G2713">
        <f t="shared" si="2386"/>
        <v>1</v>
      </c>
      <c r="H2713">
        <v>8</v>
      </c>
      <c r="I2713">
        <v>3</v>
      </c>
      <c r="J2713">
        <v>2</v>
      </c>
      <c r="K2713" s="6" t="str">
        <f t="shared" ref="K2713" si="2513">"vs "&amp;E2712</f>
        <v>vs Baltimore Hercules</v>
      </c>
      <c r="L2713" s="6" t="str">
        <f t="shared" ref="L2713" si="2514">"vs "&amp;F2712</f>
        <v>vs Sarantos</v>
      </c>
      <c r="M2713">
        <v>183</v>
      </c>
      <c r="N2713" s="1">
        <v>0.47299999999999998</v>
      </c>
      <c r="O2713">
        <v>48</v>
      </c>
      <c r="P2713" s="1">
        <v>0.32700000000000001</v>
      </c>
      <c r="Q2713" s="1">
        <v>0.84499999999999997</v>
      </c>
      <c r="R2713">
        <v>485</v>
      </c>
      <c r="S2713">
        <v>69</v>
      </c>
      <c r="T2713">
        <v>187</v>
      </c>
      <c r="U2713">
        <v>124</v>
      </c>
      <c r="V2713">
        <v>39</v>
      </c>
      <c r="W2713">
        <v>20</v>
      </c>
      <c r="X2713">
        <v>46</v>
      </c>
      <c r="Y2713">
        <v>2.7</v>
      </c>
    </row>
    <row r="2714" spans="1:25" x14ac:dyDescent="0.25">
      <c r="A2714">
        <v>2025</v>
      </c>
      <c r="B2714" t="s">
        <v>57</v>
      </c>
      <c r="C2714">
        <v>2</v>
      </c>
      <c r="D2714">
        <v>24</v>
      </c>
      <c r="E2714" t="s">
        <v>93</v>
      </c>
      <c r="F2714" t="s">
        <v>189</v>
      </c>
      <c r="G2714">
        <f t="shared" ref="G2714:G2777" si="2515">IF(H2714+0.5*J2714&gt;6.5,1,0)</f>
        <v>1</v>
      </c>
      <c r="H2714">
        <v>7</v>
      </c>
      <c r="I2714">
        <v>6</v>
      </c>
      <c r="J2714">
        <v>0</v>
      </c>
      <c r="K2714" s="6" t="str">
        <f t="shared" ref="K2714" si="2516">"vs "&amp;E2715</f>
        <v>vs The Bad Boys</v>
      </c>
      <c r="L2714" s="6" t="str">
        <f t="shared" ref="L2714" si="2517">"vs "&amp;F2715</f>
        <v>vs Arvanitis</v>
      </c>
      <c r="M2714">
        <v>156</v>
      </c>
      <c r="N2714" s="1">
        <v>0.46600000000000003</v>
      </c>
      <c r="O2714">
        <v>60</v>
      </c>
      <c r="P2714" s="1">
        <v>0.35299999999999998</v>
      </c>
      <c r="Q2714" s="1">
        <v>0.81200000000000006</v>
      </c>
      <c r="R2714">
        <v>441</v>
      </c>
      <c r="S2714">
        <v>22</v>
      </c>
      <c r="T2714">
        <v>130</v>
      </c>
      <c r="U2714">
        <v>111</v>
      </c>
      <c r="V2714">
        <v>20</v>
      </c>
      <c r="W2714">
        <v>19</v>
      </c>
      <c r="X2714">
        <v>42</v>
      </c>
      <c r="Y2714">
        <v>2.64</v>
      </c>
    </row>
    <row r="2715" spans="1:25" x14ac:dyDescent="0.25">
      <c r="A2715">
        <v>2025</v>
      </c>
      <c r="B2715" t="s">
        <v>57</v>
      </c>
      <c r="C2715">
        <v>2</v>
      </c>
      <c r="D2715">
        <v>24</v>
      </c>
      <c r="E2715" t="s">
        <v>154</v>
      </c>
      <c r="F2715" t="s">
        <v>155</v>
      </c>
      <c r="G2715">
        <f t="shared" si="2515"/>
        <v>0</v>
      </c>
      <c r="H2715">
        <v>6</v>
      </c>
      <c r="I2715">
        <v>7</v>
      </c>
      <c r="J2715">
        <v>0</v>
      </c>
      <c r="K2715" s="6" t="str">
        <f t="shared" ref="K2715" si="2518">"vs "&amp;E2714</f>
        <v>vs Guruuu 🐐🐐🐐</v>
      </c>
      <c r="L2715" s="6" t="str">
        <f t="shared" ref="L2715" si="2519">"vs "&amp;F2714</f>
        <v>vs Guru</v>
      </c>
      <c r="M2715">
        <v>106</v>
      </c>
      <c r="N2715" s="1">
        <v>0.49099999999999999</v>
      </c>
      <c r="O2715">
        <v>27</v>
      </c>
      <c r="P2715" s="1">
        <v>0.37</v>
      </c>
      <c r="Q2715" s="1">
        <v>0.71399999999999997</v>
      </c>
      <c r="R2715">
        <v>289</v>
      </c>
      <c r="S2715">
        <v>52</v>
      </c>
      <c r="T2715">
        <v>136</v>
      </c>
      <c r="U2715">
        <v>72</v>
      </c>
      <c r="V2715">
        <v>26</v>
      </c>
      <c r="W2715">
        <v>35</v>
      </c>
      <c r="X2715">
        <v>54</v>
      </c>
      <c r="Y2715">
        <v>1.33</v>
      </c>
    </row>
    <row r="2716" spans="1:25" x14ac:dyDescent="0.25">
      <c r="A2716">
        <v>2025</v>
      </c>
      <c r="B2716" t="s">
        <v>57</v>
      </c>
      <c r="C2716">
        <v>2</v>
      </c>
      <c r="D2716">
        <v>25</v>
      </c>
      <c r="E2716" t="s">
        <v>16</v>
      </c>
      <c r="F2716" t="s">
        <v>51</v>
      </c>
      <c r="G2716">
        <f t="shared" si="2515"/>
        <v>1</v>
      </c>
      <c r="H2716">
        <v>11</v>
      </c>
      <c r="I2716">
        <v>2</v>
      </c>
      <c r="J2716">
        <v>0</v>
      </c>
      <c r="K2716" s="6" t="str">
        <f t="shared" ref="K2716" si="2520">"vs "&amp;E2717</f>
        <v>vs st.Helens Eruptions</v>
      </c>
      <c r="L2716" s="6" t="str">
        <f t="shared" ref="L2716" si="2521">"vs "&amp;F2717</f>
        <v>vs Aris</v>
      </c>
      <c r="M2716">
        <v>201</v>
      </c>
      <c r="N2716" s="1">
        <v>0.47399999999999998</v>
      </c>
      <c r="O2716">
        <v>54</v>
      </c>
      <c r="P2716" s="1">
        <v>0.32100000000000001</v>
      </c>
      <c r="Q2716" s="1">
        <v>0.78800000000000003</v>
      </c>
      <c r="R2716">
        <v>534</v>
      </c>
      <c r="S2716">
        <v>47</v>
      </c>
      <c r="T2716">
        <v>140</v>
      </c>
      <c r="U2716">
        <v>155</v>
      </c>
      <c r="V2716">
        <v>43</v>
      </c>
      <c r="W2716">
        <v>16</v>
      </c>
      <c r="X2716">
        <v>72</v>
      </c>
      <c r="Y2716">
        <v>2.15</v>
      </c>
    </row>
    <row r="2717" spans="1:25" x14ac:dyDescent="0.25">
      <c r="A2717">
        <v>2025</v>
      </c>
      <c r="B2717" t="s">
        <v>57</v>
      </c>
      <c r="C2717">
        <v>2</v>
      </c>
      <c r="D2717">
        <v>25</v>
      </c>
      <c r="E2717" t="s">
        <v>21</v>
      </c>
      <c r="F2717" t="s">
        <v>50</v>
      </c>
      <c r="G2717">
        <f t="shared" si="2515"/>
        <v>0</v>
      </c>
      <c r="H2717">
        <v>2</v>
      </c>
      <c r="I2717">
        <v>11</v>
      </c>
      <c r="J2717">
        <v>0</v>
      </c>
      <c r="K2717" s="6" t="str">
        <f t="shared" ref="K2717" si="2522">"vs "&amp;E2716</f>
        <v>vs The Bridgeburners</v>
      </c>
      <c r="L2717" s="6" t="str">
        <f t="shared" ref="L2717" si="2523">"vs "&amp;F2716</f>
        <v>vs Fanis</v>
      </c>
      <c r="M2717">
        <v>163</v>
      </c>
      <c r="N2717" s="1">
        <v>0.45</v>
      </c>
      <c r="O2717">
        <v>43</v>
      </c>
      <c r="P2717" s="1">
        <v>0.36099999999999999</v>
      </c>
      <c r="Q2717" s="1">
        <v>0.74199999999999999</v>
      </c>
      <c r="R2717">
        <v>438</v>
      </c>
      <c r="S2717">
        <v>38</v>
      </c>
      <c r="T2717">
        <v>114</v>
      </c>
      <c r="U2717">
        <v>87</v>
      </c>
      <c r="V2717">
        <v>27</v>
      </c>
      <c r="W2717">
        <v>14</v>
      </c>
      <c r="X2717">
        <v>57</v>
      </c>
      <c r="Y2717">
        <v>1.53</v>
      </c>
    </row>
    <row r="2718" spans="1:25" x14ac:dyDescent="0.25">
      <c r="A2718">
        <v>2025</v>
      </c>
      <c r="B2718" t="s">
        <v>57</v>
      </c>
      <c r="C2718">
        <v>2</v>
      </c>
      <c r="D2718">
        <v>26</v>
      </c>
      <c r="E2718" t="s">
        <v>185</v>
      </c>
      <c r="F2718" t="s">
        <v>100</v>
      </c>
      <c r="G2718">
        <f t="shared" si="2515"/>
        <v>0</v>
      </c>
      <c r="H2718">
        <v>6</v>
      </c>
      <c r="I2718">
        <v>7</v>
      </c>
      <c r="J2718">
        <v>0</v>
      </c>
      <c r="K2718" s="6" t="str">
        <f t="shared" ref="K2718" si="2524">"vs "&amp;E2719</f>
        <v>vs Steven Adams' Moustache</v>
      </c>
      <c r="L2718" s="6" t="str">
        <f t="shared" ref="L2718" si="2525">"vs "&amp;F2719</f>
        <v>vs Johnny</v>
      </c>
      <c r="M2718">
        <v>167</v>
      </c>
      <c r="N2718" s="1">
        <v>0.441</v>
      </c>
      <c r="O2718">
        <v>53</v>
      </c>
      <c r="P2718" s="1">
        <v>0.32100000000000001</v>
      </c>
      <c r="Q2718" s="1">
        <v>0.67200000000000004</v>
      </c>
      <c r="R2718">
        <v>432</v>
      </c>
      <c r="S2718">
        <v>48</v>
      </c>
      <c r="T2718">
        <v>135</v>
      </c>
      <c r="U2718">
        <v>94</v>
      </c>
      <c r="V2718">
        <v>29</v>
      </c>
      <c r="W2718">
        <v>29</v>
      </c>
      <c r="X2718">
        <v>38</v>
      </c>
      <c r="Y2718">
        <v>2.4700000000000002</v>
      </c>
    </row>
    <row r="2719" spans="1:25" x14ac:dyDescent="0.25">
      <c r="A2719">
        <v>2025</v>
      </c>
      <c r="B2719" t="s">
        <v>57</v>
      </c>
      <c r="C2719">
        <v>2</v>
      </c>
      <c r="D2719">
        <v>26</v>
      </c>
      <c r="E2719" t="s">
        <v>28</v>
      </c>
      <c r="F2719" t="s">
        <v>46</v>
      </c>
      <c r="G2719">
        <f t="shared" si="2515"/>
        <v>1</v>
      </c>
      <c r="H2719">
        <v>7</v>
      </c>
      <c r="I2719">
        <v>6</v>
      </c>
      <c r="J2719">
        <v>0</v>
      </c>
      <c r="K2719" s="6" t="str">
        <f t="shared" ref="K2719" si="2526">"vs "&amp;E2718</f>
        <v>vs Paralouistas</v>
      </c>
      <c r="L2719" s="6" t="str">
        <f t="shared" ref="L2719" si="2527">"vs "&amp;F2718</f>
        <v>vs Panos</v>
      </c>
      <c r="M2719">
        <v>204</v>
      </c>
      <c r="N2719" s="1">
        <v>0.42599999999999999</v>
      </c>
      <c r="O2719">
        <v>95</v>
      </c>
      <c r="P2719" s="1">
        <v>0.36699999999999999</v>
      </c>
      <c r="Q2719" s="1">
        <v>0.78400000000000003</v>
      </c>
      <c r="R2719">
        <v>608</v>
      </c>
      <c r="S2719">
        <v>27</v>
      </c>
      <c r="T2719">
        <v>140</v>
      </c>
      <c r="U2719">
        <v>88</v>
      </c>
      <c r="V2719">
        <v>30</v>
      </c>
      <c r="W2719">
        <v>12</v>
      </c>
      <c r="X2719">
        <v>88</v>
      </c>
      <c r="Y2719">
        <v>1</v>
      </c>
    </row>
    <row r="2720" spans="1:25" x14ac:dyDescent="0.25">
      <c r="A2720">
        <v>2025</v>
      </c>
      <c r="B2720" t="s">
        <v>57</v>
      </c>
      <c r="C2720">
        <v>2</v>
      </c>
      <c r="D2720">
        <v>27</v>
      </c>
      <c r="E2720" t="s">
        <v>94</v>
      </c>
      <c r="F2720" t="s">
        <v>40</v>
      </c>
      <c r="G2720">
        <f t="shared" si="2515"/>
        <v>1</v>
      </c>
      <c r="H2720">
        <v>8</v>
      </c>
      <c r="I2720">
        <v>4</v>
      </c>
      <c r="J2720">
        <v>1</v>
      </c>
      <c r="K2720" s="6" t="str">
        <f t="shared" ref="K2720" si="2528">"vs "&amp;E2721</f>
        <v>vs Pachiana NinjaBees</v>
      </c>
      <c r="L2720" s="6" t="str">
        <f t="shared" ref="L2720" si="2529">"vs "&amp;F2721</f>
        <v>vs Spiridaus/Oladipas</v>
      </c>
      <c r="M2720">
        <v>150</v>
      </c>
      <c r="N2720" s="1">
        <v>0.5</v>
      </c>
      <c r="O2720">
        <v>40</v>
      </c>
      <c r="P2720" s="1">
        <v>0.35699999999999998</v>
      </c>
      <c r="Q2720" s="1">
        <v>0.80600000000000005</v>
      </c>
      <c r="R2720">
        <v>398</v>
      </c>
      <c r="S2720">
        <v>45</v>
      </c>
      <c r="T2720">
        <v>88</v>
      </c>
      <c r="U2720">
        <v>98</v>
      </c>
      <c r="V2720">
        <v>29</v>
      </c>
      <c r="W2720">
        <v>19</v>
      </c>
      <c r="X2720">
        <v>43</v>
      </c>
      <c r="Y2720">
        <v>2.2799999999999998</v>
      </c>
    </row>
    <row r="2721" spans="1:25" x14ac:dyDescent="0.25">
      <c r="A2721">
        <v>2025</v>
      </c>
      <c r="B2721" t="s">
        <v>57</v>
      </c>
      <c r="C2721">
        <v>2</v>
      </c>
      <c r="D2721">
        <v>27</v>
      </c>
      <c r="E2721" t="s">
        <v>23</v>
      </c>
      <c r="F2721" t="s">
        <v>120</v>
      </c>
      <c r="G2721">
        <f t="shared" si="2515"/>
        <v>0</v>
      </c>
      <c r="H2721">
        <v>4</v>
      </c>
      <c r="I2721">
        <v>8</v>
      </c>
      <c r="J2721">
        <v>1</v>
      </c>
      <c r="K2721" s="6" t="str">
        <f t="shared" ref="K2721" si="2530">"vs "&amp;E2720</f>
        <v>vs Fighting Thaddeus</v>
      </c>
      <c r="L2721" s="6" t="str">
        <f t="shared" ref="L2721" si="2531">"vs "&amp;F2720</f>
        <v>vs Stavros</v>
      </c>
      <c r="M2721">
        <v>130</v>
      </c>
      <c r="N2721" s="1">
        <v>0.44400000000000001</v>
      </c>
      <c r="O2721">
        <v>44</v>
      </c>
      <c r="P2721" s="1">
        <v>0.312</v>
      </c>
      <c r="Q2721" s="1">
        <v>0.754</v>
      </c>
      <c r="R2721">
        <v>347</v>
      </c>
      <c r="S2721">
        <v>29</v>
      </c>
      <c r="T2721">
        <v>125</v>
      </c>
      <c r="U2721">
        <v>92</v>
      </c>
      <c r="V2721">
        <v>32</v>
      </c>
      <c r="W2721">
        <v>30</v>
      </c>
      <c r="X2721">
        <v>43</v>
      </c>
      <c r="Y2721">
        <v>2.14</v>
      </c>
    </row>
    <row r="2722" spans="1:25" x14ac:dyDescent="0.25">
      <c r="A2722">
        <v>2025</v>
      </c>
      <c r="B2722" t="s">
        <v>57</v>
      </c>
      <c r="C2722">
        <v>2</v>
      </c>
      <c r="D2722">
        <v>28</v>
      </c>
      <c r="E2722" t="s">
        <v>186</v>
      </c>
      <c r="F2722" t="s">
        <v>103</v>
      </c>
      <c r="G2722">
        <f t="shared" si="2515"/>
        <v>0</v>
      </c>
      <c r="H2722">
        <v>5</v>
      </c>
      <c r="I2722">
        <v>7</v>
      </c>
      <c r="J2722">
        <v>1</v>
      </c>
      <c r="K2722" s="6" t="str">
        <f t="shared" ref="K2722" si="2532">"vs "&amp;E2723</f>
        <v>vs purple fuzzy apache pirates</v>
      </c>
      <c r="L2722" s="6" t="str">
        <f t="shared" ref="L2722" si="2533">"vs "&amp;F2723</f>
        <v>vs pi/Sotiris</v>
      </c>
      <c r="M2722">
        <v>214</v>
      </c>
      <c r="N2722" s="1">
        <v>0.46</v>
      </c>
      <c r="O2722">
        <v>55</v>
      </c>
      <c r="P2722" s="1">
        <v>0.35899999999999999</v>
      </c>
      <c r="Q2722" s="1">
        <v>0.85899999999999999</v>
      </c>
      <c r="R2722">
        <v>593</v>
      </c>
      <c r="S2722">
        <v>51</v>
      </c>
      <c r="T2722">
        <v>155</v>
      </c>
      <c r="U2722">
        <v>154</v>
      </c>
      <c r="V2722">
        <v>30</v>
      </c>
      <c r="W2722">
        <v>22</v>
      </c>
      <c r="X2722">
        <v>70</v>
      </c>
      <c r="Y2722">
        <v>2.2000000000000002</v>
      </c>
    </row>
    <row r="2723" spans="1:25" x14ac:dyDescent="0.25">
      <c r="A2723">
        <v>2025</v>
      </c>
      <c r="B2723" t="s">
        <v>57</v>
      </c>
      <c r="C2723">
        <v>2</v>
      </c>
      <c r="D2723">
        <v>28</v>
      </c>
      <c r="E2723" t="s">
        <v>159</v>
      </c>
      <c r="F2723" t="s">
        <v>116</v>
      </c>
      <c r="G2723">
        <f t="shared" si="2515"/>
        <v>1</v>
      </c>
      <c r="H2723">
        <v>7</v>
      </c>
      <c r="I2723">
        <v>5</v>
      </c>
      <c r="J2723">
        <v>1</v>
      </c>
      <c r="K2723" s="6" t="str">
        <f t="shared" ref="K2723" si="2534">"vs "&amp;E2722</f>
        <v>vs Karafli Saita</v>
      </c>
      <c r="L2723" s="6" t="str">
        <f t="shared" ref="L2723" si="2535">"vs "&amp;F2722</f>
        <v>vs Tassos</v>
      </c>
      <c r="M2723">
        <v>204</v>
      </c>
      <c r="N2723" s="1">
        <v>0.51600000000000001</v>
      </c>
      <c r="O2723">
        <v>57</v>
      </c>
      <c r="P2723" s="1">
        <v>0.47499999999999998</v>
      </c>
      <c r="Q2723" s="1">
        <v>0.69899999999999995</v>
      </c>
      <c r="R2723">
        <v>560</v>
      </c>
      <c r="S2723">
        <v>55</v>
      </c>
      <c r="T2723">
        <v>157</v>
      </c>
      <c r="U2723">
        <v>147</v>
      </c>
      <c r="V2723">
        <v>30</v>
      </c>
      <c r="W2723">
        <v>12</v>
      </c>
      <c r="X2723">
        <v>60</v>
      </c>
      <c r="Y2723">
        <v>2.4500000000000002</v>
      </c>
    </row>
    <row r="2724" spans="1:25" x14ac:dyDescent="0.25">
      <c r="A2724">
        <v>2025</v>
      </c>
      <c r="B2724" t="s">
        <v>57</v>
      </c>
      <c r="C2724">
        <v>2</v>
      </c>
      <c r="D2724">
        <v>29</v>
      </c>
      <c r="E2724" t="s">
        <v>184</v>
      </c>
      <c r="F2724" t="s">
        <v>188</v>
      </c>
      <c r="G2724">
        <f t="shared" si="2515"/>
        <v>0</v>
      </c>
      <c r="H2724">
        <v>4</v>
      </c>
      <c r="I2724">
        <v>9</v>
      </c>
      <c r="J2724">
        <v>0</v>
      </c>
      <c r="K2724" s="6" t="str">
        <f t="shared" ref="K2724" si="2536">"vs "&amp;E2725</f>
        <v>vs Samarina Dudenbros</v>
      </c>
      <c r="L2724" s="6" t="str">
        <f t="shared" ref="L2724" si="2537">"vs "&amp;F2725</f>
        <v>vs Sakellariou</v>
      </c>
      <c r="M2724">
        <v>130</v>
      </c>
      <c r="N2724" s="1">
        <v>0.46100000000000002</v>
      </c>
      <c r="O2724">
        <v>43</v>
      </c>
      <c r="P2724" s="1">
        <v>0.374</v>
      </c>
      <c r="Q2724" s="1">
        <v>0.76200000000000001</v>
      </c>
      <c r="R2724">
        <v>367</v>
      </c>
      <c r="S2724">
        <v>38</v>
      </c>
      <c r="T2724">
        <v>111</v>
      </c>
      <c r="U2724">
        <v>54</v>
      </c>
      <c r="V2724">
        <v>14</v>
      </c>
      <c r="W2724">
        <v>20</v>
      </c>
      <c r="X2724">
        <v>39</v>
      </c>
      <c r="Y2724">
        <v>1.38</v>
      </c>
    </row>
    <row r="2725" spans="1:25" x14ac:dyDescent="0.25">
      <c r="A2725">
        <v>2025</v>
      </c>
      <c r="B2725" t="s">
        <v>57</v>
      </c>
      <c r="C2725">
        <v>2</v>
      </c>
      <c r="D2725">
        <v>29</v>
      </c>
      <c r="E2725" t="s">
        <v>181</v>
      </c>
      <c r="F2725" t="s">
        <v>49</v>
      </c>
      <c r="G2725">
        <f t="shared" si="2515"/>
        <v>1</v>
      </c>
      <c r="H2725">
        <v>9</v>
      </c>
      <c r="I2725">
        <v>4</v>
      </c>
      <c r="J2725">
        <v>0</v>
      </c>
      <c r="K2725" s="6" t="str">
        <f t="shared" ref="K2725" si="2538">"vs "&amp;E2724</f>
        <v>vs Heraklion Snakes</v>
      </c>
      <c r="L2725" s="6" t="str">
        <f t="shared" ref="L2725" si="2539">"vs "&amp;F2724</f>
        <v>vs Dimitris</v>
      </c>
      <c r="M2725">
        <v>196</v>
      </c>
      <c r="N2725" s="1">
        <v>0.45900000000000002</v>
      </c>
      <c r="O2725">
        <v>68</v>
      </c>
      <c r="P2725" s="1">
        <v>0.38600000000000001</v>
      </c>
      <c r="Q2725" s="1">
        <v>0.80500000000000005</v>
      </c>
      <c r="R2725">
        <v>551</v>
      </c>
      <c r="S2725">
        <v>34</v>
      </c>
      <c r="T2725">
        <v>138</v>
      </c>
      <c r="U2725">
        <v>143</v>
      </c>
      <c r="V2725">
        <v>46</v>
      </c>
      <c r="W2725">
        <v>17</v>
      </c>
      <c r="X2725">
        <v>61</v>
      </c>
      <c r="Y2725">
        <v>2.34</v>
      </c>
    </row>
    <row r="2726" spans="1:25" x14ac:dyDescent="0.25">
      <c r="A2726">
        <v>2025</v>
      </c>
      <c r="B2726" t="s">
        <v>57</v>
      </c>
      <c r="C2726">
        <v>2</v>
      </c>
      <c r="D2726">
        <v>30</v>
      </c>
      <c r="E2726" t="s">
        <v>15</v>
      </c>
      <c r="F2726" t="s">
        <v>48</v>
      </c>
      <c r="G2726">
        <f t="shared" si="2515"/>
        <v>0</v>
      </c>
      <c r="H2726">
        <v>6</v>
      </c>
      <c r="I2726">
        <v>7</v>
      </c>
      <c r="J2726">
        <v>0</v>
      </c>
      <c r="K2726" s="6" t="str">
        <f t="shared" ref="K2726" si="2540">"vs "&amp;E2727</f>
        <v>vs The Guns</v>
      </c>
      <c r="L2726" s="6" t="str">
        <f t="shared" ref="L2726" si="2541">"vs "&amp;F2727</f>
        <v>vs Vasilis</v>
      </c>
      <c r="M2726">
        <v>169</v>
      </c>
      <c r="N2726" s="1">
        <v>0.45700000000000002</v>
      </c>
      <c r="O2726">
        <v>78</v>
      </c>
      <c r="P2726" s="1">
        <v>0.42399999999999999</v>
      </c>
      <c r="Q2726" s="1">
        <v>0.78900000000000003</v>
      </c>
      <c r="R2726">
        <v>476</v>
      </c>
      <c r="S2726">
        <v>33</v>
      </c>
      <c r="T2726">
        <v>104</v>
      </c>
      <c r="U2726">
        <v>124</v>
      </c>
      <c r="V2726">
        <v>24</v>
      </c>
      <c r="W2726">
        <v>14</v>
      </c>
      <c r="X2726">
        <v>52</v>
      </c>
      <c r="Y2726">
        <v>2.38</v>
      </c>
    </row>
    <row r="2727" spans="1:25" x14ac:dyDescent="0.25">
      <c r="A2727">
        <v>2025</v>
      </c>
      <c r="B2727" t="s">
        <v>57</v>
      </c>
      <c r="C2727">
        <v>2</v>
      </c>
      <c r="D2727">
        <v>30</v>
      </c>
      <c r="E2727" t="s">
        <v>33</v>
      </c>
      <c r="F2727" t="s">
        <v>42</v>
      </c>
      <c r="G2727">
        <f t="shared" si="2515"/>
        <v>1</v>
      </c>
      <c r="H2727">
        <v>7</v>
      </c>
      <c r="I2727">
        <v>6</v>
      </c>
      <c r="J2727">
        <v>0</v>
      </c>
      <c r="K2727" s="6" t="str">
        <f t="shared" ref="K2727" si="2542">"vs "&amp;E2726</f>
        <v>vs Salonika Devils</v>
      </c>
      <c r="L2727" s="6" t="str">
        <f t="shared" ref="L2727" si="2543">"vs "&amp;F2726</f>
        <v>vs Fountos</v>
      </c>
      <c r="M2727">
        <v>192</v>
      </c>
      <c r="N2727" s="1">
        <v>0.46200000000000002</v>
      </c>
      <c r="O2727">
        <v>58</v>
      </c>
      <c r="P2727" s="1">
        <v>0.372</v>
      </c>
      <c r="Q2727" s="1">
        <v>0.86499999999999999</v>
      </c>
      <c r="R2727">
        <v>519</v>
      </c>
      <c r="S2727">
        <v>28</v>
      </c>
      <c r="T2727">
        <v>125</v>
      </c>
      <c r="U2727">
        <v>105</v>
      </c>
      <c r="V2727">
        <v>27</v>
      </c>
      <c r="W2727">
        <v>19</v>
      </c>
      <c r="X2727">
        <v>66</v>
      </c>
      <c r="Y2727">
        <v>1.59</v>
      </c>
    </row>
    <row r="2728" spans="1:25" x14ac:dyDescent="0.25">
      <c r="A2728">
        <v>2025</v>
      </c>
      <c r="B2728" t="s">
        <v>57</v>
      </c>
      <c r="C2728">
        <v>3</v>
      </c>
      <c r="D2728">
        <v>31</v>
      </c>
      <c r="E2728" t="s">
        <v>99</v>
      </c>
      <c r="F2728" t="s">
        <v>45</v>
      </c>
      <c r="G2728">
        <f t="shared" si="2515"/>
        <v>0</v>
      </c>
      <c r="H2728">
        <v>4</v>
      </c>
      <c r="I2728">
        <v>9</v>
      </c>
      <c r="J2728">
        <v>0</v>
      </c>
      <c r="K2728" s="6" t="str">
        <f t="shared" ref="K2728" si="2544">"vs "&amp;E2729</f>
        <v>vs Knights of Ni</v>
      </c>
      <c r="L2728" s="6" t="str">
        <f t="shared" ref="L2728" si="2545">"vs "&amp;F2729</f>
        <v>vs Tolios</v>
      </c>
      <c r="M2728">
        <v>166</v>
      </c>
      <c r="N2728" s="1">
        <v>0.48499999999999999</v>
      </c>
      <c r="O2728">
        <v>38</v>
      </c>
      <c r="P2728" s="1">
        <v>0.35499999999999998</v>
      </c>
      <c r="Q2728" s="1">
        <v>0.75600000000000001</v>
      </c>
      <c r="R2728">
        <v>438</v>
      </c>
      <c r="S2728">
        <v>40</v>
      </c>
      <c r="T2728">
        <v>111</v>
      </c>
      <c r="U2728">
        <v>97</v>
      </c>
      <c r="V2728">
        <v>27</v>
      </c>
      <c r="W2728">
        <v>19</v>
      </c>
      <c r="X2728">
        <v>40</v>
      </c>
      <c r="Y2728">
        <v>2.42</v>
      </c>
    </row>
    <row r="2729" spans="1:25" x14ac:dyDescent="0.25">
      <c r="A2729">
        <v>2025</v>
      </c>
      <c r="B2729" t="s">
        <v>57</v>
      </c>
      <c r="C2729">
        <v>3</v>
      </c>
      <c r="D2729">
        <v>31</v>
      </c>
      <c r="E2729" t="s">
        <v>96</v>
      </c>
      <c r="F2729" t="s">
        <v>102</v>
      </c>
      <c r="G2729">
        <f t="shared" si="2515"/>
        <v>1</v>
      </c>
      <c r="H2729">
        <v>9</v>
      </c>
      <c r="I2729">
        <v>4</v>
      </c>
      <c r="J2729">
        <v>0</v>
      </c>
      <c r="K2729" s="6" t="str">
        <f t="shared" ref="K2729" si="2546">"vs "&amp;E2728</f>
        <v>vs Tsarlatans</v>
      </c>
      <c r="L2729" s="6" t="str">
        <f t="shared" ref="L2729" si="2547">"vs "&amp;F2728</f>
        <v>vs Tzokos</v>
      </c>
      <c r="M2729">
        <v>200</v>
      </c>
      <c r="N2729" s="1">
        <v>0.46899999999999997</v>
      </c>
      <c r="O2729">
        <v>41</v>
      </c>
      <c r="P2729" s="1">
        <v>0.29499999999999998</v>
      </c>
      <c r="Q2729" s="1">
        <v>0.78600000000000003</v>
      </c>
      <c r="R2729">
        <v>529</v>
      </c>
      <c r="S2729">
        <v>53</v>
      </c>
      <c r="T2729">
        <v>132</v>
      </c>
      <c r="U2729">
        <v>125</v>
      </c>
      <c r="V2729">
        <v>31</v>
      </c>
      <c r="W2729">
        <v>28</v>
      </c>
      <c r="X2729">
        <v>59</v>
      </c>
      <c r="Y2729">
        <v>2.12</v>
      </c>
    </row>
    <row r="2730" spans="1:25" x14ac:dyDescent="0.25">
      <c r="A2730">
        <v>2025</v>
      </c>
      <c r="B2730" t="s">
        <v>57</v>
      </c>
      <c r="C2730">
        <v>3</v>
      </c>
      <c r="D2730">
        <v>32</v>
      </c>
      <c r="E2730" t="s">
        <v>98</v>
      </c>
      <c r="F2730" t="s">
        <v>41</v>
      </c>
      <c r="G2730">
        <f t="shared" si="2515"/>
        <v>1</v>
      </c>
      <c r="H2730">
        <v>9</v>
      </c>
      <c r="I2730">
        <v>4</v>
      </c>
      <c r="J2730">
        <v>0</v>
      </c>
      <c r="K2730" s="6" t="str">
        <f t="shared" ref="K2730" si="2548">"vs "&amp;E2731</f>
        <v>vs Kourayo Vallecano</v>
      </c>
      <c r="L2730" s="6" t="str">
        <f t="shared" ref="L2730" si="2549">"vs "&amp;F2731</f>
        <v>vs Ziogas/Christof</v>
      </c>
      <c r="M2730">
        <v>199</v>
      </c>
      <c r="N2730" s="1">
        <v>0.52400000000000002</v>
      </c>
      <c r="O2730">
        <v>48</v>
      </c>
      <c r="P2730" s="1">
        <v>0.32700000000000001</v>
      </c>
      <c r="Q2730" s="1">
        <v>0.747</v>
      </c>
      <c r="R2730">
        <v>505</v>
      </c>
      <c r="S2730">
        <v>60</v>
      </c>
      <c r="T2730">
        <v>192</v>
      </c>
      <c r="U2730">
        <v>141</v>
      </c>
      <c r="V2730">
        <v>36</v>
      </c>
      <c r="W2730">
        <v>28</v>
      </c>
      <c r="X2730">
        <v>68</v>
      </c>
      <c r="Y2730">
        <v>2.0699999999999998</v>
      </c>
    </row>
    <row r="2731" spans="1:25" x14ac:dyDescent="0.25">
      <c r="A2731">
        <v>2025</v>
      </c>
      <c r="B2731" t="s">
        <v>57</v>
      </c>
      <c r="C2731">
        <v>3</v>
      </c>
      <c r="D2731">
        <v>32</v>
      </c>
      <c r="E2731" t="s">
        <v>26</v>
      </c>
      <c r="F2731" t="s">
        <v>118</v>
      </c>
      <c r="G2731">
        <f t="shared" si="2515"/>
        <v>0</v>
      </c>
      <c r="H2731">
        <v>4</v>
      </c>
      <c r="I2731">
        <v>9</v>
      </c>
      <c r="J2731">
        <v>0</v>
      </c>
      <c r="K2731" s="6" t="str">
        <f t="shared" ref="K2731" si="2550">"vs "&amp;E2730</f>
        <v>vs Xanthi Ducks 🦆</v>
      </c>
      <c r="L2731" s="6" t="str">
        <f t="shared" ref="L2731" si="2551">"vs "&amp;F2730</f>
        <v>vs Kotakis</v>
      </c>
      <c r="M2731">
        <v>128</v>
      </c>
      <c r="N2731" s="1">
        <v>0.46400000000000002</v>
      </c>
      <c r="O2731">
        <v>39</v>
      </c>
      <c r="P2731" s="1">
        <v>0.36399999999999999</v>
      </c>
      <c r="Q2731" s="1">
        <v>0.89400000000000002</v>
      </c>
      <c r="R2731">
        <v>354</v>
      </c>
      <c r="S2731">
        <v>35</v>
      </c>
      <c r="T2731">
        <v>107</v>
      </c>
      <c r="U2731">
        <v>81</v>
      </c>
      <c r="V2731">
        <v>23</v>
      </c>
      <c r="W2731">
        <v>5</v>
      </c>
      <c r="X2731">
        <v>31</v>
      </c>
      <c r="Y2731">
        <v>2.61</v>
      </c>
    </row>
    <row r="2732" spans="1:25" x14ac:dyDescent="0.25">
      <c r="A2732">
        <v>2025</v>
      </c>
      <c r="B2732" t="s">
        <v>57</v>
      </c>
      <c r="C2732">
        <v>3</v>
      </c>
      <c r="D2732">
        <v>33</v>
      </c>
      <c r="E2732" t="s">
        <v>154</v>
      </c>
      <c r="F2732" t="s">
        <v>155</v>
      </c>
      <c r="G2732">
        <f t="shared" si="2515"/>
        <v>0</v>
      </c>
      <c r="H2732">
        <v>2</v>
      </c>
      <c r="I2732">
        <v>11</v>
      </c>
      <c r="J2732">
        <v>0</v>
      </c>
      <c r="K2732" s="6" t="str">
        <f t="shared" ref="K2732" si="2552">"vs "&amp;E2733</f>
        <v>vs LRBP PR3DATORS</v>
      </c>
      <c r="L2732" s="6" t="str">
        <f t="shared" ref="L2732" si="2553">"vs "&amp;F2733</f>
        <v>vs Lafa</v>
      </c>
      <c r="M2732">
        <v>126</v>
      </c>
      <c r="N2732" s="1">
        <v>0.46</v>
      </c>
      <c r="O2732">
        <v>28</v>
      </c>
      <c r="P2732" s="1">
        <v>0.25900000000000001</v>
      </c>
      <c r="Q2732" s="1">
        <v>0.7</v>
      </c>
      <c r="R2732">
        <v>336</v>
      </c>
      <c r="S2732">
        <v>50</v>
      </c>
      <c r="T2732">
        <v>126</v>
      </c>
      <c r="U2732">
        <v>92</v>
      </c>
      <c r="V2732">
        <v>31</v>
      </c>
      <c r="W2732">
        <v>23</v>
      </c>
      <c r="X2732">
        <v>60</v>
      </c>
      <c r="Y2732">
        <v>1.53</v>
      </c>
    </row>
    <row r="2733" spans="1:25" x14ac:dyDescent="0.25">
      <c r="A2733">
        <v>2025</v>
      </c>
      <c r="B2733" t="s">
        <v>57</v>
      </c>
      <c r="C2733">
        <v>3</v>
      </c>
      <c r="D2733">
        <v>33</v>
      </c>
      <c r="E2733" t="s">
        <v>158</v>
      </c>
      <c r="F2733" t="s">
        <v>177</v>
      </c>
      <c r="G2733">
        <f t="shared" si="2515"/>
        <v>1</v>
      </c>
      <c r="H2733">
        <v>11</v>
      </c>
      <c r="I2733">
        <v>2</v>
      </c>
      <c r="J2733">
        <v>0</v>
      </c>
      <c r="K2733" s="6" t="str">
        <f t="shared" ref="K2733" si="2554">"vs "&amp;E2732</f>
        <v>vs The Bad Boys</v>
      </c>
      <c r="L2733" s="6" t="str">
        <f t="shared" ref="L2733" si="2555">"vs "&amp;F2732</f>
        <v>vs Arvanitis</v>
      </c>
      <c r="M2733">
        <v>243</v>
      </c>
      <c r="N2733" s="1">
        <v>0.47199999999999998</v>
      </c>
      <c r="O2733">
        <v>81</v>
      </c>
      <c r="P2733" s="1">
        <v>0.39700000000000002</v>
      </c>
      <c r="Q2733" s="1">
        <v>0.81299999999999994</v>
      </c>
      <c r="R2733">
        <v>689</v>
      </c>
      <c r="S2733">
        <v>33</v>
      </c>
      <c r="T2733">
        <v>182</v>
      </c>
      <c r="U2733">
        <v>157</v>
      </c>
      <c r="V2733">
        <v>40</v>
      </c>
      <c r="W2733">
        <v>24</v>
      </c>
      <c r="X2733">
        <v>80</v>
      </c>
      <c r="Y2733">
        <v>1.96</v>
      </c>
    </row>
    <row r="2734" spans="1:25" x14ac:dyDescent="0.25">
      <c r="A2734">
        <v>2025</v>
      </c>
      <c r="B2734" t="s">
        <v>57</v>
      </c>
      <c r="C2734">
        <v>3</v>
      </c>
      <c r="D2734">
        <v>34</v>
      </c>
      <c r="E2734" t="s">
        <v>21</v>
      </c>
      <c r="F2734" t="s">
        <v>50</v>
      </c>
      <c r="G2734">
        <f t="shared" si="2515"/>
        <v>0</v>
      </c>
      <c r="H2734">
        <v>2</v>
      </c>
      <c r="I2734">
        <v>10</v>
      </c>
      <c r="J2734">
        <v>1</v>
      </c>
      <c r="K2734" s="6" t="str">
        <f t="shared" ref="K2734" si="2556">"vs "&amp;E2735</f>
        <v>vs Baltimore Hercules</v>
      </c>
      <c r="L2734" s="6" t="str">
        <f t="shared" ref="L2734" si="2557">"vs "&amp;F2735</f>
        <v>vs Sarantos</v>
      </c>
      <c r="M2734">
        <v>152</v>
      </c>
      <c r="N2734" s="1">
        <v>0.47899999999999998</v>
      </c>
      <c r="O2734">
        <v>28</v>
      </c>
      <c r="P2734" s="1">
        <v>0.29199999999999998</v>
      </c>
      <c r="Q2734" s="1">
        <v>0.74199999999999999</v>
      </c>
      <c r="R2734">
        <v>378</v>
      </c>
      <c r="S2734">
        <v>40</v>
      </c>
      <c r="T2734">
        <v>86</v>
      </c>
      <c r="U2734">
        <v>70</v>
      </c>
      <c r="V2734">
        <v>45</v>
      </c>
      <c r="W2734">
        <v>11</v>
      </c>
      <c r="X2734">
        <v>57</v>
      </c>
      <c r="Y2734">
        <v>1.23</v>
      </c>
    </row>
    <row r="2735" spans="1:25" x14ac:dyDescent="0.25">
      <c r="A2735">
        <v>2025</v>
      </c>
      <c r="B2735" t="s">
        <v>57</v>
      </c>
      <c r="C2735">
        <v>3</v>
      </c>
      <c r="D2735">
        <v>34</v>
      </c>
      <c r="E2735" t="s">
        <v>95</v>
      </c>
      <c r="F2735" t="s">
        <v>101</v>
      </c>
      <c r="G2735">
        <f t="shared" si="2515"/>
        <v>1</v>
      </c>
      <c r="H2735">
        <v>10</v>
      </c>
      <c r="I2735">
        <v>2</v>
      </c>
      <c r="J2735">
        <v>1</v>
      </c>
      <c r="K2735" s="6" t="str">
        <f t="shared" ref="K2735" si="2558">"vs "&amp;E2734</f>
        <v>vs st.Helens Eruptions</v>
      </c>
      <c r="L2735" s="6" t="str">
        <f t="shared" ref="L2735" si="2559">"vs "&amp;F2734</f>
        <v>vs Aris</v>
      </c>
      <c r="M2735">
        <v>186</v>
      </c>
      <c r="N2735" s="1">
        <v>0.45900000000000002</v>
      </c>
      <c r="O2735">
        <v>50</v>
      </c>
      <c r="P2735" s="1">
        <v>0.314</v>
      </c>
      <c r="Q2735" s="1">
        <v>0.876</v>
      </c>
      <c r="R2735">
        <v>514</v>
      </c>
      <c r="S2735">
        <v>40</v>
      </c>
      <c r="T2735">
        <v>133</v>
      </c>
      <c r="U2735">
        <v>128</v>
      </c>
      <c r="V2735">
        <v>44</v>
      </c>
      <c r="W2735">
        <v>23</v>
      </c>
      <c r="X2735">
        <v>54</v>
      </c>
      <c r="Y2735">
        <v>2.37</v>
      </c>
    </row>
    <row r="2736" spans="1:25" x14ac:dyDescent="0.25">
      <c r="A2736">
        <v>2025</v>
      </c>
      <c r="B2736" t="s">
        <v>57</v>
      </c>
      <c r="C2736">
        <v>3</v>
      </c>
      <c r="D2736">
        <v>35</v>
      </c>
      <c r="E2736" t="s">
        <v>28</v>
      </c>
      <c r="F2736" t="s">
        <v>46</v>
      </c>
      <c r="G2736">
        <f t="shared" si="2515"/>
        <v>0</v>
      </c>
      <c r="H2736">
        <v>5</v>
      </c>
      <c r="I2736">
        <v>8</v>
      </c>
      <c r="J2736">
        <v>0</v>
      </c>
      <c r="K2736" s="6" t="str">
        <f t="shared" ref="K2736" si="2560">"vs "&amp;E2737</f>
        <v>vs Guruuu 🐐🐐🐐</v>
      </c>
      <c r="L2736" s="6" t="str">
        <f t="shared" ref="L2736" si="2561">"vs "&amp;F2737</f>
        <v>vs Guru</v>
      </c>
      <c r="M2736">
        <v>205</v>
      </c>
      <c r="N2736" s="1">
        <v>0.44</v>
      </c>
      <c r="O2736">
        <v>79</v>
      </c>
      <c r="P2736" s="1">
        <v>0.371</v>
      </c>
      <c r="Q2736" s="1">
        <v>0.76700000000000002</v>
      </c>
      <c r="R2736">
        <v>578</v>
      </c>
      <c r="S2736">
        <v>29</v>
      </c>
      <c r="T2736">
        <v>147</v>
      </c>
      <c r="U2736">
        <v>130</v>
      </c>
      <c r="V2736">
        <v>25</v>
      </c>
      <c r="W2736">
        <v>18</v>
      </c>
      <c r="X2736">
        <v>85</v>
      </c>
      <c r="Y2736">
        <v>1.53</v>
      </c>
    </row>
    <row r="2737" spans="1:25" x14ac:dyDescent="0.25">
      <c r="A2737">
        <v>2025</v>
      </c>
      <c r="B2737" t="s">
        <v>57</v>
      </c>
      <c r="C2737">
        <v>3</v>
      </c>
      <c r="D2737">
        <v>35</v>
      </c>
      <c r="E2737" t="s">
        <v>93</v>
      </c>
      <c r="F2737" t="s">
        <v>189</v>
      </c>
      <c r="G2737">
        <f t="shared" si="2515"/>
        <v>1</v>
      </c>
      <c r="H2737">
        <v>8</v>
      </c>
      <c r="I2737">
        <v>5</v>
      </c>
      <c r="J2737">
        <v>0</v>
      </c>
      <c r="K2737" s="6" t="str">
        <f t="shared" ref="K2737" si="2562">"vs "&amp;E2736</f>
        <v>vs Steven Adams' Moustache</v>
      </c>
      <c r="L2737" s="6" t="str">
        <f t="shared" ref="L2737" si="2563">"vs "&amp;F2736</f>
        <v>vs Johnny</v>
      </c>
      <c r="M2737">
        <v>196</v>
      </c>
      <c r="N2737" s="1">
        <v>0.499</v>
      </c>
      <c r="O2737">
        <v>81</v>
      </c>
      <c r="P2737" s="1">
        <v>0.39700000000000002</v>
      </c>
      <c r="Q2737" s="1">
        <v>0.83299999999999996</v>
      </c>
      <c r="R2737">
        <v>543</v>
      </c>
      <c r="S2737">
        <v>36</v>
      </c>
      <c r="T2737">
        <v>117</v>
      </c>
      <c r="U2737">
        <v>107</v>
      </c>
      <c r="V2737">
        <v>32</v>
      </c>
      <c r="W2737">
        <v>11</v>
      </c>
      <c r="X2737">
        <v>54</v>
      </c>
      <c r="Y2737">
        <v>1.98</v>
      </c>
    </row>
    <row r="2738" spans="1:25" x14ac:dyDescent="0.25">
      <c r="A2738">
        <v>2025</v>
      </c>
      <c r="B2738" t="s">
        <v>57</v>
      </c>
      <c r="C2738">
        <v>3</v>
      </c>
      <c r="D2738">
        <v>36</v>
      </c>
      <c r="E2738" t="s">
        <v>23</v>
      </c>
      <c r="F2738" t="s">
        <v>120</v>
      </c>
      <c r="G2738">
        <f t="shared" si="2515"/>
        <v>0</v>
      </c>
      <c r="H2738">
        <v>3</v>
      </c>
      <c r="I2738">
        <v>10</v>
      </c>
      <c r="J2738">
        <v>0</v>
      </c>
      <c r="K2738" s="6" t="str">
        <f t="shared" ref="K2738" si="2564">"vs "&amp;E2739</f>
        <v>vs The Bridgeburners</v>
      </c>
      <c r="L2738" s="6" t="str">
        <f t="shared" ref="L2738" si="2565">"vs "&amp;F2739</f>
        <v>vs Fanis</v>
      </c>
      <c r="M2738">
        <v>148</v>
      </c>
      <c r="N2738" s="1">
        <v>0.42399999999999999</v>
      </c>
      <c r="O2738">
        <v>53</v>
      </c>
      <c r="P2738" s="1">
        <v>0.28299999999999997</v>
      </c>
      <c r="Q2738" s="1">
        <v>0.89600000000000002</v>
      </c>
      <c r="R2738">
        <v>409</v>
      </c>
      <c r="S2738">
        <v>36</v>
      </c>
      <c r="T2738">
        <v>142</v>
      </c>
      <c r="U2738">
        <v>93</v>
      </c>
      <c r="V2738">
        <v>34</v>
      </c>
      <c r="W2738">
        <v>42</v>
      </c>
      <c r="X2738">
        <v>71</v>
      </c>
      <c r="Y2738">
        <v>1.31</v>
      </c>
    </row>
    <row r="2739" spans="1:25" x14ac:dyDescent="0.25">
      <c r="A2739">
        <v>2025</v>
      </c>
      <c r="B2739" t="s">
        <v>57</v>
      </c>
      <c r="C2739">
        <v>3</v>
      </c>
      <c r="D2739">
        <v>36</v>
      </c>
      <c r="E2739" t="s">
        <v>16</v>
      </c>
      <c r="F2739" t="s">
        <v>51</v>
      </c>
      <c r="G2739">
        <f t="shared" si="2515"/>
        <v>1</v>
      </c>
      <c r="H2739">
        <v>10</v>
      </c>
      <c r="I2739">
        <v>3</v>
      </c>
      <c r="J2739">
        <v>0</v>
      </c>
      <c r="K2739" s="6" t="str">
        <f t="shared" ref="K2739" si="2566">"vs "&amp;E2738</f>
        <v>vs Pachiana NinjaBees</v>
      </c>
      <c r="L2739" s="6" t="str">
        <f t="shared" ref="L2739" si="2567">"vs "&amp;F2738</f>
        <v>vs Spiridaus/Oladipas</v>
      </c>
      <c r="M2739">
        <v>211</v>
      </c>
      <c r="N2739" s="1">
        <v>0.47099999999999997</v>
      </c>
      <c r="O2739">
        <v>59</v>
      </c>
      <c r="P2739" s="1">
        <v>0.35299999999999998</v>
      </c>
      <c r="Q2739" s="1">
        <v>0.748</v>
      </c>
      <c r="R2739">
        <v>561</v>
      </c>
      <c r="S2739">
        <v>62</v>
      </c>
      <c r="T2739">
        <v>174</v>
      </c>
      <c r="U2739">
        <v>149</v>
      </c>
      <c r="V2739">
        <v>36</v>
      </c>
      <c r="W2739">
        <v>20</v>
      </c>
      <c r="X2739">
        <v>79</v>
      </c>
      <c r="Y2739">
        <v>1.89</v>
      </c>
    </row>
    <row r="2740" spans="1:25" x14ac:dyDescent="0.25">
      <c r="A2740">
        <v>2025</v>
      </c>
      <c r="B2740" t="s">
        <v>57</v>
      </c>
      <c r="C2740">
        <v>3</v>
      </c>
      <c r="D2740">
        <v>37</v>
      </c>
      <c r="E2740" t="s">
        <v>159</v>
      </c>
      <c r="F2740" t="s">
        <v>116</v>
      </c>
      <c r="G2740">
        <f t="shared" si="2515"/>
        <v>1</v>
      </c>
      <c r="H2740">
        <v>10</v>
      </c>
      <c r="I2740">
        <v>3</v>
      </c>
      <c r="J2740">
        <v>0</v>
      </c>
      <c r="K2740" s="6" t="str">
        <f t="shared" ref="K2740" si="2568">"vs "&amp;E2741</f>
        <v>vs Paralouistas</v>
      </c>
      <c r="L2740" s="6" t="str">
        <f t="shared" ref="L2740" si="2569">"vs "&amp;F2741</f>
        <v>vs Panos</v>
      </c>
      <c r="M2740">
        <v>235</v>
      </c>
      <c r="N2740" s="1">
        <v>0.50800000000000001</v>
      </c>
      <c r="O2740">
        <v>74</v>
      </c>
      <c r="P2740" s="1">
        <v>0.41599999999999998</v>
      </c>
      <c r="Q2740" s="1">
        <v>0.79300000000000004</v>
      </c>
      <c r="R2740">
        <v>659</v>
      </c>
      <c r="S2740">
        <v>54</v>
      </c>
      <c r="T2740">
        <v>161</v>
      </c>
      <c r="U2740">
        <v>195</v>
      </c>
      <c r="V2740">
        <v>39</v>
      </c>
      <c r="W2740">
        <v>19</v>
      </c>
      <c r="X2740">
        <v>78</v>
      </c>
      <c r="Y2740">
        <v>2.5</v>
      </c>
    </row>
    <row r="2741" spans="1:25" x14ac:dyDescent="0.25">
      <c r="A2741">
        <v>2025</v>
      </c>
      <c r="B2741" t="s">
        <v>57</v>
      </c>
      <c r="C2741">
        <v>3</v>
      </c>
      <c r="D2741">
        <v>37</v>
      </c>
      <c r="E2741" t="s">
        <v>185</v>
      </c>
      <c r="F2741" t="s">
        <v>100</v>
      </c>
      <c r="G2741">
        <f t="shared" si="2515"/>
        <v>0</v>
      </c>
      <c r="H2741">
        <v>3</v>
      </c>
      <c r="I2741">
        <v>10</v>
      </c>
      <c r="J2741">
        <v>0</v>
      </c>
      <c r="K2741" s="6" t="str">
        <f t="shared" ref="K2741" si="2570">"vs "&amp;E2740</f>
        <v>vs purple fuzzy apache pirates</v>
      </c>
      <c r="L2741" s="6" t="str">
        <f t="shared" ref="L2741" si="2571">"vs "&amp;F2740</f>
        <v>vs pi/Sotiris</v>
      </c>
      <c r="M2741">
        <v>166</v>
      </c>
      <c r="N2741" s="1">
        <v>0.46</v>
      </c>
      <c r="O2741">
        <v>51</v>
      </c>
      <c r="P2741" s="1">
        <v>0.32100000000000001</v>
      </c>
      <c r="Q2741" s="1">
        <v>0.81599999999999995</v>
      </c>
      <c r="R2741">
        <v>463</v>
      </c>
      <c r="S2741">
        <v>40</v>
      </c>
      <c r="T2741">
        <v>140</v>
      </c>
      <c r="U2741">
        <v>104</v>
      </c>
      <c r="V2741">
        <v>18</v>
      </c>
      <c r="W2741">
        <v>23</v>
      </c>
      <c r="X2741">
        <v>46</v>
      </c>
      <c r="Y2741">
        <v>2.2599999999999998</v>
      </c>
    </row>
    <row r="2742" spans="1:25" x14ac:dyDescent="0.25">
      <c r="A2742">
        <v>2025</v>
      </c>
      <c r="B2742" t="s">
        <v>57</v>
      </c>
      <c r="C2742">
        <v>3</v>
      </c>
      <c r="D2742">
        <v>38</v>
      </c>
      <c r="E2742" t="s">
        <v>181</v>
      </c>
      <c r="F2742" t="s">
        <v>49</v>
      </c>
      <c r="G2742">
        <f t="shared" si="2515"/>
        <v>1</v>
      </c>
      <c r="H2742">
        <v>10</v>
      </c>
      <c r="I2742">
        <v>3</v>
      </c>
      <c r="J2742">
        <v>0</v>
      </c>
      <c r="K2742" s="6" t="str">
        <f t="shared" ref="K2742" si="2572">"vs "&amp;E2743</f>
        <v>vs Fighting Thaddeus</v>
      </c>
      <c r="L2742" s="6" t="str">
        <f t="shared" ref="L2742" si="2573">"vs "&amp;F2743</f>
        <v>vs Stavros</v>
      </c>
      <c r="M2742">
        <v>218</v>
      </c>
      <c r="N2742" s="1">
        <v>0.437</v>
      </c>
      <c r="O2742">
        <v>58</v>
      </c>
      <c r="P2742" s="1">
        <v>0.32800000000000001</v>
      </c>
      <c r="Q2742" s="1">
        <v>0.84899999999999998</v>
      </c>
      <c r="R2742">
        <v>601</v>
      </c>
      <c r="S2742">
        <v>45</v>
      </c>
      <c r="T2742">
        <v>175</v>
      </c>
      <c r="U2742">
        <v>179</v>
      </c>
      <c r="V2742">
        <v>43</v>
      </c>
      <c r="W2742">
        <v>22</v>
      </c>
      <c r="X2742">
        <v>82</v>
      </c>
      <c r="Y2742">
        <v>2.1800000000000002</v>
      </c>
    </row>
    <row r="2743" spans="1:25" x14ac:dyDescent="0.25">
      <c r="A2743">
        <v>2025</v>
      </c>
      <c r="B2743" t="s">
        <v>57</v>
      </c>
      <c r="C2743">
        <v>3</v>
      </c>
      <c r="D2743">
        <v>38</v>
      </c>
      <c r="E2743" t="s">
        <v>94</v>
      </c>
      <c r="F2743" t="s">
        <v>40</v>
      </c>
      <c r="G2743">
        <f t="shared" si="2515"/>
        <v>0</v>
      </c>
      <c r="H2743">
        <v>3</v>
      </c>
      <c r="I2743">
        <v>10</v>
      </c>
      <c r="J2743">
        <v>0</v>
      </c>
      <c r="K2743" s="6" t="str">
        <f t="shared" ref="K2743" si="2574">"vs "&amp;E2742</f>
        <v>vs Samarina Dudenbros</v>
      </c>
      <c r="L2743" s="6" t="str">
        <f t="shared" ref="L2743" si="2575">"vs "&amp;F2742</f>
        <v>vs Sakellariou</v>
      </c>
      <c r="M2743">
        <v>142</v>
      </c>
      <c r="N2743" s="1">
        <v>0.50900000000000001</v>
      </c>
      <c r="O2743">
        <v>42</v>
      </c>
      <c r="P2743" s="1">
        <v>0.38200000000000001</v>
      </c>
      <c r="Q2743" s="1">
        <v>0.72699999999999998</v>
      </c>
      <c r="R2743">
        <v>366</v>
      </c>
      <c r="S2743">
        <v>33</v>
      </c>
      <c r="T2743">
        <v>92</v>
      </c>
      <c r="U2743">
        <v>91</v>
      </c>
      <c r="V2743">
        <v>33</v>
      </c>
      <c r="W2743">
        <v>17</v>
      </c>
      <c r="X2743">
        <v>42</v>
      </c>
      <c r="Y2743">
        <v>2.17</v>
      </c>
    </row>
    <row r="2744" spans="1:25" x14ac:dyDescent="0.25">
      <c r="A2744">
        <v>2025</v>
      </c>
      <c r="B2744" t="s">
        <v>57</v>
      </c>
      <c r="C2744">
        <v>3</v>
      </c>
      <c r="D2744">
        <v>39</v>
      </c>
      <c r="E2744" t="s">
        <v>33</v>
      </c>
      <c r="F2744" t="s">
        <v>42</v>
      </c>
      <c r="G2744">
        <f t="shared" si="2515"/>
        <v>0</v>
      </c>
      <c r="H2744">
        <v>0</v>
      </c>
      <c r="I2744">
        <v>13</v>
      </c>
      <c r="J2744">
        <v>0</v>
      </c>
      <c r="K2744" s="6" t="str">
        <f t="shared" ref="K2744" si="2576">"vs "&amp;E2745</f>
        <v>vs Karafli Saita</v>
      </c>
      <c r="L2744" s="6" t="str">
        <f t="shared" ref="L2744" si="2577">"vs "&amp;F2745</f>
        <v>vs Tassos</v>
      </c>
      <c r="M2744">
        <v>217</v>
      </c>
      <c r="N2744" s="1">
        <v>0.46400000000000002</v>
      </c>
      <c r="O2744">
        <v>53</v>
      </c>
      <c r="P2744" s="1">
        <v>0.31900000000000001</v>
      </c>
      <c r="Q2744" s="1">
        <v>0.81599999999999995</v>
      </c>
      <c r="R2744">
        <v>607</v>
      </c>
      <c r="S2744">
        <v>28</v>
      </c>
      <c r="T2744">
        <v>131</v>
      </c>
      <c r="U2744">
        <v>112</v>
      </c>
      <c r="V2744">
        <v>29</v>
      </c>
      <c r="W2744">
        <v>20</v>
      </c>
      <c r="X2744">
        <v>76</v>
      </c>
      <c r="Y2744">
        <v>1.47</v>
      </c>
    </row>
    <row r="2745" spans="1:25" x14ac:dyDescent="0.25">
      <c r="A2745">
        <v>2025</v>
      </c>
      <c r="B2745" t="s">
        <v>57</v>
      </c>
      <c r="C2745">
        <v>3</v>
      </c>
      <c r="D2745">
        <v>39</v>
      </c>
      <c r="E2745" t="s">
        <v>186</v>
      </c>
      <c r="F2745" t="s">
        <v>103</v>
      </c>
      <c r="G2745">
        <f t="shared" si="2515"/>
        <v>1</v>
      </c>
      <c r="H2745">
        <v>13</v>
      </c>
      <c r="I2745">
        <v>0</v>
      </c>
      <c r="J2745">
        <v>0</v>
      </c>
      <c r="K2745" s="6" t="str">
        <f t="shared" ref="K2745" si="2578">"vs "&amp;E2744</f>
        <v>vs The Guns</v>
      </c>
      <c r="L2745" s="6" t="str">
        <f t="shared" ref="L2745" si="2579">"vs "&amp;F2744</f>
        <v>vs Vasilis</v>
      </c>
      <c r="M2745">
        <v>248</v>
      </c>
      <c r="N2745" s="1">
        <v>0.53300000000000003</v>
      </c>
      <c r="O2745">
        <v>75</v>
      </c>
      <c r="P2745" s="1">
        <v>0.439</v>
      </c>
      <c r="Q2745" s="1">
        <v>0.85</v>
      </c>
      <c r="R2745">
        <v>673</v>
      </c>
      <c r="S2745">
        <v>53</v>
      </c>
      <c r="T2745">
        <v>178</v>
      </c>
      <c r="U2745">
        <v>123</v>
      </c>
      <c r="V2745">
        <v>31</v>
      </c>
      <c r="W2745">
        <v>26</v>
      </c>
      <c r="X2745">
        <v>63</v>
      </c>
      <c r="Y2745">
        <v>1.95</v>
      </c>
    </row>
    <row r="2746" spans="1:25" x14ac:dyDescent="0.25">
      <c r="A2746">
        <v>2025</v>
      </c>
      <c r="B2746" t="s">
        <v>57</v>
      </c>
      <c r="C2746">
        <v>3</v>
      </c>
      <c r="D2746">
        <v>40</v>
      </c>
      <c r="E2746" t="s">
        <v>15</v>
      </c>
      <c r="F2746" t="s">
        <v>48</v>
      </c>
      <c r="G2746">
        <f t="shared" si="2515"/>
        <v>1</v>
      </c>
      <c r="H2746">
        <v>10</v>
      </c>
      <c r="I2746">
        <v>3</v>
      </c>
      <c r="J2746">
        <v>0</v>
      </c>
      <c r="K2746" s="6" t="str">
        <f t="shared" ref="K2746" si="2580">"vs "&amp;E2747</f>
        <v>vs Heraklion Snakes</v>
      </c>
      <c r="L2746" s="6" t="str">
        <f t="shared" ref="L2746" si="2581">"vs "&amp;F2747</f>
        <v>vs Dimitris</v>
      </c>
      <c r="M2746">
        <v>177</v>
      </c>
      <c r="N2746" s="1">
        <v>0.46</v>
      </c>
      <c r="O2746">
        <v>76</v>
      </c>
      <c r="P2746" s="1">
        <v>0.41499999999999998</v>
      </c>
      <c r="Q2746" s="1">
        <v>0.78900000000000003</v>
      </c>
      <c r="R2746">
        <v>505</v>
      </c>
      <c r="S2746">
        <v>35</v>
      </c>
      <c r="T2746">
        <v>129</v>
      </c>
      <c r="U2746">
        <v>98</v>
      </c>
      <c r="V2746">
        <v>28</v>
      </c>
      <c r="W2746">
        <v>15</v>
      </c>
      <c r="X2746">
        <v>40</v>
      </c>
      <c r="Y2746">
        <v>2.4500000000000002</v>
      </c>
    </row>
    <row r="2747" spans="1:25" x14ac:dyDescent="0.25">
      <c r="A2747">
        <v>2025</v>
      </c>
      <c r="B2747" t="s">
        <v>57</v>
      </c>
      <c r="C2747">
        <v>3</v>
      </c>
      <c r="D2747">
        <v>40</v>
      </c>
      <c r="E2747" t="s">
        <v>184</v>
      </c>
      <c r="F2747" t="s">
        <v>188</v>
      </c>
      <c r="G2747">
        <f t="shared" si="2515"/>
        <v>0</v>
      </c>
      <c r="H2747">
        <v>3</v>
      </c>
      <c r="I2747">
        <v>10</v>
      </c>
      <c r="J2747">
        <v>0</v>
      </c>
      <c r="K2747" s="6" t="str">
        <f t="shared" ref="K2747" si="2582">"vs "&amp;E2746</f>
        <v>vs Salonika Devils</v>
      </c>
      <c r="L2747" s="6" t="str">
        <f t="shared" ref="L2747" si="2583">"vs "&amp;F2746</f>
        <v>vs Fountos</v>
      </c>
      <c r="M2747">
        <v>161</v>
      </c>
      <c r="N2747" s="1">
        <v>0.48099999999999998</v>
      </c>
      <c r="O2747">
        <v>48</v>
      </c>
      <c r="P2747" s="1">
        <v>0.36399999999999999</v>
      </c>
      <c r="Q2747" s="1">
        <v>0.80900000000000005</v>
      </c>
      <c r="R2747">
        <v>442</v>
      </c>
      <c r="S2747">
        <v>40</v>
      </c>
      <c r="T2747">
        <v>120</v>
      </c>
      <c r="U2747">
        <v>91</v>
      </c>
      <c r="V2747">
        <v>27</v>
      </c>
      <c r="W2747">
        <v>14</v>
      </c>
      <c r="X2747">
        <v>62</v>
      </c>
      <c r="Y2747">
        <v>1.47</v>
      </c>
    </row>
    <row r="2748" spans="1:25" x14ac:dyDescent="0.25">
      <c r="A2748">
        <v>2025</v>
      </c>
      <c r="B2748" t="s">
        <v>57</v>
      </c>
      <c r="C2748">
        <v>4</v>
      </c>
      <c r="D2748">
        <v>41</v>
      </c>
      <c r="E2748" t="s">
        <v>96</v>
      </c>
      <c r="F2748" t="s">
        <v>102</v>
      </c>
      <c r="G2748">
        <f t="shared" si="2515"/>
        <v>1</v>
      </c>
      <c r="H2748">
        <v>9</v>
      </c>
      <c r="I2748">
        <v>3</v>
      </c>
      <c r="J2748">
        <v>1</v>
      </c>
      <c r="K2748" s="6" t="str">
        <f t="shared" ref="K2748" si="2584">"vs "&amp;E2749</f>
        <v>vs Xanthi Ducks 🦆</v>
      </c>
      <c r="L2748" s="6" t="str">
        <f t="shared" ref="L2748" si="2585">"vs "&amp;F2749</f>
        <v>vs Kotakis</v>
      </c>
      <c r="M2748">
        <v>189</v>
      </c>
      <c r="N2748" s="1">
        <v>0.495</v>
      </c>
      <c r="O2748">
        <v>42</v>
      </c>
      <c r="P2748" s="1">
        <v>0.40400000000000003</v>
      </c>
      <c r="Q2748" s="1">
        <v>0.77600000000000002</v>
      </c>
      <c r="R2748">
        <v>510</v>
      </c>
      <c r="S2748">
        <v>65</v>
      </c>
      <c r="T2748">
        <v>140</v>
      </c>
      <c r="U2748">
        <v>111</v>
      </c>
      <c r="V2748">
        <v>40</v>
      </c>
      <c r="W2748">
        <v>19</v>
      </c>
      <c r="X2748">
        <v>48</v>
      </c>
      <c r="Y2748">
        <v>2.31</v>
      </c>
    </row>
    <row r="2749" spans="1:25" x14ac:dyDescent="0.25">
      <c r="A2749">
        <v>2025</v>
      </c>
      <c r="B2749" t="s">
        <v>57</v>
      </c>
      <c r="C2749">
        <v>4</v>
      </c>
      <c r="D2749">
        <v>41</v>
      </c>
      <c r="E2749" t="s">
        <v>98</v>
      </c>
      <c r="F2749" t="s">
        <v>41</v>
      </c>
      <c r="G2749">
        <f t="shared" si="2515"/>
        <v>0</v>
      </c>
      <c r="H2749">
        <v>3</v>
      </c>
      <c r="I2749">
        <v>9</v>
      </c>
      <c r="J2749">
        <v>1</v>
      </c>
      <c r="K2749" s="6" t="str">
        <f t="shared" ref="K2749" si="2586">"vs "&amp;E2748</f>
        <v>vs Knights of Ni</v>
      </c>
      <c r="L2749" s="6" t="str">
        <f t="shared" ref="L2749" si="2587">"vs "&amp;F2748</f>
        <v>vs Tolios</v>
      </c>
      <c r="M2749">
        <v>189</v>
      </c>
      <c r="N2749" s="1">
        <v>0.48799999999999999</v>
      </c>
      <c r="O2749">
        <v>49</v>
      </c>
      <c r="P2749" s="1">
        <v>0.377</v>
      </c>
      <c r="Q2749" s="1">
        <v>0.754</v>
      </c>
      <c r="R2749">
        <v>473</v>
      </c>
      <c r="S2749">
        <v>61</v>
      </c>
      <c r="T2749">
        <v>158</v>
      </c>
      <c r="U2749">
        <v>110</v>
      </c>
      <c r="V2749">
        <v>35</v>
      </c>
      <c r="W2749">
        <v>31</v>
      </c>
      <c r="X2749">
        <v>60</v>
      </c>
      <c r="Y2749">
        <v>1.83</v>
      </c>
    </row>
    <row r="2750" spans="1:25" x14ac:dyDescent="0.25">
      <c r="A2750">
        <v>2025</v>
      </c>
      <c r="B2750" t="s">
        <v>57</v>
      </c>
      <c r="C2750">
        <v>4</v>
      </c>
      <c r="D2750">
        <v>42</v>
      </c>
      <c r="E2750" t="s">
        <v>99</v>
      </c>
      <c r="F2750" t="s">
        <v>45</v>
      </c>
      <c r="G2750">
        <f t="shared" si="2515"/>
        <v>1</v>
      </c>
      <c r="H2750">
        <v>9</v>
      </c>
      <c r="I2750">
        <v>3</v>
      </c>
      <c r="J2750">
        <v>1</v>
      </c>
      <c r="K2750" s="6" t="str">
        <f t="shared" ref="K2750" si="2588">"vs "&amp;E2751</f>
        <v>vs The Bad Boys</v>
      </c>
      <c r="L2750" s="6" t="str">
        <f t="shared" ref="L2750" si="2589">"vs "&amp;F2751</f>
        <v>vs Arvanitis</v>
      </c>
      <c r="M2750">
        <v>134</v>
      </c>
      <c r="N2750" s="1">
        <v>0.47899999999999998</v>
      </c>
      <c r="O2750">
        <v>33</v>
      </c>
      <c r="P2750" s="1">
        <v>0.32400000000000001</v>
      </c>
      <c r="Q2750" s="1">
        <v>0.75700000000000001</v>
      </c>
      <c r="R2750">
        <v>357</v>
      </c>
      <c r="S2750">
        <v>35</v>
      </c>
      <c r="T2750">
        <v>126</v>
      </c>
      <c r="U2750">
        <v>64</v>
      </c>
      <c r="V2750">
        <v>36</v>
      </c>
      <c r="W2750">
        <v>26</v>
      </c>
      <c r="X2750">
        <v>38</v>
      </c>
      <c r="Y2750">
        <v>1.68</v>
      </c>
    </row>
    <row r="2751" spans="1:25" x14ac:dyDescent="0.25">
      <c r="A2751">
        <v>2025</v>
      </c>
      <c r="B2751" t="s">
        <v>57</v>
      </c>
      <c r="C2751">
        <v>4</v>
      </c>
      <c r="D2751">
        <v>42</v>
      </c>
      <c r="E2751" t="s">
        <v>154</v>
      </c>
      <c r="F2751" t="s">
        <v>155</v>
      </c>
      <c r="G2751">
        <f t="shared" si="2515"/>
        <v>0</v>
      </c>
      <c r="H2751">
        <v>3</v>
      </c>
      <c r="I2751">
        <v>9</v>
      </c>
      <c r="J2751">
        <v>1</v>
      </c>
      <c r="K2751" s="6" t="str">
        <f t="shared" ref="K2751" si="2590">"vs "&amp;E2750</f>
        <v>vs Tsarlatans</v>
      </c>
      <c r="L2751" s="6" t="str">
        <f t="shared" ref="L2751" si="2591">"vs "&amp;F2750</f>
        <v>vs Tzokos</v>
      </c>
      <c r="M2751">
        <v>112</v>
      </c>
      <c r="N2751" s="1">
        <v>0.41499999999999998</v>
      </c>
      <c r="O2751">
        <v>33</v>
      </c>
      <c r="P2751" s="1">
        <v>0.314</v>
      </c>
      <c r="Q2751" s="1">
        <v>0.70299999999999996</v>
      </c>
      <c r="R2751">
        <v>309</v>
      </c>
      <c r="S2751">
        <v>30</v>
      </c>
      <c r="T2751">
        <v>121</v>
      </c>
      <c r="U2751">
        <v>82</v>
      </c>
      <c r="V2751">
        <v>43</v>
      </c>
      <c r="W2751">
        <v>25</v>
      </c>
      <c r="X2751">
        <v>42</v>
      </c>
      <c r="Y2751">
        <v>1.95</v>
      </c>
    </row>
    <row r="2752" spans="1:25" x14ac:dyDescent="0.25">
      <c r="A2752">
        <v>2025</v>
      </c>
      <c r="B2752" t="s">
        <v>57</v>
      </c>
      <c r="C2752">
        <v>4</v>
      </c>
      <c r="D2752">
        <v>43</v>
      </c>
      <c r="E2752" t="s">
        <v>26</v>
      </c>
      <c r="F2752" t="s">
        <v>118</v>
      </c>
      <c r="G2752">
        <f t="shared" si="2515"/>
        <v>1</v>
      </c>
      <c r="H2752">
        <v>10</v>
      </c>
      <c r="I2752">
        <v>3</v>
      </c>
      <c r="J2752">
        <v>0</v>
      </c>
      <c r="K2752" s="6" t="str">
        <f t="shared" ref="K2752" si="2592">"vs "&amp;E2753</f>
        <v>vs st.Helens Eruptions</v>
      </c>
      <c r="L2752" s="6" t="str">
        <f t="shared" ref="L2752" si="2593">"vs "&amp;F2753</f>
        <v>vs Aris</v>
      </c>
      <c r="M2752">
        <v>150</v>
      </c>
      <c r="N2752" s="1">
        <v>0.48199999999999998</v>
      </c>
      <c r="O2752">
        <v>46</v>
      </c>
      <c r="P2752" s="1">
        <v>0.32900000000000001</v>
      </c>
      <c r="Q2752" s="1">
        <v>0.85899999999999999</v>
      </c>
      <c r="R2752">
        <v>431</v>
      </c>
      <c r="S2752">
        <v>37</v>
      </c>
      <c r="T2752">
        <v>125</v>
      </c>
      <c r="U2752">
        <v>104</v>
      </c>
      <c r="V2752">
        <v>23</v>
      </c>
      <c r="W2752">
        <v>6</v>
      </c>
      <c r="X2752">
        <v>43</v>
      </c>
      <c r="Y2752">
        <v>2.42</v>
      </c>
    </row>
    <row r="2753" spans="1:25" x14ac:dyDescent="0.25">
      <c r="A2753">
        <v>2025</v>
      </c>
      <c r="B2753" t="s">
        <v>57</v>
      </c>
      <c r="C2753">
        <v>4</v>
      </c>
      <c r="D2753">
        <v>43</v>
      </c>
      <c r="E2753" t="s">
        <v>21</v>
      </c>
      <c r="F2753" t="s">
        <v>50</v>
      </c>
      <c r="G2753">
        <f t="shared" si="2515"/>
        <v>0</v>
      </c>
      <c r="H2753">
        <v>3</v>
      </c>
      <c r="I2753">
        <v>10</v>
      </c>
      <c r="J2753">
        <v>0</v>
      </c>
      <c r="K2753" s="6" t="str">
        <f t="shared" ref="K2753" si="2594">"vs "&amp;E2752</f>
        <v>vs Kourayo Vallecano</v>
      </c>
      <c r="L2753" s="6" t="str">
        <f t="shared" ref="L2753" si="2595">"vs "&amp;F2752</f>
        <v>vs Ziogas/Christof</v>
      </c>
      <c r="M2753">
        <v>117</v>
      </c>
      <c r="N2753" s="1">
        <v>0.51300000000000001</v>
      </c>
      <c r="O2753">
        <v>25</v>
      </c>
      <c r="P2753" s="1">
        <v>0.32100000000000001</v>
      </c>
      <c r="Q2753" s="1">
        <v>0.66700000000000004</v>
      </c>
      <c r="R2753">
        <v>287</v>
      </c>
      <c r="S2753">
        <v>28</v>
      </c>
      <c r="T2753">
        <v>83</v>
      </c>
      <c r="U2753">
        <v>70</v>
      </c>
      <c r="V2753">
        <v>37</v>
      </c>
      <c r="W2753">
        <v>20</v>
      </c>
      <c r="X2753">
        <v>49</v>
      </c>
      <c r="Y2753">
        <v>1.43</v>
      </c>
    </row>
    <row r="2754" spans="1:25" x14ac:dyDescent="0.25">
      <c r="A2754">
        <v>2025</v>
      </c>
      <c r="B2754" t="s">
        <v>57</v>
      </c>
      <c r="C2754">
        <v>4</v>
      </c>
      <c r="D2754">
        <v>44</v>
      </c>
      <c r="E2754" t="s">
        <v>158</v>
      </c>
      <c r="F2754" t="s">
        <v>177</v>
      </c>
      <c r="G2754">
        <f t="shared" si="2515"/>
        <v>1</v>
      </c>
      <c r="H2754">
        <v>10</v>
      </c>
      <c r="I2754">
        <v>3</v>
      </c>
      <c r="J2754">
        <v>0</v>
      </c>
      <c r="K2754" s="6" t="str">
        <f t="shared" ref="K2754" si="2596">"vs "&amp;E2755</f>
        <v>vs Steven Adams' Moustache</v>
      </c>
      <c r="L2754" s="6" t="str">
        <f t="shared" ref="L2754" si="2597">"vs "&amp;F2755</f>
        <v>vs Johnny</v>
      </c>
      <c r="M2754">
        <v>239</v>
      </c>
      <c r="N2754" s="1">
        <v>0.47499999999999998</v>
      </c>
      <c r="O2754">
        <v>82</v>
      </c>
      <c r="P2754" s="1">
        <v>0.38900000000000001</v>
      </c>
      <c r="Q2754" s="1">
        <v>0.8</v>
      </c>
      <c r="R2754">
        <v>664</v>
      </c>
      <c r="S2754">
        <v>51</v>
      </c>
      <c r="T2754">
        <v>150</v>
      </c>
      <c r="U2754">
        <v>147</v>
      </c>
      <c r="V2754">
        <v>41</v>
      </c>
      <c r="W2754">
        <v>26</v>
      </c>
      <c r="X2754">
        <v>70</v>
      </c>
      <c r="Y2754">
        <v>2.1</v>
      </c>
    </row>
    <row r="2755" spans="1:25" x14ac:dyDescent="0.25">
      <c r="A2755">
        <v>2025</v>
      </c>
      <c r="B2755" t="s">
        <v>57</v>
      </c>
      <c r="C2755">
        <v>4</v>
      </c>
      <c r="D2755">
        <v>44</v>
      </c>
      <c r="E2755" t="s">
        <v>28</v>
      </c>
      <c r="F2755" t="s">
        <v>46</v>
      </c>
      <c r="G2755">
        <f t="shared" si="2515"/>
        <v>0</v>
      </c>
      <c r="H2755">
        <v>3</v>
      </c>
      <c r="I2755">
        <v>10</v>
      </c>
      <c r="J2755">
        <v>0</v>
      </c>
      <c r="K2755" s="6" t="str">
        <f t="shared" ref="K2755" si="2598">"vs "&amp;E2754</f>
        <v>vs LRBP PR3DATORS</v>
      </c>
      <c r="L2755" s="6" t="str">
        <f t="shared" ref="L2755" si="2599">"vs "&amp;F2754</f>
        <v>vs Lafa</v>
      </c>
      <c r="M2755">
        <v>175</v>
      </c>
      <c r="N2755" s="1">
        <v>0.44400000000000001</v>
      </c>
      <c r="O2755">
        <v>68</v>
      </c>
      <c r="P2755" s="1">
        <v>0.38900000000000001</v>
      </c>
      <c r="Q2755" s="1">
        <v>0.86699999999999999</v>
      </c>
      <c r="R2755">
        <v>509</v>
      </c>
      <c r="S2755">
        <v>36</v>
      </c>
      <c r="T2755">
        <v>126</v>
      </c>
      <c r="U2755">
        <v>129</v>
      </c>
      <c r="V2755">
        <v>32</v>
      </c>
      <c r="W2755">
        <v>19</v>
      </c>
      <c r="X2755">
        <v>60</v>
      </c>
      <c r="Y2755">
        <v>2.15</v>
      </c>
    </row>
    <row r="2756" spans="1:25" x14ac:dyDescent="0.25">
      <c r="A2756">
        <v>2025</v>
      </c>
      <c r="B2756" t="s">
        <v>57</v>
      </c>
      <c r="C2756">
        <v>4</v>
      </c>
      <c r="D2756">
        <v>45</v>
      </c>
      <c r="E2756" t="s">
        <v>95</v>
      </c>
      <c r="F2756" t="s">
        <v>101</v>
      </c>
      <c r="G2756">
        <f t="shared" si="2515"/>
        <v>1</v>
      </c>
      <c r="H2756">
        <v>11</v>
      </c>
      <c r="I2756">
        <v>2</v>
      </c>
      <c r="J2756">
        <v>0</v>
      </c>
      <c r="K2756" s="6" t="str">
        <f t="shared" ref="K2756" si="2600">"vs "&amp;E2757</f>
        <v>vs Pachiana NinjaBees</v>
      </c>
      <c r="L2756" s="6" t="str">
        <f t="shared" ref="L2756" si="2601">"vs "&amp;F2757</f>
        <v>vs Spiridaus/Oladipas</v>
      </c>
      <c r="M2756">
        <v>159</v>
      </c>
      <c r="N2756" s="1">
        <v>0.48599999999999999</v>
      </c>
      <c r="O2756">
        <v>39</v>
      </c>
      <c r="P2756" s="1">
        <v>0.35499999999999998</v>
      </c>
      <c r="Q2756" s="1">
        <v>0.82699999999999996</v>
      </c>
      <c r="R2756">
        <v>443</v>
      </c>
      <c r="S2756">
        <v>40</v>
      </c>
      <c r="T2756">
        <v>107</v>
      </c>
      <c r="U2756">
        <v>81</v>
      </c>
      <c r="V2756">
        <v>32</v>
      </c>
      <c r="W2756">
        <v>28</v>
      </c>
      <c r="X2756">
        <v>53</v>
      </c>
      <c r="Y2756">
        <v>1.53</v>
      </c>
    </row>
    <row r="2757" spans="1:25" x14ac:dyDescent="0.25">
      <c r="A2757">
        <v>2025</v>
      </c>
      <c r="B2757" t="s">
        <v>57</v>
      </c>
      <c r="C2757">
        <v>4</v>
      </c>
      <c r="D2757">
        <v>45</v>
      </c>
      <c r="E2757" t="s">
        <v>23</v>
      </c>
      <c r="F2757" t="s">
        <v>120</v>
      </c>
      <c r="G2757">
        <f t="shared" si="2515"/>
        <v>0</v>
      </c>
      <c r="H2757">
        <v>2</v>
      </c>
      <c r="I2757">
        <v>11</v>
      </c>
      <c r="J2757">
        <v>0</v>
      </c>
      <c r="K2757" s="6" t="str">
        <f t="shared" ref="K2757" si="2602">"vs "&amp;E2756</f>
        <v>vs Baltimore Hercules</v>
      </c>
      <c r="L2757" s="6" t="str">
        <f t="shared" ref="L2757" si="2603">"vs "&amp;F2756</f>
        <v>vs Sarantos</v>
      </c>
      <c r="M2757">
        <v>123</v>
      </c>
      <c r="N2757" s="1">
        <v>0.39800000000000002</v>
      </c>
      <c r="O2757">
        <v>58</v>
      </c>
      <c r="P2757" s="1">
        <v>0.312</v>
      </c>
      <c r="Q2757" s="1">
        <v>0.68200000000000005</v>
      </c>
      <c r="R2757">
        <v>334</v>
      </c>
      <c r="S2757">
        <v>32</v>
      </c>
      <c r="T2757">
        <v>93</v>
      </c>
      <c r="U2757">
        <v>62</v>
      </c>
      <c r="V2757">
        <v>29</v>
      </c>
      <c r="W2757">
        <v>22</v>
      </c>
      <c r="X2757">
        <v>46</v>
      </c>
      <c r="Y2757">
        <v>1.35</v>
      </c>
    </row>
    <row r="2758" spans="1:25" x14ac:dyDescent="0.25">
      <c r="A2758">
        <v>2025</v>
      </c>
      <c r="B2758" t="s">
        <v>57</v>
      </c>
      <c r="C2758">
        <v>4</v>
      </c>
      <c r="D2758">
        <v>46</v>
      </c>
      <c r="E2758" t="s">
        <v>93</v>
      </c>
      <c r="F2758" t="s">
        <v>189</v>
      </c>
      <c r="G2758">
        <f t="shared" si="2515"/>
        <v>0</v>
      </c>
      <c r="H2758">
        <v>6</v>
      </c>
      <c r="I2758">
        <v>6</v>
      </c>
      <c r="J2758">
        <v>1</v>
      </c>
      <c r="K2758" s="6" t="str">
        <f t="shared" ref="K2758" si="2604">"vs "&amp;E2759</f>
        <v>vs purple fuzzy apache pirates</v>
      </c>
      <c r="L2758" s="6" t="str">
        <f t="shared" ref="L2758" si="2605">"vs "&amp;F2759</f>
        <v>vs pi/Sotiris</v>
      </c>
      <c r="M2758">
        <v>111</v>
      </c>
      <c r="N2758" s="1">
        <v>0.47599999999999998</v>
      </c>
      <c r="O2758">
        <v>56</v>
      </c>
      <c r="P2758" s="1">
        <v>0.438</v>
      </c>
      <c r="Q2758" s="1">
        <v>0.91300000000000003</v>
      </c>
      <c r="R2758">
        <v>320</v>
      </c>
      <c r="S2758">
        <v>26</v>
      </c>
      <c r="T2758">
        <v>68</v>
      </c>
      <c r="U2758">
        <v>86</v>
      </c>
      <c r="V2758">
        <v>26</v>
      </c>
      <c r="W2758">
        <v>6</v>
      </c>
      <c r="X2758">
        <v>39</v>
      </c>
      <c r="Y2758">
        <v>2.21</v>
      </c>
    </row>
    <row r="2759" spans="1:25" x14ac:dyDescent="0.25">
      <c r="A2759">
        <v>2025</v>
      </c>
      <c r="B2759" t="s">
        <v>57</v>
      </c>
      <c r="C2759">
        <v>4</v>
      </c>
      <c r="D2759">
        <v>46</v>
      </c>
      <c r="E2759" t="s">
        <v>159</v>
      </c>
      <c r="F2759" t="s">
        <v>116</v>
      </c>
      <c r="G2759">
        <f t="shared" si="2515"/>
        <v>0</v>
      </c>
      <c r="H2759">
        <v>6</v>
      </c>
      <c r="I2759">
        <v>6</v>
      </c>
      <c r="J2759">
        <v>1</v>
      </c>
      <c r="K2759" s="6" t="str">
        <f t="shared" ref="K2759" si="2606">"vs "&amp;E2758</f>
        <v>vs Guruuu 🐐🐐🐐</v>
      </c>
      <c r="L2759" s="6" t="str">
        <f t="shared" ref="L2759" si="2607">"vs "&amp;F2758</f>
        <v>vs Guru</v>
      </c>
      <c r="M2759">
        <v>152</v>
      </c>
      <c r="N2759" s="1">
        <v>0.45500000000000002</v>
      </c>
      <c r="O2759">
        <v>56</v>
      </c>
      <c r="P2759" s="1">
        <v>0.35399999999999998</v>
      </c>
      <c r="Q2759" s="1">
        <v>0.85299999999999998</v>
      </c>
      <c r="R2759">
        <v>424</v>
      </c>
      <c r="S2759">
        <v>19</v>
      </c>
      <c r="T2759">
        <v>94</v>
      </c>
      <c r="U2759">
        <v>124</v>
      </c>
      <c r="V2759">
        <v>21</v>
      </c>
      <c r="W2759">
        <v>19</v>
      </c>
      <c r="X2759">
        <v>40</v>
      </c>
      <c r="Y2759">
        <v>3.1</v>
      </c>
    </row>
    <row r="2760" spans="1:25" x14ac:dyDescent="0.25">
      <c r="A2760">
        <v>2025</v>
      </c>
      <c r="B2760" t="s">
        <v>57</v>
      </c>
      <c r="C2760">
        <v>4</v>
      </c>
      <c r="D2760">
        <v>47</v>
      </c>
      <c r="E2760" t="s">
        <v>16</v>
      </c>
      <c r="F2760" t="s">
        <v>51</v>
      </c>
      <c r="G2760">
        <f t="shared" si="2515"/>
        <v>0</v>
      </c>
      <c r="H2760">
        <v>4</v>
      </c>
      <c r="I2760">
        <v>9</v>
      </c>
      <c r="J2760">
        <v>0</v>
      </c>
      <c r="K2760" s="6" t="str">
        <f t="shared" ref="K2760" si="2608">"vs "&amp;E2761</f>
        <v>vs Samarina Dudenbros</v>
      </c>
      <c r="L2760" s="6" t="str">
        <f t="shared" ref="L2760" si="2609">"vs "&amp;F2761</f>
        <v>vs Sakellariou</v>
      </c>
      <c r="M2760">
        <v>169</v>
      </c>
      <c r="N2760" s="1">
        <v>0.49299999999999999</v>
      </c>
      <c r="O2760">
        <v>49</v>
      </c>
      <c r="P2760" s="1">
        <v>0.38300000000000001</v>
      </c>
      <c r="Q2760" s="1">
        <v>0.80200000000000005</v>
      </c>
      <c r="R2760">
        <v>460</v>
      </c>
      <c r="S2760">
        <v>54</v>
      </c>
      <c r="T2760">
        <v>125</v>
      </c>
      <c r="U2760">
        <v>90</v>
      </c>
      <c r="V2760">
        <v>19</v>
      </c>
      <c r="W2760">
        <v>28</v>
      </c>
      <c r="X2760">
        <v>69</v>
      </c>
      <c r="Y2760">
        <v>1.3</v>
      </c>
    </row>
    <row r="2761" spans="1:25" x14ac:dyDescent="0.25">
      <c r="A2761">
        <v>2025</v>
      </c>
      <c r="B2761" t="s">
        <v>57</v>
      </c>
      <c r="C2761">
        <v>4</v>
      </c>
      <c r="D2761">
        <v>47</v>
      </c>
      <c r="E2761" t="s">
        <v>181</v>
      </c>
      <c r="F2761" t="s">
        <v>49</v>
      </c>
      <c r="G2761">
        <f t="shared" si="2515"/>
        <v>1</v>
      </c>
      <c r="H2761">
        <v>9</v>
      </c>
      <c r="I2761">
        <v>4</v>
      </c>
      <c r="J2761">
        <v>0</v>
      </c>
      <c r="K2761" s="6" t="str">
        <f t="shared" ref="K2761" si="2610">"vs "&amp;E2760</f>
        <v>vs The Bridgeburners</v>
      </c>
      <c r="L2761" s="6" t="str">
        <f t="shared" ref="L2761" si="2611">"vs "&amp;F2760</f>
        <v>vs Fanis</v>
      </c>
      <c r="M2761">
        <v>172</v>
      </c>
      <c r="N2761" s="1">
        <v>0.46</v>
      </c>
      <c r="O2761">
        <v>74</v>
      </c>
      <c r="P2761" s="1">
        <v>0.40699999999999997</v>
      </c>
      <c r="Q2761" s="1">
        <v>0.78200000000000003</v>
      </c>
      <c r="R2761">
        <v>486</v>
      </c>
      <c r="S2761">
        <v>39</v>
      </c>
      <c r="T2761">
        <v>148</v>
      </c>
      <c r="U2761">
        <v>141</v>
      </c>
      <c r="V2761">
        <v>46</v>
      </c>
      <c r="W2761">
        <v>13</v>
      </c>
      <c r="X2761">
        <v>58</v>
      </c>
      <c r="Y2761">
        <v>2.4300000000000002</v>
      </c>
    </row>
    <row r="2762" spans="1:25" x14ac:dyDescent="0.25">
      <c r="A2762">
        <v>2025</v>
      </c>
      <c r="B2762" t="s">
        <v>57</v>
      </c>
      <c r="C2762">
        <v>4</v>
      </c>
      <c r="D2762">
        <v>48</v>
      </c>
      <c r="E2762" t="s">
        <v>185</v>
      </c>
      <c r="F2762" t="s">
        <v>100</v>
      </c>
      <c r="G2762">
        <f t="shared" si="2515"/>
        <v>0</v>
      </c>
      <c r="H2762">
        <v>2</v>
      </c>
      <c r="I2762">
        <v>11</v>
      </c>
      <c r="J2762">
        <v>0</v>
      </c>
      <c r="K2762" s="6" t="str">
        <f t="shared" ref="K2762" si="2612">"vs "&amp;E2763</f>
        <v>vs The Guns</v>
      </c>
      <c r="L2762" s="6" t="str">
        <f t="shared" ref="L2762" si="2613">"vs "&amp;F2763</f>
        <v>vs Vasilis</v>
      </c>
      <c r="M2762">
        <v>186</v>
      </c>
      <c r="N2762" s="1">
        <v>0.45500000000000002</v>
      </c>
      <c r="O2762">
        <v>61</v>
      </c>
      <c r="P2762" s="1">
        <v>0.35499999999999998</v>
      </c>
      <c r="Q2762" s="1">
        <v>0.78600000000000003</v>
      </c>
      <c r="R2762">
        <v>521</v>
      </c>
      <c r="S2762">
        <v>42</v>
      </c>
      <c r="T2762">
        <v>114</v>
      </c>
      <c r="U2762">
        <v>106</v>
      </c>
      <c r="V2762">
        <v>33</v>
      </c>
      <c r="W2762">
        <v>14</v>
      </c>
      <c r="X2762">
        <v>58</v>
      </c>
      <c r="Y2762">
        <v>1.83</v>
      </c>
    </row>
    <row r="2763" spans="1:25" x14ac:dyDescent="0.25">
      <c r="A2763">
        <v>2025</v>
      </c>
      <c r="B2763" t="s">
        <v>57</v>
      </c>
      <c r="C2763">
        <v>4</v>
      </c>
      <c r="D2763">
        <v>48</v>
      </c>
      <c r="E2763" t="s">
        <v>33</v>
      </c>
      <c r="F2763" t="s">
        <v>42</v>
      </c>
      <c r="G2763">
        <f t="shared" si="2515"/>
        <v>1</v>
      </c>
      <c r="H2763">
        <v>11</v>
      </c>
      <c r="I2763">
        <v>2</v>
      </c>
      <c r="J2763">
        <v>0</v>
      </c>
      <c r="K2763" s="6" t="str">
        <f t="shared" ref="K2763" si="2614">"vs "&amp;E2762</f>
        <v>vs Paralouistas</v>
      </c>
      <c r="L2763" s="6" t="str">
        <f t="shared" ref="L2763" si="2615">"vs "&amp;F2762</f>
        <v>vs Panos</v>
      </c>
      <c r="M2763">
        <v>227</v>
      </c>
      <c r="N2763" s="1">
        <v>0.44</v>
      </c>
      <c r="O2763">
        <v>69</v>
      </c>
      <c r="P2763" s="1">
        <v>0.36699999999999999</v>
      </c>
      <c r="Q2763" s="1">
        <v>0.85099999999999998</v>
      </c>
      <c r="R2763">
        <v>637</v>
      </c>
      <c r="S2763">
        <v>44</v>
      </c>
      <c r="T2763">
        <v>151</v>
      </c>
      <c r="U2763">
        <v>156</v>
      </c>
      <c r="V2763">
        <v>44</v>
      </c>
      <c r="W2763">
        <v>24</v>
      </c>
      <c r="X2763">
        <v>84</v>
      </c>
      <c r="Y2763">
        <v>1.86</v>
      </c>
    </row>
    <row r="2764" spans="1:25" x14ac:dyDescent="0.25">
      <c r="A2764">
        <v>2025</v>
      </c>
      <c r="B2764" t="s">
        <v>57</v>
      </c>
      <c r="C2764">
        <v>4</v>
      </c>
      <c r="D2764">
        <v>49</v>
      </c>
      <c r="E2764" t="s">
        <v>94</v>
      </c>
      <c r="F2764" t="s">
        <v>40</v>
      </c>
      <c r="G2764">
        <f t="shared" si="2515"/>
        <v>0</v>
      </c>
      <c r="H2764">
        <v>6</v>
      </c>
      <c r="I2764">
        <v>6</v>
      </c>
      <c r="J2764">
        <v>1</v>
      </c>
      <c r="K2764" s="6" t="str">
        <f t="shared" ref="K2764" si="2616">"vs "&amp;E2765</f>
        <v>vs Salonika Devils</v>
      </c>
      <c r="L2764" s="6" t="str">
        <f t="shared" ref="L2764" si="2617">"vs "&amp;F2765</f>
        <v>vs Fountos</v>
      </c>
      <c r="M2764">
        <v>141</v>
      </c>
      <c r="N2764" s="1">
        <v>0.46400000000000002</v>
      </c>
      <c r="O2764">
        <v>44</v>
      </c>
      <c r="P2764" s="1">
        <v>0.34899999999999998</v>
      </c>
      <c r="Q2764" s="1">
        <v>0.877</v>
      </c>
      <c r="R2764">
        <v>397</v>
      </c>
      <c r="S2764">
        <v>37</v>
      </c>
      <c r="T2764">
        <v>103</v>
      </c>
      <c r="U2764">
        <v>90</v>
      </c>
      <c r="V2764">
        <v>28</v>
      </c>
      <c r="W2764">
        <v>21</v>
      </c>
      <c r="X2764">
        <v>59</v>
      </c>
      <c r="Y2764">
        <v>1.53</v>
      </c>
    </row>
    <row r="2765" spans="1:25" x14ac:dyDescent="0.25">
      <c r="A2765">
        <v>2025</v>
      </c>
      <c r="B2765" t="s">
        <v>57</v>
      </c>
      <c r="C2765">
        <v>4</v>
      </c>
      <c r="D2765">
        <v>49</v>
      </c>
      <c r="E2765" t="s">
        <v>15</v>
      </c>
      <c r="F2765" t="s">
        <v>48</v>
      </c>
      <c r="G2765">
        <f t="shared" si="2515"/>
        <v>0</v>
      </c>
      <c r="H2765">
        <v>6</v>
      </c>
      <c r="I2765">
        <v>6</v>
      </c>
      <c r="J2765">
        <v>1</v>
      </c>
      <c r="K2765" s="6" t="str">
        <f t="shared" ref="K2765" si="2618">"vs "&amp;E2764</f>
        <v>vs Fighting Thaddeus</v>
      </c>
      <c r="L2765" s="6" t="str">
        <f t="shared" ref="L2765" si="2619">"vs "&amp;F2764</f>
        <v>vs Stavros</v>
      </c>
      <c r="M2765">
        <v>151</v>
      </c>
      <c r="N2765" s="1">
        <v>0.45100000000000001</v>
      </c>
      <c r="O2765">
        <v>55</v>
      </c>
      <c r="P2765" s="1">
        <v>0.34799999999999998</v>
      </c>
      <c r="Q2765" s="1">
        <v>0.82499999999999996</v>
      </c>
      <c r="R2765">
        <v>404</v>
      </c>
      <c r="S2765">
        <v>21</v>
      </c>
      <c r="T2765">
        <v>103</v>
      </c>
      <c r="U2765">
        <v>84</v>
      </c>
      <c r="V2765">
        <v>29</v>
      </c>
      <c r="W2765">
        <v>10</v>
      </c>
      <c r="X2765">
        <v>49</v>
      </c>
      <c r="Y2765">
        <v>1.71</v>
      </c>
    </row>
    <row r="2766" spans="1:25" x14ac:dyDescent="0.25">
      <c r="A2766">
        <v>2025</v>
      </c>
      <c r="B2766" t="s">
        <v>57</v>
      </c>
      <c r="C2766">
        <v>4</v>
      </c>
      <c r="D2766">
        <v>50</v>
      </c>
      <c r="E2766" t="s">
        <v>186</v>
      </c>
      <c r="F2766" t="s">
        <v>103</v>
      </c>
      <c r="G2766">
        <f t="shared" si="2515"/>
        <v>1</v>
      </c>
      <c r="H2766">
        <v>10</v>
      </c>
      <c r="I2766">
        <v>3</v>
      </c>
      <c r="J2766">
        <v>0</v>
      </c>
      <c r="K2766" s="6" t="str">
        <f t="shared" ref="K2766" si="2620">"vs "&amp;E2767</f>
        <v>vs Heraklion Snakes</v>
      </c>
      <c r="L2766" s="6" t="str">
        <f t="shared" ref="L2766" si="2621">"vs "&amp;F2767</f>
        <v>vs Dimitris</v>
      </c>
      <c r="M2766">
        <v>236</v>
      </c>
      <c r="N2766" s="1">
        <v>0.502</v>
      </c>
      <c r="O2766">
        <v>62</v>
      </c>
      <c r="P2766" s="1">
        <v>0.378</v>
      </c>
      <c r="Q2766" s="1">
        <v>0.82499999999999996</v>
      </c>
      <c r="R2766">
        <v>647</v>
      </c>
      <c r="S2766">
        <v>57</v>
      </c>
      <c r="T2766">
        <v>154</v>
      </c>
      <c r="U2766">
        <v>152</v>
      </c>
      <c r="V2766">
        <v>35</v>
      </c>
      <c r="W2766">
        <v>15</v>
      </c>
      <c r="X2766">
        <v>68</v>
      </c>
      <c r="Y2766">
        <v>2.2400000000000002</v>
      </c>
    </row>
    <row r="2767" spans="1:25" x14ac:dyDescent="0.25">
      <c r="A2767">
        <v>2025</v>
      </c>
      <c r="B2767" t="s">
        <v>57</v>
      </c>
      <c r="C2767">
        <v>4</v>
      </c>
      <c r="D2767">
        <v>50</v>
      </c>
      <c r="E2767" t="s">
        <v>184</v>
      </c>
      <c r="F2767" t="s">
        <v>188</v>
      </c>
      <c r="G2767">
        <f t="shared" si="2515"/>
        <v>0</v>
      </c>
      <c r="H2767">
        <v>3</v>
      </c>
      <c r="I2767">
        <v>10</v>
      </c>
      <c r="J2767">
        <v>0</v>
      </c>
      <c r="K2767" s="6" t="str">
        <f t="shared" ref="K2767" si="2622">"vs "&amp;E2766</f>
        <v>vs Karafli Saita</v>
      </c>
      <c r="L2767" s="6" t="str">
        <f t="shared" ref="L2767" si="2623">"vs "&amp;F2766</f>
        <v>vs Tassos</v>
      </c>
      <c r="M2767">
        <v>145</v>
      </c>
      <c r="N2767" s="1">
        <v>0.47399999999999998</v>
      </c>
      <c r="O2767">
        <v>49</v>
      </c>
      <c r="P2767" s="1">
        <v>0.374</v>
      </c>
      <c r="Q2767" s="1">
        <v>0.875</v>
      </c>
      <c r="R2767">
        <v>423</v>
      </c>
      <c r="S2767">
        <v>42</v>
      </c>
      <c r="T2767">
        <v>125</v>
      </c>
      <c r="U2767">
        <v>75</v>
      </c>
      <c r="V2767">
        <v>27</v>
      </c>
      <c r="W2767">
        <v>18</v>
      </c>
      <c r="X2767">
        <v>52</v>
      </c>
      <c r="Y2767">
        <v>1.44</v>
      </c>
    </row>
    <row r="2768" spans="1:25" x14ac:dyDescent="0.25">
      <c r="A2768">
        <v>2025</v>
      </c>
      <c r="B2768" t="s">
        <v>57</v>
      </c>
      <c r="C2768">
        <v>5</v>
      </c>
      <c r="D2768">
        <v>51</v>
      </c>
      <c r="E2768" t="s">
        <v>154</v>
      </c>
      <c r="F2768" t="s">
        <v>155</v>
      </c>
      <c r="G2768">
        <f t="shared" si="2515"/>
        <v>0</v>
      </c>
      <c r="H2768">
        <v>4</v>
      </c>
      <c r="I2768">
        <v>9</v>
      </c>
      <c r="J2768">
        <v>0</v>
      </c>
      <c r="K2768" s="6" t="str">
        <f t="shared" ref="K2768" si="2624">"vs "&amp;E2769</f>
        <v>vs Knights of Ni</v>
      </c>
      <c r="L2768" s="6" t="str">
        <f t="shared" ref="L2768" si="2625">"vs "&amp;F2769</f>
        <v>vs Tolios</v>
      </c>
      <c r="M2768">
        <v>133</v>
      </c>
      <c r="N2768" s="1">
        <v>0.47199999999999998</v>
      </c>
      <c r="O2768">
        <v>40</v>
      </c>
      <c r="P2768" s="1">
        <v>0.40799999999999997</v>
      </c>
      <c r="Q2768" s="1">
        <v>0.748</v>
      </c>
      <c r="R2768">
        <v>386</v>
      </c>
      <c r="S2768">
        <v>52</v>
      </c>
      <c r="T2768">
        <v>124</v>
      </c>
      <c r="U2768">
        <v>77</v>
      </c>
      <c r="V2768">
        <v>42</v>
      </c>
      <c r="W2768">
        <v>22</v>
      </c>
      <c r="X2768">
        <v>59</v>
      </c>
      <c r="Y2768">
        <v>1.31</v>
      </c>
    </row>
    <row r="2769" spans="1:25" x14ac:dyDescent="0.25">
      <c r="A2769">
        <v>2025</v>
      </c>
      <c r="B2769" t="s">
        <v>57</v>
      </c>
      <c r="C2769">
        <v>5</v>
      </c>
      <c r="D2769">
        <v>51</v>
      </c>
      <c r="E2769" t="s">
        <v>96</v>
      </c>
      <c r="F2769" t="s">
        <v>102</v>
      </c>
      <c r="G2769">
        <f t="shared" si="2515"/>
        <v>1</v>
      </c>
      <c r="H2769">
        <v>9</v>
      </c>
      <c r="I2769">
        <v>4</v>
      </c>
      <c r="J2769">
        <v>0</v>
      </c>
      <c r="K2769" s="6" t="str">
        <f t="shared" ref="K2769" si="2626">"vs "&amp;E2768</f>
        <v>vs The Bad Boys</v>
      </c>
      <c r="L2769" s="6" t="str">
        <f t="shared" ref="L2769" si="2627">"vs "&amp;F2768</f>
        <v>vs Arvanitis</v>
      </c>
      <c r="M2769">
        <v>177</v>
      </c>
      <c r="N2769" s="1">
        <v>0.54300000000000004</v>
      </c>
      <c r="O2769">
        <v>42</v>
      </c>
      <c r="P2769" s="1">
        <v>0.39600000000000002</v>
      </c>
      <c r="Q2769" s="1">
        <v>0.80200000000000005</v>
      </c>
      <c r="R2769">
        <v>469</v>
      </c>
      <c r="S2769">
        <v>56</v>
      </c>
      <c r="T2769">
        <v>116</v>
      </c>
      <c r="U2769">
        <v>92</v>
      </c>
      <c r="V2769">
        <v>26</v>
      </c>
      <c r="W2769">
        <v>19</v>
      </c>
      <c r="X2769">
        <v>36</v>
      </c>
      <c r="Y2769">
        <v>2.56</v>
      </c>
    </row>
    <row r="2770" spans="1:25" x14ac:dyDescent="0.25">
      <c r="A2770">
        <v>2025</v>
      </c>
      <c r="B2770" t="s">
        <v>57</v>
      </c>
      <c r="C2770">
        <v>5</v>
      </c>
      <c r="D2770">
        <v>52</v>
      </c>
      <c r="E2770" t="s">
        <v>21</v>
      </c>
      <c r="F2770" t="s">
        <v>50</v>
      </c>
      <c r="G2770">
        <f t="shared" si="2515"/>
        <v>0</v>
      </c>
      <c r="H2770">
        <v>3</v>
      </c>
      <c r="I2770">
        <v>10</v>
      </c>
      <c r="J2770">
        <v>0</v>
      </c>
      <c r="K2770" s="6" t="str">
        <f t="shared" ref="K2770" si="2628">"vs "&amp;E2771</f>
        <v>vs Xanthi Ducks 🦆</v>
      </c>
      <c r="L2770" s="6" t="str">
        <f t="shared" ref="L2770" si="2629">"vs "&amp;F2771</f>
        <v>vs Kotakis</v>
      </c>
      <c r="M2770">
        <v>103</v>
      </c>
      <c r="N2770" s="1">
        <v>0.438</v>
      </c>
      <c r="O2770">
        <v>45</v>
      </c>
      <c r="P2770" s="1">
        <v>0.42099999999999999</v>
      </c>
      <c r="Q2770" s="1">
        <v>0.75600000000000001</v>
      </c>
      <c r="R2770">
        <v>285</v>
      </c>
      <c r="S2770">
        <v>25</v>
      </c>
      <c r="T2770">
        <v>82</v>
      </c>
      <c r="U2770">
        <v>50</v>
      </c>
      <c r="V2770">
        <v>19</v>
      </c>
      <c r="W2770">
        <v>25</v>
      </c>
      <c r="X2770">
        <v>39</v>
      </c>
      <c r="Y2770">
        <v>1.28</v>
      </c>
    </row>
    <row r="2771" spans="1:25" x14ac:dyDescent="0.25">
      <c r="A2771">
        <v>2025</v>
      </c>
      <c r="B2771" t="s">
        <v>57</v>
      </c>
      <c r="C2771">
        <v>5</v>
      </c>
      <c r="D2771">
        <v>52</v>
      </c>
      <c r="E2771" t="s">
        <v>98</v>
      </c>
      <c r="F2771" t="s">
        <v>41</v>
      </c>
      <c r="G2771">
        <f t="shared" si="2515"/>
        <v>1</v>
      </c>
      <c r="H2771">
        <v>10</v>
      </c>
      <c r="I2771">
        <v>3</v>
      </c>
      <c r="J2771">
        <v>0</v>
      </c>
      <c r="K2771" s="6" t="str">
        <f t="shared" ref="K2771" si="2630">"vs "&amp;E2770</f>
        <v>vs st.Helens Eruptions</v>
      </c>
      <c r="L2771" s="6" t="str">
        <f t="shared" ref="L2771" si="2631">"vs "&amp;F2770</f>
        <v>vs Aris</v>
      </c>
      <c r="M2771">
        <v>148</v>
      </c>
      <c r="N2771" s="1">
        <v>0.46500000000000002</v>
      </c>
      <c r="O2771">
        <v>39</v>
      </c>
      <c r="P2771" s="1">
        <v>0.30199999999999999</v>
      </c>
      <c r="Q2771" s="1">
        <v>0.77900000000000003</v>
      </c>
      <c r="R2771">
        <v>388</v>
      </c>
      <c r="S2771">
        <v>47</v>
      </c>
      <c r="T2771">
        <v>123</v>
      </c>
      <c r="U2771">
        <v>80</v>
      </c>
      <c r="V2771">
        <v>35</v>
      </c>
      <c r="W2771">
        <v>8</v>
      </c>
      <c r="X2771">
        <v>34</v>
      </c>
      <c r="Y2771">
        <v>2.35</v>
      </c>
    </row>
    <row r="2772" spans="1:25" x14ac:dyDescent="0.25">
      <c r="A2772">
        <v>2025</v>
      </c>
      <c r="B2772" t="s">
        <v>57</v>
      </c>
      <c r="C2772">
        <v>5</v>
      </c>
      <c r="D2772">
        <v>53</v>
      </c>
      <c r="E2772" t="s">
        <v>28</v>
      </c>
      <c r="F2772" t="s">
        <v>46</v>
      </c>
      <c r="G2772">
        <f t="shared" si="2515"/>
        <v>0</v>
      </c>
      <c r="H2772">
        <v>5</v>
      </c>
      <c r="I2772">
        <v>7</v>
      </c>
      <c r="J2772">
        <v>1</v>
      </c>
      <c r="K2772" s="6" t="str">
        <f t="shared" ref="K2772" si="2632">"vs "&amp;E2773</f>
        <v>vs Tsarlatans</v>
      </c>
      <c r="L2772" s="6" t="str">
        <f t="shared" ref="L2772" si="2633">"vs "&amp;F2773</f>
        <v>vs Tzokos</v>
      </c>
      <c r="M2772">
        <v>105</v>
      </c>
      <c r="N2772" s="1">
        <v>0.375</v>
      </c>
      <c r="O2772">
        <v>50</v>
      </c>
      <c r="P2772" s="1">
        <v>0.376</v>
      </c>
      <c r="Q2772" s="1">
        <v>0.77500000000000002</v>
      </c>
      <c r="R2772">
        <v>322</v>
      </c>
      <c r="S2772">
        <v>27</v>
      </c>
      <c r="T2772">
        <v>95</v>
      </c>
      <c r="U2772">
        <v>82</v>
      </c>
      <c r="V2772">
        <v>19</v>
      </c>
      <c r="W2772">
        <v>18</v>
      </c>
      <c r="X2772">
        <v>32</v>
      </c>
      <c r="Y2772">
        <v>2.56</v>
      </c>
    </row>
    <row r="2773" spans="1:25" x14ac:dyDescent="0.25">
      <c r="A2773">
        <v>2025</v>
      </c>
      <c r="B2773" t="s">
        <v>57</v>
      </c>
      <c r="C2773">
        <v>5</v>
      </c>
      <c r="D2773">
        <v>53</v>
      </c>
      <c r="E2773" t="s">
        <v>99</v>
      </c>
      <c r="F2773" t="s">
        <v>45</v>
      </c>
      <c r="G2773">
        <f t="shared" si="2515"/>
        <v>1</v>
      </c>
      <c r="H2773">
        <v>7</v>
      </c>
      <c r="I2773">
        <v>5</v>
      </c>
      <c r="J2773">
        <v>1</v>
      </c>
      <c r="K2773" s="6" t="str">
        <f t="shared" ref="K2773" si="2634">"vs "&amp;E2772</f>
        <v>vs Steven Adams' Moustache</v>
      </c>
      <c r="L2773" s="6" t="str">
        <f t="shared" ref="L2773" si="2635">"vs "&amp;F2772</f>
        <v>vs Johnny</v>
      </c>
      <c r="M2773">
        <v>111</v>
      </c>
      <c r="N2773" s="1">
        <v>0.505</v>
      </c>
      <c r="O2773">
        <v>28</v>
      </c>
      <c r="P2773" s="1">
        <v>0.36799999999999999</v>
      </c>
      <c r="Q2773" s="1">
        <v>0.76900000000000002</v>
      </c>
      <c r="R2773">
        <v>300</v>
      </c>
      <c r="S2773">
        <v>38</v>
      </c>
      <c r="T2773">
        <v>111</v>
      </c>
      <c r="U2773">
        <v>87</v>
      </c>
      <c r="V2773">
        <v>26</v>
      </c>
      <c r="W2773">
        <v>16</v>
      </c>
      <c r="X2773">
        <v>32</v>
      </c>
      <c r="Y2773">
        <v>2.72</v>
      </c>
    </row>
    <row r="2774" spans="1:25" x14ac:dyDescent="0.25">
      <c r="A2774">
        <v>2025</v>
      </c>
      <c r="B2774" t="s">
        <v>57</v>
      </c>
      <c r="C2774">
        <v>5</v>
      </c>
      <c r="D2774">
        <v>54</v>
      </c>
      <c r="E2774" t="s">
        <v>23</v>
      </c>
      <c r="F2774" t="s">
        <v>120</v>
      </c>
      <c r="G2774">
        <f t="shared" si="2515"/>
        <v>1</v>
      </c>
      <c r="H2774">
        <v>10</v>
      </c>
      <c r="I2774">
        <v>3</v>
      </c>
      <c r="J2774">
        <v>0</v>
      </c>
      <c r="K2774" s="6" t="str">
        <f t="shared" ref="K2774" si="2636">"vs "&amp;E2775</f>
        <v>vs Kourayo Vallecano</v>
      </c>
      <c r="L2774" s="6" t="str">
        <f t="shared" ref="L2774" si="2637">"vs "&amp;F2775</f>
        <v>vs Ziogas/Christof</v>
      </c>
      <c r="M2774">
        <v>126</v>
      </c>
      <c r="N2774" s="1">
        <v>0.46700000000000003</v>
      </c>
      <c r="O2774">
        <v>53</v>
      </c>
      <c r="P2774" s="1">
        <v>0.39300000000000002</v>
      </c>
      <c r="Q2774" s="1">
        <v>0.82199999999999995</v>
      </c>
      <c r="R2774">
        <v>342</v>
      </c>
      <c r="S2774">
        <v>36</v>
      </c>
      <c r="T2774">
        <v>92</v>
      </c>
      <c r="U2774">
        <v>59</v>
      </c>
      <c r="V2774">
        <v>22</v>
      </c>
      <c r="W2774">
        <v>22</v>
      </c>
      <c r="X2774">
        <v>42</v>
      </c>
      <c r="Y2774">
        <v>1.4</v>
      </c>
    </row>
    <row r="2775" spans="1:25" x14ac:dyDescent="0.25">
      <c r="A2775">
        <v>2025</v>
      </c>
      <c r="B2775" t="s">
        <v>57</v>
      </c>
      <c r="C2775">
        <v>5</v>
      </c>
      <c r="D2775">
        <v>54</v>
      </c>
      <c r="E2775" t="s">
        <v>26</v>
      </c>
      <c r="F2775" t="s">
        <v>118</v>
      </c>
      <c r="G2775">
        <f t="shared" si="2515"/>
        <v>0</v>
      </c>
      <c r="H2775">
        <v>3</v>
      </c>
      <c r="I2775">
        <v>10</v>
      </c>
      <c r="J2775">
        <v>0</v>
      </c>
      <c r="K2775" s="6" t="str">
        <f t="shared" ref="K2775" si="2638">"vs "&amp;E2774</f>
        <v>vs Pachiana NinjaBees</v>
      </c>
      <c r="L2775" s="6" t="str">
        <f t="shared" ref="L2775" si="2639">"vs "&amp;F2774</f>
        <v>vs Spiridaus/Oladipas</v>
      </c>
      <c r="M2775">
        <v>101</v>
      </c>
      <c r="N2775" s="1">
        <v>0.47899999999999998</v>
      </c>
      <c r="O2775">
        <v>33</v>
      </c>
      <c r="P2775" s="1">
        <v>0.33300000000000002</v>
      </c>
      <c r="Q2775" s="1">
        <v>0.76700000000000002</v>
      </c>
      <c r="R2775">
        <v>291</v>
      </c>
      <c r="S2775">
        <v>22</v>
      </c>
      <c r="T2775">
        <v>89</v>
      </c>
      <c r="U2775">
        <v>49</v>
      </c>
      <c r="V2775">
        <v>18</v>
      </c>
      <c r="W2775">
        <v>10</v>
      </c>
      <c r="X2775">
        <v>25</v>
      </c>
      <c r="Y2775">
        <v>1.96</v>
      </c>
    </row>
    <row r="2776" spans="1:25" x14ac:dyDescent="0.25">
      <c r="A2776">
        <v>2025</v>
      </c>
      <c r="B2776" t="s">
        <v>57</v>
      </c>
      <c r="C2776">
        <v>5</v>
      </c>
      <c r="D2776">
        <v>55</v>
      </c>
      <c r="E2776" t="s">
        <v>159</v>
      </c>
      <c r="F2776" t="s">
        <v>116</v>
      </c>
      <c r="G2776">
        <f t="shared" si="2515"/>
        <v>1</v>
      </c>
      <c r="H2776">
        <v>10</v>
      </c>
      <c r="I2776">
        <v>3</v>
      </c>
      <c r="J2776">
        <v>0</v>
      </c>
      <c r="K2776" s="6" t="str">
        <f t="shared" ref="K2776" si="2640">"vs "&amp;E2777</f>
        <v>vs LRBP PR3DATORS</v>
      </c>
      <c r="L2776" s="6" t="str">
        <f t="shared" ref="L2776" si="2641">"vs "&amp;F2777</f>
        <v>vs Lafa</v>
      </c>
      <c r="M2776">
        <v>229</v>
      </c>
      <c r="N2776" s="1">
        <v>0.49199999999999999</v>
      </c>
      <c r="O2776">
        <v>70</v>
      </c>
      <c r="P2776" s="1">
        <v>0.38700000000000001</v>
      </c>
      <c r="Q2776" s="1">
        <v>0.68300000000000005</v>
      </c>
      <c r="R2776">
        <v>610</v>
      </c>
      <c r="S2776">
        <v>45</v>
      </c>
      <c r="T2776">
        <v>159</v>
      </c>
      <c r="U2776">
        <v>185</v>
      </c>
      <c r="V2776">
        <v>23</v>
      </c>
      <c r="W2776">
        <v>17</v>
      </c>
      <c r="X2776">
        <v>89</v>
      </c>
      <c r="Y2776">
        <v>2.08</v>
      </c>
    </row>
    <row r="2777" spans="1:25" x14ac:dyDescent="0.25">
      <c r="A2777">
        <v>2025</v>
      </c>
      <c r="B2777" t="s">
        <v>57</v>
      </c>
      <c r="C2777">
        <v>5</v>
      </c>
      <c r="D2777">
        <v>55</v>
      </c>
      <c r="E2777" t="s">
        <v>158</v>
      </c>
      <c r="F2777" t="s">
        <v>177</v>
      </c>
      <c r="G2777">
        <f t="shared" si="2515"/>
        <v>0</v>
      </c>
      <c r="H2777">
        <v>3</v>
      </c>
      <c r="I2777">
        <v>10</v>
      </c>
      <c r="J2777">
        <v>0</v>
      </c>
      <c r="K2777" s="6" t="str">
        <f t="shared" ref="K2777" si="2642">"vs "&amp;E2776</f>
        <v>vs purple fuzzy apache pirates</v>
      </c>
      <c r="L2777" s="6" t="str">
        <f t="shared" ref="L2777" si="2643">"vs "&amp;F2776</f>
        <v>vs pi/Sotiris</v>
      </c>
      <c r="M2777">
        <v>144</v>
      </c>
      <c r="N2777" s="1">
        <v>0.45</v>
      </c>
      <c r="O2777">
        <v>39</v>
      </c>
      <c r="P2777" s="1">
        <v>0.36099999999999999</v>
      </c>
      <c r="Q2777" s="1">
        <v>0.76500000000000001</v>
      </c>
      <c r="R2777">
        <v>402</v>
      </c>
      <c r="S2777">
        <v>27</v>
      </c>
      <c r="T2777">
        <v>87</v>
      </c>
      <c r="U2777">
        <v>89</v>
      </c>
      <c r="V2777">
        <v>21</v>
      </c>
      <c r="W2777">
        <v>22</v>
      </c>
      <c r="X2777">
        <v>78</v>
      </c>
      <c r="Y2777">
        <v>1.1399999999999999</v>
      </c>
    </row>
    <row r="2778" spans="1:25" x14ac:dyDescent="0.25">
      <c r="A2778">
        <v>2025</v>
      </c>
      <c r="B2778" t="s">
        <v>57</v>
      </c>
      <c r="C2778">
        <v>5</v>
      </c>
      <c r="D2778">
        <v>56</v>
      </c>
      <c r="E2778" t="s">
        <v>181</v>
      </c>
      <c r="F2778" t="s">
        <v>49</v>
      </c>
      <c r="G2778">
        <f t="shared" ref="G2778:G2841" si="2644">IF(H2778+0.5*J2778&gt;6.5,1,0)</f>
        <v>0</v>
      </c>
      <c r="H2778">
        <v>3</v>
      </c>
      <c r="I2778">
        <v>9</v>
      </c>
      <c r="J2778">
        <v>1</v>
      </c>
      <c r="K2778" s="6" t="str">
        <f t="shared" ref="K2778" si="2645">"vs "&amp;E2779</f>
        <v>vs Baltimore Hercules</v>
      </c>
      <c r="L2778" s="6" t="str">
        <f t="shared" ref="L2778" si="2646">"vs "&amp;F2779</f>
        <v>vs Sarantos</v>
      </c>
      <c r="M2778">
        <v>129</v>
      </c>
      <c r="N2778" s="1">
        <v>0.40600000000000003</v>
      </c>
      <c r="O2778">
        <v>55</v>
      </c>
      <c r="P2778" s="1">
        <v>0.377</v>
      </c>
      <c r="Q2778" s="1">
        <v>0.78900000000000003</v>
      </c>
      <c r="R2778">
        <v>388</v>
      </c>
      <c r="S2778">
        <v>28</v>
      </c>
      <c r="T2778">
        <v>126</v>
      </c>
      <c r="U2778">
        <v>105</v>
      </c>
      <c r="V2778">
        <v>31</v>
      </c>
      <c r="W2778">
        <v>14</v>
      </c>
      <c r="X2778">
        <v>59</v>
      </c>
      <c r="Y2778">
        <v>1.78</v>
      </c>
    </row>
    <row r="2779" spans="1:25" x14ac:dyDescent="0.25">
      <c r="A2779">
        <v>2025</v>
      </c>
      <c r="B2779" t="s">
        <v>57</v>
      </c>
      <c r="C2779">
        <v>5</v>
      </c>
      <c r="D2779">
        <v>56</v>
      </c>
      <c r="E2779" t="s">
        <v>95</v>
      </c>
      <c r="F2779" t="s">
        <v>101</v>
      </c>
      <c r="G2779">
        <f t="shared" si="2644"/>
        <v>1</v>
      </c>
      <c r="H2779">
        <v>9</v>
      </c>
      <c r="I2779">
        <v>3</v>
      </c>
      <c r="J2779">
        <v>1</v>
      </c>
      <c r="K2779" s="6" t="str">
        <f t="shared" ref="K2779" si="2647">"vs "&amp;E2778</f>
        <v>vs Samarina Dudenbros</v>
      </c>
      <c r="L2779" s="6" t="str">
        <f t="shared" ref="L2779" si="2648">"vs "&amp;F2778</f>
        <v>vs Sakellariou</v>
      </c>
      <c r="M2779">
        <v>143</v>
      </c>
      <c r="N2779" s="1">
        <v>0.441</v>
      </c>
      <c r="O2779">
        <v>48</v>
      </c>
      <c r="P2779" s="1">
        <v>0.34499999999999997</v>
      </c>
      <c r="Q2779" s="1">
        <v>0.79800000000000004</v>
      </c>
      <c r="R2779">
        <v>409</v>
      </c>
      <c r="S2779">
        <v>42</v>
      </c>
      <c r="T2779">
        <v>120</v>
      </c>
      <c r="U2779">
        <v>106</v>
      </c>
      <c r="V2779">
        <v>31</v>
      </c>
      <c r="W2779">
        <v>17</v>
      </c>
      <c r="X2779">
        <v>58</v>
      </c>
      <c r="Y2779">
        <v>1.83</v>
      </c>
    </row>
    <row r="2780" spans="1:25" x14ac:dyDescent="0.25">
      <c r="A2780">
        <v>2025</v>
      </c>
      <c r="B2780" t="s">
        <v>57</v>
      </c>
      <c r="C2780">
        <v>5</v>
      </c>
      <c r="D2780">
        <v>57</v>
      </c>
      <c r="E2780" t="s">
        <v>33</v>
      </c>
      <c r="F2780" t="s">
        <v>42</v>
      </c>
      <c r="G2780">
        <f t="shared" si="2644"/>
        <v>1</v>
      </c>
      <c r="H2780">
        <v>7</v>
      </c>
      <c r="I2780">
        <v>6</v>
      </c>
      <c r="J2780">
        <v>0</v>
      </c>
      <c r="K2780" s="6" t="str">
        <f t="shared" ref="K2780" si="2649">"vs "&amp;E2781</f>
        <v>vs Guruuu 🐐🐐🐐</v>
      </c>
      <c r="L2780" s="6" t="str">
        <f t="shared" ref="L2780" si="2650">"vs "&amp;F2781</f>
        <v>vs Guru</v>
      </c>
      <c r="M2780">
        <v>155</v>
      </c>
      <c r="N2780" s="1">
        <v>0.45200000000000001</v>
      </c>
      <c r="O2780">
        <v>50</v>
      </c>
      <c r="P2780" s="1">
        <v>0.379</v>
      </c>
      <c r="Q2780" s="1">
        <v>0.8</v>
      </c>
      <c r="R2780">
        <v>436</v>
      </c>
      <c r="S2780">
        <v>43</v>
      </c>
      <c r="T2780">
        <v>97</v>
      </c>
      <c r="U2780">
        <v>107</v>
      </c>
      <c r="V2780">
        <v>31</v>
      </c>
      <c r="W2780">
        <v>19</v>
      </c>
      <c r="X2780">
        <v>53</v>
      </c>
      <c r="Y2780">
        <v>2.02</v>
      </c>
    </row>
    <row r="2781" spans="1:25" x14ac:dyDescent="0.25">
      <c r="A2781">
        <v>2025</v>
      </c>
      <c r="B2781" t="s">
        <v>57</v>
      </c>
      <c r="C2781">
        <v>5</v>
      </c>
      <c r="D2781">
        <v>57</v>
      </c>
      <c r="E2781" t="s">
        <v>93</v>
      </c>
      <c r="F2781" t="s">
        <v>189</v>
      </c>
      <c r="G2781">
        <f t="shared" si="2644"/>
        <v>0</v>
      </c>
      <c r="H2781">
        <v>6</v>
      </c>
      <c r="I2781">
        <v>7</v>
      </c>
      <c r="J2781">
        <v>0</v>
      </c>
      <c r="K2781" s="6" t="str">
        <f t="shared" ref="K2781" si="2651">"vs "&amp;E2780</f>
        <v>vs The Guns</v>
      </c>
      <c r="L2781" s="6" t="str">
        <f t="shared" ref="L2781" si="2652">"vs "&amp;F2780</f>
        <v>vs Vasilis</v>
      </c>
      <c r="M2781">
        <v>140</v>
      </c>
      <c r="N2781" s="1">
        <v>0.47799999999999998</v>
      </c>
      <c r="O2781">
        <v>59</v>
      </c>
      <c r="P2781" s="1">
        <v>0.373</v>
      </c>
      <c r="Q2781" s="1">
        <v>0.83299999999999996</v>
      </c>
      <c r="R2781">
        <v>394</v>
      </c>
      <c r="S2781">
        <v>29</v>
      </c>
      <c r="T2781">
        <v>83</v>
      </c>
      <c r="U2781">
        <v>85</v>
      </c>
      <c r="V2781">
        <v>18</v>
      </c>
      <c r="W2781">
        <v>20</v>
      </c>
      <c r="X2781">
        <v>34</v>
      </c>
      <c r="Y2781">
        <v>2.5</v>
      </c>
    </row>
    <row r="2782" spans="1:25" x14ac:dyDescent="0.25">
      <c r="A2782">
        <v>2025</v>
      </c>
      <c r="B2782" t="s">
        <v>57</v>
      </c>
      <c r="C2782">
        <v>5</v>
      </c>
      <c r="D2782">
        <v>58</v>
      </c>
      <c r="E2782" t="s">
        <v>15</v>
      </c>
      <c r="F2782" t="s">
        <v>48</v>
      </c>
      <c r="G2782">
        <f t="shared" si="2644"/>
        <v>0</v>
      </c>
      <c r="H2782">
        <v>4</v>
      </c>
      <c r="I2782">
        <v>9</v>
      </c>
      <c r="J2782">
        <v>0</v>
      </c>
      <c r="K2782" s="6" t="str">
        <f t="shared" ref="K2782" si="2653">"vs "&amp;E2783</f>
        <v>vs The Bridgeburners</v>
      </c>
      <c r="L2782" s="6" t="str">
        <f t="shared" ref="L2782" si="2654">"vs "&amp;F2783</f>
        <v>vs Fanis</v>
      </c>
      <c r="M2782">
        <v>160</v>
      </c>
      <c r="N2782" s="1">
        <v>0.47599999999999998</v>
      </c>
      <c r="O2782">
        <v>53</v>
      </c>
      <c r="P2782" s="1">
        <v>0.35799999999999998</v>
      </c>
      <c r="Q2782" s="1">
        <v>0.70499999999999996</v>
      </c>
      <c r="R2782">
        <v>428</v>
      </c>
      <c r="S2782">
        <v>32</v>
      </c>
      <c r="T2782">
        <v>116</v>
      </c>
      <c r="U2782">
        <v>108</v>
      </c>
      <c r="V2782">
        <v>22</v>
      </c>
      <c r="W2782">
        <v>14</v>
      </c>
      <c r="X2782">
        <v>67</v>
      </c>
      <c r="Y2782">
        <v>1.61</v>
      </c>
    </row>
    <row r="2783" spans="1:25" x14ac:dyDescent="0.25">
      <c r="A2783">
        <v>2025</v>
      </c>
      <c r="B2783" t="s">
        <v>57</v>
      </c>
      <c r="C2783">
        <v>5</v>
      </c>
      <c r="D2783">
        <v>58</v>
      </c>
      <c r="E2783" t="s">
        <v>16</v>
      </c>
      <c r="F2783" t="s">
        <v>51</v>
      </c>
      <c r="G2783">
        <f t="shared" si="2644"/>
        <v>1</v>
      </c>
      <c r="H2783">
        <v>9</v>
      </c>
      <c r="I2783">
        <v>4</v>
      </c>
      <c r="J2783">
        <v>0</v>
      </c>
      <c r="K2783" s="6" t="str">
        <f t="shared" ref="K2783" si="2655">"vs "&amp;E2782</f>
        <v>vs Salonika Devils</v>
      </c>
      <c r="L2783" s="6" t="str">
        <f t="shared" ref="L2783" si="2656">"vs "&amp;F2782</f>
        <v>vs Fountos</v>
      </c>
      <c r="M2783">
        <v>169</v>
      </c>
      <c r="N2783" s="1">
        <v>0.45900000000000002</v>
      </c>
      <c r="O2783">
        <v>41</v>
      </c>
      <c r="P2783" s="1">
        <v>0.29699999999999999</v>
      </c>
      <c r="Q2783" s="1">
        <v>0.755</v>
      </c>
      <c r="R2783">
        <v>453</v>
      </c>
      <c r="S2783">
        <v>49</v>
      </c>
      <c r="T2783">
        <v>163</v>
      </c>
      <c r="U2783">
        <v>147</v>
      </c>
      <c r="V2783">
        <v>31</v>
      </c>
      <c r="W2783">
        <v>28</v>
      </c>
      <c r="X2783">
        <v>68</v>
      </c>
      <c r="Y2783">
        <v>2.16</v>
      </c>
    </row>
    <row r="2784" spans="1:25" x14ac:dyDescent="0.25">
      <c r="A2784">
        <v>2025</v>
      </c>
      <c r="B2784" t="s">
        <v>57</v>
      </c>
      <c r="C2784">
        <v>5</v>
      </c>
      <c r="D2784">
        <v>59</v>
      </c>
      <c r="E2784" t="s">
        <v>184</v>
      </c>
      <c r="F2784" t="s">
        <v>188</v>
      </c>
      <c r="G2784">
        <f t="shared" si="2644"/>
        <v>1</v>
      </c>
      <c r="H2784">
        <v>10</v>
      </c>
      <c r="I2784">
        <v>3</v>
      </c>
      <c r="J2784">
        <v>0</v>
      </c>
      <c r="K2784" s="6" t="str">
        <f t="shared" ref="K2784" si="2657">"vs "&amp;E2785</f>
        <v>vs Paralouistas</v>
      </c>
      <c r="L2784" s="6" t="str">
        <f t="shared" ref="L2784" si="2658">"vs "&amp;F2785</f>
        <v>vs Panos</v>
      </c>
      <c r="M2784">
        <v>182</v>
      </c>
      <c r="N2784" s="1">
        <v>0.48</v>
      </c>
      <c r="O2784">
        <v>73</v>
      </c>
      <c r="P2784" s="1">
        <v>0.41699999999999998</v>
      </c>
      <c r="Q2784" s="1">
        <v>0.79500000000000004</v>
      </c>
      <c r="R2784">
        <v>495</v>
      </c>
      <c r="S2784">
        <v>41</v>
      </c>
      <c r="T2784">
        <v>120</v>
      </c>
      <c r="U2784">
        <v>89</v>
      </c>
      <c r="V2784">
        <v>26</v>
      </c>
      <c r="W2784">
        <v>21</v>
      </c>
      <c r="X2784">
        <v>59</v>
      </c>
      <c r="Y2784">
        <v>1.51</v>
      </c>
    </row>
    <row r="2785" spans="1:25" x14ac:dyDescent="0.25">
      <c r="A2785">
        <v>2025</v>
      </c>
      <c r="B2785" t="s">
        <v>57</v>
      </c>
      <c r="C2785">
        <v>5</v>
      </c>
      <c r="D2785">
        <v>59</v>
      </c>
      <c r="E2785" t="s">
        <v>185</v>
      </c>
      <c r="F2785" t="s">
        <v>100</v>
      </c>
      <c r="G2785">
        <f t="shared" si="2644"/>
        <v>0</v>
      </c>
      <c r="H2785">
        <v>3</v>
      </c>
      <c r="I2785">
        <v>10</v>
      </c>
      <c r="J2785">
        <v>0</v>
      </c>
      <c r="K2785" s="6" t="str">
        <f t="shared" ref="K2785" si="2659">"vs "&amp;E2784</f>
        <v>vs Heraklion Snakes</v>
      </c>
      <c r="L2785" s="6" t="str">
        <f t="shared" ref="L2785" si="2660">"vs "&amp;F2784</f>
        <v>vs Dimitris</v>
      </c>
      <c r="M2785">
        <v>127</v>
      </c>
      <c r="N2785" s="1">
        <v>0.42499999999999999</v>
      </c>
      <c r="O2785">
        <v>47</v>
      </c>
      <c r="P2785" s="1">
        <v>0.35299999999999998</v>
      </c>
      <c r="Q2785" s="1">
        <v>0.83099999999999996</v>
      </c>
      <c r="R2785">
        <v>360</v>
      </c>
      <c r="S2785">
        <v>36</v>
      </c>
      <c r="T2785">
        <v>97</v>
      </c>
      <c r="U2785">
        <v>88</v>
      </c>
      <c r="V2785">
        <v>18</v>
      </c>
      <c r="W2785">
        <v>7</v>
      </c>
      <c r="X2785">
        <v>43</v>
      </c>
      <c r="Y2785">
        <v>2.0499999999999998</v>
      </c>
    </row>
    <row r="2786" spans="1:25" x14ac:dyDescent="0.25">
      <c r="A2786">
        <v>2025</v>
      </c>
      <c r="B2786" t="s">
        <v>57</v>
      </c>
      <c r="C2786">
        <v>5</v>
      </c>
      <c r="D2786">
        <v>60</v>
      </c>
      <c r="E2786" t="s">
        <v>186</v>
      </c>
      <c r="F2786" t="s">
        <v>103</v>
      </c>
      <c r="G2786">
        <f t="shared" si="2644"/>
        <v>1</v>
      </c>
      <c r="H2786">
        <v>7</v>
      </c>
      <c r="I2786">
        <v>5</v>
      </c>
      <c r="J2786">
        <v>1</v>
      </c>
      <c r="K2786" s="6" t="str">
        <f t="shared" ref="K2786" si="2661">"vs "&amp;E2787</f>
        <v>vs Fighting Thaddeus</v>
      </c>
      <c r="L2786" s="6" t="str">
        <f t="shared" ref="L2786" si="2662">"vs "&amp;F2787</f>
        <v>vs Stavros</v>
      </c>
      <c r="M2786">
        <v>190</v>
      </c>
      <c r="N2786" s="1">
        <v>0.438</v>
      </c>
      <c r="O2786">
        <v>68</v>
      </c>
      <c r="P2786" s="1">
        <v>0.376</v>
      </c>
      <c r="Q2786" s="1">
        <v>0.86299999999999999</v>
      </c>
      <c r="R2786">
        <v>517</v>
      </c>
      <c r="S2786">
        <v>46</v>
      </c>
      <c r="T2786">
        <v>148</v>
      </c>
      <c r="U2786">
        <v>142</v>
      </c>
      <c r="V2786">
        <v>31</v>
      </c>
      <c r="W2786">
        <v>21</v>
      </c>
      <c r="X2786">
        <v>67</v>
      </c>
      <c r="Y2786">
        <v>2.12</v>
      </c>
    </row>
    <row r="2787" spans="1:25" x14ac:dyDescent="0.25">
      <c r="A2787">
        <v>2025</v>
      </c>
      <c r="B2787" t="s">
        <v>57</v>
      </c>
      <c r="C2787">
        <v>5</v>
      </c>
      <c r="D2787">
        <v>60</v>
      </c>
      <c r="E2787" t="s">
        <v>94</v>
      </c>
      <c r="F2787" t="s">
        <v>40</v>
      </c>
      <c r="G2787">
        <f t="shared" si="2644"/>
        <v>0</v>
      </c>
      <c r="H2787">
        <v>5</v>
      </c>
      <c r="I2787">
        <v>7</v>
      </c>
      <c r="J2787">
        <v>1</v>
      </c>
      <c r="K2787" s="6" t="str">
        <f t="shared" ref="K2787" si="2663">"vs "&amp;E2786</f>
        <v>vs Karafli Saita</v>
      </c>
      <c r="L2787" s="6" t="str">
        <f t="shared" ref="L2787" si="2664">"vs "&amp;F2786</f>
        <v>vs Tassos</v>
      </c>
      <c r="M2787">
        <v>190</v>
      </c>
      <c r="N2787" s="1">
        <v>0.53500000000000003</v>
      </c>
      <c r="O2787">
        <v>59</v>
      </c>
      <c r="P2787" s="1">
        <v>0.42399999999999999</v>
      </c>
      <c r="Q2787" s="1">
        <v>0.80300000000000005</v>
      </c>
      <c r="R2787">
        <v>496</v>
      </c>
      <c r="S2787">
        <v>37</v>
      </c>
      <c r="T2787">
        <v>126</v>
      </c>
      <c r="U2787">
        <v>97</v>
      </c>
      <c r="V2787">
        <v>42</v>
      </c>
      <c r="W2787">
        <v>31</v>
      </c>
      <c r="X2787">
        <v>46</v>
      </c>
      <c r="Y2787">
        <v>2.11</v>
      </c>
    </row>
    <row r="2788" spans="1:25" x14ac:dyDescent="0.25">
      <c r="A2788">
        <v>2025</v>
      </c>
      <c r="B2788" t="s">
        <v>57</v>
      </c>
      <c r="C2788">
        <v>6</v>
      </c>
      <c r="D2788">
        <v>61</v>
      </c>
      <c r="E2788" t="s">
        <v>96</v>
      </c>
      <c r="F2788" t="s">
        <v>102</v>
      </c>
      <c r="G2788">
        <f t="shared" si="2644"/>
        <v>1</v>
      </c>
      <c r="H2788">
        <v>10</v>
      </c>
      <c r="I2788">
        <v>3</v>
      </c>
      <c r="J2788">
        <v>0</v>
      </c>
      <c r="K2788" s="6" t="str">
        <f t="shared" ref="K2788" si="2665">"vs "&amp;E2789</f>
        <v>vs st.Helens Eruptions</v>
      </c>
      <c r="L2788" s="6" t="str">
        <f t="shared" ref="L2788" si="2666">"vs "&amp;F2789</f>
        <v>vs Aris</v>
      </c>
      <c r="M2788">
        <v>174</v>
      </c>
      <c r="N2788" s="1">
        <v>0.45900000000000002</v>
      </c>
      <c r="O2788">
        <v>55</v>
      </c>
      <c r="P2788" s="1">
        <v>0.372</v>
      </c>
      <c r="Q2788" s="1">
        <v>0.80900000000000005</v>
      </c>
      <c r="R2788">
        <v>479</v>
      </c>
      <c r="S2788">
        <v>34</v>
      </c>
      <c r="T2788">
        <v>124</v>
      </c>
      <c r="U2788">
        <v>96</v>
      </c>
      <c r="V2788">
        <v>32</v>
      </c>
      <c r="W2788">
        <v>18</v>
      </c>
      <c r="X2788">
        <v>46</v>
      </c>
      <c r="Y2788">
        <v>2.09</v>
      </c>
    </row>
    <row r="2789" spans="1:25" x14ac:dyDescent="0.25">
      <c r="A2789">
        <v>2025</v>
      </c>
      <c r="B2789" t="s">
        <v>57</v>
      </c>
      <c r="C2789">
        <v>6</v>
      </c>
      <c r="D2789">
        <v>61</v>
      </c>
      <c r="E2789" t="s">
        <v>21</v>
      </c>
      <c r="F2789" t="s">
        <v>50</v>
      </c>
      <c r="G2789">
        <f t="shared" si="2644"/>
        <v>0</v>
      </c>
      <c r="H2789">
        <v>3</v>
      </c>
      <c r="I2789">
        <v>10</v>
      </c>
      <c r="J2789">
        <v>0</v>
      </c>
      <c r="K2789" s="6" t="str">
        <f t="shared" ref="K2789" si="2667">"vs "&amp;E2788</f>
        <v>vs Knights of Ni</v>
      </c>
      <c r="L2789" s="6" t="str">
        <f t="shared" ref="L2789" si="2668">"vs "&amp;F2788</f>
        <v>vs Tolios</v>
      </c>
      <c r="M2789">
        <v>130</v>
      </c>
      <c r="N2789" s="1">
        <v>0.45800000000000002</v>
      </c>
      <c r="O2789">
        <v>46</v>
      </c>
      <c r="P2789" s="1">
        <v>0.371</v>
      </c>
      <c r="Q2789" s="1">
        <v>0.73799999999999999</v>
      </c>
      <c r="R2789">
        <v>351</v>
      </c>
      <c r="S2789">
        <v>30</v>
      </c>
      <c r="T2789">
        <v>82</v>
      </c>
      <c r="U2789">
        <v>76</v>
      </c>
      <c r="V2789">
        <v>30</v>
      </c>
      <c r="W2789">
        <v>22</v>
      </c>
      <c r="X2789">
        <v>34</v>
      </c>
      <c r="Y2789">
        <v>2.2400000000000002</v>
      </c>
    </row>
    <row r="2790" spans="1:25" x14ac:dyDescent="0.25">
      <c r="A2790">
        <v>2025</v>
      </c>
      <c r="B2790" t="s">
        <v>57</v>
      </c>
      <c r="C2790">
        <v>6</v>
      </c>
      <c r="D2790">
        <v>62</v>
      </c>
      <c r="E2790" t="s">
        <v>154</v>
      </c>
      <c r="F2790" t="s">
        <v>155</v>
      </c>
      <c r="G2790">
        <f t="shared" si="2644"/>
        <v>1</v>
      </c>
      <c r="H2790">
        <v>8</v>
      </c>
      <c r="I2790">
        <v>5</v>
      </c>
      <c r="J2790">
        <v>0</v>
      </c>
      <c r="K2790" s="6" t="str">
        <f t="shared" ref="K2790" si="2669">"vs "&amp;E2791</f>
        <v>vs Steven Adams' Moustache</v>
      </c>
      <c r="L2790" s="6" t="str">
        <f t="shared" ref="L2790" si="2670">"vs "&amp;F2791</f>
        <v>vs Johnny</v>
      </c>
      <c r="M2790">
        <v>153</v>
      </c>
      <c r="N2790" s="1">
        <v>0.5</v>
      </c>
      <c r="O2790">
        <v>30</v>
      </c>
      <c r="P2790" s="1">
        <v>0.28799999999999998</v>
      </c>
      <c r="Q2790" s="1">
        <v>0.71599999999999997</v>
      </c>
      <c r="R2790">
        <v>394</v>
      </c>
      <c r="S2790">
        <v>46</v>
      </c>
      <c r="T2790">
        <v>144</v>
      </c>
      <c r="U2790">
        <v>99</v>
      </c>
      <c r="V2790">
        <v>29</v>
      </c>
      <c r="W2790">
        <v>39</v>
      </c>
      <c r="X2790">
        <v>64</v>
      </c>
      <c r="Y2790">
        <v>1.55</v>
      </c>
    </row>
    <row r="2791" spans="1:25" x14ac:dyDescent="0.25">
      <c r="A2791">
        <v>2025</v>
      </c>
      <c r="B2791" t="s">
        <v>57</v>
      </c>
      <c r="C2791">
        <v>6</v>
      </c>
      <c r="D2791">
        <v>62</v>
      </c>
      <c r="E2791" t="s">
        <v>28</v>
      </c>
      <c r="F2791" t="s">
        <v>46</v>
      </c>
      <c r="G2791">
        <f t="shared" si="2644"/>
        <v>0</v>
      </c>
      <c r="H2791">
        <v>5</v>
      </c>
      <c r="I2791">
        <v>8</v>
      </c>
      <c r="J2791">
        <v>0</v>
      </c>
      <c r="K2791" s="6" t="str">
        <f t="shared" ref="K2791" si="2671">"vs "&amp;E2790</f>
        <v>vs The Bad Boys</v>
      </c>
      <c r="L2791" s="6" t="str">
        <f t="shared" ref="L2791" si="2672">"vs "&amp;F2790</f>
        <v>vs Arvanitis</v>
      </c>
      <c r="M2791">
        <v>133</v>
      </c>
      <c r="N2791" s="1">
        <v>0.45500000000000002</v>
      </c>
      <c r="O2791">
        <v>48</v>
      </c>
      <c r="P2791" s="1">
        <v>0.36099999999999999</v>
      </c>
      <c r="Q2791" s="1">
        <v>0.81299999999999994</v>
      </c>
      <c r="R2791">
        <v>379</v>
      </c>
      <c r="S2791">
        <v>21</v>
      </c>
      <c r="T2791">
        <v>116</v>
      </c>
      <c r="U2791">
        <v>74</v>
      </c>
      <c r="V2791">
        <v>20</v>
      </c>
      <c r="W2791">
        <v>15</v>
      </c>
      <c r="X2791">
        <v>43</v>
      </c>
      <c r="Y2791">
        <v>1.72</v>
      </c>
    </row>
    <row r="2792" spans="1:25" x14ac:dyDescent="0.25">
      <c r="A2792">
        <v>2025</v>
      </c>
      <c r="B2792" t="s">
        <v>57</v>
      </c>
      <c r="C2792">
        <v>6</v>
      </c>
      <c r="D2792">
        <v>63</v>
      </c>
      <c r="E2792" t="s">
        <v>98</v>
      </c>
      <c r="F2792" t="s">
        <v>41</v>
      </c>
      <c r="G2792">
        <f t="shared" si="2644"/>
        <v>1</v>
      </c>
      <c r="H2792">
        <v>8</v>
      </c>
      <c r="I2792">
        <v>5</v>
      </c>
      <c r="J2792">
        <v>0</v>
      </c>
      <c r="K2792" s="6" t="str">
        <f t="shared" ref="K2792" si="2673">"vs "&amp;E2793</f>
        <v>vs Pachiana NinjaBees</v>
      </c>
      <c r="L2792" s="6" t="str">
        <f t="shared" ref="L2792" si="2674">"vs "&amp;F2793</f>
        <v>vs Spiridaus/Oladipas</v>
      </c>
      <c r="M2792">
        <v>193</v>
      </c>
      <c r="N2792" s="1">
        <v>0.495</v>
      </c>
      <c r="O2792">
        <v>79</v>
      </c>
      <c r="P2792" s="1">
        <v>0.45100000000000001</v>
      </c>
      <c r="Q2792" s="1">
        <v>0.77600000000000002</v>
      </c>
      <c r="R2792">
        <v>555</v>
      </c>
      <c r="S2792">
        <v>54</v>
      </c>
      <c r="T2792">
        <v>154</v>
      </c>
      <c r="U2792">
        <v>111</v>
      </c>
      <c r="V2792">
        <v>24</v>
      </c>
      <c r="W2792">
        <v>19</v>
      </c>
      <c r="X2792">
        <v>52</v>
      </c>
      <c r="Y2792">
        <v>2.13</v>
      </c>
    </row>
    <row r="2793" spans="1:25" x14ac:dyDescent="0.25">
      <c r="A2793">
        <v>2025</v>
      </c>
      <c r="B2793" t="s">
        <v>57</v>
      </c>
      <c r="C2793">
        <v>6</v>
      </c>
      <c r="D2793">
        <v>63</v>
      </c>
      <c r="E2793" t="s">
        <v>23</v>
      </c>
      <c r="F2793" t="s">
        <v>120</v>
      </c>
      <c r="G2793">
        <f t="shared" si="2644"/>
        <v>0</v>
      </c>
      <c r="H2793">
        <v>5</v>
      </c>
      <c r="I2793">
        <v>8</v>
      </c>
      <c r="J2793">
        <v>0</v>
      </c>
      <c r="K2793" s="6" t="str">
        <f t="shared" ref="K2793" si="2675">"vs "&amp;E2792</f>
        <v>vs Xanthi Ducks 🦆</v>
      </c>
      <c r="L2793" s="6" t="str">
        <f t="shared" ref="L2793" si="2676">"vs "&amp;F2792</f>
        <v>vs Kotakis</v>
      </c>
      <c r="M2793">
        <v>190</v>
      </c>
      <c r="N2793" s="1">
        <v>0.441</v>
      </c>
      <c r="O2793">
        <v>83</v>
      </c>
      <c r="P2793" s="1">
        <v>0.371</v>
      </c>
      <c r="Q2793" s="1">
        <v>0.8</v>
      </c>
      <c r="R2793">
        <v>515</v>
      </c>
      <c r="S2793">
        <v>45</v>
      </c>
      <c r="T2793">
        <v>131</v>
      </c>
      <c r="U2793">
        <v>120</v>
      </c>
      <c r="V2793">
        <v>31</v>
      </c>
      <c r="W2793">
        <v>32</v>
      </c>
      <c r="X2793">
        <v>68</v>
      </c>
      <c r="Y2793">
        <v>1.76</v>
      </c>
    </row>
    <row r="2794" spans="1:25" x14ac:dyDescent="0.25">
      <c r="A2794">
        <v>2025</v>
      </c>
      <c r="B2794" t="s">
        <v>57</v>
      </c>
      <c r="C2794">
        <v>6</v>
      </c>
      <c r="D2794">
        <v>64</v>
      </c>
      <c r="E2794" t="s">
        <v>99</v>
      </c>
      <c r="F2794" t="s">
        <v>45</v>
      </c>
      <c r="G2794">
        <f t="shared" si="2644"/>
        <v>1</v>
      </c>
      <c r="H2794">
        <v>12</v>
      </c>
      <c r="I2794">
        <v>1</v>
      </c>
      <c r="J2794">
        <v>0</v>
      </c>
      <c r="K2794" s="6" t="str">
        <f t="shared" ref="K2794" si="2677">"vs "&amp;E2795</f>
        <v>vs purple fuzzy apache pirates</v>
      </c>
      <c r="L2794" s="6" t="str">
        <f t="shared" ref="L2794" si="2678">"vs "&amp;F2795</f>
        <v>vs pi/Sotiris</v>
      </c>
      <c r="M2794">
        <v>163</v>
      </c>
      <c r="N2794" s="1">
        <v>0.48199999999999998</v>
      </c>
      <c r="O2794">
        <v>42</v>
      </c>
      <c r="P2794" s="1">
        <v>0.35599999999999998</v>
      </c>
      <c r="Q2794" s="1">
        <v>0.85799999999999998</v>
      </c>
      <c r="R2794">
        <v>459</v>
      </c>
      <c r="S2794">
        <v>58</v>
      </c>
      <c r="T2794">
        <v>119</v>
      </c>
      <c r="U2794">
        <v>128</v>
      </c>
      <c r="V2794">
        <v>33</v>
      </c>
      <c r="W2794">
        <v>33</v>
      </c>
      <c r="X2794">
        <v>42</v>
      </c>
      <c r="Y2794">
        <v>3.05</v>
      </c>
    </row>
    <row r="2795" spans="1:25" x14ac:dyDescent="0.25">
      <c r="A2795">
        <v>2025</v>
      </c>
      <c r="B2795" t="s">
        <v>57</v>
      </c>
      <c r="C2795">
        <v>6</v>
      </c>
      <c r="D2795">
        <v>64</v>
      </c>
      <c r="E2795" t="s">
        <v>159</v>
      </c>
      <c r="F2795" t="s">
        <v>116</v>
      </c>
      <c r="G2795">
        <f t="shared" si="2644"/>
        <v>0</v>
      </c>
      <c r="H2795">
        <v>1</v>
      </c>
      <c r="I2795">
        <v>12</v>
      </c>
      <c r="J2795">
        <v>0</v>
      </c>
      <c r="K2795" s="6" t="str">
        <f t="shared" ref="K2795" si="2679">"vs "&amp;E2794</f>
        <v>vs Tsarlatans</v>
      </c>
      <c r="L2795" s="6" t="str">
        <f t="shared" ref="L2795" si="2680">"vs "&amp;F2794</f>
        <v>vs Tzokos</v>
      </c>
      <c r="M2795">
        <v>161</v>
      </c>
      <c r="N2795" s="1">
        <v>0.46400000000000002</v>
      </c>
      <c r="O2795">
        <v>52</v>
      </c>
      <c r="P2795" s="1">
        <v>0.34200000000000003</v>
      </c>
      <c r="Q2795" s="1">
        <v>0.75900000000000001</v>
      </c>
      <c r="R2795">
        <v>437</v>
      </c>
      <c r="S2795">
        <v>29</v>
      </c>
      <c r="T2795">
        <v>107</v>
      </c>
      <c r="U2795">
        <v>104</v>
      </c>
      <c r="V2795">
        <v>25</v>
      </c>
      <c r="W2795">
        <v>9</v>
      </c>
      <c r="X2795">
        <v>55</v>
      </c>
      <c r="Y2795">
        <v>1.89</v>
      </c>
    </row>
    <row r="2796" spans="1:25" x14ac:dyDescent="0.25">
      <c r="A2796">
        <v>2025</v>
      </c>
      <c r="B2796" t="s">
        <v>57</v>
      </c>
      <c r="C2796">
        <v>6</v>
      </c>
      <c r="D2796">
        <v>65</v>
      </c>
      <c r="E2796" t="s">
        <v>26</v>
      </c>
      <c r="F2796" t="s">
        <v>118</v>
      </c>
      <c r="G2796">
        <f t="shared" si="2644"/>
        <v>0</v>
      </c>
      <c r="H2796">
        <v>3</v>
      </c>
      <c r="I2796">
        <v>10</v>
      </c>
      <c r="J2796">
        <v>0</v>
      </c>
      <c r="K2796" s="6" t="str">
        <f t="shared" ref="K2796" si="2681">"vs "&amp;E2797</f>
        <v>vs Samarina Dudenbros</v>
      </c>
      <c r="L2796" s="6" t="str">
        <f t="shared" ref="L2796" si="2682">"vs "&amp;F2797</f>
        <v>vs Sakellariou</v>
      </c>
      <c r="M2796">
        <v>126</v>
      </c>
      <c r="N2796" s="1">
        <v>0.45300000000000001</v>
      </c>
      <c r="O2796">
        <v>30</v>
      </c>
      <c r="P2796" s="1">
        <v>0.26500000000000001</v>
      </c>
      <c r="Q2796" s="1">
        <v>0.745</v>
      </c>
      <c r="R2796">
        <v>320</v>
      </c>
      <c r="S2796">
        <v>30</v>
      </c>
      <c r="T2796">
        <v>127</v>
      </c>
      <c r="U2796">
        <v>71</v>
      </c>
      <c r="V2796">
        <v>29</v>
      </c>
      <c r="W2796">
        <v>11</v>
      </c>
      <c r="X2796">
        <v>50</v>
      </c>
      <c r="Y2796">
        <v>1.42</v>
      </c>
    </row>
    <row r="2797" spans="1:25" x14ac:dyDescent="0.25">
      <c r="A2797">
        <v>2025</v>
      </c>
      <c r="B2797" t="s">
        <v>57</v>
      </c>
      <c r="C2797">
        <v>6</v>
      </c>
      <c r="D2797">
        <v>65</v>
      </c>
      <c r="E2797" t="s">
        <v>181</v>
      </c>
      <c r="F2797" t="s">
        <v>49</v>
      </c>
      <c r="G2797">
        <f t="shared" si="2644"/>
        <v>1</v>
      </c>
      <c r="H2797">
        <v>10</v>
      </c>
      <c r="I2797">
        <v>3</v>
      </c>
      <c r="J2797">
        <v>0</v>
      </c>
      <c r="K2797" s="6" t="str">
        <f t="shared" ref="K2797" si="2683">"vs "&amp;E2796</f>
        <v>vs Kourayo Vallecano</v>
      </c>
      <c r="L2797" s="6" t="str">
        <f t="shared" ref="L2797" si="2684">"vs "&amp;F2796</f>
        <v>vs Ziogas/Christof</v>
      </c>
      <c r="M2797">
        <v>193</v>
      </c>
      <c r="N2797" s="1">
        <v>0.44500000000000001</v>
      </c>
      <c r="O2797">
        <v>54</v>
      </c>
      <c r="P2797" s="1">
        <v>0.318</v>
      </c>
      <c r="Q2797" s="1">
        <v>0.82499999999999996</v>
      </c>
      <c r="R2797">
        <v>520</v>
      </c>
      <c r="S2797">
        <v>49</v>
      </c>
      <c r="T2797">
        <v>162</v>
      </c>
      <c r="U2797">
        <v>174</v>
      </c>
      <c r="V2797">
        <v>40</v>
      </c>
      <c r="W2797">
        <v>9</v>
      </c>
      <c r="X2797">
        <v>69</v>
      </c>
      <c r="Y2797">
        <v>2.52</v>
      </c>
    </row>
    <row r="2798" spans="1:25" x14ac:dyDescent="0.25">
      <c r="A2798">
        <v>2025</v>
      </c>
      <c r="B2798" t="s">
        <v>57</v>
      </c>
      <c r="C2798">
        <v>6</v>
      </c>
      <c r="D2798">
        <v>66</v>
      </c>
      <c r="E2798" t="s">
        <v>158</v>
      </c>
      <c r="F2798" t="s">
        <v>177</v>
      </c>
      <c r="G2798">
        <f t="shared" si="2644"/>
        <v>0</v>
      </c>
      <c r="H2798">
        <v>3</v>
      </c>
      <c r="I2798">
        <v>10</v>
      </c>
      <c r="J2798">
        <v>0</v>
      </c>
      <c r="K2798" s="6" t="str">
        <f t="shared" ref="K2798" si="2685">"vs "&amp;E2799</f>
        <v>vs The Guns</v>
      </c>
      <c r="L2798" s="6" t="str">
        <f t="shared" ref="L2798" si="2686">"vs "&amp;F2799</f>
        <v>vs Vasilis</v>
      </c>
      <c r="M2798">
        <v>129</v>
      </c>
      <c r="N2798" s="1">
        <v>0.437</v>
      </c>
      <c r="O2798">
        <v>36</v>
      </c>
      <c r="P2798" s="1">
        <v>0.29799999999999999</v>
      </c>
      <c r="Q2798" s="1">
        <v>0.81699999999999995</v>
      </c>
      <c r="R2798">
        <v>361</v>
      </c>
      <c r="S2798">
        <v>61</v>
      </c>
      <c r="T2798">
        <v>105</v>
      </c>
      <c r="U2798">
        <v>101</v>
      </c>
      <c r="V2798">
        <v>33</v>
      </c>
      <c r="W2798">
        <v>30</v>
      </c>
      <c r="X2798">
        <v>55</v>
      </c>
      <c r="Y2798">
        <v>1.84</v>
      </c>
    </row>
    <row r="2799" spans="1:25" x14ac:dyDescent="0.25">
      <c r="A2799">
        <v>2025</v>
      </c>
      <c r="B2799" t="s">
        <v>57</v>
      </c>
      <c r="C2799">
        <v>6</v>
      </c>
      <c r="D2799">
        <v>66</v>
      </c>
      <c r="E2799" t="s">
        <v>33</v>
      </c>
      <c r="F2799" t="s">
        <v>42</v>
      </c>
      <c r="G2799">
        <f t="shared" si="2644"/>
        <v>1</v>
      </c>
      <c r="H2799">
        <v>10</v>
      </c>
      <c r="I2799">
        <v>3</v>
      </c>
      <c r="J2799">
        <v>0</v>
      </c>
      <c r="K2799" s="6" t="str">
        <f t="shared" ref="K2799" si="2687">"vs "&amp;E2798</f>
        <v>vs LRBP PR3DATORS</v>
      </c>
      <c r="L2799" s="6" t="str">
        <f t="shared" ref="L2799" si="2688">"vs "&amp;F2798</f>
        <v>vs Lafa</v>
      </c>
      <c r="M2799">
        <v>183</v>
      </c>
      <c r="N2799" s="1">
        <v>0.48899999999999999</v>
      </c>
      <c r="O2799">
        <v>38</v>
      </c>
      <c r="P2799" s="1">
        <v>0.314</v>
      </c>
      <c r="Q2799" s="1">
        <v>0.75800000000000001</v>
      </c>
      <c r="R2799">
        <v>504</v>
      </c>
      <c r="S2799">
        <v>29</v>
      </c>
      <c r="T2799">
        <v>170</v>
      </c>
      <c r="U2799">
        <v>130</v>
      </c>
      <c r="V2799">
        <v>37</v>
      </c>
      <c r="W2799">
        <v>20</v>
      </c>
      <c r="X2799">
        <v>50</v>
      </c>
      <c r="Y2799">
        <v>2.6</v>
      </c>
    </row>
    <row r="2800" spans="1:25" x14ac:dyDescent="0.25">
      <c r="A2800">
        <v>2025</v>
      </c>
      <c r="B2800" t="s">
        <v>57</v>
      </c>
      <c r="C2800">
        <v>6</v>
      </c>
      <c r="D2800">
        <v>67</v>
      </c>
      <c r="E2800" t="s">
        <v>95</v>
      </c>
      <c r="F2800" t="s">
        <v>101</v>
      </c>
      <c r="G2800">
        <f t="shared" si="2644"/>
        <v>1</v>
      </c>
      <c r="H2800">
        <v>8</v>
      </c>
      <c r="I2800">
        <v>5</v>
      </c>
      <c r="J2800">
        <v>0</v>
      </c>
      <c r="K2800" s="6" t="str">
        <f t="shared" ref="K2800" si="2689">"vs "&amp;E2801</f>
        <v>vs Salonika Devils</v>
      </c>
      <c r="L2800" s="6" t="str">
        <f t="shared" ref="L2800" si="2690">"vs "&amp;F2801</f>
        <v>vs Fountos</v>
      </c>
      <c r="M2800">
        <v>167</v>
      </c>
      <c r="N2800" s="1">
        <v>0.52800000000000002</v>
      </c>
      <c r="O2800">
        <v>55</v>
      </c>
      <c r="P2800" s="1">
        <v>0.43</v>
      </c>
      <c r="Q2800" s="1">
        <v>0.73099999999999998</v>
      </c>
      <c r="R2800">
        <v>446</v>
      </c>
      <c r="S2800">
        <v>42</v>
      </c>
      <c r="T2800">
        <v>115</v>
      </c>
      <c r="U2800">
        <v>103</v>
      </c>
      <c r="V2800">
        <v>36</v>
      </c>
      <c r="W2800">
        <v>29</v>
      </c>
      <c r="X2800">
        <v>51</v>
      </c>
      <c r="Y2800">
        <v>2.02</v>
      </c>
    </row>
    <row r="2801" spans="1:25" x14ac:dyDescent="0.25">
      <c r="A2801">
        <v>2025</v>
      </c>
      <c r="B2801" t="s">
        <v>57</v>
      </c>
      <c r="C2801">
        <v>6</v>
      </c>
      <c r="D2801">
        <v>67</v>
      </c>
      <c r="E2801" t="s">
        <v>15</v>
      </c>
      <c r="F2801" t="s">
        <v>48</v>
      </c>
      <c r="G2801">
        <f t="shared" si="2644"/>
        <v>0</v>
      </c>
      <c r="H2801">
        <v>5</v>
      </c>
      <c r="I2801">
        <v>8</v>
      </c>
      <c r="J2801">
        <v>0</v>
      </c>
      <c r="K2801" s="6" t="str">
        <f t="shared" ref="K2801" si="2691">"vs "&amp;E2800</f>
        <v>vs Baltimore Hercules</v>
      </c>
      <c r="L2801" s="6" t="str">
        <f t="shared" ref="L2801" si="2692">"vs "&amp;F2800</f>
        <v>vs Sarantos</v>
      </c>
      <c r="M2801">
        <v>178</v>
      </c>
      <c r="N2801" s="1">
        <v>0.46100000000000002</v>
      </c>
      <c r="O2801">
        <v>49</v>
      </c>
      <c r="P2801" s="1">
        <v>0.33100000000000002</v>
      </c>
      <c r="Q2801" s="1">
        <v>0.84399999999999997</v>
      </c>
      <c r="R2801">
        <v>481</v>
      </c>
      <c r="S2801">
        <v>28</v>
      </c>
      <c r="T2801">
        <v>118</v>
      </c>
      <c r="U2801">
        <v>117</v>
      </c>
      <c r="V2801">
        <v>29</v>
      </c>
      <c r="W2801">
        <v>16</v>
      </c>
      <c r="X2801">
        <v>71</v>
      </c>
      <c r="Y2801">
        <v>1.65</v>
      </c>
    </row>
    <row r="2802" spans="1:25" x14ac:dyDescent="0.25">
      <c r="A2802">
        <v>2025</v>
      </c>
      <c r="B2802" t="s">
        <v>57</v>
      </c>
      <c r="C2802">
        <v>6</v>
      </c>
      <c r="D2802">
        <v>68</v>
      </c>
      <c r="E2802" t="s">
        <v>93</v>
      </c>
      <c r="F2802" t="s">
        <v>189</v>
      </c>
      <c r="G2802">
        <f t="shared" si="2644"/>
        <v>1</v>
      </c>
      <c r="H2802">
        <v>9</v>
      </c>
      <c r="I2802">
        <v>4</v>
      </c>
      <c r="J2802">
        <v>0</v>
      </c>
      <c r="K2802" s="6" t="str">
        <f t="shared" ref="K2802" si="2693">"vs "&amp;E2803</f>
        <v>vs Heraklion Snakes</v>
      </c>
      <c r="L2802" s="6" t="str">
        <f t="shared" ref="L2802" si="2694">"vs "&amp;F2803</f>
        <v>vs Dimitris</v>
      </c>
      <c r="M2802">
        <v>168</v>
      </c>
      <c r="N2802" s="1">
        <v>0.442</v>
      </c>
      <c r="O2802">
        <v>63</v>
      </c>
      <c r="P2802" s="1">
        <v>0.33700000000000002</v>
      </c>
      <c r="Q2802" s="1">
        <v>0.753</v>
      </c>
      <c r="R2802">
        <v>463</v>
      </c>
      <c r="S2802">
        <v>37</v>
      </c>
      <c r="T2802">
        <v>106</v>
      </c>
      <c r="U2802">
        <v>96</v>
      </c>
      <c r="V2802">
        <v>23</v>
      </c>
      <c r="W2802">
        <v>20</v>
      </c>
      <c r="X2802">
        <v>46</v>
      </c>
      <c r="Y2802">
        <v>2.09</v>
      </c>
    </row>
    <row r="2803" spans="1:25" x14ac:dyDescent="0.25">
      <c r="A2803">
        <v>2025</v>
      </c>
      <c r="B2803" t="s">
        <v>57</v>
      </c>
      <c r="C2803">
        <v>6</v>
      </c>
      <c r="D2803">
        <v>68</v>
      </c>
      <c r="E2803" t="s">
        <v>184</v>
      </c>
      <c r="F2803" t="s">
        <v>188</v>
      </c>
      <c r="G2803">
        <f t="shared" si="2644"/>
        <v>0</v>
      </c>
      <c r="H2803">
        <v>4</v>
      </c>
      <c r="I2803">
        <v>9</v>
      </c>
      <c r="J2803">
        <v>0</v>
      </c>
      <c r="K2803" s="6" t="str">
        <f t="shared" ref="K2803" si="2695">"vs "&amp;E2802</f>
        <v>vs Guruuu 🐐🐐🐐</v>
      </c>
      <c r="L2803" s="6" t="str">
        <f t="shared" ref="L2803" si="2696">"vs "&amp;F2802</f>
        <v>vs Guru</v>
      </c>
      <c r="M2803">
        <v>123</v>
      </c>
      <c r="N2803" s="1">
        <v>0.42299999999999999</v>
      </c>
      <c r="O2803">
        <v>40</v>
      </c>
      <c r="P2803" s="1">
        <v>0.315</v>
      </c>
      <c r="Q2803" s="1">
        <v>0.81499999999999995</v>
      </c>
      <c r="R2803">
        <v>352</v>
      </c>
      <c r="S2803">
        <v>34</v>
      </c>
      <c r="T2803">
        <v>122</v>
      </c>
      <c r="U2803">
        <v>65</v>
      </c>
      <c r="V2803">
        <v>26</v>
      </c>
      <c r="W2803">
        <v>12</v>
      </c>
      <c r="X2803">
        <v>44</v>
      </c>
      <c r="Y2803">
        <v>1.48</v>
      </c>
    </row>
    <row r="2804" spans="1:25" x14ac:dyDescent="0.25">
      <c r="A2804">
        <v>2025</v>
      </c>
      <c r="B2804" t="s">
        <v>57</v>
      </c>
      <c r="C2804">
        <v>6</v>
      </c>
      <c r="D2804">
        <v>69</v>
      </c>
      <c r="E2804" t="s">
        <v>16</v>
      </c>
      <c r="F2804" t="s">
        <v>51</v>
      </c>
      <c r="G2804">
        <f t="shared" si="2644"/>
        <v>0</v>
      </c>
      <c r="H2804">
        <v>6</v>
      </c>
      <c r="I2804">
        <v>7</v>
      </c>
      <c r="J2804">
        <v>0</v>
      </c>
      <c r="K2804" s="6" t="str">
        <f t="shared" ref="K2804" si="2697">"vs "&amp;E2805</f>
        <v>vs Karafli Saita</v>
      </c>
      <c r="L2804" s="6" t="str">
        <f t="shared" ref="L2804" si="2698">"vs "&amp;F2805</f>
        <v>vs Tassos</v>
      </c>
      <c r="M2804">
        <v>205</v>
      </c>
      <c r="N2804" s="1">
        <v>0.52300000000000002</v>
      </c>
      <c r="O2804">
        <v>48</v>
      </c>
      <c r="P2804" s="1">
        <v>0.34499999999999997</v>
      </c>
      <c r="Q2804" s="1">
        <v>0.72499999999999998</v>
      </c>
      <c r="R2804">
        <v>524</v>
      </c>
      <c r="S2804">
        <v>44</v>
      </c>
      <c r="T2804">
        <v>184</v>
      </c>
      <c r="U2804">
        <v>171</v>
      </c>
      <c r="V2804">
        <v>37</v>
      </c>
      <c r="W2804">
        <v>24</v>
      </c>
      <c r="X2804">
        <v>88</v>
      </c>
      <c r="Y2804">
        <v>1.94</v>
      </c>
    </row>
    <row r="2805" spans="1:25" x14ac:dyDescent="0.25">
      <c r="A2805">
        <v>2025</v>
      </c>
      <c r="B2805" t="s">
        <v>57</v>
      </c>
      <c r="C2805">
        <v>6</v>
      </c>
      <c r="D2805">
        <v>69</v>
      </c>
      <c r="E2805" t="s">
        <v>186</v>
      </c>
      <c r="F2805" t="s">
        <v>103</v>
      </c>
      <c r="G2805">
        <f t="shared" si="2644"/>
        <v>1</v>
      </c>
      <c r="H2805">
        <v>7</v>
      </c>
      <c r="I2805">
        <v>6</v>
      </c>
      <c r="J2805">
        <v>0</v>
      </c>
      <c r="K2805" s="6" t="str">
        <f t="shared" ref="K2805" si="2699">"vs "&amp;E2804</f>
        <v>vs The Bridgeburners</v>
      </c>
      <c r="L2805" s="6" t="str">
        <f t="shared" ref="L2805" si="2700">"vs "&amp;F2804</f>
        <v>vs Fanis</v>
      </c>
      <c r="M2805">
        <v>202</v>
      </c>
      <c r="N2805" s="1">
        <v>0.47399999999999998</v>
      </c>
      <c r="O2805">
        <v>70</v>
      </c>
      <c r="P2805" s="1">
        <v>0.38300000000000001</v>
      </c>
      <c r="Q2805" s="1">
        <v>0.82899999999999996</v>
      </c>
      <c r="R2805">
        <v>561</v>
      </c>
      <c r="S2805">
        <v>40</v>
      </c>
      <c r="T2805">
        <v>170</v>
      </c>
      <c r="U2805">
        <v>158</v>
      </c>
      <c r="V2805">
        <v>45</v>
      </c>
      <c r="W2805">
        <v>16</v>
      </c>
      <c r="X2805">
        <v>57</v>
      </c>
      <c r="Y2805">
        <v>2.77</v>
      </c>
    </row>
    <row r="2806" spans="1:25" x14ac:dyDescent="0.25">
      <c r="A2806">
        <v>2025</v>
      </c>
      <c r="B2806" t="s">
        <v>57</v>
      </c>
      <c r="C2806">
        <v>6</v>
      </c>
      <c r="D2806">
        <v>70</v>
      </c>
      <c r="E2806" t="s">
        <v>185</v>
      </c>
      <c r="F2806" t="s">
        <v>100</v>
      </c>
      <c r="G2806">
        <f t="shared" si="2644"/>
        <v>1</v>
      </c>
      <c r="H2806">
        <v>8</v>
      </c>
      <c r="I2806">
        <v>5</v>
      </c>
      <c r="J2806">
        <v>0</v>
      </c>
      <c r="K2806" s="6" t="str">
        <f t="shared" ref="K2806" si="2701">"vs "&amp;E2807</f>
        <v>vs Fighting Thaddeus</v>
      </c>
      <c r="L2806" s="6" t="str">
        <f t="shared" ref="L2806" si="2702">"vs "&amp;F2807</f>
        <v>vs Stavros</v>
      </c>
      <c r="M2806">
        <v>186</v>
      </c>
      <c r="N2806" s="1">
        <v>0.46500000000000002</v>
      </c>
      <c r="O2806">
        <v>63</v>
      </c>
      <c r="P2806" s="1">
        <v>0.35</v>
      </c>
      <c r="Q2806" s="1">
        <v>0.79200000000000004</v>
      </c>
      <c r="R2806">
        <v>515</v>
      </c>
      <c r="S2806">
        <v>51</v>
      </c>
      <c r="T2806">
        <v>118</v>
      </c>
      <c r="U2806">
        <v>109</v>
      </c>
      <c r="V2806">
        <v>27</v>
      </c>
      <c r="W2806">
        <v>22</v>
      </c>
      <c r="X2806">
        <v>55</v>
      </c>
      <c r="Y2806">
        <v>1.98</v>
      </c>
    </row>
    <row r="2807" spans="1:25" x14ac:dyDescent="0.25">
      <c r="A2807">
        <v>2025</v>
      </c>
      <c r="B2807" t="s">
        <v>57</v>
      </c>
      <c r="C2807">
        <v>6</v>
      </c>
      <c r="D2807">
        <v>70</v>
      </c>
      <c r="E2807" t="s">
        <v>94</v>
      </c>
      <c r="F2807" t="s">
        <v>40</v>
      </c>
      <c r="G2807">
        <f t="shared" si="2644"/>
        <v>0</v>
      </c>
      <c r="H2807">
        <v>5</v>
      </c>
      <c r="I2807">
        <v>8</v>
      </c>
      <c r="J2807">
        <v>0</v>
      </c>
      <c r="K2807" s="6" t="str">
        <f t="shared" ref="K2807" si="2703">"vs "&amp;E2806</f>
        <v>vs Paralouistas</v>
      </c>
      <c r="L2807" s="6" t="str">
        <f t="shared" ref="L2807" si="2704">"vs "&amp;F2806</f>
        <v>vs Panos</v>
      </c>
      <c r="M2807">
        <v>152</v>
      </c>
      <c r="N2807" s="1">
        <v>0.56100000000000005</v>
      </c>
      <c r="O2807">
        <v>43</v>
      </c>
      <c r="P2807" s="1">
        <v>0.46700000000000003</v>
      </c>
      <c r="Q2807" s="1">
        <v>0.86799999999999999</v>
      </c>
      <c r="R2807">
        <v>406</v>
      </c>
      <c r="S2807">
        <v>28</v>
      </c>
      <c r="T2807">
        <v>104</v>
      </c>
      <c r="U2807">
        <v>84</v>
      </c>
      <c r="V2807">
        <v>21</v>
      </c>
      <c r="W2807">
        <v>12</v>
      </c>
      <c r="X2807">
        <v>40</v>
      </c>
      <c r="Y2807">
        <v>2.1</v>
      </c>
    </row>
    <row r="2808" spans="1:25" x14ac:dyDescent="0.25">
      <c r="A2808">
        <v>2025</v>
      </c>
      <c r="B2808" t="s">
        <v>57</v>
      </c>
      <c r="C2808">
        <v>7</v>
      </c>
      <c r="D2808">
        <v>71</v>
      </c>
      <c r="E2808" t="s">
        <v>28</v>
      </c>
      <c r="F2808" t="s">
        <v>46</v>
      </c>
      <c r="G2808">
        <f t="shared" si="2644"/>
        <v>0</v>
      </c>
      <c r="H2808">
        <v>4</v>
      </c>
      <c r="I2808">
        <v>9</v>
      </c>
      <c r="J2808">
        <v>0</v>
      </c>
      <c r="K2808" s="6" t="str">
        <f t="shared" ref="K2808" si="2705">"vs "&amp;E2809</f>
        <v>vs Knights of Ni</v>
      </c>
      <c r="L2808" s="6" t="str">
        <f t="shared" ref="L2808" si="2706">"vs "&amp;F2809</f>
        <v>vs Tolios</v>
      </c>
      <c r="M2808">
        <v>139</v>
      </c>
      <c r="N2808" s="1">
        <v>0.443</v>
      </c>
      <c r="O2808">
        <v>54</v>
      </c>
      <c r="P2808" s="1">
        <v>0.36199999999999999</v>
      </c>
      <c r="Q2808" s="1">
        <v>0.75</v>
      </c>
      <c r="R2808">
        <v>383</v>
      </c>
      <c r="S2808">
        <v>29</v>
      </c>
      <c r="T2808">
        <v>126</v>
      </c>
      <c r="U2808">
        <v>109</v>
      </c>
      <c r="V2808">
        <v>21</v>
      </c>
      <c r="W2808">
        <v>13</v>
      </c>
      <c r="X2808">
        <v>60</v>
      </c>
      <c r="Y2808">
        <v>1.82</v>
      </c>
    </row>
    <row r="2809" spans="1:25" x14ac:dyDescent="0.25">
      <c r="A2809">
        <v>2025</v>
      </c>
      <c r="B2809" t="s">
        <v>57</v>
      </c>
      <c r="C2809">
        <v>7</v>
      </c>
      <c r="D2809">
        <v>71</v>
      </c>
      <c r="E2809" t="s">
        <v>96</v>
      </c>
      <c r="F2809" t="s">
        <v>102</v>
      </c>
      <c r="G2809">
        <f t="shared" si="2644"/>
        <v>1</v>
      </c>
      <c r="H2809">
        <v>9</v>
      </c>
      <c r="I2809">
        <v>4</v>
      </c>
      <c r="J2809">
        <v>0</v>
      </c>
      <c r="K2809" s="6" t="str">
        <f t="shared" ref="K2809" si="2707">"vs "&amp;E2808</f>
        <v>vs Steven Adams' Moustache</v>
      </c>
      <c r="L2809" s="6" t="str">
        <f t="shared" ref="L2809" si="2708">"vs "&amp;F2808</f>
        <v>vs Johnny</v>
      </c>
      <c r="M2809">
        <v>168</v>
      </c>
      <c r="N2809" s="1">
        <v>0.44900000000000001</v>
      </c>
      <c r="O2809">
        <v>43</v>
      </c>
      <c r="P2809" s="1">
        <v>0.35799999999999998</v>
      </c>
      <c r="Q2809" s="1">
        <v>0.82499999999999996</v>
      </c>
      <c r="R2809">
        <v>483</v>
      </c>
      <c r="S2809">
        <v>60</v>
      </c>
      <c r="T2809">
        <v>146</v>
      </c>
      <c r="U2809">
        <v>91</v>
      </c>
      <c r="V2809">
        <v>41</v>
      </c>
      <c r="W2809">
        <v>19</v>
      </c>
      <c r="X2809">
        <v>58</v>
      </c>
      <c r="Y2809">
        <v>1.57</v>
      </c>
    </row>
    <row r="2810" spans="1:25" x14ac:dyDescent="0.25">
      <c r="A2810">
        <v>2025</v>
      </c>
      <c r="B2810" t="s">
        <v>57</v>
      </c>
      <c r="C2810">
        <v>7</v>
      </c>
      <c r="D2810">
        <v>72</v>
      </c>
      <c r="E2810" t="s">
        <v>23</v>
      </c>
      <c r="F2810" t="s">
        <v>120</v>
      </c>
      <c r="G2810">
        <f t="shared" si="2644"/>
        <v>1</v>
      </c>
      <c r="H2810">
        <v>8</v>
      </c>
      <c r="I2810">
        <v>4</v>
      </c>
      <c r="J2810">
        <v>1</v>
      </c>
      <c r="K2810" s="6" t="str">
        <f t="shared" ref="K2810" si="2709">"vs "&amp;E2811</f>
        <v>vs st.Helens Eruptions</v>
      </c>
      <c r="L2810" s="6" t="str">
        <f t="shared" ref="L2810" si="2710">"vs "&amp;F2811</f>
        <v>vs Aris</v>
      </c>
      <c r="M2810">
        <v>184</v>
      </c>
      <c r="N2810" s="1">
        <v>0.46600000000000003</v>
      </c>
      <c r="O2810">
        <v>84</v>
      </c>
      <c r="P2810" s="1">
        <v>0.38200000000000001</v>
      </c>
      <c r="Q2810" s="1">
        <v>0.82299999999999995</v>
      </c>
      <c r="R2810">
        <v>517</v>
      </c>
      <c r="S2810">
        <v>32</v>
      </c>
      <c r="T2810">
        <v>107</v>
      </c>
      <c r="U2810">
        <v>112</v>
      </c>
      <c r="V2810">
        <v>27</v>
      </c>
      <c r="W2810">
        <v>15</v>
      </c>
      <c r="X2810">
        <v>61</v>
      </c>
      <c r="Y2810">
        <v>1.84</v>
      </c>
    </row>
    <row r="2811" spans="1:25" x14ac:dyDescent="0.25">
      <c r="A2811">
        <v>2025</v>
      </c>
      <c r="B2811" t="s">
        <v>57</v>
      </c>
      <c r="C2811">
        <v>7</v>
      </c>
      <c r="D2811">
        <v>72</v>
      </c>
      <c r="E2811" t="s">
        <v>21</v>
      </c>
      <c r="F2811" t="s">
        <v>50</v>
      </c>
      <c r="G2811">
        <f t="shared" si="2644"/>
        <v>0</v>
      </c>
      <c r="H2811">
        <v>4</v>
      </c>
      <c r="I2811">
        <v>8</v>
      </c>
      <c r="J2811">
        <v>1</v>
      </c>
      <c r="K2811" s="6" t="str">
        <f t="shared" ref="K2811" si="2711">"vs "&amp;E2810</f>
        <v>vs Pachiana NinjaBees</v>
      </c>
      <c r="L2811" s="6" t="str">
        <f t="shared" ref="L2811" si="2712">"vs "&amp;F2810</f>
        <v>vs Spiridaus/Oladipas</v>
      </c>
      <c r="M2811">
        <v>155</v>
      </c>
      <c r="N2811" s="1">
        <v>0.48099999999999998</v>
      </c>
      <c r="O2811">
        <v>45</v>
      </c>
      <c r="P2811" s="1">
        <v>0.34899999999999998</v>
      </c>
      <c r="Q2811" s="1">
        <v>0.74199999999999999</v>
      </c>
      <c r="R2811">
        <v>404</v>
      </c>
      <c r="S2811">
        <v>32</v>
      </c>
      <c r="T2811">
        <v>92</v>
      </c>
      <c r="U2811">
        <v>78</v>
      </c>
      <c r="V2811">
        <v>41</v>
      </c>
      <c r="W2811">
        <v>21</v>
      </c>
      <c r="X2811">
        <v>47</v>
      </c>
      <c r="Y2811">
        <v>1.66</v>
      </c>
    </row>
    <row r="2812" spans="1:25" x14ac:dyDescent="0.25">
      <c r="A2812">
        <v>2025</v>
      </c>
      <c r="B2812" t="s">
        <v>57</v>
      </c>
      <c r="C2812">
        <v>7</v>
      </c>
      <c r="D2812">
        <v>73</v>
      </c>
      <c r="E2812" t="s">
        <v>159</v>
      </c>
      <c r="F2812" t="s">
        <v>116</v>
      </c>
      <c r="G2812">
        <f t="shared" si="2644"/>
        <v>1</v>
      </c>
      <c r="H2812">
        <v>10</v>
      </c>
      <c r="I2812">
        <v>3</v>
      </c>
      <c r="J2812">
        <v>0</v>
      </c>
      <c r="K2812" s="6" t="str">
        <f t="shared" ref="K2812" si="2713">"vs "&amp;E2813</f>
        <v>vs The Bad Boys</v>
      </c>
      <c r="L2812" s="6" t="str">
        <f t="shared" ref="L2812" si="2714">"vs "&amp;F2813</f>
        <v>vs Arvanitis</v>
      </c>
      <c r="M2812">
        <v>252</v>
      </c>
      <c r="N2812" s="1">
        <v>0.52300000000000002</v>
      </c>
      <c r="O2812">
        <v>53</v>
      </c>
      <c r="P2812" s="1">
        <v>0.33800000000000002</v>
      </c>
      <c r="Q2812" s="1">
        <v>0.69899999999999995</v>
      </c>
      <c r="R2812">
        <v>673</v>
      </c>
      <c r="S2812">
        <v>40</v>
      </c>
      <c r="T2812">
        <v>183</v>
      </c>
      <c r="U2812">
        <v>183</v>
      </c>
      <c r="V2812">
        <v>43</v>
      </c>
      <c r="W2812">
        <v>14</v>
      </c>
      <c r="X2812">
        <v>97</v>
      </c>
      <c r="Y2812">
        <v>1.89</v>
      </c>
    </row>
    <row r="2813" spans="1:25" x14ac:dyDescent="0.25">
      <c r="A2813">
        <v>2025</v>
      </c>
      <c r="B2813" t="s">
        <v>57</v>
      </c>
      <c r="C2813">
        <v>7</v>
      </c>
      <c r="D2813">
        <v>73</v>
      </c>
      <c r="E2813" t="s">
        <v>154</v>
      </c>
      <c r="F2813" t="s">
        <v>155</v>
      </c>
      <c r="G2813">
        <f t="shared" si="2644"/>
        <v>0</v>
      </c>
      <c r="H2813">
        <v>3</v>
      </c>
      <c r="I2813">
        <v>10</v>
      </c>
      <c r="J2813">
        <v>0</v>
      </c>
      <c r="K2813" s="6" t="str">
        <f t="shared" ref="K2813" si="2715">"vs "&amp;E2812</f>
        <v>vs purple fuzzy apache pirates</v>
      </c>
      <c r="L2813" s="6" t="str">
        <f t="shared" ref="L2813" si="2716">"vs "&amp;F2812</f>
        <v>vs pi/Sotiris</v>
      </c>
      <c r="M2813">
        <v>122</v>
      </c>
      <c r="N2813" s="1">
        <v>0.46600000000000003</v>
      </c>
      <c r="O2813">
        <v>28</v>
      </c>
      <c r="P2813" s="1">
        <v>0.29199999999999998</v>
      </c>
      <c r="Q2813" s="1">
        <v>0.69799999999999995</v>
      </c>
      <c r="R2813">
        <v>316</v>
      </c>
      <c r="S2813">
        <v>49</v>
      </c>
      <c r="T2813">
        <v>118</v>
      </c>
      <c r="U2813">
        <v>71</v>
      </c>
      <c r="V2813">
        <v>22</v>
      </c>
      <c r="W2813">
        <v>26</v>
      </c>
      <c r="X2813">
        <v>49</v>
      </c>
      <c r="Y2813">
        <v>1.45</v>
      </c>
    </row>
    <row r="2814" spans="1:25" x14ac:dyDescent="0.25">
      <c r="A2814">
        <v>2025</v>
      </c>
      <c r="B2814" t="s">
        <v>57</v>
      </c>
      <c r="C2814">
        <v>7</v>
      </c>
      <c r="D2814">
        <v>74</v>
      </c>
      <c r="E2814" t="s">
        <v>181</v>
      </c>
      <c r="F2814" t="s">
        <v>49</v>
      </c>
      <c r="G2814">
        <f t="shared" si="2644"/>
        <v>1</v>
      </c>
      <c r="H2814">
        <v>7</v>
      </c>
      <c r="I2814">
        <v>6</v>
      </c>
      <c r="J2814">
        <v>0</v>
      </c>
      <c r="K2814" s="6" t="str">
        <f t="shared" ref="K2814" si="2717">"vs "&amp;E2815</f>
        <v>vs Xanthi Ducks 🦆</v>
      </c>
      <c r="L2814" s="6" t="str">
        <f t="shared" ref="L2814" si="2718">"vs "&amp;F2815</f>
        <v>vs Kotakis</v>
      </c>
      <c r="M2814">
        <v>188</v>
      </c>
      <c r="N2814" s="1">
        <v>0.441</v>
      </c>
      <c r="O2814">
        <v>71</v>
      </c>
      <c r="P2814" s="1">
        <v>0.376</v>
      </c>
      <c r="Q2814" s="1">
        <v>0.83899999999999997</v>
      </c>
      <c r="R2814">
        <v>546</v>
      </c>
      <c r="S2814">
        <v>30</v>
      </c>
      <c r="T2814">
        <v>133</v>
      </c>
      <c r="U2814">
        <v>147</v>
      </c>
      <c r="V2814">
        <v>28</v>
      </c>
      <c r="W2814">
        <v>23</v>
      </c>
      <c r="X2814">
        <v>71</v>
      </c>
      <c r="Y2814">
        <v>2.0699999999999998</v>
      </c>
    </row>
    <row r="2815" spans="1:25" x14ac:dyDescent="0.25">
      <c r="A2815">
        <v>2025</v>
      </c>
      <c r="B2815" t="s">
        <v>57</v>
      </c>
      <c r="C2815">
        <v>7</v>
      </c>
      <c r="D2815">
        <v>74</v>
      </c>
      <c r="E2815" t="s">
        <v>98</v>
      </c>
      <c r="F2815" t="s">
        <v>41</v>
      </c>
      <c r="G2815">
        <f t="shared" si="2644"/>
        <v>0</v>
      </c>
      <c r="H2815">
        <v>6</v>
      </c>
      <c r="I2815">
        <v>7</v>
      </c>
      <c r="J2815">
        <v>0</v>
      </c>
      <c r="K2815" s="6" t="str">
        <f t="shared" ref="K2815" si="2719">"vs "&amp;E2814</f>
        <v>vs Samarina Dudenbros</v>
      </c>
      <c r="L2815" s="6" t="str">
        <f t="shared" ref="L2815" si="2720">"vs "&amp;F2814</f>
        <v>vs Sakellariou</v>
      </c>
      <c r="M2815">
        <v>186</v>
      </c>
      <c r="N2815" s="1">
        <v>0.52100000000000002</v>
      </c>
      <c r="O2815">
        <v>52</v>
      </c>
      <c r="P2815" s="1">
        <v>0.36099999999999999</v>
      </c>
      <c r="Q2815" s="1">
        <v>0.8</v>
      </c>
      <c r="R2815">
        <v>488</v>
      </c>
      <c r="S2815">
        <v>52</v>
      </c>
      <c r="T2815">
        <v>159</v>
      </c>
      <c r="U2815">
        <v>114</v>
      </c>
      <c r="V2815">
        <v>33</v>
      </c>
      <c r="W2815">
        <v>18</v>
      </c>
      <c r="X2815">
        <v>45</v>
      </c>
      <c r="Y2815">
        <v>2.5299999999999998</v>
      </c>
    </row>
    <row r="2816" spans="1:25" x14ac:dyDescent="0.25">
      <c r="A2816">
        <v>2025</v>
      </c>
      <c r="B2816" t="s">
        <v>57</v>
      </c>
      <c r="C2816">
        <v>7</v>
      </c>
      <c r="D2816">
        <v>75</v>
      </c>
      <c r="E2816" t="s">
        <v>33</v>
      </c>
      <c r="F2816" t="s">
        <v>42</v>
      </c>
      <c r="G2816">
        <f t="shared" si="2644"/>
        <v>1</v>
      </c>
      <c r="H2816">
        <v>7</v>
      </c>
      <c r="I2816">
        <v>6</v>
      </c>
      <c r="J2816">
        <v>0</v>
      </c>
      <c r="K2816" s="6" t="str">
        <f t="shared" ref="K2816" si="2721">"vs "&amp;E2817</f>
        <v>vs Tsarlatans</v>
      </c>
      <c r="L2816" s="6" t="str">
        <f t="shared" ref="L2816" si="2722">"vs "&amp;F2817</f>
        <v>vs Tzokos</v>
      </c>
      <c r="M2816">
        <v>210</v>
      </c>
      <c r="N2816" s="1">
        <v>0.48199999999999998</v>
      </c>
      <c r="O2816">
        <v>70</v>
      </c>
      <c r="P2816" s="1">
        <v>0.378</v>
      </c>
      <c r="Q2816" s="1">
        <v>0.82</v>
      </c>
      <c r="R2816">
        <v>590</v>
      </c>
      <c r="S2816">
        <v>37</v>
      </c>
      <c r="T2816">
        <v>144</v>
      </c>
      <c r="U2816">
        <v>136</v>
      </c>
      <c r="V2816">
        <v>47</v>
      </c>
      <c r="W2816">
        <v>19</v>
      </c>
      <c r="X2816">
        <v>66</v>
      </c>
      <c r="Y2816">
        <v>2.06</v>
      </c>
    </row>
    <row r="2817" spans="1:25" x14ac:dyDescent="0.25">
      <c r="A2817">
        <v>2025</v>
      </c>
      <c r="B2817" t="s">
        <v>57</v>
      </c>
      <c r="C2817">
        <v>7</v>
      </c>
      <c r="D2817">
        <v>75</v>
      </c>
      <c r="E2817" t="s">
        <v>99</v>
      </c>
      <c r="F2817" t="s">
        <v>45</v>
      </c>
      <c r="G2817">
        <f t="shared" si="2644"/>
        <v>0</v>
      </c>
      <c r="H2817">
        <v>6</v>
      </c>
      <c r="I2817">
        <v>7</v>
      </c>
      <c r="J2817">
        <v>0</v>
      </c>
      <c r="K2817" s="6" t="str">
        <f t="shared" ref="K2817" si="2723">"vs "&amp;E2816</f>
        <v>vs The Guns</v>
      </c>
      <c r="L2817" s="6" t="str">
        <f t="shared" ref="L2817" si="2724">"vs "&amp;F2816</f>
        <v>vs Vasilis</v>
      </c>
      <c r="M2817">
        <v>172</v>
      </c>
      <c r="N2817" s="1">
        <v>0.504</v>
      </c>
      <c r="O2817">
        <v>48</v>
      </c>
      <c r="P2817" s="1">
        <v>0.40699999999999997</v>
      </c>
      <c r="Q2817" s="1">
        <v>0.83299999999999996</v>
      </c>
      <c r="R2817">
        <v>482</v>
      </c>
      <c r="S2817">
        <v>49</v>
      </c>
      <c r="T2817">
        <v>96</v>
      </c>
      <c r="U2817">
        <v>72</v>
      </c>
      <c r="V2817">
        <v>36</v>
      </c>
      <c r="W2817">
        <v>21</v>
      </c>
      <c r="X2817">
        <v>51</v>
      </c>
      <c r="Y2817">
        <v>1.41</v>
      </c>
    </row>
    <row r="2818" spans="1:25" x14ac:dyDescent="0.25">
      <c r="A2818">
        <v>2025</v>
      </c>
      <c r="B2818" t="s">
        <v>57</v>
      </c>
      <c r="C2818">
        <v>7</v>
      </c>
      <c r="D2818">
        <v>76</v>
      </c>
      <c r="E2818" t="s">
        <v>15</v>
      </c>
      <c r="F2818" t="s">
        <v>48</v>
      </c>
      <c r="G2818">
        <f t="shared" si="2644"/>
        <v>1</v>
      </c>
      <c r="H2818">
        <v>10</v>
      </c>
      <c r="I2818">
        <v>3</v>
      </c>
      <c r="J2818">
        <v>0</v>
      </c>
      <c r="K2818" s="6" t="str">
        <f t="shared" ref="K2818" si="2725">"vs "&amp;E2819</f>
        <v>vs Kourayo Vallecano</v>
      </c>
      <c r="L2818" s="6" t="str">
        <f t="shared" ref="L2818" si="2726">"vs "&amp;F2819</f>
        <v>vs Ziogas/Christof</v>
      </c>
      <c r="M2818">
        <v>189</v>
      </c>
      <c r="N2818" s="1">
        <v>0.48299999999999998</v>
      </c>
      <c r="O2818">
        <v>47</v>
      </c>
      <c r="P2818" s="1">
        <v>0.34100000000000003</v>
      </c>
      <c r="Q2818" s="1">
        <v>0.81399999999999995</v>
      </c>
      <c r="R2818">
        <v>504</v>
      </c>
      <c r="S2818">
        <v>32</v>
      </c>
      <c r="T2818">
        <v>137</v>
      </c>
      <c r="U2818">
        <v>137</v>
      </c>
      <c r="V2818">
        <v>49</v>
      </c>
      <c r="W2818">
        <v>20</v>
      </c>
      <c r="X2818">
        <v>80</v>
      </c>
      <c r="Y2818">
        <v>1.71</v>
      </c>
    </row>
    <row r="2819" spans="1:25" x14ac:dyDescent="0.25">
      <c r="A2819">
        <v>2025</v>
      </c>
      <c r="B2819" t="s">
        <v>57</v>
      </c>
      <c r="C2819">
        <v>7</v>
      </c>
      <c r="D2819">
        <v>76</v>
      </c>
      <c r="E2819" t="s">
        <v>26</v>
      </c>
      <c r="F2819" t="s">
        <v>118</v>
      </c>
      <c r="G2819">
        <f t="shared" si="2644"/>
        <v>0</v>
      </c>
      <c r="H2819">
        <v>3</v>
      </c>
      <c r="I2819">
        <v>10</v>
      </c>
      <c r="J2819">
        <v>0</v>
      </c>
      <c r="K2819" s="6" t="str">
        <f t="shared" ref="K2819" si="2727">"vs "&amp;E2818</f>
        <v>vs Salonika Devils</v>
      </c>
      <c r="L2819" s="6" t="str">
        <f t="shared" ref="L2819" si="2728">"vs "&amp;F2818</f>
        <v>vs Fountos</v>
      </c>
      <c r="M2819">
        <v>105</v>
      </c>
      <c r="N2819" s="1">
        <v>0.46100000000000002</v>
      </c>
      <c r="O2819">
        <v>32</v>
      </c>
      <c r="P2819" s="1">
        <v>0.32700000000000001</v>
      </c>
      <c r="Q2819" s="1">
        <v>0.90200000000000002</v>
      </c>
      <c r="R2819">
        <v>297</v>
      </c>
      <c r="S2819">
        <v>23</v>
      </c>
      <c r="T2819">
        <v>127</v>
      </c>
      <c r="U2819">
        <v>81</v>
      </c>
      <c r="V2819">
        <v>27</v>
      </c>
      <c r="W2819">
        <v>14</v>
      </c>
      <c r="X2819">
        <v>36</v>
      </c>
      <c r="Y2819">
        <v>2.25</v>
      </c>
    </row>
    <row r="2820" spans="1:25" x14ac:dyDescent="0.25">
      <c r="A2820">
        <v>2025</v>
      </c>
      <c r="B2820" t="s">
        <v>57</v>
      </c>
      <c r="C2820">
        <v>7</v>
      </c>
      <c r="D2820">
        <v>77</v>
      </c>
      <c r="E2820" t="s">
        <v>184</v>
      </c>
      <c r="F2820" t="s">
        <v>188</v>
      </c>
      <c r="G2820">
        <f t="shared" si="2644"/>
        <v>0</v>
      </c>
      <c r="H2820">
        <v>4</v>
      </c>
      <c r="I2820">
        <v>9</v>
      </c>
      <c r="J2820">
        <v>0</v>
      </c>
      <c r="K2820" s="6" t="str">
        <f t="shared" ref="K2820" si="2729">"vs "&amp;E2821</f>
        <v>vs LRBP PR3DATORS</v>
      </c>
      <c r="L2820" s="6" t="str">
        <f t="shared" ref="L2820" si="2730">"vs "&amp;F2821</f>
        <v>vs Lafa</v>
      </c>
      <c r="M2820">
        <v>150</v>
      </c>
      <c r="N2820" s="1">
        <v>0.46200000000000002</v>
      </c>
      <c r="O2820">
        <v>53</v>
      </c>
      <c r="P2820" s="1">
        <v>0.36299999999999999</v>
      </c>
      <c r="Q2820" s="1">
        <v>0.875</v>
      </c>
      <c r="R2820">
        <v>416</v>
      </c>
      <c r="S2820">
        <v>27</v>
      </c>
      <c r="T2820">
        <v>102</v>
      </c>
      <c r="U2820">
        <v>77</v>
      </c>
      <c r="V2820">
        <v>32</v>
      </c>
      <c r="W2820">
        <v>15</v>
      </c>
      <c r="X2820">
        <v>45</v>
      </c>
      <c r="Y2820">
        <v>1.71</v>
      </c>
    </row>
    <row r="2821" spans="1:25" x14ac:dyDescent="0.25">
      <c r="A2821">
        <v>2025</v>
      </c>
      <c r="B2821" t="s">
        <v>57</v>
      </c>
      <c r="C2821">
        <v>7</v>
      </c>
      <c r="D2821">
        <v>77</v>
      </c>
      <c r="E2821" t="s">
        <v>158</v>
      </c>
      <c r="F2821" t="s">
        <v>177</v>
      </c>
      <c r="G2821">
        <f t="shared" si="2644"/>
        <v>1</v>
      </c>
      <c r="H2821">
        <v>9</v>
      </c>
      <c r="I2821">
        <v>4</v>
      </c>
      <c r="J2821">
        <v>0</v>
      </c>
      <c r="K2821" s="6" t="str">
        <f t="shared" ref="K2821" si="2731">"vs "&amp;E2820</f>
        <v>vs Heraklion Snakes</v>
      </c>
      <c r="L2821" s="6" t="str">
        <f t="shared" ref="L2821" si="2732">"vs "&amp;F2820</f>
        <v>vs Dimitris</v>
      </c>
      <c r="M2821">
        <v>186</v>
      </c>
      <c r="N2821" s="1">
        <v>0.44700000000000001</v>
      </c>
      <c r="O2821">
        <v>77</v>
      </c>
      <c r="P2821" s="1">
        <v>0.39500000000000002</v>
      </c>
      <c r="Q2821" s="1">
        <v>0.79200000000000004</v>
      </c>
      <c r="R2821">
        <v>533</v>
      </c>
      <c r="S2821">
        <v>30</v>
      </c>
      <c r="T2821">
        <v>155</v>
      </c>
      <c r="U2821">
        <v>117</v>
      </c>
      <c r="V2821">
        <v>43</v>
      </c>
      <c r="W2821">
        <v>23</v>
      </c>
      <c r="X2821">
        <v>81</v>
      </c>
      <c r="Y2821">
        <v>1.44</v>
      </c>
    </row>
    <row r="2822" spans="1:25" x14ac:dyDescent="0.25">
      <c r="A2822">
        <v>2025</v>
      </c>
      <c r="B2822" t="s">
        <v>57</v>
      </c>
      <c r="C2822">
        <v>7</v>
      </c>
      <c r="D2822">
        <v>78</v>
      </c>
      <c r="E2822" t="s">
        <v>186</v>
      </c>
      <c r="F2822" t="s">
        <v>103</v>
      </c>
      <c r="G2822">
        <f t="shared" si="2644"/>
        <v>0</v>
      </c>
      <c r="H2822">
        <v>6</v>
      </c>
      <c r="I2822">
        <v>6</v>
      </c>
      <c r="J2822">
        <v>1</v>
      </c>
      <c r="K2822" s="6" t="str">
        <f t="shared" ref="K2822" si="2733">"vs "&amp;E2823</f>
        <v>vs Baltimore Hercules</v>
      </c>
      <c r="L2822" s="6" t="str">
        <f t="shared" ref="L2822" si="2734">"vs "&amp;F2823</f>
        <v>vs Sarantos</v>
      </c>
      <c r="M2822">
        <v>210</v>
      </c>
      <c r="N2822" s="1">
        <v>0.48099999999999998</v>
      </c>
      <c r="O2822">
        <v>58</v>
      </c>
      <c r="P2822" s="1">
        <v>0.36</v>
      </c>
      <c r="Q2822" s="1">
        <v>0.85599999999999998</v>
      </c>
      <c r="R2822">
        <v>573</v>
      </c>
      <c r="S2822">
        <v>42</v>
      </c>
      <c r="T2822">
        <v>137</v>
      </c>
      <c r="U2822">
        <v>122</v>
      </c>
      <c r="V2822">
        <v>30</v>
      </c>
      <c r="W2822">
        <v>28</v>
      </c>
      <c r="X2822">
        <v>74</v>
      </c>
      <c r="Y2822">
        <v>1.65</v>
      </c>
    </row>
    <row r="2823" spans="1:25" x14ac:dyDescent="0.25">
      <c r="A2823">
        <v>2025</v>
      </c>
      <c r="B2823" t="s">
        <v>57</v>
      </c>
      <c r="C2823">
        <v>7</v>
      </c>
      <c r="D2823">
        <v>78</v>
      </c>
      <c r="E2823" t="s">
        <v>95</v>
      </c>
      <c r="F2823" t="s">
        <v>101</v>
      </c>
      <c r="G2823">
        <f t="shared" si="2644"/>
        <v>0</v>
      </c>
      <c r="H2823">
        <v>6</v>
      </c>
      <c r="I2823">
        <v>6</v>
      </c>
      <c r="J2823">
        <v>1</v>
      </c>
      <c r="K2823" s="6" t="str">
        <f t="shared" ref="K2823" si="2735">"vs "&amp;E2822</f>
        <v>vs Karafli Saita</v>
      </c>
      <c r="L2823" s="6" t="str">
        <f t="shared" ref="L2823" si="2736">"vs "&amp;F2822</f>
        <v>vs Tassos</v>
      </c>
      <c r="M2823">
        <v>194</v>
      </c>
      <c r="N2823" s="1">
        <v>0.52</v>
      </c>
      <c r="O2823">
        <v>63</v>
      </c>
      <c r="P2823" s="1">
        <v>0.39400000000000002</v>
      </c>
      <c r="Q2823" s="1">
        <v>0.75600000000000001</v>
      </c>
      <c r="R2823">
        <v>510</v>
      </c>
      <c r="S2823">
        <v>38</v>
      </c>
      <c r="T2823">
        <v>137</v>
      </c>
      <c r="U2823">
        <v>100</v>
      </c>
      <c r="V2823">
        <v>54</v>
      </c>
      <c r="W2823">
        <v>23</v>
      </c>
      <c r="X2823">
        <v>58</v>
      </c>
      <c r="Y2823">
        <v>1.72</v>
      </c>
    </row>
    <row r="2824" spans="1:25" x14ac:dyDescent="0.25">
      <c r="A2824">
        <v>2025</v>
      </c>
      <c r="B2824" t="s">
        <v>57</v>
      </c>
      <c r="C2824">
        <v>7</v>
      </c>
      <c r="D2824">
        <v>79</v>
      </c>
      <c r="E2824" t="s">
        <v>94</v>
      </c>
      <c r="F2824" t="s">
        <v>40</v>
      </c>
      <c r="G2824">
        <f t="shared" si="2644"/>
        <v>1</v>
      </c>
      <c r="H2824">
        <v>8</v>
      </c>
      <c r="I2824">
        <v>5</v>
      </c>
      <c r="J2824">
        <v>0</v>
      </c>
      <c r="K2824" s="6" t="str">
        <f t="shared" ref="K2824" si="2737">"vs "&amp;E2825</f>
        <v>vs Guruuu 🐐🐐🐐</v>
      </c>
      <c r="L2824" s="6" t="str">
        <f t="shared" ref="L2824" si="2738">"vs "&amp;F2825</f>
        <v>vs Guru</v>
      </c>
      <c r="M2824">
        <v>164</v>
      </c>
      <c r="N2824" s="1">
        <v>0.5</v>
      </c>
      <c r="O2824">
        <v>38</v>
      </c>
      <c r="P2824" s="1">
        <v>0.32500000000000001</v>
      </c>
      <c r="Q2824" s="1">
        <v>0.77300000000000002</v>
      </c>
      <c r="R2824">
        <v>434</v>
      </c>
      <c r="S2824">
        <v>48</v>
      </c>
      <c r="T2824">
        <v>109</v>
      </c>
      <c r="U2824">
        <v>113</v>
      </c>
      <c r="V2824">
        <v>34</v>
      </c>
      <c r="W2824">
        <v>19</v>
      </c>
      <c r="X2824">
        <v>45</v>
      </c>
      <c r="Y2824">
        <v>2.5099999999999998</v>
      </c>
    </row>
    <row r="2825" spans="1:25" x14ac:dyDescent="0.25">
      <c r="A2825">
        <v>2025</v>
      </c>
      <c r="B2825" t="s">
        <v>57</v>
      </c>
      <c r="C2825">
        <v>7</v>
      </c>
      <c r="D2825">
        <v>79</v>
      </c>
      <c r="E2825" t="s">
        <v>93</v>
      </c>
      <c r="F2825" t="s">
        <v>189</v>
      </c>
      <c r="G2825">
        <f t="shared" si="2644"/>
        <v>0</v>
      </c>
      <c r="H2825">
        <v>5</v>
      </c>
      <c r="I2825">
        <v>8</v>
      </c>
      <c r="J2825">
        <v>0</v>
      </c>
      <c r="K2825" s="6" t="str">
        <f t="shared" ref="K2825" si="2739">"vs "&amp;E2824</f>
        <v>vs Fighting Thaddeus</v>
      </c>
      <c r="L2825" s="6" t="str">
        <f t="shared" ref="L2825" si="2740">"vs "&amp;F2824</f>
        <v>vs Stavros</v>
      </c>
      <c r="M2825">
        <v>153</v>
      </c>
      <c r="N2825" s="1">
        <v>0.45500000000000002</v>
      </c>
      <c r="O2825">
        <v>67</v>
      </c>
      <c r="P2825" s="1">
        <v>0.39400000000000002</v>
      </c>
      <c r="Q2825" s="1">
        <v>0.72599999999999998</v>
      </c>
      <c r="R2825">
        <v>418</v>
      </c>
      <c r="S2825">
        <v>28</v>
      </c>
      <c r="T2825">
        <v>113</v>
      </c>
      <c r="U2825">
        <v>126</v>
      </c>
      <c r="V2825">
        <v>30</v>
      </c>
      <c r="W2825">
        <v>13</v>
      </c>
      <c r="X2825">
        <v>48</v>
      </c>
      <c r="Y2825">
        <v>2.63</v>
      </c>
    </row>
    <row r="2826" spans="1:25" x14ac:dyDescent="0.25">
      <c r="A2826">
        <v>2025</v>
      </c>
      <c r="B2826" t="s">
        <v>57</v>
      </c>
      <c r="C2826">
        <v>7</v>
      </c>
      <c r="D2826">
        <v>80</v>
      </c>
      <c r="E2826" t="s">
        <v>185</v>
      </c>
      <c r="F2826" t="s">
        <v>100</v>
      </c>
      <c r="G2826">
        <f t="shared" si="2644"/>
        <v>1</v>
      </c>
      <c r="H2826">
        <v>7</v>
      </c>
      <c r="I2826">
        <v>6</v>
      </c>
      <c r="J2826">
        <v>0</v>
      </c>
      <c r="K2826" s="6" t="str">
        <f t="shared" ref="K2826" si="2741">"vs "&amp;E2827</f>
        <v>vs The Bridgeburners</v>
      </c>
      <c r="L2826" s="6" t="str">
        <f t="shared" ref="L2826" si="2742">"vs "&amp;F2827</f>
        <v>vs Fanis</v>
      </c>
      <c r="M2826">
        <v>189</v>
      </c>
      <c r="N2826" s="1">
        <v>0.49299999999999999</v>
      </c>
      <c r="O2826">
        <v>68</v>
      </c>
      <c r="P2826" s="1">
        <v>0.40500000000000003</v>
      </c>
      <c r="Q2826" s="1">
        <v>0.80400000000000005</v>
      </c>
      <c r="R2826">
        <v>524</v>
      </c>
      <c r="S2826">
        <v>52</v>
      </c>
      <c r="T2826">
        <v>142</v>
      </c>
      <c r="U2826">
        <v>88</v>
      </c>
      <c r="V2826">
        <v>29</v>
      </c>
      <c r="W2826">
        <v>19</v>
      </c>
      <c r="X2826">
        <v>56</v>
      </c>
      <c r="Y2826">
        <v>1.57</v>
      </c>
    </row>
    <row r="2827" spans="1:25" x14ac:dyDescent="0.25">
      <c r="A2827">
        <v>2025</v>
      </c>
      <c r="B2827" t="s">
        <v>57</v>
      </c>
      <c r="C2827">
        <v>7</v>
      </c>
      <c r="D2827">
        <v>80</v>
      </c>
      <c r="E2827" t="s">
        <v>16</v>
      </c>
      <c r="F2827" t="s">
        <v>51</v>
      </c>
      <c r="G2827">
        <f t="shared" si="2644"/>
        <v>0</v>
      </c>
      <c r="H2827">
        <v>6</v>
      </c>
      <c r="I2827">
        <v>7</v>
      </c>
      <c r="J2827">
        <v>0</v>
      </c>
      <c r="K2827" s="6" t="str">
        <f t="shared" ref="K2827" si="2743">"vs "&amp;E2826</f>
        <v>vs Paralouistas</v>
      </c>
      <c r="L2827" s="6" t="str">
        <f t="shared" ref="L2827" si="2744">"vs "&amp;F2826</f>
        <v>vs Panos</v>
      </c>
      <c r="M2827">
        <v>185</v>
      </c>
      <c r="N2827" s="1">
        <v>0.46600000000000003</v>
      </c>
      <c r="O2827">
        <v>44</v>
      </c>
      <c r="P2827" s="1">
        <v>0.28000000000000003</v>
      </c>
      <c r="Q2827" s="1">
        <v>0.83799999999999997</v>
      </c>
      <c r="R2827">
        <v>502</v>
      </c>
      <c r="S2827">
        <v>44</v>
      </c>
      <c r="T2827">
        <v>157</v>
      </c>
      <c r="U2827">
        <v>167</v>
      </c>
      <c r="V2827">
        <v>35</v>
      </c>
      <c r="W2827">
        <v>20</v>
      </c>
      <c r="X2827">
        <v>74</v>
      </c>
      <c r="Y2827">
        <v>2.2599999999999998</v>
      </c>
    </row>
    <row r="2828" spans="1:25" x14ac:dyDescent="0.25">
      <c r="A2828">
        <v>2025</v>
      </c>
      <c r="B2828" t="s">
        <v>57</v>
      </c>
      <c r="C2828">
        <v>8</v>
      </c>
      <c r="D2828">
        <v>81</v>
      </c>
      <c r="E2828" t="s">
        <v>96</v>
      </c>
      <c r="F2828" t="s">
        <v>102</v>
      </c>
      <c r="G2828">
        <f t="shared" si="2644"/>
        <v>0</v>
      </c>
      <c r="H2828">
        <v>6</v>
      </c>
      <c r="I2828">
        <v>6</v>
      </c>
      <c r="J2828">
        <v>1</v>
      </c>
      <c r="K2828" s="6" t="str">
        <f t="shared" ref="K2828" si="2745">"vs "&amp;E2829</f>
        <v>vs Pachiana NinjaBees</v>
      </c>
      <c r="L2828" s="6" t="str">
        <f t="shared" ref="L2828" si="2746">"vs "&amp;F2829</f>
        <v>vs Spiridaus/Oladipas</v>
      </c>
      <c r="M2828">
        <v>103</v>
      </c>
      <c r="N2828" s="1">
        <v>0.44</v>
      </c>
      <c r="O2828">
        <v>30</v>
      </c>
      <c r="P2828" s="1">
        <v>0.375</v>
      </c>
      <c r="Q2828" s="1">
        <v>0.81299999999999994</v>
      </c>
      <c r="R2828">
        <v>275</v>
      </c>
      <c r="S2828">
        <v>25</v>
      </c>
      <c r="T2828">
        <v>59</v>
      </c>
      <c r="U2828">
        <v>53</v>
      </c>
      <c r="V2828">
        <v>12</v>
      </c>
      <c r="W2828">
        <v>10</v>
      </c>
      <c r="X2828">
        <v>34</v>
      </c>
      <c r="Y2828">
        <v>1.56</v>
      </c>
    </row>
    <row r="2829" spans="1:25" x14ac:dyDescent="0.25">
      <c r="A2829">
        <v>2025</v>
      </c>
      <c r="B2829" t="s">
        <v>57</v>
      </c>
      <c r="C2829">
        <v>8</v>
      </c>
      <c r="D2829">
        <v>81</v>
      </c>
      <c r="E2829" t="s">
        <v>23</v>
      </c>
      <c r="F2829" t="s">
        <v>120</v>
      </c>
      <c r="G2829">
        <f t="shared" si="2644"/>
        <v>0</v>
      </c>
      <c r="H2829">
        <v>6</v>
      </c>
      <c r="I2829">
        <v>6</v>
      </c>
      <c r="J2829">
        <v>1</v>
      </c>
      <c r="K2829" s="6" t="str">
        <f t="shared" ref="K2829" si="2747">"vs "&amp;E2828</f>
        <v>vs Knights of Ni</v>
      </c>
      <c r="L2829" s="6" t="str">
        <f t="shared" ref="L2829" si="2748">"vs "&amp;F2828</f>
        <v>vs Tolios</v>
      </c>
      <c r="M2829">
        <v>65</v>
      </c>
      <c r="N2829" s="1">
        <v>0.35299999999999998</v>
      </c>
      <c r="O2829">
        <v>19</v>
      </c>
      <c r="P2829" s="1">
        <v>0.224</v>
      </c>
      <c r="Q2829" s="1">
        <v>0.88200000000000001</v>
      </c>
      <c r="R2829">
        <v>179</v>
      </c>
      <c r="S2829">
        <v>13</v>
      </c>
      <c r="T2829">
        <v>59</v>
      </c>
      <c r="U2829">
        <v>56</v>
      </c>
      <c r="V2829">
        <v>19</v>
      </c>
      <c r="W2829">
        <v>17</v>
      </c>
      <c r="X2829">
        <v>31</v>
      </c>
      <c r="Y2829">
        <v>1.81</v>
      </c>
    </row>
    <row r="2830" spans="1:25" x14ac:dyDescent="0.25">
      <c r="A2830">
        <v>2025</v>
      </c>
      <c r="B2830" t="s">
        <v>57</v>
      </c>
      <c r="C2830">
        <v>8</v>
      </c>
      <c r="D2830">
        <v>82</v>
      </c>
      <c r="E2830" t="s">
        <v>28</v>
      </c>
      <c r="F2830" t="s">
        <v>46</v>
      </c>
      <c r="G2830">
        <f t="shared" si="2644"/>
        <v>0</v>
      </c>
      <c r="H2830">
        <v>3</v>
      </c>
      <c r="I2830">
        <v>10</v>
      </c>
      <c r="J2830">
        <v>0</v>
      </c>
      <c r="K2830" s="6" t="str">
        <f t="shared" ref="K2830" si="2749">"vs "&amp;E2831</f>
        <v>vs purple fuzzy apache pirates</v>
      </c>
      <c r="L2830" s="6" t="str">
        <f t="shared" ref="L2830" si="2750">"vs "&amp;F2831</f>
        <v>vs pi/Sotiris</v>
      </c>
      <c r="M2830">
        <v>64</v>
      </c>
      <c r="N2830" s="1">
        <v>0.435</v>
      </c>
      <c r="O2830">
        <v>19</v>
      </c>
      <c r="P2830" s="1">
        <v>0.30599999999999999</v>
      </c>
      <c r="Q2830" s="1">
        <v>0.82599999999999996</v>
      </c>
      <c r="R2830">
        <v>166</v>
      </c>
      <c r="S2830">
        <v>11</v>
      </c>
      <c r="T2830">
        <v>42</v>
      </c>
      <c r="U2830">
        <v>20</v>
      </c>
      <c r="V2830">
        <v>6</v>
      </c>
      <c r="W2830">
        <v>7</v>
      </c>
      <c r="X2830">
        <v>22</v>
      </c>
      <c r="Y2830">
        <v>0.91</v>
      </c>
    </row>
    <row r="2831" spans="1:25" x14ac:dyDescent="0.25">
      <c r="A2831">
        <v>2025</v>
      </c>
      <c r="B2831" t="s">
        <v>57</v>
      </c>
      <c r="C2831">
        <v>8</v>
      </c>
      <c r="D2831">
        <v>82</v>
      </c>
      <c r="E2831" t="s">
        <v>159</v>
      </c>
      <c r="F2831" t="s">
        <v>116</v>
      </c>
      <c r="G2831">
        <f t="shared" si="2644"/>
        <v>1</v>
      </c>
      <c r="H2831">
        <v>10</v>
      </c>
      <c r="I2831">
        <v>3</v>
      </c>
      <c r="J2831">
        <v>0</v>
      </c>
      <c r="K2831" s="6" t="str">
        <f t="shared" ref="K2831" si="2751">"vs "&amp;E2830</f>
        <v>vs Steven Adams' Moustache</v>
      </c>
      <c r="L2831" s="6" t="str">
        <f t="shared" ref="L2831" si="2752">"vs "&amp;F2830</f>
        <v>vs Johnny</v>
      </c>
      <c r="M2831">
        <v>87</v>
      </c>
      <c r="N2831" s="1">
        <v>0.49199999999999999</v>
      </c>
      <c r="O2831">
        <v>28</v>
      </c>
      <c r="P2831" s="1">
        <v>0.378</v>
      </c>
      <c r="Q2831" s="1">
        <v>0.71399999999999997</v>
      </c>
      <c r="R2831">
        <v>242</v>
      </c>
      <c r="S2831">
        <v>10</v>
      </c>
      <c r="T2831">
        <v>59</v>
      </c>
      <c r="U2831">
        <v>64</v>
      </c>
      <c r="V2831">
        <v>19</v>
      </c>
      <c r="W2831">
        <v>10</v>
      </c>
      <c r="X2831">
        <v>32</v>
      </c>
      <c r="Y2831">
        <v>2</v>
      </c>
    </row>
    <row r="2832" spans="1:25" x14ac:dyDescent="0.25">
      <c r="A2832">
        <v>2025</v>
      </c>
      <c r="B2832" t="s">
        <v>57</v>
      </c>
      <c r="C2832">
        <v>8</v>
      </c>
      <c r="D2832">
        <v>83</v>
      </c>
      <c r="E2832" t="s">
        <v>21</v>
      </c>
      <c r="F2832" t="s">
        <v>50</v>
      </c>
      <c r="G2832">
        <f t="shared" si="2644"/>
        <v>0</v>
      </c>
      <c r="H2832">
        <v>5</v>
      </c>
      <c r="I2832">
        <v>7</v>
      </c>
      <c r="J2832">
        <v>1</v>
      </c>
      <c r="K2832" s="6" t="str">
        <f t="shared" ref="K2832" si="2753">"vs "&amp;E2833</f>
        <v>vs Samarina Dudenbros</v>
      </c>
      <c r="L2832" s="6" t="str">
        <f t="shared" ref="L2832" si="2754">"vs "&amp;F2833</f>
        <v>vs Sakellariou</v>
      </c>
      <c r="M2832">
        <v>57</v>
      </c>
      <c r="N2832" s="1">
        <v>0.438</v>
      </c>
      <c r="O2832">
        <v>15</v>
      </c>
      <c r="P2832" s="1">
        <v>0.28299999999999997</v>
      </c>
      <c r="Q2832" s="1">
        <v>0.76500000000000001</v>
      </c>
      <c r="R2832">
        <v>155</v>
      </c>
      <c r="S2832">
        <v>19</v>
      </c>
      <c r="T2832">
        <v>37</v>
      </c>
      <c r="U2832">
        <v>41</v>
      </c>
      <c r="V2832">
        <v>12</v>
      </c>
      <c r="W2832">
        <v>7</v>
      </c>
      <c r="X2832">
        <v>17</v>
      </c>
      <c r="Y2832">
        <v>2.41</v>
      </c>
    </row>
    <row r="2833" spans="1:25" x14ac:dyDescent="0.25">
      <c r="A2833">
        <v>2025</v>
      </c>
      <c r="B2833" t="s">
        <v>57</v>
      </c>
      <c r="C2833">
        <v>8</v>
      </c>
      <c r="D2833">
        <v>83</v>
      </c>
      <c r="E2833" t="s">
        <v>181</v>
      </c>
      <c r="F2833" t="s">
        <v>49</v>
      </c>
      <c r="G2833">
        <f t="shared" si="2644"/>
        <v>1</v>
      </c>
      <c r="H2833">
        <v>7</v>
      </c>
      <c r="I2833">
        <v>5</v>
      </c>
      <c r="J2833">
        <v>1</v>
      </c>
      <c r="K2833" s="6" t="str">
        <f t="shared" ref="K2833" si="2755">"vs "&amp;E2832</f>
        <v>vs st.Helens Eruptions</v>
      </c>
      <c r="L2833" s="6" t="str">
        <f t="shared" ref="L2833" si="2756">"vs "&amp;F2832</f>
        <v>vs Aris</v>
      </c>
      <c r="M2833">
        <v>71</v>
      </c>
      <c r="N2833" s="1">
        <v>0.43</v>
      </c>
      <c r="O2833">
        <v>29</v>
      </c>
      <c r="P2833" s="1">
        <v>0.41399999999999998</v>
      </c>
      <c r="Q2833" s="1">
        <v>0.71399999999999997</v>
      </c>
      <c r="R2833">
        <v>201</v>
      </c>
      <c r="S2833">
        <v>16</v>
      </c>
      <c r="T2833">
        <v>60</v>
      </c>
      <c r="U2833">
        <v>63</v>
      </c>
      <c r="V2833">
        <v>13</v>
      </c>
      <c r="W2833">
        <v>7</v>
      </c>
      <c r="X2833">
        <v>29</v>
      </c>
      <c r="Y2833">
        <v>2.17</v>
      </c>
    </row>
    <row r="2834" spans="1:25" x14ac:dyDescent="0.25">
      <c r="A2834">
        <v>2025</v>
      </c>
      <c r="B2834" t="s">
        <v>57</v>
      </c>
      <c r="C2834">
        <v>8</v>
      </c>
      <c r="D2834">
        <v>84</v>
      </c>
      <c r="E2834" t="s">
        <v>154</v>
      </c>
      <c r="F2834" t="s">
        <v>155</v>
      </c>
      <c r="G2834">
        <f t="shared" si="2644"/>
        <v>0</v>
      </c>
      <c r="H2834">
        <v>3</v>
      </c>
      <c r="I2834">
        <v>10</v>
      </c>
      <c r="J2834">
        <v>0</v>
      </c>
      <c r="K2834" s="6" t="str">
        <f t="shared" ref="K2834" si="2757">"vs "&amp;E2835</f>
        <v>vs The Guns</v>
      </c>
      <c r="L2834" s="6" t="str">
        <f t="shared" ref="L2834" si="2758">"vs "&amp;F2835</f>
        <v>vs Vasilis</v>
      </c>
      <c r="M2834">
        <v>81</v>
      </c>
      <c r="N2834" s="1">
        <v>0.503</v>
      </c>
      <c r="O2834">
        <v>19</v>
      </c>
      <c r="P2834" s="1">
        <v>0.42199999999999999</v>
      </c>
      <c r="Q2834" s="1">
        <v>0.68400000000000005</v>
      </c>
      <c r="R2834">
        <v>207</v>
      </c>
      <c r="S2834">
        <v>22</v>
      </c>
      <c r="T2834">
        <v>71</v>
      </c>
      <c r="U2834">
        <v>40</v>
      </c>
      <c r="V2834">
        <v>21</v>
      </c>
      <c r="W2834">
        <v>10</v>
      </c>
      <c r="X2834">
        <v>29</v>
      </c>
      <c r="Y2834">
        <v>1.38</v>
      </c>
    </row>
    <row r="2835" spans="1:25" x14ac:dyDescent="0.25">
      <c r="A2835">
        <v>2025</v>
      </c>
      <c r="B2835" t="s">
        <v>57</v>
      </c>
      <c r="C2835">
        <v>8</v>
      </c>
      <c r="D2835">
        <v>84</v>
      </c>
      <c r="E2835" t="s">
        <v>33</v>
      </c>
      <c r="F2835" t="s">
        <v>42</v>
      </c>
      <c r="G2835">
        <f t="shared" si="2644"/>
        <v>1</v>
      </c>
      <c r="H2835">
        <v>10</v>
      </c>
      <c r="I2835">
        <v>3</v>
      </c>
      <c r="J2835">
        <v>0</v>
      </c>
      <c r="K2835" s="6" t="str">
        <f t="shared" ref="K2835" si="2759">"vs "&amp;E2834</f>
        <v>vs The Bad Boys</v>
      </c>
      <c r="L2835" s="6" t="str">
        <f t="shared" ref="L2835" si="2760">"vs "&amp;F2834</f>
        <v>vs Arvanitis</v>
      </c>
      <c r="M2835">
        <v>139</v>
      </c>
      <c r="N2835" s="1">
        <v>0.51700000000000002</v>
      </c>
      <c r="O2835">
        <v>43</v>
      </c>
      <c r="P2835" s="1">
        <v>0.40200000000000002</v>
      </c>
      <c r="Q2835" s="1">
        <v>0.81299999999999994</v>
      </c>
      <c r="R2835">
        <v>382</v>
      </c>
      <c r="S2835">
        <v>23</v>
      </c>
      <c r="T2835">
        <v>104</v>
      </c>
      <c r="U2835">
        <v>59</v>
      </c>
      <c r="V2835">
        <v>25</v>
      </c>
      <c r="W2835">
        <v>16</v>
      </c>
      <c r="X2835">
        <v>48</v>
      </c>
      <c r="Y2835">
        <v>1.23</v>
      </c>
    </row>
    <row r="2836" spans="1:25" x14ac:dyDescent="0.25">
      <c r="A2836">
        <v>2025</v>
      </c>
      <c r="B2836" t="s">
        <v>57</v>
      </c>
      <c r="C2836">
        <v>8</v>
      </c>
      <c r="D2836">
        <v>85</v>
      </c>
      <c r="E2836" t="s">
        <v>98</v>
      </c>
      <c r="F2836" t="s">
        <v>41</v>
      </c>
      <c r="G2836">
        <f t="shared" si="2644"/>
        <v>1</v>
      </c>
      <c r="H2836">
        <v>11</v>
      </c>
      <c r="I2836">
        <v>2</v>
      </c>
      <c r="J2836">
        <v>0</v>
      </c>
      <c r="K2836" s="6" t="str">
        <f t="shared" ref="K2836" si="2761">"vs "&amp;E2837</f>
        <v>vs Salonika Devils</v>
      </c>
      <c r="L2836" s="6" t="str">
        <f t="shared" ref="L2836" si="2762">"vs "&amp;F2837</f>
        <v>vs Fountos</v>
      </c>
      <c r="M2836">
        <v>91</v>
      </c>
      <c r="N2836" s="1">
        <v>0.47399999999999998</v>
      </c>
      <c r="O2836">
        <v>27</v>
      </c>
      <c r="P2836" s="1">
        <v>0.33300000000000002</v>
      </c>
      <c r="Q2836" s="1">
        <v>0.79400000000000004</v>
      </c>
      <c r="R2836">
        <v>236</v>
      </c>
      <c r="S2836">
        <v>38</v>
      </c>
      <c r="T2836">
        <v>91</v>
      </c>
      <c r="U2836">
        <v>60</v>
      </c>
      <c r="V2836">
        <v>15</v>
      </c>
      <c r="W2836">
        <v>10</v>
      </c>
      <c r="X2836">
        <v>23</v>
      </c>
      <c r="Y2836">
        <v>2.61</v>
      </c>
    </row>
    <row r="2837" spans="1:25" x14ac:dyDescent="0.25">
      <c r="A2837">
        <v>2025</v>
      </c>
      <c r="B2837" t="s">
        <v>57</v>
      </c>
      <c r="C2837">
        <v>8</v>
      </c>
      <c r="D2837">
        <v>85</v>
      </c>
      <c r="E2837" t="s">
        <v>15</v>
      </c>
      <c r="F2837" t="s">
        <v>48</v>
      </c>
      <c r="G2837">
        <f t="shared" si="2644"/>
        <v>0</v>
      </c>
      <c r="H2837">
        <v>2</v>
      </c>
      <c r="I2837">
        <v>11</v>
      </c>
      <c r="J2837">
        <v>0</v>
      </c>
      <c r="K2837" s="6" t="str">
        <f t="shared" ref="K2837" si="2763">"vs "&amp;E2836</f>
        <v>vs Xanthi Ducks 🦆</v>
      </c>
      <c r="L2837" s="6" t="str">
        <f t="shared" ref="L2837" si="2764">"vs "&amp;F2836</f>
        <v>vs Kotakis</v>
      </c>
      <c r="M2837">
        <v>74</v>
      </c>
      <c r="N2837" s="1">
        <v>0.48399999999999999</v>
      </c>
      <c r="O2837">
        <v>21</v>
      </c>
      <c r="P2837" s="1">
        <v>0.36799999999999999</v>
      </c>
      <c r="Q2837" s="1">
        <v>0.75</v>
      </c>
      <c r="R2837">
        <v>193</v>
      </c>
      <c r="S2837">
        <v>17</v>
      </c>
      <c r="T2837">
        <v>60</v>
      </c>
      <c r="U2837">
        <v>58</v>
      </c>
      <c r="V2837">
        <v>14</v>
      </c>
      <c r="W2837">
        <v>9</v>
      </c>
      <c r="X2837">
        <v>45</v>
      </c>
      <c r="Y2837">
        <v>1.29</v>
      </c>
    </row>
    <row r="2838" spans="1:25" x14ac:dyDescent="0.25">
      <c r="A2838">
        <v>2025</v>
      </c>
      <c r="B2838" t="s">
        <v>57</v>
      </c>
      <c r="C2838">
        <v>8</v>
      </c>
      <c r="D2838">
        <v>86</v>
      </c>
      <c r="E2838" t="s">
        <v>99</v>
      </c>
      <c r="F2838" t="s">
        <v>45</v>
      </c>
      <c r="G2838">
        <f t="shared" si="2644"/>
        <v>1</v>
      </c>
      <c r="H2838">
        <v>9</v>
      </c>
      <c r="I2838">
        <v>4</v>
      </c>
      <c r="J2838">
        <v>0</v>
      </c>
      <c r="K2838" s="6" t="str">
        <f t="shared" ref="K2838" si="2765">"vs "&amp;E2839</f>
        <v>vs Heraklion Snakes</v>
      </c>
      <c r="L2838" s="6" t="str">
        <f t="shared" ref="L2838" si="2766">"vs "&amp;F2839</f>
        <v>vs Dimitris</v>
      </c>
      <c r="M2838">
        <v>67</v>
      </c>
      <c r="N2838" s="1">
        <v>0.46899999999999997</v>
      </c>
      <c r="O2838">
        <v>24</v>
      </c>
      <c r="P2838" s="1">
        <v>0.45300000000000001</v>
      </c>
      <c r="Q2838" s="1">
        <v>0.66700000000000004</v>
      </c>
      <c r="R2838">
        <v>188</v>
      </c>
      <c r="S2838">
        <v>27</v>
      </c>
      <c r="T2838">
        <v>59</v>
      </c>
      <c r="U2838">
        <v>41</v>
      </c>
      <c r="V2838">
        <v>12</v>
      </c>
      <c r="W2838">
        <v>6</v>
      </c>
      <c r="X2838">
        <v>24</v>
      </c>
      <c r="Y2838">
        <v>1.71</v>
      </c>
    </row>
    <row r="2839" spans="1:25" x14ac:dyDescent="0.25">
      <c r="A2839">
        <v>2025</v>
      </c>
      <c r="B2839" t="s">
        <v>57</v>
      </c>
      <c r="C2839">
        <v>8</v>
      </c>
      <c r="D2839">
        <v>86</v>
      </c>
      <c r="E2839" t="s">
        <v>184</v>
      </c>
      <c r="F2839" t="s">
        <v>188</v>
      </c>
      <c r="G2839">
        <f t="shared" si="2644"/>
        <v>0</v>
      </c>
      <c r="H2839">
        <v>4</v>
      </c>
      <c r="I2839">
        <v>9</v>
      </c>
      <c r="J2839">
        <v>0</v>
      </c>
      <c r="K2839" s="6" t="str">
        <f t="shared" ref="K2839" si="2767">"vs "&amp;E2838</f>
        <v>vs Tsarlatans</v>
      </c>
      <c r="L2839" s="6" t="str">
        <f t="shared" ref="L2839" si="2768">"vs "&amp;F2838</f>
        <v>vs Tzokos</v>
      </c>
      <c r="M2839">
        <v>42</v>
      </c>
      <c r="N2839" s="1">
        <v>0.372</v>
      </c>
      <c r="O2839">
        <v>9</v>
      </c>
      <c r="P2839" s="1">
        <v>0.188</v>
      </c>
      <c r="Q2839" s="1">
        <v>0.73899999999999999</v>
      </c>
      <c r="R2839">
        <v>110</v>
      </c>
      <c r="S2839">
        <v>15</v>
      </c>
      <c r="T2839">
        <v>61</v>
      </c>
      <c r="U2839">
        <v>26</v>
      </c>
      <c r="V2839">
        <v>11</v>
      </c>
      <c r="W2839">
        <v>10</v>
      </c>
      <c r="X2839">
        <v>19</v>
      </c>
      <c r="Y2839">
        <v>1.37</v>
      </c>
    </row>
    <row r="2840" spans="1:25" x14ac:dyDescent="0.25">
      <c r="A2840">
        <v>2025</v>
      </c>
      <c r="B2840" t="s">
        <v>57</v>
      </c>
      <c r="C2840">
        <v>8</v>
      </c>
      <c r="D2840">
        <v>87</v>
      </c>
      <c r="E2840" t="s">
        <v>26</v>
      </c>
      <c r="F2840" t="s">
        <v>118</v>
      </c>
      <c r="G2840">
        <f t="shared" si="2644"/>
        <v>0</v>
      </c>
      <c r="H2840">
        <v>4</v>
      </c>
      <c r="I2840">
        <v>9</v>
      </c>
      <c r="J2840">
        <v>0</v>
      </c>
      <c r="K2840" s="6" t="str">
        <f t="shared" ref="K2840" si="2769">"vs "&amp;E2841</f>
        <v>vs Karafli Saita</v>
      </c>
      <c r="L2840" s="6" t="str">
        <f t="shared" ref="L2840" si="2770">"vs "&amp;F2841</f>
        <v>vs Tassos</v>
      </c>
      <c r="M2840">
        <v>67</v>
      </c>
      <c r="N2840" s="1">
        <v>0.45900000000000002</v>
      </c>
      <c r="O2840">
        <v>17</v>
      </c>
      <c r="P2840" s="1">
        <v>0.33300000000000002</v>
      </c>
      <c r="Q2840" s="1">
        <v>0.86399999999999999</v>
      </c>
      <c r="R2840">
        <v>189</v>
      </c>
      <c r="S2840">
        <v>18</v>
      </c>
      <c r="T2840">
        <v>61</v>
      </c>
      <c r="U2840">
        <v>48</v>
      </c>
      <c r="V2840">
        <v>15</v>
      </c>
      <c r="W2840">
        <v>5</v>
      </c>
      <c r="X2840">
        <v>22</v>
      </c>
      <c r="Y2840">
        <v>2.1800000000000002</v>
      </c>
    </row>
    <row r="2841" spans="1:25" x14ac:dyDescent="0.25">
      <c r="A2841">
        <v>2025</v>
      </c>
      <c r="B2841" t="s">
        <v>57</v>
      </c>
      <c r="C2841">
        <v>8</v>
      </c>
      <c r="D2841">
        <v>87</v>
      </c>
      <c r="E2841" t="s">
        <v>186</v>
      </c>
      <c r="F2841" t="s">
        <v>103</v>
      </c>
      <c r="G2841">
        <f t="shared" si="2644"/>
        <v>1</v>
      </c>
      <c r="H2841">
        <v>9</v>
      </c>
      <c r="I2841">
        <v>4</v>
      </c>
      <c r="J2841">
        <v>0</v>
      </c>
      <c r="K2841" s="6" t="str">
        <f t="shared" ref="K2841" si="2771">"vs "&amp;E2840</f>
        <v>vs Kourayo Vallecano</v>
      </c>
      <c r="L2841" s="6" t="str">
        <f t="shared" ref="L2841" si="2772">"vs "&amp;F2840</f>
        <v>vs Ziogas/Christof</v>
      </c>
      <c r="M2841">
        <v>102</v>
      </c>
      <c r="N2841" s="1">
        <v>0.47199999999999998</v>
      </c>
      <c r="O2841">
        <v>39</v>
      </c>
      <c r="P2841" s="1">
        <v>0.42399999999999999</v>
      </c>
      <c r="Q2841" s="1">
        <v>0.76700000000000002</v>
      </c>
      <c r="R2841">
        <v>289</v>
      </c>
      <c r="S2841">
        <v>17</v>
      </c>
      <c r="T2841">
        <v>90</v>
      </c>
      <c r="U2841">
        <v>84</v>
      </c>
      <c r="V2841">
        <v>23</v>
      </c>
      <c r="W2841">
        <v>14</v>
      </c>
      <c r="X2841">
        <v>46</v>
      </c>
      <c r="Y2841">
        <v>1.83</v>
      </c>
    </row>
    <row r="2842" spans="1:25" x14ac:dyDescent="0.25">
      <c r="A2842">
        <v>2025</v>
      </c>
      <c r="B2842" t="s">
        <v>57</v>
      </c>
      <c r="C2842">
        <v>8</v>
      </c>
      <c r="D2842">
        <v>88</v>
      </c>
      <c r="E2842" t="s">
        <v>158</v>
      </c>
      <c r="F2842" t="s">
        <v>177</v>
      </c>
      <c r="G2842">
        <f t="shared" ref="G2842:G2905" si="2773">IF(H2842+0.5*J2842&gt;6.5,1,0)</f>
        <v>1</v>
      </c>
      <c r="H2842">
        <v>10</v>
      </c>
      <c r="I2842">
        <v>3</v>
      </c>
      <c r="J2842">
        <v>0</v>
      </c>
      <c r="K2842" s="6" t="str">
        <f t="shared" ref="K2842" si="2774">"vs "&amp;E2843</f>
        <v>vs Fighting Thaddeus</v>
      </c>
      <c r="L2842" s="6" t="str">
        <f t="shared" ref="L2842" si="2775">"vs "&amp;F2843</f>
        <v>vs Stavros</v>
      </c>
      <c r="M2842">
        <v>95</v>
      </c>
      <c r="N2842" s="1">
        <v>0.47499999999999998</v>
      </c>
      <c r="O2842">
        <v>35</v>
      </c>
      <c r="P2842" s="1">
        <v>0.41699999999999998</v>
      </c>
      <c r="Q2842" s="1">
        <v>0.77300000000000002</v>
      </c>
      <c r="R2842">
        <v>259</v>
      </c>
      <c r="S2842">
        <v>22</v>
      </c>
      <c r="T2842">
        <v>85</v>
      </c>
      <c r="U2842">
        <v>69</v>
      </c>
      <c r="V2842">
        <v>21</v>
      </c>
      <c r="W2842">
        <v>9</v>
      </c>
      <c r="X2842">
        <v>32</v>
      </c>
      <c r="Y2842">
        <v>2.16</v>
      </c>
    </row>
    <row r="2843" spans="1:25" x14ac:dyDescent="0.25">
      <c r="A2843">
        <v>2025</v>
      </c>
      <c r="B2843" t="s">
        <v>57</v>
      </c>
      <c r="C2843">
        <v>8</v>
      </c>
      <c r="D2843">
        <v>88</v>
      </c>
      <c r="E2843" t="s">
        <v>94</v>
      </c>
      <c r="F2843" t="s">
        <v>40</v>
      </c>
      <c r="G2843">
        <f t="shared" si="2773"/>
        <v>0</v>
      </c>
      <c r="H2843">
        <v>3</v>
      </c>
      <c r="I2843">
        <v>10</v>
      </c>
      <c r="J2843">
        <v>0</v>
      </c>
      <c r="K2843" s="6" t="str">
        <f t="shared" ref="K2843" si="2776">"vs "&amp;E2842</f>
        <v>vs LRBP PR3DATORS</v>
      </c>
      <c r="L2843" s="6" t="str">
        <f t="shared" ref="L2843" si="2777">"vs "&amp;F2842</f>
        <v>vs Lafa</v>
      </c>
      <c r="M2843">
        <v>53</v>
      </c>
      <c r="N2843" s="1">
        <v>0.52500000000000002</v>
      </c>
      <c r="O2843">
        <v>14</v>
      </c>
      <c r="P2843" s="1">
        <v>0.38900000000000001</v>
      </c>
      <c r="Q2843" s="1">
        <v>0.69199999999999995</v>
      </c>
      <c r="R2843">
        <v>147</v>
      </c>
      <c r="S2843">
        <v>18</v>
      </c>
      <c r="T2843">
        <v>37</v>
      </c>
      <c r="U2843">
        <v>44</v>
      </c>
      <c r="V2843">
        <v>10</v>
      </c>
      <c r="W2843">
        <v>10</v>
      </c>
      <c r="X2843">
        <v>21</v>
      </c>
      <c r="Y2843">
        <v>2.1</v>
      </c>
    </row>
    <row r="2844" spans="1:25" x14ac:dyDescent="0.25">
      <c r="A2844">
        <v>2025</v>
      </c>
      <c r="B2844" t="s">
        <v>57</v>
      </c>
      <c r="C2844">
        <v>8</v>
      </c>
      <c r="D2844">
        <v>89</v>
      </c>
      <c r="E2844" t="s">
        <v>95</v>
      </c>
      <c r="F2844" t="s">
        <v>101</v>
      </c>
      <c r="G2844">
        <f t="shared" si="2773"/>
        <v>0</v>
      </c>
      <c r="H2844">
        <v>4</v>
      </c>
      <c r="I2844">
        <v>9</v>
      </c>
      <c r="J2844">
        <v>0</v>
      </c>
      <c r="K2844" s="6" t="str">
        <f t="shared" ref="K2844" si="2778">"vs "&amp;E2845</f>
        <v>vs Paralouistas</v>
      </c>
      <c r="L2844" s="6" t="str">
        <f t="shared" ref="L2844" si="2779">"vs "&amp;F2845</f>
        <v>vs Panos</v>
      </c>
      <c r="M2844">
        <v>78</v>
      </c>
      <c r="N2844" s="1">
        <v>0.38600000000000001</v>
      </c>
      <c r="O2844">
        <v>24</v>
      </c>
      <c r="P2844" s="1">
        <v>0.26400000000000001</v>
      </c>
      <c r="Q2844" s="1">
        <v>0.75</v>
      </c>
      <c r="R2844">
        <v>213</v>
      </c>
      <c r="S2844">
        <v>16</v>
      </c>
      <c r="T2844">
        <v>71</v>
      </c>
      <c r="U2844">
        <v>43</v>
      </c>
      <c r="V2844">
        <v>15</v>
      </c>
      <c r="W2844">
        <v>11</v>
      </c>
      <c r="X2844">
        <v>33</v>
      </c>
      <c r="Y2844">
        <v>1.3</v>
      </c>
    </row>
    <row r="2845" spans="1:25" x14ac:dyDescent="0.25">
      <c r="A2845">
        <v>2025</v>
      </c>
      <c r="B2845" t="s">
        <v>57</v>
      </c>
      <c r="C2845">
        <v>8</v>
      </c>
      <c r="D2845">
        <v>89</v>
      </c>
      <c r="E2845" t="s">
        <v>185</v>
      </c>
      <c r="F2845" t="s">
        <v>100</v>
      </c>
      <c r="G2845">
        <f t="shared" si="2773"/>
        <v>1</v>
      </c>
      <c r="H2845">
        <v>9</v>
      </c>
      <c r="I2845">
        <v>4</v>
      </c>
      <c r="J2845">
        <v>0</v>
      </c>
      <c r="K2845" s="6" t="str">
        <f t="shared" ref="K2845" si="2780">"vs "&amp;E2844</f>
        <v>vs Baltimore Hercules</v>
      </c>
      <c r="L2845" s="6" t="str">
        <f t="shared" ref="L2845" si="2781">"vs "&amp;F2844</f>
        <v>vs Sarantos</v>
      </c>
      <c r="M2845">
        <v>90</v>
      </c>
      <c r="N2845" s="1">
        <v>0.441</v>
      </c>
      <c r="O2845">
        <v>33</v>
      </c>
      <c r="P2845" s="1">
        <v>0.36699999999999999</v>
      </c>
      <c r="Q2845" s="1">
        <v>0.69399999999999995</v>
      </c>
      <c r="R2845">
        <v>238</v>
      </c>
      <c r="S2845">
        <v>26</v>
      </c>
      <c r="T2845">
        <v>62</v>
      </c>
      <c r="U2845">
        <v>56</v>
      </c>
      <c r="V2845">
        <v>11</v>
      </c>
      <c r="W2845">
        <v>7</v>
      </c>
      <c r="X2845">
        <v>25</v>
      </c>
      <c r="Y2845">
        <v>2.2400000000000002</v>
      </c>
    </row>
    <row r="2846" spans="1:25" x14ac:dyDescent="0.25">
      <c r="A2846">
        <v>2025</v>
      </c>
      <c r="B2846" t="s">
        <v>57</v>
      </c>
      <c r="C2846">
        <v>8</v>
      </c>
      <c r="D2846">
        <v>90</v>
      </c>
      <c r="E2846" t="s">
        <v>93</v>
      </c>
      <c r="F2846" t="s">
        <v>189</v>
      </c>
      <c r="G2846">
        <f t="shared" si="2773"/>
        <v>0</v>
      </c>
      <c r="H2846">
        <v>5</v>
      </c>
      <c r="I2846">
        <v>7</v>
      </c>
      <c r="J2846">
        <v>1</v>
      </c>
      <c r="K2846" s="6" t="str">
        <f t="shared" ref="K2846" si="2782">"vs "&amp;E2847</f>
        <v>vs The Bridgeburners</v>
      </c>
      <c r="L2846" s="6" t="str">
        <f t="shared" ref="L2846" si="2783">"vs "&amp;F2847</f>
        <v>vs Fanis</v>
      </c>
      <c r="M2846">
        <v>65</v>
      </c>
      <c r="N2846" s="1">
        <v>0.45800000000000002</v>
      </c>
      <c r="O2846">
        <v>27</v>
      </c>
      <c r="P2846" s="1">
        <v>0.36499999999999999</v>
      </c>
      <c r="Q2846" s="1">
        <v>0.76900000000000002</v>
      </c>
      <c r="R2846">
        <v>177</v>
      </c>
      <c r="S2846">
        <v>13</v>
      </c>
      <c r="T2846">
        <v>59</v>
      </c>
      <c r="U2846">
        <v>36</v>
      </c>
      <c r="V2846">
        <v>14</v>
      </c>
      <c r="W2846">
        <v>5</v>
      </c>
      <c r="X2846">
        <v>26</v>
      </c>
      <c r="Y2846">
        <v>1.38</v>
      </c>
    </row>
    <row r="2847" spans="1:25" x14ac:dyDescent="0.25">
      <c r="A2847">
        <v>2025</v>
      </c>
      <c r="B2847" t="s">
        <v>57</v>
      </c>
      <c r="C2847">
        <v>8</v>
      </c>
      <c r="D2847">
        <v>90</v>
      </c>
      <c r="E2847" t="s">
        <v>16</v>
      </c>
      <c r="F2847" t="s">
        <v>51</v>
      </c>
      <c r="G2847">
        <f t="shared" si="2773"/>
        <v>1</v>
      </c>
      <c r="H2847">
        <v>7</v>
      </c>
      <c r="I2847">
        <v>5</v>
      </c>
      <c r="J2847">
        <v>1</v>
      </c>
      <c r="K2847" s="6" t="str">
        <f t="shared" ref="K2847" si="2784">"vs "&amp;E2846</f>
        <v>vs Guruuu 🐐🐐🐐</v>
      </c>
      <c r="L2847" s="6" t="str">
        <f t="shared" ref="L2847" si="2785">"vs "&amp;F2846</f>
        <v>vs Guru</v>
      </c>
      <c r="M2847">
        <v>96</v>
      </c>
      <c r="N2847" s="1">
        <v>0.44900000000000001</v>
      </c>
      <c r="O2847">
        <v>26</v>
      </c>
      <c r="P2847" s="1">
        <v>0.33300000000000002</v>
      </c>
      <c r="Q2847" s="1">
        <v>0.72</v>
      </c>
      <c r="R2847">
        <v>254</v>
      </c>
      <c r="S2847">
        <v>32</v>
      </c>
      <c r="T2847">
        <v>92</v>
      </c>
      <c r="U2847">
        <v>67</v>
      </c>
      <c r="V2847">
        <v>14</v>
      </c>
      <c r="W2847">
        <v>13</v>
      </c>
      <c r="X2847">
        <v>32</v>
      </c>
      <c r="Y2847">
        <v>2.09</v>
      </c>
    </row>
    <row r="2848" spans="1:25" x14ac:dyDescent="0.25">
      <c r="A2848">
        <v>2025</v>
      </c>
      <c r="B2848" t="s">
        <v>57</v>
      </c>
      <c r="C2848">
        <v>9</v>
      </c>
      <c r="D2848">
        <v>91</v>
      </c>
      <c r="E2848" t="s">
        <v>159</v>
      </c>
      <c r="F2848" t="s">
        <v>116</v>
      </c>
      <c r="G2848">
        <f t="shared" si="2773"/>
        <v>1</v>
      </c>
      <c r="H2848">
        <v>8</v>
      </c>
      <c r="I2848">
        <v>4</v>
      </c>
      <c r="J2848">
        <v>1</v>
      </c>
      <c r="K2848" s="6" t="str">
        <f t="shared" ref="K2848" si="2786">"vs "&amp;E2849</f>
        <v>vs Knights of Ni</v>
      </c>
      <c r="L2848" s="6" t="str">
        <f t="shared" ref="L2848" si="2787">"vs "&amp;F2849</f>
        <v>vs Tolios</v>
      </c>
      <c r="M2848">
        <v>133</v>
      </c>
      <c r="N2848" s="1">
        <v>0.50800000000000001</v>
      </c>
      <c r="O2848">
        <v>37</v>
      </c>
      <c r="P2848" s="1">
        <v>0.33900000000000002</v>
      </c>
      <c r="Q2848" s="1">
        <v>0.71099999999999997</v>
      </c>
      <c r="R2848">
        <v>362</v>
      </c>
      <c r="S2848">
        <v>31</v>
      </c>
      <c r="T2848">
        <v>108</v>
      </c>
      <c r="U2848">
        <v>105</v>
      </c>
      <c r="V2848">
        <v>24</v>
      </c>
      <c r="W2848">
        <v>9</v>
      </c>
      <c r="X2848">
        <v>55</v>
      </c>
      <c r="Y2848">
        <v>1.91</v>
      </c>
    </row>
    <row r="2849" spans="1:25" x14ac:dyDescent="0.25">
      <c r="A2849">
        <v>2025</v>
      </c>
      <c r="B2849" t="s">
        <v>57</v>
      </c>
      <c r="C2849">
        <v>9</v>
      </c>
      <c r="D2849">
        <v>91</v>
      </c>
      <c r="E2849" t="s">
        <v>96</v>
      </c>
      <c r="F2849" t="s">
        <v>102</v>
      </c>
      <c r="G2849">
        <f t="shared" si="2773"/>
        <v>0</v>
      </c>
      <c r="H2849">
        <v>4</v>
      </c>
      <c r="I2849">
        <v>8</v>
      </c>
      <c r="J2849">
        <v>1</v>
      </c>
      <c r="K2849" s="6" t="str">
        <f t="shared" ref="K2849" si="2788">"vs "&amp;E2848</f>
        <v>vs purple fuzzy apache pirates</v>
      </c>
      <c r="L2849" s="6" t="str">
        <f t="shared" ref="L2849" si="2789">"vs "&amp;F2848</f>
        <v>vs pi/Sotiris</v>
      </c>
      <c r="M2849">
        <v>120</v>
      </c>
      <c r="N2849" s="1">
        <v>0.46500000000000002</v>
      </c>
      <c r="O2849">
        <v>31</v>
      </c>
      <c r="P2849" s="1">
        <v>0.36499999999999999</v>
      </c>
      <c r="Q2849" s="1">
        <v>0.77600000000000002</v>
      </c>
      <c r="R2849">
        <v>330</v>
      </c>
      <c r="S2849">
        <v>32</v>
      </c>
      <c r="T2849">
        <v>85</v>
      </c>
      <c r="U2849">
        <v>92</v>
      </c>
      <c r="V2849">
        <v>37</v>
      </c>
      <c r="W2849">
        <v>9</v>
      </c>
      <c r="X2849">
        <v>65</v>
      </c>
      <c r="Y2849">
        <v>1.42</v>
      </c>
    </row>
    <row r="2850" spans="1:25" x14ac:dyDescent="0.25">
      <c r="A2850">
        <v>2025</v>
      </c>
      <c r="B2850" t="s">
        <v>57</v>
      </c>
      <c r="C2850">
        <v>9</v>
      </c>
      <c r="D2850">
        <v>92</v>
      </c>
      <c r="E2850" t="s">
        <v>181</v>
      </c>
      <c r="F2850" t="s">
        <v>49</v>
      </c>
      <c r="G2850">
        <f t="shared" si="2773"/>
        <v>1</v>
      </c>
      <c r="H2850">
        <v>9</v>
      </c>
      <c r="I2850">
        <v>4</v>
      </c>
      <c r="J2850">
        <v>0</v>
      </c>
      <c r="K2850" s="6" t="str">
        <f t="shared" ref="K2850" si="2790">"vs "&amp;E2851</f>
        <v>vs Pachiana NinjaBees</v>
      </c>
      <c r="L2850" s="6" t="str">
        <f t="shared" ref="L2850" si="2791">"vs "&amp;F2851</f>
        <v>vs Spiridaus/Oladipas</v>
      </c>
      <c r="M2850">
        <v>150</v>
      </c>
      <c r="N2850" s="1">
        <v>0.45300000000000001</v>
      </c>
      <c r="O2850">
        <v>43</v>
      </c>
      <c r="P2850" s="1">
        <v>0.33100000000000002</v>
      </c>
      <c r="Q2850" s="1">
        <v>0.84299999999999997</v>
      </c>
      <c r="R2850">
        <v>418</v>
      </c>
      <c r="S2850">
        <v>18</v>
      </c>
      <c r="T2850">
        <v>101</v>
      </c>
      <c r="U2850">
        <v>81</v>
      </c>
      <c r="V2850">
        <v>38</v>
      </c>
      <c r="W2850">
        <v>13</v>
      </c>
      <c r="X2850">
        <v>57</v>
      </c>
      <c r="Y2850">
        <v>1.42</v>
      </c>
    </row>
    <row r="2851" spans="1:25" x14ac:dyDescent="0.25">
      <c r="A2851">
        <v>2025</v>
      </c>
      <c r="B2851" t="s">
        <v>57</v>
      </c>
      <c r="C2851">
        <v>9</v>
      </c>
      <c r="D2851">
        <v>92</v>
      </c>
      <c r="E2851" t="s">
        <v>23</v>
      </c>
      <c r="F2851" t="s">
        <v>120</v>
      </c>
      <c r="G2851">
        <f t="shared" si="2773"/>
        <v>0</v>
      </c>
      <c r="H2851">
        <v>4</v>
      </c>
      <c r="I2851">
        <v>9</v>
      </c>
      <c r="J2851">
        <v>0</v>
      </c>
      <c r="K2851" s="6" t="str">
        <f t="shared" ref="K2851" si="2792">"vs "&amp;E2850</f>
        <v>vs Samarina Dudenbros</v>
      </c>
      <c r="L2851" s="6" t="str">
        <f t="shared" ref="L2851" si="2793">"vs "&amp;F2850</f>
        <v>vs Sakellariou</v>
      </c>
      <c r="M2851">
        <v>97</v>
      </c>
      <c r="N2851" s="1">
        <v>0.46899999999999997</v>
      </c>
      <c r="O2851">
        <v>38</v>
      </c>
      <c r="P2851" s="1">
        <v>0.35799999999999998</v>
      </c>
      <c r="Q2851" s="1">
        <v>0.76900000000000002</v>
      </c>
      <c r="R2851">
        <v>262</v>
      </c>
      <c r="S2851">
        <v>16</v>
      </c>
      <c r="T2851">
        <v>76</v>
      </c>
      <c r="U2851">
        <v>59</v>
      </c>
      <c r="V2851">
        <v>16</v>
      </c>
      <c r="W2851">
        <v>27</v>
      </c>
      <c r="X2851">
        <v>49</v>
      </c>
      <c r="Y2851">
        <v>1.2</v>
      </c>
    </row>
    <row r="2852" spans="1:25" x14ac:dyDescent="0.25">
      <c r="A2852">
        <v>2025</v>
      </c>
      <c r="B2852" t="s">
        <v>57</v>
      </c>
      <c r="C2852">
        <v>9</v>
      </c>
      <c r="D2852">
        <v>93</v>
      </c>
      <c r="E2852" t="s">
        <v>33</v>
      </c>
      <c r="F2852" t="s">
        <v>42</v>
      </c>
      <c r="G2852">
        <f t="shared" si="2773"/>
        <v>1</v>
      </c>
      <c r="H2852">
        <v>7</v>
      </c>
      <c r="I2852">
        <v>6</v>
      </c>
      <c r="J2852">
        <v>0</v>
      </c>
      <c r="K2852" s="6" t="str">
        <f t="shared" ref="K2852" si="2794">"vs "&amp;E2853</f>
        <v>vs Steven Adams' Moustache</v>
      </c>
      <c r="L2852" s="6" t="str">
        <f t="shared" ref="L2852" si="2795">"vs "&amp;F2853</f>
        <v>vs Johnny</v>
      </c>
      <c r="M2852">
        <v>140</v>
      </c>
      <c r="N2852" s="1">
        <v>0.48099999999999998</v>
      </c>
      <c r="O2852">
        <v>43</v>
      </c>
      <c r="P2852" s="1">
        <v>0.41</v>
      </c>
      <c r="Q2852" s="1">
        <v>0.73799999999999999</v>
      </c>
      <c r="R2852">
        <v>382</v>
      </c>
      <c r="S2852">
        <v>34</v>
      </c>
      <c r="T2852">
        <v>113</v>
      </c>
      <c r="U2852">
        <v>73</v>
      </c>
      <c r="V2852">
        <v>31</v>
      </c>
      <c r="W2852">
        <v>22</v>
      </c>
      <c r="X2852">
        <v>52</v>
      </c>
      <c r="Y2852">
        <v>1.4</v>
      </c>
    </row>
    <row r="2853" spans="1:25" x14ac:dyDescent="0.25">
      <c r="A2853">
        <v>2025</v>
      </c>
      <c r="B2853" t="s">
        <v>57</v>
      </c>
      <c r="C2853">
        <v>9</v>
      </c>
      <c r="D2853">
        <v>93</v>
      </c>
      <c r="E2853" t="s">
        <v>28</v>
      </c>
      <c r="F2853" t="s">
        <v>46</v>
      </c>
      <c r="G2853">
        <f t="shared" si="2773"/>
        <v>0</v>
      </c>
      <c r="H2853">
        <v>6</v>
      </c>
      <c r="I2853">
        <v>7</v>
      </c>
      <c r="J2853">
        <v>0</v>
      </c>
      <c r="K2853" s="6" t="str">
        <f t="shared" ref="K2853" si="2796">"vs "&amp;E2852</f>
        <v>vs The Guns</v>
      </c>
      <c r="L2853" s="6" t="str">
        <f t="shared" ref="L2853" si="2797">"vs "&amp;F2852</f>
        <v>vs Vasilis</v>
      </c>
      <c r="M2853">
        <v>116</v>
      </c>
      <c r="N2853" s="1">
        <v>0.46600000000000003</v>
      </c>
      <c r="O2853">
        <v>57</v>
      </c>
      <c r="P2853" s="1">
        <v>0.438</v>
      </c>
      <c r="Q2853" s="1">
        <v>0.81299999999999994</v>
      </c>
      <c r="R2853">
        <v>328</v>
      </c>
      <c r="S2853">
        <v>13</v>
      </c>
      <c r="T2853">
        <v>85</v>
      </c>
      <c r="U2853">
        <v>94</v>
      </c>
      <c r="V2853">
        <v>18</v>
      </c>
      <c r="W2853">
        <v>17</v>
      </c>
      <c r="X2853">
        <v>33</v>
      </c>
      <c r="Y2853">
        <v>2.85</v>
      </c>
    </row>
    <row r="2854" spans="1:25" x14ac:dyDescent="0.25">
      <c r="A2854">
        <v>2025</v>
      </c>
      <c r="B2854" t="s">
        <v>57</v>
      </c>
      <c r="C2854">
        <v>9</v>
      </c>
      <c r="D2854">
        <v>94</v>
      </c>
      <c r="E2854" t="s">
        <v>15</v>
      </c>
      <c r="F2854" t="s">
        <v>48</v>
      </c>
      <c r="G2854">
        <f t="shared" si="2773"/>
        <v>0</v>
      </c>
      <c r="H2854">
        <v>5</v>
      </c>
      <c r="I2854">
        <v>8</v>
      </c>
      <c r="J2854">
        <v>0</v>
      </c>
      <c r="K2854" s="6" t="str">
        <f t="shared" ref="K2854" si="2798">"vs "&amp;E2855</f>
        <v>vs st.Helens Eruptions</v>
      </c>
      <c r="L2854" s="6" t="str">
        <f t="shared" ref="L2854" si="2799">"vs "&amp;F2855</f>
        <v>vs Aris</v>
      </c>
      <c r="M2854">
        <v>99</v>
      </c>
      <c r="N2854" s="1">
        <v>0.41099999999999998</v>
      </c>
      <c r="O2854">
        <v>27</v>
      </c>
      <c r="P2854" s="1">
        <v>0.32100000000000001</v>
      </c>
      <c r="Q2854" s="1">
        <v>0.754</v>
      </c>
      <c r="R2854">
        <v>271</v>
      </c>
      <c r="S2854">
        <v>20</v>
      </c>
      <c r="T2854">
        <v>91</v>
      </c>
      <c r="U2854">
        <v>83</v>
      </c>
      <c r="V2854">
        <v>18</v>
      </c>
      <c r="W2854">
        <v>11</v>
      </c>
      <c r="X2854">
        <v>45</v>
      </c>
      <c r="Y2854">
        <v>1.84</v>
      </c>
    </row>
    <row r="2855" spans="1:25" x14ac:dyDescent="0.25">
      <c r="A2855">
        <v>2025</v>
      </c>
      <c r="B2855" t="s">
        <v>57</v>
      </c>
      <c r="C2855">
        <v>9</v>
      </c>
      <c r="D2855">
        <v>94</v>
      </c>
      <c r="E2855" t="s">
        <v>21</v>
      </c>
      <c r="F2855" t="s">
        <v>50</v>
      </c>
      <c r="G2855">
        <f t="shared" si="2773"/>
        <v>1</v>
      </c>
      <c r="H2855">
        <v>8</v>
      </c>
      <c r="I2855">
        <v>5</v>
      </c>
      <c r="J2855">
        <v>0</v>
      </c>
      <c r="K2855" s="6" t="str">
        <f t="shared" ref="K2855" si="2800">"vs "&amp;E2854</f>
        <v>vs Salonika Devils</v>
      </c>
      <c r="L2855" s="6" t="str">
        <f t="shared" ref="L2855" si="2801">"vs "&amp;F2854</f>
        <v>vs Fountos</v>
      </c>
      <c r="M2855">
        <v>84</v>
      </c>
      <c r="N2855" s="1">
        <v>0.41199999999999998</v>
      </c>
      <c r="O2855">
        <v>30</v>
      </c>
      <c r="P2855" s="1">
        <v>0.36099999999999999</v>
      </c>
      <c r="Q2855" s="1">
        <v>0.75900000000000001</v>
      </c>
      <c r="R2855">
        <v>239</v>
      </c>
      <c r="S2855">
        <v>27</v>
      </c>
      <c r="T2855">
        <v>78</v>
      </c>
      <c r="U2855">
        <v>52</v>
      </c>
      <c r="V2855">
        <v>25</v>
      </c>
      <c r="W2855">
        <v>15</v>
      </c>
      <c r="X2855">
        <v>34</v>
      </c>
      <c r="Y2855">
        <v>1.53</v>
      </c>
    </row>
    <row r="2856" spans="1:25" x14ac:dyDescent="0.25">
      <c r="A2856">
        <v>2025</v>
      </c>
      <c r="B2856" t="s">
        <v>57</v>
      </c>
      <c r="C2856">
        <v>9</v>
      </c>
      <c r="D2856">
        <v>95</v>
      </c>
      <c r="E2856" t="s">
        <v>184</v>
      </c>
      <c r="F2856" t="s">
        <v>188</v>
      </c>
      <c r="G2856">
        <f t="shared" si="2773"/>
        <v>1</v>
      </c>
      <c r="H2856">
        <v>7</v>
      </c>
      <c r="I2856">
        <v>6</v>
      </c>
      <c r="J2856">
        <v>0</v>
      </c>
      <c r="K2856" s="6" t="str">
        <f t="shared" ref="K2856" si="2802">"vs "&amp;E2857</f>
        <v>vs The Bad Boys</v>
      </c>
      <c r="L2856" s="6" t="str">
        <f t="shared" ref="L2856" si="2803">"vs "&amp;F2857</f>
        <v>vs Arvanitis</v>
      </c>
      <c r="M2856">
        <v>115</v>
      </c>
      <c r="N2856" s="1">
        <v>0.45500000000000002</v>
      </c>
      <c r="O2856">
        <v>30</v>
      </c>
      <c r="P2856" s="1">
        <v>0.316</v>
      </c>
      <c r="Q2856" s="1">
        <v>0.72699999999999998</v>
      </c>
      <c r="R2856">
        <v>300</v>
      </c>
      <c r="S2856">
        <v>29</v>
      </c>
      <c r="T2856">
        <v>103</v>
      </c>
      <c r="U2856">
        <v>63</v>
      </c>
      <c r="V2856">
        <v>24</v>
      </c>
      <c r="W2856">
        <v>10</v>
      </c>
      <c r="X2856">
        <v>43</v>
      </c>
      <c r="Y2856">
        <v>1.47</v>
      </c>
    </row>
    <row r="2857" spans="1:25" x14ac:dyDescent="0.25">
      <c r="A2857">
        <v>2025</v>
      </c>
      <c r="B2857" t="s">
        <v>57</v>
      </c>
      <c r="C2857">
        <v>9</v>
      </c>
      <c r="D2857">
        <v>95</v>
      </c>
      <c r="E2857" t="s">
        <v>154</v>
      </c>
      <c r="F2857" t="s">
        <v>155</v>
      </c>
      <c r="G2857">
        <f t="shared" si="2773"/>
        <v>0</v>
      </c>
      <c r="H2857">
        <v>6</v>
      </c>
      <c r="I2857">
        <v>7</v>
      </c>
      <c r="J2857">
        <v>0</v>
      </c>
      <c r="K2857" s="6" t="str">
        <f t="shared" ref="K2857" si="2804">"vs "&amp;E2856</f>
        <v>vs Heraklion Snakes</v>
      </c>
      <c r="L2857" s="6" t="str">
        <f t="shared" ref="L2857" si="2805">"vs "&amp;F2856</f>
        <v>vs Dimitris</v>
      </c>
      <c r="M2857">
        <v>82</v>
      </c>
      <c r="N2857" s="1">
        <v>0.53200000000000003</v>
      </c>
      <c r="O2857">
        <v>20</v>
      </c>
      <c r="P2857" s="1">
        <v>0.40799999999999997</v>
      </c>
      <c r="Q2857" s="1">
        <v>0.78600000000000003</v>
      </c>
      <c r="R2857">
        <v>217</v>
      </c>
      <c r="S2857">
        <v>35</v>
      </c>
      <c r="T2857">
        <v>77</v>
      </c>
      <c r="U2857">
        <v>50</v>
      </c>
      <c r="V2857">
        <v>13</v>
      </c>
      <c r="W2857">
        <v>18</v>
      </c>
      <c r="X2857">
        <v>40</v>
      </c>
      <c r="Y2857">
        <v>1.25</v>
      </c>
    </row>
    <row r="2858" spans="1:25" x14ac:dyDescent="0.25">
      <c r="A2858">
        <v>2025</v>
      </c>
      <c r="B2858" t="s">
        <v>57</v>
      </c>
      <c r="C2858">
        <v>9</v>
      </c>
      <c r="D2858">
        <v>96</v>
      </c>
      <c r="E2858" t="s">
        <v>186</v>
      </c>
      <c r="F2858" t="s">
        <v>103</v>
      </c>
      <c r="G2858">
        <f t="shared" si="2773"/>
        <v>1</v>
      </c>
      <c r="H2858">
        <v>7</v>
      </c>
      <c r="I2858">
        <v>5</v>
      </c>
      <c r="J2858">
        <v>1</v>
      </c>
      <c r="K2858" s="6" t="str">
        <f t="shared" ref="K2858" si="2806">"vs "&amp;E2859</f>
        <v>vs Xanthi Ducks 🦆</v>
      </c>
      <c r="L2858" s="6" t="str">
        <f t="shared" ref="L2858" si="2807">"vs "&amp;F2859</f>
        <v>vs Kotakis</v>
      </c>
      <c r="M2858">
        <v>149</v>
      </c>
      <c r="N2858" s="1">
        <v>0.46899999999999997</v>
      </c>
      <c r="O2858">
        <v>54</v>
      </c>
      <c r="P2858" s="1">
        <v>0.40300000000000002</v>
      </c>
      <c r="Q2858" s="1">
        <v>0.81299999999999994</v>
      </c>
      <c r="R2858">
        <v>404</v>
      </c>
      <c r="S2858">
        <v>29</v>
      </c>
      <c r="T2858">
        <v>103</v>
      </c>
      <c r="U2858">
        <v>108</v>
      </c>
      <c r="V2858">
        <v>27</v>
      </c>
      <c r="W2858">
        <v>9</v>
      </c>
      <c r="X2858">
        <v>59</v>
      </c>
      <c r="Y2858">
        <v>1.83</v>
      </c>
    </row>
    <row r="2859" spans="1:25" x14ac:dyDescent="0.25">
      <c r="A2859">
        <v>2025</v>
      </c>
      <c r="B2859" t="s">
        <v>57</v>
      </c>
      <c r="C2859">
        <v>9</v>
      </c>
      <c r="D2859">
        <v>96</v>
      </c>
      <c r="E2859" t="s">
        <v>98</v>
      </c>
      <c r="F2859" t="s">
        <v>41</v>
      </c>
      <c r="G2859">
        <f t="shared" si="2773"/>
        <v>0</v>
      </c>
      <c r="H2859">
        <v>5</v>
      </c>
      <c r="I2859">
        <v>7</v>
      </c>
      <c r="J2859">
        <v>1</v>
      </c>
      <c r="K2859" s="6" t="str">
        <f t="shared" ref="K2859" si="2808">"vs "&amp;E2858</f>
        <v>vs Karafli Saita</v>
      </c>
      <c r="L2859" s="6" t="str">
        <f t="shared" ref="L2859" si="2809">"vs "&amp;F2858</f>
        <v>vs Tassos</v>
      </c>
      <c r="M2859">
        <v>141</v>
      </c>
      <c r="N2859" s="1">
        <v>0.45900000000000002</v>
      </c>
      <c r="O2859">
        <v>51</v>
      </c>
      <c r="P2859" s="1">
        <v>0.375</v>
      </c>
      <c r="Q2859" s="1">
        <v>0.64900000000000002</v>
      </c>
      <c r="R2859">
        <v>370</v>
      </c>
      <c r="S2859">
        <v>46</v>
      </c>
      <c r="T2859">
        <v>122</v>
      </c>
      <c r="U2859">
        <v>93</v>
      </c>
      <c r="V2859">
        <v>32</v>
      </c>
      <c r="W2859">
        <v>9</v>
      </c>
      <c r="X2859">
        <v>36</v>
      </c>
      <c r="Y2859">
        <v>2.58</v>
      </c>
    </row>
    <row r="2860" spans="1:25" x14ac:dyDescent="0.25">
      <c r="A2860">
        <v>2025</v>
      </c>
      <c r="B2860" t="s">
        <v>57</v>
      </c>
      <c r="C2860">
        <v>9</v>
      </c>
      <c r="D2860">
        <v>97</v>
      </c>
      <c r="E2860" t="s">
        <v>94</v>
      </c>
      <c r="F2860" t="s">
        <v>40</v>
      </c>
      <c r="G2860">
        <f t="shared" si="2773"/>
        <v>1</v>
      </c>
      <c r="H2860">
        <v>10</v>
      </c>
      <c r="I2860">
        <v>3</v>
      </c>
      <c r="J2860">
        <v>0</v>
      </c>
      <c r="K2860" s="6" t="str">
        <f t="shared" ref="K2860" si="2810">"vs "&amp;E2861</f>
        <v>vs Tsarlatans</v>
      </c>
      <c r="L2860" s="6" t="str">
        <f t="shared" ref="L2860" si="2811">"vs "&amp;F2861</f>
        <v>vs Tzokos</v>
      </c>
      <c r="M2860">
        <v>113</v>
      </c>
      <c r="N2860" s="1">
        <v>0.47499999999999998</v>
      </c>
      <c r="O2860">
        <v>32</v>
      </c>
      <c r="P2860" s="1">
        <v>0.34399999999999997</v>
      </c>
      <c r="Q2860" s="1">
        <v>0.84399999999999997</v>
      </c>
      <c r="R2860">
        <v>296</v>
      </c>
      <c r="S2860">
        <v>33</v>
      </c>
      <c r="T2860">
        <v>83</v>
      </c>
      <c r="U2860">
        <v>87</v>
      </c>
      <c r="V2860">
        <v>20</v>
      </c>
      <c r="W2860">
        <v>15</v>
      </c>
      <c r="X2860">
        <v>30</v>
      </c>
      <c r="Y2860">
        <v>2.9</v>
      </c>
    </row>
    <row r="2861" spans="1:25" x14ac:dyDescent="0.25">
      <c r="A2861">
        <v>2025</v>
      </c>
      <c r="B2861" t="s">
        <v>57</v>
      </c>
      <c r="C2861">
        <v>9</v>
      </c>
      <c r="D2861">
        <v>97</v>
      </c>
      <c r="E2861" t="s">
        <v>99</v>
      </c>
      <c r="F2861" t="s">
        <v>45</v>
      </c>
      <c r="G2861">
        <f t="shared" si="2773"/>
        <v>0</v>
      </c>
      <c r="H2861">
        <v>3</v>
      </c>
      <c r="I2861">
        <v>10</v>
      </c>
      <c r="J2861">
        <v>0</v>
      </c>
      <c r="K2861" s="6" t="str">
        <f t="shared" ref="K2861" si="2812">"vs "&amp;E2860</f>
        <v>vs Fighting Thaddeus</v>
      </c>
      <c r="L2861" s="6" t="str">
        <f t="shared" ref="L2861" si="2813">"vs "&amp;F2860</f>
        <v>vs Stavros</v>
      </c>
      <c r="M2861">
        <v>96</v>
      </c>
      <c r="N2861" s="1">
        <v>0.60799999999999998</v>
      </c>
      <c r="O2861">
        <v>21</v>
      </c>
      <c r="P2861" s="1">
        <v>0.36199999999999999</v>
      </c>
      <c r="Q2861" s="1">
        <v>0.83699999999999997</v>
      </c>
      <c r="R2861">
        <v>249</v>
      </c>
      <c r="S2861">
        <v>18</v>
      </c>
      <c r="T2861">
        <v>64</v>
      </c>
      <c r="U2861">
        <v>34</v>
      </c>
      <c r="V2861">
        <v>11</v>
      </c>
      <c r="W2861">
        <v>14</v>
      </c>
      <c r="X2861">
        <v>15</v>
      </c>
      <c r="Y2861">
        <v>2.27</v>
      </c>
    </row>
    <row r="2862" spans="1:25" x14ac:dyDescent="0.25">
      <c r="A2862">
        <v>2025</v>
      </c>
      <c r="B2862" t="s">
        <v>57</v>
      </c>
      <c r="C2862">
        <v>9</v>
      </c>
      <c r="D2862">
        <v>98</v>
      </c>
      <c r="E2862" t="s">
        <v>185</v>
      </c>
      <c r="F2862" t="s">
        <v>100</v>
      </c>
      <c r="G2862">
        <f t="shared" si="2773"/>
        <v>1</v>
      </c>
      <c r="H2862">
        <v>11</v>
      </c>
      <c r="I2862">
        <v>2</v>
      </c>
      <c r="J2862">
        <v>0</v>
      </c>
      <c r="K2862" s="6" t="str">
        <f t="shared" ref="K2862" si="2814">"vs "&amp;E2863</f>
        <v>vs Kourayo Vallecano</v>
      </c>
      <c r="L2862" s="6" t="str">
        <f t="shared" ref="L2862" si="2815">"vs "&amp;F2863</f>
        <v>vs Ziogas/Christof</v>
      </c>
      <c r="M2862">
        <v>151</v>
      </c>
      <c r="N2862" s="1">
        <v>0.51700000000000002</v>
      </c>
      <c r="O2862">
        <v>52</v>
      </c>
      <c r="P2862" s="1">
        <v>0.40600000000000003</v>
      </c>
      <c r="Q2862" s="1">
        <v>0.754</v>
      </c>
      <c r="R2862">
        <v>403</v>
      </c>
      <c r="S2862">
        <v>35</v>
      </c>
      <c r="T2862">
        <v>95</v>
      </c>
      <c r="U2862">
        <v>58</v>
      </c>
      <c r="V2862">
        <v>27</v>
      </c>
      <c r="W2862">
        <v>8</v>
      </c>
      <c r="X2862">
        <v>31</v>
      </c>
      <c r="Y2862">
        <v>1.87</v>
      </c>
    </row>
    <row r="2863" spans="1:25" x14ac:dyDescent="0.25">
      <c r="A2863">
        <v>2025</v>
      </c>
      <c r="B2863" t="s">
        <v>57</v>
      </c>
      <c r="C2863">
        <v>9</v>
      </c>
      <c r="D2863">
        <v>98</v>
      </c>
      <c r="E2863" t="s">
        <v>26</v>
      </c>
      <c r="F2863" t="s">
        <v>118</v>
      </c>
      <c r="G2863">
        <f t="shared" si="2773"/>
        <v>0</v>
      </c>
      <c r="H2863">
        <v>2</v>
      </c>
      <c r="I2863">
        <v>11</v>
      </c>
      <c r="J2863">
        <v>0</v>
      </c>
      <c r="K2863" s="6" t="str">
        <f t="shared" ref="K2863" si="2816">"vs "&amp;E2862</f>
        <v>vs Paralouistas</v>
      </c>
      <c r="L2863" s="6" t="str">
        <f t="shared" ref="L2863" si="2817">"vs "&amp;F2862</f>
        <v>vs Panos</v>
      </c>
      <c r="M2863">
        <v>111</v>
      </c>
      <c r="N2863" s="1">
        <v>0.44600000000000001</v>
      </c>
      <c r="O2863">
        <v>32</v>
      </c>
      <c r="P2863" s="1">
        <v>0.30499999999999999</v>
      </c>
      <c r="Q2863" s="1">
        <v>0.79700000000000004</v>
      </c>
      <c r="R2863">
        <v>317</v>
      </c>
      <c r="S2863">
        <v>22</v>
      </c>
      <c r="T2863">
        <v>93</v>
      </c>
      <c r="U2863">
        <v>55</v>
      </c>
      <c r="V2863">
        <v>20</v>
      </c>
      <c r="W2863">
        <v>12</v>
      </c>
      <c r="X2863">
        <v>45</v>
      </c>
      <c r="Y2863">
        <v>1.22</v>
      </c>
    </row>
    <row r="2864" spans="1:25" x14ac:dyDescent="0.25">
      <c r="A2864">
        <v>2025</v>
      </c>
      <c r="B2864" t="s">
        <v>57</v>
      </c>
      <c r="C2864">
        <v>9</v>
      </c>
      <c r="D2864">
        <v>99</v>
      </c>
      <c r="E2864" t="s">
        <v>16</v>
      </c>
      <c r="F2864" t="s">
        <v>51</v>
      </c>
      <c r="G2864">
        <f t="shared" si="2773"/>
        <v>1</v>
      </c>
      <c r="H2864">
        <v>11</v>
      </c>
      <c r="I2864">
        <v>2</v>
      </c>
      <c r="J2864">
        <v>0</v>
      </c>
      <c r="K2864" s="6" t="str">
        <f t="shared" ref="K2864" si="2818">"vs "&amp;E2865</f>
        <v>vs LRBP PR3DATORS</v>
      </c>
      <c r="L2864" s="6" t="str">
        <f t="shared" ref="L2864" si="2819">"vs "&amp;F2865</f>
        <v>vs Lafa</v>
      </c>
      <c r="M2864">
        <v>124</v>
      </c>
      <c r="N2864" s="1">
        <v>0.52800000000000002</v>
      </c>
      <c r="O2864">
        <v>34</v>
      </c>
      <c r="P2864" s="1">
        <v>0.436</v>
      </c>
      <c r="Q2864" s="1">
        <v>0.71399999999999997</v>
      </c>
      <c r="R2864">
        <v>342</v>
      </c>
      <c r="S2864">
        <v>25</v>
      </c>
      <c r="T2864">
        <v>114</v>
      </c>
      <c r="U2864">
        <v>94</v>
      </c>
      <c r="V2864">
        <v>30</v>
      </c>
      <c r="W2864">
        <v>13</v>
      </c>
      <c r="X2864">
        <v>45</v>
      </c>
      <c r="Y2864">
        <v>2.09</v>
      </c>
    </row>
    <row r="2865" spans="1:25" x14ac:dyDescent="0.25">
      <c r="A2865">
        <v>2025</v>
      </c>
      <c r="B2865" t="s">
        <v>57</v>
      </c>
      <c r="C2865">
        <v>9</v>
      </c>
      <c r="D2865">
        <v>99</v>
      </c>
      <c r="E2865" t="s">
        <v>158</v>
      </c>
      <c r="F2865" t="s">
        <v>177</v>
      </c>
      <c r="G2865">
        <f t="shared" si="2773"/>
        <v>0</v>
      </c>
      <c r="H2865">
        <v>2</v>
      </c>
      <c r="I2865">
        <v>11</v>
      </c>
      <c r="J2865">
        <v>0</v>
      </c>
      <c r="K2865" s="6" t="str">
        <f t="shared" ref="K2865" si="2820">"vs "&amp;E2864</f>
        <v>vs The Bridgeburners</v>
      </c>
      <c r="L2865" s="6" t="str">
        <f t="shared" ref="L2865" si="2821">"vs "&amp;F2864</f>
        <v>vs Fanis</v>
      </c>
      <c r="M2865">
        <v>104</v>
      </c>
      <c r="N2865" s="1">
        <v>0.5</v>
      </c>
      <c r="O2865">
        <v>33</v>
      </c>
      <c r="P2865" s="1">
        <v>0.39800000000000002</v>
      </c>
      <c r="Q2865" s="1">
        <v>0.83699999999999997</v>
      </c>
      <c r="R2865">
        <v>282</v>
      </c>
      <c r="S2865">
        <v>8</v>
      </c>
      <c r="T2865">
        <v>79</v>
      </c>
      <c r="U2865">
        <v>63</v>
      </c>
      <c r="V2865">
        <v>22</v>
      </c>
      <c r="W2865">
        <v>12</v>
      </c>
      <c r="X2865">
        <v>38</v>
      </c>
      <c r="Y2865">
        <v>1.66</v>
      </c>
    </row>
    <row r="2866" spans="1:25" x14ac:dyDescent="0.25">
      <c r="A2866">
        <v>2025</v>
      </c>
      <c r="B2866" t="s">
        <v>57</v>
      </c>
      <c r="C2866">
        <v>9</v>
      </c>
      <c r="D2866">
        <v>100</v>
      </c>
      <c r="E2866" t="s">
        <v>93</v>
      </c>
      <c r="F2866" t="s">
        <v>189</v>
      </c>
      <c r="G2866">
        <f t="shared" si="2773"/>
        <v>1</v>
      </c>
      <c r="H2866">
        <v>7</v>
      </c>
      <c r="I2866">
        <v>6</v>
      </c>
      <c r="J2866">
        <v>0</v>
      </c>
      <c r="K2866" s="6" t="str">
        <f t="shared" ref="K2866" si="2822">"vs "&amp;E2867</f>
        <v>vs Baltimore Hercules</v>
      </c>
      <c r="L2866" s="6" t="str">
        <f t="shared" ref="L2866" si="2823">"vs "&amp;F2867</f>
        <v>vs Sarantos</v>
      </c>
      <c r="M2866">
        <v>132</v>
      </c>
      <c r="N2866" s="1">
        <v>0.48199999999999998</v>
      </c>
      <c r="O2866">
        <v>52</v>
      </c>
      <c r="P2866" s="1">
        <v>0.38500000000000001</v>
      </c>
      <c r="Q2866" s="1">
        <v>0.82</v>
      </c>
      <c r="R2866">
        <v>389</v>
      </c>
      <c r="S2866">
        <v>13</v>
      </c>
      <c r="T2866">
        <v>94</v>
      </c>
      <c r="U2866">
        <v>90</v>
      </c>
      <c r="V2866">
        <v>20</v>
      </c>
      <c r="W2866">
        <v>12</v>
      </c>
      <c r="X2866">
        <v>51</v>
      </c>
      <c r="Y2866">
        <v>1.76</v>
      </c>
    </row>
    <row r="2867" spans="1:25" x14ac:dyDescent="0.25">
      <c r="A2867">
        <v>2025</v>
      </c>
      <c r="B2867" t="s">
        <v>57</v>
      </c>
      <c r="C2867">
        <v>9</v>
      </c>
      <c r="D2867">
        <v>100</v>
      </c>
      <c r="E2867" t="s">
        <v>95</v>
      </c>
      <c r="F2867" t="s">
        <v>101</v>
      </c>
      <c r="G2867">
        <f t="shared" si="2773"/>
        <v>0</v>
      </c>
      <c r="H2867">
        <v>6</v>
      </c>
      <c r="I2867">
        <v>7</v>
      </c>
      <c r="J2867">
        <v>0</v>
      </c>
      <c r="K2867" s="6" t="str">
        <f t="shared" ref="K2867" si="2824">"vs "&amp;E2866</f>
        <v>vs Guruuu 🐐🐐🐐</v>
      </c>
      <c r="L2867" s="6" t="str">
        <f t="shared" ref="L2867" si="2825">"vs "&amp;F2866</f>
        <v>vs Guru</v>
      </c>
      <c r="M2867">
        <v>118</v>
      </c>
      <c r="N2867" s="1">
        <v>0.47</v>
      </c>
      <c r="O2867">
        <v>40</v>
      </c>
      <c r="P2867" s="1">
        <v>0.40400000000000003</v>
      </c>
      <c r="Q2867" s="1">
        <v>0.83899999999999997</v>
      </c>
      <c r="R2867">
        <v>323</v>
      </c>
      <c r="S2867">
        <v>36</v>
      </c>
      <c r="T2867">
        <v>77</v>
      </c>
      <c r="U2867">
        <v>73</v>
      </c>
      <c r="V2867">
        <v>24</v>
      </c>
      <c r="W2867">
        <v>10</v>
      </c>
      <c r="X2867">
        <v>37</v>
      </c>
      <c r="Y2867">
        <v>1.97</v>
      </c>
    </row>
    <row r="2868" spans="1:25" x14ac:dyDescent="0.25">
      <c r="A2868">
        <v>2025</v>
      </c>
      <c r="B2868" t="s">
        <v>57</v>
      </c>
      <c r="C2868">
        <v>10</v>
      </c>
      <c r="D2868">
        <v>101</v>
      </c>
      <c r="E2868" t="s">
        <v>96</v>
      </c>
      <c r="F2868" t="s">
        <v>102</v>
      </c>
      <c r="G2868">
        <f t="shared" si="2773"/>
        <v>0</v>
      </c>
      <c r="H2868">
        <v>5</v>
      </c>
      <c r="I2868">
        <v>8</v>
      </c>
      <c r="J2868">
        <v>0</v>
      </c>
      <c r="K2868" s="6" t="str">
        <f t="shared" ref="K2868" si="2826">"vs "&amp;E2869</f>
        <v>vs Samarina Dudenbros</v>
      </c>
      <c r="L2868" s="6" t="str">
        <f t="shared" ref="L2868" si="2827">"vs "&amp;F2869</f>
        <v>vs Sakellariou</v>
      </c>
      <c r="M2868">
        <v>156</v>
      </c>
      <c r="N2868" s="1">
        <v>0.437</v>
      </c>
      <c r="O2868">
        <v>38</v>
      </c>
      <c r="P2868" s="1">
        <v>0.32800000000000001</v>
      </c>
      <c r="Q2868" s="1">
        <v>0.84299999999999997</v>
      </c>
      <c r="R2868">
        <v>393</v>
      </c>
      <c r="S2868">
        <v>44</v>
      </c>
      <c r="T2868">
        <v>114</v>
      </c>
      <c r="U2868">
        <v>128</v>
      </c>
      <c r="V2868">
        <v>21</v>
      </c>
      <c r="W2868">
        <v>12</v>
      </c>
      <c r="X2868">
        <v>53</v>
      </c>
      <c r="Y2868">
        <v>2.42</v>
      </c>
    </row>
    <row r="2869" spans="1:25" x14ac:dyDescent="0.25">
      <c r="A2869">
        <v>2025</v>
      </c>
      <c r="B2869" t="s">
        <v>57</v>
      </c>
      <c r="C2869">
        <v>10</v>
      </c>
      <c r="D2869">
        <v>101</v>
      </c>
      <c r="E2869" t="s">
        <v>181</v>
      </c>
      <c r="F2869" t="s">
        <v>49</v>
      </c>
      <c r="G2869">
        <f t="shared" si="2773"/>
        <v>1</v>
      </c>
      <c r="H2869">
        <v>8</v>
      </c>
      <c r="I2869">
        <v>5</v>
      </c>
      <c r="J2869">
        <v>0</v>
      </c>
      <c r="K2869" s="6" t="str">
        <f t="shared" ref="K2869" si="2828">"vs "&amp;E2868</f>
        <v>vs Knights of Ni</v>
      </c>
      <c r="L2869" s="6" t="str">
        <f t="shared" ref="L2869" si="2829">"vs "&amp;F2868</f>
        <v>vs Tolios</v>
      </c>
      <c r="M2869">
        <v>142</v>
      </c>
      <c r="N2869" s="1">
        <v>0.46600000000000003</v>
      </c>
      <c r="O2869">
        <v>44</v>
      </c>
      <c r="P2869" s="1">
        <v>0.34100000000000003</v>
      </c>
      <c r="Q2869" s="1">
        <v>0.86399999999999999</v>
      </c>
      <c r="R2869">
        <v>398</v>
      </c>
      <c r="S2869">
        <v>24</v>
      </c>
      <c r="T2869">
        <v>104</v>
      </c>
      <c r="U2869">
        <v>110</v>
      </c>
      <c r="V2869">
        <v>31</v>
      </c>
      <c r="W2869">
        <v>17</v>
      </c>
      <c r="X2869">
        <v>47</v>
      </c>
      <c r="Y2869">
        <v>2.34</v>
      </c>
    </row>
    <row r="2870" spans="1:25" x14ac:dyDescent="0.25">
      <c r="A2870">
        <v>2025</v>
      </c>
      <c r="B2870" t="s">
        <v>57</v>
      </c>
      <c r="C2870">
        <v>10</v>
      </c>
      <c r="D2870">
        <v>102</v>
      </c>
      <c r="E2870" t="s">
        <v>159</v>
      </c>
      <c r="F2870" t="s">
        <v>116</v>
      </c>
      <c r="G2870">
        <f t="shared" si="2773"/>
        <v>0</v>
      </c>
      <c r="H2870">
        <v>4</v>
      </c>
      <c r="I2870">
        <v>9</v>
      </c>
      <c r="J2870">
        <v>0</v>
      </c>
      <c r="K2870" s="6" t="str">
        <f t="shared" ref="K2870" si="2830">"vs "&amp;E2871</f>
        <v>vs The Guns</v>
      </c>
      <c r="L2870" s="6" t="str">
        <f t="shared" ref="L2870" si="2831">"vs "&amp;F2871</f>
        <v>vs Vasilis</v>
      </c>
      <c r="M2870">
        <v>169</v>
      </c>
      <c r="N2870" s="1">
        <v>0.51100000000000001</v>
      </c>
      <c r="O2870">
        <v>61</v>
      </c>
      <c r="P2870" s="1">
        <v>0.39400000000000002</v>
      </c>
      <c r="Q2870" s="1">
        <v>0.753</v>
      </c>
      <c r="R2870">
        <v>460</v>
      </c>
      <c r="S2870">
        <v>32</v>
      </c>
      <c r="T2870">
        <v>115</v>
      </c>
      <c r="U2870">
        <v>126</v>
      </c>
      <c r="V2870">
        <v>22</v>
      </c>
      <c r="W2870">
        <v>5</v>
      </c>
      <c r="X2870">
        <v>61</v>
      </c>
      <c r="Y2870">
        <v>2.0699999999999998</v>
      </c>
    </row>
    <row r="2871" spans="1:25" x14ac:dyDescent="0.25">
      <c r="A2871">
        <v>2025</v>
      </c>
      <c r="B2871" t="s">
        <v>57</v>
      </c>
      <c r="C2871">
        <v>10</v>
      </c>
      <c r="D2871">
        <v>102</v>
      </c>
      <c r="E2871" t="s">
        <v>33</v>
      </c>
      <c r="F2871" t="s">
        <v>42</v>
      </c>
      <c r="G2871">
        <f t="shared" si="2773"/>
        <v>1</v>
      </c>
      <c r="H2871">
        <v>9</v>
      </c>
      <c r="I2871">
        <v>4</v>
      </c>
      <c r="J2871">
        <v>0</v>
      </c>
      <c r="K2871" s="6" t="str">
        <f t="shared" ref="K2871" si="2832">"vs "&amp;E2870</f>
        <v>vs purple fuzzy apache pirates</v>
      </c>
      <c r="L2871" s="6" t="str">
        <f t="shared" ref="L2871" si="2833">"vs "&amp;F2870</f>
        <v>vs pi/Sotiris</v>
      </c>
      <c r="M2871">
        <v>173</v>
      </c>
      <c r="N2871" s="1">
        <v>0.48899999999999999</v>
      </c>
      <c r="O2871">
        <v>50</v>
      </c>
      <c r="P2871" s="1">
        <v>0.36199999999999999</v>
      </c>
      <c r="Q2871" s="1">
        <v>0.85</v>
      </c>
      <c r="R2871">
        <v>504</v>
      </c>
      <c r="S2871">
        <v>35</v>
      </c>
      <c r="T2871">
        <v>156</v>
      </c>
      <c r="U2871">
        <v>120</v>
      </c>
      <c r="V2871">
        <v>24</v>
      </c>
      <c r="W2871">
        <v>31</v>
      </c>
      <c r="X2871">
        <v>49</v>
      </c>
      <c r="Y2871">
        <v>2.4500000000000002</v>
      </c>
    </row>
    <row r="2872" spans="1:25" x14ac:dyDescent="0.25">
      <c r="A2872">
        <v>2025</v>
      </c>
      <c r="B2872" t="s">
        <v>57</v>
      </c>
      <c r="C2872">
        <v>10</v>
      </c>
      <c r="D2872">
        <v>103</v>
      </c>
      <c r="E2872" t="s">
        <v>23</v>
      </c>
      <c r="F2872" t="s">
        <v>120</v>
      </c>
      <c r="G2872">
        <f t="shared" si="2773"/>
        <v>1</v>
      </c>
      <c r="H2872">
        <v>8</v>
      </c>
      <c r="I2872">
        <v>5</v>
      </c>
      <c r="J2872">
        <v>0</v>
      </c>
      <c r="K2872" s="6" t="str">
        <f t="shared" ref="K2872" si="2834">"vs "&amp;E2873</f>
        <v>vs Salonika Devils</v>
      </c>
      <c r="L2872" s="6" t="str">
        <f t="shared" ref="L2872" si="2835">"vs "&amp;F2873</f>
        <v>vs Fountos</v>
      </c>
      <c r="M2872">
        <v>190</v>
      </c>
      <c r="N2872" s="1">
        <v>0.5</v>
      </c>
      <c r="O2872">
        <v>63</v>
      </c>
      <c r="P2872" s="1">
        <v>0.41199999999999998</v>
      </c>
      <c r="Q2872" s="1">
        <v>0.83799999999999997</v>
      </c>
      <c r="R2872">
        <v>505</v>
      </c>
      <c r="S2872">
        <v>33</v>
      </c>
      <c r="T2872">
        <v>139</v>
      </c>
      <c r="U2872">
        <v>101</v>
      </c>
      <c r="V2872">
        <v>28</v>
      </c>
      <c r="W2872">
        <v>35</v>
      </c>
      <c r="X2872">
        <v>77</v>
      </c>
      <c r="Y2872">
        <v>1.31</v>
      </c>
    </row>
    <row r="2873" spans="1:25" x14ac:dyDescent="0.25">
      <c r="A2873">
        <v>2025</v>
      </c>
      <c r="B2873" t="s">
        <v>57</v>
      </c>
      <c r="C2873">
        <v>10</v>
      </c>
      <c r="D2873">
        <v>103</v>
      </c>
      <c r="E2873" t="s">
        <v>15</v>
      </c>
      <c r="F2873" t="s">
        <v>48</v>
      </c>
      <c r="G2873">
        <f t="shared" si="2773"/>
        <v>0</v>
      </c>
      <c r="H2873">
        <v>5</v>
      </c>
      <c r="I2873">
        <v>8</v>
      </c>
      <c r="J2873">
        <v>0</v>
      </c>
      <c r="K2873" s="6" t="str">
        <f t="shared" ref="K2873" si="2836">"vs "&amp;E2872</f>
        <v>vs Pachiana NinjaBees</v>
      </c>
      <c r="L2873" s="6" t="str">
        <f t="shared" ref="L2873" si="2837">"vs "&amp;F2872</f>
        <v>vs Spiridaus/Oladipas</v>
      </c>
      <c r="M2873">
        <v>164</v>
      </c>
      <c r="N2873" s="1">
        <v>0.437</v>
      </c>
      <c r="O2873">
        <v>57</v>
      </c>
      <c r="P2873" s="1">
        <v>0.35399999999999998</v>
      </c>
      <c r="Q2873" s="1">
        <v>0.80300000000000005</v>
      </c>
      <c r="R2873">
        <v>434</v>
      </c>
      <c r="S2873">
        <v>35</v>
      </c>
      <c r="T2873">
        <v>124</v>
      </c>
      <c r="U2873">
        <v>102</v>
      </c>
      <c r="V2873">
        <v>37</v>
      </c>
      <c r="W2873">
        <v>18</v>
      </c>
      <c r="X2873">
        <v>52</v>
      </c>
      <c r="Y2873">
        <v>1.96</v>
      </c>
    </row>
    <row r="2874" spans="1:25" x14ac:dyDescent="0.25">
      <c r="A2874">
        <v>2025</v>
      </c>
      <c r="B2874" t="s">
        <v>57</v>
      </c>
      <c r="C2874">
        <v>10</v>
      </c>
      <c r="D2874">
        <v>104</v>
      </c>
      <c r="E2874" t="s">
        <v>28</v>
      </c>
      <c r="F2874" t="s">
        <v>46</v>
      </c>
      <c r="G2874">
        <f t="shared" si="2773"/>
        <v>1</v>
      </c>
      <c r="H2874">
        <v>10</v>
      </c>
      <c r="I2874">
        <v>3</v>
      </c>
      <c r="J2874">
        <v>0</v>
      </c>
      <c r="K2874" s="6" t="str">
        <f t="shared" ref="K2874" si="2838">"vs "&amp;E2875</f>
        <v>vs Heraklion Snakes</v>
      </c>
      <c r="L2874" s="6" t="str">
        <f t="shared" ref="L2874" si="2839">"vs "&amp;F2875</f>
        <v>vs Dimitris</v>
      </c>
      <c r="M2874">
        <v>152</v>
      </c>
      <c r="N2874" s="1">
        <v>0.42499999999999999</v>
      </c>
      <c r="O2874">
        <v>48</v>
      </c>
      <c r="P2874" s="1">
        <v>0.29299999999999998</v>
      </c>
      <c r="Q2874" s="1">
        <v>0.83799999999999997</v>
      </c>
      <c r="R2874">
        <v>414</v>
      </c>
      <c r="S2874">
        <v>44</v>
      </c>
      <c r="T2874">
        <v>126</v>
      </c>
      <c r="U2874">
        <v>84</v>
      </c>
      <c r="V2874">
        <v>23</v>
      </c>
      <c r="W2874">
        <v>16</v>
      </c>
      <c r="X2874">
        <v>52</v>
      </c>
      <c r="Y2874">
        <v>1.62</v>
      </c>
    </row>
    <row r="2875" spans="1:25" x14ac:dyDescent="0.25">
      <c r="A2875">
        <v>2025</v>
      </c>
      <c r="B2875" t="s">
        <v>57</v>
      </c>
      <c r="C2875">
        <v>10</v>
      </c>
      <c r="D2875">
        <v>104</v>
      </c>
      <c r="E2875" t="s">
        <v>184</v>
      </c>
      <c r="F2875" t="s">
        <v>188</v>
      </c>
      <c r="G2875">
        <f t="shared" si="2773"/>
        <v>0</v>
      </c>
      <c r="H2875">
        <v>3</v>
      </c>
      <c r="I2875">
        <v>10</v>
      </c>
      <c r="J2875">
        <v>0</v>
      </c>
      <c r="K2875" s="6" t="str">
        <f t="shared" ref="K2875" si="2840">"vs "&amp;E2874</f>
        <v>vs Steven Adams' Moustache</v>
      </c>
      <c r="L2875" s="6" t="str">
        <f t="shared" ref="L2875" si="2841">"vs "&amp;F2874</f>
        <v>vs Johnny</v>
      </c>
      <c r="M2875">
        <v>124</v>
      </c>
      <c r="N2875" s="1">
        <v>0.45600000000000002</v>
      </c>
      <c r="O2875">
        <v>34</v>
      </c>
      <c r="P2875" s="1">
        <v>0.35799999999999998</v>
      </c>
      <c r="Q2875" s="1">
        <v>0.73299999999999998</v>
      </c>
      <c r="R2875">
        <v>326</v>
      </c>
      <c r="S2875">
        <v>42</v>
      </c>
      <c r="T2875">
        <v>97</v>
      </c>
      <c r="U2875">
        <v>63</v>
      </c>
      <c r="V2875">
        <v>17</v>
      </c>
      <c r="W2875">
        <v>11</v>
      </c>
      <c r="X2875">
        <v>40</v>
      </c>
      <c r="Y2875">
        <v>1.57</v>
      </c>
    </row>
    <row r="2876" spans="1:25" x14ac:dyDescent="0.25">
      <c r="A2876">
        <v>2025</v>
      </c>
      <c r="B2876" t="s">
        <v>57</v>
      </c>
      <c r="C2876">
        <v>10</v>
      </c>
      <c r="D2876">
        <v>105</v>
      </c>
      <c r="E2876" t="s">
        <v>21</v>
      </c>
      <c r="F2876" t="s">
        <v>50</v>
      </c>
      <c r="G2876">
        <f t="shared" si="2773"/>
        <v>0</v>
      </c>
      <c r="H2876">
        <v>5</v>
      </c>
      <c r="I2876">
        <v>8</v>
      </c>
      <c r="J2876">
        <v>0</v>
      </c>
      <c r="K2876" s="6" t="str">
        <f t="shared" ref="K2876" si="2842">"vs "&amp;E2877</f>
        <v>vs Karafli Saita</v>
      </c>
      <c r="L2876" s="6" t="str">
        <f t="shared" ref="L2876" si="2843">"vs "&amp;F2877</f>
        <v>vs Tassos</v>
      </c>
      <c r="M2876">
        <v>158</v>
      </c>
      <c r="N2876" s="1">
        <v>0.47899999999999998</v>
      </c>
      <c r="O2876">
        <v>39</v>
      </c>
      <c r="P2876" s="1">
        <v>0.38200000000000001</v>
      </c>
      <c r="Q2876" s="1">
        <v>0.72899999999999998</v>
      </c>
      <c r="R2876">
        <v>417</v>
      </c>
      <c r="S2876">
        <v>62</v>
      </c>
      <c r="T2876">
        <v>129</v>
      </c>
      <c r="U2876">
        <v>92</v>
      </c>
      <c r="V2876">
        <v>40</v>
      </c>
      <c r="W2876">
        <v>20</v>
      </c>
      <c r="X2876">
        <v>56</v>
      </c>
      <c r="Y2876">
        <v>1.64</v>
      </c>
    </row>
    <row r="2877" spans="1:25" x14ac:dyDescent="0.25">
      <c r="A2877">
        <v>2025</v>
      </c>
      <c r="B2877" t="s">
        <v>57</v>
      </c>
      <c r="C2877">
        <v>10</v>
      </c>
      <c r="D2877">
        <v>105</v>
      </c>
      <c r="E2877" t="s">
        <v>186</v>
      </c>
      <c r="F2877" t="s">
        <v>103</v>
      </c>
      <c r="G2877">
        <f t="shared" si="2773"/>
        <v>1</v>
      </c>
      <c r="H2877">
        <v>8</v>
      </c>
      <c r="I2877">
        <v>5</v>
      </c>
      <c r="J2877">
        <v>0</v>
      </c>
      <c r="K2877" s="6" t="str">
        <f t="shared" ref="K2877" si="2844">"vs "&amp;E2876</f>
        <v>vs st.Helens Eruptions</v>
      </c>
      <c r="L2877" s="6" t="str">
        <f t="shared" ref="L2877" si="2845">"vs "&amp;F2876</f>
        <v>vs Aris</v>
      </c>
      <c r="M2877">
        <v>240</v>
      </c>
      <c r="N2877" s="1">
        <v>0.51500000000000001</v>
      </c>
      <c r="O2877">
        <v>65</v>
      </c>
      <c r="P2877" s="1">
        <v>0.36699999999999999</v>
      </c>
      <c r="Q2877" s="1">
        <v>0.84299999999999997</v>
      </c>
      <c r="R2877">
        <v>647</v>
      </c>
      <c r="S2877">
        <v>32</v>
      </c>
      <c r="T2877">
        <v>131</v>
      </c>
      <c r="U2877">
        <v>146</v>
      </c>
      <c r="V2877">
        <v>37</v>
      </c>
      <c r="W2877">
        <v>11</v>
      </c>
      <c r="X2877">
        <v>65</v>
      </c>
      <c r="Y2877">
        <v>2.25</v>
      </c>
    </row>
    <row r="2878" spans="1:25" x14ac:dyDescent="0.25">
      <c r="A2878">
        <v>2025</v>
      </c>
      <c r="B2878" t="s">
        <v>57</v>
      </c>
      <c r="C2878">
        <v>10</v>
      </c>
      <c r="D2878">
        <v>106</v>
      </c>
      <c r="E2878" t="s">
        <v>154</v>
      </c>
      <c r="F2878" t="s">
        <v>155</v>
      </c>
      <c r="G2878">
        <f t="shared" si="2773"/>
        <v>0</v>
      </c>
      <c r="H2878">
        <v>5</v>
      </c>
      <c r="I2878">
        <v>8</v>
      </c>
      <c r="J2878">
        <v>0</v>
      </c>
      <c r="K2878" s="6" t="str">
        <f t="shared" ref="K2878" si="2846">"vs "&amp;E2879</f>
        <v>vs Fighting Thaddeus</v>
      </c>
      <c r="L2878" s="6" t="str">
        <f t="shared" ref="L2878" si="2847">"vs "&amp;F2879</f>
        <v>vs Stavros</v>
      </c>
      <c r="M2878">
        <v>132</v>
      </c>
      <c r="N2878" s="1">
        <v>0.47</v>
      </c>
      <c r="O2878">
        <v>42</v>
      </c>
      <c r="P2878" s="1">
        <v>0.36199999999999999</v>
      </c>
      <c r="Q2878" s="1">
        <v>0.74</v>
      </c>
      <c r="R2878">
        <v>377</v>
      </c>
      <c r="S2878">
        <v>66</v>
      </c>
      <c r="T2878">
        <v>141</v>
      </c>
      <c r="U2878">
        <v>73</v>
      </c>
      <c r="V2878">
        <v>29</v>
      </c>
      <c r="W2878">
        <v>26</v>
      </c>
      <c r="X2878">
        <v>45</v>
      </c>
      <c r="Y2878">
        <v>1.62</v>
      </c>
    </row>
    <row r="2879" spans="1:25" x14ac:dyDescent="0.25">
      <c r="A2879">
        <v>2025</v>
      </c>
      <c r="B2879" t="s">
        <v>57</v>
      </c>
      <c r="C2879">
        <v>10</v>
      </c>
      <c r="D2879">
        <v>106</v>
      </c>
      <c r="E2879" t="s">
        <v>94</v>
      </c>
      <c r="F2879" t="s">
        <v>40</v>
      </c>
      <c r="G2879">
        <f t="shared" si="2773"/>
        <v>1</v>
      </c>
      <c r="H2879">
        <v>8</v>
      </c>
      <c r="I2879">
        <v>5</v>
      </c>
      <c r="J2879">
        <v>0</v>
      </c>
      <c r="K2879" s="6" t="str">
        <f t="shared" ref="K2879" si="2848">"vs "&amp;E2878</f>
        <v>vs The Bad Boys</v>
      </c>
      <c r="L2879" s="6" t="str">
        <f t="shared" ref="L2879" si="2849">"vs "&amp;F2878</f>
        <v>vs Arvanitis</v>
      </c>
      <c r="M2879">
        <v>150</v>
      </c>
      <c r="N2879" s="1">
        <v>0.47299999999999998</v>
      </c>
      <c r="O2879">
        <v>49</v>
      </c>
      <c r="P2879" s="1">
        <v>0.42199999999999999</v>
      </c>
      <c r="Q2879" s="1">
        <v>0.86399999999999999</v>
      </c>
      <c r="R2879">
        <v>406</v>
      </c>
      <c r="S2879">
        <v>30</v>
      </c>
      <c r="T2879">
        <v>112</v>
      </c>
      <c r="U2879">
        <v>91</v>
      </c>
      <c r="V2879">
        <v>19</v>
      </c>
      <c r="W2879">
        <v>15</v>
      </c>
      <c r="X2879">
        <v>49</v>
      </c>
      <c r="Y2879">
        <v>1.86</v>
      </c>
    </row>
    <row r="2880" spans="1:25" x14ac:dyDescent="0.25">
      <c r="A2880">
        <v>2025</v>
      </c>
      <c r="B2880" t="s">
        <v>57</v>
      </c>
      <c r="C2880">
        <v>10</v>
      </c>
      <c r="D2880">
        <v>107</v>
      </c>
      <c r="E2880" t="s">
        <v>98</v>
      </c>
      <c r="F2880" t="s">
        <v>41</v>
      </c>
      <c r="G2880">
        <f t="shared" si="2773"/>
        <v>1</v>
      </c>
      <c r="H2880">
        <v>7</v>
      </c>
      <c r="I2880">
        <v>5</v>
      </c>
      <c r="J2880">
        <v>1</v>
      </c>
      <c r="K2880" s="6" t="str">
        <f t="shared" ref="K2880" si="2850">"vs "&amp;E2881</f>
        <v>vs Paralouistas</v>
      </c>
      <c r="L2880" s="6" t="str">
        <f t="shared" ref="L2880" si="2851">"vs "&amp;F2881</f>
        <v>vs Panos</v>
      </c>
      <c r="M2880">
        <v>172</v>
      </c>
      <c r="N2880" s="1">
        <v>0.443</v>
      </c>
      <c r="O2880">
        <v>66</v>
      </c>
      <c r="P2880" s="1">
        <v>0.36899999999999999</v>
      </c>
      <c r="Q2880" s="1">
        <v>0.73199999999999998</v>
      </c>
      <c r="R2880">
        <v>462</v>
      </c>
      <c r="S2880">
        <v>51</v>
      </c>
      <c r="T2880">
        <v>117</v>
      </c>
      <c r="U2880">
        <v>94</v>
      </c>
      <c r="V2880">
        <v>29</v>
      </c>
      <c r="W2880">
        <v>23</v>
      </c>
      <c r="X2880">
        <v>40</v>
      </c>
      <c r="Y2880">
        <v>2.35</v>
      </c>
    </row>
    <row r="2881" spans="1:25" x14ac:dyDescent="0.25">
      <c r="A2881">
        <v>2025</v>
      </c>
      <c r="B2881" t="s">
        <v>57</v>
      </c>
      <c r="C2881">
        <v>10</v>
      </c>
      <c r="D2881">
        <v>107</v>
      </c>
      <c r="E2881" t="s">
        <v>185</v>
      </c>
      <c r="F2881" t="s">
        <v>100</v>
      </c>
      <c r="G2881">
        <f t="shared" si="2773"/>
        <v>0</v>
      </c>
      <c r="H2881">
        <v>5</v>
      </c>
      <c r="I2881">
        <v>7</v>
      </c>
      <c r="J2881">
        <v>1</v>
      </c>
      <c r="K2881" s="6" t="str">
        <f t="shared" ref="K2881" si="2852">"vs "&amp;E2880</f>
        <v>vs Xanthi Ducks 🦆</v>
      </c>
      <c r="L2881" s="6" t="str">
        <f t="shared" ref="L2881" si="2853">"vs "&amp;F2880</f>
        <v>vs Kotakis</v>
      </c>
      <c r="M2881">
        <v>171</v>
      </c>
      <c r="N2881" s="1">
        <v>0.435</v>
      </c>
      <c r="O2881">
        <v>56</v>
      </c>
      <c r="P2881" s="1">
        <v>0.33900000000000002</v>
      </c>
      <c r="Q2881" s="1">
        <v>0.80900000000000005</v>
      </c>
      <c r="R2881">
        <v>474</v>
      </c>
      <c r="S2881">
        <v>36</v>
      </c>
      <c r="T2881">
        <v>120</v>
      </c>
      <c r="U2881">
        <v>128</v>
      </c>
      <c r="V2881">
        <v>24</v>
      </c>
      <c r="W2881">
        <v>18</v>
      </c>
      <c r="X2881">
        <v>40</v>
      </c>
      <c r="Y2881">
        <v>3.2</v>
      </c>
    </row>
    <row r="2882" spans="1:25" x14ac:dyDescent="0.25">
      <c r="A2882">
        <v>2025</v>
      </c>
      <c r="B2882" t="s">
        <v>57</v>
      </c>
      <c r="C2882">
        <v>10</v>
      </c>
      <c r="D2882">
        <v>108</v>
      </c>
      <c r="E2882" t="s">
        <v>99</v>
      </c>
      <c r="F2882" t="s">
        <v>45</v>
      </c>
      <c r="G2882">
        <f t="shared" si="2773"/>
        <v>0</v>
      </c>
      <c r="H2882">
        <v>4</v>
      </c>
      <c r="I2882">
        <v>9</v>
      </c>
      <c r="J2882">
        <v>0</v>
      </c>
      <c r="K2882" s="6" t="str">
        <f t="shared" ref="K2882" si="2854">"vs "&amp;E2883</f>
        <v>vs The Bridgeburners</v>
      </c>
      <c r="L2882" s="6" t="str">
        <f t="shared" ref="L2882" si="2855">"vs "&amp;F2883</f>
        <v>vs Fanis</v>
      </c>
      <c r="M2882">
        <v>109</v>
      </c>
      <c r="N2882" s="1">
        <v>0.5</v>
      </c>
      <c r="O2882">
        <v>36</v>
      </c>
      <c r="P2882" s="1">
        <v>0.40400000000000003</v>
      </c>
      <c r="Q2882" s="1">
        <v>0.80300000000000005</v>
      </c>
      <c r="R2882">
        <v>311</v>
      </c>
      <c r="S2882">
        <v>23</v>
      </c>
      <c r="T2882">
        <v>78</v>
      </c>
      <c r="U2882">
        <v>83</v>
      </c>
      <c r="V2882">
        <v>26</v>
      </c>
      <c r="W2882">
        <v>12</v>
      </c>
      <c r="X2882">
        <v>39</v>
      </c>
      <c r="Y2882">
        <v>2.13</v>
      </c>
    </row>
    <row r="2883" spans="1:25" x14ac:dyDescent="0.25">
      <c r="A2883">
        <v>2025</v>
      </c>
      <c r="B2883" t="s">
        <v>57</v>
      </c>
      <c r="C2883">
        <v>10</v>
      </c>
      <c r="D2883">
        <v>108</v>
      </c>
      <c r="E2883" t="s">
        <v>16</v>
      </c>
      <c r="F2883" t="s">
        <v>51</v>
      </c>
      <c r="G2883">
        <f t="shared" si="2773"/>
        <v>1</v>
      </c>
      <c r="H2883">
        <v>9</v>
      </c>
      <c r="I2883">
        <v>4</v>
      </c>
      <c r="J2883">
        <v>0</v>
      </c>
      <c r="K2883" s="6" t="str">
        <f t="shared" ref="K2883" si="2856">"vs "&amp;E2882</f>
        <v>vs Tsarlatans</v>
      </c>
      <c r="L2883" s="6" t="str">
        <f t="shared" ref="L2883" si="2857">"vs "&amp;F2882</f>
        <v>vs Tzokos</v>
      </c>
      <c r="M2883">
        <v>200</v>
      </c>
      <c r="N2883" s="1">
        <v>0.50600000000000001</v>
      </c>
      <c r="O2883">
        <v>65</v>
      </c>
      <c r="P2883" s="1">
        <v>0.40100000000000002</v>
      </c>
      <c r="Q2883" s="1">
        <v>0.78700000000000003</v>
      </c>
      <c r="R2883">
        <v>550</v>
      </c>
      <c r="S2883">
        <v>48</v>
      </c>
      <c r="T2883">
        <v>141</v>
      </c>
      <c r="U2883">
        <v>148</v>
      </c>
      <c r="V2883">
        <v>40</v>
      </c>
      <c r="W2883">
        <v>28</v>
      </c>
      <c r="X2883">
        <v>71</v>
      </c>
      <c r="Y2883">
        <v>2.08</v>
      </c>
    </row>
    <row r="2884" spans="1:25" x14ac:dyDescent="0.25">
      <c r="A2884">
        <v>2025</v>
      </c>
      <c r="B2884" t="s">
        <v>57</v>
      </c>
      <c r="C2884">
        <v>10</v>
      </c>
      <c r="D2884">
        <v>109</v>
      </c>
      <c r="E2884" t="s">
        <v>26</v>
      </c>
      <c r="F2884" t="s">
        <v>118</v>
      </c>
      <c r="G2884">
        <f t="shared" si="2773"/>
        <v>1</v>
      </c>
      <c r="H2884">
        <v>8</v>
      </c>
      <c r="I2884">
        <v>5</v>
      </c>
      <c r="J2884">
        <v>0</v>
      </c>
      <c r="K2884" s="6" t="str">
        <f t="shared" ref="K2884" si="2858">"vs "&amp;E2885</f>
        <v>vs Guruuu 🐐🐐🐐</v>
      </c>
      <c r="L2884" s="6" t="str">
        <f t="shared" ref="L2884" si="2859">"vs "&amp;F2885</f>
        <v>vs Guru</v>
      </c>
      <c r="M2884">
        <v>176</v>
      </c>
      <c r="N2884" s="1">
        <v>0.48</v>
      </c>
      <c r="O2884">
        <v>54</v>
      </c>
      <c r="P2884" s="1">
        <v>0.34799999999999998</v>
      </c>
      <c r="Q2884" s="1">
        <v>0.84499999999999997</v>
      </c>
      <c r="R2884">
        <v>488</v>
      </c>
      <c r="S2884">
        <v>55</v>
      </c>
      <c r="T2884">
        <v>154</v>
      </c>
      <c r="U2884">
        <v>104</v>
      </c>
      <c r="V2884">
        <v>30</v>
      </c>
      <c r="W2884">
        <v>15</v>
      </c>
      <c r="X2884">
        <v>60</v>
      </c>
      <c r="Y2884">
        <v>1.73</v>
      </c>
    </row>
    <row r="2885" spans="1:25" x14ac:dyDescent="0.25">
      <c r="A2885">
        <v>2025</v>
      </c>
      <c r="B2885" t="s">
        <v>57</v>
      </c>
      <c r="C2885">
        <v>10</v>
      </c>
      <c r="D2885">
        <v>109</v>
      </c>
      <c r="E2885" t="s">
        <v>93</v>
      </c>
      <c r="F2885" t="s">
        <v>189</v>
      </c>
      <c r="G2885">
        <f t="shared" si="2773"/>
        <v>0</v>
      </c>
      <c r="H2885">
        <v>5</v>
      </c>
      <c r="I2885">
        <v>8</v>
      </c>
      <c r="J2885">
        <v>0</v>
      </c>
      <c r="K2885" s="6" t="str">
        <f t="shared" ref="K2885" si="2860">"vs "&amp;E2884</f>
        <v>vs Kourayo Vallecano</v>
      </c>
      <c r="L2885" s="6" t="str">
        <f t="shared" ref="L2885" si="2861">"vs "&amp;F2884</f>
        <v>vs Ziogas/Christof</v>
      </c>
      <c r="M2885">
        <v>135</v>
      </c>
      <c r="N2885" s="1">
        <v>0.42499999999999999</v>
      </c>
      <c r="O2885">
        <v>58</v>
      </c>
      <c r="P2885" s="1">
        <v>0.372</v>
      </c>
      <c r="Q2885" s="1">
        <v>0.89900000000000002</v>
      </c>
      <c r="R2885">
        <v>408</v>
      </c>
      <c r="S2885">
        <v>21</v>
      </c>
      <c r="T2885">
        <v>89</v>
      </c>
      <c r="U2885">
        <v>90</v>
      </c>
      <c r="V2885">
        <v>23</v>
      </c>
      <c r="W2885">
        <v>12</v>
      </c>
      <c r="X2885">
        <v>42</v>
      </c>
      <c r="Y2885">
        <v>2.14</v>
      </c>
    </row>
    <row r="2886" spans="1:25" x14ac:dyDescent="0.25">
      <c r="A2886">
        <v>2025</v>
      </c>
      <c r="B2886" t="s">
        <v>57</v>
      </c>
      <c r="C2886">
        <v>10</v>
      </c>
      <c r="D2886">
        <v>110</v>
      </c>
      <c r="E2886" t="s">
        <v>158</v>
      </c>
      <c r="F2886" t="s">
        <v>177</v>
      </c>
      <c r="G2886">
        <f t="shared" si="2773"/>
        <v>1</v>
      </c>
      <c r="H2886">
        <v>10</v>
      </c>
      <c r="I2886">
        <v>3</v>
      </c>
      <c r="J2886">
        <v>0</v>
      </c>
      <c r="K2886" s="6" t="str">
        <f t="shared" ref="K2886" si="2862">"vs "&amp;E2887</f>
        <v>vs Baltimore Hercules</v>
      </c>
      <c r="L2886" s="6" t="str">
        <f t="shared" ref="L2886" si="2863">"vs "&amp;F2887</f>
        <v>vs Sarantos</v>
      </c>
      <c r="M2886">
        <v>197</v>
      </c>
      <c r="N2886" s="1">
        <v>0.46100000000000002</v>
      </c>
      <c r="O2886">
        <v>49</v>
      </c>
      <c r="P2886" s="1">
        <v>0.316</v>
      </c>
      <c r="Q2886" s="1">
        <v>0.75700000000000001</v>
      </c>
      <c r="R2886">
        <v>527</v>
      </c>
      <c r="S2886">
        <v>49</v>
      </c>
      <c r="T2886">
        <v>135</v>
      </c>
      <c r="U2886">
        <v>99</v>
      </c>
      <c r="V2886">
        <v>29</v>
      </c>
      <c r="W2886">
        <v>26</v>
      </c>
      <c r="X2886">
        <v>73</v>
      </c>
      <c r="Y2886">
        <v>1.36</v>
      </c>
    </row>
    <row r="2887" spans="1:25" x14ac:dyDescent="0.25">
      <c r="A2887">
        <v>2025</v>
      </c>
      <c r="B2887" t="s">
        <v>57</v>
      </c>
      <c r="C2887">
        <v>10</v>
      </c>
      <c r="D2887">
        <v>110</v>
      </c>
      <c r="E2887" t="s">
        <v>95</v>
      </c>
      <c r="F2887" t="s">
        <v>101</v>
      </c>
      <c r="G2887">
        <f t="shared" si="2773"/>
        <v>0</v>
      </c>
      <c r="H2887">
        <v>3</v>
      </c>
      <c r="I2887">
        <v>10</v>
      </c>
      <c r="J2887">
        <v>0</v>
      </c>
      <c r="K2887" s="6" t="str">
        <f t="shared" ref="K2887" si="2864">"vs "&amp;E2886</f>
        <v>vs LRBP PR3DATORS</v>
      </c>
      <c r="L2887" s="6" t="str">
        <f t="shared" ref="L2887" si="2865">"vs "&amp;F2886</f>
        <v>vs Lafa</v>
      </c>
      <c r="M2887">
        <v>126</v>
      </c>
      <c r="N2887" s="1">
        <v>0.434</v>
      </c>
      <c r="O2887">
        <v>31</v>
      </c>
      <c r="P2887" s="1">
        <v>0.30099999999999999</v>
      </c>
      <c r="Q2887" s="1">
        <v>0.7</v>
      </c>
      <c r="R2887">
        <v>332</v>
      </c>
      <c r="S2887">
        <v>40</v>
      </c>
      <c r="T2887">
        <v>107</v>
      </c>
      <c r="U2887">
        <v>75</v>
      </c>
      <c r="V2887">
        <v>39</v>
      </c>
      <c r="W2887">
        <v>16</v>
      </c>
      <c r="X2887">
        <v>47</v>
      </c>
      <c r="Y2887">
        <v>1.6</v>
      </c>
    </row>
    <row r="2888" spans="1:25" x14ac:dyDescent="0.25">
      <c r="A2888">
        <v>2025</v>
      </c>
      <c r="B2888" t="s">
        <v>57</v>
      </c>
      <c r="C2888">
        <v>11</v>
      </c>
      <c r="D2888">
        <v>111</v>
      </c>
      <c r="E2888" t="s">
        <v>33</v>
      </c>
      <c r="F2888" t="s">
        <v>42</v>
      </c>
      <c r="G2888">
        <f t="shared" si="2773"/>
        <v>1</v>
      </c>
      <c r="H2888">
        <v>7</v>
      </c>
      <c r="I2888">
        <v>6</v>
      </c>
      <c r="J2888">
        <v>0</v>
      </c>
      <c r="K2888" s="6" t="str">
        <f t="shared" ref="K2888" si="2866">"vs "&amp;E2889</f>
        <v>vs Knights of Ni</v>
      </c>
      <c r="L2888" s="6" t="str">
        <f t="shared" ref="L2888" si="2867">"vs "&amp;F2889</f>
        <v>vs Tolios</v>
      </c>
      <c r="M2888">
        <v>171</v>
      </c>
      <c r="N2888" s="1">
        <v>0.47099999999999997</v>
      </c>
      <c r="O2888">
        <v>46</v>
      </c>
      <c r="P2888" s="1">
        <v>0.377</v>
      </c>
      <c r="Q2888" s="1">
        <v>0.90600000000000003</v>
      </c>
      <c r="R2888">
        <v>494</v>
      </c>
      <c r="S2888">
        <v>35</v>
      </c>
      <c r="T2888">
        <v>125</v>
      </c>
      <c r="U2888">
        <v>97</v>
      </c>
      <c r="V2888">
        <v>43</v>
      </c>
      <c r="W2888">
        <v>25</v>
      </c>
      <c r="X2888">
        <v>54</v>
      </c>
      <c r="Y2888">
        <v>1.8</v>
      </c>
    </row>
    <row r="2889" spans="1:25" x14ac:dyDescent="0.25">
      <c r="A2889">
        <v>2025</v>
      </c>
      <c r="B2889" t="s">
        <v>57</v>
      </c>
      <c r="C2889">
        <v>11</v>
      </c>
      <c r="D2889">
        <v>111</v>
      </c>
      <c r="E2889" t="s">
        <v>96</v>
      </c>
      <c r="F2889" t="s">
        <v>102</v>
      </c>
      <c r="G2889">
        <f t="shared" si="2773"/>
        <v>0</v>
      </c>
      <c r="H2889">
        <v>6</v>
      </c>
      <c r="I2889">
        <v>7</v>
      </c>
      <c r="J2889">
        <v>0</v>
      </c>
      <c r="K2889" s="6" t="str">
        <f t="shared" ref="K2889" si="2868">"vs "&amp;E2888</f>
        <v>vs The Guns</v>
      </c>
      <c r="L2889" s="6" t="str">
        <f t="shared" ref="L2889" si="2869">"vs "&amp;F2888</f>
        <v>vs Vasilis</v>
      </c>
      <c r="M2889">
        <v>167</v>
      </c>
      <c r="N2889" s="1">
        <v>0.48699999999999999</v>
      </c>
      <c r="O2889">
        <v>34</v>
      </c>
      <c r="P2889" s="1">
        <v>0.33300000000000002</v>
      </c>
      <c r="Q2889" s="1">
        <v>0.77500000000000002</v>
      </c>
      <c r="R2889">
        <v>423</v>
      </c>
      <c r="S2889">
        <v>37</v>
      </c>
      <c r="T2889">
        <v>128</v>
      </c>
      <c r="U2889">
        <v>113</v>
      </c>
      <c r="V2889">
        <v>31</v>
      </c>
      <c r="W2889">
        <v>19</v>
      </c>
      <c r="X2889">
        <v>51</v>
      </c>
      <c r="Y2889">
        <v>2.2200000000000002</v>
      </c>
    </row>
    <row r="2890" spans="1:25" x14ac:dyDescent="0.25">
      <c r="A2890">
        <v>2025</v>
      </c>
      <c r="B2890" t="s">
        <v>57</v>
      </c>
      <c r="C2890">
        <v>11</v>
      </c>
      <c r="D2890">
        <v>112</v>
      </c>
      <c r="E2890" t="s">
        <v>15</v>
      </c>
      <c r="F2890" t="s">
        <v>48</v>
      </c>
      <c r="G2890">
        <f t="shared" si="2773"/>
        <v>1</v>
      </c>
      <c r="H2890">
        <v>7</v>
      </c>
      <c r="I2890">
        <v>6</v>
      </c>
      <c r="J2890">
        <v>0</v>
      </c>
      <c r="K2890" s="6" t="str">
        <f t="shared" ref="K2890" si="2870">"vs "&amp;E2891</f>
        <v>vs Samarina Dudenbros</v>
      </c>
      <c r="L2890" s="6" t="str">
        <f t="shared" ref="L2890" si="2871">"vs "&amp;F2891</f>
        <v>vs Sakellariou</v>
      </c>
      <c r="M2890">
        <v>173</v>
      </c>
      <c r="N2890" s="1">
        <v>0.46899999999999997</v>
      </c>
      <c r="O2890">
        <v>38</v>
      </c>
      <c r="P2890" s="1">
        <v>0.311</v>
      </c>
      <c r="Q2890" s="1">
        <v>0.63800000000000001</v>
      </c>
      <c r="R2890">
        <v>428</v>
      </c>
      <c r="S2890">
        <v>39</v>
      </c>
      <c r="T2890">
        <v>144</v>
      </c>
      <c r="U2890">
        <v>143</v>
      </c>
      <c r="V2890">
        <v>34</v>
      </c>
      <c r="W2890">
        <v>20</v>
      </c>
      <c r="X2890">
        <v>66</v>
      </c>
      <c r="Y2890">
        <v>2.17</v>
      </c>
    </row>
    <row r="2891" spans="1:25" x14ac:dyDescent="0.25">
      <c r="A2891">
        <v>2025</v>
      </c>
      <c r="B2891" t="s">
        <v>57</v>
      </c>
      <c r="C2891">
        <v>11</v>
      </c>
      <c r="D2891">
        <v>112</v>
      </c>
      <c r="E2891" t="s">
        <v>181</v>
      </c>
      <c r="F2891" t="s">
        <v>49</v>
      </c>
      <c r="G2891">
        <f t="shared" si="2773"/>
        <v>0</v>
      </c>
      <c r="H2891">
        <v>6</v>
      </c>
      <c r="I2891">
        <v>7</v>
      </c>
      <c r="J2891">
        <v>0</v>
      </c>
      <c r="K2891" s="6" t="str">
        <f t="shared" ref="K2891" si="2872">"vs "&amp;E2890</f>
        <v>vs Salonika Devils</v>
      </c>
      <c r="L2891" s="6" t="str">
        <f t="shared" ref="L2891" si="2873">"vs "&amp;F2890</f>
        <v>vs Fountos</v>
      </c>
      <c r="M2891">
        <v>192</v>
      </c>
      <c r="N2891" s="1">
        <v>0.46899999999999997</v>
      </c>
      <c r="O2891">
        <v>75</v>
      </c>
      <c r="P2891" s="1">
        <v>0.41199999999999998</v>
      </c>
      <c r="Q2891" s="1">
        <v>0.83</v>
      </c>
      <c r="R2891">
        <v>542</v>
      </c>
      <c r="S2891">
        <v>26</v>
      </c>
      <c r="T2891">
        <v>105</v>
      </c>
      <c r="U2891">
        <v>136</v>
      </c>
      <c r="V2891">
        <v>28</v>
      </c>
      <c r="W2891">
        <v>11</v>
      </c>
      <c r="X2891">
        <v>69</v>
      </c>
      <c r="Y2891">
        <v>1.97</v>
      </c>
    </row>
    <row r="2892" spans="1:25" x14ac:dyDescent="0.25">
      <c r="A2892">
        <v>2025</v>
      </c>
      <c r="B2892" t="s">
        <v>57</v>
      </c>
      <c r="C2892">
        <v>11</v>
      </c>
      <c r="D2892">
        <v>113</v>
      </c>
      <c r="E2892" t="s">
        <v>184</v>
      </c>
      <c r="F2892" t="s">
        <v>188</v>
      </c>
      <c r="G2892">
        <f t="shared" si="2773"/>
        <v>0</v>
      </c>
      <c r="H2892">
        <v>1</v>
      </c>
      <c r="I2892">
        <v>12</v>
      </c>
      <c r="J2892">
        <v>0</v>
      </c>
      <c r="K2892" s="6" t="str">
        <f t="shared" ref="K2892" si="2874">"vs "&amp;E2893</f>
        <v>vs purple fuzzy apache pirates</v>
      </c>
      <c r="L2892" s="6" t="str">
        <f t="shared" ref="L2892" si="2875">"vs "&amp;F2893</f>
        <v>vs pi/Sotiris</v>
      </c>
      <c r="M2892">
        <v>116</v>
      </c>
      <c r="N2892" s="1">
        <v>0.44800000000000001</v>
      </c>
      <c r="O2892">
        <v>39</v>
      </c>
      <c r="P2892" s="1">
        <v>0.36099999999999999</v>
      </c>
      <c r="Q2892" s="1">
        <v>0.78</v>
      </c>
      <c r="R2892">
        <v>317</v>
      </c>
      <c r="S2892">
        <v>20</v>
      </c>
      <c r="T2892">
        <v>82</v>
      </c>
      <c r="U2892">
        <v>56</v>
      </c>
      <c r="V2892">
        <v>11</v>
      </c>
      <c r="W2892">
        <v>14</v>
      </c>
      <c r="X2892">
        <v>36</v>
      </c>
      <c r="Y2892">
        <v>1.56</v>
      </c>
    </row>
    <row r="2893" spans="1:25" x14ac:dyDescent="0.25">
      <c r="A2893">
        <v>2025</v>
      </c>
      <c r="B2893" t="s">
        <v>57</v>
      </c>
      <c r="C2893">
        <v>11</v>
      </c>
      <c r="D2893">
        <v>113</v>
      </c>
      <c r="E2893" t="s">
        <v>159</v>
      </c>
      <c r="F2893" t="s">
        <v>116</v>
      </c>
      <c r="G2893">
        <f t="shared" si="2773"/>
        <v>1</v>
      </c>
      <c r="H2893">
        <v>12</v>
      </c>
      <c r="I2893">
        <v>1</v>
      </c>
      <c r="J2893">
        <v>0</v>
      </c>
      <c r="K2893" s="6" t="str">
        <f t="shared" ref="K2893" si="2876">"vs "&amp;E2892</f>
        <v>vs Heraklion Snakes</v>
      </c>
      <c r="L2893" s="6" t="str">
        <f t="shared" ref="L2893" si="2877">"vs "&amp;F2892</f>
        <v>vs Dimitris</v>
      </c>
      <c r="M2893">
        <v>232</v>
      </c>
      <c r="N2893" s="1">
        <v>0.48799999999999999</v>
      </c>
      <c r="O2893">
        <v>68</v>
      </c>
      <c r="P2893" s="1">
        <v>0.42</v>
      </c>
      <c r="Q2893" s="1">
        <v>0.80800000000000005</v>
      </c>
      <c r="R2893">
        <v>637</v>
      </c>
      <c r="S2893">
        <v>60</v>
      </c>
      <c r="T2893">
        <v>180</v>
      </c>
      <c r="U2893">
        <v>180</v>
      </c>
      <c r="V2893">
        <v>40</v>
      </c>
      <c r="W2893">
        <v>16</v>
      </c>
      <c r="X2893">
        <v>58</v>
      </c>
      <c r="Y2893">
        <v>3.1</v>
      </c>
    </row>
    <row r="2894" spans="1:25" x14ac:dyDescent="0.25">
      <c r="A2894">
        <v>2025</v>
      </c>
      <c r="B2894" t="s">
        <v>57</v>
      </c>
      <c r="C2894">
        <v>11</v>
      </c>
      <c r="D2894">
        <v>114</v>
      </c>
      <c r="E2894" t="s">
        <v>186</v>
      </c>
      <c r="F2894" t="s">
        <v>103</v>
      </c>
      <c r="G2894">
        <f t="shared" si="2773"/>
        <v>1</v>
      </c>
      <c r="H2894">
        <v>9</v>
      </c>
      <c r="I2894">
        <v>4</v>
      </c>
      <c r="J2894">
        <v>0</v>
      </c>
      <c r="K2894" s="6" t="str">
        <f t="shared" ref="K2894" si="2878">"vs "&amp;E2895</f>
        <v>vs Pachiana NinjaBees</v>
      </c>
      <c r="L2894" s="6" t="str">
        <f t="shared" ref="L2894" si="2879">"vs "&amp;F2895</f>
        <v>vs Spiridaus/Oladipas</v>
      </c>
      <c r="M2894">
        <v>207</v>
      </c>
      <c r="N2894" s="1">
        <v>0.47</v>
      </c>
      <c r="O2894">
        <v>59</v>
      </c>
      <c r="P2894" s="1">
        <v>0.378</v>
      </c>
      <c r="Q2894" s="1">
        <v>0.85599999999999998</v>
      </c>
      <c r="R2894">
        <v>556</v>
      </c>
      <c r="S2894">
        <v>52</v>
      </c>
      <c r="T2894">
        <v>169</v>
      </c>
      <c r="U2894">
        <v>132</v>
      </c>
      <c r="V2894">
        <v>51</v>
      </c>
      <c r="W2894">
        <v>21</v>
      </c>
      <c r="X2894">
        <v>69</v>
      </c>
      <c r="Y2894">
        <v>1.91</v>
      </c>
    </row>
    <row r="2895" spans="1:25" x14ac:dyDescent="0.25">
      <c r="A2895">
        <v>2025</v>
      </c>
      <c r="B2895" t="s">
        <v>57</v>
      </c>
      <c r="C2895">
        <v>11</v>
      </c>
      <c r="D2895">
        <v>114</v>
      </c>
      <c r="E2895" t="s">
        <v>23</v>
      </c>
      <c r="F2895" t="s">
        <v>120</v>
      </c>
      <c r="G2895">
        <f t="shared" si="2773"/>
        <v>0</v>
      </c>
      <c r="H2895">
        <v>4</v>
      </c>
      <c r="I2895">
        <v>9</v>
      </c>
      <c r="J2895">
        <v>0</v>
      </c>
      <c r="K2895" s="6" t="str">
        <f t="shared" ref="K2895" si="2880">"vs "&amp;E2894</f>
        <v>vs Karafli Saita</v>
      </c>
      <c r="L2895" s="6" t="str">
        <f t="shared" ref="L2895" si="2881">"vs "&amp;F2894</f>
        <v>vs Tassos</v>
      </c>
      <c r="M2895">
        <v>174</v>
      </c>
      <c r="N2895" s="1">
        <v>0.48499999999999999</v>
      </c>
      <c r="O2895">
        <v>58</v>
      </c>
      <c r="P2895" s="1">
        <v>0.38700000000000001</v>
      </c>
      <c r="Q2895" s="1">
        <v>0.85499999999999998</v>
      </c>
      <c r="R2895">
        <v>477</v>
      </c>
      <c r="S2895">
        <v>27</v>
      </c>
      <c r="T2895">
        <v>166</v>
      </c>
      <c r="U2895">
        <v>97</v>
      </c>
      <c r="V2895">
        <v>28</v>
      </c>
      <c r="W2895">
        <v>22</v>
      </c>
      <c r="X2895">
        <v>65</v>
      </c>
      <c r="Y2895">
        <v>1.49</v>
      </c>
    </row>
    <row r="2896" spans="1:25" x14ac:dyDescent="0.25">
      <c r="A2896">
        <v>2025</v>
      </c>
      <c r="B2896" t="s">
        <v>57</v>
      </c>
      <c r="C2896">
        <v>11</v>
      </c>
      <c r="D2896">
        <v>115</v>
      </c>
      <c r="E2896" t="s">
        <v>94</v>
      </c>
      <c r="F2896" t="s">
        <v>40</v>
      </c>
      <c r="G2896">
        <f t="shared" si="2773"/>
        <v>1</v>
      </c>
      <c r="H2896">
        <v>10</v>
      </c>
      <c r="I2896">
        <v>3</v>
      </c>
      <c r="J2896">
        <v>0</v>
      </c>
      <c r="K2896" s="6" t="str">
        <f t="shared" ref="K2896" si="2882">"vs "&amp;E2897</f>
        <v>vs Steven Adams' Moustache</v>
      </c>
      <c r="L2896" s="6" t="str">
        <f t="shared" ref="L2896" si="2883">"vs "&amp;F2897</f>
        <v>vs Johnny</v>
      </c>
      <c r="M2896">
        <v>157</v>
      </c>
      <c r="N2896" s="1">
        <v>0.47</v>
      </c>
      <c r="O2896">
        <v>49</v>
      </c>
      <c r="P2896" s="1">
        <v>0.374</v>
      </c>
      <c r="Q2896" s="1">
        <v>0.80700000000000005</v>
      </c>
      <c r="R2896">
        <v>430</v>
      </c>
      <c r="S2896">
        <v>36</v>
      </c>
      <c r="T2896">
        <v>134</v>
      </c>
      <c r="U2896">
        <v>100</v>
      </c>
      <c r="V2896">
        <v>26</v>
      </c>
      <c r="W2896">
        <v>21</v>
      </c>
      <c r="X2896">
        <v>47</v>
      </c>
      <c r="Y2896">
        <v>2.13</v>
      </c>
    </row>
    <row r="2897" spans="1:25" x14ac:dyDescent="0.25">
      <c r="A2897">
        <v>2025</v>
      </c>
      <c r="B2897" t="s">
        <v>57</v>
      </c>
      <c r="C2897">
        <v>11</v>
      </c>
      <c r="D2897">
        <v>115</v>
      </c>
      <c r="E2897" t="s">
        <v>28</v>
      </c>
      <c r="F2897" t="s">
        <v>46</v>
      </c>
      <c r="G2897">
        <f t="shared" si="2773"/>
        <v>0</v>
      </c>
      <c r="H2897">
        <v>3</v>
      </c>
      <c r="I2897">
        <v>10</v>
      </c>
      <c r="J2897">
        <v>0</v>
      </c>
      <c r="K2897" s="6" t="str">
        <f t="shared" ref="K2897" si="2884">"vs "&amp;E2896</f>
        <v>vs Fighting Thaddeus</v>
      </c>
      <c r="L2897" s="6" t="str">
        <f t="shared" ref="L2897" si="2885">"vs "&amp;F2896</f>
        <v>vs Stavros</v>
      </c>
      <c r="M2897">
        <v>148</v>
      </c>
      <c r="N2897" s="1">
        <v>0.42799999999999999</v>
      </c>
      <c r="O2897">
        <v>72</v>
      </c>
      <c r="P2897" s="1">
        <v>0.39300000000000002</v>
      </c>
      <c r="Q2897" s="1">
        <v>0.76800000000000002</v>
      </c>
      <c r="R2897">
        <v>431</v>
      </c>
      <c r="S2897">
        <v>16</v>
      </c>
      <c r="T2897">
        <v>111</v>
      </c>
      <c r="U2897">
        <v>94</v>
      </c>
      <c r="V2897">
        <v>20</v>
      </c>
      <c r="W2897">
        <v>14</v>
      </c>
      <c r="X2897">
        <v>50</v>
      </c>
      <c r="Y2897">
        <v>1.88</v>
      </c>
    </row>
    <row r="2898" spans="1:25" x14ac:dyDescent="0.25">
      <c r="A2898">
        <v>2025</v>
      </c>
      <c r="B2898" t="s">
        <v>57</v>
      </c>
      <c r="C2898">
        <v>11</v>
      </c>
      <c r="D2898">
        <v>116</v>
      </c>
      <c r="E2898" t="s">
        <v>185</v>
      </c>
      <c r="F2898" t="s">
        <v>100</v>
      </c>
      <c r="G2898">
        <f t="shared" si="2773"/>
        <v>0</v>
      </c>
      <c r="H2898">
        <v>6</v>
      </c>
      <c r="I2898">
        <v>7</v>
      </c>
      <c r="J2898">
        <v>0</v>
      </c>
      <c r="K2898" s="6" t="str">
        <f t="shared" ref="K2898" si="2886">"vs "&amp;E2899</f>
        <v>vs st.Helens Eruptions</v>
      </c>
      <c r="L2898" s="6" t="str">
        <f t="shared" ref="L2898" si="2887">"vs "&amp;F2899</f>
        <v>vs Aris</v>
      </c>
      <c r="M2898">
        <v>142</v>
      </c>
      <c r="N2898" s="1">
        <v>0.436</v>
      </c>
      <c r="O2898">
        <v>41</v>
      </c>
      <c r="P2898" s="1">
        <v>0.30599999999999999</v>
      </c>
      <c r="Q2898" s="1">
        <v>0.74399999999999999</v>
      </c>
      <c r="R2898">
        <v>386</v>
      </c>
      <c r="S2898">
        <v>39</v>
      </c>
      <c r="T2898">
        <v>99</v>
      </c>
      <c r="U2898">
        <v>80</v>
      </c>
      <c r="V2898">
        <v>19</v>
      </c>
      <c r="W2898">
        <v>16</v>
      </c>
      <c r="X2898">
        <v>43</v>
      </c>
      <c r="Y2898">
        <v>1.86</v>
      </c>
    </row>
    <row r="2899" spans="1:25" x14ac:dyDescent="0.25">
      <c r="A2899">
        <v>2025</v>
      </c>
      <c r="B2899" t="s">
        <v>57</v>
      </c>
      <c r="C2899">
        <v>11</v>
      </c>
      <c r="D2899">
        <v>116</v>
      </c>
      <c r="E2899" t="s">
        <v>21</v>
      </c>
      <c r="F2899" t="s">
        <v>50</v>
      </c>
      <c r="G2899">
        <f t="shared" si="2773"/>
        <v>1</v>
      </c>
      <c r="H2899">
        <v>7</v>
      </c>
      <c r="I2899">
        <v>6</v>
      </c>
      <c r="J2899">
        <v>0</v>
      </c>
      <c r="K2899" s="6" t="str">
        <f t="shared" ref="K2899" si="2888">"vs "&amp;E2898</f>
        <v>vs Paralouistas</v>
      </c>
      <c r="L2899" s="6" t="str">
        <f t="shared" ref="L2899" si="2889">"vs "&amp;F2898</f>
        <v>vs Panos</v>
      </c>
      <c r="M2899">
        <v>139</v>
      </c>
      <c r="N2899" s="1">
        <v>0.48599999999999999</v>
      </c>
      <c r="O2899">
        <v>39</v>
      </c>
      <c r="P2899" s="1">
        <v>0.34499999999999997</v>
      </c>
      <c r="Q2899" s="1">
        <v>0.75</v>
      </c>
      <c r="R2899">
        <v>380</v>
      </c>
      <c r="S2899">
        <v>29</v>
      </c>
      <c r="T2899">
        <v>108</v>
      </c>
      <c r="U2899">
        <v>88</v>
      </c>
      <c r="V2899">
        <v>40</v>
      </c>
      <c r="W2899">
        <v>17</v>
      </c>
      <c r="X2899">
        <v>55</v>
      </c>
      <c r="Y2899">
        <v>1.6</v>
      </c>
    </row>
    <row r="2900" spans="1:25" x14ac:dyDescent="0.25">
      <c r="A2900">
        <v>2025</v>
      </c>
      <c r="B2900" t="s">
        <v>57</v>
      </c>
      <c r="C2900">
        <v>11</v>
      </c>
      <c r="D2900">
        <v>117</v>
      </c>
      <c r="E2900" t="s">
        <v>16</v>
      </c>
      <c r="F2900" t="s">
        <v>51</v>
      </c>
      <c r="G2900">
        <f t="shared" si="2773"/>
        <v>1</v>
      </c>
      <c r="H2900">
        <v>7</v>
      </c>
      <c r="I2900">
        <v>6</v>
      </c>
      <c r="J2900">
        <v>0</v>
      </c>
      <c r="K2900" s="6" t="str">
        <f t="shared" ref="K2900" si="2890">"vs "&amp;E2901</f>
        <v>vs The Bad Boys</v>
      </c>
      <c r="L2900" s="6" t="str">
        <f t="shared" ref="L2900" si="2891">"vs "&amp;F2901</f>
        <v>vs Arvanitis</v>
      </c>
      <c r="M2900">
        <v>189</v>
      </c>
      <c r="N2900" s="1">
        <v>0.49</v>
      </c>
      <c r="O2900">
        <v>44</v>
      </c>
      <c r="P2900" s="1">
        <v>0.34100000000000003</v>
      </c>
      <c r="Q2900" s="1">
        <v>0.754</v>
      </c>
      <c r="R2900">
        <v>520</v>
      </c>
      <c r="S2900">
        <v>43</v>
      </c>
      <c r="T2900">
        <v>127</v>
      </c>
      <c r="U2900">
        <v>166</v>
      </c>
      <c r="V2900">
        <v>29</v>
      </c>
      <c r="W2900">
        <v>21</v>
      </c>
      <c r="X2900">
        <v>72</v>
      </c>
      <c r="Y2900">
        <v>2.31</v>
      </c>
    </row>
    <row r="2901" spans="1:25" x14ac:dyDescent="0.25">
      <c r="A2901">
        <v>2025</v>
      </c>
      <c r="B2901" t="s">
        <v>57</v>
      </c>
      <c r="C2901">
        <v>11</v>
      </c>
      <c r="D2901">
        <v>117</v>
      </c>
      <c r="E2901" t="s">
        <v>154</v>
      </c>
      <c r="F2901" t="s">
        <v>155</v>
      </c>
      <c r="G2901">
        <f t="shared" si="2773"/>
        <v>0</v>
      </c>
      <c r="H2901">
        <v>6</v>
      </c>
      <c r="I2901">
        <v>7</v>
      </c>
      <c r="J2901">
        <v>0</v>
      </c>
      <c r="K2901" s="6" t="str">
        <f t="shared" ref="K2901" si="2892">"vs "&amp;E2900</f>
        <v>vs The Bridgeburners</v>
      </c>
      <c r="L2901" s="6" t="str">
        <f t="shared" ref="L2901" si="2893">"vs "&amp;F2900</f>
        <v>vs Fanis</v>
      </c>
      <c r="M2901">
        <v>103</v>
      </c>
      <c r="N2901" s="1">
        <v>0.53900000000000003</v>
      </c>
      <c r="O2901">
        <v>26</v>
      </c>
      <c r="P2901" s="1">
        <v>0.34200000000000003</v>
      </c>
      <c r="Q2901" s="1">
        <v>0.81799999999999995</v>
      </c>
      <c r="R2901">
        <v>259</v>
      </c>
      <c r="S2901">
        <v>49</v>
      </c>
      <c r="T2901">
        <v>136</v>
      </c>
      <c r="U2901">
        <v>46</v>
      </c>
      <c r="V2901">
        <v>21</v>
      </c>
      <c r="W2901">
        <v>9</v>
      </c>
      <c r="X2901">
        <v>55</v>
      </c>
      <c r="Y2901">
        <v>0.84</v>
      </c>
    </row>
    <row r="2902" spans="1:25" x14ac:dyDescent="0.25">
      <c r="A2902">
        <v>2025</v>
      </c>
      <c r="B2902" t="s">
        <v>57</v>
      </c>
      <c r="C2902">
        <v>11</v>
      </c>
      <c r="D2902">
        <v>118</v>
      </c>
      <c r="E2902" t="s">
        <v>93</v>
      </c>
      <c r="F2902" t="s">
        <v>189</v>
      </c>
      <c r="G2902">
        <f t="shared" si="2773"/>
        <v>0</v>
      </c>
      <c r="H2902">
        <v>5</v>
      </c>
      <c r="I2902">
        <v>7</v>
      </c>
      <c r="J2902">
        <v>1</v>
      </c>
      <c r="K2902" s="6" t="str">
        <f t="shared" ref="K2902" si="2894">"vs "&amp;E2903</f>
        <v>vs Xanthi Ducks 🦆</v>
      </c>
      <c r="L2902" s="6" t="str">
        <f t="shared" ref="L2902" si="2895">"vs "&amp;F2903</f>
        <v>vs Kotakis</v>
      </c>
      <c r="M2902">
        <v>141</v>
      </c>
      <c r="N2902" s="1">
        <v>0.47599999999999998</v>
      </c>
      <c r="O2902">
        <v>61</v>
      </c>
      <c r="P2902" s="1">
        <v>0.39600000000000002</v>
      </c>
      <c r="Q2902" s="1">
        <v>0.86499999999999999</v>
      </c>
      <c r="R2902">
        <v>388</v>
      </c>
      <c r="S2902">
        <v>17</v>
      </c>
      <c r="T2902">
        <v>83</v>
      </c>
      <c r="U2902">
        <v>101</v>
      </c>
      <c r="V2902">
        <v>20</v>
      </c>
      <c r="W2902">
        <v>10</v>
      </c>
      <c r="X2902">
        <v>38</v>
      </c>
      <c r="Y2902">
        <v>2.66</v>
      </c>
    </row>
    <row r="2903" spans="1:25" x14ac:dyDescent="0.25">
      <c r="A2903">
        <v>2025</v>
      </c>
      <c r="B2903" t="s">
        <v>57</v>
      </c>
      <c r="C2903">
        <v>11</v>
      </c>
      <c r="D2903">
        <v>118</v>
      </c>
      <c r="E2903" t="s">
        <v>98</v>
      </c>
      <c r="F2903" t="s">
        <v>41</v>
      </c>
      <c r="G2903">
        <f t="shared" si="2773"/>
        <v>1</v>
      </c>
      <c r="H2903">
        <v>7</v>
      </c>
      <c r="I2903">
        <v>5</v>
      </c>
      <c r="J2903">
        <v>1</v>
      </c>
      <c r="K2903" s="6" t="str">
        <f t="shared" ref="K2903" si="2896">"vs "&amp;E2902</f>
        <v>vs Guruuu 🐐🐐🐐</v>
      </c>
      <c r="L2903" s="6" t="str">
        <f t="shared" ref="L2903" si="2897">"vs "&amp;F2902</f>
        <v>vs Guru</v>
      </c>
      <c r="M2903">
        <v>196</v>
      </c>
      <c r="N2903" s="1">
        <v>0.51200000000000001</v>
      </c>
      <c r="O2903">
        <v>52</v>
      </c>
      <c r="P2903" s="1">
        <v>0.34899999999999998</v>
      </c>
      <c r="Q2903" s="1">
        <v>0.78600000000000003</v>
      </c>
      <c r="R2903">
        <v>488</v>
      </c>
      <c r="S2903">
        <v>61</v>
      </c>
      <c r="T2903">
        <v>146</v>
      </c>
      <c r="U2903">
        <v>101</v>
      </c>
      <c r="V2903">
        <v>29</v>
      </c>
      <c r="W2903">
        <v>18</v>
      </c>
      <c r="X2903">
        <v>56</v>
      </c>
      <c r="Y2903">
        <v>1.8</v>
      </c>
    </row>
    <row r="2904" spans="1:25" x14ac:dyDescent="0.25">
      <c r="A2904">
        <v>2025</v>
      </c>
      <c r="B2904" t="s">
        <v>57</v>
      </c>
      <c r="C2904">
        <v>11</v>
      </c>
      <c r="D2904">
        <v>119</v>
      </c>
      <c r="E2904" t="s">
        <v>95</v>
      </c>
      <c r="F2904" t="s">
        <v>101</v>
      </c>
      <c r="G2904">
        <f t="shared" si="2773"/>
        <v>1</v>
      </c>
      <c r="H2904">
        <v>7</v>
      </c>
      <c r="I2904">
        <v>6</v>
      </c>
      <c r="J2904">
        <v>0</v>
      </c>
      <c r="K2904" s="6" t="str">
        <f t="shared" ref="K2904" si="2898">"vs "&amp;E2905</f>
        <v>vs Tsarlatans</v>
      </c>
      <c r="L2904" s="6" t="str">
        <f t="shared" ref="L2904" si="2899">"vs "&amp;F2905</f>
        <v>vs Tzokos</v>
      </c>
      <c r="M2904">
        <v>138</v>
      </c>
      <c r="N2904" s="1">
        <v>0.47899999999999998</v>
      </c>
      <c r="O2904">
        <v>43</v>
      </c>
      <c r="P2904" s="1">
        <v>0.36399999999999999</v>
      </c>
      <c r="Q2904" s="1">
        <v>0.83099999999999996</v>
      </c>
      <c r="R2904">
        <v>383</v>
      </c>
      <c r="S2904">
        <v>24</v>
      </c>
      <c r="T2904">
        <v>79</v>
      </c>
      <c r="U2904">
        <v>60</v>
      </c>
      <c r="V2904">
        <v>30</v>
      </c>
      <c r="W2904">
        <v>12</v>
      </c>
      <c r="X2904">
        <v>33</v>
      </c>
      <c r="Y2904">
        <v>1.82</v>
      </c>
    </row>
    <row r="2905" spans="1:25" x14ac:dyDescent="0.25">
      <c r="A2905">
        <v>2025</v>
      </c>
      <c r="B2905" t="s">
        <v>57</v>
      </c>
      <c r="C2905">
        <v>11</v>
      </c>
      <c r="D2905">
        <v>119</v>
      </c>
      <c r="E2905" t="s">
        <v>99</v>
      </c>
      <c r="F2905" t="s">
        <v>45</v>
      </c>
      <c r="G2905">
        <f t="shared" si="2773"/>
        <v>0</v>
      </c>
      <c r="H2905">
        <v>6</v>
      </c>
      <c r="I2905">
        <v>7</v>
      </c>
      <c r="J2905">
        <v>0</v>
      </c>
      <c r="K2905" s="6" t="str">
        <f t="shared" ref="K2905" si="2900">"vs "&amp;E2904</f>
        <v>vs Baltimore Hercules</v>
      </c>
      <c r="L2905" s="6" t="str">
        <f t="shared" ref="L2905" si="2901">"vs "&amp;F2904</f>
        <v>vs Sarantos</v>
      </c>
      <c r="M2905">
        <v>116</v>
      </c>
      <c r="N2905" s="1">
        <v>0.47199999999999998</v>
      </c>
      <c r="O2905">
        <v>29</v>
      </c>
      <c r="P2905" s="1">
        <v>0.29599999999999999</v>
      </c>
      <c r="Q2905" s="1">
        <v>0.8</v>
      </c>
      <c r="R2905">
        <v>293</v>
      </c>
      <c r="S2905">
        <v>36</v>
      </c>
      <c r="T2905">
        <v>105</v>
      </c>
      <c r="U2905">
        <v>72</v>
      </c>
      <c r="V2905">
        <v>27</v>
      </c>
      <c r="W2905">
        <v>20</v>
      </c>
      <c r="X2905">
        <v>32</v>
      </c>
      <c r="Y2905">
        <v>2.25</v>
      </c>
    </row>
    <row r="2906" spans="1:25" x14ac:dyDescent="0.25">
      <c r="A2906">
        <v>2025</v>
      </c>
      <c r="B2906" t="s">
        <v>57</v>
      </c>
      <c r="C2906">
        <v>11</v>
      </c>
      <c r="D2906">
        <v>120</v>
      </c>
      <c r="E2906" t="s">
        <v>158</v>
      </c>
      <c r="F2906" t="s">
        <v>177</v>
      </c>
      <c r="G2906">
        <f t="shared" ref="G2906:G2969" si="2902">IF(H2906+0.5*J2906&gt;6.5,1,0)</f>
        <v>1</v>
      </c>
      <c r="H2906">
        <v>7</v>
      </c>
      <c r="I2906">
        <v>6</v>
      </c>
      <c r="J2906">
        <v>0</v>
      </c>
      <c r="K2906" s="6" t="str">
        <f t="shared" ref="K2906" si="2903">"vs "&amp;E2907</f>
        <v>vs Kourayo Vallecano</v>
      </c>
      <c r="L2906" s="6" t="str">
        <f t="shared" ref="L2906" si="2904">"vs "&amp;F2907</f>
        <v>vs Ziogas/Christof</v>
      </c>
      <c r="M2906">
        <v>169</v>
      </c>
      <c r="N2906" s="1">
        <v>0.45300000000000001</v>
      </c>
      <c r="O2906">
        <v>49</v>
      </c>
      <c r="P2906" s="1">
        <v>0.32700000000000001</v>
      </c>
      <c r="Q2906" s="1">
        <v>0.752</v>
      </c>
      <c r="R2906">
        <v>463</v>
      </c>
      <c r="S2906">
        <v>26</v>
      </c>
      <c r="T2906">
        <v>115</v>
      </c>
      <c r="U2906">
        <v>83</v>
      </c>
      <c r="V2906">
        <v>28</v>
      </c>
      <c r="W2906">
        <v>15</v>
      </c>
      <c r="X2906">
        <v>56</v>
      </c>
      <c r="Y2906">
        <v>1.48</v>
      </c>
    </row>
    <row r="2907" spans="1:25" x14ac:dyDescent="0.25">
      <c r="A2907">
        <v>2025</v>
      </c>
      <c r="B2907" t="s">
        <v>57</v>
      </c>
      <c r="C2907">
        <v>11</v>
      </c>
      <c r="D2907">
        <v>120</v>
      </c>
      <c r="E2907" t="s">
        <v>26</v>
      </c>
      <c r="F2907" t="s">
        <v>118</v>
      </c>
      <c r="G2907">
        <f t="shared" si="2902"/>
        <v>0</v>
      </c>
      <c r="H2907">
        <v>6</v>
      </c>
      <c r="I2907">
        <v>7</v>
      </c>
      <c r="J2907">
        <v>0</v>
      </c>
      <c r="K2907" s="6" t="str">
        <f t="shared" ref="K2907" si="2905">"vs "&amp;E2906</f>
        <v>vs LRBP PR3DATORS</v>
      </c>
      <c r="L2907" s="6" t="str">
        <f t="shared" ref="L2907" si="2906">"vs "&amp;F2906</f>
        <v>vs Lafa</v>
      </c>
      <c r="M2907">
        <v>141</v>
      </c>
      <c r="N2907" s="1">
        <v>0.42499999999999999</v>
      </c>
      <c r="O2907">
        <v>41</v>
      </c>
      <c r="P2907" s="1">
        <v>0.29099999999999998</v>
      </c>
      <c r="Q2907" s="1">
        <v>0.76700000000000002</v>
      </c>
      <c r="R2907">
        <v>389</v>
      </c>
      <c r="S2907">
        <v>52</v>
      </c>
      <c r="T2907">
        <v>150</v>
      </c>
      <c r="U2907">
        <v>117</v>
      </c>
      <c r="V2907">
        <v>36</v>
      </c>
      <c r="W2907">
        <v>11</v>
      </c>
      <c r="X2907">
        <v>66</v>
      </c>
      <c r="Y2907">
        <v>1.77</v>
      </c>
    </row>
    <row r="2908" spans="1:25" x14ac:dyDescent="0.25">
      <c r="A2908">
        <v>2025</v>
      </c>
      <c r="B2908" t="s">
        <v>57</v>
      </c>
      <c r="C2908">
        <v>12</v>
      </c>
      <c r="D2908">
        <v>121</v>
      </c>
      <c r="E2908" t="s">
        <v>96</v>
      </c>
      <c r="F2908" t="s">
        <v>102</v>
      </c>
      <c r="G2908">
        <f t="shared" si="2902"/>
        <v>1</v>
      </c>
      <c r="H2908">
        <v>7</v>
      </c>
      <c r="I2908">
        <v>4</v>
      </c>
      <c r="J2908">
        <v>2</v>
      </c>
      <c r="K2908" s="6" t="str">
        <f t="shared" ref="K2908" si="2907">"vs "&amp;E2909</f>
        <v>vs Salonika Devils</v>
      </c>
      <c r="L2908" s="6" t="str">
        <f t="shared" ref="L2908" si="2908">"vs "&amp;F2909</f>
        <v>vs Fountos</v>
      </c>
      <c r="M2908">
        <v>180</v>
      </c>
      <c r="N2908" s="1">
        <v>0.45700000000000002</v>
      </c>
      <c r="O2908">
        <v>39</v>
      </c>
      <c r="P2908" s="1">
        <v>0.29099999999999998</v>
      </c>
      <c r="Q2908" s="1">
        <v>0.82899999999999996</v>
      </c>
      <c r="R2908">
        <v>491</v>
      </c>
      <c r="S2908">
        <v>51</v>
      </c>
      <c r="T2908">
        <v>109</v>
      </c>
      <c r="U2908">
        <v>126</v>
      </c>
      <c r="V2908">
        <v>33</v>
      </c>
      <c r="W2908">
        <v>19</v>
      </c>
      <c r="X2908">
        <v>52</v>
      </c>
      <c r="Y2908">
        <v>2.42</v>
      </c>
    </row>
    <row r="2909" spans="1:25" x14ac:dyDescent="0.25">
      <c r="A2909">
        <v>2025</v>
      </c>
      <c r="B2909" t="s">
        <v>57</v>
      </c>
      <c r="C2909">
        <v>12</v>
      </c>
      <c r="D2909">
        <v>121</v>
      </c>
      <c r="E2909" t="s">
        <v>15</v>
      </c>
      <c r="F2909" t="s">
        <v>48</v>
      </c>
      <c r="G2909">
        <f t="shared" si="2902"/>
        <v>0</v>
      </c>
      <c r="H2909">
        <v>4</v>
      </c>
      <c r="I2909">
        <v>7</v>
      </c>
      <c r="J2909">
        <v>2</v>
      </c>
      <c r="K2909" s="6" t="str">
        <f t="shared" ref="K2909" si="2909">"vs "&amp;E2908</f>
        <v>vs Knights of Ni</v>
      </c>
      <c r="L2909" s="6" t="str">
        <f t="shared" ref="L2909" si="2910">"vs "&amp;F2908</f>
        <v>vs Tolios</v>
      </c>
      <c r="M2909">
        <v>188</v>
      </c>
      <c r="N2909" s="1">
        <v>0.48099999999999998</v>
      </c>
      <c r="O2909">
        <v>39</v>
      </c>
      <c r="P2909" s="1">
        <v>0.29099999999999998</v>
      </c>
      <c r="Q2909" s="1">
        <v>0.70099999999999996</v>
      </c>
      <c r="R2909">
        <v>476</v>
      </c>
      <c r="S2909">
        <v>36</v>
      </c>
      <c r="T2909">
        <v>136</v>
      </c>
      <c r="U2909">
        <v>113</v>
      </c>
      <c r="V2909">
        <v>31</v>
      </c>
      <c r="W2909">
        <v>23</v>
      </c>
      <c r="X2909">
        <v>64</v>
      </c>
      <c r="Y2909">
        <v>1.77</v>
      </c>
    </row>
    <row r="2910" spans="1:25" x14ac:dyDescent="0.25">
      <c r="A2910">
        <v>2025</v>
      </c>
      <c r="B2910" t="s">
        <v>57</v>
      </c>
      <c r="C2910">
        <v>12</v>
      </c>
      <c r="D2910">
        <v>122</v>
      </c>
      <c r="E2910" t="s">
        <v>33</v>
      </c>
      <c r="F2910" t="s">
        <v>42</v>
      </c>
      <c r="G2910">
        <f t="shared" si="2902"/>
        <v>1</v>
      </c>
      <c r="H2910">
        <v>7</v>
      </c>
      <c r="I2910">
        <v>6</v>
      </c>
      <c r="J2910">
        <v>0</v>
      </c>
      <c r="K2910" s="6" t="str">
        <f t="shared" ref="K2910" si="2911">"vs "&amp;E2911</f>
        <v>vs Heraklion Snakes</v>
      </c>
      <c r="L2910" s="6" t="str">
        <f t="shared" ref="L2910" si="2912">"vs "&amp;F2911</f>
        <v>vs Dimitris</v>
      </c>
      <c r="M2910">
        <v>166</v>
      </c>
      <c r="N2910" s="1">
        <v>0.443</v>
      </c>
      <c r="O2910">
        <v>45</v>
      </c>
      <c r="P2910" s="1">
        <v>0.34399999999999997</v>
      </c>
      <c r="Q2910" s="1">
        <v>0.85599999999999998</v>
      </c>
      <c r="R2910">
        <v>472</v>
      </c>
      <c r="S2910">
        <v>41</v>
      </c>
      <c r="T2910">
        <v>124</v>
      </c>
      <c r="U2910">
        <v>110</v>
      </c>
      <c r="V2910">
        <v>27</v>
      </c>
      <c r="W2910">
        <v>11</v>
      </c>
      <c r="X2910">
        <v>57</v>
      </c>
      <c r="Y2910">
        <v>1.93</v>
      </c>
    </row>
    <row r="2911" spans="1:25" x14ac:dyDescent="0.25">
      <c r="A2911">
        <v>2025</v>
      </c>
      <c r="B2911" t="s">
        <v>57</v>
      </c>
      <c r="C2911">
        <v>12</v>
      </c>
      <c r="D2911">
        <v>122</v>
      </c>
      <c r="E2911" t="s">
        <v>184</v>
      </c>
      <c r="F2911" t="s">
        <v>188</v>
      </c>
      <c r="G2911">
        <f t="shared" si="2902"/>
        <v>0</v>
      </c>
      <c r="H2911">
        <v>6</v>
      </c>
      <c r="I2911">
        <v>7</v>
      </c>
      <c r="J2911">
        <v>0</v>
      </c>
      <c r="K2911" s="6" t="str">
        <f t="shared" ref="K2911" si="2913">"vs "&amp;E2910</f>
        <v>vs The Guns</v>
      </c>
      <c r="L2911" s="6" t="str">
        <f t="shared" ref="L2911" si="2914">"vs "&amp;F2910</f>
        <v>vs Vasilis</v>
      </c>
      <c r="M2911">
        <v>123</v>
      </c>
      <c r="N2911" s="1">
        <v>0.49</v>
      </c>
      <c r="O2911">
        <v>50</v>
      </c>
      <c r="P2911" s="1">
        <v>0.41699999999999998</v>
      </c>
      <c r="Q2911" s="1">
        <v>0.67500000000000004</v>
      </c>
      <c r="R2911">
        <v>323</v>
      </c>
      <c r="S2911">
        <v>39</v>
      </c>
      <c r="T2911">
        <v>73</v>
      </c>
      <c r="U2911">
        <v>62</v>
      </c>
      <c r="V2911">
        <v>20</v>
      </c>
      <c r="W2911">
        <v>19</v>
      </c>
      <c r="X2911">
        <v>30</v>
      </c>
      <c r="Y2911">
        <v>2.0699999999999998</v>
      </c>
    </row>
    <row r="2912" spans="1:25" x14ac:dyDescent="0.25">
      <c r="A2912">
        <v>2025</v>
      </c>
      <c r="B2912" t="s">
        <v>57</v>
      </c>
      <c r="C2912">
        <v>12</v>
      </c>
      <c r="D2912">
        <v>123</v>
      </c>
      <c r="E2912" t="s">
        <v>181</v>
      </c>
      <c r="F2912" t="s">
        <v>49</v>
      </c>
      <c r="G2912">
        <f t="shared" si="2902"/>
        <v>1</v>
      </c>
      <c r="H2912">
        <v>7</v>
      </c>
      <c r="I2912">
        <v>6</v>
      </c>
      <c r="J2912">
        <v>0</v>
      </c>
      <c r="K2912" s="6" t="str">
        <f t="shared" ref="K2912" si="2915">"vs "&amp;E2913</f>
        <v>vs Karafli Saita</v>
      </c>
      <c r="L2912" s="6" t="str">
        <f t="shared" ref="L2912" si="2916">"vs "&amp;F2913</f>
        <v>vs Tassos</v>
      </c>
      <c r="M2912">
        <v>178</v>
      </c>
      <c r="N2912" s="1">
        <v>0.40899999999999997</v>
      </c>
      <c r="O2912">
        <v>57</v>
      </c>
      <c r="P2912" s="1">
        <v>0.35599999999999998</v>
      </c>
      <c r="Q2912" s="1">
        <v>0.79400000000000004</v>
      </c>
      <c r="R2912">
        <v>494</v>
      </c>
      <c r="S2912">
        <v>47</v>
      </c>
      <c r="T2912">
        <v>141</v>
      </c>
      <c r="U2912">
        <v>104</v>
      </c>
      <c r="V2912">
        <v>41</v>
      </c>
      <c r="W2912">
        <v>26</v>
      </c>
      <c r="X2912">
        <v>48</v>
      </c>
      <c r="Y2912">
        <v>2.17</v>
      </c>
    </row>
    <row r="2913" spans="1:25" x14ac:dyDescent="0.25">
      <c r="A2913">
        <v>2025</v>
      </c>
      <c r="B2913" t="s">
        <v>57</v>
      </c>
      <c r="C2913">
        <v>12</v>
      </c>
      <c r="D2913">
        <v>123</v>
      </c>
      <c r="E2913" t="s">
        <v>186</v>
      </c>
      <c r="F2913" t="s">
        <v>103</v>
      </c>
      <c r="G2913">
        <f t="shared" si="2902"/>
        <v>0</v>
      </c>
      <c r="H2913">
        <v>6</v>
      </c>
      <c r="I2913">
        <v>7</v>
      </c>
      <c r="J2913">
        <v>0</v>
      </c>
      <c r="K2913" s="6" t="str">
        <f t="shared" ref="K2913" si="2917">"vs "&amp;E2912</f>
        <v>vs Samarina Dudenbros</v>
      </c>
      <c r="L2913" s="6" t="str">
        <f t="shared" ref="L2913" si="2918">"vs "&amp;F2912</f>
        <v>vs Sakellariou</v>
      </c>
      <c r="M2913">
        <v>183</v>
      </c>
      <c r="N2913" s="1">
        <v>0.48199999999999998</v>
      </c>
      <c r="O2913">
        <v>49</v>
      </c>
      <c r="P2913" s="1">
        <v>0.38300000000000001</v>
      </c>
      <c r="Q2913" s="1">
        <v>0.89900000000000002</v>
      </c>
      <c r="R2913">
        <v>513</v>
      </c>
      <c r="S2913">
        <v>42</v>
      </c>
      <c r="T2913">
        <v>129</v>
      </c>
      <c r="U2913">
        <v>134</v>
      </c>
      <c r="V2913">
        <v>35</v>
      </c>
      <c r="W2913">
        <v>11</v>
      </c>
      <c r="X2913">
        <v>67</v>
      </c>
      <c r="Y2913">
        <v>2</v>
      </c>
    </row>
    <row r="2914" spans="1:25" x14ac:dyDescent="0.25">
      <c r="A2914">
        <v>2025</v>
      </c>
      <c r="B2914" t="s">
        <v>57</v>
      </c>
      <c r="C2914">
        <v>12</v>
      </c>
      <c r="D2914">
        <v>124</v>
      </c>
      <c r="E2914" t="s">
        <v>159</v>
      </c>
      <c r="F2914" t="s">
        <v>116</v>
      </c>
      <c r="G2914">
        <f t="shared" si="2902"/>
        <v>1</v>
      </c>
      <c r="H2914">
        <v>8</v>
      </c>
      <c r="I2914">
        <v>5</v>
      </c>
      <c r="J2914">
        <v>0</v>
      </c>
      <c r="K2914" s="6" t="str">
        <f t="shared" ref="K2914" si="2919">"vs "&amp;E2915</f>
        <v>vs Fighting Thaddeus</v>
      </c>
      <c r="L2914" s="6" t="str">
        <f t="shared" ref="L2914" si="2920">"vs "&amp;F2915</f>
        <v>vs Stavros</v>
      </c>
      <c r="M2914">
        <v>187</v>
      </c>
      <c r="N2914" s="1">
        <v>0.495</v>
      </c>
      <c r="O2914">
        <v>43</v>
      </c>
      <c r="P2914" s="1">
        <v>0.33100000000000002</v>
      </c>
      <c r="Q2914" s="1">
        <v>0.622</v>
      </c>
      <c r="R2914">
        <v>473</v>
      </c>
      <c r="S2914">
        <v>54</v>
      </c>
      <c r="T2914">
        <v>162</v>
      </c>
      <c r="U2914">
        <v>130</v>
      </c>
      <c r="V2914">
        <v>35</v>
      </c>
      <c r="W2914">
        <v>14</v>
      </c>
      <c r="X2914">
        <v>72</v>
      </c>
      <c r="Y2914">
        <v>1.81</v>
      </c>
    </row>
    <row r="2915" spans="1:25" x14ac:dyDescent="0.25">
      <c r="A2915">
        <v>2025</v>
      </c>
      <c r="B2915" t="s">
        <v>57</v>
      </c>
      <c r="C2915">
        <v>12</v>
      </c>
      <c r="D2915">
        <v>124</v>
      </c>
      <c r="E2915" t="s">
        <v>94</v>
      </c>
      <c r="F2915" t="s">
        <v>40</v>
      </c>
      <c r="G2915">
        <f t="shared" si="2902"/>
        <v>0</v>
      </c>
      <c r="H2915">
        <v>5</v>
      </c>
      <c r="I2915">
        <v>8</v>
      </c>
      <c r="J2915">
        <v>0</v>
      </c>
      <c r="K2915" s="6" t="str">
        <f t="shared" ref="K2915" si="2921">"vs "&amp;E2914</f>
        <v>vs purple fuzzy apache pirates</v>
      </c>
      <c r="L2915" s="6" t="str">
        <f t="shared" ref="L2915" si="2922">"vs "&amp;F2914</f>
        <v>vs pi/Sotiris</v>
      </c>
      <c r="M2915">
        <v>114</v>
      </c>
      <c r="N2915" s="1">
        <v>0.435</v>
      </c>
      <c r="O2915">
        <v>42</v>
      </c>
      <c r="P2915" s="1">
        <v>0.33300000000000002</v>
      </c>
      <c r="Q2915" s="1">
        <v>0.81100000000000005</v>
      </c>
      <c r="R2915">
        <v>313</v>
      </c>
      <c r="S2915">
        <v>24</v>
      </c>
      <c r="T2915">
        <v>87</v>
      </c>
      <c r="U2915">
        <v>74</v>
      </c>
      <c r="V2915">
        <v>23</v>
      </c>
      <c r="W2915">
        <v>23</v>
      </c>
      <c r="X2915">
        <v>29</v>
      </c>
      <c r="Y2915">
        <v>2.5499999999999998</v>
      </c>
    </row>
    <row r="2916" spans="1:25" x14ac:dyDescent="0.25">
      <c r="A2916">
        <v>2025</v>
      </c>
      <c r="B2916" t="s">
        <v>57</v>
      </c>
      <c r="C2916">
        <v>12</v>
      </c>
      <c r="D2916">
        <v>125</v>
      </c>
      <c r="E2916" t="s">
        <v>23</v>
      </c>
      <c r="F2916" t="s">
        <v>120</v>
      </c>
      <c r="G2916">
        <f t="shared" si="2902"/>
        <v>1</v>
      </c>
      <c r="H2916">
        <v>8</v>
      </c>
      <c r="I2916">
        <v>5</v>
      </c>
      <c r="J2916">
        <v>0</v>
      </c>
      <c r="K2916" s="6" t="str">
        <f t="shared" ref="K2916" si="2923">"vs "&amp;E2917</f>
        <v>vs Paralouistas</v>
      </c>
      <c r="L2916" s="6" t="str">
        <f t="shared" ref="L2916" si="2924">"vs "&amp;F2917</f>
        <v>vs Panos</v>
      </c>
      <c r="M2916">
        <v>144</v>
      </c>
      <c r="N2916" s="1">
        <v>0.44900000000000001</v>
      </c>
      <c r="O2916">
        <v>36</v>
      </c>
      <c r="P2916" s="1">
        <v>0.29799999999999999</v>
      </c>
      <c r="Q2916" s="1">
        <v>0.78300000000000003</v>
      </c>
      <c r="R2916">
        <v>371</v>
      </c>
      <c r="S2916">
        <v>42</v>
      </c>
      <c r="T2916">
        <v>111</v>
      </c>
      <c r="U2916">
        <v>91</v>
      </c>
      <c r="V2916">
        <v>35</v>
      </c>
      <c r="W2916">
        <v>27</v>
      </c>
      <c r="X2916">
        <v>40</v>
      </c>
      <c r="Y2916">
        <v>2.27</v>
      </c>
    </row>
    <row r="2917" spans="1:25" x14ac:dyDescent="0.25">
      <c r="A2917">
        <v>2025</v>
      </c>
      <c r="B2917" t="s">
        <v>57</v>
      </c>
      <c r="C2917">
        <v>12</v>
      </c>
      <c r="D2917">
        <v>125</v>
      </c>
      <c r="E2917" t="s">
        <v>185</v>
      </c>
      <c r="F2917" t="s">
        <v>100</v>
      </c>
      <c r="G2917">
        <f t="shared" si="2902"/>
        <v>0</v>
      </c>
      <c r="H2917">
        <v>5</v>
      </c>
      <c r="I2917">
        <v>8</v>
      </c>
      <c r="J2917">
        <v>0</v>
      </c>
      <c r="K2917" s="6" t="str">
        <f t="shared" ref="K2917" si="2925">"vs "&amp;E2916</f>
        <v>vs Pachiana NinjaBees</v>
      </c>
      <c r="L2917" s="6" t="str">
        <f t="shared" ref="L2917" si="2926">"vs "&amp;F2916</f>
        <v>vs Spiridaus/Oladipas</v>
      </c>
      <c r="M2917">
        <v>143</v>
      </c>
      <c r="N2917" s="1">
        <v>0.40300000000000002</v>
      </c>
      <c r="O2917">
        <v>60</v>
      </c>
      <c r="P2917" s="1">
        <v>0.35499999999999998</v>
      </c>
      <c r="Q2917" s="1">
        <v>0.79500000000000004</v>
      </c>
      <c r="R2917">
        <v>404</v>
      </c>
      <c r="S2917">
        <v>40</v>
      </c>
      <c r="T2917">
        <v>123</v>
      </c>
      <c r="U2917">
        <v>81</v>
      </c>
      <c r="V2917">
        <v>30</v>
      </c>
      <c r="W2917">
        <v>25</v>
      </c>
      <c r="X2917">
        <v>54</v>
      </c>
      <c r="Y2917">
        <v>1.5</v>
      </c>
    </row>
    <row r="2918" spans="1:25" x14ac:dyDescent="0.25">
      <c r="A2918">
        <v>2025</v>
      </c>
      <c r="B2918" t="s">
        <v>57</v>
      </c>
      <c r="C2918">
        <v>12</v>
      </c>
      <c r="D2918">
        <v>126</v>
      </c>
      <c r="E2918" t="s">
        <v>28</v>
      </c>
      <c r="F2918" t="s">
        <v>46</v>
      </c>
      <c r="G2918">
        <f t="shared" si="2902"/>
        <v>0</v>
      </c>
      <c r="H2918">
        <v>6</v>
      </c>
      <c r="I2918">
        <v>7</v>
      </c>
      <c r="J2918">
        <v>0</v>
      </c>
      <c r="K2918" s="6" t="str">
        <f t="shared" ref="K2918" si="2927">"vs "&amp;E2919</f>
        <v>vs The Bridgeburners</v>
      </c>
      <c r="L2918" s="6" t="str">
        <f t="shared" ref="L2918" si="2928">"vs "&amp;F2919</f>
        <v>vs Fanis</v>
      </c>
      <c r="M2918">
        <v>173</v>
      </c>
      <c r="N2918" s="1">
        <v>0.45500000000000002</v>
      </c>
      <c r="O2918">
        <v>76</v>
      </c>
      <c r="P2918" s="1">
        <v>0.40600000000000003</v>
      </c>
      <c r="Q2918" s="1">
        <v>0.753</v>
      </c>
      <c r="R2918">
        <v>489</v>
      </c>
      <c r="S2918">
        <v>28</v>
      </c>
      <c r="T2918">
        <v>122</v>
      </c>
      <c r="U2918">
        <v>105</v>
      </c>
      <c r="V2918">
        <v>26</v>
      </c>
      <c r="W2918">
        <v>14</v>
      </c>
      <c r="X2918">
        <v>70</v>
      </c>
      <c r="Y2918">
        <v>1.5</v>
      </c>
    </row>
    <row r="2919" spans="1:25" x14ac:dyDescent="0.25">
      <c r="A2919">
        <v>2025</v>
      </c>
      <c r="B2919" t="s">
        <v>57</v>
      </c>
      <c r="C2919">
        <v>12</v>
      </c>
      <c r="D2919">
        <v>126</v>
      </c>
      <c r="E2919" t="s">
        <v>16</v>
      </c>
      <c r="F2919" t="s">
        <v>51</v>
      </c>
      <c r="G2919">
        <f t="shared" si="2902"/>
        <v>1</v>
      </c>
      <c r="H2919">
        <v>7</v>
      </c>
      <c r="I2919">
        <v>6</v>
      </c>
      <c r="J2919">
        <v>0</v>
      </c>
      <c r="K2919" s="6" t="str">
        <f t="shared" ref="K2919" si="2929">"vs "&amp;E2918</f>
        <v>vs Steven Adams' Moustache</v>
      </c>
      <c r="L2919" s="6" t="str">
        <f t="shared" ref="L2919" si="2930">"vs "&amp;F2918</f>
        <v>vs Johnny</v>
      </c>
      <c r="M2919">
        <v>156</v>
      </c>
      <c r="N2919" s="1">
        <v>0.49199999999999999</v>
      </c>
      <c r="O2919">
        <v>52</v>
      </c>
      <c r="P2919" s="1">
        <v>0.42599999999999999</v>
      </c>
      <c r="Q2919" s="1">
        <v>0.84599999999999997</v>
      </c>
      <c r="R2919">
        <v>452</v>
      </c>
      <c r="S2919">
        <v>15</v>
      </c>
      <c r="T2919">
        <v>104</v>
      </c>
      <c r="U2919">
        <v>117</v>
      </c>
      <c r="V2919">
        <v>23</v>
      </c>
      <c r="W2919">
        <v>22</v>
      </c>
      <c r="X2919">
        <v>50</v>
      </c>
      <c r="Y2919">
        <v>2.34</v>
      </c>
    </row>
    <row r="2920" spans="1:25" x14ac:dyDescent="0.25">
      <c r="A2920">
        <v>2025</v>
      </c>
      <c r="B2920" t="s">
        <v>57</v>
      </c>
      <c r="C2920">
        <v>12</v>
      </c>
      <c r="D2920">
        <v>127</v>
      </c>
      <c r="E2920" t="s">
        <v>21</v>
      </c>
      <c r="F2920" t="s">
        <v>50</v>
      </c>
      <c r="G2920">
        <f t="shared" si="2902"/>
        <v>1</v>
      </c>
      <c r="H2920">
        <v>11</v>
      </c>
      <c r="I2920">
        <v>2</v>
      </c>
      <c r="J2920">
        <v>0</v>
      </c>
      <c r="K2920" s="6" t="str">
        <f t="shared" ref="K2920" si="2931">"vs "&amp;E2921</f>
        <v>vs Guruuu 🐐🐐🐐</v>
      </c>
      <c r="L2920" s="6" t="str">
        <f t="shared" ref="L2920" si="2932">"vs "&amp;F2921</f>
        <v>vs Guru</v>
      </c>
      <c r="M2920">
        <v>188</v>
      </c>
      <c r="N2920" s="1">
        <v>0.53900000000000003</v>
      </c>
      <c r="O2920">
        <v>51</v>
      </c>
      <c r="P2920" s="1">
        <v>0.41099999999999998</v>
      </c>
      <c r="Q2920" s="1">
        <v>0.77800000000000002</v>
      </c>
      <c r="R2920">
        <v>476</v>
      </c>
      <c r="S2920">
        <v>49</v>
      </c>
      <c r="T2920">
        <v>123</v>
      </c>
      <c r="U2920">
        <v>91</v>
      </c>
      <c r="V2920">
        <v>26</v>
      </c>
      <c r="W2920">
        <v>22</v>
      </c>
      <c r="X2920">
        <v>38</v>
      </c>
      <c r="Y2920">
        <v>2.39</v>
      </c>
    </row>
    <row r="2921" spans="1:25" x14ac:dyDescent="0.25">
      <c r="A2921">
        <v>2025</v>
      </c>
      <c r="B2921" t="s">
        <v>57</v>
      </c>
      <c r="C2921">
        <v>12</v>
      </c>
      <c r="D2921">
        <v>127</v>
      </c>
      <c r="E2921" t="s">
        <v>93</v>
      </c>
      <c r="F2921" t="s">
        <v>189</v>
      </c>
      <c r="G2921">
        <f t="shared" si="2902"/>
        <v>0</v>
      </c>
      <c r="H2921">
        <v>2</v>
      </c>
      <c r="I2921">
        <v>11</v>
      </c>
      <c r="J2921">
        <v>0</v>
      </c>
      <c r="K2921" s="6" t="str">
        <f t="shared" ref="K2921" si="2933">"vs "&amp;E2920</f>
        <v>vs st.Helens Eruptions</v>
      </c>
      <c r="L2921" s="6" t="str">
        <f t="shared" ref="L2921" si="2934">"vs "&amp;F2920</f>
        <v>vs Aris</v>
      </c>
      <c r="M2921">
        <v>120</v>
      </c>
      <c r="N2921" s="1">
        <v>0.45500000000000002</v>
      </c>
      <c r="O2921">
        <v>50</v>
      </c>
      <c r="P2921" s="1">
        <v>0.376</v>
      </c>
      <c r="Q2921" s="1">
        <v>0.75600000000000001</v>
      </c>
      <c r="R2921">
        <v>324</v>
      </c>
      <c r="S2921">
        <v>16</v>
      </c>
      <c r="T2921">
        <v>82</v>
      </c>
      <c r="U2921">
        <v>79</v>
      </c>
      <c r="V2921">
        <v>14</v>
      </c>
      <c r="W2921">
        <v>9</v>
      </c>
      <c r="X2921">
        <v>30</v>
      </c>
      <c r="Y2921">
        <v>2.63</v>
      </c>
    </row>
    <row r="2922" spans="1:25" x14ac:dyDescent="0.25">
      <c r="A2922">
        <v>2025</v>
      </c>
      <c r="B2922" t="s">
        <v>57</v>
      </c>
      <c r="C2922">
        <v>12</v>
      </c>
      <c r="D2922">
        <v>128</v>
      </c>
      <c r="E2922" t="s">
        <v>154</v>
      </c>
      <c r="F2922" t="s">
        <v>155</v>
      </c>
      <c r="G2922">
        <f t="shared" si="2902"/>
        <v>1</v>
      </c>
      <c r="H2922">
        <v>7</v>
      </c>
      <c r="I2922">
        <v>5</v>
      </c>
      <c r="J2922">
        <v>1</v>
      </c>
      <c r="K2922" s="6" t="str">
        <f t="shared" ref="K2922" si="2935">"vs "&amp;E2923</f>
        <v>vs Baltimore Hercules</v>
      </c>
      <c r="L2922" s="6" t="str">
        <f t="shared" ref="L2922" si="2936">"vs "&amp;F2923</f>
        <v>vs Sarantos</v>
      </c>
      <c r="M2922">
        <v>137</v>
      </c>
      <c r="N2922" s="1">
        <v>0.47899999999999998</v>
      </c>
      <c r="O2922">
        <v>46</v>
      </c>
      <c r="P2922" s="1">
        <v>0.377</v>
      </c>
      <c r="Q2922" s="1">
        <v>0.82699999999999996</v>
      </c>
      <c r="R2922">
        <v>387</v>
      </c>
      <c r="S2922">
        <v>52</v>
      </c>
      <c r="T2922">
        <v>146</v>
      </c>
      <c r="U2922">
        <v>68</v>
      </c>
      <c r="V2922">
        <v>33</v>
      </c>
      <c r="W2922">
        <v>21</v>
      </c>
      <c r="X2922">
        <v>35</v>
      </c>
      <c r="Y2922">
        <v>1.94</v>
      </c>
    </row>
    <row r="2923" spans="1:25" x14ac:dyDescent="0.25">
      <c r="A2923">
        <v>2025</v>
      </c>
      <c r="B2923" t="s">
        <v>57</v>
      </c>
      <c r="C2923">
        <v>12</v>
      </c>
      <c r="D2923">
        <v>128</v>
      </c>
      <c r="E2923" t="s">
        <v>95</v>
      </c>
      <c r="F2923" t="s">
        <v>101</v>
      </c>
      <c r="G2923">
        <f t="shared" si="2902"/>
        <v>0</v>
      </c>
      <c r="H2923">
        <v>5</v>
      </c>
      <c r="I2923">
        <v>7</v>
      </c>
      <c r="J2923">
        <v>1</v>
      </c>
      <c r="K2923" s="6" t="str">
        <f t="shared" ref="K2923" si="2937">"vs "&amp;E2922</f>
        <v>vs The Bad Boys</v>
      </c>
      <c r="L2923" s="6" t="str">
        <f t="shared" ref="L2923" si="2938">"vs "&amp;F2922</f>
        <v>vs Arvanitis</v>
      </c>
      <c r="M2923">
        <v>137</v>
      </c>
      <c r="N2923" s="1">
        <v>0.48099999999999998</v>
      </c>
      <c r="O2923">
        <v>47</v>
      </c>
      <c r="P2923" s="1">
        <v>0.40500000000000003</v>
      </c>
      <c r="Q2923" s="1">
        <v>0.73499999999999999</v>
      </c>
      <c r="R2923">
        <v>371</v>
      </c>
      <c r="S2923">
        <v>38</v>
      </c>
      <c r="T2923">
        <v>109</v>
      </c>
      <c r="U2923">
        <v>76</v>
      </c>
      <c r="V2923">
        <v>28</v>
      </c>
      <c r="W2923">
        <v>23</v>
      </c>
      <c r="X2923">
        <v>42</v>
      </c>
      <c r="Y2923">
        <v>1.81</v>
      </c>
    </row>
    <row r="2924" spans="1:25" x14ac:dyDescent="0.25">
      <c r="A2924">
        <v>2025</v>
      </c>
      <c r="B2924" t="s">
        <v>57</v>
      </c>
      <c r="C2924">
        <v>12</v>
      </c>
      <c r="D2924">
        <v>129</v>
      </c>
      <c r="E2924" t="s">
        <v>98</v>
      </c>
      <c r="F2924" t="s">
        <v>41</v>
      </c>
      <c r="G2924">
        <f t="shared" si="2902"/>
        <v>1</v>
      </c>
      <c r="H2924">
        <v>10</v>
      </c>
      <c r="I2924">
        <v>3</v>
      </c>
      <c r="J2924">
        <v>0</v>
      </c>
      <c r="K2924" s="6" t="str">
        <f t="shared" ref="K2924" si="2939">"vs "&amp;E2925</f>
        <v>vs LRBP PR3DATORS</v>
      </c>
      <c r="L2924" s="6" t="str">
        <f t="shared" ref="L2924" si="2940">"vs "&amp;F2925</f>
        <v>vs Lafa</v>
      </c>
      <c r="M2924">
        <v>186</v>
      </c>
      <c r="N2924" s="1">
        <v>0.46899999999999997</v>
      </c>
      <c r="O2924">
        <v>54</v>
      </c>
      <c r="P2924" s="1">
        <v>0.32700000000000001</v>
      </c>
      <c r="Q2924" s="1">
        <v>0.63800000000000001</v>
      </c>
      <c r="R2924">
        <v>470</v>
      </c>
      <c r="S2924">
        <v>53</v>
      </c>
      <c r="T2924">
        <v>185</v>
      </c>
      <c r="U2924">
        <v>131</v>
      </c>
      <c r="V2924">
        <v>35</v>
      </c>
      <c r="W2924">
        <v>23</v>
      </c>
      <c r="X2924">
        <v>59</v>
      </c>
      <c r="Y2924">
        <v>2.2200000000000002</v>
      </c>
    </row>
    <row r="2925" spans="1:25" x14ac:dyDescent="0.25">
      <c r="A2925">
        <v>2025</v>
      </c>
      <c r="B2925" t="s">
        <v>57</v>
      </c>
      <c r="C2925">
        <v>12</v>
      </c>
      <c r="D2925">
        <v>129</v>
      </c>
      <c r="E2925" t="s">
        <v>158</v>
      </c>
      <c r="F2925" t="s">
        <v>177</v>
      </c>
      <c r="G2925">
        <f t="shared" si="2902"/>
        <v>0</v>
      </c>
      <c r="H2925">
        <v>3</v>
      </c>
      <c r="I2925">
        <v>10</v>
      </c>
      <c r="J2925">
        <v>0</v>
      </c>
      <c r="K2925" s="6" t="str">
        <f t="shared" ref="K2925" si="2941">"vs "&amp;E2924</f>
        <v>vs Xanthi Ducks 🦆</v>
      </c>
      <c r="L2925" s="6" t="str">
        <f t="shared" ref="L2925" si="2942">"vs "&amp;F2924</f>
        <v>vs Kotakis</v>
      </c>
      <c r="M2925">
        <v>129</v>
      </c>
      <c r="N2925" s="1">
        <v>0.44600000000000001</v>
      </c>
      <c r="O2925">
        <v>34</v>
      </c>
      <c r="P2925" s="1">
        <v>0.33</v>
      </c>
      <c r="Q2925" s="1">
        <v>0.68500000000000005</v>
      </c>
      <c r="R2925">
        <v>353</v>
      </c>
      <c r="S2925">
        <v>45</v>
      </c>
      <c r="T2925">
        <v>117</v>
      </c>
      <c r="U2925">
        <v>84</v>
      </c>
      <c r="V2925">
        <v>29</v>
      </c>
      <c r="W2925">
        <v>20</v>
      </c>
      <c r="X2925">
        <v>42</v>
      </c>
      <c r="Y2925">
        <v>2</v>
      </c>
    </row>
    <row r="2926" spans="1:25" x14ac:dyDescent="0.25">
      <c r="A2926">
        <v>2025</v>
      </c>
      <c r="B2926" t="s">
        <v>57</v>
      </c>
      <c r="C2926">
        <v>12</v>
      </c>
      <c r="D2926">
        <v>130</v>
      </c>
      <c r="E2926" t="s">
        <v>99</v>
      </c>
      <c r="F2926" t="s">
        <v>45</v>
      </c>
      <c r="G2926">
        <f t="shared" si="2902"/>
        <v>0</v>
      </c>
      <c r="H2926">
        <v>6</v>
      </c>
      <c r="I2926">
        <v>7</v>
      </c>
      <c r="J2926">
        <v>0</v>
      </c>
      <c r="K2926" s="6" t="str">
        <f t="shared" ref="K2926" si="2943">"vs "&amp;E2927</f>
        <v>vs Kourayo Vallecano</v>
      </c>
      <c r="L2926" s="6" t="str">
        <f t="shared" ref="L2926" si="2944">"vs "&amp;F2927</f>
        <v>vs Ziogas/Christof</v>
      </c>
      <c r="M2926">
        <v>119</v>
      </c>
      <c r="N2926" s="1">
        <v>0.49399999999999999</v>
      </c>
      <c r="O2926">
        <v>31</v>
      </c>
      <c r="P2926" s="1">
        <v>0.36</v>
      </c>
      <c r="Q2926" s="1">
        <v>0.8</v>
      </c>
      <c r="R2926">
        <v>313</v>
      </c>
      <c r="S2926">
        <v>38</v>
      </c>
      <c r="T2926">
        <v>113</v>
      </c>
      <c r="U2926">
        <v>76</v>
      </c>
      <c r="V2926">
        <v>23</v>
      </c>
      <c r="W2926">
        <v>18</v>
      </c>
      <c r="X2926">
        <v>37</v>
      </c>
      <c r="Y2926">
        <v>2.0499999999999998</v>
      </c>
    </row>
    <row r="2927" spans="1:25" x14ac:dyDescent="0.25">
      <c r="A2927">
        <v>2025</v>
      </c>
      <c r="B2927" t="s">
        <v>57</v>
      </c>
      <c r="C2927">
        <v>12</v>
      </c>
      <c r="D2927">
        <v>130</v>
      </c>
      <c r="E2927" t="s">
        <v>26</v>
      </c>
      <c r="F2927" t="s">
        <v>118</v>
      </c>
      <c r="G2927">
        <f t="shared" si="2902"/>
        <v>1</v>
      </c>
      <c r="H2927">
        <v>7</v>
      </c>
      <c r="I2927">
        <v>6</v>
      </c>
      <c r="J2927">
        <v>0</v>
      </c>
      <c r="K2927" s="6" t="str">
        <f t="shared" ref="K2927" si="2945">"vs "&amp;E2926</f>
        <v>vs Tsarlatans</v>
      </c>
      <c r="L2927" s="6" t="str">
        <f t="shared" ref="L2927" si="2946">"vs "&amp;F2926</f>
        <v>vs Tzokos</v>
      </c>
      <c r="M2927">
        <v>187</v>
      </c>
      <c r="N2927" s="1">
        <v>0.48299999999999998</v>
      </c>
      <c r="O2927">
        <v>56</v>
      </c>
      <c r="P2927" s="1">
        <v>0.35399999999999998</v>
      </c>
      <c r="Q2927" s="1">
        <v>0.745</v>
      </c>
      <c r="R2927">
        <v>509</v>
      </c>
      <c r="S2927">
        <v>58</v>
      </c>
      <c r="T2927">
        <v>154</v>
      </c>
      <c r="U2927">
        <v>106</v>
      </c>
      <c r="V2927">
        <v>46</v>
      </c>
      <c r="W2927">
        <v>17</v>
      </c>
      <c r="X2927">
        <v>57</v>
      </c>
      <c r="Y2927">
        <v>1.86</v>
      </c>
    </row>
    <row r="2928" spans="1:25" x14ac:dyDescent="0.25">
      <c r="A2928">
        <v>2025</v>
      </c>
      <c r="B2928" t="s">
        <v>57</v>
      </c>
      <c r="C2928">
        <v>13</v>
      </c>
      <c r="D2928">
        <v>131</v>
      </c>
      <c r="E2928" t="s">
        <v>184</v>
      </c>
      <c r="F2928" t="s">
        <v>188</v>
      </c>
      <c r="G2928">
        <f t="shared" si="2902"/>
        <v>0</v>
      </c>
      <c r="H2928">
        <v>3</v>
      </c>
      <c r="I2928">
        <v>10</v>
      </c>
      <c r="J2928">
        <v>0</v>
      </c>
      <c r="K2928" s="6" t="str">
        <f t="shared" ref="K2928" si="2947">"vs "&amp;E2929</f>
        <v>vs Knights of Ni</v>
      </c>
      <c r="L2928" s="6" t="str">
        <f t="shared" ref="L2928" si="2948">"vs "&amp;F2929</f>
        <v>vs Tolios</v>
      </c>
      <c r="M2928">
        <v>124</v>
      </c>
      <c r="N2928" s="1">
        <v>0.51700000000000002</v>
      </c>
      <c r="O2928">
        <v>38</v>
      </c>
      <c r="P2928" s="1">
        <v>0.36199999999999999</v>
      </c>
      <c r="Q2928" s="1">
        <v>0.871</v>
      </c>
      <c r="R2928">
        <v>347</v>
      </c>
      <c r="S2928">
        <v>19</v>
      </c>
      <c r="T2928">
        <v>80</v>
      </c>
      <c r="U2928">
        <v>55</v>
      </c>
      <c r="V2928">
        <v>15</v>
      </c>
      <c r="W2928">
        <v>9</v>
      </c>
      <c r="X2928">
        <v>42</v>
      </c>
      <c r="Y2928">
        <v>1.31</v>
      </c>
    </row>
    <row r="2929" spans="1:25" x14ac:dyDescent="0.25">
      <c r="A2929">
        <v>2025</v>
      </c>
      <c r="B2929" t="s">
        <v>57</v>
      </c>
      <c r="C2929">
        <v>13</v>
      </c>
      <c r="D2929">
        <v>131</v>
      </c>
      <c r="E2929" t="s">
        <v>96</v>
      </c>
      <c r="F2929" t="s">
        <v>102</v>
      </c>
      <c r="G2929">
        <f t="shared" si="2902"/>
        <v>1</v>
      </c>
      <c r="H2929">
        <v>10</v>
      </c>
      <c r="I2929">
        <v>3</v>
      </c>
      <c r="J2929">
        <v>0</v>
      </c>
      <c r="K2929" s="6" t="str">
        <f t="shared" ref="K2929" si="2949">"vs "&amp;E2928</f>
        <v>vs Heraklion Snakes</v>
      </c>
      <c r="L2929" s="6" t="str">
        <f t="shared" ref="L2929" si="2950">"vs "&amp;F2928</f>
        <v>vs Dimitris</v>
      </c>
      <c r="M2929">
        <v>154</v>
      </c>
      <c r="N2929" s="1">
        <v>0.47199999999999998</v>
      </c>
      <c r="O2929">
        <v>46</v>
      </c>
      <c r="P2929" s="1">
        <v>0.374</v>
      </c>
      <c r="Q2929" s="1">
        <v>0.78600000000000003</v>
      </c>
      <c r="R2929">
        <v>442</v>
      </c>
      <c r="S2929">
        <v>34</v>
      </c>
      <c r="T2929">
        <v>116</v>
      </c>
      <c r="U2929">
        <v>92</v>
      </c>
      <c r="V2929">
        <v>25</v>
      </c>
      <c r="W2929">
        <v>12</v>
      </c>
      <c r="X2929">
        <v>52</v>
      </c>
      <c r="Y2929">
        <v>1.77</v>
      </c>
    </row>
    <row r="2930" spans="1:25" x14ac:dyDescent="0.25">
      <c r="A2930">
        <v>2025</v>
      </c>
      <c r="B2930" t="s">
        <v>57</v>
      </c>
      <c r="C2930">
        <v>13</v>
      </c>
      <c r="D2930">
        <v>132</v>
      </c>
      <c r="E2930" t="s">
        <v>186</v>
      </c>
      <c r="F2930" t="s">
        <v>103</v>
      </c>
      <c r="G2930">
        <f t="shared" si="2902"/>
        <v>1</v>
      </c>
      <c r="H2930">
        <v>7</v>
      </c>
      <c r="I2930">
        <v>6</v>
      </c>
      <c r="J2930">
        <v>0</v>
      </c>
      <c r="K2930" s="6" t="str">
        <f t="shared" ref="K2930" si="2951">"vs "&amp;E2931</f>
        <v>vs Salonika Devils</v>
      </c>
      <c r="L2930" s="6" t="str">
        <f t="shared" ref="L2930" si="2952">"vs "&amp;F2931</f>
        <v>vs Fountos</v>
      </c>
      <c r="M2930">
        <v>177</v>
      </c>
      <c r="N2930" s="1">
        <v>0.44400000000000001</v>
      </c>
      <c r="O2930">
        <v>51</v>
      </c>
      <c r="P2930" s="1">
        <v>0.35899999999999999</v>
      </c>
      <c r="Q2930" s="1">
        <v>0.86499999999999999</v>
      </c>
      <c r="R2930">
        <v>482</v>
      </c>
      <c r="S2930">
        <v>33</v>
      </c>
      <c r="T2930">
        <v>137</v>
      </c>
      <c r="U2930">
        <v>106</v>
      </c>
      <c r="V2930">
        <v>30</v>
      </c>
      <c r="W2930">
        <v>8</v>
      </c>
      <c r="X2930">
        <v>54</v>
      </c>
      <c r="Y2930">
        <v>1.96</v>
      </c>
    </row>
    <row r="2931" spans="1:25" x14ac:dyDescent="0.25">
      <c r="A2931">
        <v>2025</v>
      </c>
      <c r="B2931" t="s">
        <v>57</v>
      </c>
      <c r="C2931">
        <v>13</v>
      </c>
      <c r="D2931">
        <v>132</v>
      </c>
      <c r="E2931" t="s">
        <v>15</v>
      </c>
      <c r="F2931" t="s">
        <v>48</v>
      </c>
      <c r="G2931">
        <f t="shared" si="2902"/>
        <v>0</v>
      </c>
      <c r="H2931">
        <v>6</v>
      </c>
      <c r="I2931">
        <v>7</v>
      </c>
      <c r="J2931">
        <v>0</v>
      </c>
      <c r="K2931" s="6" t="str">
        <f t="shared" ref="K2931" si="2953">"vs "&amp;E2930</f>
        <v>vs Karafli Saita</v>
      </c>
      <c r="L2931" s="6" t="str">
        <f t="shared" ref="L2931" si="2954">"vs "&amp;F2930</f>
        <v>vs Tassos</v>
      </c>
      <c r="M2931">
        <v>157</v>
      </c>
      <c r="N2931" s="1">
        <v>0.47699999999999998</v>
      </c>
      <c r="O2931">
        <v>39</v>
      </c>
      <c r="P2931" s="1">
        <v>0.34200000000000003</v>
      </c>
      <c r="Q2931" s="1">
        <v>0.74199999999999999</v>
      </c>
      <c r="R2931">
        <v>422</v>
      </c>
      <c r="S2931">
        <v>40</v>
      </c>
      <c r="T2931">
        <v>104</v>
      </c>
      <c r="U2931">
        <v>87</v>
      </c>
      <c r="V2931">
        <v>34</v>
      </c>
      <c r="W2931">
        <v>11</v>
      </c>
      <c r="X2931">
        <v>35</v>
      </c>
      <c r="Y2931">
        <v>2.4900000000000002</v>
      </c>
    </row>
    <row r="2932" spans="1:25" x14ac:dyDescent="0.25">
      <c r="A2932">
        <v>2025</v>
      </c>
      <c r="B2932" t="s">
        <v>57</v>
      </c>
      <c r="C2932">
        <v>13</v>
      </c>
      <c r="D2932">
        <v>133</v>
      </c>
      <c r="E2932" t="s">
        <v>94</v>
      </c>
      <c r="F2932" t="s">
        <v>40</v>
      </c>
      <c r="G2932">
        <f t="shared" si="2902"/>
        <v>0</v>
      </c>
      <c r="H2932">
        <v>2</v>
      </c>
      <c r="I2932">
        <v>11</v>
      </c>
      <c r="J2932">
        <v>0</v>
      </c>
      <c r="K2932" s="6" t="str">
        <f t="shared" ref="K2932" si="2955">"vs "&amp;E2933</f>
        <v>vs The Guns</v>
      </c>
      <c r="L2932" s="6" t="str">
        <f t="shared" ref="L2932" si="2956">"vs "&amp;F2933</f>
        <v>vs Vasilis</v>
      </c>
      <c r="M2932">
        <v>109</v>
      </c>
      <c r="N2932" s="1">
        <v>0.48</v>
      </c>
      <c r="O2932">
        <v>28</v>
      </c>
      <c r="P2932" s="1">
        <v>0.32900000000000001</v>
      </c>
      <c r="Q2932" s="1">
        <v>0.86499999999999999</v>
      </c>
      <c r="R2932">
        <v>278</v>
      </c>
      <c r="S2932">
        <v>30</v>
      </c>
      <c r="T2932">
        <v>96</v>
      </c>
      <c r="U2932">
        <v>81</v>
      </c>
      <c r="V2932">
        <v>17</v>
      </c>
      <c r="W2932">
        <v>19</v>
      </c>
      <c r="X2932">
        <v>32</v>
      </c>
      <c r="Y2932">
        <v>2.5299999999999998</v>
      </c>
    </row>
    <row r="2933" spans="1:25" x14ac:dyDescent="0.25">
      <c r="A2933">
        <v>2025</v>
      </c>
      <c r="B2933" t="s">
        <v>57</v>
      </c>
      <c r="C2933">
        <v>13</v>
      </c>
      <c r="D2933">
        <v>133</v>
      </c>
      <c r="E2933" t="s">
        <v>33</v>
      </c>
      <c r="F2933" t="s">
        <v>42</v>
      </c>
      <c r="G2933">
        <f t="shared" si="2902"/>
        <v>1</v>
      </c>
      <c r="H2933">
        <v>11</v>
      </c>
      <c r="I2933">
        <v>2</v>
      </c>
      <c r="J2933">
        <v>0</v>
      </c>
      <c r="K2933" s="6" t="str">
        <f t="shared" ref="K2933" si="2957">"vs "&amp;E2932</f>
        <v>vs Fighting Thaddeus</v>
      </c>
      <c r="L2933" s="6" t="str">
        <f t="shared" ref="L2933" si="2958">"vs "&amp;F2932</f>
        <v>vs Stavros</v>
      </c>
      <c r="M2933">
        <v>192</v>
      </c>
      <c r="N2933" s="1">
        <v>0.51800000000000002</v>
      </c>
      <c r="O2933">
        <v>55</v>
      </c>
      <c r="P2933" s="1">
        <v>0.35899999999999999</v>
      </c>
      <c r="Q2933" s="1">
        <v>0.88</v>
      </c>
      <c r="R2933">
        <v>542</v>
      </c>
      <c r="S2933">
        <v>34</v>
      </c>
      <c r="T2933">
        <v>137</v>
      </c>
      <c r="U2933">
        <v>127</v>
      </c>
      <c r="V2933">
        <v>43</v>
      </c>
      <c r="W2933">
        <v>18</v>
      </c>
      <c r="X2933">
        <v>43</v>
      </c>
      <c r="Y2933">
        <v>2.95</v>
      </c>
    </row>
    <row r="2934" spans="1:25" x14ac:dyDescent="0.25">
      <c r="A2934">
        <v>2025</v>
      </c>
      <c r="B2934" t="s">
        <v>57</v>
      </c>
      <c r="C2934">
        <v>13</v>
      </c>
      <c r="D2934">
        <v>134</v>
      </c>
      <c r="E2934" t="s">
        <v>185</v>
      </c>
      <c r="F2934" t="s">
        <v>100</v>
      </c>
      <c r="G2934">
        <f t="shared" si="2902"/>
        <v>0</v>
      </c>
      <c r="H2934">
        <v>3</v>
      </c>
      <c r="I2934">
        <v>10</v>
      </c>
      <c r="J2934">
        <v>0</v>
      </c>
      <c r="K2934" s="6" t="str">
        <f t="shared" ref="K2934" si="2959">"vs "&amp;E2935</f>
        <v>vs Samarina Dudenbros</v>
      </c>
      <c r="L2934" s="6" t="str">
        <f t="shared" ref="L2934" si="2960">"vs "&amp;F2935</f>
        <v>vs Sakellariou</v>
      </c>
      <c r="M2934">
        <v>163</v>
      </c>
      <c r="N2934" s="1">
        <v>0.44800000000000001</v>
      </c>
      <c r="O2934">
        <v>67</v>
      </c>
      <c r="P2934" s="1">
        <v>0.37</v>
      </c>
      <c r="Q2934" s="1">
        <v>0.77600000000000002</v>
      </c>
      <c r="R2934">
        <v>452</v>
      </c>
      <c r="S2934">
        <v>30</v>
      </c>
      <c r="T2934">
        <v>106</v>
      </c>
      <c r="U2934">
        <v>95</v>
      </c>
      <c r="V2934">
        <v>24</v>
      </c>
      <c r="W2934">
        <v>15</v>
      </c>
      <c r="X2934">
        <v>58</v>
      </c>
      <c r="Y2934">
        <v>1.64</v>
      </c>
    </row>
    <row r="2935" spans="1:25" x14ac:dyDescent="0.25">
      <c r="A2935">
        <v>2025</v>
      </c>
      <c r="B2935" t="s">
        <v>57</v>
      </c>
      <c r="C2935">
        <v>13</v>
      </c>
      <c r="D2935">
        <v>134</v>
      </c>
      <c r="E2935" t="s">
        <v>181</v>
      </c>
      <c r="F2935" t="s">
        <v>49</v>
      </c>
      <c r="G2935">
        <f t="shared" si="2902"/>
        <v>1</v>
      </c>
      <c r="H2935">
        <v>10</v>
      </c>
      <c r="I2935">
        <v>3</v>
      </c>
      <c r="J2935">
        <v>0</v>
      </c>
      <c r="K2935" s="6" t="str">
        <f t="shared" ref="K2935" si="2961">"vs "&amp;E2934</f>
        <v>vs Paralouistas</v>
      </c>
      <c r="L2935" s="6" t="str">
        <f t="shared" ref="L2935" si="2962">"vs "&amp;F2934</f>
        <v>vs Panos</v>
      </c>
      <c r="M2935">
        <v>197</v>
      </c>
      <c r="N2935" s="1">
        <v>0.46</v>
      </c>
      <c r="O2935">
        <v>64</v>
      </c>
      <c r="P2935" s="1">
        <v>0.36799999999999999</v>
      </c>
      <c r="Q2935" s="1">
        <v>0.81100000000000005</v>
      </c>
      <c r="R2935">
        <v>548</v>
      </c>
      <c r="S2935">
        <v>41</v>
      </c>
      <c r="T2935">
        <v>145</v>
      </c>
      <c r="U2935">
        <v>147</v>
      </c>
      <c r="V2935">
        <v>39</v>
      </c>
      <c r="W2935">
        <v>20</v>
      </c>
      <c r="X2935">
        <v>73</v>
      </c>
      <c r="Y2935">
        <v>2.0099999999999998</v>
      </c>
    </row>
    <row r="2936" spans="1:25" x14ac:dyDescent="0.25">
      <c r="A2936">
        <v>2025</v>
      </c>
      <c r="B2936" t="s">
        <v>57</v>
      </c>
      <c r="C2936">
        <v>13</v>
      </c>
      <c r="D2936">
        <v>135</v>
      </c>
      <c r="E2936" t="s">
        <v>16</v>
      </c>
      <c r="F2936" t="s">
        <v>51</v>
      </c>
      <c r="G2936">
        <f t="shared" si="2902"/>
        <v>1</v>
      </c>
      <c r="H2936">
        <v>7</v>
      </c>
      <c r="I2936">
        <v>6</v>
      </c>
      <c r="J2936">
        <v>0</v>
      </c>
      <c r="K2936" s="6" t="str">
        <f t="shared" ref="K2936" si="2963">"vs "&amp;E2937</f>
        <v>vs purple fuzzy apache pirates</v>
      </c>
      <c r="L2936" s="6" t="str">
        <f t="shared" ref="L2936" si="2964">"vs "&amp;F2937</f>
        <v>vs pi/Sotiris</v>
      </c>
      <c r="M2936">
        <v>206</v>
      </c>
      <c r="N2936" s="1">
        <v>0.50700000000000001</v>
      </c>
      <c r="O2936">
        <v>53</v>
      </c>
      <c r="P2936" s="1">
        <v>0.36799999999999999</v>
      </c>
      <c r="Q2936" s="1">
        <v>0.84399999999999997</v>
      </c>
      <c r="R2936">
        <v>546</v>
      </c>
      <c r="S2936">
        <v>48</v>
      </c>
      <c r="T2936">
        <v>124</v>
      </c>
      <c r="U2936">
        <v>120</v>
      </c>
      <c r="V2936">
        <v>36</v>
      </c>
      <c r="W2936">
        <v>20</v>
      </c>
      <c r="X2936">
        <v>53</v>
      </c>
      <c r="Y2936">
        <v>2.2599999999999998</v>
      </c>
    </row>
    <row r="2937" spans="1:25" x14ac:dyDescent="0.25">
      <c r="A2937">
        <v>2025</v>
      </c>
      <c r="B2937" t="s">
        <v>57</v>
      </c>
      <c r="C2937">
        <v>13</v>
      </c>
      <c r="D2937">
        <v>135</v>
      </c>
      <c r="E2937" t="s">
        <v>159</v>
      </c>
      <c r="F2937" t="s">
        <v>116</v>
      </c>
      <c r="G2937">
        <f t="shared" si="2902"/>
        <v>0</v>
      </c>
      <c r="H2937">
        <v>6</v>
      </c>
      <c r="I2937">
        <v>7</v>
      </c>
      <c r="J2937">
        <v>0</v>
      </c>
      <c r="K2937" s="6" t="str">
        <f t="shared" ref="K2937" si="2965">"vs "&amp;E2936</f>
        <v>vs The Bridgeburners</v>
      </c>
      <c r="L2937" s="6" t="str">
        <f t="shared" ref="L2937" si="2966">"vs "&amp;F2936</f>
        <v>vs Fanis</v>
      </c>
      <c r="M2937">
        <v>214</v>
      </c>
      <c r="N2937" s="1">
        <v>0.497</v>
      </c>
      <c r="O2937">
        <v>78</v>
      </c>
      <c r="P2937" s="1">
        <v>0.42599999999999999</v>
      </c>
      <c r="Q2937" s="1">
        <v>0.74099999999999999</v>
      </c>
      <c r="R2937">
        <v>589</v>
      </c>
      <c r="S2937">
        <v>40</v>
      </c>
      <c r="T2937">
        <v>172</v>
      </c>
      <c r="U2937">
        <v>169</v>
      </c>
      <c r="V2937">
        <v>31</v>
      </c>
      <c r="W2937">
        <v>19</v>
      </c>
      <c r="X2937">
        <v>80</v>
      </c>
      <c r="Y2937">
        <v>2.11</v>
      </c>
    </row>
    <row r="2938" spans="1:25" x14ac:dyDescent="0.25">
      <c r="A2938">
        <v>2025</v>
      </c>
      <c r="B2938" t="s">
        <v>57</v>
      </c>
      <c r="C2938">
        <v>13</v>
      </c>
      <c r="D2938">
        <v>136</v>
      </c>
      <c r="E2938" t="s">
        <v>93</v>
      </c>
      <c r="F2938" t="s">
        <v>189</v>
      </c>
      <c r="G2938">
        <f t="shared" si="2902"/>
        <v>0</v>
      </c>
      <c r="H2938">
        <v>6</v>
      </c>
      <c r="I2938">
        <v>7</v>
      </c>
      <c r="J2938">
        <v>0</v>
      </c>
      <c r="K2938" s="6" t="str">
        <f t="shared" ref="K2938" si="2967">"vs "&amp;E2939</f>
        <v>vs Pachiana NinjaBees</v>
      </c>
      <c r="L2938" s="6" t="str">
        <f t="shared" ref="L2938" si="2968">"vs "&amp;F2939</f>
        <v>vs Spiridaus/Oladipas</v>
      </c>
      <c r="M2938">
        <v>133</v>
      </c>
      <c r="N2938" s="1">
        <v>0.438</v>
      </c>
      <c r="O2938">
        <v>58</v>
      </c>
      <c r="P2938" s="1">
        <v>0.33700000000000002</v>
      </c>
      <c r="Q2938" s="1">
        <v>0.79400000000000004</v>
      </c>
      <c r="R2938">
        <v>374</v>
      </c>
      <c r="S2938">
        <v>19</v>
      </c>
      <c r="T2938">
        <v>87</v>
      </c>
      <c r="U2938">
        <v>114</v>
      </c>
      <c r="V2938">
        <v>30</v>
      </c>
      <c r="W2938">
        <v>18</v>
      </c>
      <c r="X2938">
        <v>39</v>
      </c>
      <c r="Y2938">
        <v>2.92</v>
      </c>
    </row>
    <row r="2939" spans="1:25" x14ac:dyDescent="0.25">
      <c r="A2939">
        <v>2025</v>
      </c>
      <c r="B2939" t="s">
        <v>57</v>
      </c>
      <c r="C2939">
        <v>13</v>
      </c>
      <c r="D2939">
        <v>136</v>
      </c>
      <c r="E2939" t="s">
        <v>23</v>
      </c>
      <c r="F2939" t="s">
        <v>120</v>
      </c>
      <c r="G2939">
        <f t="shared" si="2902"/>
        <v>1</v>
      </c>
      <c r="H2939">
        <v>7</v>
      </c>
      <c r="I2939">
        <v>6</v>
      </c>
      <c r="J2939">
        <v>0</v>
      </c>
      <c r="K2939" s="6" t="str">
        <f t="shared" ref="K2939" si="2969">"vs "&amp;E2938</f>
        <v>vs Guruuu 🐐🐐🐐</v>
      </c>
      <c r="L2939" s="6" t="str">
        <f t="shared" ref="L2939" si="2970">"vs "&amp;F2938</f>
        <v>vs Guru</v>
      </c>
      <c r="M2939">
        <v>145</v>
      </c>
      <c r="N2939" s="1">
        <v>0.46</v>
      </c>
      <c r="O2939">
        <v>39</v>
      </c>
      <c r="P2939" s="1">
        <v>0.33100000000000002</v>
      </c>
      <c r="Q2939" s="1">
        <v>0.68100000000000005</v>
      </c>
      <c r="R2939">
        <v>376</v>
      </c>
      <c r="S2939">
        <v>49</v>
      </c>
      <c r="T2939">
        <v>126</v>
      </c>
      <c r="U2939">
        <v>120</v>
      </c>
      <c r="V2939">
        <v>28</v>
      </c>
      <c r="W2939">
        <v>30</v>
      </c>
      <c r="X2939">
        <v>44</v>
      </c>
      <c r="Y2939">
        <v>2.73</v>
      </c>
    </row>
    <row r="2940" spans="1:25" x14ac:dyDescent="0.25">
      <c r="A2940">
        <v>2025</v>
      </c>
      <c r="B2940" t="s">
        <v>57</v>
      </c>
      <c r="C2940">
        <v>13</v>
      </c>
      <c r="D2940">
        <v>137</v>
      </c>
      <c r="E2940" t="s">
        <v>95</v>
      </c>
      <c r="F2940" t="s">
        <v>101</v>
      </c>
      <c r="G2940">
        <f t="shared" si="2902"/>
        <v>1</v>
      </c>
      <c r="H2940">
        <v>8</v>
      </c>
      <c r="I2940">
        <v>5</v>
      </c>
      <c r="J2940">
        <v>0</v>
      </c>
      <c r="K2940" s="6" t="str">
        <f t="shared" ref="K2940" si="2971">"vs "&amp;E2941</f>
        <v>vs Steven Adams' Moustache</v>
      </c>
      <c r="L2940" s="6" t="str">
        <f t="shared" ref="L2940" si="2972">"vs "&amp;F2941</f>
        <v>vs Johnny</v>
      </c>
      <c r="M2940">
        <v>134</v>
      </c>
      <c r="N2940" s="1">
        <v>0.47</v>
      </c>
      <c r="O2940">
        <v>45</v>
      </c>
      <c r="P2940" s="1">
        <v>0.36599999999999999</v>
      </c>
      <c r="Q2940" s="1">
        <v>0.85699999999999998</v>
      </c>
      <c r="R2940">
        <v>373</v>
      </c>
      <c r="S2940">
        <v>36</v>
      </c>
      <c r="T2940">
        <v>120</v>
      </c>
      <c r="U2940">
        <v>95</v>
      </c>
      <c r="V2940">
        <v>36</v>
      </c>
      <c r="W2940">
        <v>15</v>
      </c>
      <c r="X2940">
        <v>42</v>
      </c>
      <c r="Y2940">
        <v>2.2599999999999998</v>
      </c>
    </row>
    <row r="2941" spans="1:25" x14ac:dyDescent="0.25">
      <c r="A2941">
        <v>2025</v>
      </c>
      <c r="B2941" t="s">
        <v>57</v>
      </c>
      <c r="C2941">
        <v>13</v>
      </c>
      <c r="D2941">
        <v>137</v>
      </c>
      <c r="E2941" t="s">
        <v>28</v>
      </c>
      <c r="F2941" t="s">
        <v>46</v>
      </c>
      <c r="G2941">
        <f t="shared" si="2902"/>
        <v>0</v>
      </c>
      <c r="H2941">
        <v>5</v>
      </c>
      <c r="I2941">
        <v>8</v>
      </c>
      <c r="J2941">
        <v>0</v>
      </c>
      <c r="K2941" s="6" t="str">
        <f t="shared" ref="K2941" si="2973">"vs "&amp;E2940</f>
        <v>vs Baltimore Hercules</v>
      </c>
      <c r="L2941" s="6" t="str">
        <f t="shared" ref="L2941" si="2974">"vs "&amp;F2940</f>
        <v>vs Sarantos</v>
      </c>
      <c r="M2941">
        <v>164</v>
      </c>
      <c r="N2941" s="1">
        <v>0.43</v>
      </c>
      <c r="O2941">
        <v>68</v>
      </c>
      <c r="P2941" s="1">
        <v>0.38</v>
      </c>
      <c r="Q2941" s="1">
        <v>0.79800000000000004</v>
      </c>
      <c r="R2941">
        <v>471</v>
      </c>
      <c r="S2941">
        <v>33</v>
      </c>
      <c r="T2941">
        <v>112</v>
      </c>
      <c r="U2941">
        <v>87</v>
      </c>
      <c r="V2941">
        <v>19</v>
      </c>
      <c r="W2941">
        <v>19</v>
      </c>
      <c r="X2941">
        <v>53</v>
      </c>
      <c r="Y2941">
        <v>1.64</v>
      </c>
    </row>
    <row r="2942" spans="1:25" x14ac:dyDescent="0.25">
      <c r="A2942">
        <v>2025</v>
      </c>
      <c r="B2942" t="s">
        <v>57</v>
      </c>
      <c r="C2942">
        <v>13</v>
      </c>
      <c r="D2942">
        <v>138</v>
      </c>
      <c r="E2942" t="s">
        <v>158</v>
      </c>
      <c r="F2942" t="s">
        <v>177</v>
      </c>
      <c r="G2942">
        <f t="shared" si="2902"/>
        <v>1</v>
      </c>
      <c r="H2942">
        <v>7</v>
      </c>
      <c r="I2942">
        <v>6</v>
      </c>
      <c r="J2942">
        <v>0</v>
      </c>
      <c r="K2942" s="6" t="str">
        <f t="shared" ref="K2942" si="2975">"vs "&amp;E2943</f>
        <v>vs st.Helens Eruptions</v>
      </c>
      <c r="L2942" s="6" t="str">
        <f t="shared" ref="L2942" si="2976">"vs "&amp;F2943</f>
        <v>vs Aris</v>
      </c>
      <c r="M2942">
        <v>201</v>
      </c>
      <c r="N2942" s="1">
        <v>0.46899999999999997</v>
      </c>
      <c r="O2942">
        <v>54</v>
      </c>
      <c r="P2942" s="1">
        <v>0.378</v>
      </c>
      <c r="Q2942" s="1">
        <v>0.71799999999999997</v>
      </c>
      <c r="R2942">
        <v>535</v>
      </c>
      <c r="S2942">
        <v>40</v>
      </c>
      <c r="T2942">
        <v>134</v>
      </c>
      <c r="U2942">
        <v>95</v>
      </c>
      <c r="V2942">
        <v>40</v>
      </c>
      <c r="W2942">
        <v>13</v>
      </c>
      <c r="X2942">
        <v>59</v>
      </c>
      <c r="Y2942">
        <v>1.61</v>
      </c>
    </row>
    <row r="2943" spans="1:25" x14ac:dyDescent="0.25">
      <c r="A2943">
        <v>2025</v>
      </c>
      <c r="B2943" t="s">
        <v>57</v>
      </c>
      <c r="C2943">
        <v>13</v>
      </c>
      <c r="D2943">
        <v>138</v>
      </c>
      <c r="E2943" t="s">
        <v>21</v>
      </c>
      <c r="F2943" t="s">
        <v>50</v>
      </c>
      <c r="G2943">
        <f t="shared" si="2902"/>
        <v>0</v>
      </c>
      <c r="H2943">
        <v>6</v>
      </c>
      <c r="I2943">
        <v>7</v>
      </c>
      <c r="J2943">
        <v>0</v>
      </c>
      <c r="K2943" s="6" t="str">
        <f t="shared" ref="K2943" si="2977">"vs "&amp;E2942</f>
        <v>vs LRBP PR3DATORS</v>
      </c>
      <c r="L2943" s="6" t="str">
        <f t="shared" ref="L2943" si="2978">"vs "&amp;F2942</f>
        <v>vs Lafa</v>
      </c>
      <c r="M2943">
        <v>174</v>
      </c>
      <c r="N2943" s="1">
        <v>0.48499999999999999</v>
      </c>
      <c r="O2943">
        <v>48</v>
      </c>
      <c r="P2943" s="1">
        <v>0.44400000000000001</v>
      </c>
      <c r="Q2943" s="1">
        <v>0.63</v>
      </c>
      <c r="R2943">
        <v>447</v>
      </c>
      <c r="S2943">
        <v>66</v>
      </c>
      <c r="T2943">
        <v>118</v>
      </c>
      <c r="U2943">
        <v>113</v>
      </c>
      <c r="V2943">
        <v>31</v>
      </c>
      <c r="W2943">
        <v>23</v>
      </c>
      <c r="X2943">
        <v>60</v>
      </c>
      <c r="Y2943">
        <v>1.88</v>
      </c>
    </row>
    <row r="2944" spans="1:25" x14ac:dyDescent="0.25">
      <c r="A2944">
        <v>2025</v>
      </c>
      <c r="B2944" t="s">
        <v>57</v>
      </c>
      <c r="C2944">
        <v>13</v>
      </c>
      <c r="D2944">
        <v>139</v>
      </c>
      <c r="E2944" t="s">
        <v>26</v>
      </c>
      <c r="F2944" t="s">
        <v>118</v>
      </c>
      <c r="G2944">
        <f t="shared" si="2902"/>
        <v>1</v>
      </c>
      <c r="H2944">
        <v>9</v>
      </c>
      <c r="I2944">
        <v>4</v>
      </c>
      <c r="J2944">
        <v>0</v>
      </c>
      <c r="K2944" s="6" t="str">
        <f t="shared" ref="K2944" si="2979">"vs "&amp;E2945</f>
        <v>vs The Bad Boys</v>
      </c>
      <c r="L2944" s="6" t="str">
        <f t="shared" ref="L2944" si="2980">"vs "&amp;F2945</f>
        <v>vs Arvanitis</v>
      </c>
      <c r="M2944">
        <v>138</v>
      </c>
      <c r="N2944" s="1">
        <v>0.48599999999999999</v>
      </c>
      <c r="O2944">
        <v>58</v>
      </c>
      <c r="P2944" s="1">
        <v>0.439</v>
      </c>
      <c r="Q2944" s="1">
        <v>0.77600000000000002</v>
      </c>
      <c r="R2944">
        <v>393</v>
      </c>
      <c r="S2944">
        <v>42</v>
      </c>
      <c r="T2944">
        <v>141</v>
      </c>
      <c r="U2944">
        <v>102</v>
      </c>
      <c r="V2944">
        <v>34</v>
      </c>
      <c r="W2944">
        <v>11</v>
      </c>
      <c r="X2944">
        <v>50</v>
      </c>
      <c r="Y2944">
        <v>2.04</v>
      </c>
    </row>
    <row r="2945" spans="1:25" x14ac:dyDescent="0.25">
      <c r="A2945">
        <v>2025</v>
      </c>
      <c r="B2945" t="s">
        <v>57</v>
      </c>
      <c r="C2945">
        <v>13</v>
      </c>
      <c r="D2945">
        <v>139</v>
      </c>
      <c r="E2945" t="s">
        <v>154</v>
      </c>
      <c r="F2945" t="s">
        <v>155</v>
      </c>
      <c r="G2945">
        <f t="shared" si="2902"/>
        <v>0</v>
      </c>
      <c r="H2945">
        <v>4</v>
      </c>
      <c r="I2945">
        <v>9</v>
      </c>
      <c r="J2945">
        <v>0</v>
      </c>
      <c r="K2945" s="6" t="str">
        <f t="shared" ref="K2945" si="2981">"vs "&amp;E2944</f>
        <v>vs Kourayo Vallecano</v>
      </c>
      <c r="L2945" s="6" t="str">
        <f t="shared" ref="L2945" si="2982">"vs "&amp;F2944</f>
        <v>vs Ziogas/Christof</v>
      </c>
      <c r="M2945">
        <v>130</v>
      </c>
      <c r="N2945" s="1">
        <v>0.498</v>
      </c>
      <c r="O2945">
        <v>39</v>
      </c>
      <c r="P2945" s="1">
        <v>0.36099999999999999</v>
      </c>
      <c r="Q2945" s="1">
        <v>0.73299999999999998</v>
      </c>
      <c r="R2945">
        <v>343</v>
      </c>
      <c r="S2945">
        <v>60</v>
      </c>
      <c r="T2945">
        <v>108</v>
      </c>
      <c r="U2945">
        <v>53</v>
      </c>
      <c r="V2945">
        <v>23</v>
      </c>
      <c r="W2945">
        <v>21</v>
      </c>
      <c r="X2945">
        <v>41</v>
      </c>
      <c r="Y2945">
        <v>1.29</v>
      </c>
    </row>
    <row r="2946" spans="1:25" x14ac:dyDescent="0.25">
      <c r="A2946">
        <v>2025</v>
      </c>
      <c r="B2946" t="s">
        <v>57</v>
      </c>
      <c r="C2946">
        <v>13</v>
      </c>
      <c r="D2946">
        <v>140</v>
      </c>
      <c r="E2946" t="s">
        <v>99</v>
      </c>
      <c r="F2946" t="s">
        <v>45</v>
      </c>
      <c r="G2946">
        <f t="shared" si="2902"/>
        <v>0</v>
      </c>
      <c r="H2946">
        <v>1</v>
      </c>
      <c r="I2946">
        <v>12</v>
      </c>
      <c r="J2946">
        <v>0</v>
      </c>
      <c r="K2946" s="6" t="str">
        <f t="shared" ref="K2946" si="2983">"vs "&amp;E2947</f>
        <v>vs Xanthi Ducks 🦆</v>
      </c>
      <c r="L2946" s="6" t="str">
        <f t="shared" ref="L2946" si="2984">"vs "&amp;F2947</f>
        <v>vs Kotakis</v>
      </c>
      <c r="M2946">
        <v>105</v>
      </c>
      <c r="N2946" s="1">
        <v>0.51200000000000001</v>
      </c>
      <c r="O2946">
        <v>32</v>
      </c>
      <c r="P2946" s="1">
        <v>0.40500000000000003</v>
      </c>
      <c r="Q2946" s="1">
        <v>0.71699999999999997</v>
      </c>
      <c r="R2946">
        <v>275</v>
      </c>
      <c r="S2946">
        <v>37</v>
      </c>
      <c r="T2946">
        <v>88</v>
      </c>
      <c r="U2946">
        <v>66</v>
      </c>
      <c r="V2946">
        <v>21</v>
      </c>
      <c r="W2946">
        <v>11</v>
      </c>
      <c r="X2946">
        <v>31</v>
      </c>
      <c r="Y2946">
        <v>2.13</v>
      </c>
    </row>
    <row r="2947" spans="1:25" x14ac:dyDescent="0.25">
      <c r="A2947">
        <v>2025</v>
      </c>
      <c r="B2947" t="s">
        <v>57</v>
      </c>
      <c r="C2947">
        <v>13</v>
      </c>
      <c r="D2947">
        <v>140</v>
      </c>
      <c r="E2947" t="s">
        <v>98</v>
      </c>
      <c r="F2947" t="s">
        <v>41</v>
      </c>
      <c r="G2947">
        <f t="shared" si="2902"/>
        <v>1</v>
      </c>
      <c r="H2947">
        <v>12</v>
      </c>
      <c r="I2947">
        <v>1</v>
      </c>
      <c r="J2947">
        <v>0</v>
      </c>
      <c r="K2947" s="6" t="str">
        <f t="shared" ref="K2947" si="2985">"vs "&amp;E2946</f>
        <v>vs Tsarlatans</v>
      </c>
      <c r="L2947" s="6" t="str">
        <f t="shared" ref="L2947" si="2986">"vs "&amp;F2946</f>
        <v>vs Tzokos</v>
      </c>
      <c r="M2947">
        <v>178</v>
      </c>
      <c r="N2947" s="1">
        <v>0.54400000000000004</v>
      </c>
      <c r="O2947">
        <v>50</v>
      </c>
      <c r="P2947" s="1">
        <v>0.45500000000000002</v>
      </c>
      <c r="Q2947" s="1">
        <v>0.76900000000000002</v>
      </c>
      <c r="R2947">
        <v>456</v>
      </c>
      <c r="S2947">
        <v>45</v>
      </c>
      <c r="T2947">
        <v>139</v>
      </c>
      <c r="U2947">
        <v>93</v>
      </c>
      <c r="V2947">
        <v>25</v>
      </c>
      <c r="W2947">
        <v>13</v>
      </c>
      <c r="X2947">
        <v>40</v>
      </c>
      <c r="Y2947">
        <v>2.33</v>
      </c>
    </row>
    <row r="2948" spans="1:25" x14ac:dyDescent="0.25">
      <c r="A2948">
        <v>2025</v>
      </c>
      <c r="B2948" t="s">
        <v>57</v>
      </c>
      <c r="C2948">
        <v>14</v>
      </c>
      <c r="D2948">
        <v>141</v>
      </c>
      <c r="E2948" t="s">
        <v>96</v>
      </c>
      <c r="F2948" t="s">
        <v>102</v>
      </c>
      <c r="G2948">
        <f t="shared" si="2902"/>
        <v>0</v>
      </c>
      <c r="H2948">
        <v>4</v>
      </c>
      <c r="I2948">
        <v>9</v>
      </c>
      <c r="J2948">
        <v>0</v>
      </c>
      <c r="K2948" s="6" t="str">
        <f t="shared" ref="K2948" si="2987">"vs "&amp;E2949</f>
        <v>vs Karafli Saita</v>
      </c>
      <c r="L2948" s="6" t="str">
        <f t="shared" ref="L2948" si="2988">"vs "&amp;F2949</f>
        <v>vs Tassos</v>
      </c>
      <c r="M2948">
        <v>140</v>
      </c>
      <c r="N2948" s="1">
        <v>0.47499999999999998</v>
      </c>
      <c r="O2948">
        <v>29</v>
      </c>
      <c r="P2948" s="1">
        <v>0.30199999999999999</v>
      </c>
      <c r="Q2948" s="1">
        <v>0.84099999999999997</v>
      </c>
      <c r="R2948">
        <v>383</v>
      </c>
      <c r="S2948">
        <v>42</v>
      </c>
      <c r="T2948">
        <v>97</v>
      </c>
      <c r="U2948">
        <v>77</v>
      </c>
      <c r="V2948">
        <v>27</v>
      </c>
      <c r="W2948">
        <v>21</v>
      </c>
      <c r="X2948">
        <v>44</v>
      </c>
      <c r="Y2948">
        <v>1.75</v>
      </c>
    </row>
    <row r="2949" spans="1:25" x14ac:dyDescent="0.25">
      <c r="A2949">
        <v>2025</v>
      </c>
      <c r="B2949" t="s">
        <v>57</v>
      </c>
      <c r="C2949">
        <v>14</v>
      </c>
      <c r="D2949">
        <v>141</v>
      </c>
      <c r="E2949" t="s">
        <v>186</v>
      </c>
      <c r="F2949" t="s">
        <v>103</v>
      </c>
      <c r="G2949">
        <f t="shared" si="2902"/>
        <v>1</v>
      </c>
      <c r="H2949">
        <v>9</v>
      </c>
      <c r="I2949">
        <v>4</v>
      </c>
      <c r="J2949">
        <v>0</v>
      </c>
      <c r="K2949" s="6" t="str">
        <f t="shared" ref="K2949" si="2989">"vs "&amp;E2948</f>
        <v>vs Knights of Ni</v>
      </c>
      <c r="L2949" s="6" t="str">
        <f t="shared" ref="L2949" si="2990">"vs "&amp;F2948</f>
        <v>vs Tolios</v>
      </c>
      <c r="M2949">
        <v>177</v>
      </c>
      <c r="N2949" s="1">
        <v>0.49</v>
      </c>
      <c r="O2949">
        <v>39</v>
      </c>
      <c r="P2949" s="1">
        <v>0.33600000000000002</v>
      </c>
      <c r="Q2949" s="1">
        <v>0.82099999999999995</v>
      </c>
      <c r="R2949">
        <v>457</v>
      </c>
      <c r="S2949">
        <v>32</v>
      </c>
      <c r="T2949">
        <v>109</v>
      </c>
      <c r="U2949">
        <v>113</v>
      </c>
      <c r="V2949">
        <v>23</v>
      </c>
      <c r="W2949">
        <v>9</v>
      </c>
      <c r="X2949">
        <v>43</v>
      </c>
      <c r="Y2949">
        <v>2.63</v>
      </c>
    </row>
    <row r="2950" spans="1:25" x14ac:dyDescent="0.25">
      <c r="A2950">
        <v>2025</v>
      </c>
      <c r="B2950" t="s">
        <v>57</v>
      </c>
      <c r="C2950">
        <v>14</v>
      </c>
      <c r="D2950">
        <v>142</v>
      </c>
      <c r="E2950" t="s">
        <v>184</v>
      </c>
      <c r="F2950" t="s">
        <v>188</v>
      </c>
      <c r="G2950">
        <f t="shared" si="2902"/>
        <v>1</v>
      </c>
      <c r="H2950">
        <v>7</v>
      </c>
      <c r="I2950">
        <v>6</v>
      </c>
      <c r="J2950">
        <v>0</v>
      </c>
      <c r="K2950" s="6" t="str">
        <f t="shared" ref="K2950" si="2991">"vs "&amp;E2951</f>
        <v>vs Fighting Thaddeus</v>
      </c>
      <c r="L2950" s="6" t="str">
        <f t="shared" ref="L2950" si="2992">"vs "&amp;F2951</f>
        <v>vs Stavros</v>
      </c>
      <c r="M2950">
        <v>108</v>
      </c>
      <c r="N2950" s="1">
        <v>0.48899999999999999</v>
      </c>
      <c r="O2950">
        <v>42</v>
      </c>
      <c r="P2950" s="1">
        <v>0.45700000000000002</v>
      </c>
      <c r="Q2950" s="1">
        <v>0.89500000000000002</v>
      </c>
      <c r="R2950">
        <v>292</v>
      </c>
      <c r="S2950">
        <v>29</v>
      </c>
      <c r="T2950">
        <v>104</v>
      </c>
      <c r="U2950">
        <v>41</v>
      </c>
      <c r="V2950">
        <v>14</v>
      </c>
      <c r="W2950">
        <v>14</v>
      </c>
      <c r="X2950">
        <v>31</v>
      </c>
      <c r="Y2950">
        <v>1.32</v>
      </c>
    </row>
    <row r="2951" spans="1:25" x14ac:dyDescent="0.25">
      <c r="A2951">
        <v>2025</v>
      </c>
      <c r="B2951" t="s">
        <v>57</v>
      </c>
      <c r="C2951">
        <v>14</v>
      </c>
      <c r="D2951">
        <v>142</v>
      </c>
      <c r="E2951" t="s">
        <v>94</v>
      </c>
      <c r="F2951" t="s">
        <v>40</v>
      </c>
      <c r="G2951">
        <f t="shared" si="2902"/>
        <v>0</v>
      </c>
      <c r="H2951">
        <v>6</v>
      </c>
      <c r="I2951">
        <v>7</v>
      </c>
      <c r="J2951">
        <v>0</v>
      </c>
      <c r="K2951" s="6" t="str">
        <f t="shared" ref="K2951" si="2993">"vs "&amp;E2950</f>
        <v>vs Heraklion Snakes</v>
      </c>
      <c r="L2951" s="6" t="str">
        <f t="shared" ref="L2951" si="2994">"vs "&amp;F2950</f>
        <v>vs Dimitris</v>
      </c>
      <c r="M2951">
        <v>80</v>
      </c>
      <c r="N2951" s="1">
        <v>0.41499999999999998</v>
      </c>
      <c r="O2951">
        <v>30</v>
      </c>
      <c r="P2951" s="1">
        <v>0.35299999999999998</v>
      </c>
      <c r="Q2951" s="1">
        <v>0.91400000000000003</v>
      </c>
      <c r="R2951">
        <v>222</v>
      </c>
      <c r="S2951">
        <v>27</v>
      </c>
      <c r="T2951">
        <v>76</v>
      </c>
      <c r="U2951">
        <v>65</v>
      </c>
      <c r="V2951">
        <v>25</v>
      </c>
      <c r="W2951">
        <v>17</v>
      </c>
      <c r="X2951">
        <v>30</v>
      </c>
      <c r="Y2951">
        <v>2.17</v>
      </c>
    </row>
    <row r="2952" spans="1:25" x14ac:dyDescent="0.25">
      <c r="A2952">
        <v>2025</v>
      </c>
      <c r="B2952" t="s">
        <v>57</v>
      </c>
      <c r="C2952">
        <v>14</v>
      </c>
      <c r="D2952">
        <v>143</v>
      </c>
      <c r="E2952" t="s">
        <v>15</v>
      </c>
      <c r="F2952" t="s">
        <v>48</v>
      </c>
      <c r="G2952">
        <f t="shared" si="2902"/>
        <v>1</v>
      </c>
      <c r="H2952">
        <v>7</v>
      </c>
      <c r="I2952">
        <v>6</v>
      </c>
      <c r="J2952">
        <v>0</v>
      </c>
      <c r="K2952" s="6" t="str">
        <f t="shared" ref="K2952" si="2995">"vs "&amp;E2953</f>
        <v>vs Paralouistas</v>
      </c>
      <c r="L2952" s="6" t="str">
        <f t="shared" ref="L2952" si="2996">"vs "&amp;F2953</f>
        <v>vs Panos</v>
      </c>
      <c r="M2952">
        <v>146</v>
      </c>
      <c r="N2952" s="1">
        <v>0.45200000000000001</v>
      </c>
      <c r="O2952">
        <v>38</v>
      </c>
      <c r="P2952" s="1">
        <v>0.34499999999999997</v>
      </c>
      <c r="Q2952" s="1">
        <v>0.78</v>
      </c>
      <c r="R2952">
        <v>401</v>
      </c>
      <c r="S2952">
        <v>34</v>
      </c>
      <c r="T2952">
        <v>98</v>
      </c>
      <c r="U2952">
        <v>108</v>
      </c>
      <c r="V2952">
        <v>20</v>
      </c>
      <c r="W2952">
        <v>14</v>
      </c>
      <c r="X2952">
        <v>41</v>
      </c>
      <c r="Y2952">
        <v>2.63</v>
      </c>
    </row>
    <row r="2953" spans="1:25" x14ac:dyDescent="0.25">
      <c r="A2953">
        <v>2025</v>
      </c>
      <c r="B2953" t="s">
        <v>57</v>
      </c>
      <c r="C2953">
        <v>14</v>
      </c>
      <c r="D2953">
        <v>143</v>
      </c>
      <c r="E2953" t="s">
        <v>185</v>
      </c>
      <c r="F2953" t="s">
        <v>100</v>
      </c>
      <c r="G2953">
        <f t="shared" si="2902"/>
        <v>0</v>
      </c>
      <c r="H2953">
        <v>6</v>
      </c>
      <c r="I2953">
        <v>7</v>
      </c>
      <c r="J2953">
        <v>0</v>
      </c>
      <c r="K2953" s="6" t="str">
        <f t="shared" ref="K2953" si="2997">"vs "&amp;E2952</f>
        <v>vs Salonika Devils</v>
      </c>
      <c r="L2953" s="6" t="str">
        <f t="shared" ref="L2953" si="2998">"vs "&amp;F2952</f>
        <v>vs Fountos</v>
      </c>
      <c r="M2953">
        <v>142</v>
      </c>
      <c r="N2953" s="1">
        <v>0.40600000000000003</v>
      </c>
      <c r="O2953">
        <v>59</v>
      </c>
      <c r="P2953" s="1">
        <v>0.373</v>
      </c>
      <c r="Q2953" s="1">
        <v>0.76900000000000002</v>
      </c>
      <c r="R2953">
        <v>393</v>
      </c>
      <c r="S2953">
        <v>37</v>
      </c>
      <c r="T2953">
        <v>103</v>
      </c>
      <c r="U2953">
        <v>101</v>
      </c>
      <c r="V2953">
        <v>32</v>
      </c>
      <c r="W2953">
        <v>24</v>
      </c>
      <c r="X2953">
        <v>48</v>
      </c>
      <c r="Y2953">
        <v>2.1</v>
      </c>
    </row>
    <row r="2954" spans="1:25" x14ac:dyDescent="0.25">
      <c r="A2954">
        <v>2025</v>
      </c>
      <c r="B2954" t="s">
        <v>57</v>
      </c>
      <c r="C2954">
        <v>14</v>
      </c>
      <c r="D2954">
        <v>144</v>
      </c>
      <c r="E2954" t="s">
        <v>33</v>
      </c>
      <c r="F2954" t="s">
        <v>42</v>
      </c>
      <c r="G2954">
        <f t="shared" si="2902"/>
        <v>0</v>
      </c>
      <c r="H2954">
        <v>3</v>
      </c>
      <c r="I2954">
        <v>10</v>
      </c>
      <c r="J2954">
        <v>0</v>
      </c>
      <c r="K2954" s="6" t="str">
        <f t="shared" ref="K2954" si="2999">"vs "&amp;E2955</f>
        <v>vs The Bridgeburners</v>
      </c>
      <c r="L2954" s="6" t="str">
        <f t="shared" ref="L2954" si="3000">"vs "&amp;F2955</f>
        <v>vs Fanis</v>
      </c>
      <c r="M2954">
        <v>194</v>
      </c>
      <c r="N2954" s="1">
        <v>0.46400000000000002</v>
      </c>
      <c r="O2954">
        <v>50</v>
      </c>
      <c r="P2954" s="1">
        <v>0.34499999999999997</v>
      </c>
      <c r="Q2954" s="1">
        <v>0.874</v>
      </c>
      <c r="R2954">
        <v>542</v>
      </c>
      <c r="S2954">
        <v>33</v>
      </c>
      <c r="T2954">
        <v>129</v>
      </c>
      <c r="U2954">
        <v>108</v>
      </c>
      <c r="V2954">
        <v>33</v>
      </c>
      <c r="W2954">
        <v>20</v>
      </c>
      <c r="X2954">
        <v>45</v>
      </c>
      <c r="Y2954">
        <v>2.4</v>
      </c>
    </row>
    <row r="2955" spans="1:25" x14ac:dyDescent="0.25">
      <c r="A2955">
        <v>2025</v>
      </c>
      <c r="B2955" t="s">
        <v>57</v>
      </c>
      <c r="C2955">
        <v>14</v>
      </c>
      <c r="D2955">
        <v>144</v>
      </c>
      <c r="E2955" t="s">
        <v>16</v>
      </c>
      <c r="F2955" t="s">
        <v>51</v>
      </c>
      <c r="G2955">
        <f t="shared" si="2902"/>
        <v>1</v>
      </c>
      <c r="H2955">
        <v>10</v>
      </c>
      <c r="I2955">
        <v>3</v>
      </c>
      <c r="J2955">
        <v>0</v>
      </c>
      <c r="K2955" s="6" t="str">
        <f t="shared" ref="K2955" si="3001">"vs "&amp;E2954</f>
        <v>vs The Guns</v>
      </c>
      <c r="L2955" s="6" t="str">
        <f t="shared" ref="L2955" si="3002">"vs "&amp;F2954</f>
        <v>vs Vasilis</v>
      </c>
      <c r="M2955">
        <v>216</v>
      </c>
      <c r="N2955" s="1">
        <v>0.49299999999999999</v>
      </c>
      <c r="O2955">
        <v>58</v>
      </c>
      <c r="P2955" s="1">
        <v>0.41399999999999998</v>
      </c>
      <c r="Q2955" s="1">
        <v>0.75</v>
      </c>
      <c r="R2955">
        <v>571</v>
      </c>
      <c r="S2955">
        <v>50</v>
      </c>
      <c r="T2955">
        <v>131</v>
      </c>
      <c r="U2955">
        <v>155</v>
      </c>
      <c r="V2955">
        <v>40</v>
      </c>
      <c r="W2955">
        <v>24</v>
      </c>
      <c r="X2955">
        <v>77</v>
      </c>
      <c r="Y2955">
        <v>2.0099999999999998</v>
      </c>
    </row>
    <row r="2956" spans="1:25" x14ac:dyDescent="0.25">
      <c r="A2956">
        <v>2025</v>
      </c>
      <c r="B2956" t="s">
        <v>57</v>
      </c>
      <c r="C2956">
        <v>14</v>
      </c>
      <c r="D2956">
        <v>145</v>
      </c>
      <c r="E2956" t="s">
        <v>181</v>
      </c>
      <c r="F2956" t="s">
        <v>49</v>
      </c>
      <c r="G2956">
        <f t="shared" si="2902"/>
        <v>0</v>
      </c>
      <c r="H2956">
        <v>6</v>
      </c>
      <c r="I2956">
        <v>6</v>
      </c>
      <c r="J2956">
        <v>1</v>
      </c>
      <c r="K2956" s="6" t="str">
        <f t="shared" ref="K2956" si="3003">"vs "&amp;E2957</f>
        <v>vs Guruuu 🐐🐐🐐</v>
      </c>
      <c r="L2956" s="6" t="str">
        <f t="shared" ref="L2956" si="3004">"vs "&amp;F2957</f>
        <v>vs Guru</v>
      </c>
      <c r="M2956">
        <v>225</v>
      </c>
      <c r="N2956" s="1">
        <v>0.46700000000000003</v>
      </c>
      <c r="O2956">
        <v>67</v>
      </c>
      <c r="P2956" s="1">
        <v>0.39</v>
      </c>
      <c r="Q2956" s="1">
        <v>0.84199999999999997</v>
      </c>
      <c r="R2956">
        <v>645</v>
      </c>
      <c r="S2956">
        <v>53</v>
      </c>
      <c r="T2956">
        <v>166</v>
      </c>
      <c r="U2956">
        <v>132</v>
      </c>
      <c r="V2956">
        <v>29</v>
      </c>
      <c r="W2956">
        <v>18</v>
      </c>
      <c r="X2956">
        <v>65</v>
      </c>
      <c r="Y2956">
        <v>2.0299999999999998</v>
      </c>
    </row>
    <row r="2957" spans="1:25" x14ac:dyDescent="0.25">
      <c r="A2957">
        <v>2025</v>
      </c>
      <c r="B2957" t="s">
        <v>57</v>
      </c>
      <c r="C2957">
        <v>14</v>
      </c>
      <c r="D2957">
        <v>145</v>
      </c>
      <c r="E2957" t="s">
        <v>93</v>
      </c>
      <c r="F2957" t="s">
        <v>189</v>
      </c>
      <c r="G2957">
        <f t="shared" si="2902"/>
        <v>0</v>
      </c>
      <c r="H2957">
        <v>6</v>
      </c>
      <c r="I2957">
        <v>6</v>
      </c>
      <c r="J2957">
        <v>1</v>
      </c>
      <c r="K2957" s="6" t="str">
        <f t="shared" ref="K2957" si="3005">"vs "&amp;E2956</f>
        <v>vs Samarina Dudenbros</v>
      </c>
      <c r="L2957" s="6" t="str">
        <f t="shared" ref="L2957" si="3006">"vs "&amp;F2956</f>
        <v>vs Sakellariou</v>
      </c>
      <c r="M2957">
        <v>139</v>
      </c>
      <c r="N2957" s="1">
        <v>0.46800000000000003</v>
      </c>
      <c r="O2957">
        <v>67</v>
      </c>
      <c r="P2957" s="1">
        <v>0.41099999999999998</v>
      </c>
      <c r="Q2957" s="1">
        <v>0.877</v>
      </c>
      <c r="R2957">
        <v>402</v>
      </c>
      <c r="S2957">
        <v>13</v>
      </c>
      <c r="T2957">
        <v>81</v>
      </c>
      <c r="U2957">
        <v>83</v>
      </c>
      <c r="V2957">
        <v>18</v>
      </c>
      <c r="W2957">
        <v>22</v>
      </c>
      <c r="X2957">
        <v>33</v>
      </c>
      <c r="Y2957">
        <v>2.52</v>
      </c>
    </row>
    <row r="2958" spans="1:25" x14ac:dyDescent="0.25">
      <c r="A2958">
        <v>2025</v>
      </c>
      <c r="B2958" t="s">
        <v>57</v>
      </c>
      <c r="C2958">
        <v>14</v>
      </c>
      <c r="D2958">
        <v>146</v>
      </c>
      <c r="E2958" t="s">
        <v>159</v>
      </c>
      <c r="F2958" t="s">
        <v>116</v>
      </c>
      <c r="G2958">
        <f t="shared" si="2902"/>
        <v>1</v>
      </c>
      <c r="H2958">
        <v>8</v>
      </c>
      <c r="I2958">
        <v>5</v>
      </c>
      <c r="J2958">
        <v>0</v>
      </c>
      <c r="K2958" s="6" t="str">
        <f t="shared" ref="K2958" si="3007">"vs "&amp;E2959</f>
        <v>vs Baltimore Hercules</v>
      </c>
      <c r="L2958" s="6" t="str">
        <f t="shared" ref="L2958" si="3008">"vs "&amp;F2959</f>
        <v>vs Sarantos</v>
      </c>
      <c r="M2958">
        <v>177</v>
      </c>
      <c r="N2958" s="1">
        <v>0.47699999999999998</v>
      </c>
      <c r="O2958">
        <v>53</v>
      </c>
      <c r="P2958" s="1">
        <v>0.34399999999999997</v>
      </c>
      <c r="Q2958" s="1">
        <v>0.79600000000000004</v>
      </c>
      <c r="R2958">
        <v>485</v>
      </c>
      <c r="S2958">
        <v>46</v>
      </c>
      <c r="T2958">
        <v>140</v>
      </c>
      <c r="U2958">
        <v>147</v>
      </c>
      <c r="V2958">
        <v>22</v>
      </c>
      <c r="W2958">
        <v>11</v>
      </c>
      <c r="X2958">
        <v>73</v>
      </c>
      <c r="Y2958">
        <v>2.0099999999999998</v>
      </c>
    </row>
    <row r="2959" spans="1:25" x14ac:dyDescent="0.25">
      <c r="A2959">
        <v>2025</v>
      </c>
      <c r="B2959" t="s">
        <v>57</v>
      </c>
      <c r="C2959">
        <v>14</v>
      </c>
      <c r="D2959">
        <v>146</v>
      </c>
      <c r="E2959" t="s">
        <v>95</v>
      </c>
      <c r="F2959" t="s">
        <v>101</v>
      </c>
      <c r="G2959">
        <f t="shared" si="2902"/>
        <v>0</v>
      </c>
      <c r="H2959">
        <v>5</v>
      </c>
      <c r="I2959">
        <v>8</v>
      </c>
      <c r="J2959">
        <v>0</v>
      </c>
      <c r="K2959" s="6" t="str">
        <f t="shared" ref="K2959" si="3009">"vs "&amp;E2958</f>
        <v>vs purple fuzzy apache pirates</v>
      </c>
      <c r="L2959" s="6" t="str">
        <f t="shared" ref="L2959" si="3010">"vs "&amp;F2958</f>
        <v>vs pi/Sotiris</v>
      </c>
      <c r="M2959">
        <v>100</v>
      </c>
      <c r="N2959" s="1">
        <v>0.42399999999999999</v>
      </c>
      <c r="O2959">
        <v>22</v>
      </c>
      <c r="P2959" s="1">
        <v>0.26800000000000002</v>
      </c>
      <c r="Q2959" s="1">
        <v>0.86399999999999999</v>
      </c>
      <c r="R2959">
        <v>279</v>
      </c>
      <c r="S2959">
        <v>40</v>
      </c>
      <c r="T2959">
        <v>91</v>
      </c>
      <c r="U2959">
        <v>69</v>
      </c>
      <c r="V2959">
        <v>23</v>
      </c>
      <c r="W2959">
        <v>16</v>
      </c>
      <c r="X2959">
        <v>34</v>
      </c>
      <c r="Y2959">
        <v>2.0299999999999998</v>
      </c>
    </row>
    <row r="2960" spans="1:25" x14ac:dyDescent="0.25">
      <c r="A2960">
        <v>2025</v>
      </c>
      <c r="B2960" t="s">
        <v>57</v>
      </c>
      <c r="C2960">
        <v>14</v>
      </c>
      <c r="D2960">
        <v>147</v>
      </c>
      <c r="E2960" t="s">
        <v>23</v>
      </c>
      <c r="F2960" t="s">
        <v>120</v>
      </c>
      <c r="G2960">
        <f t="shared" si="2902"/>
        <v>1</v>
      </c>
      <c r="H2960">
        <v>9</v>
      </c>
      <c r="I2960">
        <v>4</v>
      </c>
      <c r="J2960">
        <v>0</v>
      </c>
      <c r="K2960" s="6" t="str">
        <f t="shared" ref="K2960" si="3011">"vs "&amp;E2961</f>
        <v>vs LRBP PR3DATORS</v>
      </c>
      <c r="L2960" s="6" t="str">
        <f t="shared" ref="L2960" si="3012">"vs "&amp;F2961</f>
        <v>vs Lafa</v>
      </c>
      <c r="M2960">
        <v>145</v>
      </c>
      <c r="N2960" s="1">
        <v>0.48499999999999999</v>
      </c>
      <c r="O2960">
        <v>33</v>
      </c>
      <c r="P2960" s="1">
        <v>0.29699999999999999</v>
      </c>
      <c r="Q2960" s="1">
        <v>0.77</v>
      </c>
      <c r="R2960">
        <v>390</v>
      </c>
      <c r="S2960">
        <v>41</v>
      </c>
      <c r="T2960">
        <v>114</v>
      </c>
      <c r="U2960">
        <v>97</v>
      </c>
      <c r="V2960">
        <v>30</v>
      </c>
      <c r="W2960">
        <v>13</v>
      </c>
      <c r="X2960">
        <v>43</v>
      </c>
      <c r="Y2960">
        <v>2.2599999999999998</v>
      </c>
    </row>
    <row r="2961" spans="1:25" x14ac:dyDescent="0.25">
      <c r="A2961">
        <v>2025</v>
      </c>
      <c r="B2961" t="s">
        <v>57</v>
      </c>
      <c r="C2961">
        <v>14</v>
      </c>
      <c r="D2961">
        <v>147</v>
      </c>
      <c r="E2961" t="s">
        <v>158</v>
      </c>
      <c r="F2961" t="s">
        <v>177</v>
      </c>
      <c r="G2961">
        <f t="shared" si="2902"/>
        <v>0</v>
      </c>
      <c r="H2961">
        <v>4</v>
      </c>
      <c r="I2961">
        <v>9</v>
      </c>
      <c r="J2961">
        <v>0</v>
      </c>
      <c r="K2961" s="6" t="str">
        <f t="shared" ref="K2961" si="3013">"vs "&amp;E2960</f>
        <v>vs Pachiana NinjaBees</v>
      </c>
      <c r="L2961" s="6" t="str">
        <f t="shared" ref="L2961" si="3014">"vs "&amp;F2960</f>
        <v>vs Spiridaus/Oladipas</v>
      </c>
      <c r="M2961">
        <v>161</v>
      </c>
      <c r="N2961" s="1">
        <v>0.40100000000000002</v>
      </c>
      <c r="O2961">
        <v>42</v>
      </c>
      <c r="P2961" s="1">
        <v>0.27500000000000002</v>
      </c>
      <c r="Q2961" s="1">
        <v>0.75600000000000001</v>
      </c>
      <c r="R2961">
        <v>454</v>
      </c>
      <c r="S2961">
        <v>37</v>
      </c>
      <c r="T2961">
        <v>113</v>
      </c>
      <c r="U2961">
        <v>75</v>
      </c>
      <c r="V2961">
        <v>20</v>
      </c>
      <c r="W2961">
        <v>16</v>
      </c>
      <c r="X2961">
        <v>53</v>
      </c>
      <c r="Y2961">
        <v>1.42</v>
      </c>
    </row>
    <row r="2962" spans="1:25" x14ac:dyDescent="0.25">
      <c r="A2962">
        <v>2025</v>
      </c>
      <c r="B2962" t="s">
        <v>57</v>
      </c>
      <c r="C2962">
        <v>14</v>
      </c>
      <c r="D2962">
        <v>148</v>
      </c>
      <c r="E2962" t="s">
        <v>28</v>
      </c>
      <c r="F2962" t="s">
        <v>46</v>
      </c>
      <c r="G2962">
        <f t="shared" si="2902"/>
        <v>0</v>
      </c>
      <c r="H2962">
        <v>3</v>
      </c>
      <c r="I2962">
        <v>10</v>
      </c>
      <c r="J2962">
        <v>0</v>
      </c>
      <c r="K2962" s="6" t="str">
        <f t="shared" ref="K2962" si="3015">"vs "&amp;E2963</f>
        <v>vs Kourayo Vallecano</v>
      </c>
      <c r="L2962" s="6" t="str">
        <f t="shared" ref="L2962" si="3016">"vs "&amp;F2963</f>
        <v>vs Ziogas/Christof</v>
      </c>
      <c r="M2962">
        <v>148</v>
      </c>
      <c r="N2962" s="1">
        <v>0.43099999999999999</v>
      </c>
      <c r="O2962">
        <v>49</v>
      </c>
      <c r="P2962" s="1">
        <v>0.34499999999999997</v>
      </c>
      <c r="Q2962" s="1">
        <v>0.78200000000000003</v>
      </c>
      <c r="R2962">
        <v>413</v>
      </c>
      <c r="S2962">
        <v>21</v>
      </c>
      <c r="T2962">
        <v>100</v>
      </c>
      <c r="U2962">
        <v>109</v>
      </c>
      <c r="V2962">
        <v>23</v>
      </c>
      <c r="W2962">
        <v>13</v>
      </c>
      <c r="X2962">
        <v>63</v>
      </c>
      <c r="Y2962">
        <v>1.73</v>
      </c>
    </row>
    <row r="2963" spans="1:25" x14ac:dyDescent="0.25">
      <c r="A2963">
        <v>2025</v>
      </c>
      <c r="B2963" t="s">
        <v>57</v>
      </c>
      <c r="C2963">
        <v>14</v>
      </c>
      <c r="D2963">
        <v>148</v>
      </c>
      <c r="E2963" t="s">
        <v>26</v>
      </c>
      <c r="F2963" t="s">
        <v>118</v>
      </c>
      <c r="G2963">
        <f t="shared" si="2902"/>
        <v>1</v>
      </c>
      <c r="H2963">
        <v>10</v>
      </c>
      <c r="I2963">
        <v>3</v>
      </c>
      <c r="J2963">
        <v>0</v>
      </c>
      <c r="K2963" s="6" t="str">
        <f t="shared" ref="K2963" si="3017">"vs "&amp;E2962</f>
        <v>vs Steven Adams' Moustache</v>
      </c>
      <c r="L2963" s="6" t="str">
        <f t="shared" ref="L2963" si="3018">"vs "&amp;F2962</f>
        <v>vs Johnny</v>
      </c>
      <c r="M2963">
        <v>135</v>
      </c>
      <c r="N2963" s="1">
        <v>0.47499999999999998</v>
      </c>
      <c r="O2963">
        <v>36</v>
      </c>
      <c r="P2963" s="1">
        <v>0.34599999999999997</v>
      </c>
      <c r="Q2963" s="1">
        <v>0.85499999999999998</v>
      </c>
      <c r="R2963">
        <v>365</v>
      </c>
      <c r="S2963">
        <v>48</v>
      </c>
      <c r="T2963">
        <v>116</v>
      </c>
      <c r="U2963">
        <v>114</v>
      </c>
      <c r="V2963">
        <v>33</v>
      </c>
      <c r="W2963">
        <v>17</v>
      </c>
      <c r="X2963">
        <v>52</v>
      </c>
      <c r="Y2963">
        <v>2.19</v>
      </c>
    </row>
    <row r="2964" spans="1:25" x14ac:dyDescent="0.25">
      <c r="A2964">
        <v>2025</v>
      </c>
      <c r="B2964" t="s">
        <v>57</v>
      </c>
      <c r="C2964">
        <v>14</v>
      </c>
      <c r="D2964">
        <v>149</v>
      </c>
      <c r="E2964" t="s">
        <v>21</v>
      </c>
      <c r="F2964" t="s">
        <v>50</v>
      </c>
      <c r="G2964">
        <f t="shared" si="2902"/>
        <v>1</v>
      </c>
      <c r="H2964">
        <v>10</v>
      </c>
      <c r="I2964">
        <v>3</v>
      </c>
      <c r="J2964">
        <v>0</v>
      </c>
      <c r="K2964" s="6" t="str">
        <f t="shared" ref="K2964" si="3019">"vs "&amp;E2965</f>
        <v>vs Tsarlatans</v>
      </c>
      <c r="L2964" s="6" t="str">
        <f t="shared" ref="L2964" si="3020">"vs "&amp;F2965</f>
        <v>vs Tzokos</v>
      </c>
      <c r="M2964">
        <v>148</v>
      </c>
      <c r="N2964" s="1">
        <v>0.52500000000000002</v>
      </c>
      <c r="O2964">
        <v>42</v>
      </c>
      <c r="P2964" s="1">
        <v>0.38500000000000001</v>
      </c>
      <c r="Q2964" s="1">
        <v>0.72199999999999998</v>
      </c>
      <c r="R2964">
        <v>403</v>
      </c>
      <c r="S2964">
        <v>44</v>
      </c>
      <c r="T2964">
        <v>95</v>
      </c>
      <c r="U2964">
        <v>67</v>
      </c>
      <c r="V2964">
        <v>35</v>
      </c>
      <c r="W2964">
        <v>14</v>
      </c>
      <c r="X2964">
        <v>43</v>
      </c>
      <c r="Y2964">
        <v>1.56</v>
      </c>
    </row>
    <row r="2965" spans="1:25" x14ac:dyDescent="0.25">
      <c r="A2965">
        <v>2025</v>
      </c>
      <c r="B2965" t="s">
        <v>57</v>
      </c>
      <c r="C2965">
        <v>14</v>
      </c>
      <c r="D2965">
        <v>149</v>
      </c>
      <c r="E2965" t="s">
        <v>99</v>
      </c>
      <c r="F2965" t="s">
        <v>45</v>
      </c>
      <c r="G2965">
        <f t="shared" si="2902"/>
        <v>0</v>
      </c>
      <c r="H2965">
        <v>3</v>
      </c>
      <c r="I2965">
        <v>10</v>
      </c>
      <c r="J2965">
        <v>0</v>
      </c>
      <c r="K2965" s="6" t="str">
        <f t="shared" ref="K2965" si="3021">"vs "&amp;E2964</f>
        <v>vs st.Helens Eruptions</v>
      </c>
      <c r="L2965" s="6" t="str">
        <f t="shared" ref="L2965" si="3022">"vs "&amp;F2964</f>
        <v>vs Aris</v>
      </c>
      <c r="M2965">
        <v>111</v>
      </c>
      <c r="N2965" s="1">
        <v>0.46800000000000003</v>
      </c>
      <c r="O2965">
        <v>41</v>
      </c>
      <c r="P2965" s="1">
        <v>0.38</v>
      </c>
      <c r="Q2965" s="1">
        <v>0.73099999999999998</v>
      </c>
      <c r="R2965">
        <v>312</v>
      </c>
      <c r="S2965">
        <v>36</v>
      </c>
      <c r="T2965">
        <v>79</v>
      </c>
      <c r="U2965">
        <v>84</v>
      </c>
      <c r="V2965">
        <v>30</v>
      </c>
      <c r="W2965">
        <v>9</v>
      </c>
      <c r="X2965">
        <v>45</v>
      </c>
      <c r="Y2965">
        <v>1.87</v>
      </c>
    </row>
    <row r="2966" spans="1:25" x14ac:dyDescent="0.25">
      <c r="A2966">
        <v>2025</v>
      </c>
      <c r="B2966" t="s">
        <v>57</v>
      </c>
      <c r="C2966">
        <v>14</v>
      </c>
      <c r="D2966">
        <v>150</v>
      </c>
      <c r="E2966" t="s">
        <v>154</v>
      </c>
      <c r="F2966" t="s">
        <v>155</v>
      </c>
      <c r="G2966">
        <f t="shared" si="2902"/>
        <v>0</v>
      </c>
      <c r="H2966">
        <v>4</v>
      </c>
      <c r="I2966">
        <v>9</v>
      </c>
      <c r="J2966">
        <v>0</v>
      </c>
      <c r="K2966" s="6" t="str">
        <f t="shared" ref="K2966" si="3023">"vs "&amp;E2967</f>
        <v>vs Xanthi Ducks 🦆</v>
      </c>
      <c r="L2966" s="6" t="str">
        <f t="shared" ref="L2966" si="3024">"vs "&amp;F2967</f>
        <v>vs Kotakis</v>
      </c>
      <c r="M2966">
        <v>130</v>
      </c>
      <c r="N2966" s="1">
        <v>0.51800000000000002</v>
      </c>
      <c r="O2966">
        <v>35</v>
      </c>
      <c r="P2966" s="1">
        <v>0.36799999999999999</v>
      </c>
      <c r="Q2966" s="1">
        <v>0.68400000000000005</v>
      </c>
      <c r="R2966">
        <v>349</v>
      </c>
      <c r="S2966">
        <v>50</v>
      </c>
      <c r="T2966">
        <v>125</v>
      </c>
      <c r="U2966">
        <v>59</v>
      </c>
      <c r="V2966">
        <v>37</v>
      </c>
      <c r="W2966">
        <v>18</v>
      </c>
      <c r="X2966">
        <v>51</v>
      </c>
      <c r="Y2966">
        <v>1.1599999999999999</v>
      </c>
    </row>
    <row r="2967" spans="1:25" x14ac:dyDescent="0.25">
      <c r="A2967">
        <v>2025</v>
      </c>
      <c r="B2967" t="s">
        <v>57</v>
      </c>
      <c r="C2967">
        <v>14</v>
      </c>
      <c r="D2967">
        <v>150</v>
      </c>
      <c r="E2967" t="s">
        <v>98</v>
      </c>
      <c r="F2967" t="s">
        <v>41</v>
      </c>
      <c r="G2967">
        <f t="shared" si="2902"/>
        <v>1</v>
      </c>
      <c r="H2967">
        <v>9</v>
      </c>
      <c r="I2967">
        <v>4</v>
      </c>
      <c r="J2967">
        <v>0</v>
      </c>
      <c r="K2967" s="6" t="str">
        <f t="shared" ref="K2967" si="3025">"vs "&amp;E2966</f>
        <v>vs The Bad Boys</v>
      </c>
      <c r="L2967" s="6" t="str">
        <f t="shared" ref="L2967" si="3026">"vs "&amp;F2966</f>
        <v>vs Arvanitis</v>
      </c>
      <c r="M2967">
        <v>173</v>
      </c>
      <c r="N2967" s="1">
        <v>0.49099999999999999</v>
      </c>
      <c r="O2967">
        <v>60</v>
      </c>
      <c r="P2967" s="1">
        <v>0.41099999999999998</v>
      </c>
      <c r="Q2967" s="1">
        <v>0.88300000000000001</v>
      </c>
      <c r="R2967">
        <v>459</v>
      </c>
      <c r="S2967">
        <v>62</v>
      </c>
      <c r="T2967">
        <v>132</v>
      </c>
      <c r="U2967">
        <v>104</v>
      </c>
      <c r="V2967">
        <v>29</v>
      </c>
      <c r="W2967">
        <v>11</v>
      </c>
      <c r="X2967">
        <v>63</v>
      </c>
      <c r="Y2967">
        <v>1.65</v>
      </c>
    </row>
    <row r="2968" spans="1:25" x14ac:dyDescent="0.25">
      <c r="A2968">
        <v>2025</v>
      </c>
      <c r="B2968" t="s">
        <v>57</v>
      </c>
      <c r="C2968">
        <v>15</v>
      </c>
      <c r="D2968">
        <v>151</v>
      </c>
      <c r="E2968" t="s">
        <v>94</v>
      </c>
      <c r="F2968" t="s">
        <v>40</v>
      </c>
      <c r="G2968">
        <f t="shared" si="2902"/>
        <v>0</v>
      </c>
      <c r="H2968">
        <v>2</v>
      </c>
      <c r="I2968">
        <v>11</v>
      </c>
      <c r="J2968">
        <v>0</v>
      </c>
      <c r="K2968" s="6" t="str">
        <f t="shared" ref="K2968" si="3027">"vs "&amp;E2969</f>
        <v>vs Knights of Ni</v>
      </c>
      <c r="L2968" s="6" t="str">
        <f t="shared" ref="L2968" si="3028">"vs "&amp;F2969</f>
        <v>vs Tolios</v>
      </c>
      <c r="M2968">
        <v>120</v>
      </c>
      <c r="N2968" s="1">
        <v>0.44</v>
      </c>
      <c r="O2968">
        <v>52</v>
      </c>
      <c r="P2968" s="1">
        <v>0.35599999999999998</v>
      </c>
      <c r="Q2968" s="1">
        <v>0.76700000000000002</v>
      </c>
      <c r="R2968">
        <v>325</v>
      </c>
      <c r="S2968">
        <v>31</v>
      </c>
      <c r="T2968">
        <v>116</v>
      </c>
      <c r="U2968">
        <v>97</v>
      </c>
      <c r="V2968">
        <v>21</v>
      </c>
      <c r="W2968">
        <v>17</v>
      </c>
      <c r="X2968">
        <v>34</v>
      </c>
      <c r="Y2968">
        <v>2.85</v>
      </c>
    </row>
    <row r="2969" spans="1:25" x14ac:dyDescent="0.25">
      <c r="A2969">
        <v>2025</v>
      </c>
      <c r="B2969" t="s">
        <v>57</v>
      </c>
      <c r="C2969">
        <v>15</v>
      </c>
      <c r="D2969">
        <v>151</v>
      </c>
      <c r="E2969" t="s">
        <v>96</v>
      </c>
      <c r="F2969" t="s">
        <v>102</v>
      </c>
      <c r="G2969">
        <f t="shared" si="2902"/>
        <v>1</v>
      </c>
      <c r="H2969">
        <v>11</v>
      </c>
      <c r="I2969">
        <v>2</v>
      </c>
      <c r="J2969">
        <v>0</v>
      </c>
      <c r="K2969" s="6" t="str">
        <f t="shared" ref="K2969" si="3029">"vs "&amp;E2968</f>
        <v>vs Fighting Thaddeus</v>
      </c>
      <c r="L2969" s="6" t="str">
        <f t="shared" ref="L2969" si="3030">"vs "&amp;F2968</f>
        <v>vs Stavros</v>
      </c>
      <c r="M2969">
        <v>191</v>
      </c>
      <c r="N2969" s="1">
        <v>0.50900000000000001</v>
      </c>
      <c r="O2969">
        <v>63</v>
      </c>
      <c r="P2969" s="1">
        <v>0.45</v>
      </c>
      <c r="Q2969" s="1">
        <v>0.77</v>
      </c>
      <c r="R2969">
        <v>539</v>
      </c>
      <c r="S2969">
        <v>49</v>
      </c>
      <c r="T2969">
        <v>117</v>
      </c>
      <c r="U2969">
        <v>108</v>
      </c>
      <c r="V2969">
        <v>25</v>
      </c>
      <c r="W2969">
        <v>19</v>
      </c>
      <c r="X2969">
        <v>51</v>
      </c>
      <c r="Y2969">
        <v>2.12</v>
      </c>
    </row>
    <row r="2970" spans="1:25" x14ac:dyDescent="0.25">
      <c r="A2970">
        <v>2025</v>
      </c>
      <c r="B2970" t="s">
        <v>57</v>
      </c>
      <c r="C2970">
        <v>15</v>
      </c>
      <c r="D2970">
        <v>152</v>
      </c>
      <c r="E2970" t="s">
        <v>185</v>
      </c>
      <c r="F2970" t="s">
        <v>100</v>
      </c>
      <c r="G2970">
        <f t="shared" ref="G2970:G3033" si="3031">IF(H2970+0.5*J2970&gt;6.5,1,0)</f>
        <v>0</v>
      </c>
      <c r="H2970">
        <v>2</v>
      </c>
      <c r="I2970">
        <v>11</v>
      </c>
      <c r="J2970">
        <v>0</v>
      </c>
      <c r="K2970" s="6" t="str">
        <f t="shared" ref="K2970" si="3032">"vs "&amp;E2971</f>
        <v>vs Karafli Saita</v>
      </c>
      <c r="L2970" s="6" t="str">
        <f t="shared" ref="L2970" si="3033">"vs "&amp;F2971</f>
        <v>vs Tassos</v>
      </c>
      <c r="M2970">
        <v>131</v>
      </c>
      <c r="N2970" s="1">
        <v>0.45300000000000001</v>
      </c>
      <c r="O2970">
        <v>43</v>
      </c>
      <c r="P2970" s="1">
        <v>0.33600000000000002</v>
      </c>
      <c r="Q2970" s="1">
        <v>0.69399999999999995</v>
      </c>
      <c r="R2970">
        <v>339</v>
      </c>
      <c r="S2970">
        <v>30</v>
      </c>
      <c r="T2970">
        <v>77</v>
      </c>
      <c r="U2970">
        <v>73</v>
      </c>
      <c r="V2970">
        <v>17</v>
      </c>
      <c r="W2970">
        <v>15</v>
      </c>
      <c r="X2970">
        <v>41</v>
      </c>
      <c r="Y2970">
        <v>1.78</v>
      </c>
    </row>
    <row r="2971" spans="1:25" x14ac:dyDescent="0.25">
      <c r="A2971">
        <v>2025</v>
      </c>
      <c r="B2971" t="s">
        <v>57</v>
      </c>
      <c r="C2971">
        <v>15</v>
      </c>
      <c r="D2971">
        <v>152</v>
      </c>
      <c r="E2971" t="s">
        <v>186</v>
      </c>
      <c r="F2971" t="s">
        <v>103</v>
      </c>
      <c r="G2971">
        <f t="shared" si="3031"/>
        <v>1</v>
      </c>
      <c r="H2971">
        <v>11</v>
      </c>
      <c r="I2971">
        <v>2</v>
      </c>
      <c r="J2971">
        <v>0</v>
      </c>
      <c r="K2971" s="6" t="str">
        <f t="shared" ref="K2971" si="3034">"vs "&amp;E2970</f>
        <v>vs Paralouistas</v>
      </c>
      <c r="L2971" s="6" t="str">
        <f t="shared" ref="L2971" si="3035">"vs "&amp;F2970</f>
        <v>vs Panos</v>
      </c>
      <c r="M2971">
        <v>222</v>
      </c>
      <c r="N2971" s="1">
        <v>0.49299999999999999</v>
      </c>
      <c r="O2971">
        <v>58</v>
      </c>
      <c r="P2971" s="1">
        <v>0.374</v>
      </c>
      <c r="Q2971" s="1">
        <v>0.85699999999999998</v>
      </c>
      <c r="R2971">
        <v>610</v>
      </c>
      <c r="S2971">
        <v>45</v>
      </c>
      <c r="T2971">
        <v>122</v>
      </c>
      <c r="U2971">
        <v>126</v>
      </c>
      <c r="V2971">
        <v>20</v>
      </c>
      <c r="W2971">
        <v>14</v>
      </c>
      <c r="X2971">
        <v>54</v>
      </c>
      <c r="Y2971">
        <v>2.33</v>
      </c>
    </row>
    <row r="2972" spans="1:25" x14ac:dyDescent="0.25">
      <c r="A2972">
        <v>2025</v>
      </c>
      <c r="B2972" t="s">
        <v>57</v>
      </c>
      <c r="C2972">
        <v>15</v>
      </c>
      <c r="D2972">
        <v>153</v>
      </c>
      <c r="E2972" t="s">
        <v>16</v>
      </c>
      <c r="F2972" t="s">
        <v>51</v>
      </c>
      <c r="G2972">
        <f t="shared" si="3031"/>
        <v>1</v>
      </c>
      <c r="H2972">
        <v>11</v>
      </c>
      <c r="I2972">
        <v>2</v>
      </c>
      <c r="J2972">
        <v>0</v>
      </c>
      <c r="K2972" s="6" t="str">
        <f t="shared" ref="K2972" si="3036">"vs "&amp;E2973</f>
        <v>vs Heraklion Snakes</v>
      </c>
      <c r="L2972" s="6" t="str">
        <f t="shared" ref="L2972" si="3037">"vs "&amp;F2973</f>
        <v>vs Dimitris</v>
      </c>
      <c r="M2972">
        <v>205</v>
      </c>
      <c r="N2972" s="1">
        <v>0.53500000000000003</v>
      </c>
      <c r="O2972">
        <v>44</v>
      </c>
      <c r="P2972" s="1">
        <v>0.38600000000000001</v>
      </c>
      <c r="Q2972" s="1">
        <v>0.76100000000000001</v>
      </c>
      <c r="R2972">
        <v>521</v>
      </c>
      <c r="S2972">
        <v>67</v>
      </c>
      <c r="T2972">
        <v>162</v>
      </c>
      <c r="U2972">
        <v>142</v>
      </c>
      <c r="V2972">
        <v>31</v>
      </c>
      <c r="W2972">
        <v>27</v>
      </c>
      <c r="X2972">
        <v>66</v>
      </c>
      <c r="Y2972">
        <v>2.15</v>
      </c>
    </row>
    <row r="2973" spans="1:25" x14ac:dyDescent="0.25">
      <c r="A2973">
        <v>2025</v>
      </c>
      <c r="B2973" t="s">
        <v>57</v>
      </c>
      <c r="C2973">
        <v>15</v>
      </c>
      <c r="D2973">
        <v>153</v>
      </c>
      <c r="E2973" t="s">
        <v>184</v>
      </c>
      <c r="F2973" t="s">
        <v>188</v>
      </c>
      <c r="G2973">
        <f t="shared" si="3031"/>
        <v>0</v>
      </c>
      <c r="H2973">
        <v>2</v>
      </c>
      <c r="I2973">
        <v>11</v>
      </c>
      <c r="J2973">
        <v>0</v>
      </c>
      <c r="K2973" s="6" t="str">
        <f t="shared" ref="K2973" si="3038">"vs "&amp;E2972</f>
        <v>vs The Bridgeburners</v>
      </c>
      <c r="L2973" s="6" t="str">
        <f t="shared" ref="L2973" si="3039">"vs "&amp;F2972</f>
        <v>vs Fanis</v>
      </c>
      <c r="M2973">
        <v>129</v>
      </c>
      <c r="N2973" s="1">
        <v>0.43</v>
      </c>
      <c r="O2973">
        <v>38</v>
      </c>
      <c r="P2973" s="1">
        <v>0.29699999999999999</v>
      </c>
      <c r="Q2973" s="1">
        <v>0.8</v>
      </c>
      <c r="R2973">
        <v>336</v>
      </c>
      <c r="S2973">
        <v>37</v>
      </c>
      <c r="T2973">
        <v>120</v>
      </c>
      <c r="U2973">
        <v>59</v>
      </c>
      <c r="V2973">
        <v>12</v>
      </c>
      <c r="W2973">
        <v>19</v>
      </c>
      <c r="X2973">
        <v>44</v>
      </c>
      <c r="Y2973">
        <v>1.34</v>
      </c>
    </row>
    <row r="2974" spans="1:25" x14ac:dyDescent="0.25">
      <c r="A2974">
        <v>2025</v>
      </c>
      <c r="B2974" t="s">
        <v>57</v>
      </c>
      <c r="C2974">
        <v>15</v>
      </c>
      <c r="D2974">
        <v>154</v>
      </c>
      <c r="E2974" t="s">
        <v>93</v>
      </c>
      <c r="F2974" t="s">
        <v>189</v>
      </c>
      <c r="G2974">
        <f t="shared" si="3031"/>
        <v>0</v>
      </c>
      <c r="H2974">
        <v>4</v>
      </c>
      <c r="I2974">
        <v>9</v>
      </c>
      <c r="J2974">
        <v>0</v>
      </c>
      <c r="K2974" s="6" t="str">
        <f t="shared" ref="K2974" si="3040">"vs "&amp;E2975</f>
        <v>vs Salonika Devils</v>
      </c>
      <c r="L2974" s="6" t="str">
        <f t="shared" ref="L2974" si="3041">"vs "&amp;F2975</f>
        <v>vs Fountos</v>
      </c>
      <c r="M2974">
        <v>153</v>
      </c>
      <c r="N2974" s="1">
        <v>0.44600000000000001</v>
      </c>
      <c r="O2974">
        <v>68</v>
      </c>
      <c r="P2974" s="1">
        <v>0.376</v>
      </c>
      <c r="Q2974" s="1">
        <v>0.78700000000000003</v>
      </c>
      <c r="R2974">
        <v>422</v>
      </c>
      <c r="S2974">
        <v>18</v>
      </c>
      <c r="T2974">
        <v>82</v>
      </c>
      <c r="U2974">
        <v>85</v>
      </c>
      <c r="V2974">
        <v>25</v>
      </c>
      <c r="W2974">
        <v>12</v>
      </c>
      <c r="X2974">
        <v>43</v>
      </c>
      <c r="Y2974">
        <v>1.98</v>
      </c>
    </row>
    <row r="2975" spans="1:25" x14ac:dyDescent="0.25">
      <c r="A2975">
        <v>2025</v>
      </c>
      <c r="B2975" t="s">
        <v>57</v>
      </c>
      <c r="C2975">
        <v>15</v>
      </c>
      <c r="D2975">
        <v>154</v>
      </c>
      <c r="E2975" t="s">
        <v>15</v>
      </c>
      <c r="F2975" t="s">
        <v>48</v>
      </c>
      <c r="G2975">
        <f t="shared" si="3031"/>
        <v>1</v>
      </c>
      <c r="H2975">
        <v>9</v>
      </c>
      <c r="I2975">
        <v>4</v>
      </c>
      <c r="J2975">
        <v>0</v>
      </c>
      <c r="K2975" s="6" t="str">
        <f t="shared" ref="K2975" si="3042">"vs "&amp;E2974</f>
        <v>vs Guruuu 🐐🐐🐐</v>
      </c>
      <c r="L2975" s="6" t="str">
        <f t="shared" ref="L2975" si="3043">"vs "&amp;F2974</f>
        <v>vs Guru</v>
      </c>
      <c r="M2975">
        <v>183</v>
      </c>
      <c r="N2975" s="1">
        <v>0.48299999999999998</v>
      </c>
      <c r="O2975">
        <v>46</v>
      </c>
      <c r="P2975" s="1">
        <v>0.34599999999999997</v>
      </c>
      <c r="Q2975" s="1">
        <v>0.80900000000000005</v>
      </c>
      <c r="R2975">
        <v>505</v>
      </c>
      <c r="S2975">
        <v>36</v>
      </c>
      <c r="T2975">
        <v>129</v>
      </c>
      <c r="U2975">
        <v>101</v>
      </c>
      <c r="V2975">
        <v>30</v>
      </c>
      <c r="W2975">
        <v>15</v>
      </c>
      <c r="X2975">
        <v>57</v>
      </c>
      <c r="Y2975">
        <v>1.77</v>
      </c>
    </row>
    <row r="2976" spans="1:25" x14ac:dyDescent="0.25">
      <c r="A2976">
        <v>2025</v>
      </c>
      <c r="B2976" t="s">
        <v>57</v>
      </c>
      <c r="C2976">
        <v>15</v>
      </c>
      <c r="D2976">
        <v>155</v>
      </c>
      <c r="E2976" t="s">
        <v>95</v>
      </c>
      <c r="F2976" t="s">
        <v>101</v>
      </c>
      <c r="G2976">
        <f t="shared" si="3031"/>
        <v>0</v>
      </c>
      <c r="H2976">
        <v>6</v>
      </c>
      <c r="I2976">
        <v>7</v>
      </c>
      <c r="J2976">
        <v>0</v>
      </c>
      <c r="K2976" s="6" t="str">
        <f t="shared" ref="K2976" si="3044">"vs "&amp;E2977</f>
        <v>vs The Guns</v>
      </c>
      <c r="L2976" s="6" t="str">
        <f t="shared" ref="L2976" si="3045">"vs "&amp;F2977</f>
        <v>vs Vasilis</v>
      </c>
      <c r="M2976">
        <v>158</v>
      </c>
      <c r="N2976" s="1">
        <v>0.497</v>
      </c>
      <c r="O2976">
        <v>52</v>
      </c>
      <c r="P2976" s="1">
        <v>0.39700000000000002</v>
      </c>
      <c r="Q2976" s="1">
        <v>0.85299999999999998</v>
      </c>
      <c r="R2976">
        <v>426</v>
      </c>
      <c r="S2976">
        <v>36</v>
      </c>
      <c r="T2976">
        <v>92</v>
      </c>
      <c r="U2976">
        <v>80</v>
      </c>
      <c r="V2976">
        <v>20</v>
      </c>
      <c r="W2976">
        <v>25</v>
      </c>
      <c r="X2976">
        <v>30</v>
      </c>
      <c r="Y2976">
        <v>2.67</v>
      </c>
    </row>
    <row r="2977" spans="1:25" x14ac:dyDescent="0.25">
      <c r="A2977">
        <v>2025</v>
      </c>
      <c r="B2977" t="s">
        <v>57</v>
      </c>
      <c r="C2977">
        <v>15</v>
      </c>
      <c r="D2977">
        <v>155</v>
      </c>
      <c r="E2977" t="s">
        <v>33</v>
      </c>
      <c r="F2977" t="s">
        <v>42</v>
      </c>
      <c r="G2977">
        <f t="shared" si="3031"/>
        <v>1</v>
      </c>
      <c r="H2977">
        <v>7</v>
      </c>
      <c r="I2977">
        <v>6</v>
      </c>
      <c r="J2977">
        <v>0</v>
      </c>
      <c r="K2977" s="6" t="str">
        <f t="shared" ref="K2977" si="3046">"vs "&amp;E2976</f>
        <v>vs Baltimore Hercules</v>
      </c>
      <c r="L2977" s="6" t="str">
        <f t="shared" ref="L2977" si="3047">"vs "&amp;F2976</f>
        <v>vs Sarantos</v>
      </c>
      <c r="M2977">
        <v>186</v>
      </c>
      <c r="N2977" s="1">
        <v>0.48799999999999999</v>
      </c>
      <c r="O2977">
        <v>54</v>
      </c>
      <c r="P2977" s="1">
        <v>0.372</v>
      </c>
      <c r="Q2977" s="1">
        <v>0.79200000000000004</v>
      </c>
      <c r="R2977">
        <v>506</v>
      </c>
      <c r="S2977">
        <v>35</v>
      </c>
      <c r="T2977">
        <v>137</v>
      </c>
      <c r="U2977">
        <v>136</v>
      </c>
      <c r="V2977">
        <v>24</v>
      </c>
      <c r="W2977">
        <v>14</v>
      </c>
      <c r="X2977">
        <v>45</v>
      </c>
      <c r="Y2977">
        <v>3.02</v>
      </c>
    </row>
    <row r="2978" spans="1:25" x14ac:dyDescent="0.25">
      <c r="A2978">
        <v>2025</v>
      </c>
      <c r="B2978" t="s">
        <v>57</v>
      </c>
      <c r="C2978">
        <v>15</v>
      </c>
      <c r="D2978">
        <v>156</v>
      </c>
      <c r="E2978" t="s">
        <v>158</v>
      </c>
      <c r="F2978" t="s">
        <v>177</v>
      </c>
      <c r="G2978">
        <f t="shared" si="3031"/>
        <v>0</v>
      </c>
      <c r="H2978">
        <v>1</v>
      </c>
      <c r="I2978">
        <v>12</v>
      </c>
      <c r="J2978">
        <v>0</v>
      </c>
      <c r="K2978" s="6" t="str">
        <f t="shared" ref="K2978" si="3048">"vs "&amp;E2979</f>
        <v>vs Samarina Dudenbros</v>
      </c>
      <c r="L2978" s="6" t="str">
        <f t="shared" ref="L2978" si="3049">"vs "&amp;F2979</f>
        <v>vs Sakellariou</v>
      </c>
      <c r="M2978">
        <v>157</v>
      </c>
      <c r="N2978" s="1">
        <v>0.43099999999999999</v>
      </c>
      <c r="O2978">
        <v>57</v>
      </c>
      <c r="P2978" s="1">
        <v>0.35799999999999998</v>
      </c>
      <c r="Q2978" s="1">
        <v>0.73299999999999998</v>
      </c>
      <c r="R2978">
        <v>445</v>
      </c>
      <c r="S2978">
        <v>21</v>
      </c>
      <c r="T2978">
        <v>110</v>
      </c>
      <c r="U2978">
        <v>97</v>
      </c>
      <c r="V2978">
        <v>33</v>
      </c>
      <c r="W2978">
        <v>6</v>
      </c>
      <c r="X2978">
        <v>44</v>
      </c>
      <c r="Y2978">
        <v>2.2000000000000002</v>
      </c>
    </row>
    <row r="2979" spans="1:25" x14ac:dyDescent="0.25">
      <c r="A2979">
        <v>2025</v>
      </c>
      <c r="B2979" t="s">
        <v>57</v>
      </c>
      <c r="C2979">
        <v>15</v>
      </c>
      <c r="D2979">
        <v>156</v>
      </c>
      <c r="E2979" t="s">
        <v>181</v>
      </c>
      <c r="F2979" t="s">
        <v>49</v>
      </c>
      <c r="G2979">
        <f t="shared" si="3031"/>
        <v>1</v>
      </c>
      <c r="H2979">
        <v>12</v>
      </c>
      <c r="I2979">
        <v>1</v>
      </c>
      <c r="J2979">
        <v>0</v>
      </c>
      <c r="K2979" s="6" t="str">
        <f t="shared" ref="K2979" si="3050">"vs "&amp;E2978</f>
        <v>vs LRBP PR3DATORS</v>
      </c>
      <c r="L2979" s="6" t="str">
        <f t="shared" ref="L2979" si="3051">"vs "&amp;F2978</f>
        <v>vs Lafa</v>
      </c>
      <c r="M2979">
        <v>233</v>
      </c>
      <c r="N2979" s="1">
        <v>0.49199999999999999</v>
      </c>
      <c r="O2979">
        <v>71</v>
      </c>
      <c r="P2979" s="1">
        <v>0.37</v>
      </c>
      <c r="Q2979" s="1">
        <v>0.83899999999999997</v>
      </c>
      <c r="R2979">
        <v>652</v>
      </c>
      <c r="S2979">
        <v>39</v>
      </c>
      <c r="T2979">
        <v>176</v>
      </c>
      <c r="U2979">
        <v>192</v>
      </c>
      <c r="V2979">
        <v>37</v>
      </c>
      <c r="W2979">
        <v>25</v>
      </c>
      <c r="X2979">
        <v>82</v>
      </c>
      <c r="Y2979">
        <v>2.34</v>
      </c>
    </row>
    <row r="2980" spans="1:25" x14ac:dyDescent="0.25">
      <c r="A2980">
        <v>2025</v>
      </c>
      <c r="B2980" t="s">
        <v>57</v>
      </c>
      <c r="C2980">
        <v>15</v>
      </c>
      <c r="D2980">
        <v>157</v>
      </c>
      <c r="E2980" t="s">
        <v>26</v>
      </c>
      <c r="F2980" t="s">
        <v>118</v>
      </c>
      <c r="G2980">
        <f t="shared" si="3031"/>
        <v>0</v>
      </c>
      <c r="H2980">
        <v>2</v>
      </c>
      <c r="I2980">
        <v>11</v>
      </c>
      <c r="J2980">
        <v>0</v>
      </c>
      <c r="K2980" s="6" t="str">
        <f t="shared" ref="K2980" si="3052">"vs "&amp;E2981</f>
        <v>vs purple fuzzy apache pirates</v>
      </c>
      <c r="L2980" s="6" t="str">
        <f t="shared" ref="L2980" si="3053">"vs "&amp;F2981</f>
        <v>vs pi/Sotiris</v>
      </c>
      <c r="M2980">
        <v>157</v>
      </c>
      <c r="N2980" s="1">
        <v>0.45400000000000001</v>
      </c>
      <c r="O2980">
        <v>42</v>
      </c>
      <c r="P2980" s="1">
        <v>0.27300000000000002</v>
      </c>
      <c r="Q2980" s="1">
        <v>0.77</v>
      </c>
      <c r="R2980">
        <v>403</v>
      </c>
      <c r="S2980">
        <v>31</v>
      </c>
      <c r="T2980">
        <v>147</v>
      </c>
      <c r="U2980">
        <v>80</v>
      </c>
      <c r="V2980">
        <v>30</v>
      </c>
      <c r="W2980">
        <v>15</v>
      </c>
      <c r="X2980">
        <v>41</v>
      </c>
      <c r="Y2980">
        <v>1.95</v>
      </c>
    </row>
    <row r="2981" spans="1:25" x14ac:dyDescent="0.25">
      <c r="A2981">
        <v>2025</v>
      </c>
      <c r="B2981" t="s">
        <v>57</v>
      </c>
      <c r="C2981">
        <v>15</v>
      </c>
      <c r="D2981">
        <v>157</v>
      </c>
      <c r="E2981" t="s">
        <v>159</v>
      </c>
      <c r="F2981" t="s">
        <v>116</v>
      </c>
      <c r="G2981">
        <f t="shared" si="3031"/>
        <v>1</v>
      </c>
      <c r="H2981">
        <v>11</v>
      </c>
      <c r="I2981">
        <v>2</v>
      </c>
      <c r="J2981">
        <v>0</v>
      </c>
      <c r="K2981" s="6" t="str">
        <f t="shared" ref="K2981" si="3054">"vs "&amp;E2980</f>
        <v>vs Kourayo Vallecano</v>
      </c>
      <c r="L2981" s="6" t="str">
        <f t="shared" ref="L2981" si="3055">"vs "&amp;F2980</f>
        <v>vs Ziogas/Christof</v>
      </c>
      <c r="M2981">
        <v>225</v>
      </c>
      <c r="N2981" s="1">
        <v>0.53400000000000003</v>
      </c>
      <c r="O2981">
        <v>45</v>
      </c>
      <c r="P2981" s="1">
        <v>0.34399999999999997</v>
      </c>
      <c r="Q2981" s="1">
        <v>0.72699999999999998</v>
      </c>
      <c r="R2981">
        <v>583</v>
      </c>
      <c r="S2981">
        <v>52</v>
      </c>
      <c r="T2981">
        <v>169</v>
      </c>
      <c r="U2981">
        <v>171</v>
      </c>
      <c r="V2981">
        <v>42</v>
      </c>
      <c r="W2981">
        <v>16</v>
      </c>
      <c r="X2981">
        <v>73</v>
      </c>
      <c r="Y2981">
        <v>2.34</v>
      </c>
    </row>
    <row r="2982" spans="1:25" x14ac:dyDescent="0.25">
      <c r="A2982">
        <v>2025</v>
      </c>
      <c r="B2982" t="s">
        <v>57</v>
      </c>
      <c r="C2982">
        <v>15</v>
      </c>
      <c r="D2982">
        <v>158</v>
      </c>
      <c r="E2982" t="s">
        <v>99</v>
      </c>
      <c r="F2982" t="s">
        <v>45</v>
      </c>
      <c r="G2982">
        <f t="shared" si="3031"/>
        <v>0</v>
      </c>
      <c r="H2982">
        <v>1</v>
      </c>
      <c r="I2982">
        <v>12</v>
      </c>
      <c r="J2982">
        <v>0</v>
      </c>
      <c r="K2982" s="6" t="str">
        <f t="shared" ref="K2982" si="3056">"vs "&amp;E2983</f>
        <v>vs Pachiana NinjaBees</v>
      </c>
      <c r="L2982" s="6" t="str">
        <f t="shared" ref="L2982" si="3057">"vs "&amp;F2983</f>
        <v>vs Spiridaus/Oladipas</v>
      </c>
      <c r="M2982">
        <v>143</v>
      </c>
      <c r="N2982" s="1">
        <v>0.48099999999999998</v>
      </c>
      <c r="O2982">
        <v>30</v>
      </c>
      <c r="P2982" s="1">
        <v>0.28599999999999998</v>
      </c>
      <c r="Q2982" s="1">
        <v>0.77600000000000002</v>
      </c>
      <c r="R2982">
        <v>399</v>
      </c>
      <c r="S2982">
        <v>37</v>
      </c>
      <c r="T2982">
        <v>120</v>
      </c>
      <c r="U2982">
        <v>77</v>
      </c>
      <c r="V2982">
        <v>24</v>
      </c>
      <c r="W2982">
        <v>15</v>
      </c>
      <c r="X2982">
        <v>43</v>
      </c>
      <c r="Y2982">
        <v>1.79</v>
      </c>
    </row>
    <row r="2983" spans="1:25" x14ac:dyDescent="0.25">
      <c r="A2983">
        <v>2025</v>
      </c>
      <c r="B2983" t="s">
        <v>57</v>
      </c>
      <c r="C2983">
        <v>15</v>
      </c>
      <c r="D2983">
        <v>158</v>
      </c>
      <c r="E2983" t="s">
        <v>23</v>
      </c>
      <c r="F2983" t="s">
        <v>120</v>
      </c>
      <c r="G2983">
        <f t="shared" si="3031"/>
        <v>1</v>
      </c>
      <c r="H2983">
        <v>12</v>
      </c>
      <c r="I2983">
        <v>1</v>
      </c>
      <c r="J2983">
        <v>0</v>
      </c>
      <c r="K2983" s="6" t="str">
        <f t="shared" ref="K2983" si="3058">"vs "&amp;E2982</f>
        <v>vs Tsarlatans</v>
      </c>
      <c r="L2983" s="6" t="str">
        <f t="shared" ref="L2983" si="3059">"vs "&amp;F2982</f>
        <v>vs Tzokos</v>
      </c>
      <c r="M2983">
        <v>170</v>
      </c>
      <c r="N2983" s="1">
        <v>0.48399999999999999</v>
      </c>
      <c r="O2983">
        <v>48</v>
      </c>
      <c r="P2983" s="1">
        <v>0.35799999999999998</v>
      </c>
      <c r="Q2983" s="1">
        <v>0.84499999999999997</v>
      </c>
      <c r="R2983">
        <v>448</v>
      </c>
      <c r="S2983">
        <v>27</v>
      </c>
      <c r="T2983">
        <v>121</v>
      </c>
      <c r="U2983">
        <v>113</v>
      </c>
      <c r="V2983">
        <v>27</v>
      </c>
      <c r="W2983">
        <v>25</v>
      </c>
      <c r="X2983">
        <v>41</v>
      </c>
      <c r="Y2983">
        <v>2.76</v>
      </c>
    </row>
    <row r="2984" spans="1:25" x14ac:dyDescent="0.25">
      <c r="A2984">
        <v>2025</v>
      </c>
      <c r="B2984" t="s">
        <v>57</v>
      </c>
      <c r="C2984">
        <v>15</v>
      </c>
      <c r="D2984">
        <v>159</v>
      </c>
      <c r="E2984" t="s">
        <v>98</v>
      </c>
      <c r="F2984" t="s">
        <v>41</v>
      </c>
      <c r="G2984">
        <f t="shared" si="3031"/>
        <v>1</v>
      </c>
      <c r="H2984">
        <v>7</v>
      </c>
      <c r="I2984">
        <v>5</v>
      </c>
      <c r="J2984">
        <v>1</v>
      </c>
      <c r="K2984" s="6" t="str">
        <f t="shared" ref="K2984" si="3060">"vs "&amp;E2985</f>
        <v>vs Steven Adams' Moustache</v>
      </c>
      <c r="L2984" s="6" t="str">
        <f t="shared" ref="L2984" si="3061">"vs "&amp;F2985</f>
        <v>vs Johnny</v>
      </c>
      <c r="M2984">
        <v>166</v>
      </c>
      <c r="N2984" s="1">
        <v>0.496</v>
      </c>
      <c r="O2984">
        <v>59</v>
      </c>
      <c r="P2984" s="1">
        <v>0.41299999999999998</v>
      </c>
      <c r="Q2984" s="1">
        <v>0.7</v>
      </c>
      <c r="R2984">
        <v>447</v>
      </c>
      <c r="S2984">
        <v>42</v>
      </c>
      <c r="T2984">
        <v>136</v>
      </c>
      <c r="U2984">
        <v>119</v>
      </c>
      <c r="V2984">
        <v>29</v>
      </c>
      <c r="W2984">
        <v>19</v>
      </c>
      <c r="X2984">
        <v>45</v>
      </c>
      <c r="Y2984">
        <v>2.64</v>
      </c>
    </row>
    <row r="2985" spans="1:25" x14ac:dyDescent="0.25">
      <c r="A2985">
        <v>2025</v>
      </c>
      <c r="B2985" t="s">
        <v>57</v>
      </c>
      <c r="C2985">
        <v>15</v>
      </c>
      <c r="D2985">
        <v>159</v>
      </c>
      <c r="E2985" t="s">
        <v>28</v>
      </c>
      <c r="F2985" t="s">
        <v>46</v>
      </c>
      <c r="G2985">
        <f t="shared" si="3031"/>
        <v>0</v>
      </c>
      <c r="H2985">
        <v>5</v>
      </c>
      <c r="I2985">
        <v>7</v>
      </c>
      <c r="J2985">
        <v>1</v>
      </c>
      <c r="K2985" s="6" t="str">
        <f t="shared" ref="K2985" si="3062">"vs "&amp;E2984</f>
        <v>vs Xanthi Ducks 🦆</v>
      </c>
      <c r="L2985" s="6" t="str">
        <f t="shared" ref="L2985" si="3063">"vs "&amp;F2984</f>
        <v>vs Kotakis</v>
      </c>
      <c r="M2985">
        <v>174</v>
      </c>
      <c r="N2985" s="1">
        <v>0.47699999999999998</v>
      </c>
      <c r="O2985">
        <v>51</v>
      </c>
      <c r="P2985" s="1">
        <v>0.35699999999999998</v>
      </c>
      <c r="Q2985" s="1">
        <v>0.80200000000000005</v>
      </c>
      <c r="R2985">
        <v>472</v>
      </c>
      <c r="S2985">
        <v>38</v>
      </c>
      <c r="T2985">
        <v>108</v>
      </c>
      <c r="U2985">
        <v>124</v>
      </c>
      <c r="V2985">
        <v>29</v>
      </c>
      <c r="W2985">
        <v>20</v>
      </c>
      <c r="X2985">
        <v>59</v>
      </c>
      <c r="Y2985">
        <v>2.1</v>
      </c>
    </row>
    <row r="2986" spans="1:25" x14ac:dyDescent="0.25">
      <c r="A2986">
        <v>2025</v>
      </c>
      <c r="B2986" t="s">
        <v>57</v>
      </c>
      <c r="C2986">
        <v>15</v>
      </c>
      <c r="D2986">
        <v>160</v>
      </c>
      <c r="E2986" t="s">
        <v>154</v>
      </c>
      <c r="F2986" t="s">
        <v>155</v>
      </c>
      <c r="G2986">
        <f t="shared" si="3031"/>
        <v>0</v>
      </c>
      <c r="H2986">
        <v>2</v>
      </c>
      <c r="I2986">
        <v>11</v>
      </c>
      <c r="J2986">
        <v>0</v>
      </c>
      <c r="K2986" s="6" t="str">
        <f t="shared" ref="K2986" si="3064">"vs "&amp;E2987</f>
        <v>vs st.Helens Eruptions</v>
      </c>
      <c r="L2986" s="6" t="str">
        <f t="shared" ref="L2986" si="3065">"vs "&amp;F2987</f>
        <v>vs Aris</v>
      </c>
      <c r="M2986">
        <v>117</v>
      </c>
      <c r="N2986" s="1">
        <v>0.45700000000000002</v>
      </c>
      <c r="O2986">
        <v>30</v>
      </c>
      <c r="P2986" s="1">
        <v>0.33300000000000002</v>
      </c>
      <c r="Q2986" s="1">
        <v>0.63200000000000001</v>
      </c>
      <c r="R2986">
        <v>300</v>
      </c>
      <c r="S2986">
        <v>43</v>
      </c>
      <c r="T2986">
        <v>128</v>
      </c>
      <c r="U2986">
        <v>60</v>
      </c>
      <c r="V2986">
        <v>28</v>
      </c>
      <c r="W2986">
        <v>10</v>
      </c>
      <c r="X2986">
        <v>44</v>
      </c>
      <c r="Y2986">
        <v>1.36</v>
      </c>
    </row>
    <row r="2987" spans="1:25" x14ac:dyDescent="0.25">
      <c r="A2987">
        <v>2025</v>
      </c>
      <c r="B2987" t="s">
        <v>57</v>
      </c>
      <c r="C2987">
        <v>15</v>
      </c>
      <c r="D2987">
        <v>160</v>
      </c>
      <c r="E2987" t="s">
        <v>21</v>
      </c>
      <c r="F2987" t="s">
        <v>50</v>
      </c>
      <c r="G2987">
        <f t="shared" si="3031"/>
        <v>1</v>
      </c>
      <c r="H2987">
        <v>11</v>
      </c>
      <c r="I2987">
        <v>2</v>
      </c>
      <c r="J2987">
        <v>0</v>
      </c>
      <c r="K2987" s="6" t="str">
        <f t="shared" ref="K2987" si="3066">"vs "&amp;E2986</f>
        <v>vs The Bad Boys</v>
      </c>
      <c r="L2987" s="6" t="str">
        <f t="shared" ref="L2987" si="3067">"vs "&amp;F2986</f>
        <v>vs Arvanitis</v>
      </c>
      <c r="M2987">
        <v>151</v>
      </c>
      <c r="N2987" s="1">
        <v>0.51500000000000001</v>
      </c>
      <c r="O2987">
        <v>29</v>
      </c>
      <c r="P2987" s="1">
        <v>0.35799999999999998</v>
      </c>
      <c r="Q2987" s="1">
        <v>0.8</v>
      </c>
      <c r="R2987">
        <v>391</v>
      </c>
      <c r="S2987">
        <v>54</v>
      </c>
      <c r="T2987">
        <v>97</v>
      </c>
      <c r="U2987">
        <v>89</v>
      </c>
      <c r="V2987">
        <v>39</v>
      </c>
      <c r="W2987">
        <v>19</v>
      </c>
      <c r="X2987">
        <v>33</v>
      </c>
      <c r="Y2987">
        <v>2.7</v>
      </c>
    </row>
    <row r="2988" spans="1:25" x14ac:dyDescent="0.25">
      <c r="A2988">
        <v>2025</v>
      </c>
      <c r="B2988" t="s">
        <v>57</v>
      </c>
      <c r="C2988">
        <v>16</v>
      </c>
      <c r="D2988">
        <v>161</v>
      </c>
      <c r="E2988" t="s">
        <v>96</v>
      </c>
      <c r="F2988" t="s">
        <v>102</v>
      </c>
      <c r="G2988">
        <f t="shared" si="3031"/>
        <v>0</v>
      </c>
      <c r="H2988">
        <v>5</v>
      </c>
      <c r="I2988">
        <v>7</v>
      </c>
      <c r="J2988">
        <v>1</v>
      </c>
      <c r="K2988" s="6" t="str">
        <f t="shared" ref="K2988" si="3068">"vs "&amp;E2989</f>
        <v>vs Paralouistas</v>
      </c>
      <c r="L2988" s="6" t="str">
        <f t="shared" ref="L2988" si="3069">"vs "&amp;F2989</f>
        <v>vs Panos</v>
      </c>
      <c r="M2988">
        <v>167</v>
      </c>
      <c r="N2988" s="1">
        <v>0.51700000000000002</v>
      </c>
      <c r="O2988">
        <v>36</v>
      </c>
      <c r="P2988" s="1">
        <v>0.32100000000000001</v>
      </c>
      <c r="Q2988" s="1">
        <v>0.81200000000000006</v>
      </c>
      <c r="R2988">
        <v>465</v>
      </c>
      <c r="S2988">
        <v>33</v>
      </c>
      <c r="T2988">
        <v>105</v>
      </c>
      <c r="U2988">
        <v>94</v>
      </c>
      <c r="V2988">
        <v>25</v>
      </c>
      <c r="W2988">
        <v>14</v>
      </c>
      <c r="X2988">
        <v>50</v>
      </c>
      <c r="Y2988">
        <v>1.88</v>
      </c>
    </row>
    <row r="2989" spans="1:25" x14ac:dyDescent="0.25">
      <c r="A2989">
        <v>2025</v>
      </c>
      <c r="B2989" t="s">
        <v>57</v>
      </c>
      <c r="C2989">
        <v>16</v>
      </c>
      <c r="D2989">
        <v>161</v>
      </c>
      <c r="E2989" t="s">
        <v>185</v>
      </c>
      <c r="F2989" t="s">
        <v>100</v>
      </c>
      <c r="G2989">
        <f t="shared" si="3031"/>
        <v>1</v>
      </c>
      <c r="H2989">
        <v>7</v>
      </c>
      <c r="I2989">
        <v>5</v>
      </c>
      <c r="J2989">
        <v>1</v>
      </c>
      <c r="K2989" s="6" t="str">
        <f t="shared" ref="K2989" si="3070">"vs "&amp;E2988</f>
        <v>vs Knights of Ni</v>
      </c>
      <c r="L2989" s="6" t="str">
        <f t="shared" ref="L2989" si="3071">"vs "&amp;F2988</f>
        <v>vs Tolios</v>
      </c>
      <c r="M2989">
        <v>173</v>
      </c>
      <c r="N2989" s="1">
        <v>0.44700000000000001</v>
      </c>
      <c r="O2989">
        <v>45</v>
      </c>
      <c r="P2989" s="1">
        <v>0.26600000000000001</v>
      </c>
      <c r="Q2989" s="1">
        <v>0.85699999999999998</v>
      </c>
      <c r="R2989">
        <v>445</v>
      </c>
      <c r="S2989">
        <v>35</v>
      </c>
      <c r="T2989">
        <v>98</v>
      </c>
      <c r="U2989">
        <v>111</v>
      </c>
      <c r="V2989">
        <v>31</v>
      </c>
      <c r="W2989">
        <v>14</v>
      </c>
      <c r="X2989">
        <v>54</v>
      </c>
      <c r="Y2989">
        <v>2.06</v>
      </c>
    </row>
    <row r="2990" spans="1:25" x14ac:dyDescent="0.25">
      <c r="A2990">
        <v>2025</v>
      </c>
      <c r="B2990" t="s">
        <v>57</v>
      </c>
      <c r="C2990">
        <v>16</v>
      </c>
      <c r="D2990">
        <v>162</v>
      </c>
      <c r="E2990" t="s">
        <v>94</v>
      </c>
      <c r="F2990" t="s">
        <v>40</v>
      </c>
      <c r="G2990">
        <f t="shared" si="3031"/>
        <v>0</v>
      </c>
      <c r="H2990">
        <v>2</v>
      </c>
      <c r="I2990">
        <v>11</v>
      </c>
      <c r="J2990">
        <v>0</v>
      </c>
      <c r="K2990" s="6" t="str">
        <f t="shared" ref="K2990" si="3072">"vs "&amp;E2991</f>
        <v>vs The Bridgeburners</v>
      </c>
      <c r="L2990" s="6" t="str">
        <f t="shared" ref="L2990" si="3073">"vs "&amp;F2991</f>
        <v>vs Fanis</v>
      </c>
      <c r="M2990">
        <v>156</v>
      </c>
      <c r="N2990" s="1">
        <v>0.44600000000000001</v>
      </c>
      <c r="O2990">
        <v>61</v>
      </c>
      <c r="P2990" s="1">
        <v>0.38100000000000001</v>
      </c>
      <c r="Q2990" s="1">
        <v>0.76800000000000002</v>
      </c>
      <c r="R2990">
        <v>436</v>
      </c>
      <c r="S2990">
        <v>37</v>
      </c>
      <c r="T2990">
        <v>122</v>
      </c>
      <c r="U2990">
        <v>116</v>
      </c>
      <c r="V2990">
        <v>23</v>
      </c>
      <c r="W2990">
        <v>12</v>
      </c>
      <c r="X2990">
        <v>52</v>
      </c>
      <c r="Y2990">
        <v>2.23</v>
      </c>
    </row>
    <row r="2991" spans="1:25" x14ac:dyDescent="0.25">
      <c r="A2991">
        <v>2025</v>
      </c>
      <c r="B2991" t="s">
        <v>57</v>
      </c>
      <c r="C2991">
        <v>16</v>
      </c>
      <c r="D2991">
        <v>162</v>
      </c>
      <c r="E2991" t="s">
        <v>16</v>
      </c>
      <c r="F2991" t="s">
        <v>51</v>
      </c>
      <c r="G2991">
        <f t="shared" si="3031"/>
        <v>1</v>
      </c>
      <c r="H2991">
        <v>11</v>
      </c>
      <c r="I2991">
        <v>2</v>
      </c>
      <c r="J2991">
        <v>0</v>
      </c>
      <c r="K2991" s="6" t="str">
        <f t="shared" ref="K2991" si="3074">"vs "&amp;E2990</f>
        <v>vs Fighting Thaddeus</v>
      </c>
      <c r="L2991" s="6" t="str">
        <f t="shared" ref="L2991" si="3075">"vs "&amp;F2990</f>
        <v>vs Stavros</v>
      </c>
      <c r="M2991">
        <v>223</v>
      </c>
      <c r="N2991" s="1">
        <v>0.503</v>
      </c>
      <c r="O2991">
        <v>63</v>
      </c>
      <c r="P2991" s="1">
        <v>0.41699999999999998</v>
      </c>
      <c r="Q2991" s="1">
        <v>0.79</v>
      </c>
      <c r="R2991">
        <v>618</v>
      </c>
      <c r="S2991">
        <v>63</v>
      </c>
      <c r="T2991">
        <v>145</v>
      </c>
      <c r="U2991">
        <v>136</v>
      </c>
      <c r="V2991">
        <v>28</v>
      </c>
      <c r="W2991">
        <v>20</v>
      </c>
      <c r="X2991">
        <v>68</v>
      </c>
      <c r="Y2991">
        <v>2</v>
      </c>
    </row>
    <row r="2992" spans="1:25" x14ac:dyDescent="0.25">
      <c r="A2992">
        <v>2025</v>
      </c>
      <c r="B2992" t="s">
        <v>57</v>
      </c>
      <c r="C2992">
        <v>16</v>
      </c>
      <c r="D2992">
        <v>163</v>
      </c>
      <c r="E2992" t="s">
        <v>186</v>
      </c>
      <c r="F2992" t="s">
        <v>103</v>
      </c>
      <c r="G2992">
        <f t="shared" si="3031"/>
        <v>1</v>
      </c>
      <c r="H2992">
        <v>11</v>
      </c>
      <c r="I2992">
        <v>1</v>
      </c>
      <c r="J2992">
        <v>1</v>
      </c>
      <c r="K2992" s="6" t="str">
        <f t="shared" ref="K2992" si="3076">"vs "&amp;E2993</f>
        <v>vs Guruuu 🐐🐐🐐</v>
      </c>
      <c r="L2992" s="6" t="str">
        <f t="shared" ref="L2992" si="3077">"vs "&amp;F2993</f>
        <v>vs Guru</v>
      </c>
      <c r="M2992">
        <v>199</v>
      </c>
      <c r="N2992" s="1">
        <v>0.47</v>
      </c>
      <c r="O2992">
        <v>54</v>
      </c>
      <c r="P2992" s="1">
        <v>0.36699999999999999</v>
      </c>
      <c r="Q2992" s="1">
        <v>0.88300000000000001</v>
      </c>
      <c r="R2992">
        <v>535</v>
      </c>
      <c r="S2992">
        <v>47</v>
      </c>
      <c r="T2992">
        <v>112</v>
      </c>
      <c r="U2992">
        <v>127</v>
      </c>
      <c r="V2992">
        <v>44</v>
      </c>
      <c r="W2992">
        <v>23</v>
      </c>
      <c r="X2992">
        <v>56</v>
      </c>
      <c r="Y2992">
        <v>2.27</v>
      </c>
    </row>
    <row r="2993" spans="1:25" x14ac:dyDescent="0.25">
      <c r="A2993">
        <v>2025</v>
      </c>
      <c r="B2993" t="s">
        <v>57</v>
      </c>
      <c r="C2993">
        <v>16</v>
      </c>
      <c r="D2993">
        <v>163</v>
      </c>
      <c r="E2993" t="s">
        <v>93</v>
      </c>
      <c r="F2993" t="s">
        <v>189</v>
      </c>
      <c r="G2993">
        <f t="shared" si="3031"/>
        <v>0</v>
      </c>
      <c r="H2993">
        <v>1</v>
      </c>
      <c r="I2993">
        <v>11</v>
      </c>
      <c r="J2993">
        <v>1</v>
      </c>
      <c r="K2993" s="6" t="str">
        <f t="shared" ref="K2993" si="3078">"vs "&amp;E2992</f>
        <v>vs Karafli Saita</v>
      </c>
      <c r="L2993" s="6" t="str">
        <f t="shared" ref="L2993" si="3079">"vs "&amp;F2992</f>
        <v>vs Tassos</v>
      </c>
      <c r="M2993">
        <v>131</v>
      </c>
      <c r="N2993" s="1">
        <v>0.41599999999999998</v>
      </c>
      <c r="O2993">
        <v>54</v>
      </c>
      <c r="P2993" s="1">
        <v>0.34799999999999998</v>
      </c>
      <c r="Q2993" s="1">
        <v>0.76700000000000002</v>
      </c>
      <c r="R2993">
        <v>382</v>
      </c>
      <c r="S2993">
        <v>37</v>
      </c>
      <c r="T2993">
        <v>105</v>
      </c>
      <c r="U2993">
        <v>93</v>
      </c>
      <c r="V2993">
        <v>27</v>
      </c>
      <c r="W2993">
        <v>19</v>
      </c>
      <c r="X2993">
        <v>47</v>
      </c>
      <c r="Y2993">
        <v>1.98</v>
      </c>
    </row>
    <row r="2994" spans="1:25" x14ac:dyDescent="0.25">
      <c r="A2994">
        <v>2025</v>
      </c>
      <c r="B2994" t="s">
        <v>57</v>
      </c>
      <c r="C2994">
        <v>16</v>
      </c>
      <c r="D2994">
        <v>164</v>
      </c>
      <c r="E2994" t="s">
        <v>184</v>
      </c>
      <c r="F2994" t="s">
        <v>188</v>
      </c>
      <c r="G2994">
        <f t="shared" si="3031"/>
        <v>1</v>
      </c>
      <c r="H2994">
        <v>10</v>
      </c>
      <c r="I2994">
        <v>3</v>
      </c>
      <c r="J2994">
        <v>0</v>
      </c>
      <c r="K2994" s="6" t="str">
        <f t="shared" ref="K2994" si="3080">"vs "&amp;E2995</f>
        <v>vs Baltimore Hercules</v>
      </c>
      <c r="L2994" s="6" t="str">
        <f t="shared" ref="L2994" si="3081">"vs "&amp;F2995</f>
        <v>vs Sarantos</v>
      </c>
      <c r="M2994">
        <v>165</v>
      </c>
      <c r="N2994" s="1">
        <v>0.48099999999999998</v>
      </c>
      <c r="O2994">
        <v>57</v>
      </c>
      <c r="P2994" s="1">
        <v>0.42499999999999999</v>
      </c>
      <c r="Q2994" s="1">
        <v>0.78400000000000003</v>
      </c>
      <c r="R2994">
        <v>456</v>
      </c>
      <c r="S2994">
        <v>45</v>
      </c>
      <c r="T2994">
        <v>116</v>
      </c>
      <c r="U2994">
        <v>87</v>
      </c>
      <c r="V2994">
        <v>20</v>
      </c>
      <c r="W2994">
        <v>19</v>
      </c>
      <c r="X2994">
        <v>40</v>
      </c>
      <c r="Y2994">
        <v>2.17</v>
      </c>
    </row>
    <row r="2995" spans="1:25" x14ac:dyDescent="0.25">
      <c r="A2995">
        <v>2025</v>
      </c>
      <c r="B2995" t="s">
        <v>57</v>
      </c>
      <c r="C2995">
        <v>16</v>
      </c>
      <c r="D2995">
        <v>164</v>
      </c>
      <c r="E2995" t="s">
        <v>95</v>
      </c>
      <c r="F2995" t="s">
        <v>101</v>
      </c>
      <c r="G2995">
        <f t="shared" si="3031"/>
        <v>0</v>
      </c>
      <c r="H2995">
        <v>3</v>
      </c>
      <c r="I2995">
        <v>10</v>
      </c>
      <c r="J2995">
        <v>0</v>
      </c>
      <c r="K2995" s="6" t="str">
        <f t="shared" ref="K2995" si="3082">"vs "&amp;E2994</f>
        <v>vs Heraklion Snakes</v>
      </c>
      <c r="L2995" s="6" t="str">
        <f t="shared" ref="L2995" si="3083">"vs "&amp;F2994</f>
        <v>vs Dimitris</v>
      </c>
      <c r="M2995">
        <v>113</v>
      </c>
      <c r="N2995" s="1">
        <v>0.45600000000000002</v>
      </c>
      <c r="O2995">
        <v>34</v>
      </c>
      <c r="P2995" s="1">
        <v>0.35099999999999998</v>
      </c>
      <c r="Q2995" s="1">
        <v>0.77300000000000002</v>
      </c>
      <c r="R2995">
        <v>311</v>
      </c>
      <c r="S2995">
        <v>37</v>
      </c>
      <c r="T2995">
        <v>96</v>
      </c>
      <c r="U2995">
        <v>82</v>
      </c>
      <c r="V2995">
        <v>25</v>
      </c>
      <c r="W2995">
        <v>16</v>
      </c>
      <c r="X2995">
        <v>33</v>
      </c>
      <c r="Y2995">
        <v>2.48</v>
      </c>
    </row>
    <row r="2996" spans="1:25" x14ac:dyDescent="0.25">
      <c r="A2996">
        <v>2025</v>
      </c>
      <c r="B2996" t="s">
        <v>57</v>
      </c>
      <c r="C2996">
        <v>16</v>
      </c>
      <c r="D2996">
        <v>165</v>
      </c>
      <c r="E2996" t="s">
        <v>15</v>
      </c>
      <c r="F2996" t="s">
        <v>48</v>
      </c>
      <c r="G2996">
        <f t="shared" si="3031"/>
        <v>0</v>
      </c>
      <c r="H2996">
        <v>6</v>
      </c>
      <c r="I2996">
        <v>7</v>
      </c>
      <c r="J2996">
        <v>0</v>
      </c>
      <c r="K2996" s="6" t="str">
        <f t="shared" ref="K2996" si="3084">"vs "&amp;E2997</f>
        <v>vs LRBP PR3DATORS</v>
      </c>
      <c r="L2996" s="6" t="str">
        <f t="shared" ref="L2996" si="3085">"vs "&amp;F2997</f>
        <v>vs Lafa</v>
      </c>
      <c r="M2996">
        <v>194</v>
      </c>
      <c r="N2996" s="1">
        <v>0.47899999999999998</v>
      </c>
      <c r="O2996">
        <v>64</v>
      </c>
      <c r="P2996" s="1">
        <v>0.36799999999999999</v>
      </c>
      <c r="Q2996" s="1">
        <v>0.89400000000000002</v>
      </c>
      <c r="R2996">
        <v>553</v>
      </c>
      <c r="S2996">
        <v>35</v>
      </c>
      <c r="T2996">
        <v>140</v>
      </c>
      <c r="U2996">
        <v>105</v>
      </c>
      <c r="V2996">
        <v>28</v>
      </c>
      <c r="W2996">
        <v>10</v>
      </c>
      <c r="X2996">
        <v>39</v>
      </c>
      <c r="Y2996">
        <v>2.69</v>
      </c>
    </row>
    <row r="2997" spans="1:25" x14ac:dyDescent="0.25">
      <c r="A2997">
        <v>2025</v>
      </c>
      <c r="B2997" t="s">
        <v>57</v>
      </c>
      <c r="C2997">
        <v>16</v>
      </c>
      <c r="D2997">
        <v>165</v>
      </c>
      <c r="E2997" t="s">
        <v>158</v>
      </c>
      <c r="F2997" t="s">
        <v>177</v>
      </c>
      <c r="G2997">
        <f t="shared" si="3031"/>
        <v>1</v>
      </c>
      <c r="H2997">
        <v>7</v>
      </c>
      <c r="I2997">
        <v>6</v>
      </c>
      <c r="J2997">
        <v>0</v>
      </c>
      <c r="K2997" s="6" t="str">
        <f t="shared" ref="K2997" si="3086">"vs "&amp;E2996</f>
        <v>vs Salonika Devils</v>
      </c>
      <c r="L2997" s="6" t="str">
        <f t="shared" ref="L2997" si="3087">"vs "&amp;F2996</f>
        <v>vs Fountos</v>
      </c>
      <c r="M2997">
        <v>222</v>
      </c>
      <c r="N2997" s="1">
        <v>0.47699999999999998</v>
      </c>
      <c r="O2997">
        <v>80</v>
      </c>
      <c r="P2997" s="1">
        <v>0.42599999999999999</v>
      </c>
      <c r="Q2997" s="1">
        <v>0.75900000000000001</v>
      </c>
      <c r="R2997">
        <v>628</v>
      </c>
      <c r="S2997">
        <v>36</v>
      </c>
      <c r="T2997">
        <v>120</v>
      </c>
      <c r="U2997">
        <v>117</v>
      </c>
      <c r="V2997">
        <v>27</v>
      </c>
      <c r="W2997">
        <v>23</v>
      </c>
      <c r="X2997">
        <v>58</v>
      </c>
      <c r="Y2997">
        <v>2.02</v>
      </c>
    </row>
    <row r="2998" spans="1:25" x14ac:dyDescent="0.25">
      <c r="A2998">
        <v>2025</v>
      </c>
      <c r="B2998" t="s">
        <v>57</v>
      </c>
      <c r="C2998">
        <v>16</v>
      </c>
      <c r="D2998">
        <v>166</v>
      </c>
      <c r="E2998" t="s">
        <v>33</v>
      </c>
      <c r="F2998" t="s">
        <v>42</v>
      </c>
      <c r="G2998">
        <f t="shared" si="3031"/>
        <v>1</v>
      </c>
      <c r="H2998">
        <v>8</v>
      </c>
      <c r="I2998">
        <v>5</v>
      </c>
      <c r="J2998">
        <v>0</v>
      </c>
      <c r="K2998" s="6" t="str">
        <f t="shared" ref="K2998" si="3088">"vs "&amp;E2999</f>
        <v>vs Kourayo Vallecano</v>
      </c>
      <c r="L2998" s="6" t="str">
        <f t="shared" ref="L2998" si="3089">"vs "&amp;F2999</f>
        <v>vs Ziogas/Christof</v>
      </c>
      <c r="M2998">
        <v>213</v>
      </c>
      <c r="N2998" s="1">
        <v>0.46</v>
      </c>
      <c r="O2998">
        <v>65</v>
      </c>
      <c r="P2998" s="1">
        <v>0.33500000000000002</v>
      </c>
      <c r="Q2998" s="1">
        <v>0.84799999999999998</v>
      </c>
      <c r="R2998">
        <v>608</v>
      </c>
      <c r="S2998">
        <v>35</v>
      </c>
      <c r="T2998">
        <v>142</v>
      </c>
      <c r="U2998">
        <v>154</v>
      </c>
      <c r="V2998">
        <v>38</v>
      </c>
      <c r="W2998">
        <v>22</v>
      </c>
      <c r="X2998">
        <v>64</v>
      </c>
      <c r="Y2998">
        <v>2.41</v>
      </c>
    </row>
    <row r="2999" spans="1:25" x14ac:dyDescent="0.25">
      <c r="A2999">
        <v>2025</v>
      </c>
      <c r="B2999" t="s">
        <v>57</v>
      </c>
      <c r="C2999">
        <v>16</v>
      </c>
      <c r="D2999">
        <v>166</v>
      </c>
      <c r="E2999" t="s">
        <v>26</v>
      </c>
      <c r="F2999" t="s">
        <v>118</v>
      </c>
      <c r="G2999">
        <f t="shared" si="3031"/>
        <v>0</v>
      </c>
      <c r="H2999">
        <v>5</v>
      </c>
      <c r="I2999">
        <v>8</v>
      </c>
      <c r="J2999">
        <v>0</v>
      </c>
      <c r="K2999" s="6" t="str">
        <f t="shared" ref="K2999" si="3090">"vs "&amp;E2998</f>
        <v>vs The Guns</v>
      </c>
      <c r="L2999" s="6" t="str">
        <f t="shared" ref="L2999" si="3091">"vs "&amp;F2998</f>
        <v>vs Vasilis</v>
      </c>
      <c r="M2999">
        <v>190</v>
      </c>
      <c r="N2999" s="1">
        <v>0.50700000000000001</v>
      </c>
      <c r="O2999">
        <v>64</v>
      </c>
      <c r="P2999" s="1">
        <v>0.435</v>
      </c>
      <c r="Q2999" s="1">
        <v>0.76300000000000001</v>
      </c>
      <c r="R2999">
        <v>515</v>
      </c>
      <c r="S2999">
        <v>44</v>
      </c>
      <c r="T2999">
        <v>152</v>
      </c>
      <c r="U2999">
        <v>118</v>
      </c>
      <c r="V2999">
        <v>35</v>
      </c>
      <c r="W2999">
        <v>15</v>
      </c>
      <c r="X2999">
        <v>59</v>
      </c>
      <c r="Y2999">
        <v>2</v>
      </c>
    </row>
    <row r="3000" spans="1:25" x14ac:dyDescent="0.25">
      <c r="A3000">
        <v>2025</v>
      </c>
      <c r="B3000" t="s">
        <v>57</v>
      </c>
      <c r="C3000">
        <v>16</v>
      </c>
      <c r="D3000">
        <v>167</v>
      </c>
      <c r="E3000" t="s">
        <v>181</v>
      </c>
      <c r="F3000" t="s">
        <v>49</v>
      </c>
      <c r="G3000">
        <f t="shared" si="3031"/>
        <v>1</v>
      </c>
      <c r="H3000">
        <v>10</v>
      </c>
      <c r="I3000">
        <v>3</v>
      </c>
      <c r="J3000">
        <v>0</v>
      </c>
      <c r="K3000" s="6" t="str">
        <f t="shared" ref="K3000" si="3092">"vs "&amp;E3001</f>
        <v>vs Tsarlatans</v>
      </c>
      <c r="L3000" s="6" t="str">
        <f t="shared" ref="L3000" si="3093">"vs "&amp;F3001</f>
        <v>vs Tzokos</v>
      </c>
      <c r="M3000">
        <v>174</v>
      </c>
      <c r="N3000" s="1">
        <v>0.47199999999999998</v>
      </c>
      <c r="O3000">
        <v>46</v>
      </c>
      <c r="P3000" s="1">
        <v>0.36499999999999999</v>
      </c>
      <c r="Q3000" s="1">
        <v>0.82099999999999995</v>
      </c>
      <c r="R3000">
        <v>472</v>
      </c>
      <c r="S3000">
        <v>38</v>
      </c>
      <c r="T3000">
        <v>130</v>
      </c>
      <c r="U3000">
        <v>133</v>
      </c>
      <c r="V3000">
        <v>26</v>
      </c>
      <c r="W3000">
        <v>15</v>
      </c>
      <c r="X3000">
        <v>57</v>
      </c>
      <c r="Y3000">
        <v>2.33</v>
      </c>
    </row>
    <row r="3001" spans="1:25" x14ac:dyDescent="0.25">
      <c r="A3001">
        <v>2025</v>
      </c>
      <c r="B3001" t="s">
        <v>57</v>
      </c>
      <c r="C3001">
        <v>16</v>
      </c>
      <c r="D3001">
        <v>167</v>
      </c>
      <c r="E3001" t="s">
        <v>99</v>
      </c>
      <c r="F3001" t="s">
        <v>45</v>
      </c>
      <c r="G3001">
        <f t="shared" si="3031"/>
        <v>0</v>
      </c>
      <c r="H3001">
        <v>3</v>
      </c>
      <c r="I3001">
        <v>10</v>
      </c>
      <c r="J3001">
        <v>0</v>
      </c>
      <c r="K3001" s="6" t="str">
        <f t="shared" ref="K3001" si="3094">"vs "&amp;E3000</f>
        <v>vs Samarina Dudenbros</v>
      </c>
      <c r="L3001" s="6" t="str">
        <f t="shared" ref="L3001" si="3095">"vs "&amp;F3000</f>
        <v>vs Sakellariou</v>
      </c>
      <c r="M3001">
        <v>128</v>
      </c>
      <c r="N3001" s="1">
        <v>0.48099999999999998</v>
      </c>
      <c r="O3001">
        <v>33</v>
      </c>
      <c r="P3001" s="1">
        <v>0.32400000000000001</v>
      </c>
      <c r="Q3001" s="1">
        <v>0.75700000000000001</v>
      </c>
      <c r="R3001">
        <v>342</v>
      </c>
      <c r="S3001">
        <v>44</v>
      </c>
      <c r="T3001">
        <v>104</v>
      </c>
      <c r="U3001">
        <v>73</v>
      </c>
      <c r="V3001">
        <v>21</v>
      </c>
      <c r="W3001">
        <v>13</v>
      </c>
      <c r="X3001">
        <v>41</v>
      </c>
      <c r="Y3001">
        <v>1.78</v>
      </c>
    </row>
    <row r="3002" spans="1:25" x14ac:dyDescent="0.25">
      <c r="A3002">
        <v>2025</v>
      </c>
      <c r="B3002" t="s">
        <v>57</v>
      </c>
      <c r="C3002">
        <v>16</v>
      </c>
      <c r="D3002">
        <v>168</v>
      </c>
      <c r="E3002" t="s">
        <v>159</v>
      </c>
      <c r="F3002" t="s">
        <v>116</v>
      </c>
      <c r="G3002">
        <f t="shared" si="3031"/>
        <v>1</v>
      </c>
      <c r="H3002">
        <v>9</v>
      </c>
      <c r="I3002">
        <v>3</v>
      </c>
      <c r="J3002">
        <v>1</v>
      </c>
      <c r="K3002" s="6" t="str">
        <f t="shared" ref="K3002" si="3096">"vs "&amp;E3003</f>
        <v>vs Xanthi Ducks 🦆</v>
      </c>
      <c r="L3002" s="6" t="str">
        <f t="shared" ref="L3002" si="3097">"vs "&amp;F3003</f>
        <v>vs Kotakis</v>
      </c>
      <c r="M3002">
        <v>228</v>
      </c>
      <c r="N3002" s="1">
        <v>0.48899999999999999</v>
      </c>
      <c r="O3002">
        <v>96</v>
      </c>
      <c r="P3002" s="1">
        <v>0.40200000000000002</v>
      </c>
      <c r="Q3002" s="1">
        <v>0.84599999999999997</v>
      </c>
      <c r="R3002">
        <v>667</v>
      </c>
      <c r="S3002">
        <v>43</v>
      </c>
      <c r="T3002">
        <v>122</v>
      </c>
      <c r="U3002">
        <v>152</v>
      </c>
      <c r="V3002">
        <v>27</v>
      </c>
      <c r="W3002">
        <v>18</v>
      </c>
      <c r="X3002">
        <v>59</v>
      </c>
      <c r="Y3002">
        <v>2.58</v>
      </c>
    </row>
    <row r="3003" spans="1:25" x14ac:dyDescent="0.25">
      <c r="A3003">
        <v>2025</v>
      </c>
      <c r="B3003" t="s">
        <v>57</v>
      </c>
      <c r="C3003">
        <v>16</v>
      </c>
      <c r="D3003">
        <v>168</v>
      </c>
      <c r="E3003" t="s">
        <v>98</v>
      </c>
      <c r="F3003" t="s">
        <v>41</v>
      </c>
      <c r="G3003">
        <f t="shared" si="3031"/>
        <v>0</v>
      </c>
      <c r="H3003">
        <v>3</v>
      </c>
      <c r="I3003">
        <v>9</v>
      </c>
      <c r="J3003">
        <v>1</v>
      </c>
      <c r="K3003" s="6" t="str">
        <f t="shared" ref="K3003" si="3098">"vs "&amp;E3002</f>
        <v>vs purple fuzzy apache pirates</v>
      </c>
      <c r="L3003" s="6" t="str">
        <f t="shared" ref="L3003" si="3099">"vs "&amp;F3002</f>
        <v>vs pi/Sotiris</v>
      </c>
      <c r="M3003">
        <v>139</v>
      </c>
      <c r="N3003" s="1">
        <v>0.504</v>
      </c>
      <c r="O3003">
        <v>44</v>
      </c>
      <c r="P3003" s="1">
        <v>0.41499999999999998</v>
      </c>
      <c r="Q3003" s="1">
        <v>0.73499999999999999</v>
      </c>
      <c r="R3003">
        <v>372</v>
      </c>
      <c r="S3003">
        <v>43</v>
      </c>
      <c r="T3003">
        <v>100</v>
      </c>
      <c r="U3003">
        <v>74</v>
      </c>
      <c r="V3003">
        <v>19</v>
      </c>
      <c r="W3003">
        <v>12</v>
      </c>
      <c r="X3003">
        <v>44</v>
      </c>
      <c r="Y3003">
        <v>1.68</v>
      </c>
    </row>
    <row r="3004" spans="1:25" x14ac:dyDescent="0.25">
      <c r="A3004">
        <v>2025</v>
      </c>
      <c r="B3004" t="s">
        <v>57</v>
      </c>
      <c r="C3004">
        <v>16</v>
      </c>
      <c r="D3004">
        <v>169</v>
      </c>
      <c r="E3004" t="s">
        <v>23</v>
      </c>
      <c r="F3004" t="s">
        <v>120</v>
      </c>
      <c r="G3004">
        <f t="shared" si="3031"/>
        <v>0</v>
      </c>
      <c r="H3004">
        <v>6</v>
      </c>
      <c r="I3004">
        <v>7</v>
      </c>
      <c r="J3004">
        <v>0</v>
      </c>
      <c r="K3004" s="6" t="str">
        <f t="shared" ref="K3004" si="3100">"vs "&amp;E3005</f>
        <v>vs The Bad Boys</v>
      </c>
      <c r="L3004" s="6" t="str">
        <f t="shared" ref="L3004" si="3101">"vs "&amp;F3005</f>
        <v>vs Arvanitis</v>
      </c>
      <c r="M3004">
        <v>165</v>
      </c>
      <c r="N3004" s="1">
        <v>0.437</v>
      </c>
      <c r="O3004">
        <v>48</v>
      </c>
      <c r="P3004" s="1">
        <v>0.32200000000000001</v>
      </c>
      <c r="Q3004" s="1">
        <v>0.86799999999999999</v>
      </c>
      <c r="R3004">
        <v>437</v>
      </c>
      <c r="S3004">
        <v>34</v>
      </c>
      <c r="T3004">
        <v>125</v>
      </c>
      <c r="U3004">
        <v>100</v>
      </c>
      <c r="V3004">
        <v>33</v>
      </c>
      <c r="W3004">
        <v>27</v>
      </c>
      <c r="X3004">
        <v>54</v>
      </c>
      <c r="Y3004">
        <v>1.85</v>
      </c>
    </row>
    <row r="3005" spans="1:25" x14ac:dyDescent="0.25">
      <c r="A3005">
        <v>2025</v>
      </c>
      <c r="B3005" t="s">
        <v>57</v>
      </c>
      <c r="C3005">
        <v>16</v>
      </c>
      <c r="D3005">
        <v>169</v>
      </c>
      <c r="E3005" t="s">
        <v>154</v>
      </c>
      <c r="F3005" t="s">
        <v>155</v>
      </c>
      <c r="G3005">
        <f t="shared" si="3031"/>
        <v>1</v>
      </c>
      <c r="H3005">
        <v>7</v>
      </c>
      <c r="I3005">
        <v>6</v>
      </c>
      <c r="J3005">
        <v>0</v>
      </c>
      <c r="K3005" s="6" t="str">
        <f t="shared" ref="K3005" si="3102">"vs "&amp;E3004</f>
        <v>vs Pachiana NinjaBees</v>
      </c>
      <c r="L3005" s="6" t="str">
        <f t="shared" ref="L3005" si="3103">"vs "&amp;F3004</f>
        <v>vs Spiridaus/Oladipas</v>
      </c>
      <c r="M3005">
        <v>166</v>
      </c>
      <c r="N3005" s="1">
        <v>0.47799999999999998</v>
      </c>
      <c r="O3005">
        <v>31</v>
      </c>
      <c r="P3005" s="1">
        <v>0.28399999999999997</v>
      </c>
      <c r="Q3005" s="1">
        <v>0.82799999999999996</v>
      </c>
      <c r="R3005">
        <v>440</v>
      </c>
      <c r="S3005">
        <v>77</v>
      </c>
      <c r="T3005">
        <v>156</v>
      </c>
      <c r="U3005">
        <v>97</v>
      </c>
      <c r="V3005">
        <v>37</v>
      </c>
      <c r="W3005">
        <v>32</v>
      </c>
      <c r="X3005">
        <v>71</v>
      </c>
      <c r="Y3005">
        <v>1.37</v>
      </c>
    </row>
    <row r="3006" spans="1:25" x14ac:dyDescent="0.25">
      <c r="A3006">
        <v>2025</v>
      </c>
      <c r="B3006" t="s">
        <v>57</v>
      </c>
      <c r="C3006">
        <v>16</v>
      </c>
      <c r="D3006">
        <v>170</v>
      </c>
      <c r="E3006" t="s">
        <v>28</v>
      </c>
      <c r="F3006" t="s">
        <v>46</v>
      </c>
      <c r="G3006">
        <f t="shared" si="3031"/>
        <v>0</v>
      </c>
      <c r="H3006">
        <v>3</v>
      </c>
      <c r="I3006">
        <v>10</v>
      </c>
      <c r="J3006">
        <v>0</v>
      </c>
      <c r="K3006" s="6" t="str">
        <f t="shared" ref="K3006" si="3104">"vs "&amp;E3007</f>
        <v>vs st.Helens Eruptions</v>
      </c>
      <c r="L3006" s="6" t="str">
        <f t="shared" ref="L3006" si="3105">"vs "&amp;F3007</f>
        <v>vs Aris</v>
      </c>
      <c r="M3006">
        <v>123</v>
      </c>
      <c r="N3006" s="1">
        <v>0.38</v>
      </c>
      <c r="O3006">
        <v>49</v>
      </c>
      <c r="P3006" s="1">
        <v>0.34</v>
      </c>
      <c r="Q3006" s="1">
        <v>0.88300000000000001</v>
      </c>
      <c r="R3006">
        <v>393</v>
      </c>
      <c r="S3006">
        <v>38</v>
      </c>
      <c r="T3006">
        <v>99</v>
      </c>
      <c r="U3006">
        <v>84</v>
      </c>
      <c r="V3006">
        <v>17</v>
      </c>
      <c r="W3006">
        <v>11</v>
      </c>
      <c r="X3006">
        <v>40</v>
      </c>
      <c r="Y3006">
        <v>2.1</v>
      </c>
    </row>
    <row r="3007" spans="1:25" x14ac:dyDescent="0.25">
      <c r="A3007">
        <v>2025</v>
      </c>
      <c r="B3007" t="s">
        <v>57</v>
      </c>
      <c r="C3007">
        <v>16</v>
      </c>
      <c r="D3007">
        <v>170</v>
      </c>
      <c r="E3007" t="s">
        <v>21</v>
      </c>
      <c r="F3007" t="s">
        <v>50</v>
      </c>
      <c r="G3007">
        <f t="shared" si="3031"/>
        <v>1</v>
      </c>
      <c r="H3007">
        <v>10</v>
      </c>
      <c r="I3007">
        <v>3</v>
      </c>
      <c r="J3007">
        <v>0</v>
      </c>
      <c r="K3007" s="6" t="str">
        <f t="shared" ref="K3007" si="3106">"vs "&amp;E3006</f>
        <v>vs Steven Adams' Moustache</v>
      </c>
      <c r="L3007" s="6" t="str">
        <f t="shared" ref="L3007" si="3107">"vs "&amp;F3006</f>
        <v>vs Johnny</v>
      </c>
      <c r="M3007">
        <v>172</v>
      </c>
      <c r="N3007" s="1">
        <v>0.501</v>
      </c>
      <c r="O3007">
        <v>43</v>
      </c>
      <c r="P3007" s="1">
        <v>0.45300000000000001</v>
      </c>
      <c r="Q3007" s="1">
        <v>0.76200000000000001</v>
      </c>
      <c r="R3007">
        <v>464</v>
      </c>
      <c r="S3007">
        <v>64</v>
      </c>
      <c r="T3007">
        <v>123</v>
      </c>
      <c r="U3007">
        <v>130</v>
      </c>
      <c r="V3007">
        <v>46</v>
      </c>
      <c r="W3007">
        <v>26</v>
      </c>
      <c r="X3007">
        <v>60</v>
      </c>
      <c r="Y3007">
        <v>2.17</v>
      </c>
    </row>
    <row r="3008" spans="1:25" x14ac:dyDescent="0.25">
      <c r="A3008">
        <v>2025</v>
      </c>
      <c r="B3008" t="s">
        <v>57</v>
      </c>
      <c r="C3008">
        <v>17</v>
      </c>
      <c r="D3008">
        <v>171</v>
      </c>
      <c r="E3008" t="s">
        <v>16</v>
      </c>
      <c r="F3008" t="s">
        <v>51</v>
      </c>
      <c r="G3008">
        <f t="shared" si="3031"/>
        <v>0</v>
      </c>
      <c r="H3008">
        <v>6</v>
      </c>
      <c r="I3008">
        <v>6</v>
      </c>
      <c r="J3008">
        <v>1</v>
      </c>
      <c r="K3008" s="6" t="str">
        <f t="shared" ref="K3008" si="3108">"vs "&amp;E3009</f>
        <v>vs Knights of Ni</v>
      </c>
      <c r="L3008" s="6" t="str">
        <f t="shared" ref="L3008" si="3109">"vs "&amp;F3009</f>
        <v>vs Tolios</v>
      </c>
      <c r="M3008">
        <v>267</v>
      </c>
      <c r="N3008" s="1">
        <v>0.46400000000000002</v>
      </c>
      <c r="O3008">
        <v>71</v>
      </c>
      <c r="P3008" s="1">
        <v>0.32900000000000001</v>
      </c>
      <c r="Q3008" s="1">
        <v>0.82399999999999995</v>
      </c>
      <c r="R3008">
        <v>736</v>
      </c>
      <c r="S3008">
        <v>44</v>
      </c>
      <c r="T3008">
        <v>168</v>
      </c>
      <c r="U3008">
        <v>180</v>
      </c>
      <c r="V3008">
        <v>35</v>
      </c>
      <c r="W3008">
        <v>20</v>
      </c>
      <c r="X3008">
        <v>104</v>
      </c>
      <c r="Y3008">
        <v>1.73</v>
      </c>
    </row>
    <row r="3009" spans="1:25" x14ac:dyDescent="0.25">
      <c r="A3009">
        <v>2025</v>
      </c>
      <c r="B3009" t="s">
        <v>57</v>
      </c>
      <c r="C3009">
        <v>17</v>
      </c>
      <c r="D3009">
        <v>171</v>
      </c>
      <c r="E3009" t="s">
        <v>96</v>
      </c>
      <c r="F3009" t="s">
        <v>102</v>
      </c>
      <c r="G3009">
        <f t="shared" si="3031"/>
        <v>0</v>
      </c>
      <c r="H3009">
        <v>6</v>
      </c>
      <c r="I3009">
        <v>6</v>
      </c>
      <c r="J3009">
        <v>1</v>
      </c>
      <c r="K3009" s="6" t="str">
        <f t="shared" ref="K3009" si="3110">"vs "&amp;E3008</f>
        <v>vs The Bridgeburners</v>
      </c>
      <c r="L3009" s="6" t="str">
        <f t="shared" ref="L3009" si="3111">"vs "&amp;F3008</f>
        <v>vs Fanis</v>
      </c>
      <c r="M3009">
        <v>217</v>
      </c>
      <c r="N3009" s="1">
        <v>0.46</v>
      </c>
      <c r="O3009">
        <v>66</v>
      </c>
      <c r="P3009" s="1">
        <v>0.35699999999999998</v>
      </c>
      <c r="Q3009" s="1">
        <v>0.82699999999999996</v>
      </c>
      <c r="R3009">
        <v>610</v>
      </c>
      <c r="S3009">
        <v>50</v>
      </c>
      <c r="T3009">
        <v>163</v>
      </c>
      <c r="U3009">
        <v>128</v>
      </c>
      <c r="V3009">
        <v>38</v>
      </c>
      <c r="W3009">
        <v>20</v>
      </c>
      <c r="X3009">
        <v>68</v>
      </c>
      <c r="Y3009">
        <v>1.88</v>
      </c>
    </row>
    <row r="3010" spans="1:25" x14ac:dyDescent="0.25">
      <c r="A3010">
        <v>2025</v>
      </c>
      <c r="B3010" t="s">
        <v>57</v>
      </c>
      <c r="C3010">
        <v>17</v>
      </c>
      <c r="D3010">
        <v>172</v>
      </c>
      <c r="E3010" t="s">
        <v>93</v>
      </c>
      <c r="F3010" t="s">
        <v>189</v>
      </c>
      <c r="G3010">
        <f t="shared" si="3031"/>
        <v>0</v>
      </c>
      <c r="H3010">
        <v>6</v>
      </c>
      <c r="I3010">
        <v>7</v>
      </c>
      <c r="J3010">
        <v>0</v>
      </c>
      <c r="K3010" s="6" t="str">
        <f t="shared" ref="K3010" si="3112">"vs "&amp;E3011</f>
        <v>vs Paralouistas</v>
      </c>
      <c r="L3010" s="6" t="str">
        <f t="shared" ref="L3010" si="3113">"vs "&amp;F3011</f>
        <v>vs Panos</v>
      </c>
      <c r="M3010">
        <v>183</v>
      </c>
      <c r="N3010" s="1">
        <v>0.52</v>
      </c>
      <c r="O3010">
        <v>54</v>
      </c>
      <c r="P3010" s="1">
        <v>0.34399999999999997</v>
      </c>
      <c r="Q3010" s="1">
        <v>0.76500000000000001</v>
      </c>
      <c r="R3010">
        <v>482</v>
      </c>
      <c r="S3010">
        <v>38</v>
      </c>
      <c r="T3010">
        <v>136</v>
      </c>
      <c r="U3010">
        <v>133</v>
      </c>
      <c r="V3010">
        <v>26</v>
      </c>
      <c r="W3010">
        <v>21</v>
      </c>
      <c r="X3010">
        <v>60</v>
      </c>
      <c r="Y3010">
        <v>2.2200000000000002</v>
      </c>
    </row>
    <row r="3011" spans="1:25" x14ac:dyDescent="0.25">
      <c r="A3011">
        <v>2025</v>
      </c>
      <c r="B3011" t="s">
        <v>57</v>
      </c>
      <c r="C3011">
        <v>17</v>
      </c>
      <c r="D3011">
        <v>172</v>
      </c>
      <c r="E3011" t="s">
        <v>185</v>
      </c>
      <c r="F3011" t="s">
        <v>100</v>
      </c>
      <c r="G3011">
        <f t="shared" si="3031"/>
        <v>1</v>
      </c>
      <c r="H3011">
        <v>7</v>
      </c>
      <c r="I3011">
        <v>6</v>
      </c>
      <c r="J3011">
        <v>0</v>
      </c>
      <c r="K3011" s="6" t="str">
        <f t="shared" ref="K3011" si="3114">"vs "&amp;E3010</f>
        <v>vs Guruuu 🐐🐐🐐</v>
      </c>
      <c r="L3011" s="6" t="str">
        <f t="shared" ref="L3011" si="3115">"vs "&amp;F3010</f>
        <v>vs Guru</v>
      </c>
      <c r="M3011">
        <v>201</v>
      </c>
      <c r="N3011" s="1">
        <v>0.42899999999999999</v>
      </c>
      <c r="O3011">
        <v>69</v>
      </c>
      <c r="P3011" s="1">
        <v>0.33800000000000002</v>
      </c>
      <c r="Q3011" s="1">
        <v>0.71899999999999997</v>
      </c>
      <c r="R3011">
        <v>540</v>
      </c>
      <c r="S3011">
        <v>56</v>
      </c>
      <c r="T3011">
        <v>141</v>
      </c>
      <c r="U3011">
        <v>140</v>
      </c>
      <c r="V3011">
        <v>38</v>
      </c>
      <c r="W3011">
        <v>20</v>
      </c>
      <c r="X3011">
        <v>76</v>
      </c>
      <c r="Y3011">
        <v>1.84</v>
      </c>
    </row>
    <row r="3012" spans="1:25" x14ac:dyDescent="0.25">
      <c r="A3012">
        <v>2025</v>
      </c>
      <c r="B3012" t="s">
        <v>57</v>
      </c>
      <c r="C3012">
        <v>17</v>
      </c>
      <c r="D3012">
        <v>173</v>
      </c>
      <c r="E3012" t="s">
        <v>95</v>
      </c>
      <c r="F3012" t="s">
        <v>101</v>
      </c>
      <c r="G3012">
        <f t="shared" si="3031"/>
        <v>0</v>
      </c>
      <c r="H3012">
        <v>3</v>
      </c>
      <c r="I3012">
        <v>10</v>
      </c>
      <c r="J3012">
        <v>0</v>
      </c>
      <c r="K3012" s="6" t="str">
        <f t="shared" ref="K3012" si="3116">"vs "&amp;E3013</f>
        <v>vs Fighting Thaddeus</v>
      </c>
      <c r="L3012" s="6" t="str">
        <f t="shared" ref="L3012" si="3117">"vs "&amp;F3013</f>
        <v>vs Stavros</v>
      </c>
      <c r="M3012">
        <v>169</v>
      </c>
      <c r="N3012" s="1">
        <v>0.42599999999999999</v>
      </c>
      <c r="O3012">
        <v>55</v>
      </c>
      <c r="P3012" s="1">
        <v>0.33100000000000002</v>
      </c>
      <c r="Q3012" s="1">
        <v>0.72799999999999998</v>
      </c>
      <c r="R3012">
        <v>484</v>
      </c>
      <c r="S3012">
        <v>58</v>
      </c>
      <c r="T3012">
        <v>137</v>
      </c>
      <c r="U3012">
        <v>102</v>
      </c>
      <c r="V3012">
        <v>35</v>
      </c>
      <c r="W3012">
        <v>31</v>
      </c>
      <c r="X3012">
        <v>62</v>
      </c>
      <c r="Y3012">
        <v>1.65</v>
      </c>
    </row>
    <row r="3013" spans="1:25" x14ac:dyDescent="0.25">
      <c r="A3013">
        <v>2025</v>
      </c>
      <c r="B3013" t="s">
        <v>57</v>
      </c>
      <c r="C3013">
        <v>17</v>
      </c>
      <c r="D3013">
        <v>173</v>
      </c>
      <c r="E3013" t="s">
        <v>94</v>
      </c>
      <c r="F3013" t="s">
        <v>40</v>
      </c>
      <c r="G3013">
        <f t="shared" si="3031"/>
        <v>1</v>
      </c>
      <c r="H3013">
        <v>10</v>
      </c>
      <c r="I3013">
        <v>3</v>
      </c>
      <c r="J3013">
        <v>0</v>
      </c>
      <c r="K3013" s="6" t="str">
        <f t="shared" ref="K3013" si="3118">"vs "&amp;E3012</f>
        <v>vs Baltimore Hercules</v>
      </c>
      <c r="L3013" s="6" t="str">
        <f t="shared" ref="L3013" si="3119">"vs "&amp;F3012</f>
        <v>vs Sarantos</v>
      </c>
      <c r="M3013">
        <v>214</v>
      </c>
      <c r="N3013" s="1">
        <v>0.46100000000000002</v>
      </c>
      <c r="O3013">
        <v>75</v>
      </c>
      <c r="P3013" s="1">
        <v>0.371</v>
      </c>
      <c r="Q3013" s="1">
        <v>0.878</v>
      </c>
      <c r="R3013">
        <v>632</v>
      </c>
      <c r="S3013">
        <v>72</v>
      </c>
      <c r="T3013">
        <v>177</v>
      </c>
      <c r="U3013">
        <v>140</v>
      </c>
      <c r="V3013">
        <v>30</v>
      </c>
      <c r="W3013">
        <v>28</v>
      </c>
      <c r="X3013">
        <v>64</v>
      </c>
      <c r="Y3013">
        <v>2.19</v>
      </c>
    </row>
    <row r="3014" spans="1:25" x14ac:dyDescent="0.25">
      <c r="A3014">
        <v>2025</v>
      </c>
      <c r="B3014" t="s">
        <v>57</v>
      </c>
      <c r="C3014">
        <v>17</v>
      </c>
      <c r="D3014">
        <v>174</v>
      </c>
      <c r="E3014" t="s">
        <v>158</v>
      </c>
      <c r="F3014" t="s">
        <v>177</v>
      </c>
      <c r="G3014">
        <f t="shared" si="3031"/>
        <v>0</v>
      </c>
      <c r="H3014">
        <v>1</v>
      </c>
      <c r="I3014">
        <v>11</v>
      </c>
      <c r="J3014">
        <v>1</v>
      </c>
      <c r="K3014" s="6" t="str">
        <f t="shared" ref="K3014" si="3120">"vs "&amp;E3015</f>
        <v>vs Karafli Saita</v>
      </c>
      <c r="L3014" s="6" t="str">
        <f t="shared" ref="L3014" si="3121">"vs "&amp;F3015</f>
        <v>vs Tassos</v>
      </c>
      <c r="M3014">
        <v>242</v>
      </c>
      <c r="N3014" s="1">
        <v>0.42799999999999999</v>
      </c>
      <c r="O3014">
        <v>64</v>
      </c>
      <c r="P3014" s="1">
        <v>0.309</v>
      </c>
      <c r="Q3014" s="1">
        <v>0.73</v>
      </c>
      <c r="R3014">
        <v>702</v>
      </c>
      <c r="S3014">
        <v>43</v>
      </c>
      <c r="T3014">
        <v>194</v>
      </c>
      <c r="U3014">
        <v>141</v>
      </c>
      <c r="V3014">
        <v>35</v>
      </c>
      <c r="W3014">
        <v>28</v>
      </c>
      <c r="X3014">
        <v>81</v>
      </c>
      <c r="Y3014">
        <v>1.74</v>
      </c>
    </row>
    <row r="3015" spans="1:25" x14ac:dyDescent="0.25">
      <c r="A3015">
        <v>2025</v>
      </c>
      <c r="B3015" t="s">
        <v>57</v>
      </c>
      <c r="C3015">
        <v>17</v>
      </c>
      <c r="D3015">
        <v>174</v>
      </c>
      <c r="E3015" t="s">
        <v>186</v>
      </c>
      <c r="F3015" t="s">
        <v>103</v>
      </c>
      <c r="G3015">
        <f t="shared" si="3031"/>
        <v>1</v>
      </c>
      <c r="H3015">
        <v>11</v>
      </c>
      <c r="I3015">
        <v>1</v>
      </c>
      <c r="J3015">
        <v>1</v>
      </c>
      <c r="K3015" s="6" t="str">
        <f t="shared" ref="K3015" si="3122">"vs "&amp;E3014</f>
        <v>vs LRBP PR3DATORS</v>
      </c>
      <c r="L3015" s="6" t="str">
        <f t="shared" ref="L3015" si="3123">"vs "&amp;F3014</f>
        <v>vs Lafa</v>
      </c>
      <c r="M3015">
        <v>275</v>
      </c>
      <c r="N3015" s="1">
        <v>0.52400000000000002</v>
      </c>
      <c r="O3015">
        <v>84</v>
      </c>
      <c r="P3015" s="1">
        <v>0.42</v>
      </c>
      <c r="Q3015" s="1">
        <v>0.82899999999999996</v>
      </c>
      <c r="R3015">
        <v>736</v>
      </c>
      <c r="S3015">
        <v>51</v>
      </c>
      <c r="T3015">
        <v>164</v>
      </c>
      <c r="U3015">
        <v>144</v>
      </c>
      <c r="V3015">
        <v>44</v>
      </c>
      <c r="W3015">
        <v>28</v>
      </c>
      <c r="X3015">
        <v>66</v>
      </c>
      <c r="Y3015">
        <v>2.1800000000000002</v>
      </c>
    </row>
    <row r="3016" spans="1:25" x14ac:dyDescent="0.25">
      <c r="A3016">
        <v>2025</v>
      </c>
      <c r="B3016" t="s">
        <v>57</v>
      </c>
      <c r="C3016">
        <v>17</v>
      </c>
      <c r="D3016">
        <v>175</v>
      </c>
      <c r="E3016" t="s">
        <v>26</v>
      </c>
      <c r="F3016" t="s">
        <v>118</v>
      </c>
      <c r="G3016">
        <f t="shared" si="3031"/>
        <v>1</v>
      </c>
      <c r="H3016">
        <v>12</v>
      </c>
      <c r="I3016">
        <v>1</v>
      </c>
      <c r="J3016">
        <v>0</v>
      </c>
      <c r="K3016" s="6" t="str">
        <f t="shared" ref="K3016" si="3124">"vs "&amp;E3017</f>
        <v>vs Heraklion Snakes</v>
      </c>
      <c r="L3016" s="6" t="str">
        <f t="shared" ref="L3016" si="3125">"vs "&amp;F3017</f>
        <v>vs Dimitris</v>
      </c>
      <c r="M3016">
        <v>231</v>
      </c>
      <c r="N3016" s="1">
        <v>0.45400000000000001</v>
      </c>
      <c r="O3016">
        <v>63</v>
      </c>
      <c r="P3016" s="1">
        <v>0.309</v>
      </c>
      <c r="Q3016" s="1">
        <v>0.84799999999999998</v>
      </c>
      <c r="R3016">
        <v>620</v>
      </c>
      <c r="S3016">
        <v>57</v>
      </c>
      <c r="T3016">
        <v>195</v>
      </c>
      <c r="U3016">
        <v>121</v>
      </c>
      <c r="V3016">
        <v>44</v>
      </c>
      <c r="W3016">
        <v>25</v>
      </c>
      <c r="X3016">
        <v>58</v>
      </c>
      <c r="Y3016">
        <v>2.09</v>
      </c>
    </row>
    <row r="3017" spans="1:25" x14ac:dyDescent="0.25">
      <c r="A3017">
        <v>2025</v>
      </c>
      <c r="B3017" t="s">
        <v>57</v>
      </c>
      <c r="C3017">
        <v>17</v>
      </c>
      <c r="D3017">
        <v>175</v>
      </c>
      <c r="E3017" t="s">
        <v>184</v>
      </c>
      <c r="F3017" t="s">
        <v>188</v>
      </c>
      <c r="G3017">
        <f t="shared" si="3031"/>
        <v>0</v>
      </c>
      <c r="H3017">
        <v>1</v>
      </c>
      <c r="I3017">
        <v>12</v>
      </c>
      <c r="J3017">
        <v>0</v>
      </c>
      <c r="K3017" s="6" t="str">
        <f t="shared" ref="K3017" si="3126">"vs "&amp;E3016</f>
        <v>vs Kourayo Vallecano</v>
      </c>
      <c r="L3017" s="6" t="str">
        <f t="shared" ref="L3017" si="3127">"vs "&amp;F3016</f>
        <v>vs Ziogas/Christof</v>
      </c>
      <c r="M3017">
        <v>163</v>
      </c>
      <c r="N3017" s="1">
        <v>0.44800000000000001</v>
      </c>
      <c r="O3017">
        <v>45</v>
      </c>
      <c r="P3017" s="1">
        <v>0.29199999999999998</v>
      </c>
      <c r="Q3017" s="1">
        <v>0.77800000000000002</v>
      </c>
      <c r="R3017">
        <v>448</v>
      </c>
      <c r="S3017">
        <v>42</v>
      </c>
      <c r="T3017">
        <v>130</v>
      </c>
      <c r="U3017">
        <v>90</v>
      </c>
      <c r="V3017">
        <v>29</v>
      </c>
      <c r="W3017">
        <v>19</v>
      </c>
      <c r="X3017">
        <v>55</v>
      </c>
      <c r="Y3017">
        <v>1.64</v>
      </c>
    </row>
    <row r="3018" spans="1:25" x14ac:dyDescent="0.25">
      <c r="A3018">
        <v>2025</v>
      </c>
      <c r="B3018" t="s">
        <v>57</v>
      </c>
      <c r="C3018">
        <v>17</v>
      </c>
      <c r="D3018">
        <v>176</v>
      </c>
      <c r="E3018" t="s">
        <v>99</v>
      </c>
      <c r="F3018" t="s">
        <v>45</v>
      </c>
      <c r="G3018">
        <f t="shared" si="3031"/>
        <v>0</v>
      </c>
      <c r="H3018">
        <v>5</v>
      </c>
      <c r="I3018">
        <v>7</v>
      </c>
      <c r="J3018">
        <v>1</v>
      </c>
      <c r="K3018" s="6" t="str">
        <f t="shared" ref="K3018" si="3128">"vs "&amp;E3019</f>
        <v>vs Salonika Devils</v>
      </c>
      <c r="L3018" s="6" t="str">
        <f t="shared" ref="L3018" si="3129">"vs "&amp;F3019</f>
        <v>vs Fountos</v>
      </c>
      <c r="M3018">
        <v>185</v>
      </c>
      <c r="N3018" s="1">
        <v>0.50700000000000001</v>
      </c>
      <c r="O3018">
        <v>41</v>
      </c>
      <c r="P3018" s="1">
        <v>0.32</v>
      </c>
      <c r="Q3018" s="1">
        <v>0.78600000000000003</v>
      </c>
      <c r="R3018">
        <v>488</v>
      </c>
      <c r="S3018">
        <v>46</v>
      </c>
      <c r="T3018">
        <v>138</v>
      </c>
      <c r="U3018">
        <v>125</v>
      </c>
      <c r="V3018">
        <v>29</v>
      </c>
      <c r="W3018">
        <v>21</v>
      </c>
      <c r="X3018">
        <v>60</v>
      </c>
      <c r="Y3018">
        <v>2.08</v>
      </c>
    </row>
    <row r="3019" spans="1:25" x14ac:dyDescent="0.25">
      <c r="A3019">
        <v>2025</v>
      </c>
      <c r="B3019" t="s">
        <v>57</v>
      </c>
      <c r="C3019">
        <v>17</v>
      </c>
      <c r="D3019">
        <v>176</v>
      </c>
      <c r="E3019" t="s">
        <v>15</v>
      </c>
      <c r="F3019" t="s">
        <v>48</v>
      </c>
      <c r="G3019">
        <f t="shared" si="3031"/>
        <v>1</v>
      </c>
      <c r="H3019">
        <v>7</v>
      </c>
      <c r="I3019">
        <v>5</v>
      </c>
      <c r="J3019">
        <v>1</v>
      </c>
      <c r="K3019" s="6" t="str">
        <f t="shared" ref="K3019" si="3130">"vs "&amp;E3018</f>
        <v>vs Tsarlatans</v>
      </c>
      <c r="L3019" s="6" t="str">
        <f t="shared" ref="L3019" si="3131">"vs "&amp;F3018</f>
        <v>vs Tzokos</v>
      </c>
      <c r="M3019">
        <v>236</v>
      </c>
      <c r="N3019" s="1">
        <v>0.47899999999999998</v>
      </c>
      <c r="O3019">
        <v>72</v>
      </c>
      <c r="P3019" s="1">
        <v>0.34799999999999998</v>
      </c>
      <c r="Q3019" s="1">
        <v>0.72899999999999998</v>
      </c>
      <c r="R3019">
        <v>646</v>
      </c>
      <c r="S3019">
        <v>36</v>
      </c>
      <c r="T3019">
        <v>188</v>
      </c>
      <c r="U3019">
        <v>143</v>
      </c>
      <c r="V3019">
        <v>29</v>
      </c>
      <c r="W3019">
        <v>13</v>
      </c>
      <c r="X3019">
        <v>65</v>
      </c>
      <c r="Y3019">
        <v>2.2000000000000002</v>
      </c>
    </row>
    <row r="3020" spans="1:25" x14ac:dyDescent="0.25">
      <c r="A3020">
        <v>2025</v>
      </c>
      <c r="B3020" t="s">
        <v>57</v>
      </c>
      <c r="C3020">
        <v>17</v>
      </c>
      <c r="D3020">
        <v>177</v>
      </c>
      <c r="E3020" t="s">
        <v>98</v>
      </c>
      <c r="F3020" t="s">
        <v>41</v>
      </c>
      <c r="G3020">
        <f t="shared" si="3031"/>
        <v>0</v>
      </c>
      <c r="H3020">
        <v>3</v>
      </c>
      <c r="I3020">
        <v>10</v>
      </c>
      <c r="J3020">
        <v>0</v>
      </c>
      <c r="K3020" s="6" t="str">
        <f t="shared" ref="K3020" si="3132">"vs "&amp;E3021</f>
        <v>vs The Guns</v>
      </c>
      <c r="L3020" s="6" t="str">
        <f t="shared" ref="L3020" si="3133">"vs "&amp;F3021</f>
        <v>vs Vasilis</v>
      </c>
      <c r="M3020">
        <v>146</v>
      </c>
      <c r="N3020" s="1">
        <v>0.503</v>
      </c>
      <c r="O3020">
        <v>23</v>
      </c>
      <c r="P3020" s="1">
        <v>0.27700000000000002</v>
      </c>
      <c r="Q3020" s="1">
        <v>0.69799999999999995</v>
      </c>
      <c r="R3020">
        <v>352</v>
      </c>
      <c r="S3020">
        <v>81</v>
      </c>
      <c r="T3020">
        <v>177</v>
      </c>
      <c r="U3020">
        <v>86</v>
      </c>
      <c r="V3020">
        <v>27</v>
      </c>
      <c r="W3020">
        <v>12</v>
      </c>
      <c r="X3020">
        <v>56</v>
      </c>
      <c r="Y3020">
        <v>1.54</v>
      </c>
    </row>
    <row r="3021" spans="1:25" x14ac:dyDescent="0.25">
      <c r="A3021">
        <v>2025</v>
      </c>
      <c r="B3021" t="s">
        <v>57</v>
      </c>
      <c r="C3021">
        <v>17</v>
      </c>
      <c r="D3021">
        <v>177</v>
      </c>
      <c r="E3021" t="s">
        <v>33</v>
      </c>
      <c r="F3021" t="s">
        <v>42</v>
      </c>
      <c r="G3021">
        <f t="shared" si="3031"/>
        <v>1</v>
      </c>
      <c r="H3021">
        <v>10</v>
      </c>
      <c r="I3021">
        <v>3</v>
      </c>
      <c r="J3021">
        <v>0</v>
      </c>
      <c r="K3021" s="6" t="str">
        <f t="shared" ref="K3021" si="3134">"vs "&amp;E3020</f>
        <v>vs Xanthi Ducks 🦆</v>
      </c>
      <c r="L3021" s="6" t="str">
        <f t="shared" ref="L3021" si="3135">"vs "&amp;F3020</f>
        <v>vs Kotakis</v>
      </c>
      <c r="M3021">
        <v>263</v>
      </c>
      <c r="N3021" s="1">
        <v>0.439</v>
      </c>
      <c r="O3021">
        <v>72</v>
      </c>
      <c r="P3021" s="1">
        <v>0.29499999999999998</v>
      </c>
      <c r="Q3021" s="1">
        <v>0.873</v>
      </c>
      <c r="R3021">
        <v>749</v>
      </c>
      <c r="S3021">
        <v>35</v>
      </c>
      <c r="T3021">
        <v>178</v>
      </c>
      <c r="U3021">
        <v>214</v>
      </c>
      <c r="V3021">
        <v>63</v>
      </c>
      <c r="W3021">
        <v>22</v>
      </c>
      <c r="X3021">
        <v>101</v>
      </c>
      <c r="Y3021">
        <v>2.12</v>
      </c>
    </row>
    <row r="3022" spans="1:25" x14ac:dyDescent="0.25">
      <c r="A3022">
        <v>2025</v>
      </c>
      <c r="B3022" t="s">
        <v>57</v>
      </c>
      <c r="C3022">
        <v>17</v>
      </c>
      <c r="D3022">
        <v>178</v>
      </c>
      <c r="E3022" t="s">
        <v>154</v>
      </c>
      <c r="F3022" t="s">
        <v>155</v>
      </c>
      <c r="G3022">
        <f t="shared" si="3031"/>
        <v>0</v>
      </c>
      <c r="H3022">
        <v>5</v>
      </c>
      <c r="I3022">
        <v>8</v>
      </c>
      <c r="J3022">
        <v>0</v>
      </c>
      <c r="K3022" s="6" t="str">
        <f t="shared" ref="K3022" si="3136">"vs "&amp;E3023</f>
        <v>vs Samarina Dudenbros</v>
      </c>
      <c r="L3022" s="6" t="str">
        <f t="shared" ref="L3022" si="3137">"vs "&amp;F3023</f>
        <v>vs Sakellariou</v>
      </c>
      <c r="M3022">
        <v>178</v>
      </c>
      <c r="N3022" s="1">
        <v>0.53600000000000003</v>
      </c>
      <c r="O3022">
        <v>35</v>
      </c>
      <c r="P3022" s="1">
        <v>0.372</v>
      </c>
      <c r="Q3022" s="1">
        <v>0.68100000000000005</v>
      </c>
      <c r="R3022">
        <v>455</v>
      </c>
      <c r="S3022">
        <v>74</v>
      </c>
      <c r="T3022">
        <v>162</v>
      </c>
      <c r="U3022">
        <v>111</v>
      </c>
      <c r="V3022">
        <v>35</v>
      </c>
      <c r="W3022">
        <v>33</v>
      </c>
      <c r="X3022">
        <v>43</v>
      </c>
      <c r="Y3022">
        <v>2.58</v>
      </c>
    </row>
    <row r="3023" spans="1:25" x14ac:dyDescent="0.25">
      <c r="A3023">
        <v>2025</v>
      </c>
      <c r="B3023" t="s">
        <v>57</v>
      </c>
      <c r="C3023">
        <v>17</v>
      </c>
      <c r="D3023">
        <v>178</v>
      </c>
      <c r="E3023" t="s">
        <v>181</v>
      </c>
      <c r="F3023" t="s">
        <v>49</v>
      </c>
      <c r="G3023">
        <f t="shared" si="3031"/>
        <v>1</v>
      </c>
      <c r="H3023">
        <v>8</v>
      </c>
      <c r="I3023">
        <v>5</v>
      </c>
      <c r="J3023">
        <v>0</v>
      </c>
      <c r="K3023" s="6" t="str">
        <f t="shared" ref="K3023" si="3138">"vs "&amp;E3022</f>
        <v>vs The Bad Boys</v>
      </c>
      <c r="L3023" s="6" t="str">
        <f t="shared" ref="L3023" si="3139">"vs "&amp;F3022</f>
        <v>vs Arvanitis</v>
      </c>
      <c r="M3023">
        <v>309</v>
      </c>
      <c r="N3023" s="1">
        <v>0.498</v>
      </c>
      <c r="O3023">
        <v>122</v>
      </c>
      <c r="P3023" s="1">
        <v>0.41899999999999998</v>
      </c>
      <c r="Q3023" s="1">
        <v>0.81699999999999995</v>
      </c>
      <c r="R3023">
        <v>887</v>
      </c>
      <c r="S3023">
        <v>52</v>
      </c>
      <c r="T3023">
        <v>196</v>
      </c>
      <c r="U3023">
        <v>184</v>
      </c>
      <c r="V3023">
        <v>46</v>
      </c>
      <c r="W3023">
        <v>31</v>
      </c>
      <c r="X3023">
        <v>88</v>
      </c>
      <c r="Y3023">
        <v>2.09</v>
      </c>
    </row>
    <row r="3024" spans="1:25" x14ac:dyDescent="0.25">
      <c r="A3024">
        <v>2025</v>
      </c>
      <c r="B3024" t="s">
        <v>57</v>
      </c>
      <c r="C3024">
        <v>17</v>
      </c>
      <c r="D3024">
        <v>179</v>
      </c>
      <c r="E3024" t="s">
        <v>21</v>
      </c>
      <c r="F3024" t="s">
        <v>50</v>
      </c>
      <c r="G3024">
        <f t="shared" si="3031"/>
        <v>0</v>
      </c>
      <c r="H3024">
        <v>1</v>
      </c>
      <c r="I3024">
        <v>11</v>
      </c>
      <c r="J3024">
        <v>1</v>
      </c>
      <c r="K3024" s="6" t="str">
        <f t="shared" ref="K3024" si="3140">"vs "&amp;E3025</f>
        <v>vs purple fuzzy apache pirates</v>
      </c>
      <c r="L3024" s="6" t="str">
        <f t="shared" ref="L3024" si="3141">"vs "&amp;F3025</f>
        <v>vs pi/Sotiris</v>
      </c>
      <c r="M3024">
        <v>166</v>
      </c>
      <c r="N3024" s="1">
        <v>0.502</v>
      </c>
      <c r="O3024">
        <v>37</v>
      </c>
      <c r="P3024" s="1">
        <v>0.38500000000000001</v>
      </c>
      <c r="Q3024" s="1">
        <v>0.69</v>
      </c>
      <c r="R3024">
        <v>429</v>
      </c>
      <c r="S3024">
        <v>50</v>
      </c>
      <c r="T3024">
        <v>118</v>
      </c>
      <c r="U3024">
        <v>90</v>
      </c>
      <c r="V3024">
        <v>38</v>
      </c>
      <c r="W3024">
        <v>19</v>
      </c>
      <c r="X3024">
        <v>51</v>
      </c>
      <c r="Y3024">
        <v>1.76</v>
      </c>
    </row>
    <row r="3025" spans="1:25" x14ac:dyDescent="0.25">
      <c r="A3025">
        <v>2025</v>
      </c>
      <c r="B3025" t="s">
        <v>57</v>
      </c>
      <c r="C3025">
        <v>17</v>
      </c>
      <c r="D3025">
        <v>179</v>
      </c>
      <c r="E3025" t="s">
        <v>159</v>
      </c>
      <c r="F3025" t="s">
        <v>116</v>
      </c>
      <c r="G3025">
        <f t="shared" si="3031"/>
        <v>1</v>
      </c>
      <c r="H3025">
        <v>11</v>
      </c>
      <c r="I3025">
        <v>1</v>
      </c>
      <c r="J3025">
        <v>1</v>
      </c>
      <c r="K3025" s="6" t="str">
        <f t="shared" ref="K3025" si="3142">"vs "&amp;E3024</f>
        <v>vs st.Helens Eruptions</v>
      </c>
      <c r="L3025" s="6" t="str">
        <f t="shared" ref="L3025" si="3143">"vs "&amp;F3024</f>
        <v>vs Aris</v>
      </c>
      <c r="M3025">
        <v>255</v>
      </c>
      <c r="N3025" s="1">
        <v>0.50800000000000001</v>
      </c>
      <c r="O3025">
        <v>98</v>
      </c>
      <c r="P3025" s="1">
        <v>0.41</v>
      </c>
      <c r="Q3025" s="1">
        <v>0.84199999999999997</v>
      </c>
      <c r="R3025">
        <v>736</v>
      </c>
      <c r="S3025">
        <v>57</v>
      </c>
      <c r="T3025">
        <v>185</v>
      </c>
      <c r="U3025">
        <v>173</v>
      </c>
      <c r="V3025">
        <v>47</v>
      </c>
      <c r="W3025">
        <v>19</v>
      </c>
      <c r="X3025">
        <v>84</v>
      </c>
      <c r="Y3025">
        <v>2.06</v>
      </c>
    </row>
    <row r="3026" spans="1:25" x14ac:dyDescent="0.25">
      <c r="A3026">
        <v>2025</v>
      </c>
      <c r="B3026" t="s">
        <v>57</v>
      </c>
      <c r="C3026">
        <v>17</v>
      </c>
      <c r="D3026">
        <v>180</v>
      </c>
      <c r="E3026" t="s">
        <v>28</v>
      </c>
      <c r="F3026" t="s">
        <v>46</v>
      </c>
      <c r="G3026">
        <f t="shared" si="3031"/>
        <v>1</v>
      </c>
      <c r="H3026">
        <v>9</v>
      </c>
      <c r="I3026">
        <v>4</v>
      </c>
      <c r="J3026">
        <v>0</v>
      </c>
      <c r="K3026" s="6" t="str">
        <f t="shared" ref="K3026" si="3144">"vs "&amp;E3027</f>
        <v>vs Pachiana NinjaBees</v>
      </c>
      <c r="L3026" s="6" t="str">
        <f t="shared" ref="L3026" si="3145">"vs "&amp;F3027</f>
        <v>vs Spiridaus/Oladipas</v>
      </c>
      <c r="M3026">
        <v>193</v>
      </c>
      <c r="N3026" s="1">
        <v>0.433</v>
      </c>
      <c r="O3026">
        <v>82</v>
      </c>
      <c r="P3026" s="1">
        <v>0.35499999999999998</v>
      </c>
      <c r="Q3026" s="1">
        <v>0.83499999999999996</v>
      </c>
      <c r="R3026">
        <v>569</v>
      </c>
      <c r="S3026">
        <v>23</v>
      </c>
      <c r="T3026">
        <v>157</v>
      </c>
      <c r="U3026">
        <v>129</v>
      </c>
      <c r="V3026">
        <v>23</v>
      </c>
      <c r="W3026">
        <v>16</v>
      </c>
      <c r="X3026">
        <v>61</v>
      </c>
      <c r="Y3026">
        <v>2.11</v>
      </c>
    </row>
    <row r="3027" spans="1:25" x14ac:dyDescent="0.25">
      <c r="A3027">
        <v>2025</v>
      </c>
      <c r="B3027" t="s">
        <v>57</v>
      </c>
      <c r="C3027">
        <v>17</v>
      </c>
      <c r="D3027">
        <v>180</v>
      </c>
      <c r="E3027" t="s">
        <v>23</v>
      </c>
      <c r="F3027" t="s">
        <v>120</v>
      </c>
      <c r="G3027">
        <f t="shared" si="3031"/>
        <v>0</v>
      </c>
      <c r="H3027">
        <v>4</v>
      </c>
      <c r="I3027">
        <v>9</v>
      </c>
      <c r="J3027">
        <v>0</v>
      </c>
      <c r="K3027" s="6" t="str">
        <f t="shared" ref="K3027" si="3146">"vs "&amp;E3026</f>
        <v>vs Steven Adams' Moustache</v>
      </c>
      <c r="L3027" s="6" t="str">
        <f t="shared" ref="L3027" si="3147">"vs "&amp;F3026</f>
        <v>vs Johnny</v>
      </c>
      <c r="M3027">
        <v>176</v>
      </c>
      <c r="N3027" s="1">
        <v>0.42299999999999999</v>
      </c>
      <c r="O3027">
        <v>62</v>
      </c>
      <c r="P3027" s="1">
        <v>0.32800000000000001</v>
      </c>
      <c r="Q3027" s="1">
        <v>0.84499999999999997</v>
      </c>
      <c r="R3027">
        <v>485</v>
      </c>
      <c r="S3027">
        <v>38</v>
      </c>
      <c r="T3027">
        <v>142</v>
      </c>
      <c r="U3027">
        <v>103</v>
      </c>
      <c r="V3027">
        <v>33</v>
      </c>
      <c r="W3027">
        <v>23</v>
      </c>
      <c r="X3027">
        <v>64</v>
      </c>
      <c r="Y3027">
        <v>1.61</v>
      </c>
    </row>
    <row r="3028" spans="1:25" x14ac:dyDescent="0.25">
      <c r="A3028">
        <v>2025</v>
      </c>
      <c r="B3028" t="s">
        <v>57</v>
      </c>
      <c r="C3028">
        <v>18</v>
      </c>
      <c r="D3028">
        <v>181</v>
      </c>
      <c r="E3028" t="s">
        <v>96</v>
      </c>
      <c r="F3028" t="s">
        <v>102</v>
      </c>
      <c r="G3028">
        <f t="shared" si="3031"/>
        <v>0</v>
      </c>
      <c r="H3028">
        <v>1</v>
      </c>
      <c r="I3028">
        <v>12</v>
      </c>
      <c r="J3028">
        <v>0</v>
      </c>
      <c r="K3028" s="6" t="str">
        <f t="shared" ref="K3028" si="3148">"vs "&amp;E3029</f>
        <v>vs Guruuu 🐐🐐🐐</v>
      </c>
      <c r="L3028" s="6" t="str">
        <f t="shared" ref="L3028" si="3149">"vs "&amp;F3029</f>
        <v>vs Guru</v>
      </c>
      <c r="M3028">
        <v>139</v>
      </c>
      <c r="N3028" s="1">
        <v>0.45700000000000002</v>
      </c>
      <c r="O3028">
        <v>43</v>
      </c>
      <c r="P3028" s="1">
        <v>0.32800000000000001</v>
      </c>
      <c r="Q3028" s="1">
        <v>0.81699999999999995</v>
      </c>
      <c r="R3028">
        <v>379</v>
      </c>
      <c r="S3028">
        <v>38</v>
      </c>
      <c r="T3028">
        <v>93</v>
      </c>
      <c r="U3028">
        <v>91</v>
      </c>
      <c r="V3028">
        <v>16</v>
      </c>
      <c r="W3028">
        <v>10</v>
      </c>
      <c r="X3028">
        <v>56</v>
      </c>
      <c r="Y3028">
        <v>1.63</v>
      </c>
    </row>
    <row r="3029" spans="1:25" x14ac:dyDescent="0.25">
      <c r="A3029">
        <v>2025</v>
      </c>
      <c r="B3029" t="s">
        <v>57</v>
      </c>
      <c r="C3029">
        <v>18</v>
      </c>
      <c r="D3029">
        <v>181</v>
      </c>
      <c r="E3029" t="s">
        <v>93</v>
      </c>
      <c r="F3029" t="s">
        <v>189</v>
      </c>
      <c r="G3029">
        <f t="shared" si="3031"/>
        <v>1</v>
      </c>
      <c r="H3029">
        <v>12</v>
      </c>
      <c r="I3029">
        <v>1</v>
      </c>
      <c r="J3029">
        <v>0</v>
      </c>
      <c r="K3029" s="6" t="str">
        <f t="shared" ref="K3029" si="3150">"vs "&amp;E3028</f>
        <v>vs Knights of Ni</v>
      </c>
      <c r="L3029" s="6" t="str">
        <f t="shared" ref="L3029" si="3151">"vs "&amp;F3028</f>
        <v>vs Tolios</v>
      </c>
      <c r="M3029">
        <v>180</v>
      </c>
      <c r="N3029" s="1">
        <v>0.51</v>
      </c>
      <c r="O3029">
        <v>67</v>
      </c>
      <c r="P3029" s="1">
        <v>0.39200000000000002</v>
      </c>
      <c r="Q3029" s="1">
        <v>0.84399999999999997</v>
      </c>
      <c r="R3029">
        <v>492</v>
      </c>
      <c r="S3029">
        <v>41</v>
      </c>
      <c r="T3029">
        <v>126</v>
      </c>
      <c r="U3029">
        <v>127</v>
      </c>
      <c r="V3029">
        <v>36</v>
      </c>
      <c r="W3029">
        <v>15</v>
      </c>
      <c r="X3029">
        <v>58</v>
      </c>
      <c r="Y3029">
        <v>2.19</v>
      </c>
    </row>
    <row r="3030" spans="1:25" x14ac:dyDescent="0.25">
      <c r="A3030">
        <v>2025</v>
      </c>
      <c r="B3030" t="s">
        <v>57</v>
      </c>
      <c r="C3030">
        <v>18</v>
      </c>
      <c r="D3030">
        <v>182</v>
      </c>
      <c r="E3030" t="s">
        <v>16</v>
      </c>
      <c r="F3030" t="s">
        <v>51</v>
      </c>
      <c r="G3030">
        <f t="shared" si="3031"/>
        <v>1</v>
      </c>
      <c r="H3030">
        <v>8</v>
      </c>
      <c r="I3030">
        <v>5</v>
      </c>
      <c r="J3030">
        <v>0</v>
      </c>
      <c r="K3030" s="6" t="str">
        <f t="shared" ref="K3030" si="3152">"vs "&amp;E3031</f>
        <v>vs Baltimore Hercules</v>
      </c>
      <c r="L3030" s="6" t="str">
        <f t="shared" ref="L3030" si="3153">"vs "&amp;F3031</f>
        <v>vs Sarantos</v>
      </c>
      <c r="M3030">
        <v>182</v>
      </c>
      <c r="N3030" s="1">
        <v>0.49199999999999999</v>
      </c>
      <c r="O3030">
        <v>37</v>
      </c>
      <c r="P3030" s="1">
        <v>0.308</v>
      </c>
      <c r="Q3030" s="1">
        <v>0.85299999999999998</v>
      </c>
      <c r="R3030">
        <v>482</v>
      </c>
      <c r="S3030">
        <v>51</v>
      </c>
      <c r="T3030">
        <v>132</v>
      </c>
      <c r="U3030">
        <v>123</v>
      </c>
      <c r="V3030">
        <v>27</v>
      </c>
      <c r="W3030">
        <v>24</v>
      </c>
      <c r="X3030">
        <v>59</v>
      </c>
      <c r="Y3030">
        <v>2.08</v>
      </c>
    </row>
    <row r="3031" spans="1:25" x14ac:dyDescent="0.25">
      <c r="A3031">
        <v>2025</v>
      </c>
      <c r="B3031" t="s">
        <v>57</v>
      </c>
      <c r="C3031">
        <v>18</v>
      </c>
      <c r="D3031">
        <v>182</v>
      </c>
      <c r="E3031" t="s">
        <v>95</v>
      </c>
      <c r="F3031" t="s">
        <v>101</v>
      </c>
      <c r="G3031">
        <f t="shared" si="3031"/>
        <v>0</v>
      </c>
      <c r="H3031">
        <v>5</v>
      </c>
      <c r="I3031">
        <v>8</v>
      </c>
      <c r="J3031">
        <v>0</v>
      </c>
      <c r="K3031" s="6" t="str">
        <f t="shared" ref="K3031" si="3154">"vs "&amp;E3030</f>
        <v>vs The Bridgeburners</v>
      </c>
      <c r="L3031" s="6" t="str">
        <f t="shared" ref="L3031" si="3155">"vs "&amp;F3030</f>
        <v>vs Fanis</v>
      </c>
      <c r="M3031">
        <v>151</v>
      </c>
      <c r="N3031" s="1">
        <v>0.44700000000000001</v>
      </c>
      <c r="O3031">
        <v>49</v>
      </c>
      <c r="P3031" s="1">
        <v>0.33800000000000002</v>
      </c>
      <c r="Q3031" s="1">
        <v>0.78100000000000003</v>
      </c>
      <c r="R3031">
        <v>408</v>
      </c>
      <c r="S3031">
        <v>43</v>
      </c>
      <c r="T3031">
        <v>113</v>
      </c>
      <c r="U3031">
        <v>101</v>
      </c>
      <c r="V3031">
        <v>33</v>
      </c>
      <c r="W3031">
        <v>21</v>
      </c>
      <c r="X3031">
        <v>42</v>
      </c>
      <c r="Y3031">
        <v>2.4</v>
      </c>
    </row>
    <row r="3032" spans="1:25" x14ac:dyDescent="0.25">
      <c r="A3032">
        <v>2025</v>
      </c>
      <c r="B3032" t="s">
        <v>57</v>
      </c>
      <c r="C3032">
        <v>18</v>
      </c>
      <c r="D3032">
        <v>183</v>
      </c>
      <c r="E3032" t="s">
        <v>185</v>
      </c>
      <c r="F3032" t="s">
        <v>100</v>
      </c>
      <c r="G3032">
        <f t="shared" si="3031"/>
        <v>0</v>
      </c>
      <c r="H3032">
        <v>3</v>
      </c>
      <c r="I3032">
        <v>10</v>
      </c>
      <c r="J3032">
        <v>0</v>
      </c>
      <c r="K3032" s="6" t="str">
        <f t="shared" ref="K3032" si="3156">"vs "&amp;E3033</f>
        <v>vs LRBP PR3DATORS</v>
      </c>
      <c r="L3032" s="6" t="str">
        <f t="shared" ref="L3032" si="3157">"vs "&amp;F3033</f>
        <v>vs Lafa</v>
      </c>
      <c r="M3032">
        <v>174</v>
      </c>
      <c r="N3032" s="1">
        <v>0.46300000000000002</v>
      </c>
      <c r="O3032">
        <v>51</v>
      </c>
      <c r="P3032" s="1">
        <v>0.34</v>
      </c>
      <c r="Q3032" s="1">
        <v>0.76700000000000002</v>
      </c>
      <c r="R3032">
        <v>465</v>
      </c>
      <c r="S3032">
        <v>44</v>
      </c>
      <c r="T3032">
        <v>116</v>
      </c>
      <c r="U3032">
        <v>103</v>
      </c>
      <c r="V3032">
        <v>22</v>
      </c>
      <c r="W3032">
        <v>16</v>
      </c>
      <c r="X3032">
        <v>50</v>
      </c>
      <c r="Y3032">
        <v>2.06</v>
      </c>
    </row>
    <row r="3033" spans="1:25" x14ac:dyDescent="0.25">
      <c r="A3033">
        <v>2025</v>
      </c>
      <c r="B3033" t="s">
        <v>57</v>
      </c>
      <c r="C3033">
        <v>18</v>
      </c>
      <c r="D3033">
        <v>183</v>
      </c>
      <c r="E3033" t="s">
        <v>158</v>
      </c>
      <c r="F3033" t="s">
        <v>177</v>
      </c>
      <c r="G3033">
        <f t="shared" si="3031"/>
        <v>1</v>
      </c>
      <c r="H3033">
        <v>10</v>
      </c>
      <c r="I3033">
        <v>3</v>
      </c>
      <c r="J3033">
        <v>0</v>
      </c>
      <c r="K3033" s="6" t="str">
        <f t="shared" ref="K3033" si="3158">"vs "&amp;E3032</f>
        <v>vs Paralouistas</v>
      </c>
      <c r="L3033" s="6" t="str">
        <f t="shared" ref="L3033" si="3159">"vs "&amp;F3032</f>
        <v>vs Panos</v>
      </c>
      <c r="M3033">
        <v>226</v>
      </c>
      <c r="N3033" s="1">
        <v>0.47199999999999998</v>
      </c>
      <c r="O3033">
        <v>72</v>
      </c>
      <c r="P3033" s="1">
        <v>0.36399999999999999</v>
      </c>
      <c r="Q3033" s="1">
        <v>0.745</v>
      </c>
      <c r="R3033">
        <v>679</v>
      </c>
      <c r="S3033">
        <v>51</v>
      </c>
      <c r="T3033">
        <v>163</v>
      </c>
      <c r="U3033">
        <v>123</v>
      </c>
      <c r="V3033">
        <v>42</v>
      </c>
      <c r="W3033">
        <v>25</v>
      </c>
      <c r="X3033">
        <v>79</v>
      </c>
      <c r="Y3033">
        <v>1.56</v>
      </c>
    </row>
    <row r="3034" spans="1:25" x14ac:dyDescent="0.25">
      <c r="A3034">
        <v>2025</v>
      </c>
      <c r="B3034" t="s">
        <v>57</v>
      </c>
      <c r="C3034">
        <v>18</v>
      </c>
      <c r="D3034">
        <v>184</v>
      </c>
      <c r="E3034" t="s">
        <v>94</v>
      </c>
      <c r="F3034" t="s">
        <v>40</v>
      </c>
      <c r="G3034">
        <f t="shared" ref="G3034:G3097" si="3160">IF(H3034+0.5*J3034&gt;6.5,1,0)</f>
        <v>1</v>
      </c>
      <c r="H3034">
        <v>9</v>
      </c>
      <c r="I3034">
        <v>3</v>
      </c>
      <c r="J3034">
        <v>1</v>
      </c>
      <c r="K3034" s="6" t="str">
        <f t="shared" ref="K3034" si="3161">"vs "&amp;E3035</f>
        <v>vs Kourayo Vallecano</v>
      </c>
      <c r="L3034" s="6" t="str">
        <f t="shared" ref="L3034" si="3162">"vs "&amp;F3035</f>
        <v>vs Ziogas/Christof</v>
      </c>
      <c r="M3034">
        <v>156</v>
      </c>
      <c r="N3034" s="1">
        <v>0.45</v>
      </c>
      <c r="O3034">
        <v>59</v>
      </c>
      <c r="P3034" s="1">
        <v>0.32800000000000001</v>
      </c>
      <c r="Q3034" s="1">
        <v>0.84499999999999997</v>
      </c>
      <c r="R3034">
        <v>453</v>
      </c>
      <c r="S3034">
        <v>30</v>
      </c>
      <c r="T3034">
        <v>93</v>
      </c>
      <c r="U3034">
        <v>100</v>
      </c>
      <c r="V3034">
        <v>29</v>
      </c>
      <c r="W3034">
        <v>20</v>
      </c>
      <c r="X3034">
        <v>37</v>
      </c>
      <c r="Y3034">
        <v>2.7</v>
      </c>
    </row>
    <row r="3035" spans="1:25" x14ac:dyDescent="0.25">
      <c r="A3035">
        <v>2025</v>
      </c>
      <c r="B3035" t="s">
        <v>57</v>
      </c>
      <c r="C3035">
        <v>18</v>
      </c>
      <c r="D3035">
        <v>184</v>
      </c>
      <c r="E3035" t="s">
        <v>26</v>
      </c>
      <c r="F3035" t="s">
        <v>118</v>
      </c>
      <c r="G3035">
        <f t="shared" si="3160"/>
        <v>0</v>
      </c>
      <c r="H3035">
        <v>3</v>
      </c>
      <c r="I3035">
        <v>9</v>
      </c>
      <c r="J3035">
        <v>1</v>
      </c>
      <c r="K3035" s="6" t="str">
        <f t="shared" ref="K3035" si="3163">"vs "&amp;E3034</f>
        <v>vs Fighting Thaddeus</v>
      </c>
      <c r="L3035" s="6" t="str">
        <f t="shared" ref="L3035" si="3164">"vs "&amp;F3034</f>
        <v>vs Stavros</v>
      </c>
      <c r="M3035">
        <v>128</v>
      </c>
      <c r="N3035" s="1">
        <v>0.43099999999999999</v>
      </c>
      <c r="O3035">
        <v>33</v>
      </c>
      <c r="P3035" s="1">
        <v>0.28899999999999998</v>
      </c>
      <c r="Q3035" s="1">
        <v>0.70899999999999996</v>
      </c>
      <c r="R3035">
        <v>328</v>
      </c>
      <c r="S3035">
        <v>39</v>
      </c>
      <c r="T3035">
        <v>140</v>
      </c>
      <c r="U3035">
        <v>83</v>
      </c>
      <c r="V3035">
        <v>31</v>
      </c>
      <c r="W3035">
        <v>20</v>
      </c>
      <c r="X3035">
        <v>65</v>
      </c>
      <c r="Y3035">
        <v>1.28</v>
      </c>
    </row>
    <row r="3036" spans="1:25" x14ac:dyDescent="0.25">
      <c r="A3036">
        <v>2025</v>
      </c>
      <c r="B3036" t="s">
        <v>57</v>
      </c>
      <c r="C3036">
        <v>18</v>
      </c>
      <c r="D3036">
        <v>185</v>
      </c>
      <c r="E3036" t="s">
        <v>186</v>
      </c>
      <c r="F3036" t="s">
        <v>103</v>
      </c>
      <c r="G3036">
        <f t="shared" si="3160"/>
        <v>1</v>
      </c>
      <c r="H3036">
        <v>12</v>
      </c>
      <c r="I3036">
        <v>1</v>
      </c>
      <c r="J3036">
        <v>0</v>
      </c>
      <c r="K3036" s="6" t="str">
        <f t="shared" ref="K3036" si="3165">"vs "&amp;E3037</f>
        <v>vs Tsarlatans</v>
      </c>
      <c r="L3036" s="6" t="str">
        <f t="shared" ref="L3036" si="3166">"vs "&amp;F3037</f>
        <v>vs Tzokos</v>
      </c>
      <c r="M3036">
        <v>249</v>
      </c>
      <c r="N3036" s="1">
        <v>0.48299999999999998</v>
      </c>
      <c r="O3036">
        <v>75</v>
      </c>
      <c r="P3036" s="1">
        <v>0.39900000000000002</v>
      </c>
      <c r="Q3036" s="1">
        <v>0.879</v>
      </c>
      <c r="R3036">
        <v>675</v>
      </c>
      <c r="S3036">
        <v>42</v>
      </c>
      <c r="T3036">
        <v>131</v>
      </c>
      <c r="U3036">
        <v>166</v>
      </c>
      <c r="V3036">
        <v>45</v>
      </c>
      <c r="W3036">
        <v>23</v>
      </c>
      <c r="X3036">
        <v>60</v>
      </c>
      <c r="Y3036">
        <v>2.77</v>
      </c>
    </row>
    <row r="3037" spans="1:25" x14ac:dyDescent="0.25">
      <c r="A3037">
        <v>2025</v>
      </c>
      <c r="B3037" t="s">
        <v>57</v>
      </c>
      <c r="C3037">
        <v>18</v>
      </c>
      <c r="D3037">
        <v>185</v>
      </c>
      <c r="E3037" t="s">
        <v>99</v>
      </c>
      <c r="F3037" t="s">
        <v>45</v>
      </c>
      <c r="G3037">
        <f t="shared" si="3160"/>
        <v>0</v>
      </c>
      <c r="H3037">
        <v>1</v>
      </c>
      <c r="I3037">
        <v>12</v>
      </c>
      <c r="J3037">
        <v>0</v>
      </c>
      <c r="K3037" s="6" t="str">
        <f t="shared" ref="K3037" si="3167">"vs "&amp;E3036</f>
        <v>vs Karafli Saita</v>
      </c>
      <c r="L3037" s="6" t="str">
        <f t="shared" ref="L3037" si="3168">"vs "&amp;F3036</f>
        <v>vs Tassos</v>
      </c>
      <c r="M3037">
        <v>150</v>
      </c>
      <c r="N3037" s="1">
        <v>0.48399999999999999</v>
      </c>
      <c r="O3037">
        <v>45</v>
      </c>
      <c r="P3037" s="1">
        <v>0.36</v>
      </c>
      <c r="Q3037" s="1">
        <v>0.75</v>
      </c>
      <c r="R3037">
        <v>405</v>
      </c>
      <c r="S3037">
        <v>34</v>
      </c>
      <c r="T3037">
        <v>115</v>
      </c>
      <c r="U3037">
        <v>105</v>
      </c>
      <c r="V3037">
        <v>29</v>
      </c>
      <c r="W3037">
        <v>11</v>
      </c>
      <c r="X3037">
        <v>64</v>
      </c>
      <c r="Y3037">
        <v>1.64</v>
      </c>
    </row>
    <row r="3038" spans="1:25" x14ac:dyDescent="0.25">
      <c r="A3038">
        <v>2025</v>
      </c>
      <c r="B3038" t="s">
        <v>57</v>
      </c>
      <c r="C3038">
        <v>18</v>
      </c>
      <c r="D3038">
        <v>186</v>
      </c>
      <c r="E3038" t="s">
        <v>184</v>
      </c>
      <c r="F3038" t="s">
        <v>188</v>
      </c>
      <c r="G3038">
        <f t="shared" si="3160"/>
        <v>0</v>
      </c>
      <c r="H3038">
        <v>6</v>
      </c>
      <c r="I3038">
        <v>7</v>
      </c>
      <c r="J3038">
        <v>0</v>
      </c>
      <c r="K3038" s="6" t="str">
        <f t="shared" ref="K3038" si="3169">"vs "&amp;E3039</f>
        <v>vs Xanthi Ducks 🦆</v>
      </c>
      <c r="L3038" s="6" t="str">
        <f t="shared" ref="L3038" si="3170">"vs "&amp;F3039</f>
        <v>vs Kotakis</v>
      </c>
      <c r="M3038">
        <v>142</v>
      </c>
      <c r="N3038" s="1">
        <v>0.505</v>
      </c>
      <c r="O3038">
        <v>40</v>
      </c>
      <c r="P3038" s="1">
        <v>0.35399999999999998</v>
      </c>
      <c r="Q3038" s="1">
        <v>0.85699999999999998</v>
      </c>
      <c r="R3038">
        <v>372</v>
      </c>
      <c r="S3038">
        <v>38</v>
      </c>
      <c r="T3038">
        <v>113</v>
      </c>
      <c r="U3038">
        <v>49</v>
      </c>
      <c r="V3038">
        <v>30</v>
      </c>
      <c r="W3038">
        <v>14</v>
      </c>
      <c r="X3038">
        <v>50</v>
      </c>
      <c r="Y3038">
        <v>0.98</v>
      </c>
    </row>
    <row r="3039" spans="1:25" x14ac:dyDescent="0.25">
      <c r="A3039">
        <v>2025</v>
      </c>
      <c r="B3039" t="s">
        <v>57</v>
      </c>
      <c r="C3039">
        <v>18</v>
      </c>
      <c r="D3039">
        <v>186</v>
      </c>
      <c r="E3039" t="s">
        <v>98</v>
      </c>
      <c r="F3039" t="s">
        <v>41</v>
      </c>
      <c r="G3039">
        <f t="shared" si="3160"/>
        <v>1</v>
      </c>
      <c r="H3039">
        <v>7</v>
      </c>
      <c r="I3039">
        <v>6</v>
      </c>
      <c r="J3039">
        <v>0</v>
      </c>
      <c r="K3039" s="6" t="str">
        <f t="shared" ref="K3039" si="3171">"vs "&amp;E3038</f>
        <v>vs Heraklion Snakes</v>
      </c>
      <c r="L3039" s="6" t="str">
        <f t="shared" ref="L3039" si="3172">"vs "&amp;F3038</f>
        <v>vs Dimitris</v>
      </c>
      <c r="M3039">
        <v>139</v>
      </c>
      <c r="N3039" s="1">
        <v>0.47299999999999998</v>
      </c>
      <c r="O3039">
        <v>37</v>
      </c>
      <c r="P3039" s="1">
        <v>0.32500000000000001</v>
      </c>
      <c r="Q3039" s="1">
        <v>0.79400000000000004</v>
      </c>
      <c r="R3039">
        <v>365</v>
      </c>
      <c r="S3039">
        <v>56</v>
      </c>
      <c r="T3039">
        <v>122</v>
      </c>
      <c r="U3039">
        <v>105</v>
      </c>
      <c r="V3039">
        <v>34</v>
      </c>
      <c r="W3039">
        <v>15</v>
      </c>
      <c r="X3039">
        <v>43</v>
      </c>
      <c r="Y3039">
        <v>2.44</v>
      </c>
    </row>
    <row r="3040" spans="1:25" x14ac:dyDescent="0.25">
      <c r="A3040">
        <v>2025</v>
      </c>
      <c r="B3040" t="s">
        <v>57</v>
      </c>
      <c r="C3040">
        <v>18</v>
      </c>
      <c r="D3040">
        <v>187</v>
      </c>
      <c r="E3040" t="s">
        <v>15</v>
      </c>
      <c r="F3040" t="s">
        <v>48</v>
      </c>
      <c r="G3040">
        <f t="shared" si="3160"/>
        <v>1</v>
      </c>
      <c r="H3040">
        <v>8</v>
      </c>
      <c r="I3040">
        <v>5</v>
      </c>
      <c r="J3040">
        <v>0</v>
      </c>
      <c r="K3040" s="6" t="str">
        <f t="shared" ref="K3040" si="3173">"vs "&amp;E3041</f>
        <v>vs The Bad Boys</v>
      </c>
      <c r="L3040" s="6" t="str">
        <f t="shared" ref="L3040" si="3174">"vs "&amp;F3041</f>
        <v>vs Arvanitis</v>
      </c>
      <c r="M3040">
        <v>176</v>
      </c>
      <c r="N3040" s="1">
        <v>0.47799999999999998</v>
      </c>
      <c r="O3040">
        <v>51</v>
      </c>
      <c r="P3040" s="1">
        <v>0.39200000000000002</v>
      </c>
      <c r="Q3040" s="1">
        <v>0.72</v>
      </c>
      <c r="R3040">
        <v>462</v>
      </c>
      <c r="S3040">
        <v>33</v>
      </c>
      <c r="T3040">
        <v>152</v>
      </c>
      <c r="U3040">
        <v>101</v>
      </c>
      <c r="V3040">
        <v>20</v>
      </c>
      <c r="W3040">
        <v>21</v>
      </c>
      <c r="X3040">
        <v>57</v>
      </c>
      <c r="Y3040">
        <v>1.77</v>
      </c>
    </row>
    <row r="3041" spans="1:25" x14ac:dyDescent="0.25">
      <c r="A3041">
        <v>2025</v>
      </c>
      <c r="B3041" t="s">
        <v>57</v>
      </c>
      <c r="C3041">
        <v>18</v>
      </c>
      <c r="D3041">
        <v>187</v>
      </c>
      <c r="E3041" t="s">
        <v>154</v>
      </c>
      <c r="F3041" t="s">
        <v>155</v>
      </c>
      <c r="G3041">
        <f t="shared" si="3160"/>
        <v>0</v>
      </c>
      <c r="H3041">
        <v>5</v>
      </c>
      <c r="I3041">
        <v>8</v>
      </c>
      <c r="J3041">
        <v>0</v>
      </c>
      <c r="K3041" s="6" t="str">
        <f t="shared" ref="K3041" si="3175">"vs "&amp;E3040</f>
        <v>vs Salonika Devils</v>
      </c>
      <c r="L3041" s="6" t="str">
        <f t="shared" ref="L3041" si="3176">"vs "&amp;F3040</f>
        <v>vs Fountos</v>
      </c>
      <c r="M3041">
        <v>152</v>
      </c>
      <c r="N3041" s="1">
        <v>0.52100000000000002</v>
      </c>
      <c r="O3041">
        <v>31</v>
      </c>
      <c r="P3041" s="1">
        <v>0.36899999999999999</v>
      </c>
      <c r="Q3041" s="1">
        <v>0.77800000000000002</v>
      </c>
      <c r="R3041">
        <v>391</v>
      </c>
      <c r="S3041">
        <v>47</v>
      </c>
      <c r="T3041">
        <v>146</v>
      </c>
      <c r="U3041">
        <v>80</v>
      </c>
      <c r="V3041">
        <v>26</v>
      </c>
      <c r="W3041">
        <v>15</v>
      </c>
      <c r="X3041">
        <v>49</v>
      </c>
      <c r="Y3041">
        <v>1.63</v>
      </c>
    </row>
    <row r="3042" spans="1:25" x14ac:dyDescent="0.25">
      <c r="A3042">
        <v>2025</v>
      </c>
      <c r="B3042" t="s">
        <v>57</v>
      </c>
      <c r="C3042">
        <v>18</v>
      </c>
      <c r="D3042">
        <v>188</v>
      </c>
      <c r="E3042" t="s">
        <v>33</v>
      </c>
      <c r="F3042" t="s">
        <v>42</v>
      </c>
      <c r="G3042">
        <f t="shared" si="3160"/>
        <v>1</v>
      </c>
      <c r="H3042">
        <v>9</v>
      </c>
      <c r="I3042">
        <v>3</v>
      </c>
      <c r="J3042">
        <v>1</v>
      </c>
      <c r="K3042" s="6" t="str">
        <f t="shared" ref="K3042" si="3177">"vs "&amp;E3043</f>
        <v>vs st.Helens Eruptions</v>
      </c>
      <c r="L3042" s="6" t="str">
        <f t="shared" ref="L3042" si="3178">"vs "&amp;F3043</f>
        <v>vs Aris</v>
      </c>
      <c r="M3042">
        <v>238</v>
      </c>
      <c r="N3042" s="1">
        <v>0.46899999999999997</v>
      </c>
      <c r="O3042">
        <v>90</v>
      </c>
      <c r="P3042" s="1">
        <v>0.40899999999999997</v>
      </c>
      <c r="Q3042" s="1">
        <v>0.81399999999999995</v>
      </c>
      <c r="R3042">
        <v>680</v>
      </c>
      <c r="S3042">
        <v>35</v>
      </c>
      <c r="T3042">
        <v>136</v>
      </c>
      <c r="U3042">
        <v>148</v>
      </c>
      <c r="V3042">
        <v>44</v>
      </c>
      <c r="W3042">
        <v>18</v>
      </c>
      <c r="X3042">
        <v>76</v>
      </c>
      <c r="Y3042">
        <v>1.95</v>
      </c>
    </row>
    <row r="3043" spans="1:25" x14ac:dyDescent="0.25">
      <c r="A3043">
        <v>2025</v>
      </c>
      <c r="B3043" t="s">
        <v>57</v>
      </c>
      <c r="C3043">
        <v>18</v>
      </c>
      <c r="D3043">
        <v>188</v>
      </c>
      <c r="E3043" t="s">
        <v>21</v>
      </c>
      <c r="F3043" t="s">
        <v>50</v>
      </c>
      <c r="G3043">
        <f t="shared" si="3160"/>
        <v>0</v>
      </c>
      <c r="H3043">
        <v>3</v>
      </c>
      <c r="I3043">
        <v>9</v>
      </c>
      <c r="J3043">
        <v>1</v>
      </c>
      <c r="K3043" s="6" t="str">
        <f t="shared" ref="K3043" si="3179">"vs "&amp;E3042</f>
        <v>vs The Guns</v>
      </c>
      <c r="L3043" s="6" t="str">
        <f t="shared" ref="L3043" si="3180">"vs "&amp;F3042</f>
        <v>vs Vasilis</v>
      </c>
      <c r="M3043">
        <v>133</v>
      </c>
      <c r="N3043" s="1">
        <v>0.52</v>
      </c>
      <c r="O3043">
        <v>34</v>
      </c>
      <c r="P3043" s="1">
        <v>0.39500000000000002</v>
      </c>
      <c r="Q3043" s="1">
        <v>0.74199999999999999</v>
      </c>
      <c r="R3043">
        <v>346</v>
      </c>
      <c r="S3043">
        <v>45</v>
      </c>
      <c r="T3043">
        <v>86</v>
      </c>
      <c r="U3043">
        <v>94</v>
      </c>
      <c r="V3043">
        <v>41</v>
      </c>
      <c r="W3043">
        <v>18</v>
      </c>
      <c r="X3043">
        <v>49</v>
      </c>
      <c r="Y3043">
        <v>1.92</v>
      </c>
    </row>
    <row r="3044" spans="1:25" x14ac:dyDescent="0.25">
      <c r="A3044">
        <v>2025</v>
      </c>
      <c r="B3044" t="s">
        <v>57</v>
      </c>
      <c r="C3044">
        <v>18</v>
      </c>
      <c r="D3044">
        <v>189</v>
      </c>
      <c r="E3044" t="s">
        <v>181</v>
      </c>
      <c r="F3044" t="s">
        <v>49</v>
      </c>
      <c r="G3044">
        <f t="shared" si="3160"/>
        <v>1</v>
      </c>
      <c r="H3044">
        <v>10</v>
      </c>
      <c r="I3044">
        <v>3</v>
      </c>
      <c r="J3044">
        <v>0</v>
      </c>
      <c r="K3044" s="6" t="str">
        <f t="shared" ref="K3044" si="3181">"vs "&amp;E3045</f>
        <v>vs Steven Adams' Moustache</v>
      </c>
      <c r="L3044" s="6" t="str">
        <f t="shared" ref="L3044" si="3182">"vs "&amp;F3045</f>
        <v>vs Johnny</v>
      </c>
      <c r="M3044">
        <v>203</v>
      </c>
      <c r="N3044" s="1">
        <v>0.46100000000000002</v>
      </c>
      <c r="O3044">
        <v>78</v>
      </c>
      <c r="P3044" s="1">
        <v>0.40600000000000003</v>
      </c>
      <c r="Q3044" s="1">
        <v>0.83499999999999996</v>
      </c>
      <c r="R3044">
        <v>575</v>
      </c>
      <c r="S3044">
        <v>40</v>
      </c>
      <c r="T3044">
        <v>118</v>
      </c>
      <c r="U3044">
        <v>131</v>
      </c>
      <c r="V3044">
        <v>43</v>
      </c>
      <c r="W3044">
        <v>8</v>
      </c>
      <c r="X3044">
        <v>75</v>
      </c>
      <c r="Y3044">
        <v>1.75</v>
      </c>
    </row>
    <row r="3045" spans="1:25" x14ac:dyDescent="0.25">
      <c r="A3045">
        <v>2025</v>
      </c>
      <c r="B3045" t="s">
        <v>57</v>
      </c>
      <c r="C3045">
        <v>18</v>
      </c>
      <c r="D3045">
        <v>189</v>
      </c>
      <c r="E3045" t="s">
        <v>28</v>
      </c>
      <c r="F3045" t="s">
        <v>46</v>
      </c>
      <c r="G3045">
        <f t="shared" si="3160"/>
        <v>0</v>
      </c>
      <c r="H3045">
        <v>3</v>
      </c>
      <c r="I3045">
        <v>10</v>
      </c>
      <c r="J3045">
        <v>0</v>
      </c>
      <c r="K3045" s="6" t="str">
        <f t="shared" ref="K3045" si="3183">"vs "&amp;E3044</f>
        <v>vs Samarina Dudenbros</v>
      </c>
      <c r="L3045" s="6" t="str">
        <f t="shared" ref="L3045" si="3184">"vs "&amp;F3044</f>
        <v>vs Sakellariou</v>
      </c>
      <c r="M3045">
        <v>147</v>
      </c>
      <c r="N3045" s="1">
        <v>0.42599999999999999</v>
      </c>
      <c r="O3045">
        <v>52</v>
      </c>
      <c r="P3045" s="1">
        <v>0.317</v>
      </c>
      <c r="Q3045" s="1">
        <v>0.83099999999999996</v>
      </c>
      <c r="R3045">
        <v>420</v>
      </c>
      <c r="S3045">
        <v>32</v>
      </c>
      <c r="T3045">
        <v>130</v>
      </c>
      <c r="U3045">
        <v>110</v>
      </c>
      <c r="V3045">
        <v>17</v>
      </c>
      <c r="W3045">
        <v>15</v>
      </c>
      <c r="X3045">
        <v>71</v>
      </c>
      <c r="Y3045">
        <v>1.55</v>
      </c>
    </row>
    <row r="3046" spans="1:25" x14ac:dyDescent="0.25">
      <c r="A3046">
        <v>2025</v>
      </c>
      <c r="B3046" t="s">
        <v>57</v>
      </c>
      <c r="C3046">
        <v>18</v>
      </c>
      <c r="D3046">
        <v>190</v>
      </c>
      <c r="E3046" t="s">
        <v>159</v>
      </c>
      <c r="F3046" t="s">
        <v>116</v>
      </c>
      <c r="G3046">
        <f t="shared" si="3160"/>
        <v>1</v>
      </c>
      <c r="H3046">
        <v>12</v>
      </c>
      <c r="I3046">
        <v>1</v>
      </c>
      <c r="J3046">
        <v>0</v>
      </c>
      <c r="K3046" s="6" t="str">
        <f t="shared" ref="K3046" si="3185">"vs "&amp;E3047</f>
        <v>vs Pachiana NinjaBees</v>
      </c>
      <c r="L3046" s="6" t="str">
        <f t="shared" ref="L3046" si="3186">"vs "&amp;F3047</f>
        <v>vs Spiridaus/Oladipas</v>
      </c>
      <c r="M3046">
        <v>228</v>
      </c>
      <c r="N3046" s="1">
        <v>0.49399999999999999</v>
      </c>
      <c r="O3046">
        <v>79</v>
      </c>
      <c r="P3046" s="1">
        <v>0.40500000000000003</v>
      </c>
      <c r="Q3046" s="1">
        <v>0.80900000000000005</v>
      </c>
      <c r="R3046">
        <v>641</v>
      </c>
      <c r="S3046">
        <v>53</v>
      </c>
      <c r="T3046">
        <v>190</v>
      </c>
      <c r="U3046">
        <v>188</v>
      </c>
      <c r="V3046">
        <v>35</v>
      </c>
      <c r="W3046">
        <v>17</v>
      </c>
      <c r="X3046">
        <v>74</v>
      </c>
      <c r="Y3046">
        <v>2.54</v>
      </c>
    </row>
    <row r="3047" spans="1:25" x14ac:dyDescent="0.25">
      <c r="A3047">
        <v>2025</v>
      </c>
      <c r="B3047" t="s">
        <v>57</v>
      </c>
      <c r="C3047">
        <v>18</v>
      </c>
      <c r="D3047">
        <v>190</v>
      </c>
      <c r="E3047" t="s">
        <v>23</v>
      </c>
      <c r="F3047" t="s">
        <v>120</v>
      </c>
      <c r="G3047">
        <f t="shared" si="3160"/>
        <v>0</v>
      </c>
      <c r="H3047">
        <v>1</v>
      </c>
      <c r="I3047">
        <v>12</v>
      </c>
      <c r="J3047">
        <v>0</v>
      </c>
      <c r="K3047" s="6" t="str">
        <f t="shared" ref="K3047" si="3187">"vs "&amp;E3046</f>
        <v>vs purple fuzzy apache pirates</v>
      </c>
      <c r="L3047" s="6" t="str">
        <f t="shared" ref="L3047" si="3188">"vs "&amp;F3046</f>
        <v>vs pi/Sotiris</v>
      </c>
      <c r="M3047">
        <v>149</v>
      </c>
      <c r="N3047" s="1">
        <v>0.44500000000000001</v>
      </c>
      <c r="O3047">
        <v>53</v>
      </c>
      <c r="P3047" s="1">
        <v>0.34200000000000003</v>
      </c>
      <c r="Q3047" s="1">
        <v>0.78</v>
      </c>
      <c r="R3047">
        <v>390</v>
      </c>
      <c r="S3047">
        <v>35</v>
      </c>
      <c r="T3047">
        <v>101</v>
      </c>
      <c r="U3047">
        <v>101</v>
      </c>
      <c r="V3047">
        <v>22</v>
      </c>
      <c r="W3047">
        <v>11</v>
      </c>
      <c r="X3047">
        <v>49</v>
      </c>
      <c r="Y3047">
        <v>2.06</v>
      </c>
    </row>
    <row r="3048" spans="1:25" x14ac:dyDescent="0.25">
      <c r="A3048">
        <v>2025</v>
      </c>
      <c r="B3048" t="s">
        <v>142</v>
      </c>
      <c r="C3048" t="s">
        <v>148</v>
      </c>
      <c r="D3048">
        <v>191</v>
      </c>
      <c r="E3048" t="s">
        <v>158</v>
      </c>
      <c r="F3048" t="s">
        <v>177</v>
      </c>
      <c r="G3048">
        <f t="shared" si="3160"/>
        <v>0</v>
      </c>
      <c r="H3048">
        <v>4</v>
      </c>
      <c r="I3048">
        <v>9</v>
      </c>
      <c r="J3048">
        <v>0</v>
      </c>
      <c r="K3048" s="6" t="str">
        <f t="shared" ref="K3048" si="3189">"vs "&amp;E3049</f>
        <v>vs Fighting Thaddeus</v>
      </c>
      <c r="L3048" s="6" t="str">
        <f t="shared" ref="L3048" si="3190">"vs "&amp;F3049</f>
        <v>vs Stavros</v>
      </c>
      <c r="M3048">
        <v>197</v>
      </c>
      <c r="N3048" s="1">
        <v>0.48599999999999999</v>
      </c>
      <c r="O3048">
        <v>53</v>
      </c>
      <c r="P3048" s="1">
        <v>0.34599999999999997</v>
      </c>
      <c r="Q3048" s="1">
        <v>0.76600000000000001</v>
      </c>
      <c r="R3048">
        <v>555</v>
      </c>
      <c r="S3048">
        <v>35</v>
      </c>
      <c r="T3048">
        <v>111</v>
      </c>
      <c r="U3048">
        <v>144</v>
      </c>
      <c r="V3048">
        <v>31</v>
      </c>
      <c r="W3048">
        <v>18</v>
      </c>
      <c r="X3048">
        <v>68</v>
      </c>
      <c r="Y3048">
        <v>2.12</v>
      </c>
    </row>
    <row r="3049" spans="1:25" x14ac:dyDescent="0.25">
      <c r="A3049">
        <v>2025</v>
      </c>
      <c r="B3049" t="s">
        <v>142</v>
      </c>
      <c r="C3049" t="s">
        <v>148</v>
      </c>
      <c r="D3049">
        <v>191</v>
      </c>
      <c r="E3049" t="s">
        <v>94</v>
      </c>
      <c r="F3049" t="s">
        <v>40</v>
      </c>
      <c r="G3049">
        <f t="shared" si="3160"/>
        <v>1</v>
      </c>
      <c r="H3049">
        <v>9</v>
      </c>
      <c r="I3049">
        <v>4</v>
      </c>
      <c r="J3049">
        <v>0</v>
      </c>
      <c r="K3049" s="6" t="str">
        <f t="shared" ref="K3049" si="3191">"vs "&amp;E3048</f>
        <v>vs LRBP PR3DATORS</v>
      </c>
      <c r="L3049" s="6" t="str">
        <f t="shared" ref="L3049" si="3192">"vs "&amp;F3048</f>
        <v>vs Lafa</v>
      </c>
      <c r="M3049">
        <v>164</v>
      </c>
      <c r="N3049" s="1">
        <v>0.47</v>
      </c>
      <c r="O3049">
        <v>58</v>
      </c>
      <c r="P3049" s="1">
        <v>0.36</v>
      </c>
      <c r="Q3049" s="1">
        <v>0.84799999999999998</v>
      </c>
      <c r="R3049">
        <v>470</v>
      </c>
      <c r="S3049">
        <v>37</v>
      </c>
      <c r="T3049">
        <v>120</v>
      </c>
      <c r="U3049">
        <v>94</v>
      </c>
      <c r="V3049">
        <v>35</v>
      </c>
      <c r="W3049">
        <v>19</v>
      </c>
      <c r="X3049">
        <v>38</v>
      </c>
      <c r="Y3049">
        <v>2.4700000000000002</v>
      </c>
    </row>
    <row r="3050" spans="1:25" x14ac:dyDescent="0.25">
      <c r="A3050">
        <v>2025</v>
      </c>
      <c r="B3050" t="s">
        <v>142</v>
      </c>
      <c r="C3050" t="s">
        <v>148</v>
      </c>
      <c r="D3050">
        <v>192</v>
      </c>
      <c r="E3050" t="s">
        <v>95</v>
      </c>
      <c r="F3050" t="s">
        <v>101</v>
      </c>
      <c r="G3050">
        <f t="shared" si="3160"/>
        <v>0</v>
      </c>
      <c r="H3050">
        <v>4</v>
      </c>
      <c r="I3050">
        <v>9</v>
      </c>
      <c r="J3050">
        <v>0</v>
      </c>
      <c r="K3050" s="6" t="str">
        <f t="shared" ref="K3050" si="3193">"vs "&amp;E3051</f>
        <v>vs The Guns</v>
      </c>
      <c r="L3050" s="6" t="str">
        <f t="shared" ref="L3050" si="3194">"vs "&amp;F3051</f>
        <v>vs Vasilis</v>
      </c>
      <c r="M3050">
        <v>138</v>
      </c>
      <c r="N3050" s="1">
        <v>0.51300000000000001</v>
      </c>
      <c r="O3050">
        <v>31</v>
      </c>
      <c r="P3050" s="1">
        <v>0.33700000000000002</v>
      </c>
      <c r="Q3050" s="1">
        <v>0.78700000000000003</v>
      </c>
      <c r="R3050">
        <v>355</v>
      </c>
      <c r="S3050">
        <v>45</v>
      </c>
      <c r="T3050">
        <v>107</v>
      </c>
      <c r="U3050">
        <v>77</v>
      </c>
      <c r="V3050">
        <v>22</v>
      </c>
      <c r="W3050">
        <v>20</v>
      </c>
      <c r="X3050">
        <v>39</v>
      </c>
      <c r="Y3050">
        <v>1.97</v>
      </c>
    </row>
    <row r="3051" spans="1:25" x14ac:dyDescent="0.25">
      <c r="A3051">
        <v>2025</v>
      </c>
      <c r="B3051" t="s">
        <v>142</v>
      </c>
      <c r="C3051" t="s">
        <v>148</v>
      </c>
      <c r="D3051">
        <v>192</v>
      </c>
      <c r="E3051" t="s">
        <v>33</v>
      </c>
      <c r="F3051" t="s">
        <v>42</v>
      </c>
      <c r="G3051">
        <f t="shared" si="3160"/>
        <v>1</v>
      </c>
      <c r="H3051">
        <v>9</v>
      </c>
      <c r="I3051">
        <v>4</v>
      </c>
      <c r="J3051">
        <v>0</v>
      </c>
      <c r="K3051" s="6" t="str">
        <f t="shared" ref="K3051" si="3195">"vs "&amp;E3050</f>
        <v>vs Baltimore Hercules</v>
      </c>
      <c r="L3051" s="6" t="str">
        <f t="shared" ref="L3051" si="3196">"vs "&amp;F3050</f>
        <v>vs Sarantos</v>
      </c>
      <c r="M3051">
        <v>246</v>
      </c>
      <c r="N3051" s="1">
        <v>0.48799999999999999</v>
      </c>
      <c r="O3051">
        <v>61</v>
      </c>
      <c r="P3051" s="1">
        <v>0.33700000000000002</v>
      </c>
      <c r="Q3051" s="1">
        <v>0.86899999999999999</v>
      </c>
      <c r="R3051">
        <v>666</v>
      </c>
      <c r="S3051">
        <v>37</v>
      </c>
      <c r="T3051">
        <v>149</v>
      </c>
      <c r="U3051">
        <v>154</v>
      </c>
      <c r="V3051">
        <v>36</v>
      </c>
      <c r="W3051">
        <v>18</v>
      </c>
      <c r="X3051">
        <v>61</v>
      </c>
      <c r="Y3051">
        <v>2.52</v>
      </c>
    </row>
    <row r="3052" spans="1:25" x14ac:dyDescent="0.25">
      <c r="A3052">
        <v>2025</v>
      </c>
      <c r="B3052" t="s">
        <v>142</v>
      </c>
      <c r="C3052" t="s">
        <v>148</v>
      </c>
      <c r="D3052">
        <v>193</v>
      </c>
      <c r="E3052" t="s">
        <v>15</v>
      </c>
      <c r="F3052" t="s">
        <v>48</v>
      </c>
      <c r="G3052">
        <f t="shared" si="3160"/>
        <v>1</v>
      </c>
      <c r="H3052">
        <v>9</v>
      </c>
      <c r="I3052">
        <v>4</v>
      </c>
      <c r="J3052">
        <v>0</v>
      </c>
      <c r="K3052" s="6" t="str">
        <f t="shared" ref="K3052" si="3197">"vs "&amp;E3053</f>
        <v>vs Knights of Ni</v>
      </c>
      <c r="L3052" s="6" t="str">
        <f t="shared" ref="L3052" si="3198">"vs "&amp;F3053</f>
        <v>vs Tolios</v>
      </c>
      <c r="M3052">
        <v>154</v>
      </c>
      <c r="N3052" s="1">
        <v>0.47799999999999998</v>
      </c>
      <c r="O3052">
        <v>42</v>
      </c>
      <c r="P3052" s="1">
        <v>0.35</v>
      </c>
      <c r="Q3052" s="1">
        <v>0.73299999999999998</v>
      </c>
      <c r="R3052">
        <v>427</v>
      </c>
      <c r="S3052">
        <v>26</v>
      </c>
      <c r="T3052">
        <v>121</v>
      </c>
      <c r="U3052">
        <v>89</v>
      </c>
      <c r="V3052">
        <v>19</v>
      </c>
      <c r="W3052">
        <v>11</v>
      </c>
      <c r="X3052">
        <v>39</v>
      </c>
      <c r="Y3052">
        <v>2.2799999999999998</v>
      </c>
    </row>
    <row r="3053" spans="1:25" x14ac:dyDescent="0.25">
      <c r="A3053">
        <v>2025</v>
      </c>
      <c r="B3053" t="s">
        <v>142</v>
      </c>
      <c r="C3053" t="s">
        <v>148</v>
      </c>
      <c r="D3053">
        <v>193</v>
      </c>
      <c r="E3053" t="s">
        <v>96</v>
      </c>
      <c r="F3053" t="s">
        <v>102</v>
      </c>
      <c r="G3053">
        <f t="shared" si="3160"/>
        <v>0</v>
      </c>
      <c r="H3053">
        <v>4</v>
      </c>
      <c r="I3053">
        <v>9</v>
      </c>
      <c r="J3053">
        <v>0</v>
      </c>
      <c r="K3053" s="6" t="str">
        <f t="shared" ref="K3053" si="3199">"vs "&amp;E3052</f>
        <v>vs Salonika Devils</v>
      </c>
      <c r="L3053" s="6" t="str">
        <f t="shared" ref="L3053" si="3200">"vs "&amp;F3052</f>
        <v>vs Fountos</v>
      </c>
      <c r="M3053">
        <v>136</v>
      </c>
      <c r="N3053" s="1">
        <v>0.439</v>
      </c>
      <c r="O3053">
        <v>35</v>
      </c>
      <c r="P3053" s="1">
        <v>0.32400000000000001</v>
      </c>
      <c r="Q3053" s="1">
        <v>0.77500000000000002</v>
      </c>
      <c r="R3053">
        <v>362</v>
      </c>
      <c r="S3053">
        <v>42</v>
      </c>
      <c r="T3053">
        <v>81</v>
      </c>
      <c r="U3053">
        <v>71</v>
      </c>
      <c r="V3053">
        <v>31</v>
      </c>
      <c r="W3053">
        <v>18</v>
      </c>
      <c r="X3053">
        <v>46</v>
      </c>
      <c r="Y3053">
        <v>1.54</v>
      </c>
    </row>
    <row r="3054" spans="1:25" x14ac:dyDescent="0.25">
      <c r="A3054">
        <v>2025</v>
      </c>
      <c r="B3054" t="s">
        <v>142</v>
      </c>
      <c r="C3054" t="s">
        <v>148</v>
      </c>
      <c r="D3054">
        <v>194</v>
      </c>
      <c r="E3054" t="s">
        <v>93</v>
      </c>
      <c r="F3054" t="s">
        <v>189</v>
      </c>
      <c r="G3054">
        <f t="shared" si="3160"/>
        <v>0</v>
      </c>
      <c r="H3054">
        <v>5</v>
      </c>
      <c r="I3054">
        <v>8</v>
      </c>
      <c r="J3054">
        <v>0</v>
      </c>
      <c r="K3054" s="6" t="str">
        <f t="shared" ref="K3054" si="3201">"vs "&amp;E3055</f>
        <v>vs Xanthi Ducks 🦆</v>
      </c>
      <c r="L3054" s="6" t="str">
        <f t="shared" ref="L3054" si="3202">"vs "&amp;F3055</f>
        <v>vs Kotakis</v>
      </c>
      <c r="M3054">
        <v>146</v>
      </c>
      <c r="N3054" s="1">
        <v>0.46500000000000002</v>
      </c>
      <c r="O3054">
        <v>58</v>
      </c>
      <c r="P3054" s="1">
        <v>0.4</v>
      </c>
      <c r="Q3054" s="1">
        <v>0.83299999999999996</v>
      </c>
      <c r="R3054">
        <v>405</v>
      </c>
      <c r="S3054">
        <v>28</v>
      </c>
      <c r="T3054">
        <v>106</v>
      </c>
      <c r="U3054">
        <v>120</v>
      </c>
      <c r="V3054">
        <v>24</v>
      </c>
      <c r="W3054">
        <v>11</v>
      </c>
      <c r="X3054">
        <v>42</v>
      </c>
      <c r="Y3054">
        <v>2.86</v>
      </c>
    </row>
    <row r="3055" spans="1:25" x14ac:dyDescent="0.25">
      <c r="A3055">
        <v>2025</v>
      </c>
      <c r="B3055" t="s">
        <v>142</v>
      </c>
      <c r="C3055" t="s">
        <v>148</v>
      </c>
      <c r="D3055">
        <v>194</v>
      </c>
      <c r="E3055" t="s">
        <v>98</v>
      </c>
      <c r="F3055" t="s">
        <v>41</v>
      </c>
      <c r="G3055">
        <f t="shared" si="3160"/>
        <v>1</v>
      </c>
      <c r="H3055">
        <v>8</v>
      </c>
      <c r="I3055">
        <v>5</v>
      </c>
      <c r="J3055">
        <v>0</v>
      </c>
      <c r="K3055" s="6" t="str">
        <f t="shared" ref="K3055" si="3203">"vs "&amp;E3054</f>
        <v>vs Guruuu 🐐🐐🐐</v>
      </c>
      <c r="L3055" s="6" t="str">
        <f t="shared" ref="L3055" si="3204">"vs "&amp;F3054</f>
        <v>vs Guru</v>
      </c>
      <c r="M3055">
        <v>114</v>
      </c>
      <c r="N3055" s="1">
        <v>0.5</v>
      </c>
      <c r="O3055">
        <v>34</v>
      </c>
      <c r="P3055" s="1">
        <v>0.37</v>
      </c>
      <c r="Q3055" s="1">
        <v>0.83699999999999997</v>
      </c>
      <c r="R3055">
        <v>298</v>
      </c>
      <c r="S3055">
        <v>38</v>
      </c>
      <c r="T3055">
        <v>113</v>
      </c>
      <c r="U3055">
        <v>78</v>
      </c>
      <c r="V3055">
        <v>29</v>
      </c>
      <c r="W3055">
        <v>15</v>
      </c>
      <c r="X3055">
        <v>24</v>
      </c>
      <c r="Y3055">
        <v>3.25</v>
      </c>
    </row>
    <row r="3056" spans="1:25" x14ac:dyDescent="0.25">
      <c r="A3056">
        <v>2025</v>
      </c>
      <c r="B3056" t="s">
        <v>142</v>
      </c>
      <c r="C3056" t="s">
        <v>146</v>
      </c>
      <c r="D3056">
        <v>195</v>
      </c>
      <c r="E3056" t="s">
        <v>94</v>
      </c>
      <c r="F3056" t="s">
        <v>40</v>
      </c>
      <c r="G3056">
        <f t="shared" si="3160"/>
        <v>0</v>
      </c>
      <c r="H3056">
        <v>4</v>
      </c>
      <c r="I3056">
        <v>9</v>
      </c>
      <c r="J3056">
        <v>0</v>
      </c>
      <c r="K3056" s="6" t="str">
        <f t="shared" ref="K3056" si="3205">"vs "&amp;E3057</f>
        <v>vs Karafli Saita</v>
      </c>
      <c r="L3056" s="6" t="str">
        <f t="shared" ref="L3056" si="3206">"vs "&amp;F3057</f>
        <v>vs Tassos</v>
      </c>
      <c r="M3056">
        <v>149</v>
      </c>
      <c r="N3056" s="1">
        <v>0.51400000000000001</v>
      </c>
      <c r="O3056">
        <v>50</v>
      </c>
      <c r="P3056" s="1">
        <v>0.379</v>
      </c>
      <c r="Q3056" s="1">
        <v>0.81299999999999994</v>
      </c>
      <c r="R3056">
        <v>409</v>
      </c>
      <c r="S3056">
        <v>27</v>
      </c>
      <c r="T3056">
        <v>103</v>
      </c>
      <c r="U3056">
        <v>94</v>
      </c>
      <c r="V3056">
        <v>30</v>
      </c>
      <c r="W3056">
        <v>17</v>
      </c>
      <c r="X3056">
        <v>37</v>
      </c>
      <c r="Y3056">
        <v>2.54</v>
      </c>
    </row>
    <row r="3057" spans="1:25" x14ac:dyDescent="0.25">
      <c r="A3057">
        <v>2025</v>
      </c>
      <c r="B3057" t="s">
        <v>142</v>
      </c>
      <c r="C3057" t="s">
        <v>146</v>
      </c>
      <c r="D3057">
        <v>195</v>
      </c>
      <c r="E3057" t="s">
        <v>186</v>
      </c>
      <c r="F3057" t="s">
        <v>103</v>
      </c>
      <c r="G3057">
        <f t="shared" si="3160"/>
        <v>1</v>
      </c>
      <c r="H3057">
        <v>9</v>
      </c>
      <c r="I3057">
        <v>4</v>
      </c>
      <c r="J3057">
        <v>0</v>
      </c>
      <c r="K3057" s="6" t="str">
        <f t="shared" ref="K3057" si="3207">"vs "&amp;E3056</f>
        <v>vs Fighting Thaddeus</v>
      </c>
      <c r="L3057" s="6" t="str">
        <f t="shared" ref="L3057" si="3208">"vs "&amp;F3056</f>
        <v>vs Stavros</v>
      </c>
      <c r="M3057">
        <v>152</v>
      </c>
      <c r="N3057" s="1">
        <v>0.47899999999999998</v>
      </c>
      <c r="O3057">
        <v>43</v>
      </c>
      <c r="P3057" s="1">
        <v>0.36799999999999999</v>
      </c>
      <c r="Q3057" s="1">
        <v>0.76300000000000001</v>
      </c>
      <c r="R3057">
        <v>421</v>
      </c>
      <c r="S3057">
        <v>44</v>
      </c>
      <c r="T3057">
        <v>134</v>
      </c>
      <c r="U3057">
        <v>99</v>
      </c>
      <c r="V3057">
        <v>32</v>
      </c>
      <c r="W3057">
        <v>18</v>
      </c>
      <c r="X3057">
        <v>32</v>
      </c>
      <c r="Y3057">
        <v>3.09</v>
      </c>
    </row>
    <row r="3058" spans="1:25" x14ac:dyDescent="0.25">
      <c r="A3058">
        <v>2025</v>
      </c>
      <c r="B3058" t="s">
        <v>142</v>
      </c>
      <c r="C3058" t="s">
        <v>146</v>
      </c>
      <c r="D3058">
        <v>196</v>
      </c>
      <c r="E3058" t="s">
        <v>33</v>
      </c>
      <c r="F3058" t="s">
        <v>42</v>
      </c>
      <c r="G3058">
        <f t="shared" si="3160"/>
        <v>0</v>
      </c>
      <c r="H3058">
        <v>5</v>
      </c>
      <c r="I3058">
        <v>8</v>
      </c>
      <c r="J3058">
        <v>0</v>
      </c>
      <c r="K3058" s="6" t="str">
        <f t="shared" ref="K3058" si="3209">"vs "&amp;E3059</f>
        <v>vs Samarina Dudenbros</v>
      </c>
      <c r="L3058" s="6" t="str">
        <f t="shared" ref="L3058" si="3210">"vs "&amp;F3059</f>
        <v>vs Sakellariou</v>
      </c>
      <c r="M3058">
        <v>215</v>
      </c>
      <c r="N3058" s="1">
        <v>0.51200000000000001</v>
      </c>
      <c r="O3058">
        <v>65</v>
      </c>
      <c r="P3058" s="1">
        <v>0.41099999999999998</v>
      </c>
      <c r="Q3058" s="1">
        <v>0.82899999999999996</v>
      </c>
      <c r="R3058">
        <v>587</v>
      </c>
      <c r="S3058">
        <v>27</v>
      </c>
      <c r="T3058">
        <v>110</v>
      </c>
      <c r="U3058">
        <v>127</v>
      </c>
      <c r="V3058">
        <v>39</v>
      </c>
      <c r="W3058">
        <v>14</v>
      </c>
      <c r="X3058">
        <v>68</v>
      </c>
      <c r="Y3058">
        <v>1.87</v>
      </c>
    </row>
    <row r="3059" spans="1:25" x14ac:dyDescent="0.25">
      <c r="A3059">
        <v>2025</v>
      </c>
      <c r="B3059" t="s">
        <v>142</v>
      </c>
      <c r="C3059" t="s">
        <v>146</v>
      </c>
      <c r="D3059">
        <v>196</v>
      </c>
      <c r="E3059" t="s">
        <v>181</v>
      </c>
      <c r="F3059" t="s">
        <v>49</v>
      </c>
      <c r="G3059">
        <f t="shared" si="3160"/>
        <v>1</v>
      </c>
      <c r="H3059">
        <v>8</v>
      </c>
      <c r="I3059">
        <v>5</v>
      </c>
      <c r="J3059">
        <v>0</v>
      </c>
      <c r="K3059" s="6" t="str">
        <f t="shared" ref="K3059" si="3211">"vs "&amp;E3058</f>
        <v>vs The Guns</v>
      </c>
      <c r="L3059" s="6" t="str">
        <f t="shared" ref="L3059" si="3212">"vs "&amp;F3058</f>
        <v>vs Vasilis</v>
      </c>
      <c r="M3059">
        <v>188</v>
      </c>
      <c r="N3059" s="1">
        <v>0.46100000000000002</v>
      </c>
      <c r="O3059">
        <v>73</v>
      </c>
      <c r="P3059" s="1">
        <v>0.378</v>
      </c>
      <c r="Q3059" s="1">
        <v>0.85599999999999998</v>
      </c>
      <c r="R3059">
        <v>526</v>
      </c>
      <c r="S3059">
        <v>42</v>
      </c>
      <c r="T3059">
        <v>105</v>
      </c>
      <c r="U3059">
        <v>145</v>
      </c>
      <c r="V3059">
        <v>46</v>
      </c>
      <c r="W3059">
        <v>17</v>
      </c>
      <c r="X3059">
        <v>57</v>
      </c>
      <c r="Y3059">
        <v>2.54</v>
      </c>
    </row>
    <row r="3060" spans="1:25" x14ac:dyDescent="0.25">
      <c r="A3060">
        <v>2025</v>
      </c>
      <c r="B3060" t="s">
        <v>142</v>
      </c>
      <c r="C3060" t="s">
        <v>146</v>
      </c>
      <c r="D3060">
        <v>197</v>
      </c>
      <c r="E3060" t="s">
        <v>15</v>
      </c>
      <c r="F3060" t="s">
        <v>48</v>
      </c>
      <c r="G3060">
        <f t="shared" si="3160"/>
        <v>0</v>
      </c>
      <c r="H3060">
        <v>4</v>
      </c>
      <c r="I3060">
        <v>8</v>
      </c>
      <c r="J3060">
        <v>1</v>
      </c>
      <c r="K3060" s="6" t="str">
        <f t="shared" ref="K3060" si="3213">"vs "&amp;E3061</f>
        <v>vs The Bridgeburners</v>
      </c>
      <c r="L3060" s="6" t="str">
        <f t="shared" ref="L3060" si="3214">"vs "&amp;F3061</f>
        <v>vs Fanis</v>
      </c>
      <c r="M3060">
        <v>180</v>
      </c>
      <c r="N3060" s="1">
        <v>0.51400000000000001</v>
      </c>
      <c r="O3060">
        <v>44</v>
      </c>
      <c r="P3060" s="1">
        <v>0.33600000000000002</v>
      </c>
      <c r="Q3060" s="1">
        <v>0.76400000000000001</v>
      </c>
      <c r="R3060">
        <v>459</v>
      </c>
      <c r="S3060">
        <v>37</v>
      </c>
      <c r="T3060">
        <v>127</v>
      </c>
      <c r="U3060">
        <v>95</v>
      </c>
      <c r="V3060">
        <v>26</v>
      </c>
      <c r="W3060">
        <v>19</v>
      </c>
      <c r="X3060">
        <v>50</v>
      </c>
      <c r="Y3060">
        <v>1.9</v>
      </c>
    </row>
    <row r="3061" spans="1:25" x14ac:dyDescent="0.25">
      <c r="A3061">
        <v>2025</v>
      </c>
      <c r="B3061" t="s">
        <v>142</v>
      </c>
      <c r="C3061" t="s">
        <v>146</v>
      </c>
      <c r="D3061">
        <v>197</v>
      </c>
      <c r="E3061" t="s">
        <v>16</v>
      </c>
      <c r="F3061" t="s">
        <v>51</v>
      </c>
      <c r="G3061">
        <f t="shared" si="3160"/>
        <v>1</v>
      </c>
      <c r="H3061">
        <v>8</v>
      </c>
      <c r="I3061">
        <v>4</v>
      </c>
      <c r="J3061">
        <v>1</v>
      </c>
      <c r="K3061" s="6" t="str">
        <f t="shared" ref="K3061" si="3215">"vs "&amp;E3060</f>
        <v>vs Salonika Devils</v>
      </c>
      <c r="L3061" s="6" t="str">
        <f t="shared" ref="L3061" si="3216">"vs "&amp;F3060</f>
        <v>vs Fountos</v>
      </c>
      <c r="M3061">
        <v>201</v>
      </c>
      <c r="N3061" s="1">
        <v>0.49299999999999999</v>
      </c>
      <c r="O3061">
        <v>44</v>
      </c>
      <c r="P3061" s="1">
        <v>0.37</v>
      </c>
      <c r="Q3061" s="1">
        <v>0.82799999999999996</v>
      </c>
      <c r="R3061">
        <v>542</v>
      </c>
      <c r="S3061">
        <v>53</v>
      </c>
      <c r="T3061">
        <v>141</v>
      </c>
      <c r="U3061">
        <v>131</v>
      </c>
      <c r="V3061">
        <v>37</v>
      </c>
      <c r="W3061">
        <v>17</v>
      </c>
      <c r="X3061">
        <v>77</v>
      </c>
      <c r="Y3061">
        <v>1.7</v>
      </c>
    </row>
    <row r="3062" spans="1:25" x14ac:dyDescent="0.25">
      <c r="A3062">
        <v>2025</v>
      </c>
      <c r="B3062" t="s">
        <v>142</v>
      </c>
      <c r="C3062" t="s">
        <v>146</v>
      </c>
      <c r="D3062">
        <v>198</v>
      </c>
      <c r="E3062" t="s">
        <v>98</v>
      </c>
      <c r="F3062" t="s">
        <v>41</v>
      </c>
      <c r="G3062">
        <f t="shared" si="3160"/>
        <v>1</v>
      </c>
      <c r="H3062">
        <v>7</v>
      </c>
      <c r="I3062">
        <v>6</v>
      </c>
      <c r="J3062">
        <v>0</v>
      </c>
      <c r="K3062" s="6" t="str">
        <f t="shared" ref="K3062" si="3217">"vs "&amp;E3063</f>
        <v>vs purple fuzzy apache pirates</v>
      </c>
      <c r="L3062" s="6" t="str">
        <f t="shared" ref="L3062" si="3218">"vs "&amp;F3063</f>
        <v>vs pi/Sotiris</v>
      </c>
      <c r="M3062">
        <v>168</v>
      </c>
      <c r="N3062" s="1">
        <v>0.51900000000000002</v>
      </c>
      <c r="O3062">
        <v>42</v>
      </c>
      <c r="P3062" s="1">
        <v>0.39600000000000002</v>
      </c>
      <c r="Q3062" s="1">
        <v>0.80300000000000005</v>
      </c>
      <c r="R3062">
        <v>435</v>
      </c>
      <c r="S3062">
        <v>58</v>
      </c>
      <c r="T3062">
        <v>145</v>
      </c>
      <c r="U3062">
        <v>95</v>
      </c>
      <c r="V3062">
        <v>37</v>
      </c>
      <c r="W3062">
        <v>24</v>
      </c>
      <c r="X3062">
        <v>53</v>
      </c>
      <c r="Y3062">
        <v>1.79</v>
      </c>
    </row>
    <row r="3063" spans="1:25" x14ac:dyDescent="0.25">
      <c r="A3063">
        <v>2025</v>
      </c>
      <c r="B3063" t="s">
        <v>142</v>
      </c>
      <c r="C3063" t="s">
        <v>146</v>
      </c>
      <c r="D3063">
        <v>198</v>
      </c>
      <c r="E3063" t="s">
        <v>159</v>
      </c>
      <c r="F3063" t="s">
        <v>116</v>
      </c>
      <c r="G3063">
        <f t="shared" si="3160"/>
        <v>0</v>
      </c>
      <c r="H3063">
        <v>6</v>
      </c>
      <c r="I3063">
        <v>7</v>
      </c>
      <c r="J3063">
        <v>0</v>
      </c>
      <c r="K3063" s="6" t="str">
        <f t="shared" ref="K3063" si="3219">"vs "&amp;E3062</f>
        <v>vs Xanthi Ducks 🦆</v>
      </c>
      <c r="L3063" s="6" t="str">
        <f t="shared" ref="L3063" si="3220">"vs "&amp;F3062</f>
        <v>vs Kotakis</v>
      </c>
      <c r="M3063">
        <v>241</v>
      </c>
      <c r="N3063" s="1">
        <v>0.501</v>
      </c>
      <c r="O3063">
        <v>67</v>
      </c>
      <c r="P3063" s="1">
        <v>0.374</v>
      </c>
      <c r="Q3063" s="1">
        <v>0.78500000000000003</v>
      </c>
      <c r="R3063">
        <v>666</v>
      </c>
      <c r="S3063">
        <v>37</v>
      </c>
      <c r="T3063">
        <v>203</v>
      </c>
      <c r="U3063">
        <v>169</v>
      </c>
      <c r="V3063">
        <v>34</v>
      </c>
      <c r="W3063">
        <v>19</v>
      </c>
      <c r="X3063">
        <v>80</v>
      </c>
      <c r="Y3063">
        <v>2.11</v>
      </c>
    </row>
    <row r="3064" spans="1:25" x14ac:dyDescent="0.25">
      <c r="A3064">
        <v>2025</v>
      </c>
      <c r="B3064" t="s">
        <v>142</v>
      </c>
      <c r="C3064" t="s">
        <v>147</v>
      </c>
      <c r="D3064">
        <v>199</v>
      </c>
      <c r="E3064" t="s">
        <v>181</v>
      </c>
      <c r="F3064" t="s">
        <v>49</v>
      </c>
      <c r="G3064">
        <f t="shared" si="3160"/>
        <v>1</v>
      </c>
      <c r="H3064">
        <v>8</v>
      </c>
      <c r="I3064">
        <v>4</v>
      </c>
      <c r="J3064">
        <v>1</v>
      </c>
      <c r="K3064" s="6" t="str">
        <f t="shared" ref="K3064" si="3221">"vs "&amp;E3065</f>
        <v>vs Karafli Saita</v>
      </c>
      <c r="L3064" s="6" t="str">
        <f t="shared" ref="L3064" si="3222">"vs "&amp;F3065</f>
        <v>vs Tassos</v>
      </c>
      <c r="M3064">
        <v>184</v>
      </c>
      <c r="N3064" s="1">
        <v>0.41799999999999998</v>
      </c>
      <c r="O3064">
        <v>60</v>
      </c>
      <c r="P3064" s="1">
        <v>0.32100000000000001</v>
      </c>
      <c r="Q3064" s="1">
        <v>0.81399999999999995</v>
      </c>
      <c r="R3064">
        <v>542</v>
      </c>
      <c r="S3064">
        <v>33</v>
      </c>
      <c r="T3064">
        <v>114</v>
      </c>
      <c r="U3064">
        <v>152</v>
      </c>
      <c r="V3064">
        <v>32</v>
      </c>
      <c r="W3064">
        <v>15</v>
      </c>
      <c r="X3064">
        <v>45</v>
      </c>
      <c r="Y3064">
        <v>3.38</v>
      </c>
    </row>
    <row r="3065" spans="1:25" x14ac:dyDescent="0.25">
      <c r="A3065">
        <v>2025</v>
      </c>
      <c r="B3065" t="s">
        <v>142</v>
      </c>
      <c r="C3065" t="s">
        <v>147</v>
      </c>
      <c r="D3065">
        <v>199</v>
      </c>
      <c r="E3065" t="s">
        <v>186</v>
      </c>
      <c r="F3065" t="s">
        <v>103</v>
      </c>
      <c r="G3065">
        <f t="shared" si="3160"/>
        <v>0</v>
      </c>
      <c r="H3065">
        <v>4</v>
      </c>
      <c r="I3065">
        <v>8</v>
      </c>
      <c r="J3065">
        <v>1</v>
      </c>
      <c r="K3065" s="6" t="str">
        <f t="shared" ref="K3065" si="3223">"vs "&amp;E3064</f>
        <v>vs Samarina Dudenbros</v>
      </c>
      <c r="L3065" s="6" t="str">
        <f t="shared" ref="L3065" si="3224">"vs "&amp;F3064</f>
        <v>vs Sakellariou</v>
      </c>
      <c r="M3065">
        <v>128</v>
      </c>
      <c r="N3065" s="1">
        <v>0.54200000000000004</v>
      </c>
      <c r="O3065">
        <v>15</v>
      </c>
      <c r="P3065" s="1">
        <v>0.28299999999999997</v>
      </c>
      <c r="Q3065" s="1">
        <v>0.625</v>
      </c>
      <c r="R3065">
        <v>306</v>
      </c>
      <c r="S3065">
        <v>33</v>
      </c>
      <c r="T3065">
        <v>117</v>
      </c>
      <c r="U3065">
        <v>62</v>
      </c>
      <c r="V3065">
        <v>24</v>
      </c>
      <c r="W3065">
        <v>21</v>
      </c>
      <c r="X3065">
        <v>27</v>
      </c>
      <c r="Y3065">
        <v>2.2999999999999998</v>
      </c>
    </row>
    <row r="3066" spans="1:25" x14ac:dyDescent="0.25">
      <c r="A3066">
        <v>2025</v>
      </c>
      <c r="B3066" t="s">
        <v>142</v>
      </c>
      <c r="C3066" t="s">
        <v>147</v>
      </c>
      <c r="D3066">
        <v>200</v>
      </c>
      <c r="E3066" t="s">
        <v>98</v>
      </c>
      <c r="F3066" t="s">
        <v>41</v>
      </c>
      <c r="G3066">
        <f t="shared" si="3160"/>
        <v>0</v>
      </c>
      <c r="H3066">
        <v>4</v>
      </c>
      <c r="I3066">
        <v>9</v>
      </c>
      <c r="J3066">
        <v>0</v>
      </c>
      <c r="K3066" s="6" t="str">
        <f t="shared" ref="K3066" si="3225">"vs "&amp;E3067</f>
        <v>vs The Bridgeburners</v>
      </c>
      <c r="L3066" s="6" t="str">
        <f t="shared" ref="L3066" si="3226">"vs "&amp;F3067</f>
        <v>vs Fanis</v>
      </c>
      <c r="M3066">
        <v>119</v>
      </c>
      <c r="N3066" s="1">
        <v>0.48799999999999999</v>
      </c>
      <c r="O3066">
        <v>47</v>
      </c>
      <c r="P3066" s="1">
        <v>0.41199999999999998</v>
      </c>
      <c r="Q3066" s="1">
        <v>0.80800000000000005</v>
      </c>
      <c r="R3066">
        <v>327</v>
      </c>
      <c r="S3066">
        <v>33</v>
      </c>
      <c r="T3066">
        <v>98</v>
      </c>
      <c r="U3066">
        <v>89</v>
      </c>
      <c r="V3066">
        <v>22</v>
      </c>
      <c r="W3066">
        <v>17</v>
      </c>
      <c r="X3066">
        <v>33</v>
      </c>
      <c r="Y3066">
        <v>2.7</v>
      </c>
    </row>
    <row r="3067" spans="1:25" x14ac:dyDescent="0.25">
      <c r="A3067">
        <v>2025</v>
      </c>
      <c r="B3067" t="s">
        <v>142</v>
      </c>
      <c r="C3067" t="s">
        <v>147</v>
      </c>
      <c r="D3067">
        <v>200</v>
      </c>
      <c r="E3067" t="s">
        <v>16</v>
      </c>
      <c r="F3067" t="s">
        <v>51</v>
      </c>
      <c r="G3067">
        <f t="shared" si="3160"/>
        <v>1</v>
      </c>
      <c r="H3067">
        <v>9</v>
      </c>
      <c r="I3067">
        <v>4</v>
      </c>
      <c r="J3067">
        <v>0</v>
      </c>
      <c r="K3067" s="6" t="str">
        <f t="shared" ref="K3067" si="3227">"vs "&amp;E3066</f>
        <v>vs Xanthi Ducks 🦆</v>
      </c>
      <c r="L3067" s="6" t="str">
        <f t="shared" ref="L3067" si="3228">"vs "&amp;F3066</f>
        <v>vs Kotakis</v>
      </c>
      <c r="M3067">
        <v>178</v>
      </c>
      <c r="N3067" s="1">
        <v>0.51</v>
      </c>
      <c r="O3067">
        <v>45</v>
      </c>
      <c r="P3067" s="1">
        <v>0.38800000000000001</v>
      </c>
      <c r="Q3067" s="1">
        <v>0.86</v>
      </c>
      <c r="R3067">
        <v>481</v>
      </c>
      <c r="S3067">
        <v>35</v>
      </c>
      <c r="T3067">
        <v>148</v>
      </c>
      <c r="U3067">
        <v>112</v>
      </c>
      <c r="V3067">
        <v>33</v>
      </c>
      <c r="W3067">
        <v>20</v>
      </c>
      <c r="X3067">
        <v>64</v>
      </c>
      <c r="Y3067">
        <v>1.75</v>
      </c>
    </row>
    <row r="3068" spans="1:25" x14ac:dyDescent="0.25">
      <c r="A3068">
        <v>2025</v>
      </c>
      <c r="B3068" t="s">
        <v>142</v>
      </c>
      <c r="C3068" t="s">
        <v>30</v>
      </c>
      <c r="D3068">
        <v>201</v>
      </c>
      <c r="E3068" t="s">
        <v>181</v>
      </c>
      <c r="F3068" t="s">
        <v>49</v>
      </c>
      <c r="G3068">
        <f t="shared" si="3160"/>
        <v>0</v>
      </c>
      <c r="H3068">
        <v>4</v>
      </c>
      <c r="I3068">
        <v>7</v>
      </c>
      <c r="J3068">
        <v>2</v>
      </c>
      <c r="K3068" s="6" t="str">
        <f t="shared" ref="K3068" si="3229">"vs "&amp;E3069</f>
        <v>vs The Bridgeburners</v>
      </c>
      <c r="L3068" s="6" t="str">
        <f t="shared" ref="L3068" si="3230">"vs "&amp;F3069</f>
        <v>vs Fanis</v>
      </c>
      <c r="M3068">
        <v>179</v>
      </c>
      <c r="N3068" s="1">
        <v>0.46300000000000002</v>
      </c>
      <c r="O3068">
        <v>56</v>
      </c>
      <c r="P3068" s="1">
        <v>0.38400000000000001</v>
      </c>
      <c r="Q3068" s="1">
        <v>0.85</v>
      </c>
      <c r="R3068">
        <v>499</v>
      </c>
      <c r="S3068">
        <v>38</v>
      </c>
      <c r="T3068">
        <v>119</v>
      </c>
      <c r="U3068">
        <v>130</v>
      </c>
      <c r="V3068">
        <v>25</v>
      </c>
      <c r="W3068">
        <v>18</v>
      </c>
      <c r="X3068">
        <v>48</v>
      </c>
      <c r="Y3068">
        <v>2.71</v>
      </c>
    </row>
    <row r="3069" spans="1:25" x14ac:dyDescent="0.25">
      <c r="A3069">
        <v>2025</v>
      </c>
      <c r="B3069" t="s">
        <v>142</v>
      </c>
      <c r="C3069" t="s">
        <v>30</v>
      </c>
      <c r="D3069">
        <v>201</v>
      </c>
      <c r="E3069" t="s">
        <v>16</v>
      </c>
      <c r="F3069" t="s">
        <v>51</v>
      </c>
      <c r="G3069">
        <f t="shared" si="3160"/>
        <v>1</v>
      </c>
      <c r="H3069">
        <v>7</v>
      </c>
      <c r="I3069">
        <v>4</v>
      </c>
      <c r="J3069">
        <v>2</v>
      </c>
      <c r="K3069" s="6" t="str">
        <f t="shared" ref="K3069" si="3231">"vs "&amp;E3068</f>
        <v>vs Samarina Dudenbros</v>
      </c>
      <c r="L3069" s="6" t="str">
        <f t="shared" ref="L3069" si="3232">"vs "&amp;F3068</f>
        <v>vs Sakellariou</v>
      </c>
      <c r="M3069">
        <v>204</v>
      </c>
      <c r="N3069" s="1">
        <v>0.49199999999999999</v>
      </c>
      <c r="O3069">
        <v>56</v>
      </c>
      <c r="P3069" s="1">
        <v>0.373</v>
      </c>
      <c r="Q3069" s="1">
        <v>0.81100000000000005</v>
      </c>
      <c r="R3069">
        <v>537</v>
      </c>
      <c r="S3069">
        <v>46</v>
      </c>
      <c r="T3069">
        <v>151</v>
      </c>
      <c r="U3069">
        <v>161</v>
      </c>
      <c r="V3069">
        <v>36</v>
      </c>
      <c r="W3069">
        <v>18</v>
      </c>
      <c r="X3069">
        <v>62</v>
      </c>
      <c r="Y3069">
        <v>2.6</v>
      </c>
    </row>
    <row r="3070" spans="1:25" x14ac:dyDescent="0.25">
      <c r="A3070">
        <v>2026</v>
      </c>
      <c r="B3070" t="s">
        <v>57</v>
      </c>
      <c r="C3070">
        <v>1</v>
      </c>
      <c r="D3070">
        <v>1</v>
      </c>
      <c r="E3070" t="s">
        <v>26</v>
      </c>
      <c r="F3070" t="s">
        <v>118</v>
      </c>
      <c r="G3070">
        <f t="shared" si="3160"/>
        <v>0</v>
      </c>
      <c r="H3070">
        <v>6</v>
      </c>
      <c r="I3070">
        <v>7</v>
      </c>
      <c r="J3070">
        <v>0</v>
      </c>
      <c r="K3070" s="6" t="str">
        <f t="shared" ref="K3070" si="3233">"vs "&amp;E3071</f>
        <v>vs LRBP PR3DATORS</v>
      </c>
      <c r="L3070" s="6" t="str">
        <f t="shared" ref="L3070" si="3234">"vs "&amp;F3071</f>
        <v>vs Lafa</v>
      </c>
      <c r="M3070">
        <v>127</v>
      </c>
      <c r="N3070" s="1">
        <v>0.46400000000000002</v>
      </c>
      <c r="O3070">
        <v>30</v>
      </c>
      <c r="P3070" s="1">
        <v>0.29099999999999998</v>
      </c>
      <c r="Q3070" s="1">
        <v>0.74299999999999999</v>
      </c>
      <c r="R3070">
        <v>359</v>
      </c>
      <c r="S3070">
        <v>46</v>
      </c>
      <c r="T3070">
        <v>113</v>
      </c>
      <c r="U3070">
        <v>82</v>
      </c>
      <c r="V3070">
        <v>19</v>
      </c>
      <c r="W3070">
        <v>12</v>
      </c>
      <c r="X3070">
        <v>31</v>
      </c>
      <c r="Y3070">
        <v>2.65</v>
      </c>
    </row>
    <row r="3071" spans="1:25" x14ac:dyDescent="0.25">
      <c r="A3071">
        <v>2026</v>
      </c>
      <c r="B3071" t="s">
        <v>57</v>
      </c>
      <c r="C3071">
        <v>1</v>
      </c>
      <c r="D3071">
        <v>1</v>
      </c>
      <c r="E3071" t="s">
        <v>158</v>
      </c>
      <c r="F3071" t="s">
        <v>177</v>
      </c>
      <c r="G3071">
        <f t="shared" si="3160"/>
        <v>1</v>
      </c>
      <c r="H3071">
        <v>7</v>
      </c>
      <c r="I3071">
        <v>6</v>
      </c>
      <c r="J3071">
        <v>0</v>
      </c>
      <c r="K3071" s="6" t="str">
        <f t="shared" ref="K3071" si="3235">"vs "&amp;E3070</f>
        <v>vs Kourayo Vallecano</v>
      </c>
      <c r="L3071" s="6" t="str">
        <f t="shared" ref="L3071" si="3236">"vs "&amp;F3070</f>
        <v>vs Ziogas/Christof</v>
      </c>
      <c r="M3071">
        <v>171</v>
      </c>
      <c r="N3071" s="1">
        <v>0.46</v>
      </c>
      <c r="O3071">
        <v>37</v>
      </c>
      <c r="P3071" s="1">
        <v>0.29099999999999998</v>
      </c>
      <c r="Q3071" s="1">
        <v>0.81599999999999995</v>
      </c>
      <c r="R3071">
        <v>508</v>
      </c>
      <c r="S3071">
        <v>25</v>
      </c>
      <c r="T3071">
        <v>132</v>
      </c>
      <c r="U3071">
        <v>77</v>
      </c>
      <c r="V3071">
        <v>17</v>
      </c>
      <c r="W3071">
        <v>25</v>
      </c>
      <c r="X3071">
        <v>66</v>
      </c>
      <c r="Y3071">
        <v>1.17</v>
      </c>
    </row>
    <row r="3072" spans="1:25" x14ac:dyDescent="0.25">
      <c r="A3072">
        <v>2026</v>
      </c>
      <c r="B3072" t="s">
        <v>57</v>
      </c>
      <c r="C3072">
        <v>1</v>
      </c>
      <c r="D3072">
        <v>2</v>
      </c>
      <c r="E3072" t="s">
        <v>98</v>
      </c>
      <c r="F3072" t="s">
        <v>41</v>
      </c>
      <c r="G3072">
        <f t="shared" si="3160"/>
        <v>0</v>
      </c>
      <c r="H3072">
        <v>3</v>
      </c>
      <c r="I3072">
        <v>10</v>
      </c>
      <c r="J3072">
        <v>0</v>
      </c>
      <c r="K3072" s="6" t="str">
        <f t="shared" ref="K3072" si="3237">"vs "&amp;E3073</f>
        <v>vs The Bridgeburners</v>
      </c>
      <c r="L3072" s="6" t="str">
        <f t="shared" ref="L3072" si="3238">"vs "&amp;F3073</f>
        <v>vs Fanis</v>
      </c>
      <c r="M3072">
        <v>85</v>
      </c>
      <c r="N3072" s="1">
        <v>0.436</v>
      </c>
      <c r="O3072">
        <v>31</v>
      </c>
      <c r="P3072" s="1">
        <v>0.36499999999999999</v>
      </c>
      <c r="Q3072" s="1">
        <v>0.76600000000000001</v>
      </c>
      <c r="R3072">
        <v>250</v>
      </c>
      <c r="S3072">
        <v>38</v>
      </c>
      <c r="T3072">
        <v>85</v>
      </c>
      <c r="U3072">
        <v>50</v>
      </c>
      <c r="V3072">
        <v>23</v>
      </c>
      <c r="W3072">
        <v>13</v>
      </c>
      <c r="X3072">
        <v>29</v>
      </c>
      <c r="Y3072">
        <v>1.72</v>
      </c>
    </row>
    <row r="3073" spans="1:25" x14ac:dyDescent="0.25">
      <c r="A3073">
        <v>2026</v>
      </c>
      <c r="B3073" t="s">
        <v>57</v>
      </c>
      <c r="C3073">
        <v>1</v>
      </c>
      <c r="D3073">
        <v>2</v>
      </c>
      <c r="E3073" t="s">
        <v>16</v>
      </c>
      <c r="F3073" t="s">
        <v>51</v>
      </c>
      <c r="G3073">
        <f t="shared" si="3160"/>
        <v>1</v>
      </c>
      <c r="H3073">
        <v>10</v>
      </c>
      <c r="I3073">
        <v>3</v>
      </c>
      <c r="J3073">
        <v>0</v>
      </c>
      <c r="K3073" s="6" t="str">
        <f t="shared" ref="K3073" si="3239">"vs "&amp;E3072</f>
        <v>vs Xanthi Ducks 🦆</v>
      </c>
      <c r="L3073" s="6" t="str">
        <f t="shared" ref="L3073" si="3240">"vs "&amp;F3072</f>
        <v>vs Kotakis</v>
      </c>
      <c r="M3073">
        <v>165</v>
      </c>
      <c r="N3073" s="1">
        <v>0.49299999999999999</v>
      </c>
      <c r="O3073">
        <v>54</v>
      </c>
      <c r="P3073" s="1">
        <v>0.39400000000000002</v>
      </c>
      <c r="Q3073" s="1">
        <v>0.81699999999999995</v>
      </c>
      <c r="R3073">
        <v>473</v>
      </c>
      <c r="S3073">
        <v>24</v>
      </c>
      <c r="T3073">
        <v>109</v>
      </c>
      <c r="U3073">
        <v>82</v>
      </c>
      <c r="V3073">
        <v>29</v>
      </c>
      <c r="W3073">
        <v>17</v>
      </c>
      <c r="X3073">
        <v>50</v>
      </c>
      <c r="Y3073">
        <v>1.64</v>
      </c>
    </row>
    <row r="3074" spans="1:25" x14ac:dyDescent="0.25">
      <c r="A3074">
        <v>2026</v>
      </c>
      <c r="B3074" t="s">
        <v>57</v>
      </c>
      <c r="C3074">
        <v>1</v>
      </c>
      <c r="D3074">
        <v>3</v>
      </c>
      <c r="E3074" t="s">
        <v>33</v>
      </c>
      <c r="F3074" t="s">
        <v>42</v>
      </c>
      <c r="G3074">
        <f t="shared" si="3160"/>
        <v>1</v>
      </c>
      <c r="H3074">
        <v>10</v>
      </c>
      <c r="I3074">
        <v>3</v>
      </c>
      <c r="J3074">
        <v>0</v>
      </c>
      <c r="K3074" s="6" t="str">
        <f t="shared" ref="K3074" si="3241">"vs "&amp;E3075</f>
        <v>vs Heraklion Snakes</v>
      </c>
      <c r="L3074" s="6" t="str">
        <f t="shared" ref="L3074" si="3242">"vs "&amp;F3075</f>
        <v>vs Dimitris</v>
      </c>
      <c r="M3074">
        <v>165</v>
      </c>
      <c r="N3074" s="1">
        <v>0.47299999999999998</v>
      </c>
      <c r="O3074">
        <v>38</v>
      </c>
      <c r="P3074" s="1">
        <v>0.28799999999999998</v>
      </c>
      <c r="Q3074" s="1">
        <v>0.82599999999999996</v>
      </c>
      <c r="R3074">
        <v>477</v>
      </c>
      <c r="S3074">
        <v>41</v>
      </c>
      <c r="T3074">
        <v>122</v>
      </c>
      <c r="U3074">
        <v>89</v>
      </c>
      <c r="V3074">
        <v>29</v>
      </c>
      <c r="W3074">
        <v>20</v>
      </c>
      <c r="X3074">
        <v>46</v>
      </c>
      <c r="Y3074">
        <v>1.93</v>
      </c>
    </row>
    <row r="3075" spans="1:25" x14ac:dyDescent="0.25">
      <c r="A3075">
        <v>2026</v>
      </c>
      <c r="B3075" t="s">
        <v>57</v>
      </c>
      <c r="C3075">
        <v>1</v>
      </c>
      <c r="D3075">
        <v>3</v>
      </c>
      <c r="E3075" t="s">
        <v>184</v>
      </c>
      <c r="F3075" t="s">
        <v>188</v>
      </c>
      <c r="G3075">
        <f t="shared" si="3160"/>
        <v>0</v>
      </c>
      <c r="H3075">
        <v>3</v>
      </c>
      <c r="I3075">
        <v>10</v>
      </c>
      <c r="J3075">
        <v>0</v>
      </c>
      <c r="K3075" s="6" t="str">
        <f t="shared" ref="K3075" si="3243">"vs "&amp;E3074</f>
        <v>vs The Guns</v>
      </c>
      <c r="L3075" s="6" t="str">
        <f t="shared" ref="L3075" si="3244">"vs "&amp;F3074</f>
        <v>vs Vasilis</v>
      </c>
      <c r="M3075">
        <v>68</v>
      </c>
      <c r="N3075" s="1">
        <v>0.45600000000000002</v>
      </c>
      <c r="O3075">
        <v>19</v>
      </c>
      <c r="P3075" s="1">
        <v>0.34499999999999997</v>
      </c>
      <c r="Q3075" s="1">
        <v>0.87</v>
      </c>
      <c r="R3075">
        <v>195</v>
      </c>
      <c r="S3075">
        <v>19</v>
      </c>
      <c r="T3075">
        <v>54</v>
      </c>
      <c r="U3075">
        <v>29</v>
      </c>
      <c r="V3075">
        <v>9</v>
      </c>
      <c r="W3075">
        <v>4</v>
      </c>
      <c r="X3075">
        <v>24</v>
      </c>
      <c r="Y3075">
        <v>1.21</v>
      </c>
    </row>
    <row r="3076" spans="1:25" x14ac:dyDescent="0.25">
      <c r="A3076">
        <v>2026</v>
      </c>
      <c r="B3076" t="s">
        <v>57</v>
      </c>
      <c r="C3076">
        <v>1</v>
      </c>
      <c r="D3076">
        <v>4</v>
      </c>
      <c r="E3076" t="s">
        <v>99</v>
      </c>
      <c r="F3076" t="s">
        <v>45</v>
      </c>
      <c r="G3076">
        <f t="shared" si="3160"/>
        <v>0</v>
      </c>
      <c r="H3076">
        <v>5</v>
      </c>
      <c r="I3076">
        <v>8</v>
      </c>
      <c r="J3076">
        <v>0</v>
      </c>
      <c r="K3076" s="6" t="str">
        <f t="shared" ref="K3076" si="3245">"vs "&amp;E3077</f>
        <v>vs Guruuu 🐐🐐🐐</v>
      </c>
      <c r="L3076" s="6" t="str">
        <f t="shared" ref="L3076" si="3246">"vs "&amp;F3077</f>
        <v>vs Guru</v>
      </c>
      <c r="M3076">
        <v>130</v>
      </c>
      <c r="N3076" s="1">
        <v>0.45500000000000002</v>
      </c>
      <c r="O3076">
        <v>24</v>
      </c>
      <c r="P3076" s="1">
        <v>0.29299999999999998</v>
      </c>
      <c r="Q3076" s="1">
        <v>0.83899999999999997</v>
      </c>
      <c r="R3076">
        <v>357</v>
      </c>
      <c r="S3076">
        <v>33</v>
      </c>
      <c r="T3076">
        <v>107</v>
      </c>
      <c r="U3076">
        <v>89</v>
      </c>
      <c r="V3076">
        <v>17</v>
      </c>
      <c r="W3076">
        <v>12</v>
      </c>
      <c r="X3076">
        <v>58</v>
      </c>
      <c r="Y3076">
        <v>1.53</v>
      </c>
    </row>
    <row r="3077" spans="1:25" x14ac:dyDescent="0.25">
      <c r="A3077">
        <v>2026</v>
      </c>
      <c r="B3077" t="s">
        <v>57</v>
      </c>
      <c r="C3077">
        <v>1</v>
      </c>
      <c r="D3077">
        <v>4</v>
      </c>
      <c r="E3077" t="s">
        <v>93</v>
      </c>
      <c r="F3077" t="s">
        <v>189</v>
      </c>
      <c r="G3077">
        <f t="shared" si="3160"/>
        <v>1</v>
      </c>
      <c r="H3077">
        <v>8</v>
      </c>
      <c r="I3077">
        <v>5</v>
      </c>
      <c r="J3077">
        <v>0</v>
      </c>
      <c r="K3077" s="6" t="str">
        <f t="shared" ref="K3077" si="3247">"vs "&amp;E3076</f>
        <v>vs Tsarlatans</v>
      </c>
      <c r="L3077" s="6" t="str">
        <f t="shared" ref="L3077" si="3248">"vs "&amp;F3076</f>
        <v>vs Tzokos</v>
      </c>
      <c r="M3077">
        <v>125</v>
      </c>
      <c r="N3077" s="1">
        <v>0.44800000000000001</v>
      </c>
      <c r="O3077">
        <v>44</v>
      </c>
      <c r="P3077" s="1">
        <v>0.36099999999999999</v>
      </c>
      <c r="Q3077" s="1">
        <v>0.76500000000000001</v>
      </c>
      <c r="R3077">
        <v>398</v>
      </c>
      <c r="S3077">
        <v>36</v>
      </c>
      <c r="T3077">
        <v>83</v>
      </c>
      <c r="U3077">
        <v>102</v>
      </c>
      <c r="V3077">
        <v>28</v>
      </c>
      <c r="W3077">
        <v>7</v>
      </c>
      <c r="X3077">
        <v>32</v>
      </c>
      <c r="Y3077">
        <v>3.19</v>
      </c>
    </row>
    <row r="3078" spans="1:25" x14ac:dyDescent="0.25">
      <c r="A3078">
        <v>2026</v>
      </c>
      <c r="B3078" t="s">
        <v>57</v>
      </c>
      <c r="C3078">
        <v>1</v>
      </c>
      <c r="D3078">
        <v>5</v>
      </c>
      <c r="E3078" t="s">
        <v>201</v>
      </c>
      <c r="F3078" t="s">
        <v>227</v>
      </c>
      <c r="G3078">
        <f t="shared" si="3160"/>
        <v>0</v>
      </c>
      <c r="H3078">
        <v>3</v>
      </c>
      <c r="I3078">
        <v>10</v>
      </c>
      <c r="J3078">
        <v>0</v>
      </c>
      <c r="K3078" s="6" t="str">
        <f t="shared" ref="K3078" si="3249">"vs "&amp;E3079</f>
        <v>vs Knights of Ni</v>
      </c>
      <c r="L3078" s="6" t="str">
        <f t="shared" ref="L3078" si="3250">"vs "&amp;F3079</f>
        <v>vs Tolios</v>
      </c>
      <c r="M3078">
        <v>66</v>
      </c>
      <c r="N3078" s="1">
        <v>0.379</v>
      </c>
      <c r="O3078">
        <v>32</v>
      </c>
      <c r="P3078" s="1">
        <v>0.39</v>
      </c>
      <c r="Q3078" s="1">
        <v>0.82199999999999995</v>
      </c>
      <c r="R3078">
        <v>201</v>
      </c>
      <c r="S3078">
        <v>30</v>
      </c>
      <c r="T3078">
        <v>78</v>
      </c>
      <c r="U3078">
        <v>54</v>
      </c>
      <c r="V3078">
        <v>19</v>
      </c>
      <c r="W3078">
        <v>5</v>
      </c>
      <c r="X3078">
        <v>27</v>
      </c>
      <c r="Y3078">
        <v>2</v>
      </c>
    </row>
    <row r="3079" spans="1:25" x14ac:dyDescent="0.25">
      <c r="A3079">
        <v>2026</v>
      </c>
      <c r="B3079" t="s">
        <v>57</v>
      </c>
      <c r="C3079">
        <v>1</v>
      </c>
      <c r="D3079">
        <v>5</v>
      </c>
      <c r="E3079" t="s">
        <v>96</v>
      </c>
      <c r="F3079" t="s">
        <v>102</v>
      </c>
      <c r="G3079">
        <f t="shared" si="3160"/>
        <v>1</v>
      </c>
      <c r="H3079">
        <v>10</v>
      </c>
      <c r="I3079">
        <v>3</v>
      </c>
      <c r="J3079">
        <v>0</v>
      </c>
      <c r="K3079" s="6" t="str">
        <f t="shared" ref="K3079" si="3251">"vs "&amp;E3078</f>
        <v>vs Hércules Pals</v>
      </c>
      <c r="L3079" s="6" t="str">
        <f t="shared" ref="L3079" si="3252">"vs "&amp;F3078</f>
        <v>vs Pals</v>
      </c>
      <c r="M3079">
        <v>129</v>
      </c>
      <c r="N3079" s="1">
        <v>0.52</v>
      </c>
      <c r="O3079">
        <v>36</v>
      </c>
      <c r="P3079" s="1">
        <v>0.41899999999999998</v>
      </c>
      <c r="Q3079" s="1">
        <v>0.80200000000000005</v>
      </c>
      <c r="R3079">
        <v>387</v>
      </c>
      <c r="S3079">
        <v>35</v>
      </c>
      <c r="T3079">
        <v>105</v>
      </c>
      <c r="U3079">
        <v>63</v>
      </c>
      <c r="V3079">
        <v>25</v>
      </c>
      <c r="W3079">
        <v>13</v>
      </c>
      <c r="X3079">
        <v>53</v>
      </c>
      <c r="Y3079">
        <v>1.19</v>
      </c>
    </row>
    <row r="3080" spans="1:25" x14ac:dyDescent="0.25">
      <c r="A3080">
        <v>2026</v>
      </c>
      <c r="B3080" t="s">
        <v>57</v>
      </c>
      <c r="C3080">
        <v>1</v>
      </c>
      <c r="D3080">
        <v>6</v>
      </c>
      <c r="E3080" t="s">
        <v>94</v>
      </c>
      <c r="F3080" t="s">
        <v>40</v>
      </c>
      <c r="G3080">
        <f t="shared" si="3160"/>
        <v>0</v>
      </c>
      <c r="H3080">
        <v>3</v>
      </c>
      <c r="I3080">
        <v>10</v>
      </c>
      <c r="J3080">
        <v>0</v>
      </c>
      <c r="K3080" s="6" t="str">
        <f t="shared" ref="K3080" si="3253">"vs "&amp;E3081</f>
        <v>vs purple fuzzy apache pirates</v>
      </c>
      <c r="L3080" s="6" t="str">
        <f t="shared" ref="L3080" si="3254">"vs "&amp;F3081</f>
        <v>vs pi/Sotiris</v>
      </c>
      <c r="M3080">
        <v>123</v>
      </c>
      <c r="N3080" s="1">
        <v>0.42399999999999999</v>
      </c>
      <c r="O3080">
        <v>54</v>
      </c>
      <c r="P3080" s="1">
        <v>0.35299999999999998</v>
      </c>
      <c r="Q3080" s="1">
        <v>0.88300000000000001</v>
      </c>
      <c r="R3080">
        <v>368</v>
      </c>
      <c r="S3080">
        <v>21</v>
      </c>
      <c r="T3080">
        <v>106</v>
      </c>
      <c r="U3080">
        <v>91</v>
      </c>
      <c r="V3080">
        <v>27</v>
      </c>
      <c r="W3080">
        <v>13</v>
      </c>
      <c r="X3080">
        <v>43</v>
      </c>
      <c r="Y3080">
        <v>2.12</v>
      </c>
    </row>
    <row r="3081" spans="1:25" x14ac:dyDescent="0.25">
      <c r="A3081">
        <v>2026</v>
      </c>
      <c r="B3081" t="s">
        <v>57</v>
      </c>
      <c r="C3081">
        <v>1</v>
      </c>
      <c r="D3081">
        <v>6</v>
      </c>
      <c r="E3081" t="s">
        <v>159</v>
      </c>
      <c r="F3081" t="s">
        <v>116</v>
      </c>
      <c r="G3081">
        <f t="shared" si="3160"/>
        <v>1</v>
      </c>
      <c r="H3081">
        <v>10</v>
      </c>
      <c r="I3081">
        <v>3</v>
      </c>
      <c r="J3081">
        <v>0</v>
      </c>
      <c r="K3081" s="6" t="str">
        <f t="shared" ref="K3081" si="3255">"vs "&amp;E3080</f>
        <v>vs Fighting Thaddeus</v>
      </c>
      <c r="L3081" s="6" t="str">
        <f t="shared" ref="L3081" si="3256">"vs "&amp;F3080</f>
        <v>vs Stavros</v>
      </c>
      <c r="M3081">
        <v>207</v>
      </c>
      <c r="N3081" s="1">
        <v>0.55200000000000005</v>
      </c>
      <c r="O3081">
        <v>56</v>
      </c>
      <c r="P3081" s="1">
        <v>0.41799999999999998</v>
      </c>
      <c r="Q3081" s="1">
        <v>0.78200000000000003</v>
      </c>
      <c r="R3081">
        <v>585</v>
      </c>
      <c r="S3081">
        <v>29</v>
      </c>
      <c r="T3081">
        <v>156</v>
      </c>
      <c r="U3081">
        <v>135</v>
      </c>
      <c r="V3081">
        <v>29</v>
      </c>
      <c r="W3081">
        <v>11</v>
      </c>
      <c r="X3081">
        <v>55</v>
      </c>
      <c r="Y3081">
        <v>2.4500000000000002</v>
      </c>
    </row>
    <row r="3082" spans="1:25" x14ac:dyDescent="0.25">
      <c r="A3082">
        <v>2026</v>
      </c>
      <c r="B3082" t="s">
        <v>57</v>
      </c>
      <c r="C3082">
        <v>1</v>
      </c>
      <c r="D3082">
        <v>7</v>
      </c>
      <c r="E3082" t="s">
        <v>186</v>
      </c>
      <c r="F3082" t="s">
        <v>103</v>
      </c>
      <c r="G3082">
        <f t="shared" si="3160"/>
        <v>1</v>
      </c>
      <c r="H3082">
        <v>10</v>
      </c>
      <c r="I3082">
        <v>2</v>
      </c>
      <c r="J3082">
        <v>1</v>
      </c>
      <c r="K3082" s="6" t="str">
        <f t="shared" ref="K3082" si="3257">"vs "&amp;E3083</f>
        <v>vs The Bad Boys</v>
      </c>
      <c r="L3082" s="6" t="str">
        <f t="shared" ref="L3082" si="3258">"vs "&amp;F3083</f>
        <v>vs Arvanitis</v>
      </c>
      <c r="M3082">
        <v>161</v>
      </c>
      <c r="N3082" s="1">
        <v>0.47799999999999998</v>
      </c>
      <c r="O3082">
        <v>49</v>
      </c>
      <c r="P3082" s="1">
        <v>0.40799999999999997</v>
      </c>
      <c r="Q3082" s="1">
        <v>0.78300000000000003</v>
      </c>
      <c r="R3082">
        <v>472</v>
      </c>
      <c r="S3082">
        <v>30</v>
      </c>
      <c r="T3082">
        <v>118</v>
      </c>
      <c r="U3082">
        <v>96</v>
      </c>
      <c r="V3082">
        <v>22</v>
      </c>
      <c r="W3082">
        <v>15</v>
      </c>
      <c r="X3082">
        <v>67</v>
      </c>
      <c r="Y3082">
        <v>1.43</v>
      </c>
    </row>
    <row r="3083" spans="1:25" x14ac:dyDescent="0.25">
      <c r="A3083">
        <v>2026</v>
      </c>
      <c r="B3083" t="s">
        <v>57</v>
      </c>
      <c r="C3083">
        <v>1</v>
      </c>
      <c r="D3083">
        <v>7</v>
      </c>
      <c r="E3083" t="s">
        <v>154</v>
      </c>
      <c r="F3083" t="s">
        <v>155</v>
      </c>
      <c r="G3083">
        <f t="shared" si="3160"/>
        <v>0</v>
      </c>
      <c r="H3083">
        <v>2</v>
      </c>
      <c r="I3083">
        <v>10</v>
      </c>
      <c r="J3083">
        <v>1</v>
      </c>
      <c r="K3083" s="6" t="str">
        <f t="shared" ref="K3083" si="3259">"vs "&amp;E3082</f>
        <v>vs Karafli Saita</v>
      </c>
      <c r="L3083" s="6" t="str">
        <f t="shared" ref="L3083" si="3260">"vs "&amp;F3082</f>
        <v>vs Tassos</v>
      </c>
      <c r="M3083">
        <v>135</v>
      </c>
      <c r="N3083" s="1">
        <v>0.47199999999999998</v>
      </c>
      <c r="O3083">
        <v>43</v>
      </c>
      <c r="P3083" s="1">
        <v>0.35799999999999998</v>
      </c>
      <c r="Q3083" s="1">
        <v>0.63</v>
      </c>
      <c r="R3083">
        <v>376</v>
      </c>
      <c r="S3083">
        <v>25</v>
      </c>
      <c r="T3083">
        <v>117</v>
      </c>
      <c r="U3083">
        <v>78</v>
      </c>
      <c r="V3083">
        <v>26</v>
      </c>
      <c r="W3083">
        <v>17</v>
      </c>
      <c r="X3083">
        <v>67</v>
      </c>
      <c r="Y3083">
        <v>1.1599999999999999</v>
      </c>
    </row>
    <row r="3084" spans="1:25" x14ac:dyDescent="0.25">
      <c r="A3084">
        <v>2026</v>
      </c>
      <c r="B3084" t="s">
        <v>57</v>
      </c>
      <c r="C3084">
        <v>1</v>
      </c>
      <c r="D3084">
        <v>8</v>
      </c>
      <c r="E3084" t="s">
        <v>23</v>
      </c>
      <c r="F3084" t="s">
        <v>120</v>
      </c>
      <c r="G3084">
        <f t="shared" si="3160"/>
        <v>0</v>
      </c>
      <c r="H3084">
        <v>6</v>
      </c>
      <c r="I3084">
        <v>7</v>
      </c>
      <c r="J3084">
        <v>0</v>
      </c>
      <c r="K3084" s="6" t="str">
        <f t="shared" ref="K3084" si="3261">"vs "&amp;E3085</f>
        <v>vs Samarina Dudenbros</v>
      </c>
      <c r="L3084" s="6" t="str">
        <f t="shared" ref="L3084" si="3262">"vs "&amp;F3085</f>
        <v>vs Sakellariou</v>
      </c>
      <c r="M3084">
        <v>157</v>
      </c>
      <c r="N3084" s="1">
        <v>0.52300000000000002</v>
      </c>
      <c r="O3084">
        <v>37</v>
      </c>
      <c r="P3084" s="1">
        <v>0.41099999999999998</v>
      </c>
      <c r="Q3084" s="1">
        <v>0.70299999999999996</v>
      </c>
      <c r="R3084">
        <v>415</v>
      </c>
      <c r="S3084">
        <v>37</v>
      </c>
      <c r="T3084">
        <v>108</v>
      </c>
      <c r="U3084">
        <v>84</v>
      </c>
      <c r="V3084">
        <v>32</v>
      </c>
      <c r="W3084">
        <v>34</v>
      </c>
      <c r="X3084">
        <v>35</v>
      </c>
      <c r="Y3084">
        <v>2.4</v>
      </c>
    </row>
    <row r="3085" spans="1:25" x14ac:dyDescent="0.25">
      <c r="A3085">
        <v>2026</v>
      </c>
      <c r="B3085" t="s">
        <v>57</v>
      </c>
      <c r="C3085">
        <v>1</v>
      </c>
      <c r="D3085">
        <v>8</v>
      </c>
      <c r="E3085" t="s">
        <v>181</v>
      </c>
      <c r="F3085" t="s">
        <v>49</v>
      </c>
      <c r="G3085">
        <f t="shared" si="3160"/>
        <v>1</v>
      </c>
      <c r="H3085">
        <v>7</v>
      </c>
      <c r="I3085">
        <v>6</v>
      </c>
      <c r="J3085">
        <v>0</v>
      </c>
      <c r="K3085" s="6" t="str">
        <f t="shared" ref="K3085" si="3263">"vs "&amp;E3084</f>
        <v>vs Pachiana NinjaBees</v>
      </c>
      <c r="L3085" s="6" t="str">
        <f t="shared" ref="L3085" si="3264">"vs "&amp;F3084</f>
        <v>vs Spiridaus/Oladipas</v>
      </c>
      <c r="M3085">
        <v>166</v>
      </c>
      <c r="N3085" s="1">
        <v>0.44700000000000001</v>
      </c>
      <c r="O3085">
        <v>58</v>
      </c>
      <c r="P3085" s="1">
        <v>0.34899999999999998</v>
      </c>
      <c r="Q3085" s="1">
        <v>0.82099999999999995</v>
      </c>
      <c r="R3085">
        <v>482</v>
      </c>
      <c r="S3085">
        <v>25</v>
      </c>
      <c r="T3085">
        <v>123</v>
      </c>
      <c r="U3085">
        <v>131</v>
      </c>
      <c r="V3085">
        <v>44</v>
      </c>
      <c r="W3085">
        <v>8</v>
      </c>
      <c r="X3085">
        <v>70</v>
      </c>
      <c r="Y3085">
        <v>1.87</v>
      </c>
    </row>
    <row r="3086" spans="1:25" x14ac:dyDescent="0.25">
      <c r="A3086">
        <v>2026</v>
      </c>
      <c r="B3086" t="s">
        <v>57</v>
      </c>
      <c r="C3086">
        <v>1</v>
      </c>
      <c r="D3086">
        <v>9</v>
      </c>
      <c r="E3086" t="s">
        <v>21</v>
      </c>
      <c r="F3086" t="s">
        <v>50</v>
      </c>
      <c r="G3086">
        <f t="shared" si="3160"/>
        <v>0</v>
      </c>
      <c r="H3086">
        <v>6</v>
      </c>
      <c r="I3086">
        <v>7</v>
      </c>
      <c r="J3086">
        <v>0</v>
      </c>
      <c r="K3086" s="6" t="str">
        <f t="shared" ref="K3086" si="3265">"vs "&amp;E3087</f>
        <v>vs Salonika Devils</v>
      </c>
      <c r="L3086" s="6" t="str">
        <f t="shared" ref="L3086" si="3266">"vs "&amp;F3087</f>
        <v>vs Fountos</v>
      </c>
      <c r="M3086">
        <v>146</v>
      </c>
      <c r="N3086" s="1">
        <v>0.49199999999999999</v>
      </c>
      <c r="O3086">
        <v>33</v>
      </c>
      <c r="P3086" s="1">
        <v>0.371</v>
      </c>
      <c r="Q3086" s="1">
        <v>0.67100000000000004</v>
      </c>
      <c r="R3086">
        <v>382</v>
      </c>
      <c r="S3086">
        <v>40</v>
      </c>
      <c r="T3086">
        <v>112</v>
      </c>
      <c r="U3086">
        <v>60</v>
      </c>
      <c r="V3086">
        <v>34</v>
      </c>
      <c r="W3086">
        <v>14</v>
      </c>
      <c r="X3086">
        <v>57</v>
      </c>
      <c r="Y3086">
        <v>1.05</v>
      </c>
    </row>
    <row r="3087" spans="1:25" x14ac:dyDescent="0.25">
      <c r="A3087">
        <v>2026</v>
      </c>
      <c r="B3087" t="s">
        <v>57</v>
      </c>
      <c r="C3087">
        <v>1</v>
      </c>
      <c r="D3087">
        <v>9</v>
      </c>
      <c r="E3087" t="s">
        <v>15</v>
      </c>
      <c r="F3087" t="s">
        <v>48</v>
      </c>
      <c r="G3087">
        <f t="shared" si="3160"/>
        <v>1</v>
      </c>
      <c r="H3087">
        <v>7</v>
      </c>
      <c r="I3087">
        <v>6</v>
      </c>
      <c r="J3087">
        <v>0</v>
      </c>
      <c r="K3087" s="6" t="str">
        <f t="shared" ref="K3087" si="3267">"vs "&amp;E3086</f>
        <v>vs st.Helens Eruptions</v>
      </c>
      <c r="L3087" s="6" t="str">
        <f t="shared" ref="L3087" si="3268">"vs "&amp;F3086</f>
        <v>vs Aris</v>
      </c>
      <c r="M3087">
        <v>108</v>
      </c>
      <c r="N3087" s="1">
        <v>0.51200000000000001</v>
      </c>
      <c r="O3087">
        <v>22</v>
      </c>
      <c r="P3087" s="1">
        <v>0.314</v>
      </c>
      <c r="Q3087" s="1">
        <v>0.86899999999999999</v>
      </c>
      <c r="R3087">
        <v>291</v>
      </c>
      <c r="S3087">
        <v>44</v>
      </c>
      <c r="T3087">
        <v>70</v>
      </c>
      <c r="U3087">
        <v>63</v>
      </c>
      <c r="V3087">
        <v>18</v>
      </c>
      <c r="W3087">
        <v>15</v>
      </c>
      <c r="X3087">
        <v>38</v>
      </c>
      <c r="Y3087">
        <v>1.66</v>
      </c>
    </row>
    <row r="3088" spans="1:25" x14ac:dyDescent="0.25">
      <c r="A3088">
        <v>2026</v>
      </c>
      <c r="B3088" t="s">
        <v>57</v>
      </c>
      <c r="C3088">
        <v>1</v>
      </c>
      <c r="D3088">
        <v>10</v>
      </c>
      <c r="E3088" t="s">
        <v>185</v>
      </c>
      <c r="F3088" t="s">
        <v>100</v>
      </c>
      <c r="G3088">
        <f t="shared" si="3160"/>
        <v>1</v>
      </c>
      <c r="H3088">
        <v>9</v>
      </c>
      <c r="I3088">
        <v>4</v>
      </c>
      <c r="J3088">
        <v>0</v>
      </c>
      <c r="K3088" s="6" t="str">
        <f t="shared" ref="K3088" si="3269">"vs "&amp;E3089</f>
        <v>vs Steven Adams' Moustache</v>
      </c>
      <c r="L3088" s="6" t="str">
        <f t="shared" ref="L3088" si="3270">"vs "&amp;F3089</f>
        <v>vs Johnny</v>
      </c>
      <c r="M3088">
        <v>149</v>
      </c>
      <c r="N3088" s="1">
        <v>0.442</v>
      </c>
      <c r="O3088">
        <v>53</v>
      </c>
      <c r="P3088" s="1">
        <v>0.373</v>
      </c>
      <c r="Q3088" s="1">
        <v>0.79500000000000004</v>
      </c>
      <c r="R3088">
        <v>413</v>
      </c>
      <c r="S3088">
        <v>36</v>
      </c>
      <c r="T3088">
        <v>100</v>
      </c>
      <c r="U3088">
        <v>86</v>
      </c>
      <c r="V3088">
        <v>29</v>
      </c>
      <c r="W3088">
        <v>8</v>
      </c>
      <c r="X3088">
        <v>58</v>
      </c>
      <c r="Y3088">
        <v>1.48</v>
      </c>
    </row>
    <row r="3089" spans="1:25" x14ac:dyDescent="0.25">
      <c r="A3089">
        <v>2026</v>
      </c>
      <c r="B3089" t="s">
        <v>57</v>
      </c>
      <c r="C3089">
        <v>1</v>
      </c>
      <c r="D3089">
        <v>10</v>
      </c>
      <c r="E3089" t="s">
        <v>28</v>
      </c>
      <c r="F3089" t="s">
        <v>46</v>
      </c>
      <c r="G3089">
        <f t="shared" si="3160"/>
        <v>0</v>
      </c>
      <c r="H3089">
        <v>4</v>
      </c>
      <c r="I3089">
        <v>9</v>
      </c>
      <c r="J3089">
        <v>0</v>
      </c>
      <c r="K3089" s="6" t="str">
        <f t="shared" ref="K3089" si="3271">"vs "&amp;E3088</f>
        <v>vs Paralouistas</v>
      </c>
      <c r="L3089" s="6" t="str">
        <f t="shared" ref="L3089" si="3272">"vs "&amp;F3088</f>
        <v>vs Panos</v>
      </c>
      <c r="M3089">
        <v>94</v>
      </c>
      <c r="N3089" s="1">
        <v>0.46300000000000002</v>
      </c>
      <c r="O3089">
        <v>29</v>
      </c>
      <c r="P3089" s="1">
        <v>0.33300000000000002</v>
      </c>
      <c r="Q3089" s="1">
        <v>0.75</v>
      </c>
      <c r="R3089">
        <v>259</v>
      </c>
      <c r="S3089">
        <v>30</v>
      </c>
      <c r="T3089">
        <v>67</v>
      </c>
      <c r="U3089">
        <v>52</v>
      </c>
      <c r="V3089">
        <v>12</v>
      </c>
      <c r="W3089">
        <v>10</v>
      </c>
      <c r="X3089">
        <v>34</v>
      </c>
      <c r="Y3089">
        <v>1.53</v>
      </c>
    </row>
    <row r="3090" spans="1:25" x14ac:dyDescent="0.25">
      <c r="A3090">
        <v>2026</v>
      </c>
      <c r="B3090" t="s">
        <v>57</v>
      </c>
      <c r="C3090">
        <v>2</v>
      </c>
      <c r="D3090">
        <v>11</v>
      </c>
      <c r="E3090" t="s">
        <v>158</v>
      </c>
      <c r="F3090" t="s">
        <v>177</v>
      </c>
      <c r="G3090">
        <f t="shared" si="3160"/>
        <v>1</v>
      </c>
      <c r="H3090">
        <v>7</v>
      </c>
      <c r="I3090">
        <v>6</v>
      </c>
      <c r="J3090">
        <v>0</v>
      </c>
      <c r="K3090" s="6" t="str">
        <f t="shared" ref="K3090" si="3273">"vs "&amp;E3091</f>
        <v>vs Xanthi Ducks 🦆</v>
      </c>
      <c r="L3090" s="6" t="str">
        <f t="shared" ref="L3090" si="3274">"vs "&amp;F3091</f>
        <v>vs Kotakis</v>
      </c>
      <c r="M3090">
        <v>161</v>
      </c>
      <c r="N3090" s="1">
        <v>0.503</v>
      </c>
      <c r="O3090">
        <v>45</v>
      </c>
      <c r="P3090" s="1">
        <v>0.42899999999999999</v>
      </c>
      <c r="Q3090" s="1">
        <v>0.72899999999999998</v>
      </c>
      <c r="R3090">
        <v>464</v>
      </c>
      <c r="S3090">
        <v>47</v>
      </c>
      <c r="T3090">
        <v>136</v>
      </c>
      <c r="U3090">
        <v>93</v>
      </c>
      <c r="V3090">
        <v>29</v>
      </c>
      <c r="W3090">
        <v>27</v>
      </c>
      <c r="X3090">
        <v>54</v>
      </c>
      <c r="Y3090">
        <v>1.72</v>
      </c>
    </row>
    <row r="3091" spans="1:25" x14ac:dyDescent="0.25">
      <c r="A3091">
        <v>2026</v>
      </c>
      <c r="B3091" t="s">
        <v>57</v>
      </c>
      <c r="C3091">
        <v>2</v>
      </c>
      <c r="D3091">
        <v>11</v>
      </c>
      <c r="E3091" t="s">
        <v>98</v>
      </c>
      <c r="F3091" t="s">
        <v>41</v>
      </c>
      <c r="G3091">
        <f t="shared" si="3160"/>
        <v>0</v>
      </c>
      <c r="H3091">
        <v>6</v>
      </c>
      <c r="I3091">
        <v>7</v>
      </c>
      <c r="J3091">
        <v>0</v>
      </c>
      <c r="K3091" s="6" t="str">
        <f t="shared" ref="K3091" si="3275">"vs "&amp;E3090</f>
        <v>vs LRBP PR3DATORS</v>
      </c>
      <c r="L3091" s="6" t="str">
        <f t="shared" ref="L3091" si="3276">"vs "&amp;F3090</f>
        <v>vs Lafa</v>
      </c>
      <c r="M3091">
        <v>149</v>
      </c>
      <c r="N3091" s="1">
        <v>0.52700000000000002</v>
      </c>
      <c r="O3091">
        <v>43</v>
      </c>
      <c r="P3091" s="1">
        <v>0.40600000000000003</v>
      </c>
      <c r="Q3091" s="1">
        <v>0.81200000000000006</v>
      </c>
      <c r="R3091">
        <v>397</v>
      </c>
      <c r="S3091">
        <v>55</v>
      </c>
      <c r="T3091">
        <v>146</v>
      </c>
      <c r="U3091">
        <v>115</v>
      </c>
      <c r="V3091">
        <v>19</v>
      </c>
      <c r="W3091">
        <v>17</v>
      </c>
      <c r="X3091">
        <v>56</v>
      </c>
      <c r="Y3091">
        <v>2.0499999999999998</v>
      </c>
    </row>
    <row r="3092" spans="1:25" x14ac:dyDescent="0.25">
      <c r="A3092">
        <v>2026</v>
      </c>
      <c r="B3092" t="s">
        <v>57</v>
      </c>
      <c r="C3092">
        <v>2</v>
      </c>
      <c r="D3092">
        <v>12</v>
      </c>
      <c r="E3092" t="s">
        <v>26</v>
      </c>
      <c r="F3092" t="s">
        <v>118</v>
      </c>
      <c r="G3092">
        <f t="shared" si="3160"/>
        <v>0</v>
      </c>
      <c r="H3092">
        <v>3</v>
      </c>
      <c r="I3092">
        <v>10</v>
      </c>
      <c r="J3092">
        <v>0</v>
      </c>
      <c r="K3092" s="6" t="str">
        <f t="shared" ref="K3092" si="3277">"vs "&amp;E3093</f>
        <v>vs The Guns</v>
      </c>
      <c r="L3092" s="6" t="str">
        <f t="shared" ref="L3092" si="3278">"vs "&amp;F3093</f>
        <v>vs Vasilis</v>
      </c>
      <c r="M3092">
        <v>181</v>
      </c>
      <c r="N3092" s="1">
        <v>0.46899999999999997</v>
      </c>
      <c r="O3092">
        <v>53</v>
      </c>
      <c r="P3092" s="1">
        <v>0.34599999999999997</v>
      </c>
      <c r="Q3092" s="1">
        <v>0.82799999999999996</v>
      </c>
      <c r="R3092">
        <v>521</v>
      </c>
      <c r="S3092">
        <v>49</v>
      </c>
      <c r="T3092">
        <v>110</v>
      </c>
      <c r="U3092">
        <v>80</v>
      </c>
      <c r="V3092">
        <v>22</v>
      </c>
      <c r="W3092">
        <v>14</v>
      </c>
      <c r="X3092">
        <v>39</v>
      </c>
      <c r="Y3092">
        <v>2.0499999999999998</v>
      </c>
    </row>
    <row r="3093" spans="1:25" x14ac:dyDescent="0.25">
      <c r="A3093">
        <v>2026</v>
      </c>
      <c r="B3093" t="s">
        <v>57</v>
      </c>
      <c r="C3093">
        <v>2</v>
      </c>
      <c r="D3093">
        <v>12</v>
      </c>
      <c r="E3093" t="s">
        <v>33</v>
      </c>
      <c r="F3093" t="s">
        <v>42</v>
      </c>
      <c r="G3093">
        <f t="shared" si="3160"/>
        <v>1</v>
      </c>
      <c r="H3093">
        <v>10</v>
      </c>
      <c r="I3093">
        <v>3</v>
      </c>
      <c r="J3093">
        <v>0</v>
      </c>
      <c r="K3093" s="6" t="str">
        <f t="shared" ref="K3093" si="3279">"vs "&amp;E3092</f>
        <v>vs Kourayo Vallecano</v>
      </c>
      <c r="L3093" s="6" t="str">
        <f t="shared" ref="L3093" si="3280">"vs "&amp;F3092</f>
        <v>vs Ziogas/Christof</v>
      </c>
      <c r="M3093">
        <v>212</v>
      </c>
      <c r="N3093" s="1">
        <v>0.47</v>
      </c>
      <c r="O3093">
        <v>75</v>
      </c>
      <c r="P3093" s="1">
        <v>0.35899999999999999</v>
      </c>
      <c r="Q3093" s="1">
        <v>0.89500000000000002</v>
      </c>
      <c r="R3093">
        <v>601</v>
      </c>
      <c r="S3093">
        <v>36</v>
      </c>
      <c r="T3093">
        <v>151</v>
      </c>
      <c r="U3093">
        <v>133</v>
      </c>
      <c r="V3093">
        <v>40</v>
      </c>
      <c r="W3093">
        <v>13</v>
      </c>
      <c r="X3093">
        <v>60</v>
      </c>
      <c r="Y3093">
        <v>2.2200000000000002</v>
      </c>
    </row>
    <row r="3094" spans="1:25" x14ac:dyDescent="0.25">
      <c r="A3094">
        <v>2026</v>
      </c>
      <c r="B3094" t="s">
        <v>57</v>
      </c>
      <c r="C3094">
        <v>2</v>
      </c>
      <c r="D3094">
        <v>13</v>
      </c>
      <c r="E3094" t="s">
        <v>16</v>
      </c>
      <c r="F3094" t="s">
        <v>51</v>
      </c>
      <c r="G3094">
        <f t="shared" si="3160"/>
        <v>1</v>
      </c>
      <c r="H3094">
        <v>8</v>
      </c>
      <c r="I3094">
        <v>5</v>
      </c>
      <c r="J3094">
        <v>0</v>
      </c>
      <c r="K3094" s="6" t="str">
        <f t="shared" ref="K3094" si="3281">"vs "&amp;E3095</f>
        <v>vs Tsarlatans</v>
      </c>
      <c r="L3094" s="6" t="str">
        <f t="shared" ref="L3094" si="3282">"vs "&amp;F3095</f>
        <v>vs Tzokos</v>
      </c>
      <c r="M3094">
        <v>170</v>
      </c>
      <c r="N3094" s="1">
        <v>0.44900000000000001</v>
      </c>
      <c r="O3094">
        <v>54</v>
      </c>
      <c r="P3094" s="1">
        <v>0.33800000000000002</v>
      </c>
      <c r="Q3094" s="1">
        <v>0.72399999999999998</v>
      </c>
      <c r="R3094">
        <v>486</v>
      </c>
      <c r="S3094">
        <v>50</v>
      </c>
      <c r="T3094">
        <v>140</v>
      </c>
      <c r="U3094">
        <v>83</v>
      </c>
      <c r="V3094">
        <v>28</v>
      </c>
      <c r="W3094">
        <v>18</v>
      </c>
      <c r="X3094">
        <v>45</v>
      </c>
      <c r="Y3094">
        <v>1.84</v>
      </c>
    </row>
    <row r="3095" spans="1:25" x14ac:dyDescent="0.25">
      <c r="A3095">
        <v>2026</v>
      </c>
      <c r="B3095" t="s">
        <v>57</v>
      </c>
      <c r="C3095">
        <v>2</v>
      </c>
      <c r="D3095">
        <v>13</v>
      </c>
      <c r="E3095" t="s">
        <v>99</v>
      </c>
      <c r="F3095" t="s">
        <v>45</v>
      </c>
      <c r="G3095">
        <f t="shared" si="3160"/>
        <v>0</v>
      </c>
      <c r="H3095">
        <v>5</v>
      </c>
      <c r="I3095">
        <v>8</v>
      </c>
      <c r="J3095">
        <v>0</v>
      </c>
      <c r="K3095" s="6" t="str">
        <f t="shared" ref="K3095" si="3283">"vs "&amp;E3094</f>
        <v>vs The Bridgeburners</v>
      </c>
      <c r="L3095" s="6" t="str">
        <f t="shared" ref="L3095" si="3284">"vs "&amp;F3094</f>
        <v>vs Fanis</v>
      </c>
      <c r="M3095">
        <v>144</v>
      </c>
      <c r="N3095" s="1">
        <v>0.45100000000000001</v>
      </c>
      <c r="O3095">
        <v>22</v>
      </c>
      <c r="P3095" s="1">
        <v>0.22</v>
      </c>
      <c r="Q3095" s="1">
        <v>0.77600000000000002</v>
      </c>
      <c r="R3095">
        <v>369</v>
      </c>
      <c r="S3095">
        <v>36</v>
      </c>
      <c r="T3095">
        <v>125</v>
      </c>
      <c r="U3095">
        <v>102</v>
      </c>
      <c r="V3095">
        <v>26</v>
      </c>
      <c r="W3095">
        <v>23</v>
      </c>
      <c r="X3095">
        <v>47</v>
      </c>
      <c r="Y3095">
        <v>2.17</v>
      </c>
    </row>
    <row r="3096" spans="1:25" x14ac:dyDescent="0.25">
      <c r="A3096">
        <v>2026</v>
      </c>
      <c r="B3096" t="s">
        <v>57</v>
      </c>
      <c r="C3096">
        <v>2</v>
      </c>
      <c r="D3096">
        <v>14</v>
      </c>
      <c r="E3096" t="s">
        <v>184</v>
      </c>
      <c r="F3096" t="s">
        <v>188</v>
      </c>
      <c r="G3096">
        <f t="shared" si="3160"/>
        <v>0</v>
      </c>
      <c r="H3096">
        <v>5</v>
      </c>
      <c r="I3096">
        <v>8</v>
      </c>
      <c r="J3096">
        <v>0</v>
      </c>
      <c r="K3096" s="6" t="str">
        <f t="shared" ref="K3096" si="3285">"vs "&amp;E3097</f>
        <v>vs Hércules Pals</v>
      </c>
      <c r="L3096" s="6" t="str">
        <f t="shared" ref="L3096" si="3286">"vs "&amp;F3097</f>
        <v>vs Pals</v>
      </c>
      <c r="M3096">
        <v>71</v>
      </c>
      <c r="N3096" s="1">
        <v>0.52200000000000002</v>
      </c>
      <c r="O3096">
        <v>21</v>
      </c>
      <c r="P3096" s="1">
        <v>0.38200000000000001</v>
      </c>
      <c r="Q3096" s="1">
        <v>0.88600000000000001</v>
      </c>
      <c r="R3096">
        <v>194</v>
      </c>
      <c r="S3096">
        <v>18</v>
      </c>
      <c r="T3096">
        <v>40</v>
      </c>
      <c r="U3096">
        <v>37</v>
      </c>
      <c r="V3096">
        <v>12</v>
      </c>
      <c r="W3096">
        <v>6</v>
      </c>
      <c r="X3096">
        <v>16</v>
      </c>
      <c r="Y3096">
        <v>2.31</v>
      </c>
    </row>
    <row r="3097" spans="1:25" x14ac:dyDescent="0.25">
      <c r="A3097">
        <v>2026</v>
      </c>
      <c r="B3097" t="s">
        <v>57</v>
      </c>
      <c r="C3097">
        <v>2</v>
      </c>
      <c r="D3097">
        <v>14</v>
      </c>
      <c r="E3097" t="s">
        <v>201</v>
      </c>
      <c r="F3097" t="s">
        <v>227</v>
      </c>
      <c r="G3097">
        <f t="shared" si="3160"/>
        <v>1</v>
      </c>
      <c r="H3097">
        <v>8</v>
      </c>
      <c r="I3097">
        <v>5</v>
      </c>
      <c r="J3097">
        <v>0</v>
      </c>
      <c r="K3097" s="6" t="str">
        <f t="shared" ref="K3097" si="3287">"vs "&amp;E3096</f>
        <v>vs Heraklion Snakes</v>
      </c>
      <c r="L3097" s="6" t="str">
        <f t="shared" ref="L3097" si="3288">"vs "&amp;F3096</f>
        <v>vs Dimitris</v>
      </c>
      <c r="M3097">
        <v>102</v>
      </c>
      <c r="N3097" s="1">
        <v>0.40600000000000003</v>
      </c>
      <c r="O3097">
        <v>38</v>
      </c>
      <c r="P3097" s="1">
        <v>0.32500000000000001</v>
      </c>
      <c r="Q3097" s="1">
        <v>0.75</v>
      </c>
      <c r="R3097">
        <v>290</v>
      </c>
      <c r="S3097">
        <v>41</v>
      </c>
      <c r="T3097">
        <v>86</v>
      </c>
      <c r="U3097">
        <v>74</v>
      </c>
      <c r="V3097">
        <v>26</v>
      </c>
      <c r="W3097">
        <v>15</v>
      </c>
      <c r="X3097">
        <v>40</v>
      </c>
      <c r="Y3097">
        <v>1.85</v>
      </c>
    </row>
    <row r="3098" spans="1:25" x14ac:dyDescent="0.25">
      <c r="A3098">
        <v>2026</v>
      </c>
      <c r="B3098" t="s">
        <v>57</v>
      </c>
      <c r="C3098">
        <v>2</v>
      </c>
      <c r="D3098">
        <v>15</v>
      </c>
      <c r="E3098" t="s">
        <v>93</v>
      </c>
      <c r="F3098" t="s">
        <v>189</v>
      </c>
      <c r="G3098">
        <f t="shared" ref="G3098:G3161" si="3289">IF(H3098+0.5*J3098&gt;6.5,1,0)</f>
        <v>0</v>
      </c>
      <c r="H3098">
        <v>6</v>
      </c>
      <c r="I3098">
        <v>7</v>
      </c>
      <c r="J3098">
        <v>0</v>
      </c>
      <c r="K3098" s="6" t="str">
        <f t="shared" ref="K3098" si="3290">"vs "&amp;E3099</f>
        <v>vs Fighting Thaddeus</v>
      </c>
      <c r="L3098" s="6" t="str">
        <f t="shared" ref="L3098" si="3291">"vs "&amp;F3099</f>
        <v>vs Stavros</v>
      </c>
      <c r="M3098">
        <v>135</v>
      </c>
      <c r="N3098" s="1">
        <v>0.44700000000000001</v>
      </c>
      <c r="O3098">
        <v>55</v>
      </c>
      <c r="P3098" s="1">
        <v>0.39</v>
      </c>
      <c r="Q3098" s="1">
        <v>0.85699999999999998</v>
      </c>
      <c r="R3098">
        <v>415</v>
      </c>
      <c r="S3098">
        <v>27</v>
      </c>
      <c r="T3098">
        <v>89</v>
      </c>
      <c r="U3098">
        <v>101</v>
      </c>
      <c r="V3098">
        <v>29</v>
      </c>
      <c r="W3098">
        <v>13</v>
      </c>
      <c r="X3098">
        <v>50</v>
      </c>
      <c r="Y3098">
        <v>2.02</v>
      </c>
    </row>
    <row r="3099" spans="1:25" x14ac:dyDescent="0.25">
      <c r="A3099">
        <v>2026</v>
      </c>
      <c r="B3099" t="s">
        <v>57</v>
      </c>
      <c r="C3099">
        <v>2</v>
      </c>
      <c r="D3099">
        <v>15</v>
      </c>
      <c r="E3099" t="s">
        <v>94</v>
      </c>
      <c r="F3099" t="s">
        <v>40</v>
      </c>
      <c r="G3099">
        <f t="shared" si="3289"/>
        <v>1</v>
      </c>
      <c r="H3099">
        <v>7</v>
      </c>
      <c r="I3099">
        <v>6</v>
      </c>
      <c r="J3099">
        <v>0</v>
      </c>
      <c r="K3099" s="6" t="str">
        <f t="shared" ref="K3099" si="3292">"vs "&amp;E3098</f>
        <v>vs Guruuu 🐐🐐🐐</v>
      </c>
      <c r="L3099" s="6" t="str">
        <f t="shared" ref="L3099" si="3293">"vs "&amp;F3098</f>
        <v>vs Guru</v>
      </c>
      <c r="M3099">
        <v>160</v>
      </c>
      <c r="N3099" s="1">
        <v>0.42799999999999999</v>
      </c>
      <c r="O3099">
        <v>70</v>
      </c>
      <c r="P3099" s="1">
        <v>0.36499999999999999</v>
      </c>
      <c r="Q3099" s="1">
        <v>0.84599999999999997</v>
      </c>
      <c r="R3099">
        <v>467</v>
      </c>
      <c r="S3099">
        <v>31</v>
      </c>
      <c r="T3099">
        <v>124</v>
      </c>
      <c r="U3099">
        <v>113</v>
      </c>
      <c r="V3099">
        <v>25</v>
      </c>
      <c r="W3099">
        <v>14</v>
      </c>
      <c r="X3099">
        <v>56</v>
      </c>
      <c r="Y3099">
        <v>2.02</v>
      </c>
    </row>
    <row r="3100" spans="1:25" x14ac:dyDescent="0.25">
      <c r="A3100">
        <v>2026</v>
      </c>
      <c r="B3100" t="s">
        <v>57</v>
      </c>
      <c r="C3100">
        <v>2</v>
      </c>
      <c r="D3100">
        <v>16</v>
      </c>
      <c r="E3100" t="s">
        <v>96</v>
      </c>
      <c r="F3100" t="s">
        <v>102</v>
      </c>
      <c r="G3100">
        <f t="shared" si="3289"/>
        <v>0</v>
      </c>
      <c r="H3100">
        <v>3</v>
      </c>
      <c r="I3100">
        <v>10</v>
      </c>
      <c r="J3100">
        <v>0</v>
      </c>
      <c r="K3100" s="6" t="str">
        <f t="shared" ref="K3100" si="3294">"vs "&amp;E3101</f>
        <v>vs Karafli Saita</v>
      </c>
      <c r="L3100" s="6" t="str">
        <f t="shared" ref="L3100" si="3295">"vs "&amp;F3101</f>
        <v>vs Tassos</v>
      </c>
      <c r="M3100">
        <v>173</v>
      </c>
      <c r="N3100" s="1">
        <v>0.45100000000000001</v>
      </c>
      <c r="O3100">
        <v>56</v>
      </c>
      <c r="P3100" s="1">
        <v>0.38400000000000001</v>
      </c>
      <c r="Q3100" s="1">
        <v>0.83</v>
      </c>
      <c r="R3100">
        <v>490</v>
      </c>
      <c r="S3100">
        <v>44</v>
      </c>
      <c r="T3100">
        <v>107</v>
      </c>
      <c r="U3100">
        <v>122</v>
      </c>
      <c r="V3100">
        <v>28</v>
      </c>
      <c r="W3100">
        <v>14</v>
      </c>
      <c r="X3100">
        <v>73</v>
      </c>
      <c r="Y3100">
        <v>1.67</v>
      </c>
    </row>
    <row r="3101" spans="1:25" x14ac:dyDescent="0.25">
      <c r="A3101">
        <v>2026</v>
      </c>
      <c r="B3101" t="s">
        <v>57</v>
      </c>
      <c r="C3101">
        <v>2</v>
      </c>
      <c r="D3101">
        <v>16</v>
      </c>
      <c r="E3101" t="s">
        <v>186</v>
      </c>
      <c r="F3101" t="s">
        <v>103</v>
      </c>
      <c r="G3101">
        <f t="shared" si="3289"/>
        <v>1</v>
      </c>
      <c r="H3101">
        <v>10</v>
      </c>
      <c r="I3101">
        <v>3</v>
      </c>
      <c r="J3101">
        <v>0</v>
      </c>
      <c r="K3101" s="6" t="str">
        <f t="shared" ref="K3101" si="3296">"vs "&amp;E3100</f>
        <v>vs Knights of Ni</v>
      </c>
      <c r="L3101" s="6" t="str">
        <f t="shared" ref="L3101" si="3297">"vs "&amp;F3100</f>
        <v>vs Tolios</v>
      </c>
      <c r="M3101">
        <v>200</v>
      </c>
      <c r="N3101" s="1">
        <v>0.47599999999999998</v>
      </c>
      <c r="O3101">
        <v>60</v>
      </c>
      <c r="P3101" s="1">
        <v>0.35299999999999998</v>
      </c>
      <c r="Q3101" s="1">
        <v>0.82099999999999995</v>
      </c>
      <c r="R3101">
        <v>570</v>
      </c>
      <c r="S3101">
        <v>27</v>
      </c>
      <c r="T3101">
        <v>121</v>
      </c>
      <c r="U3101">
        <v>151</v>
      </c>
      <c r="V3101">
        <v>35</v>
      </c>
      <c r="W3101">
        <v>24</v>
      </c>
      <c r="X3101">
        <v>66</v>
      </c>
      <c r="Y3101">
        <v>2.29</v>
      </c>
    </row>
    <row r="3102" spans="1:25" x14ac:dyDescent="0.25">
      <c r="A3102">
        <v>2026</v>
      </c>
      <c r="B3102" t="s">
        <v>57</v>
      </c>
      <c r="C3102">
        <v>2</v>
      </c>
      <c r="D3102">
        <v>17</v>
      </c>
      <c r="E3102" t="s">
        <v>159</v>
      </c>
      <c r="F3102" t="s">
        <v>116</v>
      </c>
      <c r="G3102">
        <f t="shared" si="3289"/>
        <v>1</v>
      </c>
      <c r="H3102">
        <v>7</v>
      </c>
      <c r="I3102">
        <v>6</v>
      </c>
      <c r="J3102">
        <v>0</v>
      </c>
      <c r="K3102" s="6" t="str">
        <f t="shared" ref="K3102" si="3298">"vs "&amp;E3103</f>
        <v>vs Pachiana NinjaBees</v>
      </c>
      <c r="L3102" s="6" t="str">
        <f t="shared" ref="L3102" si="3299">"vs "&amp;F3103</f>
        <v>vs Spiridaus/Oladipas</v>
      </c>
      <c r="M3102">
        <v>226</v>
      </c>
      <c r="N3102" s="1">
        <v>0.50600000000000001</v>
      </c>
      <c r="O3102">
        <v>50</v>
      </c>
      <c r="P3102" s="1">
        <v>0.318</v>
      </c>
      <c r="Q3102" s="1">
        <v>0.82599999999999996</v>
      </c>
      <c r="R3102">
        <v>635</v>
      </c>
      <c r="S3102">
        <v>42</v>
      </c>
      <c r="T3102">
        <v>199</v>
      </c>
      <c r="U3102">
        <v>179</v>
      </c>
      <c r="V3102">
        <v>31</v>
      </c>
      <c r="W3102">
        <v>11</v>
      </c>
      <c r="X3102">
        <v>102</v>
      </c>
      <c r="Y3102">
        <v>1.75</v>
      </c>
    </row>
    <row r="3103" spans="1:25" x14ac:dyDescent="0.25">
      <c r="A3103">
        <v>2026</v>
      </c>
      <c r="B3103" t="s">
        <v>57</v>
      </c>
      <c r="C3103">
        <v>2</v>
      </c>
      <c r="D3103">
        <v>17</v>
      </c>
      <c r="E3103" t="s">
        <v>23</v>
      </c>
      <c r="F3103" t="s">
        <v>120</v>
      </c>
      <c r="G3103">
        <f t="shared" si="3289"/>
        <v>0</v>
      </c>
      <c r="H3103">
        <v>6</v>
      </c>
      <c r="I3103">
        <v>7</v>
      </c>
      <c r="J3103">
        <v>0</v>
      </c>
      <c r="K3103" s="6" t="str">
        <f t="shared" ref="K3103" si="3300">"vs "&amp;E3102</f>
        <v>vs purple fuzzy apache pirates</v>
      </c>
      <c r="L3103" s="6" t="str">
        <f t="shared" ref="L3103" si="3301">"vs "&amp;F3102</f>
        <v>vs pi/Sotiris</v>
      </c>
      <c r="M3103">
        <v>161</v>
      </c>
      <c r="N3103" s="1">
        <v>0.51400000000000001</v>
      </c>
      <c r="O3103">
        <v>51</v>
      </c>
      <c r="P3103" s="1">
        <v>0.432</v>
      </c>
      <c r="Q3103" s="1">
        <v>0.82499999999999996</v>
      </c>
      <c r="R3103">
        <v>439</v>
      </c>
      <c r="S3103">
        <v>31</v>
      </c>
      <c r="T3103">
        <v>126</v>
      </c>
      <c r="U3103">
        <v>106</v>
      </c>
      <c r="V3103">
        <v>29</v>
      </c>
      <c r="W3103">
        <v>28</v>
      </c>
      <c r="X3103">
        <v>60</v>
      </c>
      <c r="Y3103">
        <v>1.77</v>
      </c>
    </row>
    <row r="3104" spans="1:25" x14ac:dyDescent="0.25">
      <c r="A3104">
        <v>2026</v>
      </c>
      <c r="B3104" t="s">
        <v>57</v>
      </c>
      <c r="C3104">
        <v>2</v>
      </c>
      <c r="D3104">
        <v>18</v>
      </c>
      <c r="E3104" t="s">
        <v>154</v>
      </c>
      <c r="F3104" t="s">
        <v>155</v>
      </c>
      <c r="G3104">
        <f t="shared" si="3289"/>
        <v>1</v>
      </c>
      <c r="H3104">
        <v>11</v>
      </c>
      <c r="I3104">
        <v>2</v>
      </c>
      <c r="J3104">
        <v>0</v>
      </c>
      <c r="K3104" s="6" t="str">
        <f t="shared" ref="K3104" si="3302">"vs "&amp;E3105</f>
        <v>vs st.Helens Eruptions</v>
      </c>
      <c r="L3104" s="6" t="str">
        <f t="shared" ref="L3104" si="3303">"vs "&amp;F3105</f>
        <v>vs Aris</v>
      </c>
      <c r="M3104">
        <v>204</v>
      </c>
      <c r="N3104" s="1">
        <v>0.48299999999999998</v>
      </c>
      <c r="O3104">
        <v>59</v>
      </c>
      <c r="P3104" s="1">
        <v>0.38800000000000001</v>
      </c>
      <c r="Q3104" s="1">
        <v>0.73599999999999999</v>
      </c>
      <c r="R3104">
        <v>562</v>
      </c>
      <c r="S3104">
        <v>57</v>
      </c>
      <c r="T3104">
        <v>149</v>
      </c>
      <c r="U3104">
        <v>113</v>
      </c>
      <c r="V3104">
        <v>36</v>
      </c>
      <c r="W3104">
        <v>16</v>
      </c>
      <c r="X3104">
        <v>61</v>
      </c>
      <c r="Y3104">
        <v>1.85</v>
      </c>
    </row>
    <row r="3105" spans="1:25" x14ac:dyDescent="0.25">
      <c r="A3105">
        <v>2026</v>
      </c>
      <c r="B3105" t="s">
        <v>57</v>
      </c>
      <c r="C3105">
        <v>2</v>
      </c>
      <c r="D3105">
        <v>18</v>
      </c>
      <c r="E3105" t="s">
        <v>21</v>
      </c>
      <c r="F3105" t="s">
        <v>50</v>
      </c>
      <c r="G3105">
        <f t="shared" si="3289"/>
        <v>0</v>
      </c>
      <c r="H3105">
        <v>2</v>
      </c>
      <c r="I3105">
        <v>11</v>
      </c>
      <c r="J3105">
        <v>0</v>
      </c>
      <c r="K3105" s="6" t="str">
        <f t="shared" ref="K3105" si="3304">"vs "&amp;E3104</f>
        <v>vs The Bad Boys</v>
      </c>
      <c r="L3105" s="6" t="str">
        <f t="shared" ref="L3105" si="3305">"vs "&amp;F3104</f>
        <v>vs Arvanitis</v>
      </c>
      <c r="M3105">
        <v>176</v>
      </c>
      <c r="N3105" s="1">
        <v>0.47199999999999998</v>
      </c>
      <c r="O3105">
        <v>38</v>
      </c>
      <c r="P3105" s="1">
        <v>0.35199999999999998</v>
      </c>
      <c r="Q3105" s="1">
        <v>0.79600000000000004</v>
      </c>
      <c r="R3105">
        <v>472</v>
      </c>
      <c r="S3105">
        <v>37</v>
      </c>
      <c r="T3105">
        <v>117</v>
      </c>
      <c r="U3105">
        <v>77</v>
      </c>
      <c r="V3105">
        <v>30</v>
      </c>
      <c r="W3105">
        <v>15</v>
      </c>
      <c r="X3105">
        <v>57</v>
      </c>
      <c r="Y3105">
        <v>1.35</v>
      </c>
    </row>
    <row r="3106" spans="1:25" x14ac:dyDescent="0.25">
      <c r="A3106">
        <v>2026</v>
      </c>
      <c r="B3106" t="s">
        <v>57</v>
      </c>
      <c r="C3106">
        <v>2</v>
      </c>
      <c r="D3106">
        <v>19</v>
      </c>
      <c r="E3106" t="s">
        <v>181</v>
      </c>
      <c r="F3106" t="s">
        <v>49</v>
      </c>
      <c r="G3106">
        <f t="shared" si="3289"/>
        <v>1</v>
      </c>
      <c r="H3106">
        <v>10</v>
      </c>
      <c r="I3106">
        <v>3</v>
      </c>
      <c r="J3106">
        <v>0</v>
      </c>
      <c r="K3106" s="6" t="str">
        <f t="shared" ref="K3106" si="3306">"vs "&amp;E3107</f>
        <v>vs Paralouistas</v>
      </c>
      <c r="L3106" s="6" t="str">
        <f t="shared" ref="L3106" si="3307">"vs "&amp;F3107</f>
        <v>vs Panos</v>
      </c>
      <c r="M3106">
        <v>192</v>
      </c>
      <c r="N3106" s="1">
        <v>0.497</v>
      </c>
      <c r="O3106">
        <v>70</v>
      </c>
      <c r="P3106" s="1">
        <v>0.39800000000000002</v>
      </c>
      <c r="Q3106" s="1">
        <v>0.85599999999999998</v>
      </c>
      <c r="R3106">
        <v>543</v>
      </c>
      <c r="S3106">
        <v>16</v>
      </c>
      <c r="T3106">
        <v>100</v>
      </c>
      <c r="U3106">
        <v>130</v>
      </c>
      <c r="V3106">
        <v>43</v>
      </c>
      <c r="W3106">
        <v>14</v>
      </c>
      <c r="X3106">
        <v>52</v>
      </c>
      <c r="Y3106">
        <v>2.5</v>
      </c>
    </row>
    <row r="3107" spans="1:25" x14ac:dyDescent="0.25">
      <c r="A3107">
        <v>2026</v>
      </c>
      <c r="B3107" t="s">
        <v>57</v>
      </c>
      <c r="C3107">
        <v>2</v>
      </c>
      <c r="D3107">
        <v>19</v>
      </c>
      <c r="E3107" t="s">
        <v>185</v>
      </c>
      <c r="F3107" t="s">
        <v>100</v>
      </c>
      <c r="G3107">
        <f t="shared" si="3289"/>
        <v>0</v>
      </c>
      <c r="H3107">
        <v>3</v>
      </c>
      <c r="I3107">
        <v>10</v>
      </c>
      <c r="J3107">
        <v>0</v>
      </c>
      <c r="K3107" s="6" t="str">
        <f t="shared" ref="K3107" si="3308">"vs "&amp;E3106</f>
        <v>vs Samarina Dudenbros</v>
      </c>
      <c r="L3107" s="6" t="str">
        <f t="shared" ref="L3107" si="3309">"vs "&amp;F3106</f>
        <v>vs Sakellariou</v>
      </c>
      <c r="M3107">
        <v>176</v>
      </c>
      <c r="N3107" s="1">
        <v>0.46200000000000002</v>
      </c>
      <c r="O3107">
        <v>60</v>
      </c>
      <c r="P3107" s="1">
        <v>0.35299999999999998</v>
      </c>
      <c r="Q3107" s="1">
        <v>0.78600000000000003</v>
      </c>
      <c r="R3107">
        <v>478</v>
      </c>
      <c r="S3107">
        <v>37</v>
      </c>
      <c r="T3107">
        <v>132</v>
      </c>
      <c r="U3107">
        <v>111</v>
      </c>
      <c r="V3107">
        <v>26</v>
      </c>
      <c r="W3107">
        <v>20</v>
      </c>
      <c r="X3107">
        <v>64</v>
      </c>
      <c r="Y3107">
        <v>1.73</v>
      </c>
    </row>
    <row r="3108" spans="1:25" x14ac:dyDescent="0.25">
      <c r="A3108">
        <v>2026</v>
      </c>
      <c r="B3108" t="s">
        <v>57</v>
      </c>
      <c r="C3108">
        <v>2</v>
      </c>
      <c r="D3108">
        <v>20</v>
      </c>
      <c r="E3108" t="s">
        <v>15</v>
      </c>
      <c r="F3108" t="s">
        <v>48</v>
      </c>
      <c r="G3108">
        <f t="shared" si="3289"/>
        <v>1</v>
      </c>
      <c r="H3108">
        <v>7</v>
      </c>
      <c r="I3108">
        <v>6</v>
      </c>
      <c r="J3108">
        <v>0</v>
      </c>
      <c r="K3108" s="6" t="str">
        <f t="shared" ref="K3108" si="3310">"vs "&amp;E3109</f>
        <v>vs Steven Adams' Moustache</v>
      </c>
      <c r="L3108" s="6" t="str">
        <f t="shared" ref="L3108" si="3311">"vs "&amp;F3109</f>
        <v>vs Johnny</v>
      </c>
      <c r="M3108">
        <v>169</v>
      </c>
      <c r="N3108" s="1">
        <v>0.53800000000000003</v>
      </c>
      <c r="O3108">
        <v>36</v>
      </c>
      <c r="P3108" s="1">
        <v>0.39600000000000002</v>
      </c>
      <c r="Q3108" s="1">
        <v>0.79300000000000004</v>
      </c>
      <c r="R3108">
        <v>485</v>
      </c>
      <c r="S3108">
        <v>60</v>
      </c>
      <c r="T3108">
        <v>127</v>
      </c>
      <c r="U3108">
        <v>95</v>
      </c>
      <c r="V3108">
        <v>26</v>
      </c>
      <c r="W3108">
        <v>27</v>
      </c>
      <c r="X3108">
        <v>59</v>
      </c>
      <c r="Y3108">
        <v>1.61</v>
      </c>
    </row>
    <row r="3109" spans="1:25" x14ac:dyDescent="0.25">
      <c r="A3109">
        <v>2026</v>
      </c>
      <c r="B3109" t="s">
        <v>57</v>
      </c>
      <c r="C3109">
        <v>2</v>
      </c>
      <c r="D3109">
        <v>20</v>
      </c>
      <c r="E3109" t="s">
        <v>28</v>
      </c>
      <c r="F3109" t="s">
        <v>46</v>
      </c>
      <c r="G3109">
        <f t="shared" si="3289"/>
        <v>0</v>
      </c>
      <c r="H3109">
        <v>6</v>
      </c>
      <c r="I3109">
        <v>7</v>
      </c>
      <c r="J3109">
        <v>0</v>
      </c>
      <c r="K3109" s="6" t="str">
        <f t="shared" ref="K3109" si="3312">"vs "&amp;E3108</f>
        <v>vs Salonika Devils</v>
      </c>
      <c r="L3109" s="6" t="str">
        <f t="shared" ref="L3109" si="3313">"vs "&amp;F3108</f>
        <v>vs Fountos</v>
      </c>
      <c r="M3109">
        <v>135</v>
      </c>
      <c r="N3109" s="1">
        <v>0.46700000000000003</v>
      </c>
      <c r="O3109">
        <v>69</v>
      </c>
      <c r="P3109" s="1">
        <v>0.41799999999999998</v>
      </c>
      <c r="Q3109" s="1">
        <v>0.83099999999999996</v>
      </c>
      <c r="R3109">
        <v>388</v>
      </c>
      <c r="S3109">
        <v>33</v>
      </c>
      <c r="T3109">
        <v>96</v>
      </c>
      <c r="U3109">
        <v>93</v>
      </c>
      <c r="V3109">
        <v>29</v>
      </c>
      <c r="W3109">
        <v>15</v>
      </c>
      <c r="X3109">
        <v>35</v>
      </c>
      <c r="Y3109">
        <v>2.66</v>
      </c>
    </row>
    <row r="3110" spans="1:25" x14ac:dyDescent="0.25">
      <c r="A3110">
        <v>2026</v>
      </c>
      <c r="B3110" t="s">
        <v>57</v>
      </c>
      <c r="C3110">
        <v>3</v>
      </c>
      <c r="D3110">
        <v>21</v>
      </c>
      <c r="E3110" t="s">
        <v>33</v>
      </c>
      <c r="F3110" t="s">
        <v>42</v>
      </c>
      <c r="G3110">
        <f t="shared" si="3289"/>
        <v>0</v>
      </c>
      <c r="H3110">
        <v>6</v>
      </c>
      <c r="I3110">
        <v>7</v>
      </c>
      <c r="J3110">
        <v>0</v>
      </c>
      <c r="K3110" s="6" t="str">
        <f t="shared" ref="K3110" si="3314">"vs "&amp;E3111</f>
        <v>vs LRBP PR3DATORS</v>
      </c>
      <c r="L3110" s="6" t="str">
        <f t="shared" ref="L3110" si="3315">"vs "&amp;F3111</f>
        <v>vs Lafa</v>
      </c>
      <c r="M3110">
        <v>133</v>
      </c>
      <c r="N3110" s="1">
        <v>0.48199999999999998</v>
      </c>
      <c r="O3110">
        <v>56</v>
      </c>
      <c r="P3110" s="1">
        <v>0.44400000000000001</v>
      </c>
      <c r="Q3110" s="1">
        <v>0.85399999999999998</v>
      </c>
      <c r="R3110">
        <v>410</v>
      </c>
      <c r="S3110">
        <v>29</v>
      </c>
      <c r="T3110">
        <v>91</v>
      </c>
      <c r="U3110">
        <v>87</v>
      </c>
      <c r="V3110">
        <v>21</v>
      </c>
      <c r="W3110">
        <v>15</v>
      </c>
      <c r="X3110">
        <v>44</v>
      </c>
      <c r="Y3110">
        <v>1.98</v>
      </c>
    </row>
    <row r="3111" spans="1:25" x14ac:dyDescent="0.25">
      <c r="A3111">
        <v>2026</v>
      </c>
      <c r="B3111" t="s">
        <v>57</v>
      </c>
      <c r="C3111">
        <v>3</v>
      </c>
      <c r="D3111">
        <v>21</v>
      </c>
      <c r="E3111" t="s">
        <v>158</v>
      </c>
      <c r="F3111" t="s">
        <v>177</v>
      </c>
      <c r="G3111">
        <f t="shared" si="3289"/>
        <v>1</v>
      </c>
      <c r="H3111">
        <v>7</v>
      </c>
      <c r="I3111">
        <v>6</v>
      </c>
      <c r="J3111">
        <v>0</v>
      </c>
      <c r="K3111" s="6" t="str">
        <f t="shared" ref="K3111" si="3316">"vs "&amp;E3110</f>
        <v>vs The Guns</v>
      </c>
      <c r="L3111" s="6" t="str">
        <f t="shared" ref="L3111" si="3317">"vs "&amp;F3110</f>
        <v>vs Vasilis</v>
      </c>
      <c r="M3111">
        <v>184</v>
      </c>
      <c r="N3111" s="1">
        <v>0.47099999999999997</v>
      </c>
      <c r="O3111">
        <v>43</v>
      </c>
      <c r="P3111" s="1">
        <v>0.35</v>
      </c>
      <c r="Q3111" s="1">
        <v>0.77700000000000002</v>
      </c>
      <c r="R3111">
        <v>540</v>
      </c>
      <c r="S3111">
        <v>52</v>
      </c>
      <c r="T3111">
        <v>187</v>
      </c>
      <c r="U3111">
        <v>120</v>
      </c>
      <c r="V3111">
        <v>35</v>
      </c>
      <c r="W3111">
        <v>33</v>
      </c>
      <c r="X3111">
        <v>71</v>
      </c>
      <c r="Y3111">
        <v>1.69</v>
      </c>
    </row>
    <row r="3112" spans="1:25" x14ac:dyDescent="0.25">
      <c r="A3112">
        <v>2026</v>
      </c>
      <c r="B3112" t="s">
        <v>57</v>
      </c>
      <c r="C3112">
        <v>3</v>
      </c>
      <c r="D3112">
        <v>22</v>
      </c>
      <c r="E3112" t="s">
        <v>99</v>
      </c>
      <c r="F3112" t="s">
        <v>45</v>
      </c>
      <c r="G3112">
        <f t="shared" si="3289"/>
        <v>0</v>
      </c>
      <c r="H3112">
        <v>4</v>
      </c>
      <c r="I3112">
        <v>9</v>
      </c>
      <c r="J3112">
        <v>0</v>
      </c>
      <c r="K3112" s="6" t="str">
        <f t="shared" ref="K3112" si="3318">"vs "&amp;E3113</f>
        <v>vs Xanthi Ducks 🦆</v>
      </c>
      <c r="L3112" s="6" t="str">
        <f t="shared" ref="L3112" si="3319">"vs "&amp;F3113</f>
        <v>vs Kotakis</v>
      </c>
      <c r="M3112">
        <v>137</v>
      </c>
      <c r="N3112" s="1">
        <v>0.43099999999999999</v>
      </c>
      <c r="O3112">
        <v>32</v>
      </c>
      <c r="P3112" s="1">
        <v>0.28799999999999998</v>
      </c>
      <c r="Q3112" s="1">
        <v>0.76500000000000001</v>
      </c>
      <c r="R3112">
        <v>381</v>
      </c>
      <c r="S3112">
        <v>51</v>
      </c>
      <c r="T3112">
        <v>147</v>
      </c>
      <c r="U3112">
        <v>109</v>
      </c>
      <c r="V3112">
        <v>33</v>
      </c>
      <c r="W3112">
        <v>29</v>
      </c>
      <c r="X3112">
        <v>77</v>
      </c>
      <c r="Y3112">
        <v>1.42</v>
      </c>
    </row>
    <row r="3113" spans="1:25" x14ac:dyDescent="0.25">
      <c r="A3113">
        <v>2026</v>
      </c>
      <c r="B3113" t="s">
        <v>57</v>
      </c>
      <c r="C3113">
        <v>3</v>
      </c>
      <c r="D3113">
        <v>22</v>
      </c>
      <c r="E3113" t="s">
        <v>98</v>
      </c>
      <c r="F3113" t="s">
        <v>41</v>
      </c>
      <c r="G3113">
        <f t="shared" si="3289"/>
        <v>1</v>
      </c>
      <c r="H3113">
        <v>9</v>
      </c>
      <c r="I3113">
        <v>4</v>
      </c>
      <c r="J3113">
        <v>0</v>
      </c>
      <c r="K3113" s="6" t="str">
        <f t="shared" ref="K3113" si="3320">"vs "&amp;E3112</f>
        <v>vs Tsarlatans</v>
      </c>
      <c r="L3113" s="6" t="str">
        <f t="shared" ref="L3113" si="3321">"vs "&amp;F3112</f>
        <v>vs Tzokos</v>
      </c>
      <c r="M3113">
        <v>159</v>
      </c>
      <c r="N3113" s="1">
        <v>0.51</v>
      </c>
      <c r="O3113">
        <v>49</v>
      </c>
      <c r="P3113" s="1">
        <v>0.40799999999999997</v>
      </c>
      <c r="Q3113" s="1">
        <v>0.80800000000000005</v>
      </c>
      <c r="R3113">
        <v>430</v>
      </c>
      <c r="S3113">
        <v>42</v>
      </c>
      <c r="T3113">
        <v>121</v>
      </c>
      <c r="U3113">
        <v>91</v>
      </c>
      <c r="V3113">
        <v>41</v>
      </c>
      <c r="W3113">
        <v>16</v>
      </c>
      <c r="X3113">
        <v>46</v>
      </c>
      <c r="Y3113">
        <v>1.98</v>
      </c>
    </row>
    <row r="3114" spans="1:25" x14ac:dyDescent="0.25">
      <c r="A3114">
        <v>2026</v>
      </c>
      <c r="B3114" t="s">
        <v>57</v>
      </c>
      <c r="C3114">
        <v>3</v>
      </c>
      <c r="D3114">
        <v>23</v>
      </c>
      <c r="E3114" t="s">
        <v>201</v>
      </c>
      <c r="F3114" t="s">
        <v>227</v>
      </c>
      <c r="G3114">
        <f t="shared" si="3289"/>
        <v>0</v>
      </c>
      <c r="H3114">
        <v>4</v>
      </c>
      <c r="I3114">
        <v>9</v>
      </c>
      <c r="J3114">
        <v>0</v>
      </c>
      <c r="K3114" s="6" t="str">
        <f t="shared" ref="K3114" si="3322">"vs "&amp;E3115</f>
        <v>vs Kourayo Vallecano</v>
      </c>
      <c r="L3114" s="6" t="str">
        <f t="shared" ref="L3114" si="3323">"vs "&amp;F3115</f>
        <v>vs Ziogas/Christof</v>
      </c>
      <c r="M3114">
        <v>108</v>
      </c>
      <c r="N3114" s="1">
        <v>0.42699999999999999</v>
      </c>
      <c r="O3114">
        <v>49</v>
      </c>
      <c r="P3114" s="1">
        <v>0.374</v>
      </c>
      <c r="Q3114" s="1">
        <v>0.78900000000000003</v>
      </c>
      <c r="R3114">
        <v>310</v>
      </c>
      <c r="S3114">
        <v>40</v>
      </c>
      <c r="T3114">
        <v>101</v>
      </c>
      <c r="U3114">
        <v>72</v>
      </c>
      <c r="V3114">
        <v>24</v>
      </c>
      <c r="W3114">
        <v>18</v>
      </c>
      <c r="X3114">
        <v>57</v>
      </c>
      <c r="Y3114">
        <v>1.26</v>
      </c>
    </row>
    <row r="3115" spans="1:25" x14ac:dyDescent="0.25">
      <c r="A3115">
        <v>2026</v>
      </c>
      <c r="B3115" t="s">
        <v>57</v>
      </c>
      <c r="C3115">
        <v>3</v>
      </c>
      <c r="D3115">
        <v>23</v>
      </c>
      <c r="E3115" t="s">
        <v>26</v>
      </c>
      <c r="F3115" t="s">
        <v>118</v>
      </c>
      <c r="G3115">
        <f t="shared" si="3289"/>
        <v>1</v>
      </c>
      <c r="H3115">
        <v>9</v>
      </c>
      <c r="I3115">
        <v>4</v>
      </c>
      <c r="J3115">
        <v>0</v>
      </c>
      <c r="K3115" s="6" t="str">
        <f t="shared" ref="K3115" si="3324">"vs "&amp;E3114</f>
        <v>vs Hércules Pals</v>
      </c>
      <c r="L3115" s="6" t="str">
        <f t="shared" ref="L3115" si="3325">"vs "&amp;F3114</f>
        <v>vs Pals</v>
      </c>
      <c r="M3115">
        <v>174</v>
      </c>
      <c r="N3115" s="1">
        <v>0.47399999999999998</v>
      </c>
      <c r="O3115">
        <v>50</v>
      </c>
      <c r="P3115" s="1">
        <v>0.34</v>
      </c>
      <c r="Q3115" s="1">
        <v>0.77</v>
      </c>
      <c r="R3115">
        <v>475</v>
      </c>
      <c r="S3115">
        <v>47</v>
      </c>
      <c r="T3115">
        <v>134</v>
      </c>
      <c r="U3115">
        <v>110</v>
      </c>
      <c r="V3115">
        <v>37</v>
      </c>
      <c r="W3115">
        <v>15</v>
      </c>
      <c r="X3115">
        <v>60</v>
      </c>
      <c r="Y3115">
        <v>1.83</v>
      </c>
    </row>
    <row r="3116" spans="1:25" x14ac:dyDescent="0.25">
      <c r="A3116">
        <v>2026</v>
      </c>
      <c r="B3116" t="s">
        <v>57</v>
      </c>
      <c r="C3116">
        <v>3</v>
      </c>
      <c r="D3116">
        <v>24</v>
      </c>
      <c r="E3116" t="s">
        <v>94</v>
      </c>
      <c r="F3116" t="s">
        <v>40</v>
      </c>
      <c r="G3116">
        <f t="shared" si="3289"/>
        <v>0</v>
      </c>
      <c r="H3116">
        <v>5</v>
      </c>
      <c r="I3116">
        <v>8</v>
      </c>
      <c r="J3116">
        <v>0</v>
      </c>
      <c r="K3116" s="6" t="str">
        <f t="shared" ref="K3116" si="3326">"vs "&amp;E3117</f>
        <v>vs The Bridgeburners</v>
      </c>
      <c r="L3116" s="6" t="str">
        <f t="shared" ref="L3116" si="3327">"vs "&amp;F3117</f>
        <v>vs Fanis</v>
      </c>
      <c r="M3116">
        <v>148</v>
      </c>
      <c r="N3116" s="1">
        <v>0.42499999999999999</v>
      </c>
      <c r="O3116">
        <v>55</v>
      </c>
      <c r="P3116" s="1">
        <v>0.34599999999999997</v>
      </c>
      <c r="Q3116" s="1">
        <v>0.79700000000000004</v>
      </c>
      <c r="R3116">
        <v>410</v>
      </c>
      <c r="S3116">
        <v>25</v>
      </c>
      <c r="T3116">
        <v>91</v>
      </c>
      <c r="U3116">
        <v>99</v>
      </c>
      <c r="V3116">
        <v>38</v>
      </c>
      <c r="W3116">
        <v>22</v>
      </c>
      <c r="X3116">
        <v>50</v>
      </c>
      <c r="Y3116">
        <v>1.98</v>
      </c>
    </row>
    <row r="3117" spans="1:25" x14ac:dyDescent="0.25">
      <c r="A3117">
        <v>2026</v>
      </c>
      <c r="B3117" t="s">
        <v>57</v>
      </c>
      <c r="C3117">
        <v>3</v>
      </c>
      <c r="D3117">
        <v>24</v>
      </c>
      <c r="E3117" t="s">
        <v>16</v>
      </c>
      <c r="F3117" t="s">
        <v>51</v>
      </c>
      <c r="G3117">
        <f t="shared" si="3289"/>
        <v>1</v>
      </c>
      <c r="H3117">
        <v>8</v>
      </c>
      <c r="I3117">
        <v>5</v>
      </c>
      <c r="J3117">
        <v>0</v>
      </c>
      <c r="K3117" s="6" t="str">
        <f t="shared" ref="K3117" si="3328">"vs "&amp;E3116</f>
        <v>vs Fighting Thaddeus</v>
      </c>
      <c r="L3117" s="6" t="str">
        <f t="shared" ref="L3117" si="3329">"vs "&amp;F3116</f>
        <v>vs Stavros</v>
      </c>
      <c r="M3117">
        <v>167</v>
      </c>
      <c r="N3117" s="1">
        <v>0.46100000000000002</v>
      </c>
      <c r="O3117">
        <v>43</v>
      </c>
      <c r="P3117" s="1">
        <v>0.33300000000000002</v>
      </c>
      <c r="Q3117" s="1">
        <v>0.84</v>
      </c>
      <c r="R3117">
        <v>466</v>
      </c>
      <c r="S3117">
        <v>73</v>
      </c>
      <c r="T3117">
        <v>125</v>
      </c>
      <c r="U3117">
        <v>102</v>
      </c>
      <c r="V3117">
        <v>32</v>
      </c>
      <c r="W3117">
        <v>24</v>
      </c>
      <c r="X3117">
        <v>58</v>
      </c>
      <c r="Y3117">
        <v>1.76</v>
      </c>
    </row>
    <row r="3118" spans="1:25" x14ac:dyDescent="0.25">
      <c r="A3118">
        <v>2026</v>
      </c>
      <c r="B3118" t="s">
        <v>57</v>
      </c>
      <c r="C3118">
        <v>3</v>
      </c>
      <c r="D3118">
        <v>25</v>
      </c>
      <c r="E3118" t="s">
        <v>186</v>
      </c>
      <c r="F3118" t="s">
        <v>103</v>
      </c>
      <c r="G3118">
        <f t="shared" si="3289"/>
        <v>1</v>
      </c>
      <c r="H3118">
        <v>11</v>
      </c>
      <c r="I3118">
        <v>2</v>
      </c>
      <c r="J3118">
        <v>0</v>
      </c>
      <c r="K3118" s="6" t="str">
        <f t="shared" ref="K3118" si="3330">"vs "&amp;E3119</f>
        <v>vs Heraklion Snakes</v>
      </c>
      <c r="L3118" s="6" t="str">
        <f t="shared" ref="L3118" si="3331">"vs "&amp;F3119</f>
        <v>vs Dimitris</v>
      </c>
      <c r="M3118">
        <v>242</v>
      </c>
      <c r="N3118" s="1">
        <v>0.48699999999999999</v>
      </c>
      <c r="O3118">
        <v>50</v>
      </c>
      <c r="P3118" s="1">
        <v>0.29799999999999999</v>
      </c>
      <c r="Q3118" s="1">
        <v>0.79700000000000004</v>
      </c>
      <c r="R3118">
        <v>648</v>
      </c>
      <c r="S3118">
        <v>40</v>
      </c>
      <c r="T3118">
        <v>146</v>
      </c>
      <c r="U3118">
        <v>130</v>
      </c>
      <c r="V3118">
        <v>38</v>
      </c>
      <c r="W3118">
        <v>41</v>
      </c>
      <c r="X3118">
        <v>73</v>
      </c>
      <c r="Y3118">
        <v>1.78</v>
      </c>
    </row>
    <row r="3119" spans="1:25" x14ac:dyDescent="0.25">
      <c r="A3119">
        <v>2026</v>
      </c>
      <c r="B3119" t="s">
        <v>57</v>
      </c>
      <c r="C3119">
        <v>3</v>
      </c>
      <c r="D3119">
        <v>25</v>
      </c>
      <c r="E3119" t="s">
        <v>184</v>
      </c>
      <c r="F3119" t="s">
        <v>188</v>
      </c>
      <c r="G3119">
        <f t="shared" si="3289"/>
        <v>0</v>
      </c>
      <c r="H3119">
        <v>2</v>
      </c>
      <c r="I3119">
        <v>11</v>
      </c>
      <c r="J3119">
        <v>0</v>
      </c>
      <c r="K3119" s="6" t="str">
        <f t="shared" ref="K3119" si="3332">"vs "&amp;E3118</f>
        <v>vs Karafli Saita</v>
      </c>
      <c r="L3119" s="6" t="str">
        <f t="shared" ref="L3119" si="3333">"vs "&amp;F3118</f>
        <v>vs Tassos</v>
      </c>
      <c r="M3119">
        <v>76</v>
      </c>
      <c r="N3119" s="1">
        <v>0.434</v>
      </c>
      <c r="O3119">
        <v>19</v>
      </c>
      <c r="P3119" s="1">
        <v>0.32800000000000001</v>
      </c>
      <c r="Q3119" s="1">
        <v>0.69399999999999995</v>
      </c>
      <c r="R3119">
        <v>196</v>
      </c>
      <c r="S3119">
        <v>29</v>
      </c>
      <c r="T3119">
        <v>60</v>
      </c>
      <c r="U3119">
        <v>44</v>
      </c>
      <c r="V3119">
        <v>18</v>
      </c>
      <c r="W3119">
        <v>4</v>
      </c>
      <c r="X3119">
        <v>27</v>
      </c>
      <c r="Y3119">
        <v>1.63</v>
      </c>
    </row>
    <row r="3120" spans="1:25" x14ac:dyDescent="0.25">
      <c r="A3120">
        <v>2026</v>
      </c>
      <c r="B3120" t="s">
        <v>57</v>
      </c>
      <c r="C3120">
        <v>3</v>
      </c>
      <c r="D3120">
        <v>26</v>
      </c>
      <c r="E3120" t="s">
        <v>23</v>
      </c>
      <c r="F3120" t="s">
        <v>120</v>
      </c>
      <c r="G3120">
        <f t="shared" si="3289"/>
        <v>0</v>
      </c>
      <c r="H3120">
        <v>6</v>
      </c>
      <c r="I3120">
        <v>7</v>
      </c>
      <c r="J3120">
        <v>0</v>
      </c>
      <c r="K3120" s="6" t="str">
        <f t="shared" ref="K3120" si="3334">"vs "&amp;E3121</f>
        <v>vs Guruuu 🐐🐐🐐</v>
      </c>
      <c r="L3120" s="6" t="str">
        <f t="shared" ref="L3120" si="3335">"vs "&amp;F3121</f>
        <v>vs Guru</v>
      </c>
      <c r="M3120">
        <v>147</v>
      </c>
      <c r="N3120" s="1">
        <v>0.46800000000000003</v>
      </c>
      <c r="O3120">
        <v>43</v>
      </c>
      <c r="P3120" s="1">
        <v>0.36799999999999999</v>
      </c>
      <c r="Q3120" s="1">
        <v>0.83499999999999996</v>
      </c>
      <c r="R3120">
        <v>403</v>
      </c>
      <c r="S3120">
        <v>38</v>
      </c>
      <c r="T3120">
        <v>99</v>
      </c>
      <c r="U3120">
        <v>94</v>
      </c>
      <c r="V3120">
        <v>37</v>
      </c>
      <c r="W3120">
        <v>23</v>
      </c>
      <c r="X3120">
        <v>57</v>
      </c>
      <c r="Y3120">
        <v>1.65</v>
      </c>
    </row>
    <row r="3121" spans="1:25" x14ac:dyDescent="0.25">
      <c r="A3121">
        <v>2026</v>
      </c>
      <c r="B3121" t="s">
        <v>57</v>
      </c>
      <c r="C3121">
        <v>3</v>
      </c>
      <c r="D3121">
        <v>26</v>
      </c>
      <c r="E3121" t="s">
        <v>93</v>
      </c>
      <c r="F3121" t="s">
        <v>189</v>
      </c>
      <c r="G3121">
        <f t="shared" si="3289"/>
        <v>1</v>
      </c>
      <c r="H3121">
        <v>7</v>
      </c>
      <c r="I3121">
        <v>6</v>
      </c>
      <c r="J3121">
        <v>0</v>
      </c>
      <c r="K3121" s="6" t="str">
        <f t="shared" ref="K3121" si="3336">"vs "&amp;E3120</f>
        <v>vs Pachiana NinjaBees</v>
      </c>
      <c r="L3121" s="6" t="str">
        <f t="shared" ref="L3121" si="3337">"vs "&amp;F3120</f>
        <v>vs Spiridaus/Oladipas</v>
      </c>
      <c r="M3121">
        <v>183</v>
      </c>
      <c r="N3121" s="1">
        <v>0.48499999999999999</v>
      </c>
      <c r="O3121">
        <v>55</v>
      </c>
      <c r="P3121" s="1">
        <v>0.36699999999999999</v>
      </c>
      <c r="Q3121" s="1">
        <v>0.78400000000000003</v>
      </c>
      <c r="R3121">
        <v>512</v>
      </c>
      <c r="S3121">
        <v>33</v>
      </c>
      <c r="T3121">
        <v>133</v>
      </c>
      <c r="U3121">
        <v>137</v>
      </c>
      <c r="V3121">
        <v>34</v>
      </c>
      <c r="W3121">
        <v>16</v>
      </c>
      <c r="X3121">
        <v>73</v>
      </c>
      <c r="Y3121">
        <v>1.88</v>
      </c>
    </row>
    <row r="3122" spans="1:25" x14ac:dyDescent="0.25">
      <c r="A3122">
        <v>2026</v>
      </c>
      <c r="B3122" t="s">
        <v>57</v>
      </c>
      <c r="C3122">
        <v>3</v>
      </c>
      <c r="D3122">
        <v>27</v>
      </c>
      <c r="E3122" t="s">
        <v>21</v>
      </c>
      <c r="F3122" t="s">
        <v>50</v>
      </c>
      <c r="G3122">
        <f t="shared" si="3289"/>
        <v>0</v>
      </c>
      <c r="H3122">
        <v>5</v>
      </c>
      <c r="I3122">
        <v>8</v>
      </c>
      <c r="J3122">
        <v>0</v>
      </c>
      <c r="K3122" s="6" t="str">
        <f t="shared" ref="K3122" si="3338">"vs "&amp;E3123</f>
        <v>vs Knights of Ni</v>
      </c>
      <c r="L3122" s="6" t="str">
        <f t="shared" ref="L3122" si="3339">"vs "&amp;F3123</f>
        <v>vs Tolios</v>
      </c>
      <c r="M3122">
        <v>146</v>
      </c>
      <c r="N3122" s="1">
        <v>0.46500000000000002</v>
      </c>
      <c r="O3122">
        <v>39</v>
      </c>
      <c r="P3122" s="1">
        <v>0.33900000000000002</v>
      </c>
      <c r="Q3122" s="1">
        <v>0.82799999999999996</v>
      </c>
      <c r="R3122">
        <v>384</v>
      </c>
      <c r="S3122">
        <v>37</v>
      </c>
      <c r="T3122">
        <v>119</v>
      </c>
      <c r="U3122">
        <v>94</v>
      </c>
      <c r="V3122">
        <v>21</v>
      </c>
      <c r="W3122">
        <v>15</v>
      </c>
      <c r="X3122">
        <v>59</v>
      </c>
      <c r="Y3122">
        <v>1.59</v>
      </c>
    </row>
    <row r="3123" spans="1:25" x14ac:dyDescent="0.25">
      <c r="A3123">
        <v>2026</v>
      </c>
      <c r="B3123" t="s">
        <v>57</v>
      </c>
      <c r="C3123">
        <v>3</v>
      </c>
      <c r="D3123">
        <v>27</v>
      </c>
      <c r="E3123" t="s">
        <v>96</v>
      </c>
      <c r="F3123" t="s">
        <v>102</v>
      </c>
      <c r="G3123">
        <f t="shared" si="3289"/>
        <v>1</v>
      </c>
      <c r="H3123">
        <v>8</v>
      </c>
      <c r="I3123">
        <v>5</v>
      </c>
      <c r="J3123">
        <v>0</v>
      </c>
      <c r="K3123" s="6" t="str">
        <f t="shared" ref="K3123" si="3340">"vs "&amp;E3122</f>
        <v>vs st.Helens Eruptions</v>
      </c>
      <c r="L3123" s="6" t="str">
        <f t="shared" ref="L3123" si="3341">"vs "&amp;F3122</f>
        <v>vs Aris</v>
      </c>
      <c r="M3123">
        <v>178</v>
      </c>
      <c r="N3123" s="1">
        <v>0.48199999999999998</v>
      </c>
      <c r="O3123">
        <v>51</v>
      </c>
      <c r="P3123" s="1">
        <v>0.38100000000000001</v>
      </c>
      <c r="Q3123" s="1">
        <v>0.85399999999999998</v>
      </c>
      <c r="R3123">
        <v>483</v>
      </c>
      <c r="S3123">
        <v>38</v>
      </c>
      <c r="T3123">
        <v>118</v>
      </c>
      <c r="U3123">
        <v>87</v>
      </c>
      <c r="V3123">
        <v>33</v>
      </c>
      <c r="W3123">
        <v>9</v>
      </c>
      <c r="X3123">
        <v>67</v>
      </c>
      <c r="Y3123">
        <v>1.3</v>
      </c>
    </row>
    <row r="3124" spans="1:25" x14ac:dyDescent="0.25">
      <c r="A3124">
        <v>2026</v>
      </c>
      <c r="B3124" t="s">
        <v>57</v>
      </c>
      <c r="C3124">
        <v>3</v>
      </c>
      <c r="D3124">
        <v>28</v>
      </c>
      <c r="E3124" t="s">
        <v>185</v>
      </c>
      <c r="F3124" t="s">
        <v>100</v>
      </c>
      <c r="G3124">
        <f t="shared" si="3289"/>
        <v>0</v>
      </c>
      <c r="H3124">
        <v>3</v>
      </c>
      <c r="I3124">
        <v>9</v>
      </c>
      <c r="J3124">
        <v>1</v>
      </c>
      <c r="K3124" s="6" t="str">
        <f t="shared" ref="K3124" si="3342">"vs "&amp;E3125</f>
        <v>vs purple fuzzy apache pirates</v>
      </c>
      <c r="L3124" s="6" t="str">
        <f t="shared" ref="L3124" si="3343">"vs "&amp;F3125</f>
        <v>vs pi/Sotiris</v>
      </c>
      <c r="M3124">
        <v>159</v>
      </c>
      <c r="N3124" s="1">
        <v>0.47899999999999998</v>
      </c>
      <c r="O3124">
        <v>42</v>
      </c>
      <c r="P3124" s="1">
        <v>0.32600000000000001</v>
      </c>
      <c r="Q3124" s="1">
        <v>0.79300000000000004</v>
      </c>
      <c r="R3124">
        <v>448</v>
      </c>
      <c r="S3124">
        <v>46</v>
      </c>
      <c r="T3124">
        <v>102</v>
      </c>
      <c r="U3124">
        <v>98</v>
      </c>
      <c r="V3124">
        <v>33</v>
      </c>
      <c r="W3124">
        <v>24</v>
      </c>
      <c r="X3124">
        <v>61</v>
      </c>
      <c r="Y3124">
        <v>1.61</v>
      </c>
    </row>
    <row r="3125" spans="1:25" x14ac:dyDescent="0.25">
      <c r="A3125">
        <v>2026</v>
      </c>
      <c r="B3125" t="s">
        <v>57</v>
      </c>
      <c r="C3125">
        <v>3</v>
      </c>
      <c r="D3125">
        <v>28</v>
      </c>
      <c r="E3125" t="s">
        <v>159</v>
      </c>
      <c r="F3125" t="s">
        <v>116</v>
      </c>
      <c r="G3125">
        <f t="shared" si="3289"/>
        <v>1</v>
      </c>
      <c r="H3125">
        <v>9</v>
      </c>
      <c r="I3125">
        <v>3</v>
      </c>
      <c r="J3125">
        <v>1</v>
      </c>
      <c r="K3125" s="6" t="str">
        <f t="shared" ref="K3125" si="3344">"vs "&amp;E3124</f>
        <v>vs Paralouistas</v>
      </c>
      <c r="L3125" s="6" t="str">
        <f t="shared" ref="L3125" si="3345">"vs "&amp;F3124</f>
        <v>vs Panos</v>
      </c>
      <c r="M3125">
        <v>238</v>
      </c>
      <c r="N3125" s="1">
        <v>0.52500000000000002</v>
      </c>
      <c r="O3125">
        <v>65</v>
      </c>
      <c r="P3125" s="1">
        <v>0.42799999999999999</v>
      </c>
      <c r="Q3125" s="1">
        <v>0.76600000000000001</v>
      </c>
      <c r="R3125">
        <v>649</v>
      </c>
      <c r="S3125">
        <v>52</v>
      </c>
      <c r="T3125">
        <v>152</v>
      </c>
      <c r="U3125">
        <v>146</v>
      </c>
      <c r="V3125">
        <v>30</v>
      </c>
      <c r="W3125">
        <v>12</v>
      </c>
      <c r="X3125">
        <v>61</v>
      </c>
      <c r="Y3125">
        <v>2.39</v>
      </c>
    </row>
    <row r="3126" spans="1:25" x14ac:dyDescent="0.25">
      <c r="A3126">
        <v>2026</v>
      </c>
      <c r="B3126" t="s">
        <v>57</v>
      </c>
      <c r="C3126">
        <v>3</v>
      </c>
      <c r="D3126">
        <v>29</v>
      </c>
      <c r="E3126" t="s">
        <v>28</v>
      </c>
      <c r="F3126" t="s">
        <v>46</v>
      </c>
      <c r="G3126">
        <f t="shared" si="3289"/>
        <v>0</v>
      </c>
      <c r="H3126">
        <v>4</v>
      </c>
      <c r="I3126">
        <v>9</v>
      </c>
      <c r="J3126">
        <v>0</v>
      </c>
      <c r="K3126" s="6" t="str">
        <f t="shared" ref="K3126" si="3346">"vs "&amp;E3127</f>
        <v>vs The Bad Boys</v>
      </c>
      <c r="L3126" s="6" t="str">
        <f t="shared" ref="L3126" si="3347">"vs "&amp;F3127</f>
        <v>vs Arvanitis</v>
      </c>
      <c r="M3126">
        <v>103</v>
      </c>
      <c r="N3126" s="1">
        <v>0.438</v>
      </c>
      <c r="O3126">
        <v>47</v>
      </c>
      <c r="P3126" s="1">
        <v>0.373</v>
      </c>
      <c r="Q3126" s="1">
        <v>0.83299999999999996</v>
      </c>
      <c r="R3126">
        <v>303</v>
      </c>
      <c r="S3126">
        <v>29</v>
      </c>
      <c r="T3126">
        <v>111</v>
      </c>
      <c r="U3126">
        <v>79</v>
      </c>
      <c r="V3126">
        <v>24</v>
      </c>
      <c r="W3126">
        <v>11</v>
      </c>
      <c r="X3126">
        <v>42</v>
      </c>
      <c r="Y3126">
        <v>1.88</v>
      </c>
    </row>
    <row r="3127" spans="1:25" x14ac:dyDescent="0.25">
      <c r="A3127">
        <v>2026</v>
      </c>
      <c r="B3127" t="s">
        <v>57</v>
      </c>
      <c r="C3127">
        <v>3</v>
      </c>
      <c r="D3127">
        <v>29</v>
      </c>
      <c r="E3127" t="s">
        <v>154</v>
      </c>
      <c r="F3127" t="s">
        <v>155</v>
      </c>
      <c r="G3127">
        <f t="shared" si="3289"/>
        <v>1</v>
      </c>
      <c r="H3127">
        <v>9</v>
      </c>
      <c r="I3127">
        <v>4</v>
      </c>
      <c r="J3127">
        <v>0</v>
      </c>
      <c r="K3127" s="6" t="str">
        <f t="shared" ref="K3127" si="3348">"vs "&amp;E3126</f>
        <v>vs Steven Adams' Moustache</v>
      </c>
      <c r="L3127" s="6" t="str">
        <f t="shared" ref="L3127" si="3349">"vs "&amp;F3126</f>
        <v>vs Johnny</v>
      </c>
      <c r="M3127">
        <v>207</v>
      </c>
      <c r="N3127" s="1">
        <v>0.46600000000000003</v>
      </c>
      <c r="O3127">
        <v>57</v>
      </c>
      <c r="P3127" s="1">
        <v>0.34100000000000003</v>
      </c>
      <c r="Q3127" s="1">
        <v>0.73099999999999998</v>
      </c>
      <c r="R3127">
        <v>547</v>
      </c>
      <c r="S3127">
        <v>46</v>
      </c>
      <c r="T3127">
        <v>120</v>
      </c>
      <c r="U3127">
        <v>134</v>
      </c>
      <c r="V3127">
        <v>43</v>
      </c>
      <c r="W3127">
        <v>20</v>
      </c>
      <c r="X3127">
        <v>76</v>
      </c>
      <c r="Y3127">
        <v>1.76</v>
      </c>
    </row>
    <row r="3128" spans="1:25" x14ac:dyDescent="0.25">
      <c r="A3128">
        <v>2026</v>
      </c>
      <c r="B3128" t="s">
        <v>57</v>
      </c>
      <c r="C3128">
        <v>3</v>
      </c>
      <c r="D3128">
        <v>30</v>
      </c>
      <c r="E3128" t="s">
        <v>15</v>
      </c>
      <c r="F3128" t="s">
        <v>48</v>
      </c>
      <c r="G3128">
        <f t="shared" si="3289"/>
        <v>0</v>
      </c>
      <c r="H3128">
        <v>6</v>
      </c>
      <c r="I3128">
        <v>7</v>
      </c>
      <c r="J3128">
        <v>0</v>
      </c>
      <c r="K3128" s="6" t="str">
        <f t="shared" ref="K3128" si="3350">"vs "&amp;E3129</f>
        <v>vs Samarina Dudenbros</v>
      </c>
      <c r="L3128" s="6" t="str">
        <f t="shared" ref="L3128" si="3351">"vs "&amp;F3129</f>
        <v>vs Sakellariou</v>
      </c>
      <c r="M3128">
        <v>176</v>
      </c>
      <c r="N3128" s="1">
        <v>0.48899999999999999</v>
      </c>
      <c r="O3128">
        <v>33</v>
      </c>
      <c r="P3128" s="1">
        <v>0.30599999999999999</v>
      </c>
      <c r="Q3128" s="1">
        <v>0.82799999999999996</v>
      </c>
      <c r="R3128">
        <v>491</v>
      </c>
      <c r="S3128">
        <v>58</v>
      </c>
      <c r="T3128">
        <v>158</v>
      </c>
      <c r="U3128">
        <v>97</v>
      </c>
      <c r="V3128">
        <v>36</v>
      </c>
      <c r="W3128">
        <v>17</v>
      </c>
      <c r="X3128">
        <v>44</v>
      </c>
      <c r="Y3128">
        <v>2.2000000000000002</v>
      </c>
    </row>
    <row r="3129" spans="1:25" x14ac:dyDescent="0.25">
      <c r="A3129">
        <v>2026</v>
      </c>
      <c r="B3129" t="s">
        <v>57</v>
      </c>
      <c r="C3129">
        <v>3</v>
      </c>
      <c r="D3129">
        <v>30</v>
      </c>
      <c r="E3129" t="s">
        <v>181</v>
      </c>
      <c r="F3129" t="s">
        <v>49</v>
      </c>
      <c r="G3129">
        <f t="shared" si="3289"/>
        <v>1</v>
      </c>
      <c r="H3129">
        <v>7</v>
      </c>
      <c r="I3129">
        <v>6</v>
      </c>
      <c r="J3129">
        <v>0</v>
      </c>
      <c r="K3129" s="6" t="str">
        <f t="shared" ref="K3129" si="3352">"vs "&amp;E3128</f>
        <v>vs Salonika Devils</v>
      </c>
      <c r="L3129" s="6" t="str">
        <f t="shared" ref="L3129" si="3353">"vs "&amp;F3128</f>
        <v>vs Fountos</v>
      </c>
      <c r="M3129">
        <v>175</v>
      </c>
      <c r="N3129" s="1">
        <v>0.46800000000000003</v>
      </c>
      <c r="O3129">
        <v>74</v>
      </c>
      <c r="P3129" s="1">
        <v>0.435</v>
      </c>
      <c r="Q3129" s="1">
        <v>0.92900000000000005</v>
      </c>
      <c r="R3129">
        <v>503</v>
      </c>
      <c r="S3129">
        <v>31</v>
      </c>
      <c r="T3129">
        <v>94</v>
      </c>
      <c r="U3129">
        <v>134</v>
      </c>
      <c r="V3129">
        <v>42</v>
      </c>
      <c r="W3129">
        <v>5</v>
      </c>
      <c r="X3129">
        <v>50</v>
      </c>
      <c r="Y3129">
        <v>2.68</v>
      </c>
    </row>
    <row r="3130" spans="1:25" x14ac:dyDescent="0.25">
      <c r="A3130">
        <v>2026</v>
      </c>
      <c r="B3130" t="s">
        <v>57</v>
      </c>
      <c r="C3130">
        <v>4</v>
      </c>
      <c r="D3130">
        <v>31</v>
      </c>
      <c r="E3130" t="s">
        <v>158</v>
      </c>
      <c r="F3130" t="s">
        <v>177</v>
      </c>
      <c r="G3130">
        <f t="shared" si="3289"/>
        <v>1</v>
      </c>
      <c r="H3130">
        <v>7</v>
      </c>
      <c r="I3130">
        <v>6</v>
      </c>
      <c r="J3130">
        <v>0</v>
      </c>
      <c r="K3130" s="6" t="str">
        <f t="shared" ref="K3130" si="3354">"vs "&amp;E3131</f>
        <v>vs Tsarlatans</v>
      </c>
      <c r="L3130" s="6" t="str">
        <f t="shared" ref="L3130" si="3355">"vs "&amp;F3131</f>
        <v>vs Tzokos</v>
      </c>
      <c r="M3130">
        <v>219</v>
      </c>
      <c r="N3130" s="1">
        <v>0.46500000000000002</v>
      </c>
      <c r="O3130">
        <v>67</v>
      </c>
      <c r="P3130" s="1">
        <v>0.39600000000000002</v>
      </c>
      <c r="Q3130" s="1">
        <v>0.81100000000000005</v>
      </c>
      <c r="R3130">
        <v>642</v>
      </c>
      <c r="S3130">
        <v>58</v>
      </c>
      <c r="T3130">
        <v>156</v>
      </c>
      <c r="U3130">
        <v>143</v>
      </c>
      <c r="V3130">
        <v>29</v>
      </c>
      <c r="W3130">
        <v>23</v>
      </c>
      <c r="X3130">
        <v>80</v>
      </c>
      <c r="Y3130">
        <v>1.79</v>
      </c>
    </row>
    <row r="3131" spans="1:25" x14ac:dyDescent="0.25">
      <c r="A3131">
        <v>2026</v>
      </c>
      <c r="B3131" t="s">
        <v>57</v>
      </c>
      <c r="C3131">
        <v>4</v>
      </c>
      <c r="D3131">
        <v>31</v>
      </c>
      <c r="E3131" t="s">
        <v>99</v>
      </c>
      <c r="F3131" t="s">
        <v>45</v>
      </c>
      <c r="G3131">
        <f t="shared" si="3289"/>
        <v>0</v>
      </c>
      <c r="H3131">
        <v>6</v>
      </c>
      <c r="I3131">
        <v>7</v>
      </c>
      <c r="J3131">
        <v>0</v>
      </c>
      <c r="K3131" s="6" t="str">
        <f t="shared" ref="K3131" si="3356">"vs "&amp;E3130</f>
        <v>vs LRBP PR3DATORS</v>
      </c>
      <c r="L3131" s="6" t="str">
        <f t="shared" ref="L3131" si="3357">"vs "&amp;F3130</f>
        <v>vs Lafa</v>
      </c>
      <c r="M3131">
        <v>182</v>
      </c>
      <c r="N3131" s="1">
        <v>0.51900000000000002</v>
      </c>
      <c r="O3131">
        <v>52</v>
      </c>
      <c r="P3131" s="1">
        <v>0.41899999999999998</v>
      </c>
      <c r="Q3131" s="1">
        <v>0.83199999999999996</v>
      </c>
      <c r="R3131">
        <v>505</v>
      </c>
      <c r="S3131">
        <v>60</v>
      </c>
      <c r="T3131">
        <v>165</v>
      </c>
      <c r="U3131">
        <v>106</v>
      </c>
      <c r="V3131">
        <v>27</v>
      </c>
      <c r="W3131">
        <v>18</v>
      </c>
      <c r="X3131">
        <v>66</v>
      </c>
      <c r="Y3131">
        <v>1.61</v>
      </c>
    </row>
    <row r="3132" spans="1:25" x14ac:dyDescent="0.25">
      <c r="A3132">
        <v>2026</v>
      </c>
      <c r="B3132" t="s">
        <v>57</v>
      </c>
      <c r="C3132">
        <v>4</v>
      </c>
      <c r="D3132">
        <v>32</v>
      </c>
      <c r="E3132" t="s">
        <v>33</v>
      </c>
      <c r="F3132" t="s">
        <v>42</v>
      </c>
      <c r="G3132">
        <f t="shared" si="3289"/>
        <v>1</v>
      </c>
      <c r="H3132">
        <v>10</v>
      </c>
      <c r="I3132">
        <v>3</v>
      </c>
      <c r="J3132">
        <v>0</v>
      </c>
      <c r="K3132" s="6" t="str">
        <f t="shared" ref="K3132" si="3358">"vs "&amp;E3133</f>
        <v>vs Hércules Pals</v>
      </c>
      <c r="L3132" s="6" t="str">
        <f t="shared" ref="L3132" si="3359">"vs "&amp;F3133</f>
        <v>vs Pals</v>
      </c>
      <c r="M3132">
        <v>157</v>
      </c>
      <c r="N3132" s="1">
        <v>0.44</v>
      </c>
      <c r="O3132">
        <v>58</v>
      </c>
      <c r="P3132" s="1">
        <v>0.34499999999999997</v>
      </c>
      <c r="Q3132" s="1">
        <v>0.878</v>
      </c>
      <c r="R3132">
        <v>458</v>
      </c>
      <c r="S3132">
        <v>26</v>
      </c>
      <c r="T3132">
        <v>114</v>
      </c>
      <c r="U3132">
        <v>114</v>
      </c>
      <c r="V3132">
        <v>35</v>
      </c>
      <c r="W3132">
        <v>19</v>
      </c>
      <c r="X3132">
        <v>71</v>
      </c>
      <c r="Y3132">
        <v>1.61</v>
      </c>
    </row>
    <row r="3133" spans="1:25" x14ac:dyDescent="0.25">
      <c r="A3133">
        <v>2026</v>
      </c>
      <c r="B3133" t="s">
        <v>57</v>
      </c>
      <c r="C3133">
        <v>4</v>
      </c>
      <c r="D3133">
        <v>32</v>
      </c>
      <c r="E3133" t="s">
        <v>201</v>
      </c>
      <c r="F3133" t="s">
        <v>227</v>
      </c>
      <c r="G3133">
        <f t="shared" si="3289"/>
        <v>0</v>
      </c>
      <c r="H3133">
        <v>3</v>
      </c>
      <c r="I3133">
        <v>10</v>
      </c>
      <c r="J3133">
        <v>0</v>
      </c>
      <c r="K3133" s="6" t="str">
        <f t="shared" ref="K3133" si="3360">"vs "&amp;E3132</f>
        <v>vs The Guns</v>
      </c>
      <c r="L3133" s="6" t="str">
        <f t="shared" ref="L3133" si="3361">"vs "&amp;F3132</f>
        <v>vs Vasilis</v>
      </c>
      <c r="M3133">
        <v>89</v>
      </c>
      <c r="N3133" s="1">
        <v>0.42599999999999999</v>
      </c>
      <c r="O3133">
        <v>38</v>
      </c>
      <c r="P3133" s="1">
        <v>0.32500000000000001</v>
      </c>
      <c r="Q3133" s="1">
        <v>0.89600000000000002</v>
      </c>
      <c r="R3133">
        <v>259</v>
      </c>
      <c r="S3133">
        <v>42</v>
      </c>
      <c r="T3133">
        <v>90</v>
      </c>
      <c r="U3133">
        <v>49</v>
      </c>
      <c r="V3133">
        <v>17</v>
      </c>
      <c r="W3133">
        <v>15</v>
      </c>
      <c r="X3133">
        <v>44</v>
      </c>
      <c r="Y3133">
        <v>1.1100000000000001</v>
      </c>
    </row>
    <row r="3134" spans="1:25" x14ac:dyDescent="0.25">
      <c r="A3134">
        <v>2026</v>
      </c>
      <c r="B3134" t="s">
        <v>57</v>
      </c>
      <c r="C3134">
        <v>4</v>
      </c>
      <c r="D3134">
        <v>33</v>
      </c>
      <c r="E3134" t="s">
        <v>98</v>
      </c>
      <c r="F3134" t="s">
        <v>41</v>
      </c>
      <c r="G3134">
        <f t="shared" si="3289"/>
        <v>0</v>
      </c>
      <c r="H3134">
        <v>5</v>
      </c>
      <c r="I3134">
        <v>8</v>
      </c>
      <c r="J3134">
        <v>0</v>
      </c>
      <c r="K3134" s="6" t="str">
        <f t="shared" ref="K3134" si="3362">"vs "&amp;E3135</f>
        <v>vs Fighting Thaddeus</v>
      </c>
      <c r="L3134" s="6" t="str">
        <f t="shared" ref="L3134" si="3363">"vs "&amp;F3135</f>
        <v>vs Stavros</v>
      </c>
      <c r="M3134">
        <v>144</v>
      </c>
      <c r="N3134" s="1">
        <v>0.49099999999999999</v>
      </c>
      <c r="O3134">
        <v>37</v>
      </c>
      <c r="P3134" s="1">
        <v>0.33600000000000002</v>
      </c>
      <c r="Q3134" s="1">
        <v>0.74199999999999999</v>
      </c>
      <c r="R3134">
        <v>371</v>
      </c>
      <c r="S3134">
        <v>44</v>
      </c>
      <c r="T3134">
        <v>128</v>
      </c>
      <c r="U3134">
        <v>88</v>
      </c>
      <c r="V3134">
        <v>36</v>
      </c>
      <c r="W3134">
        <v>19</v>
      </c>
      <c r="X3134">
        <v>53</v>
      </c>
      <c r="Y3134">
        <v>1.66</v>
      </c>
    </row>
    <row r="3135" spans="1:25" x14ac:dyDescent="0.25">
      <c r="A3135">
        <v>2026</v>
      </c>
      <c r="B3135" t="s">
        <v>57</v>
      </c>
      <c r="C3135">
        <v>4</v>
      </c>
      <c r="D3135">
        <v>33</v>
      </c>
      <c r="E3135" t="s">
        <v>94</v>
      </c>
      <c r="F3135" t="s">
        <v>40</v>
      </c>
      <c r="G3135">
        <f t="shared" si="3289"/>
        <v>1</v>
      </c>
      <c r="H3135">
        <v>8</v>
      </c>
      <c r="I3135">
        <v>5</v>
      </c>
      <c r="J3135">
        <v>0</v>
      </c>
      <c r="K3135" s="6" t="str">
        <f t="shared" ref="K3135" si="3364">"vs "&amp;E3134</f>
        <v>vs Xanthi Ducks 🦆</v>
      </c>
      <c r="L3135" s="6" t="str">
        <f t="shared" ref="L3135" si="3365">"vs "&amp;F3134</f>
        <v>vs Kotakis</v>
      </c>
      <c r="M3135">
        <v>155</v>
      </c>
      <c r="N3135" s="1">
        <v>0.45600000000000002</v>
      </c>
      <c r="O3135">
        <v>72</v>
      </c>
      <c r="P3135" s="1">
        <v>0.39600000000000002</v>
      </c>
      <c r="Q3135" s="1">
        <v>0.81399999999999995</v>
      </c>
      <c r="R3135">
        <v>452</v>
      </c>
      <c r="S3135">
        <v>18</v>
      </c>
      <c r="T3135">
        <v>103</v>
      </c>
      <c r="U3135">
        <v>94</v>
      </c>
      <c r="V3135">
        <v>24</v>
      </c>
      <c r="W3135">
        <v>14</v>
      </c>
      <c r="X3135">
        <v>33</v>
      </c>
      <c r="Y3135">
        <v>2.85</v>
      </c>
    </row>
    <row r="3136" spans="1:25" x14ac:dyDescent="0.25">
      <c r="A3136">
        <v>2026</v>
      </c>
      <c r="B3136" t="s">
        <v>57</v>
      </c>
      <c r="C3136">
        <v>4</v>
      </c>
      <c r="D3136">
        <v>34</v>
      </c>
      <c r="E3136" t="s">
        <v>26</v>
      </c>
      <c r="F3136" t="s">
        <v>118</v>
      </c>
      <c r="G3136">
        <f t="shared" si="3289"/>
        <v>1</v>
      </c>
      <c r="H3136">
        <v>10</v>
      </c>
      <c r="I3136">
        <v>2</v>
      </c>
      <c r="J3136">
        <v>1</v>
      </c>
      <c r="K3136" s="6" t="str">
        <f t="shared" ref="K3136" si="3366">"vs "&amp;E3137</f>
        <v>vs Karafli Saita</v>
      </c>
      <c r="L3136" s="6" t="str">
        <f t="shared" ref="L3136" si="3367">"vs "&amp;F3137</f>
        <v>vs Tassos</v>
      </c>
      <c r="M3136">
        <v>200</v>
      </c>
      <c r="N3136" s="1">
        <v>0.48899999999999999</v>
      </c>
      <c r="O3136">
        <v>76</v>
      </c>
      <c r="P3136" s="1">
        <v>0.40899999999999997</v>
      </c>
      <c r="Q3136" s="1">
        <v>0.876</v>
      </c>
      <c r="R3136">
        <v>582</v>
      </c>
      <c r="S3136">
        <v>53</v>
      </c>
      <c r="T3136">
        <v>132</v>
      </c>
      <c r="U3136">
        <v>124</v>
      </c>
      <c r="V3136">
        <v>32</v>
      </c>
      <c r="W3136">
        <v>17</v>
      </c>
      <c r="X3136">
        <v>43</v>
      </c>
      <c r="Y3136">
        <v>2.88</v>
      </c>
    </row>
    <row r="3137" spans="1:25" x14ac:dyDescent="0.25">
      <c r="A3137">
        <v>2026</v>
      </c>
      <c r="B3137" t="s">
        <v>57</v>
      </c>
      <c r="C3137">
        <v>4</v>
      </c>
      <c r="D3137">
        <v>34</v>
      </c>
      <c r="E3137" t="s">
        <v>186</v>
      </c>
      <c r="F3137" t="s">
        <v>103</v>
      </c>
      <c r="G3137">
        <f t="shared" si="3289"/>
        <v>0</v>
      </c>
      <c r="H3137">
        <v>2</v>
      </c>
      <c r="I3137">
        <v>10</v>
      </c>
      <c r="J3137">
        <v>1</v>
      </c>
      <c r="K3137" s="6" t="str">
        <f t="shared" ref="K3137" si="3368">"vs "&amp;E3136</f>
        <v>vs Kourayo Vallecano</v>
      </c>
      <c r="L3137" s="6" t="str">
        <f t="shared" ref="L3137" si="3369">"vs "&amp;F3136</f>
        <v>vs Ziogas/Christof</v>
      </c>
      <c r="M3137">
        <v>189</v>
      </c>
      <c r="N3137" s="1">
        <v>0.45100000000000001</v>
      </c>
      <c r="O3137">
        <v>36</v>
      </c>
      <c r="P3137" s="1">
        <v>0.29299999999999998</v>
      </c>
      <c r="Q3137" s="1">
        <v>0.79400000000000004</v>
      </c>
      <c r="R3137">
        <v>522</v>
      </c>
      <c r="S3137">
        <v>37</v>
      </c>
      <c r="T3137">
        <v>135</v>
      </c>
      <c r="U3137">
        <v>116</v>
      </c>
      <c r="V3137">
        <v>32</v>
      </c>
      <c r="W3137">
        <v>18</v>
      </c>
      <c r="X3137">
        <v>50</v>
      </c>
      <c r="Y3137">
        <v>2.3199999999999998</v>
      </c>
    </row>
    <row r="3138" spans="1:25" x14ac:dyDescent="0.25">
      <c r="A3138">
        <v>2026</v>
      </c>
      <c r="B3138" t="s">
        <v>57</v>
      </c>
      <c r="C3138">
        <v>4</v>
      </c>
      <c r="D3138">
        <v>35</v>
      </c>
      <c r="E3138" t="s">
        <v>16</v>
      </c>
      <c r="F3138" t="s">
        <v>51</v>
      </c>
      <c r="G3138">
        <f t="shared" si="3289"/>
        <v>1</v>
      </c>
      <c r="H3138">
        <v>8</v>
      </c>
      <c r="I3138">
        <v>5</v>
      </c>
      <c r="J3138">
        <v>0</v>
      </c>
      <c r="K3138" s="6" t="str">
        <f t="shared" ref="K3138" si="3370">"vs "&amp;E3139</f>
        <v>vs Pachiana NinjaBees</v>
      </c>
      <c r="L3138" s="6" t="str">
        <f t="shared" ref="L3138" si="3371">"vs "&amp;F3139</f>
        <v>vs Spiridaus/Oladipas</v>
      </c>
      <c r="M3138">
        <v>180</v>
      </c>
      <c r="N3138" s="1">
        <v>0.497</v>
      </c>
      <c r="O3138">
        <v>45</v>
      </c>
      <c r="P3138" s="1">
        <v>0.38100000000000001</v>
      </c>
      <c r="Q3138" s="1">
        <v>0.79400000000000004</v>
      </c>
      <c r="R3138">
        <v>536</v>
      </c>
      <c r="S3138">
        <v>63</v>
      </c>
      <c r="T3138">
        <v>154</v>
      </c>
      <c r="U3138">
        <v>87</v>
      </c>
      <c r="V3138">
        <v>31</v>
      </c>
      <c r="W3138">
        <v>33</v>
      </c>
      <c r="X3138">
        <v>63</v>
      </c>
      <c r="Y3138">
        <v>1.38</v>
      </c>
    </row>
    <row r="3139" spans="1:25" x14ac:dyDescent="0.25">
      <c r="A3139">
        <v>2026</v>
      </c>
      <c r="B3139" t="s">
        <v>57</v>
      </c>
      <c r="C3139">
        <v>4</v>
      </c>
      <c r="D3139">
        <v>35</v>
      </c>
      <c r="E3139" t="s">
        <v>23</v>
      </c>
      <c r="F3139" t="s">
        <v>120</v>
      </c>
      <c r="G3139">
        <f t="shared" si="3289"/>
        <v>0</v>
      </c>
      <c r="H3139">
        <v>5</v>
      </c>
      <c r="I3139">
        <v>8</v>
      </c>
      <c r="J3139">
        <v>0</v>
      </c>
      <c r="K3139" s="6" t="str">
        <f t="shared" ref="K3139" si="3372">"vs "&amp;E3138</f>
        <v>vs The Bridgeburners</v>
      </c>
      <c r="L3139" s="6" t="str">
        <f t="shared" ref="L3139" si="3373">"vs "&amp;F3138</f>
        <v>vs Fanis</v>
      </c>
      <c r="M3139">
        <v>172</v>
      </c>
      <c r="N3139" s="1">
        <v>0.499</v>
      </c>
      <c r="O3139">
        <v>42</v>
      </c>
      <c r="P3139" s="1">
        <v>0.372</v>
      </c>
      <c r="Q3139" s="1">
        <v>0.79</v>
      </c>
      <c r="R3139">
        <v>469</v>
      </c>
      <c r="S3139">
        <v>49</v>
      </c>
      <c r="T3139">
        <v>138</v>
      </c>
      <c r="U3139">
        <v>122</v>
      </c>
      <c r="V3139">
        <v>37</v>
      </c>
      <c r="W3139">
        <v>24</v>
      </c>
      <c r="X3139">
        <v>55</v>
      </c>
      <c r="Y3139">
        <v>2.2200000000000002</v>
      </c>
    </row>
    <row r="3140" spans="1:25" x14ac:dyDescent="0.25">
      <c r="A3140">
        <v>2026</v>
      </c>
      <c r="B3140" t="s">
        <v>57</v>
      </c>
      <c r="C3140">
        <v>4</v>
      </c>
      <c r="D3140">
        <v>36</v>
      </c>
      <c r="E3140" t="s">
        <v>184</v>
      </c>
      <c r="F3140" t="s">
        <v>188</v>
      </c>
      <c r="G3140">
        <f t="shared" si="3289"/>
        <v>0</v>
      </c>
      <c r="H3140">
        <v>4</v>
      </c>
      <c r="I3140">
        <v>9</v>
      </c>
      <c r="J3140">
        <v>0</v>
      </c>
      <c r="K3140" s="6" t="str">
        <f t="shared" ref="K3140" si="3374">"vs "&amp;E3141</f>
        <v>vs st.Helens Eruptions</v>
      </c>
      <c r="L3140" s="6" t="str">
        <f t="shared" ref="L3140" si="3375">"vs "&amp;F3141</f>
        <v>vs Aris</v>
      </c>
      <c r="M3140">
        <v>54</v>
      </c>
      <c r="N3140" s="1">
        <v>0.432</v>
      </c>
      <c r="O3140">
        <v>22</v>
      </c>
      <c r="P3140" s="1">
        <v>0.41499999999999998</v>
      </c>
      <c r="Q3140" s="1">
        <v>0.84599999999999997</v>
      </c>
      <c r="R3140">
        <v>163</v>
      </c>
      <c r="S3140">
        <v>17</v>
      </c>
      <c r="T3140">
        <v>48</v>
      </c>
      <c r="U3140">
        <v>30</v>
      </c>
      <c r="V3140">
        <v>12</v>
      </c>
      <c r="W3140">
        <v>8</v>
      </c>
      <c r="X3140">
        <v>17</v>
      </c>
      <c r="Y3140">
        <v>1.76</v>
      </c>
    </row>
    <row r="3141" spans="1:25" x14ac:dyDescent="0.25">
      <c r="A3141">
        <v>2026</v>
      </c>
      <c r="B3141" t="s">
        <v>57</v>
      </c>
      <c r="C3141">
        <v>4</v>
      </c>
      <c r="D3141">
        <v>36</v>
      </c>
      <c r="E3141" t="s">
        <v>21</v>
      </c>
      <c r="F3141" t="s">
        <v>50</v>
      </c>
      <c r="G3141">
        <f t="shared" si="3289"/>
        <v>1</v>
      </c>
      <c r="H3141">
        <v>9</v>
      </c>
      <c r="I3141">
        <v>4</v>
      </c>
      <c r="J3141">
        <v>0</v>
      </c>
      <c r="K3141" s="6" t="str">
        <f t="shared" ref="K3141" si="3376">"vs "&amp;E3140</f>
        <v>vs Heraklion Snakes</v>
      </c>
      <c r="L3141" s="6" t="str">
        <f t="shared" ref="L3141" si="3377">"vs "&amp;F3140</f>
        <v>vs Dimitris</v>
      </c>
      <c r="M3141">
        <v>137</v>
      </c>
      <c r="N3141" s="1">
        <v>0.46899999999999997</v>
      </c>
      <c r="O3141">
        <v>38</v>
      </c>
      <c r="P3141" s="1">
        <v>0.32500000000000001</v>
      </c>
      <c r="Q3141" s="1">
        <v>0.79200000000000004</v>
      </c>
      <c r="R3141">
        <v>350</v>
      </c>
      <c r="S3141">
        <v>31</v>
      </c>
      <c r="T3141">
        <v>101</v>
      </c>
      <c r="U3141">
        <v>91</v>
      </c>
      <c r="V3141">
        <v>28</v>
      </c>
      <c r="W3141">
        <v>14</v>
      </c>
      <c r="X3141">
        <v>59</v>
      </c>
      <c r="Y3141">
        <v>1.54</v>
      </c>
    </row>
    <row r="3142" spans="1:25" x14ac:dyDescent="0.25">
      <c r="A3142">
        <v>2026</v>
      </c>
      <c r="B3142" t="s">
        <v>57</v>
      </c>
      <c r="C3142">
        <v>4</v>
      </c>
      <c r="D3142">
        <v>37</v>
      </c>
      <c r="E3142" t="s">
        <v>93</v>
      </c>
      <c r="F3142" t="s">
        <v>189</v>
      </c>
      <c r="G3142">
        <f t="shared" si="3289"/>
        <v>1</v>
      </c>
      <c r="H3142">
        <v>8</v>
      </c>
      <c r="I3142">
        <v>5</v>
      </c>
      <c r="J3142">
        <v>0</v>
      </c>
      <c r="K3142" s="6" t="str">
        <f t="shared" ref="K3142" si="3378">"vs "&amp;E3143</f>
        <v>vs Paralouistas</v>
      </c>
      <c r="L3142" s="6" t="str">
        <f t="shared" ref="L3142" si="3379">"vs "&amp;F3143</f>
        <v>vs Panos</v>
      </c>
      <c r="M3142">
        <v>193</v>
      </c>
      <c r="N3142" s="1">
        <v>0.46500000000000002</v>
      </c>
      <c r="O3142">
        <v>65</v>
      </c>
      <c r="P3142" s="1">
        <v>0.35899999999999999</v>
      </c>
      <c r="Q3142" s="1">
        <v>0.79400000000000004</v>
      </c>
      <c r="R3142">
        <v>578</v>
      </c>
      <c r="S3142">
        <v>35</v>
      </c>
      <c r="T3142">
        <v>114</v>
      </c>
      <c r="U3142">
        <v>152</v>
      </c>
      <c r="V3142">
        <v>39</v>
      </c>
      <c r="W3142">
        <v>9</v>
      </c>
      <c r="X3142">
        <v>73</v>
      </c>
      <c r="Y3142">
        <v>2.08</v>
      </c>
    </row>
    <row r="3143" spans="1:25" x14ac:dyDescent="0.25">
      <c r="A3143">
        <v>2026</v>
      </c>
      <c r="B3143" t="s">
        <v>57</v>
      </c>
      <c r="C3143">
        <v>4</v>
      </c>
      <c r="D3143">
        <v>37</v>
      </c>
      <c r="E3143" t="s">
        <v>185</v>
      </c>
      <c r="F3143" t="s">
        <v>100</v>
      </c>
      <c r="G3143">
        <f t="shared" si="3289"/>
        <v>0</v>
      </c>
      <c r="H3143">
        <v>5</v>
      </c>
      <c r="I3143">
        <v>8</v>
      </c>
      <c r="J3143">
        <v>0</v>
      </c>
      <c r="K3143" s="6" t="str">
        <f t="shared" ref="K3143" si="3380">"vs "&amp;E3142</f>
        <v>vs Guruuu 🐐🐐🐐</v>
      </c>
      <c r="L3143" s="6" t="str">
        <f t="shared" ref="L3143" si="3381">"vs "&amp;F3142</f>
        <v>vs Guru</v>
      </c>
      <c r="M3143">
        <v>179</v>
      </c>
      <c r="N3143" s="1">
        <v>0.48399999999999999</v>
      </c>
      <c r="O3143">
        <v>48</v>
      </c>
      <c r="P3143" s="1">
        <v>0.34</v>
      </c>
      <c r="Q3143" s="1">
        <v>0.72399999999999998</v>
      </c>
      <c r="R3143">
        <v>490</v>
      </c>
      <c r="S3143">
        <v>25</v>
      </c>
      <c r="T3143">
        <v>150</v>
      </c>
      <c r="U3143">
        <v>135</v>
      </c>
      <c r="V3143">
        <v>26</v>
      </c>
      <c r="W3143">
        <v>23</v>
      </c>
      <c r="X3143">
        <v>53</v>
      </c>
      <c r="Y3143">
        <v>2.5499999999999998</v>
      </c>
    </row>
    <row r="3144" spans="1:25" x14ac:dyDescent="0.25">
      <c r="A3144">
        <v>2026</v>
      </c>
      <c r="B3144" t="s">
        <v>57</v>
      </c>
      <c r="C3144">
        <v>4</v>
      </c>
      <c r="D3144">
        <v>38</v>
      </c>
      <c r="E3144" t="s">
        <v>96</v>
      </c>
      <c r="F3144" t="s">
        <v>102</v>
      </c>
      <c r="G3144">
        <f t="shared" si="3289"/>
        <v>1</v>
      </c>
      <c r="H3144">
        <v>8</v>
      </c>
      <c r="I3144">
        <v>5</v>
      </c>
      <c r="J3144">
        <v>0</v>
      </c>
      <c r="K3144" s="6" t="str">
        <f t="shared" ref="K3144" si="3382">"vs "&amp;E3145</f>
        <v>vs Steven Adams' Moustache</v>
      </c>
      <c r="L3144" s="6" t="str">
        <f t="shared" ref="L3144" si="3383">"vs "&amp;F3145</f>
        <v>vs Johnny</v>
      </c>
      <c r="M3144">
        <v>185</v>
      </c>
      <c r="N3144" s="1">
        <v>0.437</v>
      </c>
      <c r="O3144">
        <v>47</v>
      </c>
      <c r="P3144" s="1">
        <v>0.29199999999999998</v>
      </c>
      <c r="Q3144" s="1">
        <v>0.84</v>
      </c>
      <c r="R3144">
        <v>517</v>
      </c>
      <c r="S3144">
        <v>34</v>
      </c>
      <c r="T3144">
        <v>115</v>
      </c>
      <c r="U3144">
        <v>107</v>
      </c>
      <c r="V3144">
        <v>39</v>
      </c>
      <c r="W3144">
        <v>19</v>
      </c>
      <c r="X3144">
        <v>78</v>
      </c>
      <c r="Y3144">
        <v>1.37</v>
      </c>
    </row>
    <row r="3145" spans="1:25" x14ac:dyDescent="0.25">
      <c r="A3145">
        <v>2026</v>
      </c>
      <c r="B3145" t="s">
        <v>57</v>
      </c>
      <c r="C3145">
        <v>4</v>
      </c>
      <c r="D3145">
        <v>38</v>
      </c>
      <c r="E3145" t="s">
        <v>28</v>
      </c>
      <c r="F3145" t="s">
        <v>46</v>
      </c>
      <c r="G3145">
        <f t="shared" si="3289"/>
        <v>0</v>
      </c>
      <c r="H3145">
        <v>5</v>
      </c>
      <c r="I3145">
        <v>8</v>
      </c>
      <c r="J3145">
        <v>0</v>
      </c>
      <c r="K3145" s="6" t="str">
        <f t="shared" ref="K3145" si="3384">"vs "&amp;E3144</f>
        <v>vs Knights of Ni</v>
      </c>
      <c r="L3145" s="6" t="str">
        <f t="shared" ref="L3145" si="3385">"vs "&amp;F3144</f>
        <v>vs Tolios</v>
      </c>
      <c r="M3145">
        <v>127</v>
      </c>
      <c r="N3145" s="1">
        <v>0.496</v>
      </c>
      <c r="O3145">
        <v>43</v>
      </c>
      <c r="P3145" s="1">
        <v>0.377</v>
      </c>
      <c r="Q3145" s="1">
        <v>0.86199999999999999</v>
      </c>
      <c r="R3145">
        <v>353</v>
      </c>
      <c r="S3145">
        <v>24</v>
      </c>
      <c r="T3145">
        <v>96</v>
      </c>
      <c r="U3145">
        <v>68</v>
      </c>
      <c r="V3145">
        <v>16</v>
      </c>
      <c r="W3145">
        <v>16</v>
      </c>
      <c r="X3145">
        <v>40</v>
      </c>
      <c r="Y3145">
        <v>1.7</v>
      </c>
    </row>
    <row r="3146" spans="1:25" x14ac:dyDescent="0.25">
      <c r="A3146">
        <v>2026</v>
      </c>
      <c r="B3146" t="s">
        <v>57</v>
      </c>
      <c r="C3146">
        <v>4</v>
      </c>
      <c r="D3146">
        <v>39</v>
      </c>
      <c r="E3146" t="s">
        <v>159</v>
      </c>
      <c r="F3146" t="s">
        <v>116</v>
      </c>
      <c r="G3146">
        <f t="shared" si="3289"/>
        <v>1</v>
      </c>
      <c r="H3146">
        <v>10</v>
      </c>
      <c r="I3146">
        <v>3</v>
      </c>
      <c r="J3146">
        <v>0</v>
      </c>
      <c r="K3146" s="6" t="str">
        <f t="shared" ref="K3146" si="3386">"vs "&amp;E3147</f>
        <v>vs Salonika Devils</v>
      </c>
      <c r="L3146" s="6" t="str">
        <f t="shared" ref="L3146" si="3387">"vs "&amp;F3147</f>
        <v>vs Fountos</v>
      </c>
      <c r="M3146">
        <v>227</v>
      </c>
      <c r="N3146" s="1">
        <v>0.50600000000000001</v>
      </c>
      <c r="O3146">
        <v>60</v>
      </c>
      <c r="P3146" s="1">
        <v>0.36399999999999999</v>
      </c>
      <c r="Q3146" s="1">
        <v>0.79400000000000004</v>
      </c>
      <c r="R3146">
        <v>676</v>
      </c>
      <c r="S3146">
        <v>53</v>
      </c>
      <c r="T3146">
        <v>189</v>
      </c>
      <c r="U3146">
        <v>162</v>
      </c>
      <c r="V3146">
        <v>35</v>
      </c>
      <c r="W3146">
        <v>19</v>
      </c>
      <c r="X3146">
        <v>82</v>
      </c>
      <c r="Y3146">
        <v>1.98</v>
      </c>
    </row>
    <row r="3147" spans="1:25" x14ac:dyDescent="0.25">
      <c r="A3147">
        <v>2026</v>
      </c>
      <c r="B3147" t="s">
        <v>57</v>
      </c>
      <c r="C3147">
        <v>4</v>
      </c>
      <c r="D3147">
        <v>39</v>
      </c>
      <c r="E3147" t="s">
        <v>15</v>
      </c>
      <c r="F3147" t="s">
        <v>48</v>
      </c>
      <c r="G3147">
        <f t="shared" si="3289"/>
        <v>0</v>
      </c>
      <c r="H3147">
        <v>3</v>
      </c>
      <c r="I3147">
        <v>10</v>
      </c>
      <c r="J3147">
        <v>0</v>
      </c>
      <c r="K3147" s="6" t="str">
        <f t="shared" ref="K3147" si="3388">"vs "&amp;E3146</f>
        <v>vs purple fuzzy apache pirates</v>
      </c>
      <c r="L3147" s="6" t="str">
        <f t="shared" ref="L3147" si="3389">"vs "&amp;F3146</f>
        <v>vs pi/Sotiris</v>
      </c>
      <c r="M3147">
        <v>131</v>
      </c>
      <c r="N3147" s="1">
        <v>0.47599999999999998</v>
      </c>
      <c r="O3147">
        <v>40</v>
      </c>
      <c r="P3147" s="1">
        <v>0.37</v>
      </c>
      <c r="Q3147" s="1">
        <v>0.73299999999999998</v>
      </c>
      <c r="R3147">
        <v>346</v>
      </c>
      <c r="S3147">
        <v>41</v>
      </c>
      <c r="T3147">
        <v>99</v>
      </c>
      <c r="U3147">
        <v>74</v>
      </c>
      <c r="V3147">
        <v>29</v>
      </c>
      <c r="W3147">
        <v>12</v>
      </c>
      <c r="X3147">
        <v>37</v>
      </c>
      <c r="Y3147">
        <v>2</v>
      </c>
    </row>
    <row r="3148" spans="1:25" x14ac:dyDescent="0.25">
      <c r="A3148">
        <v>2026</v>
      </c>
      <c r="B3148" t="s">
        <v>57</v>
      </c>
      <c r="C3148">
        <v>4</v>
      </c>
      <c r="D3148">
        <v>40</v>
      </c>
      <c r="E3148" t="s">
        <v>154</v>
      </c>
      <c r="F3148" t="s">
        <v>155</v>
      </c>
      <c r="G3148">
        <f t="shared" si="3289"/>
        <v>1</v>
      </c>
      <c r="H3148">
        <v>8</v>
      </c>
      <c r="I3148">
        <v>4</v>
      </c>
      <c r="J3148">
        <v>1</v>
      </c>
      <c r="K3148" s="6" t="str">
        <f t="shared" ref="K3148" si="3390">"vs "&amp;E3149</f>
        <v>vs Samarina Dudenbros</v>
      </c>
      <c r="L3148" s="6" t="str">
        <f t="shared" ref="L3148" si="3391">"vs "&amp;F3149</f>
        <v>vs Sakellariou</v>
      </c>
      <c r="M3148">
        <v>174</v>
      </c>
      <c r="N3148" s="1">
        <v>0.47199999999999998</v>
      </c>
      <c r="O3148">
        <v>51</v>
      </c>
      <c r="P3148" s="1">
        <v>0.35399999999999998</v>
      </c>
      <c r="Q3148" s="1">
        <v>0.75800000000000001</v>
      </c>
      <c r="R3148">
        <v>474</v>
      </c>
      <c r="S3148">
        <v>41</v>
      </c>
      <c r="T3148">
        <v>103</v>
      </c>
      <c r="U3148">
        <v>116</v>
      </c>
      <c r="V3148">
        <v>36</v>
      </c>
      <c r="W3148">
        <v>13</v>
      </c>
      <c r="X3148">
        <v>49</v>
      </c>
      <c r="Y3148">
        <v>2.37</v>
      </c>
    </row>
    <row r="3149" spans="1:25" x14ac:dyDescent="0.25">
      <c r="A3149">
        <v>2026</v>
      </c>
      <c r="B3149" t="s">
        <v>57</v>
      </c>
      <c r="C3149">
        <v>4</v>
      </c>
      <c r="D3149">
        <v>40</v>
      </c>
      <c r="E3149" t="s">
        <v>181</v>
      </c>
      <c r="F3149" t="s">
        <v>49</v>
      </c>
      <c r="G3149">
        <f t="shared" si="3289"/>
        <v>0</v>
      </c>
      <c r="H3149">
        <v>4</v>
      </c>
      <c r="I3149">
        <v>8</v>
      </c>
      <c r="J3149">
        <v>1</v>
      </c>
      <c r="K3149" s="6" t="str">
        <f t="shared" ref="K3149" si="3392">"vs "&amp;E3148</f>
        <v>vs The Bad Boys</v>
      </c>
      <c r="L3149" s="6" t="str">
        <f t="shared" ref="L3149" si="3393">"vs "&amp;F3148</f>
        <v>vs Arvanitis</v>
      </c>
      <c r="M3149">
        <v>147</v>
      </c>
      <c r="N3149" s="1">
        <v>0.432</v>
      </c>
      <c r="O3149">
        <v>52</v>
      </c>
      <c r="P3149" s="1">
        <v>0.33300000000000002</v>
      </c>
      <c r="Q3149" s="1">
        <v>0.86099999999999999</v>
      </c>
      <c r="R3149">
        <v>433</v>
      </c>
      <c r="S3149">
        <v>40</v>
      </c>
      <c r="T3149">
        <v>106</v>
      </c>
      <c r="U3149">
        <v>129</v>
      </c>
      <c r="V3149">
        <v>35</v>
      </c>
      <c r="W3149">
        <v>13</v>
      </c>
      <c r="X3149">
        <v>65</v>
      </c>
      <c r="Y3149">
        <v>1.98</v>
      </c>
    </row>
    <row r="3150" spans="1:25" x14ac:dyDescent="0.25">
      <c r="A3150">
        <v>2026</v>
      </c>
      <c r="B3150" t="s">
        <v>57</v>
      </c>
      <c r="C3150">
        <v>5</v>
      </c>
      <c r="D3150">
        <v>41</v>
      </c>
      <c r="E3150" t="s">
        <v>201</v>
      </c>
      <c r="F3150" t="s">
        <v>227</v>
      </c>
      <c r="G3150">
        <f t="shared" si="3289"/>
        <v>0</v>
      </c>
      <c r="H3150">
        <v>6</v>
      </c>
      <c r="I3150">
        <v>7</v>
      </c>
      <c r="J3150">
        <v>0</v>
      </c>
      <c r="K3150" s="6" t="str">
        <f t="shared" ref="K3150" si="3394">"vs "&amp;E3151</f>
        <v>vs LRBP PR3DATORS</v>
      </c>
      <c r="L3150" s="6" t="str">
        <f t="shared" ref="L3150" si="3395">"vs "&amp;F3151</f>
        <v>vs Lafa</v>
      </c>
      <c r="M3150">
        <v>101</v>
      </c>
      <c r="N3150" s="1">
        <v>0.46300000000000002</v>
      </c>
      <c r="O3150">
        <v>43</v>
      </c>
      <c r="P3150" s="1">
        <v>0.39100000000000001</v>
      </c>
      <c r="Q3150" s="1">
        <v>0.78600000000000003</v>
      </c>
      <c r="R3150">
        <v>278</v>
      </c>
      <c r="S3150">
        <v>49</v>
      </c>
      <c r="T3150">
        <v>80</v>
      </c>
      <c r="U3150">
        <v>53</v>
      </c>
      <c r="V3150">
        <v>15</v>
      </c>
      <c r="W3150">
        <v>16</v>
      </c>
      <c r="X3150">
        <v>33</v>
      </c>
      <c r="Y3150">
        <v>1.61</v>
      </c>
    </row>
    <row r="3151" spans="1:25" x14ac:dyDescent="0.25">
      <c r="A3151">
        <v>2026</v>
      </c>
      <c r="B3151" t="s">
        <v>57</v>
      </c>
      <c r="C3151">
        <v>5</v>
      </c>
      <c r="D3151">
        <v>41</v>
      </c>
      <c r="E3151" t="s">
        <v>158</v>
      </c>
      <c r="F3151" t="s">
        <v>177</v>
      </c>
      <c r="G3151">
        <f t="shared" si="3289"/>
        <v>1</v>
      </c>
      <c r="H3151">
        <v>7</v>
      </c>
      <c r="I3151">
        <v>6</v>
      </c>
      <c r="J3151">
        <v>0</v>
      </c>
      <c r="K3151" s="6" t="str">
        <f t="shared" ref="K3151" si="3396">"vs "&amp;E3150</f>
        <v>vs Hércules Pals</v>
      </c>
      <c r="L3151" s="6" t="str">
        <f t="shared" ref="L3151" si="3397">"vs "&amp;F3150</f>
        <v>vs Pals</v>
      </c>
      <c r="M3151">
        <v>157</v>
      </c>
      <c r="N3151" s="1">
        <v>0.48599999999999999</v>
      </c>
      <c r="O3151">
        <v>40</v>
      </c>
      <c r="P3151" s="1">
        <v>0.33600000000000002</v>
      </c>
      <c r="Q3151" s="1">
        <v>0.77400000000000002</v>
      </c>
      <c r="R3151">
        <v>460</v>
      </c>
      <c r="S3151">
        <v>27</v>
      </c>
      <c r="T3151">
        <v>126</v>
      </c>
      <c r="U3151">
        <v>103</v>
      </c>
      <c r="V3151">
        <v>23</v>
      </c>
      <c r="W3151">
        <v>13</v>
      </c>
      <c r="X3151">
        <v>58</v>
      </c>
      <c r="Y3151">
        <v>1.78</v>
      </c>
    </row>
    <row r="3152" spans="1:25" x14ac:dyDescent="0.25">
      <c r="A3152">
        <v>2026</v>
      </c>
      <c r="B3152" t="s">
        <v>57</v>
      </c>
      <c r="C3152">
        <v>5</v>
      </c>
      <c r="D3152">
        <v>42</v>
      </c>
      <c r="E3152" t="s">
        <v>94</v>
      </c>
      <c r="F3152" t="s">
        <v>40</v>
      </c>
      <c r="G3152">
        <f t="shared" si="3289"/>
        <v>0</v>
      </c>
      <c r="H3152">
        <v>3</v>
      </c>
      <c r="I3152">
        <v>10</v>
      </c>
      <c r="J3152">
        <v>0</v>
      </c>
      <c r="K3152" s="6" t="str">
        <f t="shared" ref="K3152" si="3398">"vs "&amp;E3153</f>
        <v>vs Tsarlatans</v>
      </c>
      <c r="L3152" s="6" t="str">
        <f t="shared" ref="L3152" si="3399">"vs "&amp;F3153</f>
        <v>vs Tzokos</v>
      </c>
      <c r="M3152">
        <v>109</v>
      </c>
      <c r="N3152" s="1">
        <v>0.42399999999999999</v>
      </c>
      <c r="O3152">
        <v>47</v>
      </c>
      <c r="P3152" s="1">
        <v>0.36399999999999999</v>
      </c>
      <c r="Q3152" s="1">
        <v>0.82099999999999995</v>
      </c>
      <c r="R3152">
        <v>297</v>
      </c>
      <c r="S3152">
        <v>23</v>
      </c>
      <c r="T3152">
        <v>85</v>
      </c>
      <c r="U3152">
        <v>67</v>
      </c>
      <c r="V3152">
        <v>17</v>
      </c>
      <c r="W3152">
        <v>10</v>
      </c>
      <c r="X3152">
        <v>30</v>
      </c>
      <c r="Y3152">
        <v>2.23</v>
      </c>
    </row>
    <row r="3153" spans="1:25" x14ac:dyDescent="0.25">
      <c r="A3153">
        <v>2026</v>
      </c>
      <c r="B3153" t="s">
        <v>57</v>
      </c>
      <c r="C3153">
        <v>5</v>
      </c>
      <c r="D3153">
        <v>42</v>
      </c>
      <c r="E3153" t="s">
        <v>99</v>
      </c>
      <c r="F3153" t="s">
        <v>45</v>
      </c>
      <c r="G3153">
        <f t="shared" si="3289"/>
        <v>1</v>
      </c>
      <c r="H3153">
        <v>10</v>
      </c>
      <c r="I3153">
        <v>3</v>
      </c>
      <c r="J3153">
        <v>0</v>
      </c>
      <c r="K3153" s="6" t="str">
        <f t="shared" ref="K3153" si="3400">"vs "&amp;E3152</f>
        <v>vs Fighting Thaddeus</v>
      </c>
      <c r="L3153" s="6" t="str">
        <f t="shared" ref="L3153" si="3401">"vs "&amp;F3152</f>
        <v>vs Stavros</v>
      </c>
      <c r="M3153">
        <v>170</v>
      </c>
      <c r="N3153" s="1">
        <v>0.48299999999999998</v>
      </c>
      <c r="O3153">
        <v>50</v>
      </c>
      <c r="P3153" s="1">
        <v>0.43099999999999999</v>
      </c>
      <c r="Q3153" s="1">
        <v>0.81499999999999995</v>
      </c>
      <c r="R3153">
        <v>465</v>
      </c>
      <c r="S3153">
        <v>62</v>
      </c>
      <c r="T3153">
        <v>177</v>
      </c>
      <c r="U3153">
        <v>99</v>
      </c>
      <c r="V3153">
        <v>34</v>
      </c>
      <c r="W3153">
        <v>20</v>
      </c>
      <c r="X3153">
        <v>50</v>
      </c>
      <c r="Y3153">
        <v>1.98</v>
      </c>
    </row>
    <row r="3154" spans="1:25" x14ac:dyDescent="0.25">
      <c r="A3154">
        <v>2026</v>
      </c>
      <c r="B3154" t="s">
        <v>57</v>
      </c>
      <c r="C3154">
        <v>5</v>
      </c>
      <c r="D3154">
        <v>43</v>
      </c>
      <c r="E3154" t="s">
        <v>186</v>
      </c>
      <c r="F3154" t="s">
        <v>103</v>
      </c>
      <c r="G3154">
        <f t="shared" si="3289"/>
        <v>1</v>
      </c>
      <c r="H3154">
        <v>7</v>
      </c>
      <c r="I3154">
        <v>6</v>
      </c>
      <c r="J3154">
        <v>0</v>
      </c>
      <c r="K3154" s="6" t="str">
        <f t="shared" ref="K3154" si="3402">"vs "&amp;E3155</f>
        <v>vs The Guns</v>
      </c>
      <c r="L3154" s="6" t="str">
        <f t="shared" ref="L3154" si="3403">"vs "&amp;F3155</f>
        <v>vs Vasilis</v>
      </c>
      <c r="M3154">
        <v>246</v>
      </c>
      <c r="N3154" s="1">
        <v>0.49</v>
      </c>
      <c r="O3154">
        <v>65</v>
      </c>
      <c r="P3154" s="1">
        <v>0.35099999999999998</v>
      </c>
      <c r="Q3154" s="1">
        <v>0.81899999999999995</v>
      </c>
      <c r="R3154">
        <v>675</v>
      </c>
      <c r="S3154">
        <v>47</v>
      </c>
      <c r="T3154">
        <v>160</v>
      </c>
      <c r="U3154">
        <v>157</v>
      </c>
      <c r="V3154">
        <v>43</v>
      </c>
      <c r="W3154">
        <v>28</v>
      </c>
      <c r="X3154">
        <v>86</v>
      </c>
      <c r="Y3154">
        <v>1.83</v>
      </c>
    </row>
    <row r="3155" spans="1:25" x14ac:dyDescent="0.25">
      <c r="A3155">
        <v>2026</v>
      </c>
      <c r="B3155" t="s">
        <v>57</v>
      </c>
      <c r="C3155">
        <v>5</v>
      </c>
      <c r="D3155">
        <v>43</v>
      </c>
      <c r="E3155" t="s">
        <v>33</v>
      </c>
      <c r="F3155" t="s">
        <v>42</v>
      </c>
      <c r="G3155">
        <f t="shared" si="3289"/>
        <v>0</v>
      </c>
      <c r="H3155">
        <v>6</v>
      </c>
      <c r="I3155">
        <v>7</v>
      </c>
      <c r="J3155">
        <v>0</v>
      </c>
      <c r="K3155" s="6" t="str">
        <f t="shared" ref="K3155" si="3404">"vs "&amp;E3154</f>
        <v>vs Karafli Saita</v>
      </c>
      <c r="L3155" s="6" t="str">
        <f t="shared" ref="L3155" si="3405">"vs "&amp;F3154</f>
        <v>vs Tassos</v>
      </c>
      <c r="M3155">
        <v>197</v>
      </c>
      <c r="N3155" s="1">
        <v>0.52100000000000002</v>
      </c>
      <c r="O3155">
        <v>71</v>
      </c>
      <c r="P3155" s="1">
        <v>0.41799999999999998</v>
      </c>
      <c r="Q3155" s="1">
        <v>0.85399999999999998</v>
      </c>
      <c r="R3155">
        <v>576</v>
      </c>
      <c r="S3155">
        <v>20</v>
      </c>
      <c r="T3155">
        <v>103</v>
      </c>
      <c r="U3155">
        <v>105</v>
      </c>
      <c r="V3155">
        <v>42</v>
      </c>
      <c r="W3155">
        <v>24</v>
      </c>
      <c r="X3155">
        <v>57</v>
      </c>
      <c r="Y3155">
        <v>1.84</v>
      </c>
    </row>
    <row r="3156" spans="1:25" x14ac:dyDescent="0.25">
      <c r="A3156">
        <v>2026</v>
      </c>
      <c r="B3156" t="s">
        <v>57</v>
      </c>
      <c r="C3156">
        <v>5</v>
      </c>
      <c r="D3156">
        <v>44</v>
      </c>
      <c r="E3156" t="s">
        <v>23</v>
      </c>
      <c r="F3156" t="s">
        <v>120</v>
      </c>
      <c r="G3156">
        <f t="shared" si="3289"/>
        <v>0</v>
      </c>
      <c r="H3156">
        <v>5</v>
      </c>
      <c r="I3156">
        <v>8</v>
      </c>
      <c r="J3156">
        <v>0</v>
      </c>
      <c r="K3156" s="6" t="str">
        <f t="shared" ref="K3156" si="3406">"vs "&amp;E3157</f>
        <v>vs Xanthi Ducks 🦆</v>
      </c>
      <c r="L3156" s="6" t="str">
        <f t="shared" ref="L3156" si="3407">"vs "&amp;F3157</f>
        <v>vs Kotakis</v>
      </c>
      <c r="M3156">
        <v>161</v>
      </c>
      <c r="N3156" s="1">
        <v>0.503</v>
      </c>
      <c r="O3156">
        <v>42</v>
      </c>
      <c r="P3156" s="1">
        <v>0.38500000000000001</v>
      </c>
      <c r="Q3156" s="1">
        <v>0.77600000000000002</v>
      </c>
      <c r="R3156">
        <v>402</v>
      </c>
      <c r="S3156">
        <v>38</v>
      </c>
      <c r="T3156">
        <v>92</v>
      </c>
      <c r="U3156">
        <v>99</v>
      </c>
      <c r="V3156">
        <v>28</v>
      </c>
      <c r="W3156">
        <v>18</v>
      </c>
      <c r="X3156">
        <v>43</v>
      </c>
      <c r="Y3156">
        <v>2.2999999999999998</v>
      </c>
    </row>
    <row r="3157" spans="1:25" x14ac:dyDescent="0.25">
      <c r="A3157">
        <v>2026</v>
      </c>
      <c r="B3157" t="s">
        <v>57</v>
      </c>
      <c r="C3157">
        <v>5</v>
      </c>
      <c r="D3157">
        <v>44</v>
      </c>
      <c r="E3157" t="s">
        <v>98</v>
      </c>
      <c r="F3157" t="s">
        <v>41</v>
      </c>
      <c r="G3157">
        <f t="shared" si="3289"/>
        <v>1</v>
      </c>
      <c r="H3157">
        <v>8</v>
      </c>
      <c r="I3157">
        <v>5</v>
      </c>
      <c r="J3157">
        <v>0</v>
      </c>
      <c r="K3157" s="6" t="str">
        <f t="shared" ref="K3157" si="3408">"vs "&amp;E3156</f>
        <v>vs Pachiana NinjaBees</v>
      </c>
      <c r="L3157" s="6" t="str">
        <f t="shared" ref="L3157" si="3409">"vs "&amp;F3156</f>
        <v>vs Spiridaus/Oladipas</v>
      </c>
      <c r="M3157">
        <v>120</v>
      </c>
      <c r="N3157" s="1">
        <v>0.51500000000000001</v>
      </c>
      <c r="O3157">
        <v>46</v>
      </c>
      <c r="P3157" s="1">
        <v>0.40699999999999997</v>
      </c>
      <c r="Q3157" s="1">
        <v>0.79</v>
      </c>
      <c r="R3157">
        <v>350</v>
      </c>
      <c r="S3157">
        <v>33</v>
      </c>
      <c r="T3157">
        <v>103</v>
      </c>
      <c r="U3157">
        <v>106</v>
      </c>
      <c r="V3157">
        <v>35</v>
      </c>
      <c r="W3157">
        <v>22</v>
      </c>
      <c r="X3157">
        <v>55</v>
      </c>
      <c r="Y3157">
        <v>1.93</v>
      </c>
    </row>
    <row r="3158" spans="1:25" x14ac:dyDescent="0.25">
      <c r="A3158">
        <v>2026</v>
      </c>
      <c r="B3158" t="s">
        <v>57</v>
      </c>
      <c r="C3158">
        <v>5</v>
      </c>
      <c r="D3158">
        <v>45</v>
      </c>
      <c r="E3158" t="s">
        <v>21</v>
      </c>
      <c r="F3158" t="s">
        <v>50</v>
      </c>
      <c r="G3158">
        <f t="shared" si="3289"/>
        <v>0</v>
      </c>
      <c r="H3158">
        <v>4</v>
      </c>
      <c r="I3158">
        <v>9</v>
      </c>
      <c r="J3158">
        <v>0</v>
      </c>
      <c r="K3158" s="6" t="str">
        <f t="shared" ref="K3158" si="3410">"vs "&amp;E3159</f>
        <v>vs Kourayo Vallecano</v>
      </c>
      <c r="L3158" s="6" t="str">
        <f t="shared" ref="L3158" si="3411">"vs "&amp;F3159</f>
        <v>vs Ziogas/Christof</v>
      </c>
      <c r="M3158">
        <v>144</v>
      </c>
      <c r="N3158" s="1">
        <v>0.503</v>
      </c>
      <c r="O3158">
        <v>44</v>
      </c>
      <c r="P3158" s="1">
        <v>0.379</v>
      </c>
      <c r="Q3158" s="1">
        <v>0.76400000000000001</v>
      </c>
      <c r="R3158">
        <v>387</v>
      </c>
      <c r="S3158">
        <v>38</v>
      </c>
      <c r="T3158">
        <v>90</v>
      </c>
      <c r="U3158">
        <v>70</v>
      </c>
      <c r="V3158">
        <v>30</v>
      </c>
      <c r="W3158">
        <v>12</v>
      </c>
      <c r="X3158">
        <v>51</v>
      </c>
      <c r="Y3158">
        <v>1.37</v>
      </c>
    </row>
    <row r="3159" spans="1:25" x14ac:dyDescent="0.25">
      <c r="A3159">
        <v>2026</v>
      </c>
      <c r="B3159" t="s">
        <v>57</v>
      </c>
      <c r="C3159">
        <v>5</v>
      </c>
      <c r="D3159">
        <v>45</v>
      </c>
      <c r="E3159" t="s">
        <v>26</v>
      </c>
      <c r="F3159" t="s">
        <v>118</v>
      </c>
      <c r="G3159">
        <f t="shared" si="3289"/>
        <v>1</v>
      </c>
      <c r="H3159">
        <v>9</v>
      </c>
      <c r="I3159">
        <v>4</v>
      </c>
      <c r="J3159">
        <v>0</v>
      </c>
      <c r="K3159" s="6" t="str">
        <f t="shared" ref="K3159" si="3412">"vs "&amp;E3158</f>
        <v>vs st.Helens Eruptions</v>
      </c>
      <c r="L3159" s="6" t="str">
        <f t="shared" ref="L3159" si="3413">"vs "&amp;F3158</f>
        <v>vs Aris</v>
      </c>
      <c r="M3159">
        <v>187</v>
      </c>
      <c r="N3159" s="1">
        <v>0.45600000000000002</v>
      </c>
      <c r="O3159">
        <v>52</v>
      </c>
      <c r="P3159" s="1">
        <v>0.317</v>
      </c>
      <c r="Q3159" s="1">
        <v>0.82899999999999996</v>
      </c>
      <c r="R3159">
        <v>523</v>
      </c>
      <c r="S3159">
        <v>52</v>
      </c>
      <c r="T3159">
        <v>121</v>
      </c>
      <c r="U3159">
        <v>102</v>
      </c>
      <c r="V3159">
        <v>27</v>
      </c>
      <c r="W3159">
        <v>18</v>
      </c>
      <c r="X3159">
        <v>54</v>
      </c>
      <c r="Y3159">
        <v>1.89</v>
      </c>
    </row>
    <row r="3160" spans="1:25" x14ac:dyDescent="0.25">
      <c r="A3160">
        <v>2026</v>
      </c>
      <c r="B3160" t="s">
        <v>57</v>
      </c>
      <c r="C3160">
        <v>5</v>
      </c>
      <c r="D3160">
        <v>46</v>
      </c>
      <c r="E3160" t="s">
        <v>185</v>
      </c>
      <c r="F3160" t="s">
        <v>100</v>
      </c>
      <c r="G3160">
        <f t="shared" si="3289"/>
        <v>0</v>
      </c>
      <c r="H3160">
        <v>1</v>
      </c>
      <c r="I3160">
        <v>11</v>
      </c>
      <c r="J3160">
        <v>1</v>
      </c>
      <c r="K3160" s="6" t="str">
        <f t="shared" ref="K3160" si="3414">"vs "&amp;E3161</f>
        <v>vs The Bridgeburners</v>
      </c>
      <c r="L3160" s="6" t="str">
        <f t="shared" ref="L3160" si="3415">"vs "&amp;F3161</f>
        <v>vs Fanis</v>
      </c>
      <c r="M3160">
        <v>120</v>
      </c>
      <c r="N3160" s="1">
        <v>0.39900000000000002</v>
      </c>
      <c r="O3160">
        <v>34</v>
      </c>
      <c r="P3160" s="1">
        <v>0.318</v>
      </c>
      <c r="Q3160" s="1">
        <v>0.8</v>
      </c>
      <c r="R3160">
        <v>342</v>
      </c>
      <c r="S3160">
        <v>33</v>
      </c>
      <c r="T3160">
        <v>98</v>
      </c>
      <c r="U3160">
        <v>104</v>
      </c>
      <c r="V3160">
        <v>20</v>
      </c>
      <c r="W3160">
        <v>14</v>
      </c>
      <c r="X3160">
        <v>58</v>
      </c>
      <c r="Y3160">
        <v>1.79</v>
      </c>
    </row>
    <row r="3161" spans="1:25" x14ac:dyDescent="0.25">
      <c r="A3161">
        <v>2026</v>
      </c>
      <c r="B3161" t="s">
        <v>57</v>
      </c>
      <c r="C3161">
        <v>5</v>
      </c>
      <c r="D3161">
        <v>46</v>
      </c>
      <c r="E3161" t="s">
        <v>16</v>
      </c>
      <c r="F3161" t="s">
        <v>51</v>
      </c>
      <c r="G3161">
        <f t="shared" si="3289"/>
        <v>1</v>
      </c>
      <c r="H3161">
        <v>11</v>
      </c>
      <c r="I3161">
        <v>1</v>
      </c>
      <c r="J3161">
        <v>1</v>
      </c>
      <c r="K3161" s="6" t="str">
        <f t="shared" ref="K3161" si="3416">"vs "&amp;E3160</f>
        <v>vs Paralouistas</v>
      </c>
      <c r="L3161" s="6" t="str">
        <f t="shared" ref="L3161" si="3417">"vs "&amp;F3160</f>
        <v>vs Panos</v>
      </c>
      <c r="M3161">
        <v>177</v>
      </c>
      <c r="N3161" s="1">
        <v>0.51800000000000002</v>
      </c>
      <c r="O3161">
        <v>35</v>
      </c>
      <c r="P3161" s="1">
        <v>0.39800000000000002</v>
      </c>
      <c r="Q3161" s="1">
        <v>0.72499999999999998</v>
      </c>
      <c r="R3161">
        <v>468</v>
      </c>
      <c r="S3161">
        <v>55</v>
      </c>
      <c r="T3161">
        <v>157</v>
      </c>
      <c r="U3161">
        <v>115</v>
      </c>
      <c r="V3161">
        <v>25</v>
      </c>
      <c r="W3161">
        <v>20</v>
      </c>
      <c r="X3161">
        <v>58</v>
      </c>
      <c r="Y3161">
        <v>1.98</v>
      </c>
    </row>
    <row r="3162" spans="1:25" x14ac:dyDescent="0.25">
      <c r="A3162">
        <v>2026</v>
      </c>
      <c r="B3162" t="s">
        <v>57</v>
      </c>
      <c r="C3162">
        <v>5</v>
      </c>
      <c r="D3162">
        <v>47</v>
      </c>
      <c r="E3162" t="s">
        <v>28</v>
      </c>
      <c r="F3162" t="s">
        <v>46</v>
      </c>
      <c r="G3162">
        <f t="shared" ref="G3162:G3225" si="3418">IF(H3162+0.5*J3162&gt;6.5,1,0)</f>
        <v>1</v>
      </c>
      <c r="H3162">
        <v>9</v>
      </c>
      <c r="I3162">
        <v>3</v>
      </c>
      <c r="J3162">
        <v>1</v>
      </c>
      <c r="K3162" s="6" t="str">
        <f t="shared" ref="K3162" si="3419">"vs "&amp;E3163</f>
        <v>vs Heraklion Snakes</v>
      </c>
      <c r="L3162" s="6" t="str">
        <f t="shared" ref="L3162" si="3420">"vs "&amp;F3163</f>
        <v>vs Dimitris</v>
      </c>
      <c r="M3162">
        <v>125</v>
      </c>
      <c r="N3162" s="1">
        <v>0.47899999999999998</v>
      </c>
      <c r="O3162">
        <v>56</v>
      </c>
      <c r="P3162" s="1">
        <v>0.41199999999999998</v>
      </c>
      <c r="Q3162" s="1">
        <v>0.86299999999999999</v>
      </c>
      <c r="R3162">
        <v>350</v>
      </c>
      <c r="S3162">
        <v>32</v>
      </c>
      <c r="T3162">
        <v>90</v>
      </c>
      <c r="U3162">
        <v>67</v>
      </c>
      <c r="V3162">
        <v>22</v>
      </c>
      <c r="W3162">
        <v>17</v>
      </c>
      <c r="X3162">
        <v>38</v>
      </c>
      <c r="Y3162">
        <v>1.76</v>
      </c>
    </row>
    <row r="3163" spans="1:25" x14ac:dyDescent="0.25">
      <c r="A3163">
        <v>2026</v>
      </c>
      <c r="B3163" t="s">
        <v>57</v>
      </c>
      <c r="C3163">
        <v>5</v>
      </c>
      <c r="D3163">
        <v>47</v>
      </c>
      <c r="E3163" t="s">
        <v>184</v>
      </c>
      <c r="F3163" t="s">
        <v>188</v>
      </c>
      <c r="G3163">
        <f t="shared" si="3418"/>
        <v>0</v>
      </c>
      <c r="H3163">
        <v>3</v>
      </c>
      <c r="I3163">
        <v>9</v>
      </c>
      <c r="J3163">
        <v>1</v>
      </c>
      <c r="K3163" s="6" t="str">
        <f t="shared" ref="K3163" si="3421">"vs "&amp;E3162</f>
        <v>vs Steven Adams' Moustache</v>
      </c>
      <c r="L3163" s="6" t="str">
        <f t="shared" ref="L3163" si="3422">"vs "&amp;F3162</f>
        <v>vs Johnny</v>
      </c>
      <c r="M3163">
        <v>103</v>
      </c>
      <c r="N3163" s="1">
        <v>0.51200000000000001</v>
      </c>
      <c r="O3163">
        <v>30</v>
      </c>
      <c r="P3163" s="1">
        <v>0.4</v>
      </c>
      <c r="Q3163" s="1">
        <v>0.72799999999999998</v>
      </c>
      <c r="R3163">
        <v>295</v>
      </c>
      <c r="S3163">
        <v>43</v>
      </c>
      <c r="T3163">
        <v>70</v>
      </c>
      <c r="U3163">
        <v>56</v>
      </c>
      <c r="V3163">
        <v>17</v>
      </c>
      <c r="W3163">
        <v>18</v>
      </c>
      <c r="X3163">
        <v>38</v>
      </c>
      <c r="Y3163">
        <v>1.47</v>
      </c>
    </row>
    <row r="3164" spans="1:25" x14ac:dyDescent="0.25">
      <c r="A3164">
        <v>2026</v>
      </c>
      <c r="B3164" t="s">
        <v>57</v>
      </c>
      <c r="C3164">
        <v>5</v>
      </c>
      <c r="D3164">
        <v>48</v>
      </c>
      <c r="E3164" t="s">
        <v>15</v>
      </c>
      <c r="F3164" t="s">
        <v>48</v>
      </c>
      <c r="G3164">
        <f t="shared" si="3418"/>
        <v>0</v>
      </c>
      <c r="H3164">
        <v>5</v>
      </c>
      <c r="I3164">
        <v>8</v>
      </c>
      <c r="J3164">
        <v>0</v>
      </c>
      <c r="K3164" s="6" t="str">
        <f t="shared" ref="K3164" si="3423">"vs "&amp;E3165</f>
        <v>vs Guruuu 🐐🐐🐐</v>
      </c>
      <c r="L3164" s="6" t="str">
        <f t="shared" ref="L3164" si="3424">"vs "&amp;F3165</f>
        <v>vs Guru</v>
      </c>
      <c r="M3164">
        <v>134</v>
      </c>
      <c r="N3164" s="1">
        <v>0.53600000000000003</v>
      </c>
      <c r="O3164">
        <v>42</v>
      </c>
      <c r="P3164" s="1">
        <v>0.40799999999999997</v>
      </c>
      <c r="Q3164" s="1">
        <v>0.75</v>
      </c>
      <c r="R3164">
        <v>370</v>
      </c>
      <c r="S3164">
        <v>29</v>
      </c>
      <c r="T3164">
        <v>91</v>
      </c>
      <c r="U3164">
        <v>87</v>
      </c>
      <c r="V3164">
        <v>19</v>
      </c>
      <c r="W3164">
        <v>6</v>
      </c>
      <c r="X3164">
        <v>40</v>
      </c>
      <c r="Y3164">
        <v>2.17</v>
      </c>
    </row>
    <row r="3165" spans="1:25" x14ac:dyDescent="0.25">
      <c r="A3165">
        <v>2026</v>
      </c>
      <c r="B3165" t="s">
        <v>57</v>
      </c>
      <c r="C3165">
        <v>5</v>
      </c>
      <c r="D3165">
        <v>48</v>
      </c>
      <c r="E3165" t="s">
        <v>93</v>
      </c>
      <c r="F3165" t="s">
        <v>189</v>
      </c>
      <c r="G3165">
        <f t="shared" si="3418"/>
        <v>1</v>
      </c>
      <c r="H3165">
        <v>8</v>
      </c>
      <c r="I3165">
        <v>5</v>
      </c>
      <c r="J3165">
        <v>0</v>
      </c>
      <c r="K3165" s="6" t="str">
        <f t="shared" ref="K3165" si="3425">"vs "&amp;E3164</f>
        <v>vs Salonika Devils</v>
      </c>
      <c r="L3165" s="6" t="str">
        <f t="shared" ref="L3165" si="3426">"vs "&amp;F3164</f>
        <v>vs Fountos</v>
      </c>
      <c r="M3165">
        <v>202</v>
      </c>
      <c r="N3165" s="1">
        <v>0.501</v>
      </c>
      <c r="O3165">
        <v>63</v>
      </c>
      <c r="P3165" s="1">
        <v>0.38900000000000001</v>
      </c>
      <c r="Q3165" s="1">
        <v>0.746</v>
      </c>
      <c r="R3165">
        <v>567</v>
      </c>
      <c r="S3165">
        <v>48</v>
      </c>
      <c r="T3165">
        <v>113</v>
      </c>
      <c r="U3165">
        <v>113</v>
      </c>
      <c r="V3165">
        <v>35</v>
      </c>
      <c r="W3165">
        <v>14</v>
      </c>
      <c r="X3165">
        <v>61</v>
      </c>
      <c r="Y3165">
        <v>1.85</v>
      </c>
    </row>
    <row r="3166" spans="1:25" x14ac:dyDescent="0.25">
      <c r="A3166">
        <v>2026</v>
      </c>
      <c r="B3166" t="s">
        <v>57</v>
      </c>
      <c r="C3166">
        <v>5</v>
      </c>
      <c r="D3166">
        <v>49</v>
      </c>
      <c r="E3166" t="s">
        <v>181</v>
      </c>
      <c r="F3166" t="s">
        <v>49</v>
      </c>
      <c r="G3166">
        <f t="shared" si="3418"/>
        <v>1</v>
      </c>
      <c r="H3166">
        <v>11</v>
      </c>
      <c r="I3166">
        <v>2</v>
      </c>
      <c r="J3166">
        <v>0</v>
      </c>
      <c r="K3166" s="6" t="str">
        <f t="shared" ref="K3166" si="3427">"vs "&amp;E3167</f>
        <v>vs Knights of Ni</v>
      </c>
      <c r="L3166" s="6" t="str">
        <f t="shared" ref="L3166" si="3428">"vs "&amp;F3167</f>
        <v>vs Tolios</v>
      </c>
      <c r="M3166">
        <v>160</v>
      </c>
      <c r="N3166" s="1">
        <v>0.48299999999999998</v>
      </c>
      <c r="O3166">
        <v>54</v>
      </c>
      <c r="P3166" s="1">
        <v>0.37</v>
      </c>
      <c r="Q3166" s="1">
        <v>0.78100000000000003</v>
      </c>
      <c r="R3166">
        <v>481</v>
      </c>
      <c r="S3166">
        <v>35</v>
      </c>
      <c r="T3166">
        <v>108</v>
      </c>
      <c r="U3166">
        <v>92</v>
      </c>
      <c r="V3166">
        <v>32</v>
      </c>
      <c r="W3166">
        <v>18</v>
      </c>
      <c r="X3166">
        <v>50</v>
      </c>
      <c r="Y3166">
        <v>1.84</v>
      </c>
    </row>
    <row r="3167" spans="1:25" x14ac:dyDescent="0.25">
      <c r="A3167">
        <v>2026</v>
      </c>
      <c r="B3167" t="s">
        <v>57</v>
      </c>
      <c r="C3167">
        <v>5</v>
      </c>
      <c r="D3167">
        <v>49</v>
      </c>
      <c r="E3167" t="s">
        <v>96</v>
      </c>
      <c r="F3167" t="s">
        <v>102</v>
      </c>
      <c r="G3167">
        <f t="shared" si="3418"/>
        <v>0</v>
      </c>
      <c r="H3167">
        <v>2</v>
      </c>
      <c r="I3167">
        <v>11</v>
      </c>
      <c r="J3167">
        <v>0</v>
      </c>
      <c r="K3167" s="6" t="str">
        <f t="shared" ref="K3167" si="3429">"vs "&amp;E3166</f>
        <v>vs Samarina Dudenbros</v>
      </c>
      <c r="L3167" s="6" t="str">
        <f t="shared" ref="L3167" si="3430">"vs "&amp;F3166</f>
        <v>vs Sakellariou</v>
      </c>
      <c r="M3167">
        <v>142</v>
      </c>
      <c r="N3167" s="1">
        <v>0.39200000000000002</v>
      </c>
      <c r="O3167">
        <v>32</v>
      </c>
      <c r="P3167" s="1">
        <v>0.26700000000000002</v>
      </c>
      <c r="Q3167" s="1">
        <v>0.78600000000000003</v>
      </c>
      <c r="R3167">
        <v>404</v>
      </c>
      <c r="S3167">
        <v>29</v>
      </c>
      <c r="T3167">
        <v>111</v>
      </c>
      <c r="U3167">
        <v>81</v>
      </c>
      <c r="V3167">
        <v>23</v>
      </c>
      <c r="W3167">
        <v>13</v>
      </c>
      <c r="X3167">
        <v>54</v>
      </c>
      <c r="Y3167">
        <v>1.5</v>
      </c>
    </row>
    <row r="3168" spans="1:25" x14ac:dyDescent="0.25">
      <c r="A3168">
        <v>2026</v>
      </c>
      <c r="B3168" t="s">
        <v>57</v>
      </c>
      <c r="C3168">
        <v>5</v>
      </c>
      <c r="D3168">
        <v>50</v>
      </c>
      <c r="E3168" t="s">
        <v>154</v>
      </c>
      <c r="F3168" t="s">
        <v>155</v>
      </c>
      <c r="G3168">
        <f t="shared" si="3418"/>
        <v>0</v>
      </c>
      <c r="H3168">
        <v>6</v>
      </c>
      <c r="I3168">
        <v>7</v>
      </c>
      <c r="J3168">
        <v>0</v>
      </c>
      <c r="K3168" s="6" t="str">
        <f t="shared" ref="K3168" si="3431">"vs "&amp;E3169</f>
        <v>vs purple fuzzy apache pirates</v>
      </c>
      <c r="L3168" s="6" t="str">
        <f t="shared" ref="L3168" si="3432">"vs "&amp;F3169</f>
        <v>vs pi/Sotiris</v>
      </c>
      <c r="M3168">
        <v>181</v>
      </c>
      <c r="N3168" s="1">
        <v>0.55000000000000004</v>
      </c>
      <c r="O3168">
        <v>43</v>
      </c>
      <c r="P3168" s="1">
        <v>0.41699999999999998</v>
      </c>
      <c r="Q3168" s="1">
        <v>0.79400000000000004</v>
      </c>
      <c r="R3168">
        <v>490</v>
      </c>
      <c r="S3168">
        <v>42</v>
      </c>
      <c r="T3168">
        <v>122</v>
      </c>
      <c r="U3168">
        <v>86</v>
      </c>
      <c r="V3168">
        <v>30</v>
      </c>
      <c r="W3168">
        <v>22</v>
      </c>
      <c r="X3168">
        <v>50</v>
      </c>
      <c r="Y3168">
        <v>1.72</v>
      </c>
    </row>
    <row r="3169" spans="1:25" x14ac:dyDescent="0.25">
      <c r="A3169">
        <v>2026</v>
      </c>
      <c r="B3169" t="s">
        <v>57</v>
      </c>
      <c r="C3169">
        <v>5</v>
      </c>
      <c r="D3169">
        <v>50</v>
      </c>
      <c r="E3169" t="s">
        <v>159</v>
      </c>
      <c r="F3169" t="s">
        <v>116</v>
      </c>
      <c r="G3169">
        <f t="shared" si="3418"/>
        <v>1</v>
      </c>
      <c r="H3169">
        <v>7</v>
      </c>
      <c r="I3169">
        <v>6</v>
      </c>
      <c r="J3169">
        <v>0</v>
      </c>
      <c r="K3169" s="6" t="str">
        <f t="shared" ref="K3169" si="3433">"vs "&amp;E3168</f>
        <v>vs The Bad Boys</v>
      </c>
      <c r="L3169" s="6" t="str">
        <f t="shared" ref="L3169" si="3434">"vs "&amp;F3168</f>
        <v>vs Arvanitis</v>
      </c>
      <c r="M3169">
        <v>207</v>
      </c>
      <c r="N3169" s="1">
        <v>0.52900000000000003</v>
      </c>
      <c r="O3169">
        <v>59</v>
      </c>
      <c r="P3169" s="1">
        <v>0.41499999999999998</v>
      </c>
      <c r="Q3169" s="1">
        <v>0.78800000000000003</v>
      </c>
      <c r="R3169">
        <v>581</v>
      </c>
      <c r="S3169">
        <v>57</v>
      </c>
      <c r="T3169">
        <v>146</v>
      </c>
      <c r="U3169">
        <v>155</v>
      </c>
      <c r="V3169">
        <v>28</v>
      </c>
      <c r="W3169">
        <v>9</v>
      </c>
      <c r="X3169">
        <v>79</v>
      </c>
      <c r="Y3169">
        <v>1.96</v>
      </c>
    </row>
    <row r="3170" spans="1:25" x14ac:dyDescent="0.25">
      <c r="A3170">
        <v>2026</v>
      </c>
      <c r="B3170" t="s">
        <v>57</v>
      </c>
      <c r="C3170">
        <v>6</v>
      </c>
      <c r="D3170">
        <v>51</v>
      </c>
      <c r="E3170" t="s">
        <v>158</v>
      </c>
      <c r="F3170" t="s">
        <v>177</v>
      </c>
      <c r="G3170">
        <f t="shared" si="3418"/>
        <v>1</v>
      </c>
      <c r="H3170">
        <v>7</v>
      </c>
      <c r="I3170">
        <v>6</v>
      </c>
      <c r="J3170">
        <v>0</v>
      </c>
      <c r="K3170" s="6" t="str">
        <f t="shared" ref="K3170" si="3435">"vs "&amp;E3171</f>
        <v>vs Fighting Thaddeus</v>
      </c>
      <c r="L3170" s="6" t="str">
        <f t="shared" ref="L3170" si="3436">"vs "&amp;F3171</f>
        <v>vs Stavros</v>
      </c>
      <c r="M3170">
        <v>184</v>
      </c>
      <c r="N3170" s="1">
        <v>0.48199999999999998</v>
      </c>
      <c r="O3170">
        <v>57</v>
      </c>
      <c r="P3170" s="1">
        <v>0.36299999999999999</v>
      </c>
      <c r="Q3170" s="1">
        <v>0.80100000000000005</v>
      </c>
      <c r="R3170">
        <v>546</v>
      </c>
      <c r="S3170">
        <v>36</v>
      </c>
      <c r="T3170">
        <v>115</v>
      </c>
      <c r="U3170">
        <v>122</v>
      </c>
      <c r="V3170">
        <v>22</v>
      </c>
      <c r="W3170">
        <v>19</v>
      </c>
      <c r="X3170">
        <v>53</v>
      </c>
      <c r="Y3170">
        <v>2.2999999999999998</v>
      </c>
    </row>
    <row r="3171" spans="1:25" x14ac:dyDescent="0.25">
      <c r="A3171">
        <v>2026</v>
      </c>
      <c r="B3171" t="s">
        <v>57</v>
      </c>
      <c r="C3171">
        <v>6</v>
      </c>
      <c r="D3171">
        <v>51</v>
      </c>
      <c r="E3171" t="s">
        <v>94</v>
      </c>
      <c r="F3171" t="s">
        <v>40</v>
      </c>
      <c r="G3171">
        <f t="shared" si="3418"/>
        <v>0</v>
      </c>
      <c r="H3171">
        <v>6</v>
      </c>
      <c r="I3171">
        <v>7</v>
      </c>
      <c r="J3171">
        <v>0</v>
      </c>
      <c r="K3171" s="6" t="str">
        <f t="shared" ref="K3171" si="3437">"vs "&amp;E3170</f>
        <v>vs LRBP PR3DATORS</v>
      </c>
      <c r="L3171" s="6" t="str">
        <f t="shared" ref="L3171" si="3438">"vs "&amp;F3170</f>
        <v>vs Lafa</v>
      </c>
      <c r="M3171">
        <v>121</v>
      </c>
      <c r="N3171" s="1">
        <v>0.5</v>
      </c>
      <c r="O3171">
        <v>60</v>
      </c>
      <c r="P3171" s="1">
        <v>0.49199999999999999</v>
      </c>
      <c r="Q3171" s="1">
        <v>0.84899999999999998</v>
      </c>
      <c r="R3171">
        <v>347</v>
      </c>
      <c r="S3171">
        <v>24</v>
      </c>
      <c r="T3171">
        <v>83</v>
      </c>
      <c r="U3171">
        <v>80</v>
      </c>
      <c r="V3171">
        <v>25</v>
      </c>
      <c r="W3171">
        <v>6</v>
      </c>
      <c r="X3171">
        <v>43</v>
      </c>
      <c r="Y3171">
        <v>1.86</v>
      </c>
    </row>
    <row r="3172" spans="1:25" x14ac:dyDescent="0.25">
      <c r="A3172">
        <v>2026</v>
      </c>
      <c r="B3172" t="s">
        <v>57</v>
      </c>
      <c r="C3172">
        <v>6</v>
      </c>
      <c r="D3172">
        <v>52</v>
      </c>
      <c r="E3172" t="s">
        <v>201</v>
      </c>
      <c r="F3172" t="s">
        <v>227</v>
      </c>
      <c r="G3172">
        <f t="shared" si="3418"/>
        <v>0</v>
      </c>
      <c r="H3172">
        <v>3</v>
      </c>
      <c r="I3172">
        <v>10</v>
      </c>
      <c r="J3172">
        <v>0</v>
      </c>
      <c r="K3172" s="6" t="str">
        <f t="shared" ref="K3172" si="3439">"vs "&amp;E3173</f>
        <v>vs Karafli Saita</v>
      </c>
      <c r="L3172" s="6" t="str">
        <f t="shared" ref="L3172" si="3440">"vs "&amp;F3173</f>
        <v>vs Tassos</v>
      </c>
      <c r="M3172">
        <v>131</v>
      </c>
      <c r="N3172" s="1">
        <v>0.44700000000000001</v>
      </c>
      <c r="O3172">
        <v>48</v>
      </c>
      <c r="P3172" s="1">
        <v>0.34300000000000003</v>
      </c>
      <c r="Q3172" s="1">
        <v>0.78300000000000003</v>
      </c>
      <c r="R3172">
        <v>375</v>
      </c>
      <c r="S3172">
        <v>51</v>
      </c>
      <c r="T3172">
        <v>111</v>
      </c>
      <c r="U3172">
        <v>67</v>
      </c>
      <c r="V3172">
        <v>34</v>
      </c>
      <c r="W3172">
        <v>20</v>
      </c>
      <c r="X3172">
        <v>41</v>
      </c>
      <c r="Y3172">
        <v>1.63</v>
      </c>
    </row>
    <row r="3173" spans="1:25" x14ac:dyDescent="0.25">
      <c r="A3173">
        <v>2026</v>
      </c>
      <c r="B3173" t="s">
        <v>57</v>
      </c>
      <c r="C3173">
        <v>6</v>
      </c>
      <c r="D3173">
        <v>52</v>
      </c>
      <c r="E3173" t="s">
        <v>186</v>
      </c>
      <c r="F3173" t="s">
        <v>103</v>
      </c>
      <c r="G3173">
        <f t="shared" si="3418"/>
        <v>1</v>
      </c>
      <c r="H3173">
        <v>10</v>
      </c>
      <c r="I3173">
        <v>3</v>
      </c>
      <c r="J3173">
        <v>0</v>
      </c>
      <c r="K3173" s="6" t="str">
        <f t="shared" ref="K3173" si="3441">"vs "&amp;E3172</f>
        <v>vs Hércules Pals</v>
      </c>
      <c r="L3173" s="6" t="str">
        <f t="shared" ref="L3173" si="3442">"vs "&amp;F3172</f>
        <v>vs Pals</v>
      </c>
      <c r="M3173">
        <v>211</v>
      </c>
      <c r="N3173" s="1">
        <v>0.46700000000000003</v>
      </c>
      <c r="O3173">
        <v>59</v>
      </c>
      <c r="P3173" s="1">
        <v>0.38800000000000001</v>
      </c>
      <c r="Q3173" s="1">
        <v>0.79700000000000004</v>
      </c>
      <c r="R3173">
        <v>607</v>
      </c>
      <c r="S3173">
        <v>43</v>
      </c>
      <c r="T3173">
        <v>151</v>
      </c>
      <c r="U3173">
        <v>139</v>
      </c>
      <c r="V3173">
        <v>25</v>
      </c>
      <c r="W3173">
        <v>34</v>
      </c>
      <c r="X3173">
        <v>73</v>
      </c>
      <c r="Y3173">
        <v>1.9</v>
      </c>
    </row>
    <row r="3174" spans="1:25" x14ac:dyDescent="0.25">
      <c r="A3174">
        <v>2026</v>
      </c>
      <c r="B3174" t="s">
        <v>57</v>
      </c>
      <c r="C3174">
        <v>6</v>
      </c>
      <c r="D3174">
        <v>53</v>
      </c>
      <c r="E3174" t="s">
        <v>99</v>
      </c>
      <c r="F3174" t="s">
        <v>45</v>
      </c>
      <c r="G3174">
        <f t="shared" si="3418"/>
        <v>0</v>
      </c>
      <c r="H3174">
        <v>3</v>
      </c>
      <c r="I3174">
        <v>9</v>
      </c>
      <c r="J3174">
        <v>1</v>
      </c>
      <c r="K3174" s="6" t="str">
        <f t="shared" ref="K3174" si="3443">"vs "&amp;E3175</f>
        <v>vs Pachiana NinjaBees</v>
      </c>
      <c r="L3174" s="6" t="str">
        <f t="shared" ref="L3174" si="3444">"vs "&amp;F3175</f>
        <v>vs Spiridaus/Oladipas</v>
      </c>
      <c r="M3174">
        <v>150</v>
      </c>
      <c r="N3174" s="1">
        <v>0.46600000000000003</v>
      </c>
      <c r="O3174">
        <v>43</v>
      </c>
      <c r="P3174" s="1">
        <v>0.34100000000000003</v>
      </c>
      <c r="Q3174" s="1">
        <v>0.79800000000000004</v>
      </c>
      <c r="R3174">
        <v>410</v>
      </c>
      <c r="S3174">
        <v>49</v>
      </c>
      <c r="T3174">
        <v>141</v>
      </c>
      <c r="U3174">
        <v>74</v>
      </c>
      <c r="V3174">
        <v>22</v>
      </c>
      <c r="W3174">
        <v>22</v>
      </c>
      <c r="X3174">
        <v>48</v>
      </c>
      <c r="Y3174">
        <v>1.54</v>
      </c>
    </row>
    <row r="3175" spans="1:25" x14ac:dyDescent="0.25">
      <c r="A3175">
        <v>2026</v>
      </c>
      <c r="B3175" t="s">
        <v>57</v>
      </c>
      <c r="C3175">
        <v>6</v>
      </c>
      <c r="D3175">
        <v>53</v>
      </c>
      <c r="E3175" t="s">
        <v>23</v>
      </c>
      <c r="F3175" t="s">
        <v>120</v>
      </c>
      <c r="G3175">
        <f t="shared" si="3418"/>
        <v>1</v>
      </c>
      <c r="H3175">
        <v>9</v>
      </c>
      <c r="I3175">
        <v>3</v>
      </c>
      <c r="J3175">
        <v>1</v>
      </c>
      <c r="K3175" s="6" t="str">
        <f t="shared" ref="K3175" si="3445">"vs "&amp;E3174</f>
        <v>vs Tsarlatans</v>
      </c>
      <c r="L3175" s="6" t="str">
        <f t="shared" ref="L3175" si="3446">"vs "&amp;F3174</f>
        <v>vs Tzokos</v>
      </c>
      <c r="M3175">
        <v>172</v>
      </c>
      <c r="N3175" s="1">
        <v>0.46400000000000002</v>
      </c>
      <c r="O3175">
        <v>51</v>
      </c>
      <c r="P3175" s="1">
        <v>0.34899999999999998</v>
      </c>
      <c r="Q3175" s="1">
        <v>0.86699999999999999</v>
      </c>
      <c r="R3175">
        <v>473</v>
      </c>
      <c r="S3175">
        <v>49</v>
      </c>
      <c r="T3175">
        <v>120</v>
      </c>
      <c r="U3175">
        <v>159</v>
      </c>
      <c r="V3175">
        <v>43</v>
      </c>
      <c r="W3175">
        <v>26</v>
      </c>
      <c r="X3175">
        <v>79</v>
      </c>
      <c r="Y3175">
        <v>2.0099999999999998</v>
      </c>
    </row>
    <row r="3176" spans="1:25" x14ac:dyDescent="0.25">
      <c r="A3176">
        <v>2026</v>
      </c>
      <c r="B3176" t="s">
        <v>57</v>
      </c>
      <c r="C3176">
        <v>6</v>
      </c>
      <c r="D3176">
        <v>54</v>
      </c>
      <c r="E3176" t="s">
        <v>33</v>
      </c>
      <c r="F3176" t="s">
        <v>42</v>
      </c>
      <c r="G3176">
        <f t="shared" si="3418"/>
        <v>1</v>
      </c>
      <c r="H3176">
        <v>9</v>
      </c>
      <c r="I3176">
        <v>4</v>
      </c>
      <c r="J3176">
        <v>0</v>
      </c>
      <c r="K3176" s="6" t="str">
        <f t="shared" ref="K3176" si="3447">"vs "&amp;E3177</f>
        <v>vs st.Helens Eruptions</v>
      </c>
      <c r="L3176" s="6" t="str">
        <f t="shared" ref="L3176" si="3448">"vs "&amp;F3177</f>
        <v>vs Aris</v>
      </c>
      <c r="M3176">
        <v>178</v>
      </c>
      <c r="N3176" s="1">
        <v>0.46100000000000002</v>
      </c>
      <c r="O3176">
        <v>69</v>
      </c>
      <c r="P3176" s="1">
        <v>0.36899999999999999</v>
      </c>
      <c r="Q3176" s="1">
        <v>0.85</v>
      </c>
      <c r="R3176">
        <v>521</v>
      </c>
      <c r="S3176">
        <v>15</v>
      </c>
      <c r="T3176">
        <v>97</v>
      </c>
      <c r="U3176">
        <v>92</v>
      </c>
      <c r="V3176">
        <v>36</v>
      </c>
      <c r="W3176">
        <v>7</v>
      </c>
      <c r="X3176">
        <v>42</v>
      </c>
      <c r="Y3176">
        <v>2.19</v>
      </c>
    </row>
    <row r="3177" spans="1:25" x14ac:dyDescent="0.25">
      <c r="A3177">
        <v>2026</v>
      </c>
      <c r="B3177" t="s">
        <v>57</v>
      </c>
      <c r="C3177">
        <v>6</v>
      </c>
      <c r="D3177">
        <v>54</v>
      </c>
      <c r="E3177" t="s">
        <v>21</v>
      </c>
      <c r="F3177" t="s">
        <v>50</v>
      </c>
      <c r="G3177">
        <f t="shared" si="3418"/>
        <v>0</v>
      </c>
      <c r="H3177">
        <v>4</v>
      </c>
      <c r="I3177">
        <v>9</v>
      </c>
      <c r="J3177">
        <v>0</v>
      </c>
      <c r="K3177" s="6" t="str">
        <f t="shared" ref="K3177" si="3449">"vs "&amp;E3176</f>
        <v>vs The Guns</v>
      </c>
      <c r="L3177" s="6" t="str">
        <f t="shared" ref="L3177" si="3450">"vs "&amp;F3176</f>
        <v>vs Vasilis</v>
      </c>
      <c r="M3177">
        <v>152</v>
      </c>
      <c r="N3177" s="1">
        <v>0.48099999999999998</v>
      </c>
      <c r="O3177">
        <v>35</v>
      </c>
      <c r="P3177" s="1">
        <v>0.35399999999999998</v>
      </c>
      <c r="Q3177" s="1">
        <v>0.73699999999999999</v>
      </c>
      <c r="R3177">
        <v>409</v>
      </c>
      <c r="S3177">
        <v>31</v>
      </c>
      <c r="T3177">
        <v>104</v>
      </c>
      <c r="U3177">
        <v>80</v>
      </c>
      <c r="V3177">
        <v>22</v>
      </c>
      <c r="W3177">
        <v>20</v>
      </c>
      <c r="X3177">
        <v>48</v>
      </c>
      <c r="Y3177">
        <v>1.67</v>
      </c>
    </row>
    <row r="3178" spans="1:25" x14ac:dyDescent="0.25">
      <c r="A3178">
        <v>2026</v>
      </c>
      <c r="B3178" t="s">
        <v>57</v>
      </c>
      <c r="C3178">
        <v>6</v>
      </c>
      <c r="D3178">
        <v>55</v>
      </c>
      <c r="E3178" t="s">
        <v>98</v>
      </c>
      <c r="F3178" t="s">
        <v>41</v>
      </c>
      <c r="G3178">
        <f t="shared" si="3418"/>
        <v>1</v>
      </c>
      <c r="H3178">
        <v>9</v>
      </c>
      <c r="I3178">
        <v>1</v>
      </c>
      <c r="J3178">
        <v>3</v>
      </c>
      <c r="K3178" s="6" t="str">
        <f t="shared" ref="K3178" si="3451">"vs "&amp;E3179</f>
        <v>vs Paralouistas</v>
      </c>
      <c r="L3178" s="6" t="str">
        <f t="shared" ref="L3178" si="3452">"vs "&amp;F3179</f>
        <v>vs Panos</v>
      </c>
      <c r="M3178">
        <v>133</v>
      </c>
      <c r="N3178" s="1">
        <v>0.46200000000000002</v>
      </c>
      <c r="O3178">
        <v>61</v>
      </c>
      <c r="P3178" s="1">
        <v>0.39900000000000002</v>
      </c>
      <c r="Q3178" s="1">
        <v>0.91300000000000003</v>
      </c>
      <c r="R3178">
        <v>369</v>
      </c>
      <c r="S3178">
        <v>37</v>
      </c>
      <c r="T3178">
        <v>96</v>
      </c>
      <c r="U3178">
        <v>68</v>
      </c>
      <c r="V3178">
        <v>36</v>
      </c>
      <c r="W3178">
        <v>19</v>
      </c>
      <c r="X3178">
        <v>40</v>
      </c>
      <c r="Y3178">
        <v>1.7</v>
      </c>
    </row>
    <row r="3179" spans="1:25" x14ac:dyDescent="0.25">
      <c r="A3179">
        <v>2026</v>
      </c>
      <c r="B3179" t="s">
        <v>57</v>
      </c>
      <c r="C3179">
        <v>6</v>
      </c>
      <c r="D3179">
        <v>55</v>
      </c>
      <c r="E3179" t="s">
        <v>185</v>
      </c>
      <c r="F3179" t="s">
        <v>100</v>
      </c>
      <c r="G3179">
        <f t="shared" si="3418"/>
        <v>0</v>
      </c>
      <c r="H3179">
        <v>1</v>
      </c>
      <c r="I3179">
        <v>9</v>
      </c>
      <c r="J3179">
        <v>3</v>
      </c>
      <c r="K3179" s="6" t="str">
        <f t="shared" ref="K3179" si="3453">"vs "&amp;E3178</f>
        <v>vs Xanthi Ducks 🦆</v>
      </c>
      <c r="L3179" s="6" t="str">
        <f t="shared" ref="L3179" si="3454">"vs "&amp;F3178</f>
        <v>vs Kotakis</v>
      </c>
      <c r="M3179">
        <v>114</v>
      </c>
      <c r="N3179" s="1">
        <v>0.46300000000000002</v>
      </c>
      <c r="O3179">
        <v>31</v>
      </c>
      <c r="P3179" s="1">
        <v>0.33700000000000002</v>
      </c>
      <c r="Q3179" s="1">
        <v>0.66700000000000004</v>
      </c>
      <c r="R3179">
        <v>309</v>
      </c>
      <c r="S3179">
        <v>28</v>
      </c>
      <c r="T3179">
        <v>86</v>
      </c>
      <c r="U3179">
        <v>68</v>
      </c>
      <c r="V3179">
        <v>26</v>
      </c>
      <c r="W3179">
        <v>11</v>
      </c>
      <c r="X3179">
        <v>40</v>
      </c>
      <c r="Y3179">
        <v>1.7</v>
      </c>
    </row>
    <row r="3180" spans="1:25" x14ac:dyDescent="0.25">
      <c r="A3180">
        <v>2026</v>
      </c>
      <c r="B3180" t="s">
        <v>57</v>
      </c>
      <c r="C3180">
        <v>6</v>
      </c>
      <c r="D3180">
        <v>56</v>
      </c>
      <c r="E3180" t="s">
        <v>26</v>
      </c>
      <c r="F3180" t="s">
        <v>118</v>
      </c>
      <c r="G3180">
        <f t="shared" si="3418"/>
        <v>1</v>
      </c>
      <c r="H3180">
        <v>10</v>
      </c>
      <c r="I3180">
        <v>3</v>
      </c>
      <c r="J3180">
        <v>0</v>
      </c>
      <c r="K3180" s="6" t="str">
        <f t="shared" ref="K3180" si="3455">"vs "&amp;E3181</f>
        <v>vs Steven Adams' Moustache</v>
      </c>
      <c r="L3180" s="6" t="str">
        <f t="shared" ref="L3180" si="3456">"vs "&amp;F3181</f>
        <v>vs Johnny</v>
      </c>
      <c r="M3180">
        <v>177</v>
      </c>
      <c r="N3180" s="1">
        <v>0.45700000000000002</v>
      </c>
      <c r="O3180">
        <v>55</v>
      </c>
      <c r="P3180" s="1">
        <v>0.33700000000000002</v>
      </c>
      <c r="Q3180" s="1">
        <v>0.8</v>
      </c>
      <c r="R3180">
        <v>497</v>
      </c>
      <c r="S3180">
        <v>57</v>
      </c>
      <c r="T3180">
        <v>158</v>
      </c>
      <c r="U3180">
        <v>119</v>
      </c>
      <c r="V3180">
        <v>33</v>
      </c>
      <c r="W3180">
        <v>14</v>
      </c>
      <c r="X3180">
        <v>63</v>
      </c>
      <c r="Y3180">
        <v>1.89</v>
      </c>
    </row>
    <row r="3181" spans="1:25" x14ac:dyDescent="0.25">
      <c r="A3181">
        <v>2026</v>
      </c>
      <c r="B3181" t="s">
        <v>57</v>
      </c>
      <c r="C3181">
        <v>6</v>
      </c>
      <c r="D3181">
        <v>56</v>
      </c>
      <c r="E3181" t="s">
        <v>28</v>
      </c>
      <c r="F3181" t="s">
        <v>46</v>
      </c>
      <c r="G3181">
        <f t="shared" si="3418"/>
        <v>0</v>
      </c>
      <c r="H3181">
        <v>3</v>
      </c>
      <c r="I3181">
        <v>10</v>
      </c>
      <c r="J3181">
        <v>0</v>
      </c>
      <c r="K3181" s="6" t="str">
        <f t="shared" ref="K3181" si="3457">"vs "&amp;E3180</f>
        <v>vs Kourayo Vallecano</v>
      </c>
      <c r="L3181" s="6" t="str">
        <f t="shared" ref="L3181" si="3458">"vs "&amp;F3180</f>
        <v>vs Ziogas/Christof</v>
      </c>
      <c r="M3181">
        <v>123</v>
      </c>
      <c r="N3181" s="1">
        <v>0.44400000000000001</v>
      </c>
      <c r="O3181">
        <v>46</v>
      </c>
      <c r="P3181" s="1">
        <v>0.34100000000000003</v>
      </c>
      <c r="Q3181" s="1">
        <v>0.72499999999999998</v>
      </c>
      <c r="R3181">
        <v>350</v>
      </c>
      <c r="S3181">
        <v>20</v>
      </c>
      <c r="T3181">
        <v>80</v>
      </c>
      <c r="U3181">
        <v>86</v>
      </c>
      <c r="V3181">
        <v>18</v>
      </c>
      <c r="W3181">
        <v>11</v>
      </c>
      <c r="X3181">
        <v>40</v>
      </c>
      <c r="Y3181">
        <v>2.15</v>
      </c>
    </row>
    <row r="3182" spans="1:25" x14ac:dyDescent="0.25">
      <c r="A3182">
        <v>2026</v>
      </c>
      <c r="B3182" t="s">
        <v>57</v>
      </c>
      <c r="C3182">
        <v>6</v>
      </c>
      <c r="D3182">
        <v>57</v>
      </c>
      <c r="E3182" t="s">
        <v>16</v>
      </c>
      <c r="F3182" t="s">
        <v>51</v>
      </c>
      <c r="G3182">
        <f t="shared" si="3418"/>
        <v>1</v>
      </c>
      <c r="H3182">
        <v>10</v>
      </c>
      <c r="I3182">
        <v>1</v>
      </c>
      <c r="J3182">
        <v>2</v>
      </c>
      <c r="K3182" s="6" t="str">
        <f t="shared" ref="K3182" si="3459">"vs "&amp;E3183</f>
        <v>vs Salonika Devils</v>
      </c>
      <c r="L3182" s="6" t="str">
        <f t="shared" ref="L3182" si="3460">"vs "&amp;F3183</f>
        <v>vs Fountos</v>
      </c>
      <c r="M3182">
        <v>184</v>
      </c>
      <c r="N3182" s="1">
        <v>0.497</v>
      </c>
      <c r="O3182">
        <v>48</v>
      </c>
      <c r="P3182" s="1">
        <v>0.372</v>
      </c>
      <c r="Q3182" s="1">
        <v>0.79500000000000004</v>
      </c>
      <c r="R3182">
        <v>474</v>
      </c>
      <c r="S3182">
        <v>51</v>
      </c>
      <c r="T3182">
        <v>130</v>
      </c>
      <c r="U3182">
        <v>93</v>
      </c>
      <c r="V3182">
        <v>35</v>
      </c>
      <c r="W3182">
        <v>17</v>
      </c>
      <c r="X3182">
        <v>46</v>
      </c>
      <c r="Y3182">
        <v>2.02</v>
      </c>
    </row>
    <row r="3183" spans="1:25" x14ac:dyDescent="0.25">
      <c r="A3183">
        <v>2026</v>
      </c>
      <c r="B3183" t="s">
        <v>57</v>
      </c>
      <c r="C3183">
        <v>6</v>
      </c>
      <c r="D3183">
        <v>57</v>
      </c>
      <c r="E3183" t="s">
        <v>15</v>
      </c>
      <c r="F3183" t="s">
        <v>48</v>
      </c>
      <c r="G3183">
        <f t="shared" si="3418"/>
        <v>0</v>
      </c>
      <c r="H3183">
        <v>1</v>
      </c>
      <c r="I3183">
        <v>10</v>
      </c>
      <c r="J3183">
        <v>2</v>
      </c>
      <c r="K3183" s="6" t="str">
        <f t="shared" ref="K3183" si="3461">"vs "&amp;E3182</f>
        <v>vs The Bridgeburners</v>
      </c>
      <c r="L3183" s="6" t="str">
        <f t="shared" ref="L3183" si="3462">"vs "&amp;F3182</f>
        <v>vs Fanis</v>
      </c>
      <c r="M3183">
        <v>129</v>
      </c>
      <c r="N3183" s="1">
        <v>0.45600000000000002</v>
      </c>
      <c r="O3183">
        <v>39</v>
      </c>
      <c r="P3183" s="1">
        <v>0.33100000000000002</v>
      </c>
      <c r="Q3183" s="1">
        <v>0.73799999999999999</v>
      </c>
      <c r="R3183">
        <v>345</v>
      </c>
      <c r="S3183">
        <v>54</v>
      </c>
      <c r="T3183">
        <v>109</v>
      </c>
      <c r="U3183">
        <v>65</v>
      </c>
      <c r="V3183">
        <v>18</v>
      </c>
      <c r="W3183">
        <v>17</v>
      </c>
      <c r="X3183">
        <v>46</v>
      </c>
      <c r="Y3183">
        <v>1.41</v>
      </c>
    </row>
    <row r="3184" spans="1:25" x14ac:dyDescent="0.25">
      <c r="A3184">
        <v>2026</v>
      </c>
      <c r="B3184" t="s">
        <v>57</v>
      </c>
      <c r="C3184">
        <v>6</v>
      </c>
      <c r="D3184">
        <v>58</v>
      </c>
      <c r="E3184" t="s">
        <v>184</v>
      </c>
      <c r="F3184" t="s">
        <v>188</v>
      </c>
      <c r="G3184">
        <f t="shared" si="3418"/>
        <v>0</v>
      </c>
      <c r="H3184">
        <v>5</v>
      </c>
      <c r="I3184">
        <v>8</v>
      </c>
      <c r="J3184">
        <v>0</v>
      </c>
      <c r="K3184" s="6" t="str">
        <f t="shared" ref="K3184" si="3463">"vs "&amp;E3185</f>
        <v>vs Samarina Dudenbros</v>
      </c>
      <c r="L3184" s="6" t="str">
        <f t="shared" ref="L3184" si="3464">"vs "&amp;F3185</f>
        <v>vs Sakellariou</v>
      </c>
      <c r="M3184">
        <v>119</v>
      </c>
      <c r="N3184" s="1">
        <v>0.52200000000000002</v>
      </c>
      <c r="O3184">
        <v>29</v>
      </c>
      <c r="P3184" s="1">
        <v>0.38200000000000001</v>
      </c>
      <c r="Q3184" s="1">
        <v>0.75</v>
      </c>
      <c r="R3184">
        <v>312</v>
      </c>
      <c r="S3184">
        <v>30</v>
      </c>
      <c r="T3184">
        <v>93</v>
      </c>
      <c r="U3184">
        <v>45</v>
      </c>
      <c r="V3184">
        <v>11</v>
      </c>
      <c r="W3184">
        <v>17</v>
      </c>
      <c r="X3184">
        <v>40</v>
      </c>
      <c r="Y3184">
        <v>1.1299999999999999</v>
      </c>
    </row>
    <row r="3185" spans="1:25" x14ac:dyDescent="0.25">
      <c r="A3185">
        <v>2026</v>
      </c>
      <c r="B3185" t="s">
        <v>57</v>
      </c>
      <c r="C3185">
        <v>6</v>
      </c>
      <c r="D3185">
        <v>58</v>
      </c>
      <c r="E3185" t="s">
        <v>181</v>
      </c>
      <c r="F3185" t="s">
        <v>49</v>
      </c>
      <c r="G3185">
        <f t="shared" si="3418"/>
        <v>1</v>
      </c>
      <c r="H3185">
        <v>8</v>
      </c>
      <c r="I3185">
        <v>5</v>
      </c>
      <c r="J3185">
        <v>0</v>
      </c>
      <c r="K3185" s="6" t="str">
        <f t="shared" ref="K3185" si="3465">"vs "&amp;E3184</f>
        <v>vs Heraklion Snakes</v>
      </c>
      <c r="L3185" s="6" t="str">
        <f t="shared" ref="L3185" si="3466">"vs "&amp;F3184</f>
        <v>vs Dimitris</v>
      </c>
      <c r="M3185">
        <v>185</v>
      </c>
      <c r="N3185" s="1">
        <v>0.44400000000000001</v>
      </c>
      <c r="O3185">
        <v>52</v>
      </c>
      <c r="P3185" s="1">
        <v>0.315</v>
      </c>
      <c r="Q3185" s="1">
        <v>0.88700000000000001</v>
      </c>
      <c r="R3185">
        <v>532</v>
      </c>
      <c r="S3185">
        <v>27</v>
      </c>
      <c r="T3185">
        <v>105</v>
      </c>
      <c r="U3185">
        <v>116</v>
      </c>
      <c r="V3185">
        <v>36</v>
      </c>
      <c r="W3185">
        <v>8</v>
      </c>
      <c r="X3185">
        <v>70</v>
      </c>
      <c r="Y3185">
        <v>1.66</v>
      </c>
    </row>
    <row r="3186" spans="1:25" x14ac:dyDescent="0.25">
      <c r="A3186">
        <v>2026</v>
      </c>
      <c r="B3186" t="s">
        <v>57</v>
      </c>
      <c r="C3186">
        <v>6</v>
      </c>
      <c r="D3186">
        <v>59</v>
      </c>
      <c r="E3186" t="s">
        <v>93</v>
      </c>
      <c r="F3186" t="s">
        <v>189</v>
      </c>
      <c r="G3186">
        <f t="shared" si="3418"/>
        <v>0</v>
      </c>
      <c r="H3186">
        <v>6</v>
      </c>
      <c r="I3186">
        <v>7</v>
      </c>
      <c r="J3186">
        <v>0</v>
      </c>
      <c r="K3186" s="6" t="str">
        <f t="shared" ref="K3186" si="3467">"vs "&amp;E3187</f>
        <v>vs The Bad Boys</v>
      </c>
      <c r="L3186" s="6" t="str">
        <f t="shared" ref="L3186" si="3468">"vs "&amp;F3187</f>
        <v>vs Arvanitis</v>
      </c>
      <c r="M3186">
        <v>178</v>
      </c>
      <c r="N3186" s="1">
        <v>0.46500000000000002</v>
      </c>
      <c r="O3186">
        <v>56</v>
      </c>
      <c r="P3186" s="1">
        <v>0.36799999999999999</v>
      </c>
      <c r="Q3186" s="1">
        <v>0.75800000000000001</v>
      </c>
      <c r="R3186">
        <v>506</v>
      </c>
      <c r="S3186">
        <v>45</v>
      </c>
      <c r="T3186">
        <v>139</v>
      </c>
      <c r="U3186">
        <v>123</v>
      </c>
      <c r="V3186">
        <v>34</v>
      </c>
      <c r="W3186">
        <v>13</v>
      </c>
      <c r="X3186">
        <v>57</v>
      </c>
      <c r="Y3186">
        <v>2.16</v>
      </c>
    </row>
    <row r="3187" spans="1:25" x14ac:dyDescent="0.25">
      <c r="A3187">
        <v>2026</v>
      </c>
      <c r="B3187" t="s">
        <v>57</v>
      </c>
      <c r="C3187">
        <v>6</v>
      </c>
      <c r="D3187">
        <v>59</v>
      </c>
      <c r="E3187" t="s">
        <v>154</v>
      </c>
      <c r="F3187" t="s">
        <v>155</v>
      </c>
      <c r="G3187">
        <f t="shared" si="3418"/>
        <v>1</v>
      </c>
      <c r="H3187">
        <v>7</v>
      </c>
      <c r="I3187">
        <v>6</v>
      </c>
      <c r="J3187">
        <v>0</v>
      </c>
      <c r="K3187" s="6" t="str">
        <f t="shared" ref="K3187" si="3469">"vs "&amp;E3186</f>
        <v>vs Guruuu 🐐🐐🐐</v>
      </c>
      <c r="L3187" s="6" t="str">
        <f t="shared" ref="L3187" si="3470">"vs "&amp;F3186</f>
        <v>vs Guru</v>
      </c>
      <c r="M3187">
        <v>176</v>
      </c>
      <c r="N3187" s="1">
        <v>0.501</v>
      </c>
      <c r="O3187">
        <v>37</v>
      </c>
      <c r="P3187" s="1">
        <v>0.34899999999999998</v>
      </c>
      <c r="Q3187" s="1">
        <v>0.77700000000000002</v>
      </c>
      <c r="R3187">
        <v>469</v>
      </c>
      <c r="S3187">
        <v>61</v>
      </c>
      <c r="T3187">
        <v>153</v>
      </c>
      <c r="U3187">
        <v>97</v>
      </c>
      <c r="V3187">
        <v>38</v>
      </c>
      <c r="W3187">
        <v>18</v>
      </c>
      <c r="X3187">
        <v>55</v>
      </c>
      <c r="Y3187">
        <v>1.76</v>
      </c>
    </row>
    <row r="3188" spans="1:25" x14ac:dyDescent="0.25">
      <c r="A3188">
        <v>2026</v>
      </c>
      <c r="B3188" t="s">
        <v>57</v>
      </c>
      <c r="C3188">
        <v>6</v>
      </c>
      <c r="D3188">
        <v>60</v>
      </c>
      <c r="E3188" t="s">
        <v>96</v>
      </c>
      <c r="F3188" t="s">
        <v>102</v>
      </c>
      <c r="G3188">
        <f t="shared" si="3418"/>
        <v>0</v>
      </c>
      <c r="H3188">
        <v>4</v>
      </c>
      <c r="I3188">
        <v>7</v>
      </c>
      <c r="J3188">
        <v>2</v>
      </c>
      <c r="K3188" s="6" t="str">
        <f t="shared" ref="K3188" si="3471">"vs "&amp;E3189</f>
        <v>vs purple fuzzy apache pirates</v>
      </c>
      <c r="L3188" s="6" t="str">
        <f t="shared" ref="L3188" si="3472">"vs "&amp;F3189</f>
        <v>vs pi/Sotiris</v>
      </c>
      <c r="M3188">
        <v>153</v>
      </c>
      <c r="N3188" s="1">
        <v>0.47699999999999998</v>
      </c>
      <c r="O3188">
        <v>38</v>
      </c>
      <c r="P3188" s="1">
        <v>0.31900000000000001</v>
      </c>
      <c r="Q3188" s="1">
        <v>0.85199999999999998</v>
      </c>
      <c r="R3188">
        <v>453</v>
      </c>
      <c r="S3188">
        <v>32</v>
      </c>
      <c r="T3188">
        <v>107</v>
      </c>
      <c r="U3188">
        <v>76</v>
      </c>
      <c r="V3188">
        <v>18</v>
      </c>
      <c r="W3188">
        <v>19</v>
      </c>
      <c r="X3188">
        <v>47</v>
      </c>
      <c r="Y3188">
        <v>1.62</v>
      </c>
    </row>
    <row r="3189" spans="1:25" x14ac:dyDescent="0.25">
      <c r="A3189">
        <v>2026</v>
      </c>
      <c r="B3189" t="s">
        <v>57</v>
      </c>
      <c r="C3189">
        <v>6</v>
      </c>
      <c r="D3189">
        <v>60</v>
      </c>
      <c r="E3189" t="s">
        <v>159</v>
      </c>
      <c r="F3189" t="s">
        <v>116</v>
      </c>
      <c r="G3189">
        <f t="shared" si="3418"/>
        <v>1</v>
      </c>
      <c r="H3189">
        <v>7</v>
      </c>
      <c r="I3189">
        <v>4</v>
      </c>
      <c r="J3189">
        <v>2</v>
      </c>
      <c r="K3189" s="6" t="str">
        <f t="shared" ref="K3189" si="3473">"vs "&amp;E3188</f>
        <v>vs Knights of Ni</v>
      </c>
      <c r="L3189" s="6" t="str">
        <f t="shared" ref="L3189" si="3474">"vs "&amp;F3188</f>
        <v>vs Tolios</v>
      </c>
      <c r="M3189">
        <v>153</v>
      </c>
      <c r="N3189" s="1">
        <v>0.53700000000000003</v>
      </c>
      <c r="O3189">
        <v>54</v>
      </c>
      <c r="P3189" s="1">
        <v>0.40600000000000003</v>
      </c>
      <c r="Q3189" s="1">
        <v>0.82199999999999995</v>
      </c>
      <c r="R3189">
        <v>443</v>
      </c>
      <c r="S3189">
        <v>32</v>
      </c>
      <c r="T3189">
        <v>125</v>
      </c>
      <c r="U3189">
        <v>122</v>
      </c>
      <c r="V3189">
        <v>22</v>
      </c>
      <c r="W3189">
        <v>11</v>
      </c>
      <c r="X3189">
        <v>55</v>
      </c>
      <c r="Y3189">
        <v>2.2200000000000002</v>
      </c>
    </row>
    <row r="3190" spans="1:25" x14ac:dyDescent="0.25">
      <c r="A3190">
        <v>2026</v>
      </c>
      <c r="B3190" t="s">
        <v>57</v>
      </c>
      <c r="C3190">
        <v>7</v>
      </c>
      <c r="D3190">
        <v>61</v>
      </c>
      <c r="E3190" t="s">
        <v>186</v>
      </c>
      <c r="F3190" t="s">
        <v>103</v>
      </c>
      <c r="G3190">
        <f t="shared" si="3418"/>
        <v>1</v>
      </c>
      <c r="H3190">
        <v>11</v>
      </c>
      <c r="I3190">
        <v>2</v>
      </c>
      <c r="J3190">
        <v>0</v>
      </c>
      <c r="K3190" s="6" t="str">
        <f t="shared" ref="K3190" si="3475">"vs "&amp;E3191</f>
        <v>vs LRBP PR3DATORS</v>
      </c>
      <c r="L3190" s="6" t="str">
        <f t="shared" ref="L3190" si="3476">"vs "&amp;F3191</f>
        <v>vs Lafa</v>
      </c>
      <c r="M3190">
        <v>254</v>
      </c>
      <c r="N3190" s="1">
        <v>0.502</v>
      </c>
      <c r="O3190">
        <v>64</v>
      </c>
      <c r="P3190" s="1">
        <v>0.38100000000000001</v>
      </c>
      <c r="Q3190" s="1">
        <v>0.86199999999999999</v>
      </c>
      <c r="R3190">
        <v>697</v>
      </c>
      <c r="S3190">
        <v>35</v>
      </c>
      <c r="T3190">
        <v>151</v>
      </c>
      <c r="U3190">
        <v>182</v>
      </c>
      <c r="V3190">
        <v>44</v>
      </c>
      <c r="W3190">
        <v>31</v>
      </c>
      <c r="X3190">
        <v>65</v>
      </c>
      <c r="Y3190">
        <v>2.8</v>
      </c>
    </row>
    <row r="3191" spans="1:25" x14ac:dyDescent="0.25">
      <c r="A3191">
        <v>2026</v>
      </c>
      <c r="B3191" t="s">
        <v>57</v>
      </c>
      <c r="C3191">
        <v>7</v>
      </c>
      <c r="D3191">
        <v>61</v>
      </c>
      <c r="E3191" t="s">
        <v>158</v>
      </c>
      <c r="F3191" t="s">
        <v>177</v>
      </c>
      <c r="G3191">
        <f t="shared" si="3418"/>
        <v>0</v>
      </c>
      <c r="H3191">
        <v>2</v>
      </c>
      <c r="I3191">
        <v>11</v>
      </c>
      <c r="J3191">
        <v>0</v>
      </c>
      <c r="K3191" s="6" t="str">
        <f t="shared" ref="K3191" si="3477">"vs "&amp;E3190</f>
        <v>vs Karafli Saita</v>
      </c>
      <c r="L3191" s="6" t="str">
        <f t="shared" ref="L3191" si="3478">"vs "&amp;F3190</f>
        <v>vs Tassos</v>
      </c>
      <c r="M3191">
        <v>184</v>
      </c>
      <c r="N3191" s="1">
        <v>0.504</v>
      </c>
      <c r="O3191">
        <v>39</v>
      </c>
      <c r="P3191" s="1">
        <v>0.315</v>
      </c>
      <c r="Q3191" s="1">
        <v>0.77900000000000003</v>
      </c>
      <c r="R3191">
        <v>523</v>
      </c>
      <c r="S3191">
        <v>36</v>
      </c>
      <c r="T3191">
        <v>127</v>
      </c>
      <c r="U3191">
        <v>124</v>
      </c>
      <c r="V3191">
        <v>34</v>
      </c>
      <c r="W3191">
        <v>25</v>
      </c>
      <c r="X3191">
        <v>68</v>
      </c>
      <c r="Y3191">
        <v>1.82</v>
      </c>
    </row>
    <row r="3192" spans="1:25" x14ac:dyDescent="0.25">
      <c r="A3192">
        <v>2026</v>
      </c>
      <c r="B3192" t="s">
        <v>57</v>
      </c>
      <c r="C3192">
        <v>7</v>
      </c>
      <c r="D3192">
        <v>62</v>
      </c>
      <c r="E3192" t="s">
        <v>23</v>
      </c>
      <c r="F3192" t="s">
        <v>120</v>
      </c>
      <c r="G3192">
        <f t="shared" si="3418"/>
        <v>0</v>
      </c>
      <c r="H3192">
        <v>4</v>
      </c>
      <c r="I3192">
        <v>9</v>
      </c>
      <c r="J3192">
        <v>0</v>
      </c>
      <c r="K3192" s="6" t="str">
        <f t="shared" ref="K3192" si="3479">"vs "&amp;E3193</f>
        <v>vs Fighting Thaddeus</v>
      </c>
      <c r="L3192" s="6" t="str">
        <f t="shared" ref="L3192" si="3480">"vs "&amp;F3193</f>
        <v>vs Stavros</v>
      </c>
      <c r="M3192">
        <v>124</v>
      </c>
      <c r="N3192" s="1">
        <v>0.45900000000000002</v>
      </c>
      <c r="O3192">
        <v>36</v>
      </c>
      <c r="P3192" s="1">
        <v>0.35599999999999998</v>
      </c>
      <c r="Q3192" s="1">
        <v>0.76800000000000002</v>
      </c>
      <c r="R3192">
        <v>327</v>
      </c>
      <c r="S3192">
        <v>26</v>
      </c>
      <c r="T3192">
        <v>87</v>
      </c>
      <c r="U3192">
        <v>99</v>
      </c>
      <c r="V3192">
        <v>19</v>
      </c>
      <c r="W3192">
        <v>17</v>
      </c>
      <c r="X3192">
        <v>53</v>
      </c>
      <c r="Y3192">
        <v>1.87</v>
      </c>
    </row>
    <row r="3193" spans="1:25" x14ac:dyDescent="0.25">
      <c r="A3193">
        <v>2026</v>
      </c>
      <c r="B3193" t="s">
        <v>57</v>
      </c>
      <c r="C3193">
        <v>7</v>
      </c>
      <c r="D3193">
        <v>62</v>
      </c>
      <c r="E3193" t="s">
        <v>94</v>
      </c>
      <c r="F3193" t="s">
        <v>40</v>
      </c>
      <c r="G3193">
        <f t="shared" si="3418"/>
        <v>1</v>
      </c>
      <c r="H3193">
        <v>9</v>
      </c>
      <c r="I3193">
        <v>4</v>
      </c>
      <c r="J3193">
        <v>0</v>
      </c>
      <c r="K3193" s="6" t="str">
        <f t="shared" ref="K3193" si="3481">"vs "&amp;E3192</f>
        <v>vs Pachiana NinjaBees</v>
      </c>
      <c r="L3193" s="6" t="str">
        <f t="shared" ref="L3193" si="3482">"vs "&amp;F3192</f>
        <v>vs Spiridaus/Oladipas</v>
      </c>
      <c r="M3193">
        <v>183</v>
      </c>
      <c r="N3193" s="1">
        <v>0.45900000000000002</v>
      </c>
      <c r="O3193">
        <v>61</v>
      </c>
      <c r="P3193" s="1">
        <v>0.37</v>
      </c>
      <c r="Q3193" s="1">
        <v>0.83699999999999997</v>
      </c>
      <c r="R3193">
        <v>499</v>
      </c>
      <c r="S3193">
        <v>39</v>
      </c>
      <c r="T3193">
        <v>120</v>
      </c>
      <c r="U3193">
        <v>115</v>
      </c>
      <c r="V3193">
        <v>23</v>
      </c>
      <c r="W3193">
        <v>15</v>
      </c>
      <c r="X3193">
        <v>67</v>
      </c>
      <c r="Y3193">
        <v>1.72</v>
      </c>
    </row>
    <row r="3194" spans="1:25" x14ac:dyDescent="0.25">
      <c r="A3194">
        <v>2026</v>
      </c>
      <c r="B3194" t="s">
        <v>57</v>
      </c>
      <c r="C3194">
        <v>7</v>
      </c>
      <c r="D3194">
        <v>63</v>
      </c>
      <c r="E3194" t="s">
        <v>21</v>
      </c>
      <c r="F3194" t="s">
        <v>50</v>
      </c>
      <c r="G3194">
        <f t="shared" si="3418"/>
        <v>0</v>
      </c>
      <c r="H3194">
        <v>6</v>
      </c>
      <c r="I3194">
        <v>7</v>
      </c>
      <c r="J3194">
        <v>0</v>
      </c>
      <c r="K3194" s="6" t="str">
        <f t="shared" ref="K3194" si="3483">"vs "&amp;E3195</f>
        <v>vs Hércules Pals</v>
      </c>
      <c r="L3194" s="6" t="str">
        <f t="shared" ref="L3194" si="3484">"vs "&amp;F3195</f>
        <v>vs Pals</v>
      </c>
      <c r="M3194">
        <v>140</v>
      </c>
      <c r="N3194" s="1">
        <v>0.42</v>
      </c>
      <c r="O3194">
        <v>35</v>
      </c>
      <c r="P3194" s="1">
        <v>0.32700000000000001</v>
      </c>
      <c r="Q3194" s="1">
        <v>0.76400000000000001</v>
      </c>
      <c r="R3194">
        <v>357</v>
      </c>
      <c r="S3194">
        <v>37</v>
      </c>
      <c r="T3194">
        <v>125</v>
      </c>
      <c r="U3194">
        <v>73</v>
      </c>
      <c r="V3194">
        <v>20</v>
      </c>
      <c r="W3194">
        <v>12</v>
      </c>
      <c r="X3194">
        <v>43</v>
      </c>
      <c r="Y3194">
        <v>1.7</v>
      </c>
    </row>
    <row r="3195" spans="1:25" x14ac:dyDescent="0.25">
      <c r="A3195">
        <v>2026</v>
      </c>
      <c r="B3195" t="s">
        <v>57</v>
      </c>
      <c r="C3195">
        <v>7</v>
      </c>
      <c r="D3195">
        <v>63</v>
      </c>
      <c r="E3195" t="s">
        <v>201</v>
      </c>
      <c r="F3195" t="s">
        <v>227</v>
      </c>
      <c r="G3195">
        <f t="shared" si="3418"/>
        <v>1</v>
      </c>
      <c r="H3195">
        <v>7</v>
      </c>
      <c r="I3195">
        <v>6</v>
      </c>
      <c r="J3195">
        <v>0</v>
      </c>
      <c r="K3195" s="6" t="str">
        <f t="shared" ref="K3195" si="3485">"vs "&amp;E3194</f>
        <v>vs st.Helens Eruptions</v>
      </c>
      <c r="L3195" s="6" t="str">
        <f t="shared" ref="L3195" si="3486">"vs "&amp;F3194</f>
        <v>vs Aris</v>
      </c>
      <c r="M3195">
        <v>128</v>
      </c>
      <c r="N3195" s="1">
        <v>0.49</v>
      </c>
      <c r="O3195">
        <v>47</v>
      </c>
      <c r="P3195" s="1">
        <v>0.38500000000000001</v>
      </c>
      <c r="Q3195" s="1">
        <v>0.69199999999999995</v>
      </c>
      <c r="R3195">
        <v>348</v>
      </c>
      <c r="S3195">
        <v>56</v>
      </c>
      <c r="T3195">
        <v>112</v>
      </c>
      <c r="U3195">
        <v>83</v>
      </c>
      <c r="V3195">
        <v>22</v>
      </c>
      <c r="W3195">
        <v>15</v>
      </c>
      <c r="X3195">
        <v>54</v>
      </c>
      <c r="Y3195">
        <v>1.54</v>
      </c>
    </row>
    <row r="3196" spans="1:25" x14ac:dyDescent="0.25">
      <c r="A3196">
        <v>2026</v>
      </c>
      <c r="B3196" t="s">
        <v>57</v>
      </c>
      <c r="C3196">
        <v>7</v>
      </c>
      <c r="D3196">
        <v>64</v>
      </c>
      <c r="E3196" t="s">
        <v>185</v>
      </c>
      <c r="F3196" t="s">
        <v>100</v>
      </c>
      <c r="G3196">
        <f t="shared" si="3418"/>
        <v>0</v>
      </c>
      <c r="H3196">
        <v>4</v>
      </c>
      <c r="I3196">
        <v>9</v>
      </c>
      <c r="J3196">
        <v>0</v>
      </c>
      <c r="K3196" s="6" t="str">
        <f t="shared" ref="K3196" si="3487">"vs "&amp;E3197</f>
        <v>vs Tsarlatans</v>
      </c>
      <c r="L3196" s="6" t="str">
        <f t="shared" ref="L3196" si="3488">"vs "&amp;F3197</f>
        <v>vs Tzokos</v>
      </c>
      <c r="M3196">
        <v>149</v>
      </c>
      <c r="N3196" s="1">
        <v>0.42899999999999999</v>
      </c>
      <c r="O3196">
        <v>54</v>
      </c>
      <c r="P3196" s="1">
        <v>0.38800000000000001</v>
      </c>
      <c r="Q3196" s="1">
        <v>0.80200000000000005</v>
      </c>
      <c r="R3196">
        <v>425</v>
      </c>
      <c r="S3196">
        <v>36</v>
      </c>
      <c r="T3196">
        <v>119</v>
      </c>
      <c r="U3196">
        <v>139</v>
      </c>
      <c r="V3196">
        <v>30</v>
      </c>
      <c r="W3196">
        <v>17</v>
      </c>
      <c r="X3196">
        <v>68</v>
      </c>
      <c r="Y3196">
        <v>2.04</v>
      </c>
    </row>
    <row r="3197" spans="1:25" x14ac:dyDescent="0.25">
      <c r="A3197">
        <v>2026</v>
      </c>
      <c r="B3197" t="s">
        <v>57</v>
      </c>
      <c r="C3197">
        <v>7</v>
      </c>
      <c r="D3197">
        <v>64</v>
      </c>
      <c r="E3197" t="s">
        <v>99</v>
      </c>
      <c r="F3197" t="s">
        <v>45</v>
      </c>
      <c r="G3197">
        <f t="shared" si="3418"/>
        <v>1</v>
      </c>
      <c r="H3197">
        <v>9</v>
      </c>
      <c r="I3197">
        <v>4</v>
      </c>
      <c r="J3197">
        <v>0</v>
      </c>
      <c r="K3197" s="6" t="str">
        <f t="shared" ref="K3197" si="3489">"vs "&amp;E3196</f>
        <v>vs Paralouistas</v>
      </c>
      <c r="L3197" s="6" t="str">
        <f t="shared" ref="L3197" si="3490">"vs "&amp;F3196</f>
        <v>vs Panos</v>
      </c>
      <c r="M3197">
        <v>156</v>
      </c>
      <c r="N3197" s="1">
        <v>0.47399999999999998</v>
      </c>
      <c r="O3197">
        <v>51</v>
      </c>
      <c r="P3197" s="1">
        <v>0.38300000000000001</v>
      </c>
      <c r="Q3197" s="1">
        <v>0.81499999999999995</v>
      </c>
      <c r="R3197">
        <v>416</v>
      </c>
      <c r="S3197">
        <v>46</v>
      </c>
      <c r="T3197">
        <v>153</v>
      </c>
      <c r="U3197">
        <v>107</v>
      </c>
      <c r="V3197">
        <v>32</v>
      </c>
      <c r="W3197">
        <v>26</v>
      </c>
      <c r="X3197">
        <v>48</v>
      </c>
      <c r="Y3197">
        <v>2.23</v>
      </c>
    </row>
    <row r="3198" spans="1:25" x14ac:dyDescent="0.25">
      <c r="A3198">
        <v>2026</v>
      </c>
      <c r="B3198" t="s">
        <v>57</v>
      </c>
      <c r="C3198">
        <v>7</v>
      </c>
      <c r="D3198">
        <v>65</v>
      </c>
      <c r="E3198" t="s">
        <v>28</v>
      </c>
      <c r="F3198" t="s">
        <v>46</v>
      </c>
      <c r="G3198">
        <f t="shared" si="3418"/>
        <v>0</v>
      </c>
      <c r="H3198">
        <v>2</v>
      </c>
      <c r="I3198">
        <v>11</v>
      </c>
      <c r="J3198">
        <v>0</v>
      </c>
      <c r="K3198" s="6" t="str">
        <f t="shared" ref="K3198" si="3491">"vs "&amp;E3199</f>
        <v>vs The Guns</v>
      </c>
      <c r="L3198" s="6" t="str">
        <f t="shared" ref="L3198" si="3492">"vs "&amp;F3199</f>
        <v>vs Vasilis</v>
      </c>
      <c r="M3198">
        <v>155</v>
      </c>
      <c r="N3198" s="1">
        <v>0.48299999999999998</v>
      </c>
      <c r="O3198">
        <v>51</v>
      </c>
      <c r="P3198" s="1">
        <v>0.35899999999999999</v>
      </c>
      <c r="Q3198" s="1">
        <v>0.86699999999999999</v>
      </c>
      <c r="R3198">
        <v>439</v>
      </c>
      <c r="S3198">
        <v>27</v>
      </c>
      <c r="T3198">
        <v>110</v>
      </c>
      <c r="U3198">
        <v>97</v>
      </c>
      <c r="V3198">
        <v>19</v>
      </c>
      <c r="W3198">
        <v>19</v>
      </c>
      <c r="X3198">
        <v>64</v>
      </c>
      <c r="Y3198">
        <v>1.52</v>
      </c>
    </row>
    <row r="3199" spans="1:25" x14ac:dyDescent="0.25">
      <c r="A3199">
        <v>2026</v>
      </c>
      <c r="B3199" t="s">
        <v>57</v>
      </c>
      <c r="C3199">
        <v>7</v>
      </c>
      <c r="D3199">
        <v>65</v>
      </c>
      <c r="E3199" t="s">
        <v>33</v>
      </c>
      <c r="F3199" t="s">
        <v>42</v>
      </c>
      <c r="G3199">
        <f t="shared" si="3418"/>
        <v>1</v>
      </c>
      <c r="H3199">
        <v>11</v>
      </c>
      <c r="I3199">
        <v>2</v>
      </c>
      <c r="J3199">
        <v>0</v>
      </c>
      <c r="K3199" s="6" t="str">
        <f t="shared" ref="K3199" si="3493">"vs "&amp;E3198</f>
        <v>vs Steven Adams' Moustache</v>
      </c>
      <c r="L3199" s="6" t="str">
        <f t="shared" ref="L3199" si="3494">"vs "&amp;F3198</f>
        <v>vs Johnny</v>
      </c>
      <c r="M3199">
        <v>181</v>
      </c>
      <c r="N3199" s="1">
        <v>0.50600000000000001</v>
      </c>
      <c r="O3199">
        <v>61</v>
      </c>
      <c r="P3199" s="1">
        <v>0.44900000000000001</v>
      </c>
      <c r="Q3199" s="1">
        <v>0.83199999999999996</v>
      </c>
      <c r="R3199">
        <v>502</v>
      </c>
      <c r="S3199">
        <v>34</v>
      </c>
      <c r="T3199">
        <v>124</v>
      </c>
      <c r="U3199">
        <v>85</v>
      </c>
      <c r="V3199">
        <v>25</v>
      </c>
      <c r="W3199">
        <v>21</v>
      </c>
      <c r="X3199">
        <v>36</v>
      </c>
      <c r="Y3199">
        <v>2.36</v>
      </c>
    </row>
    <row r="3200" spans="1:25" x14ac:dyDescent="0.25">
      <c r="A3200">
        <v>2026</v>
      </c>
      <c r="B3200" t="s">
        <v>57</v>
      </c>
      <c r="C3200">
        <v>7</v>
      </c>
      <c r="D3200">
        <v>66</v>
      </c>
      <c r="E3200" t="s">
        <v>15</v>
      </c>
      <c r="F3200" t="s">
        <v>48</v>
      </c>
      <c r="G3200">
        <f t="shared" si="3418"/>
        <v>0</v>
      </c>
      <c r="H3200">
        <v>2</v>
      </c>
      <c r="I3200">
        <v>11</v>
      </c>
      <c r="J3200">
        <v>0</v>
      </c>
      <c r="K3200" s="6" t="str">
        <f t="shared" ref="K3200" si="3495">"vs "&amp;E3201</f>
        <v>vs Xanthi Ducks 🦆</v>
      </c>
      <c r="L3200" s="6" t="str">
        <f t="shared" ref="L3200" si="3496">"vs "&amp;F3201</f>
        <v>vs Kotakis</v>
      </c>
      <c r="M3200">
        <v>104</v>
      </c>
      <c r="N3200" s="1">
        <v>0.45400000000000001</v>
      </c>
      <c r="O3200">
        <v>25</v>
      </c>
      <c r="P3200" s="1">
        <v>0.30099999999999999</v>
      </c>
      <c r="Q3200" s="1">
        <v>0.8</v>
      </c>
      <c r="R3200">
        <v>297</v>
      </c>
      <c r="S3200">
        <v>35</v>
      </c>
      <c r="T3200">
        <v>95</v>
      </c>
      <c r="U3200">
        <v>64</v>
      </c>
      <c r="V3200">
        <v>18</v>
      </c>
      <c r="W3200">
        <v>5</v>
      </c>
      <c r="X3200">
        <v>42</v>
      </c>
      <c r="Y3200">
        <v>1.52</v>
      </c>
    </row>
    <row r="3201" spans="1:25" x14ac:dyDescent="0.25">
      <c r="A3201">
        <v>2026</v>
      </c>
      <c r="B3201" t="s">
        <v>57</v>
      </c>
      <c r="C3201">
        <v>7</v>
      </c>
      <c r="D3201">
        <v>66</v>
      </c>
      <c r="E3201" t="s">
        <v>98</v>
      </c>
      <c r="F3201" t="s">
        <v>41</v>
      </c>
      <c r="G3201">
        <f t="shared" si="3418"/>
        <v>1</v>
      </c>
      <c r="H3201">
        <v>11</v>
      </c>
      <c r="I3201">
        <v>2</v>
      </c>
      <c r="J3201">
        <v>0</v>
      </c>
      <c r="K3201" s="6" t="str">
        <f t="shared" ref="K3201" si="3497">"vs "&amp;E3200</f>
        <v>vs Salonika Devils</v>
      </c>
      <c r="L3201" s="6" t="str">
        <f t="shared" ref="L3201" si="3498">"vs "&amp;F3200</f>
        <v>vs Fountos</v>
      </c>
      <c r="M3201">
        <v>159</v>
      </c>
      <c r="N3201" s="1">
        <v>0.47199999999999998</v>
      </c>
      <c r="O3201">
        <v>75</v>
      </c>
      <c r="P3201" s="1">
        <v>0.40799999999999997</v>
      </c>
      <c r="Q3201" s="1">
        <v>0.77600000000000002</v>
      </c>
      <c r="R3201">
        <v>445</v>
      </c>
      <c r="S3201">
        <v>32</v>
      </c>
      <c r="T3201">
        <v>96</v>
      </c>
      <c r="U3201">
        <v>85</v>
      </c>
      <c r="V3201">
        <v>37</v>
      </c>
      <c r="W3201">
        <v>17</v>
      </c>
      <c r="X3201">
        <v>36</v>
      </c>
      <c r="Y3201">
        <v>2.36</v>
      </c>
    </row>
    <row r="3202" spans="1:25" x14ac:dyDescent="0.25">
      <c r="A3202">
        <v>2026</v>
      </c>
      <c r="B3202" t="s">
        <v>57</v>
      </c>
      <c r="C3202">
        <v>7</v>
      </c>
      <c r="D3202">
        <v>67</v>
      </c>
      <c r="E3202" t="s">
        <v>181</v>
      </c>
      <c r="F3202" t="s">
        <v>49</v>
      </c>
      <c r="G3202">
        <f t="shared" si="3418"/>
        <v>0</v>
      </c>
      <c r="H3202">
        <v>6</v>
      </c>
      <c r="I3202">
        <v>7</v>
      </c>
      <c r="J3202">
        <v>0</v>
      </c>
      <c r="K3202" s="6" t="str">
        <f t="shared" ref="K3202" si="3499">"vs "&amp;E3203</f>
        <v>vs Kourayo Vallecano</v>
      </c>
      <c r="L3202" s="6" t="str">
        <f t="shared" ref="L3202" si="3500">"vs "&amp;F3203</f>
        <v>vs Ziogas/Christof</v>
      </c>
      <c r="M3202">
        <v>210</v>
      </c>
      <c r="N3202" s="1">
        <v>0.46899999999999997</v>
      </c>
      <c r="O3202">
        <v>56</v>
      </c>
      <c r="P3202" s="1">
        <v>0.33100000000000002</v>
      </c>
      <c r="Q3202" s="1">
        <v>0.79600000000000004</v>
      </c>
      <c r="R3202">
        <v>566</v>
      </c>
      <c r="S3202">
        <v>51</v>
      </c>
      <c r="T3202">
        <v>139</v>
      </c>
      <c r="U3202">
        <v>117</v>
      </c>
      <c r="V3202">
        <v>45</v>
      </c>
      <c r="W3202">
        <v>16</v>
      </c>
      <c r="X3202">
        <v>59</v>
      </c>
      <c r="Y3202">
        <v>1.98</v>
      </c>
    </row>
    <row r="3203" spans="1:25" x14ac:dyDescent="0.25">
      <c r="A3203">
        <v>2026</v>
      </c>
      <c r="B3203" t="s">
        <v>57</v>
      </c>
      <c r="C3203">
        <v>7</v>
      </c>
      <c r="D3203">
        <v>67</v>
      </c>
      <c r="E3203" t="s">
        <v>26</v>
      </c>
      <c r="F3203" t="s">
        <v>118</v>
      </c>
      <c r="G3203">
        <f t="shared" si="3418"/>
        <v>1</v>
      </c>
      <c r="H3203">
        <v>7</v>
      </c>
      <c r="I3203">
        <v>6</v>
      </c>
      <c r="J3203">
        <v>0</v>
      </c>
      <c r="K3203" s="6" t="str">
        <f t="shared" ref="K3203" si="3501">"vs "&amp;E3202</f>
        <v>vs Samarina Dudenbros</v>
      </c>
      <c r="L3203" s="6" t="str">
        <f t="shared" ref="L3203" si="3502">"vs "&amp;F3202</f>
        <v>vs Sakellariou</v>
      </c>
      <c r="M3203">
        <v>190</v>
      </c>
      <c r="N3203" s="1">
        <v>0.47599999999999998</v>
      </c>
      <c r="O3203">
        <v>53</v>
      </c>
      <c r="P3203" s="1">
        <v>0.34399999999999997</v>
      </c>
      <c r="Q3203" s="1">
        <v>0.83099999999999996</v>
      </c>
      <c r="R3203">
        <v>531</v>
      </c>
      <c r="S3203">
        <v>45</v>
      </c>
      <c r="T3203">
        <v>154</v>
      </c>
      <c r="U3203">
        <v>133</v>
      </c>
      <c r="V3203">
        <v>29</v>
      </c>
      <c r="W3203">
        <v>10</v>
      </c>
      <c r="X3203">
        <v>50</v>
      </c>
      <c r="Y3203">
        <v>2.66</v>
      </c>
    </row>
    <row r="3204" spans="1:25" x14ac:dyDescent="0.25">
      <c r="A3204">
        <v>2026</v>
      </c>
      <c r="B3204" t="s">
        <v>57</v>
      </c>
      <c r="C3204">
        <v>7</v>
      </c>
      <c r="D3204">
        <v>68</v>
      </c>
      <c r="E3204" t="s">
        <v>154</v>
      </c>
      <c r="F3204" t="s">
        <v>155</v>
      </c>
      <c r="G3204">
        <f t="shared" si="3418"/>
        <v>0</v>
      </c>
      <c r="H3204">
        <v>3</v>
      </c>
      <c r="I3204">
        <v>9</v>
      </c>
      <c r="J3204">
        <v>1</v>
      </c>
      <c r="K3204" s="6" t="str">
        <f t="shared" ref="K3204" si="3503">"vs "&amp;E3205</f>
        <v>vs The Bridgeburners</v>
      </c>
      <c r="L3204" s="6" t="str">
        <f t="shared" ref="L3204" si="3504">"vs "&amp;F3205</f>
        <v>vs Fanis</v>
      </c>
      <c r="M3204">
        <v>174</v>
      </c>
      <c r="N3204" s="1">
        <v>0.50900000000000001</v>
      </c>
      <c r="O3204">
        <v>38</v>
      </c>
      <c r="P3204" s="1">
        <v>0.39200000000000002</v>
      </c>
      <c r="Q3204" s="1">
        <v>0.77500000000000002</v>
      </c>
      <c r="R3204">
        <v>465</v>
      </c>
      <c r="S3204">
        <v>34</v>
      </c>
      <c r="T3204">
        <v>119</v>
      </c>
      <c r="U3204">
        <v>65</v>
      </c>
      <c r="V3204">
        <v>29</v>
      </c>
      <c r="W3204">
        <v>32</v>
      </c>
      <c r="X3204">
        <v>49</v>
      </c>
      <c r="Y3204">
        <v>1.33</v>
      </c>
    </row>
    <row r="3205" spans="1:25" x14ac:dyDescent="0.25">
      <c r="A3205">
        <v>2026</v>
      </c>
      <c r="B3205" t="s">
        <v>57</v>
      </c>
      <c r="C3205">
        <v>7</v>
      </c>
      <c r="D3205">
        <v>68</v>
      </c>
      <c r="E3205" t="s">
        <v>16</v>
      </c>
      <c r="F3205" t="s">
        <v>51</v>
      </c>
      <c r="G3205">
        <f t="shared" si="3418"/>
        <v>1</v>
      </c>
      <c r="H3205">
        <v>9</v>
      </c>
      <c r="I3205">
        <v>3</v>
      </c>
      <c r="J3205">
        <v>1</v>
      </c>
      <c r="K3205" s="6" t="str">
        <f t="shared" ref="K3205" si="3505">"vs "&amp;E3204</f>
        <v>vs The Bad Boys</v>
      </c>
      <c r="L3205" s="6" t="str">
        <f t="shared" ref="L3205" si="3506">"vs "&amp;F3204</f>
        <v>vs Arvanitis</v>
      </c>
      <c r="M3205">
        <v>225</v>
      </c>
      <c r="N3205" s="1">
        <v>0.48699999999999999</v>
      </c>
      <c r="O3205">
        <v>56</v>
      </c>
      <c r="P3205" s="1">
        <v>0.33700000000000002</v>
      </c>
      <c r="Q3205" s="1">
        <v>0.78900000000000003</v>
      </c>
      <c r="R3205">
        <v>603</v>
      </c>
      <c r="S3205">
        <v>48</v>
      </c>
      <c r="T3205">
        <v>162</v>
      </c>
      <c r="U3205">
        <v>133</v>
      </c>
      <c r="V3205">
        <v>39</v>
      </c>
      <c r="W3205">
        <v>32</v>
      </c>
      <c r="X3205">
        <v>60</v>
      </c>
      <c r="Y3205">
        <v>2.2200000000000002</v>
      </c>
    </row>
    <row r="3206" spans="1:25" x14ac:dyDescent="0.25">
      <c r="A3206">
        <v>2026</v>
      </c>
      <c r="B3206" t="s">
        <v>57</v>
      </c>
      <c r="C3206">
        <v>7</v>
      </c>
      <c r="D3206">
        <v>69</v>
      </c>
      <c r="E3206" t="s">
        <v>159</v>
      </c>
      <c r="F3206" t="s">
        <v>116</v>
      </c>
      <c r="G3206">
        <f t="shared" si="3418"/>
        <v>1</v>
      </c>
      <c r="H3206">
        <v>10</v>
      </c>
      <c r="I3206">
        <v>3</v>
      </c>
      <c r="J3206">
        <v>0</v>
      </c>
      <c r="K3206" s="6" t="str">
        <f t="shared" ref="K3206" si="3507">"vs "&amp;E3207</f>
        <v>vs Heraklion Snakes</v>
      </c>
      <c r="L3206" s="6" t="str">
        <f t="shared" ref="L3206" si="3508">"vs "&amp;F3207</f>
        <v>vs Dimitris</v>
      </c>
      <c r="M3206">
        <v>198</v>
      </c>
      <c r="N3206" s="1">
        <v>0.501</v>
      </c>
      <c r="O3206">
        <v>66</v>
      </c>
      <c r="P3206" s="1">
        <v>0.40500000000000003</v>
      </c>
      <c r="Q3206" s="1">
        <v>0.74099999999999999</v>
      </c>
      <c r="R3206">
        <v>562</v>
      </c>
      <c r="S3206">
        <v>34</v>
      </c>
      <c r="T3206">
        <v>153</v>
      </c>
      <c r="U3206">
        <v>145</v>
      </c>
      <c r="V3206">
        <v>24</v>
      </c>
      <c r="W3206">
        <v>16</v>
      </c>
      <c r="X3206">
        <v>80</v>
      </c>
      <c r="Y3206">
        <v>1.81</v>
      </c>
    </row>
    <row r="3207" spans="1:25" x14ac:dyDescent="0.25">
      <c r="A3207">
        <v>2026</v>
      </c>
      <c r="B3207" t="s">
        <v>57</v>
      </c>
      <c r="C3207">
        <v>7</v>
      </c>
      <c r="D3207">
        <v>69</v>
      </c>
      <c r="E3207" t="s">
        <v>184</v>
      </c>
      <c r="F3207" t="s">
        <v>188</v>
      </c>
      <c r="G3207">
        <f t="shared" si="3418"/>
        <v>0</v>
      </c>
      <c r="H3207">
        <v>3</v>
      </c>
      <c r="I3207">
        <v>10</v>
      </c>
      <c r="J3207">
        <v>0</v>
      </c>
      <c r="K3207" s="6" t="str">
        <f t="shared" ref="K3207" si="3509">"vs "&amp;E3206</f>
        <v>vs purple fuzzy apache pirates</v>
      </c>
      <c r="L3207" s="6" t="str">
        <f t="shared" ref="L3207" si="3510">"vs "&amp;F3206</f>
        <v>vs pi/Sotiris</v>
      </c>
      <c r="M3207">
        <v>111</v>
      </c>
      <c r="N3207" s="1">
        <v>0.46800000000000003</v>
      </c>
      <c r="O3207">
        <v>36</v>
      </c>
      <c r="P3207" s="1">
        <v>0.40899999999999997</v>
      </c>
      <c r="Q3207" s="1">
        <v>0.82399999999999995</v>
      </c>
      <c r="R3207">
        <v>314</v>
      </c>
      <c r="S3207">
        <v>32</v>
      </c>
      <c r="T3207">
        <v>101</v>
      </c>
      <c r="U3207">
        <v>60</v>
      </c>
      <c r="V3207">
        <v>18</v>
      </c>
      <c r="W3207">
        <v>11</v>
      </c>
      <c r="X3207">
        <v>56</v>
      </c>
      <c r="Y3207">
        <v>1.07</v>
      </c>
    </row>
    <row r="3208" spans="1:25" x14ac:dyDescent="0.25">
      <c r="A3208">
        <v>2026</v>
      </c>
      <c r="B3208" t="s">
        <v>57</v>
      </c>
      <c r="C3208">
        <v>7</v>
      </c>
      <c r="D3208">
        <v>70</v>
      </c>
      <c r="E3208" t="s">
        <v>96</v>
      </c>
      <c r="F3208" t="s">
        <v>102</v>
      </c>
      <c r="G3208">
        <f t="shared" si="3418"/>
        <v>0</v>
      </c>
      <c r="H3208">
        <v>4</v>
      </c>
      <c r="I3208">
        <v>9</v>
      </c>
      <c r="J3208">
        <v>0</v>
      </c>
      <c r="K3208" s="6" t="str">
        <f t="shared" ref="K3208" si="3511">"vs "&amp;E3209</f>
        <v>vs Guruuu 🐐🐐🐐</v>
      </c>
      <c r="L3208" s="6" t="str">
        <f t="shared" ref="L3208" si="3512">"vs "&amp;F3209</f>
        <v>vs Guru</v>
      </c>
      <c r="M3208">
        <v>142</v>
      </c>
      <c r="N3208" s="1">
        <v>0.46100000000000002</v>
      </c>
      <c r="O3208">
        <v>27</v>
      </c>
      <c r="P3208" s="1">
        <v>0.3</v>
      </c>
      <c r="Q3208" s="1">
        <v>0.81499999999999995</v>
      </c>
      <c r="R3208">
        <v>364</v>
      </c>
      <c r="S3208">
        <v>36</v>
      </c>
      <c r="T3208">
        <v>110</v>
      </c>
      <c r="U3208">
        <v>71</v>
      </c>
      <c r="V3208">
        <v>25</v>
      </c>
      <c r="W3208">
        <v>14</v>
      </c>
      <c r="X3208">
        <v>43</v>
      </c>
      <c r="Y3208">
        <v>1.65</v>
      </c>
    </row>
    <row r="3209" spans="1:25" x14ac:dyDescent="0.25">
      <c r="A3209">
        <v>2026</v>
      </c>
      <c r="B3209" t="s">
        <v>57</v>
      </c>
      <c r="C3209">
        <v>7</v>
      </c>
      <c r="D3209">
        <v>70</v>
      </c>
      <c r="E3209" t="s">
        <v>93</v>
      </c>
      <c r="F3209" t="s">
        <v>189</v>
      </c>
      <c r="G3209">
        <f t="shared" si="3418"/>
        <v>1</v>
      </c>
      <c r="H3209">
        <v>9</v>
      </c>
      <c r="I3209">
        <v>4</v>
      </c>
      <c r="J3209">
        <v>0</v>
      </c>
      <c r="K3209" s="6" t="str">
        <f t="shared" ref="K3209" si="3513">"vs "&amp;E3208</f>
        <v>vs Knights of Ni</v>
      </c>
      <c r="L3209" s="6" t="str">
        <f t="shared" ref="L3209" si="3514">"vs "&amp;F3208</f>
        <v>vs Tolios</v>
      </c>
      <c r="M3209">
        <v>206</v>
      </c>
      <c r="N3209" s="1">
        <v>0.49</v>
      </c>
      <c r="O3209">
        <v>62</v>
      </c>
      <c r="P3209" s="1">
        <v>0.36</v>
      </c>
      <c r="Q3209" s="1">
        <v>0.79900000000000004</v>
      </c>
      <c r="R3209">
        <v>581</v>
      </c>
      <c r="S3209">
        <v>39</v>
      </c>
      <c r="T3209">
        <v>97</v>
      </c>
      <c r="U3209">
        <v>121</v>
      </c>
      <c r="V3209">
        <v>22</v>
      </c>
      <c r="W3209">
        <v>16</v>
      </c>
      <c r="X3209">
        <v>55</v>
      </c>
      <c r="Y3209">
        <v>2.2000000000000002</v>
      </c>
    </row>
    <row r="3210" spans="1:25" x14ac:dyDescent="0.25">
      <c r="A3210">
        <v>2026</v>
      </c>
      <c r="B3210" t="s">
        <v>57</v>
      </c>
      <c r="C3210">
        <v>8</v>
      </c>
      <c r="D3210">
        <v>71</v>
      </c>
      <c r="E3210" t="s">
        <v>158</v>
      </c>
      <c r="F3210" t="s">
        <v>177</v>
      </c>
      <c r="G3210">
        <f t="shared" si="3418"/>
        <v>1</v>
      </c>
      <c r="H3210">
        <v>8</v>
      </c>
      <c r="I3210">
        <v>5</v>
      </c>
      <c r="J3210">
        <v>0</v>
      </c>
      <c r="K3210" s="6" t="str">
        <f t="shared" ref="K3210" si="3515">"vs "&amp;E3211</f>
        <v>vs Pachiana NinjaBees</v>
      </c>
      <c r="L3210" s="6" t="str">
        <f t="shared" ref="L3210" si="3516">"vs "&amp;F3211</f>
        <v>vs Spiridaus/Oladipas</v>
      </c>
      <c r="M3210">
        <v>273</v>
      </c>
      <c r="N3210" s="1">
        <v>0.46899999999999997</v>
      </c>
      <c r="O3210">
        <v>53</v>
      </c>
      <c r="P3210" s="1">
        <v>0.29599999999999999</v>
      </c>
      <c r="Q3210" s="1">
        <v>0.76600000000000001</v>
      </c>
      <c r="R3210">
        <v>779</v>
      </c>
      <c r="S3210">
        <v>52</v>
      </c>
      <c r="T3210">
        <v>197</v>
      </c>
      <c r="U3210">
        <v>181</v>
      </c>
      <c r="V3210">
        <v>46</v>
      </c>
      <c r="W3210">
        <v>26</v>
      </c>
      <c r="X3210">
        <v>93</v>
      </c>
      <c r="Y3210">
        <v>1.95</v>
      </c>
    </row>
    <row r="3211" spans="1:25" x14ac:dyDescent="0.25">
      <c r="A3211">
        <v>2026</v>
      </c>
      <c r="B3211" t="s">
        <v>57</v>
      </c>
      <c r="C3211">
        <v>8</v>
      </c>
      <c r="D3211">
        <v>71</v>
      </c>
      <c r="E3211" t="s">
        <v>23</v>
      </c>
      <c r="F3211" t="s">
        <v>120</v>
      </c>
      <c r="G3211">
        <f t="shared" si="3418"/>
        <v>0</v>
      </c>
      <c r="H3211">
        <v>5</v>
      </c>
      <c r="I3211">
        <v>8</v>
      </c>
      <c r="J3211">
        <v>0</v>
      </c>
      <c r="K3211" s="6" t="str">
        <f t="shared" ref="K3211" si="3517">"vs "&amp;E3210</f>
        <v>vs LRBP PR3DATORS</v>
      </c>
      <c r="L3211" s="6" t="str">
        <f t="shared" ref="L3211" si="3518">"vs "&amp;F3210</f>
        <v>vs Lafa</v>
      </c>
      <c r="M3211">
        <v>145</v>
      </c>
      <c r="N3211" s="1">
        <v>0.39600000000000002</v>
      </c>
      <c r="O3211">
        <v>49</v>
      </c>
      <c r="P3211" s="1">
        <v>0.34300000000000003</v>
      </c>
      <c r="Q3211" s="1">
        <v>0.79700000000000004</v>
      </c>
      <c r="R3211">
        <v>394</v>
      </c>
      <c r="S3211">
        <v>63</v>
      </c>
      <c r="T3211">
        <v>151</v>
      </c>
      <c r="U3211">
        <v>127</v>
      </c>
      <c r="V3211">
        <v>37</v>
      </c>
      <c r="W3211">
        <v>30</v>
      </c>
      <c r="X3211">
        <v>79</v>
      </c>
      <c r="Y3211">
        <v>1.61</v>
      </c>
    </row>
    <row r="3212" spans="1:25" x14ac:dyDescent="0.25">
      <c r="A3212">
        <v>2026</v>
      </c>
      <c r="B3212" t="s">
        <v>57</v>
      </c>
      <c r="C3212">
        <v>8</v>
      </c>
      <c r="D3212">
        <v>72</v>
      </c>
      <c r="E3212" t="s">
        <v>186</v>
      </c>
      <c r="F3212" t="s">
        <v>103</v>
      </c>
      <c r="G3212">
        <f t="shared" si="3418"/>
        <v>1</v>
      </c>
      <c r="H3212">
        <v>8</v>
      </c>
      <c r="I3212">
        <v>5</v>
      </c>
      <c r="J3212">
        <v>0</v>
      </c>
      <c r="K3212" s="6" t="str">
        <f t="shared" ref="K3212" si="3519">"vs "&amp;E3213</f>
        <v>vs st.Helens Eruptions</v>
      </c>
      <c r="L3212" s="6" t="str">
        <f t="shared" ref="L3212" si="3520">"vs "&amp;F3213</f>
        <v>vs Aris</v>
      </c>
      <c r="M3212">
        <v>250</v>
      </c>
      <c r="N3212" s="1">
        <v>0.46500000000000002</v>
      </c>
      <c r="O3212">
        <v>79</v>
      </c>
      <c r="P3212" s="1">
        <v>0.39300000000000002</v>
      </c>
      <c r="Q3212" s="1">
        <v>0.80400000000000005</v>
      </c>
      <c r="R3212">
        <v>710</v>
      </c>
      <c r="S3212">
        <v>34</v>
      </c>
      <c r="T3212">
        <v>161</v>
      </c>
      <c r="U3212">
        <v>172</v>
      </c>
      <c r="V3212">
        <v>35</v>
      </c>
      <c r="W3212">
        <v>34</v>
      </c>
      <c r="X3212">
        <v>75</v>
      </c>
      <c r="Y3212">
        <v>2.29</v>
      </c>
    </row>
    <row r="3213" spans="1:25" x14ac:dyDescent="0.25">
      <c r="A3213">
        <v>2026</v>
      </c>
      <c r="B3213" t="s">
        <v>57</v>
      </c>
      <c r="C3213">
        <v>8</v>
      </c>
      <c r="D3213">
        <v>72</v>
      </c>
      <c r="E3213" t="s">
        <v>21</v>
      </c>
      <c r="F3213" t="s">
        <v>50</v>
      </c>
      <c r="G3213">
        <f t="shared" si="3418"/>
        <v>0</v>
      </c>
      <c r="H3213">
        <v>5</v>
      </c>
      <c r="I3213">
        <v>8</v>
      </c>
      <c r="J3213">
        <v>0</v>
      </c>
      <c r="K3213" s="6" t="str">
        <f t="shared" ref="K3213" si="3521">"vs "&amp;E3212</f>
        <v>vs Karafli Saita</v>
      </c>
      <c r="L3213" s="6" t="str">
        <f t="shared" ref="L3213" si="3522">"vs "&amp;F3212</f>
        <v>vs Tassos</v>
      </c>
      <c r="M3213">
        <v>196</v>
      </c>
      <c r="N3213" s="1">
        <v>0.46800000000000003</v>
      </c>
      <c r="O3213">
        <v>58</v>
      </c>
      <c r="P3213" s="1">
        <v>0.32800000000000001</v>
      </c>
      <c r="Q3213" s="1">
        <v>0.73699999999999999</v>
      </c>
      <c r="R3213">
        <v>520</v>
      </c>
      <c r="S3213">
        <v>41</v>
      </c>
      <c r="T3213">
        <v>166</v>
      </c>
      <c r="U3213">
        <v>125</v>
      </c>
      <c r="V3213">
        <v>36</v>
      </c>
      <c r="W3213">
        <v>20</v>
      </c>
      <c r="X3213">
        <v>65</v>
      </c>
      <c r="Y3213">
        <v>1.92</v>
      </c>
    </row>
    <row r="3214" spans="1:25" x14ac:dyDescent="0.25">
      <c r="A3214">
        <v>2026</v>
      </c>
      <c r="B3214" t="s">
        <v>57</v>
      </c>
      <c r="C3214">
        <v>8</v>
      </c>
      <c r="D3214">
        <v>73</v>
      </c>
      <c r="E3214" t="s">
        <v>94</v>
      </c>
      <c r="F3214" t="s">
        <v>40</v>
      </c>
      <c r="G3214">
        <f t="shared" si="3418"/>
        <v>1</v>
      </c>
      <c r="H3214">
        <v>10</v>
      </c>
      <c r="I3214">
        <v>3</v>
      </c>
      <c r="J3214">
        <v>0</v>
      </c>
      <c r="K3214" s="6" t="str">
        <f t="shared" ref="K3214" si="3523">"vs "&amp;E3215</f>
        <v>vs Paralouistas</v>
      </c>
      <c r="L3214" s="6" t="str">
        <f t="shared" ref="L3214" si="3524">"vs "&amp;F3215</f>
        <v>vs Panos</v>
      </c>
      <c r="M3214">
        <v>246</v>
      </c>
      <c r="N3214" s="1">
        <v>0.50900000000000001</v>
      </c>
      <c r="O3214">
        <v>74</v>
      </c>
      <c r="P3214" s="1">
        <v>0.41299999999999998</v>
      </c>
      <c r="Q3214" s="1">
        <v>0.79400000000000004</v>
      </c>
      <c r="R3214">
        <v>670</v>
      </c>
      <c r="S3214">
        <v>57</v>
      </c>
      <c r="T3214">
        <v>163</v>
      </c>
      <c r="U3214">
        <v>157</v>
      </c>
      <c r="V3214">
        <v>28</v>
      </c>
      <c r="W3214">
        <v>26</v>
      </c>
      <c r="X3214">
        <v>78</v>
      </c>
      <c r="Y3214">
        <v>2.0099999999999998</v>
      </c>
    </row>
    <row r="3215" spans="1:25" x14ac:dyDescent="0.25">
      <c r="A3215">
        <v>2026</v>
      </c>
      <c r="B3215" t="s">
        <v>57</v>
      </c>
      <c r="C3215">
        <v>8</v>
      </c>
      <c r="D3215">
        <v>73</v>
      </c>
      <c r="E3215" t="s">
        <v>185</v>
      </c>
      <c r="F3215" t="s">
        <v>100</v>
      </c>
      <c r="G3215">
        <f t="shared" si="3418"/>
        <v>0</v>
      </c>
      <c r="H3215">
        <v>3</v>
      </c>
      <c r="I3215">
        <v>10</v>
      </c>
      <c r="J3215">
        <v>0</v>
      </c>
      <c r="K3215" s="6" t="str">
        <f t="shared" ref="K3215" si="3525">"vs "&amp;E3214</f>
        <v>vs Fighting Thaddeus</v>
      </c>
      <c r="L3215" s="6" t="str">
        <f t="shared" ref="L3215" si="3526">"vs "&amp;F3214</f>
        <v>vs Stavros</v>
      </c>
      <c r="M3215">
        <v>215</v>
      </c>
      <c r="N3215" s="1">
        <v>0.498</v>
      </c>
      <c r="O3215">
        <v>72</v>
      </c>
      <c r="P3215" s="1">
        <v>0.42899999999999999</v>
      </c>
      <c r="Q3215" s="1">
        <v>0.753</v>
      </c>
      <c r="R3215">
        <v>560</v>
      </c>
      <c r="S3215">
        <v>46</v>
      </c>
      <c r="T3215">
        <v>142</v>
      </c>
      <c r="U3215">
        <v>146</v>
      </c>
      <c r="V3215">
        <v>36</v>
      </c>
      <c r="W3215">
        <v>23</v>
      </c>
      <c r="X3215">
        <v>75</v>
      </c>
      <c r="Y3215">
        <v>1.95</v>
      </c>
    </row>
    <row r="3216" spans="1:25" x14ac:dyDescent="0.25">
      <c r="A3216">
        <v>2026</v>
      </c>
      <c r="B3216" t="s">
        <v>57</v>
      </c>
      <c r="C3216">
        <v>8</v>
      </c>
      <c r="D3216">
        <v>74</v>
      </c>
      <c r="E3216" t="s">
        <v>201</v>
      </c>
      <c r="F3216" t="s">
        <v>227</v>
      </c>
      <c r="G3216">
        <f t="shared" si="3418"/>
        <v>1</v>
      </c>
      <c r="H3216">
        <v>7</v>
      </c>
      <c r="I3216">
        <v>6</v>
      </c>
      <c r="J3216">
        <v>0</v>
      </c>
      <c r="K3216" s="6" t="str">
        <f t="shared" ref="K3216" si="3527">"vs "&amp;E3217</f>
        <v>vs Steven Adams' Moustache</v>
      </c>
      <c r="L3216" s="6" t="str">
        <f t="shared" ref="L3216" si="3528">"vs "&amp;F3217</f>
        <v>vs Johnny</v>
      </c>
      <c r="M3216">
        <v>183</v>
      </c>
      <c r="N3216" s="1">
        <v>0.46100000000000002</v>
      </c>
      <c r="O3216">
        <v>62</v>
      </c>
      <c r="P3216" s="1">
        <v>0.33700000000000002</v>
      </c>
      <c r="Q3216" s="1">
        <v>0.73799999999999999</v>
      </c>
      <c r="R3216">
        <v>504</v>
      </c>
      <c r="S3216">
        <v>54</v>
      </c>
      <c r="T3216">
        <v>181</v>
      </c>
      <c r="U3216">
        <v>119</v>
      </c>
      <c r="V3216">
        <v>35</v>
      </c>
      <c r="W3216">
        <v>30</v>
      </c>
      <c r="X3216">
        <v>64</v>
      </c>
      <c r="Y3216">
        <v>1.86</v>
      </c>
    </row>
    <row r="3217" spans="1:25" x14ac:dyDescent="0.25">
      <c r="A3217">
        <v>2026</v>
      </c>
      <c r="B3217" t="s">
        <v>57</v>
      </c>
      <c r="C3217">
        <v>8</v>
      </c>
      <c r="D3217">
        <v>74</v>
      </c>
      <c r="E3217" t="s">
        <v>28</v>
      </c>
      <c r="F3217" t="s">
        <v>46</v>
      </c>
      <c r="G3217">
        <f t="shared" si="3418"/>
        <v>0</v>
      </c>
      <c r="H3217">
        <v>6</v>
      </c>
      <c r="I3217">
        <v>7</v>
      </c>
      <c r="J3217">
        <v>0</v>
      </c>
      <c r="K3217" s="6" t="str">
        <f t="shared" ref="K3217" si="3529">"vs "&amp;E3216</f>
        <v>vs Hércules Pals</v>
      </c>
      <c r="L3217" s="6" t="str">
        <f t="shared" ref="L3217" si="3530">"vs "&amp;F3216</f>
        <v>vs Pals</v>
      </c>
      <c r="M3217">
        <v>170</v>
      </c>
      <c r="N3217" s="1">
        <v>0.48</v>
      </c>
      <c r="O3217">
        <v>66</v>
      </c>
      <c r="P3217" s="1">
        <v>0.36299999999999999</v>
      </c>
      <c r="Q3217" s="1">
        <v>0.77800000000000002</v>
      </c>
      <c r="R3217">
        <v>476</v>
      </c>
      <c r="S3217">
        <v>37</v>
      </c>
      <c r="T3217">
        <v>133</v>
      </c>
      <c r="U3217">
        <v>97</v>
      </c>
      <c r="V3217">
        <v>25</v>
      </c>
      <c r="W3217">
        <v>18</v>
      </c>
      <c r="X3217">
        <v>50</v>
      </c>
      <c r="Y3217">
        <v>1.94</v>
      </c>
    </row>
    <row r="3218" spans="1:25" x14ac:dyDescent="0.25">
      <c r="A3218">
        <v>2026</v>
      </c>
      <c r="B3218" t="s">
        <v>57</v>
      </c>
      <c r="C3218">
        <v>8</v>
      </c>
      <c r="D3218">
        <v>75</v>
      </c>
      <c r="E3218" t="s">
        <v>99</v>
      </c>
      <c r="F3218" t="s">
        <v>45</v>
      </c>
      <c r="G3218">
        <f t="shared" si="3418"/>
        <v>1</v>
      </c>
      <c r="H3218">
        <v>9</v>
      </c>
      <c r="I3218">
        <v>4</v>
      </c>
      <c r="J3218">
        <v>0</v>
      </c>
      <c r="K3218" s="6" t="str">
        <f t="shared" ref="K3218" si="3531">"vs "&amp;E3219</f>
        <v>vs Salonika Devils</v>
      </c>
      <c r="L3218" s="6" t="str">
        <f t="shared" ref="L3218" si="3532">"vs "&amp;F3219</f>
        <v>vs Fountos</v>
      </c>
      <c r="M3218">
        <v>242</v>
      </c>
      <c r="N3218" s="1">
        <v>0.51100000000000001</v>
      </c>
      <c r="O3218">
        <v>65</v>
      </c>
      <c r="P3218" s="1">
        <v>0.41399999999999998</v>
      </c>
      <c r="Q3218" s="1">
        <v>0.75700000000000001</v>
      </c>
      <c r="R3218">
        <v>627</v>
      </c>
      <c r="S3218">
        <v>82</v>
      </c>
      <c r="T3218">
        <v>228</v>
      </c>
      <c r="U3218">
        <v>109</v>
      </c>
      <c r="V3218">
        <v>29</v>
      </c>
      <c r="W3218">
        <v>33</v>
      </c>
      <c r="X3218">
        <v>69</v>
      </c>
      <c r="Y3218">
        <v>1.58</v>
      </c>
    </row>
    <row r="3219" spans="1:25" x14ac:dyDescent="0.25">
      <c r="A3219">
        <v>2026</v>
      </c>
      <c r="B3219" t="s">
        <v>57</v>
      </c>
      <c r="C3219">
        <v>8</v>
      </c>
      <c r="D3219">
        <v>75</v>
      </c>
      <c r="E3219" t="s">
        <v>15</v>
      </c>
      <c r="F3219" t="s">
        <v>48</v>
      </c>
      <c r="G3219">
        <f t="shared" si="3418"/>
        <v>0</v>
      </c>
      <c r="H3219">
        <v>4</v>
      </c>
      <c r="I3219">
        <v>9</v>
      </c>
      <c r="J3219">
        <v>0</v>
      </c>
      <c r="K3219" s="6" t="str">
        <f t="shared" ref="K3219" si="3533">"vs "&amp;E3218</f>
        <v>vs Tsarlatans</v>
      </c>
      <c r="L3219" s="6" t="str">
        <f t="shared" ref="L3219" si="3534">"vs "&amp;F3218</f>
        <v>vs Tzokos</v>
      </c>
      <c r="M3219">
        <v>158</v>
      </c>
      <c r="N3219" s="1">
        <v>0.49199999999999999</v>
      </c>
      <c r="O3219">
        <v>60</v>
      </c>
      <c r="P3219" s="1">
        <v>0.432</v>
      </c>
      <c r="Q3219" s="1">
        <v>0.79100000000000004</v>
      </c>
      <c r="R3219">
        <v>444</v>
      </c>
      <c r="S3219">
        <v>61</v>
      </c>
      <c r="T3219">
        <v>108</v>
      </c>
      <c r="U3219">
        <v>80</v>
      </c>
      <c r="V3219">
        <v>24</v>
      </c>
      <c r="W3219">
        <v>18</v>
      </c>
      <c r="X3219">
        <v>40</v>
      </c>
      <c r="Y3219">
        <v>2</v>
      </c>
    </row>
    <row r="3220" spans="1:25" x14ac:dyDescent="0.25">
      <c r="A3220">
        <v>2026</v>
      </c>
      <c r="B3220" t="s">
        <v>57</v>
      </c>
      <c r="C3220">
        <v>8</v>
      </c>
      <c r="D3220">
        <v>76</v>
      </c>
      <c r="E3220" t="s">
        <v>33</v>
      </c>
      <c r="F3220" t="s">
        <v>42</v>
      </c>
      <c r="G3220">
        <f t="shared" si="3418"/>
        <v>0</v>
      </c>
      <c r="H3220">
        <v>4</v>
      </c>
      <c r="I3220">
        <v>9</v>
      </c>
      <c r="J3220">
        <v>0</v>
      </c>
      <c r="K3220" s="6" t="str">
        <f t="shared" ref="K3220" si="3535">"vs "&amp;E3221</f>
        <v>vs Samarina Dudenbros</v>
      </c>
      <c r="L3220" s="6" t="str">
        <f t="shared" ref="L3220" si="3536">"vs "&amp;F3221</f>
        <v>vs Sakellariou</v>
      </c>
      <c r="M3220">
        <v>214</v>
      </c>
      <c r="N3220" s="1">
        <v>0.48899999999999999</v>
      </c>
      <c r="O3220">
        <v>60</v>
      </c>
      <c r="P3220" s="1">
        <v>0.36099999999999999</v>
      </c>
      <c r="Q3220" s="1">
        <v>0.89100000000000001</v>
      </c>
      <c r="R3220">
        <v>578</v>
      </c>
      <c r="S3220">
        <v>32</v>
      </c>
      <c r="T3220">
        <v>145</v>
      </c>
      <c r="U3220">
        <v>105</v>
      </c>
      <c r="V3220">
        <v>35</v>
      </c>
      <c r="W3220">
        <v>22</v>
      </c>
      <c r="X3220">
        <v>79</v>
      </c>
      <c r="Y3220">
        <v>1.33</v>
      </c>
    </row>
    <row r="3221" spans="1:25" x14ac:dyDescent="0.25">
      <c r="A3221">
        <v>2026</v>
      </c>
      <c r="B3221" t="s">
        <v>57</v>
      </c>
      <c r="C3221">
        <v>8</v>
      </c>
      <c r="D3221">
        <v>76</v>
      </c>
      <c r="E3221" t="s">
        <v>181</v>
      </c>
      <c r="F3221" t="s">
        <v>49</v>
      </c>
      <c r="G3221">
        <f t="shared" si="3418"/>
        <v>1</v>
      </c>
      <c r="H3221">
        <v>9</v>
      </c>
      <c r="I3221">
        <v>4</v>
      </c>
      <c r="J3221">
        <v>0</v>
      </c>
      <c r="K3221" s="6" t="str">
        <f t="shared" ref="K3221" si="3537">"vs "&amp;E3220</f>
        <v>vs The Guns</v>
      </c>
      <c r="L3221" s="6" t="str">
        <f t="shared" ref="L3221" si="3538">"vs "&amp;F3220</f>
        <v>vs Vasilis</v>
      </c>
      <c r="M3221">
        <v>265</v>
      </c>
      <c r="N3221" s="1">
        <v>0.45100000000000001</v>
      </c>
      <c r="O3221">
        <v>69</v>
      </c>
      <c r="P3221" s="1">
        <v>0.308</v>
      </c>
      <c r="Q3221" s="1">
        <v>0.79600000000000004</v>
      </c>
      <c r="R3221">
        <v>767</v>
      </c>
      <c r="S3221">
        <v>60</v>
      </c>
      <c r="T3221">
        <v>187</v>
      </c>
      <c r="U3221">
        <v>161</v>
      </c>
      <c r="V3221">
        <v>63</v>
      </c>
      <c r="W3221">
        <v>36</v>
      </c>
      <c r="X3221">
        <v>87</v>
      </c>
      <c r="Y3221">
        <v>1.85</v>
      </c>
    </row>
    <row r="3222" spans="1:25" x14ac:dyDescent="0.25">
      <c r="A3222">
        <v>2026</v>
      </c>
      <c r="B3222" t="s">
        <v>57</v>
      </c>
      <c r="C3222">
        <v>8</v>
      </c>
      <c r="D3222">
        <v>77</v>
      </c>
      <c r="E3222" t="s">
        <v>98</v>
      </c>
      <c r="F3222" t="s">
        <v>41</v>
      </c>
      <c r="G3222">
        <f t="shared" si="3418"/>
        <v>0</v>
      </c>
      <c r="H3222">
        <v>5</v>
      </c>
      <c r="I3222">
        <v>8</v>
      </c>
      <c r="J3222">
        <v>0</v>
      </c>
      <c r="K3222" s="6" t="str">
        <f t="shared" ref="K3222" si="3539">"vs "&amp;E3223</f>
        <v>vs The Bad Boys</v>
      </c>
      <c r="L3222" s="6" t="str">
        <f t="shared" ref="L3222" si="3540">"vs "&amp;F3223</f>
        <v>vs Arvanitis</v>
      </c>
      <c r="M3222">
        <v>179</v>
      </c>
      <c r="N3222" s="1">
        <v>0.48399999999999999</v>
      </c>
      <c r="O3222">
        <v>70</v>
      </c>
      <c r="P3222" s="1">
        <v>0.38500000000000001</v>
      </c>
      <c r="Q3222" s="1">
        <v>0.80300000000000005</v>
      </c>
      <c r="R3222">
        <v>489</v>
      </c>
      <c r="S3222">
        <v>48</v>
      </c>
      <c r="T3222">
        <v>133</v>
      </c>
      <c r="U3222">
        <v>96</v>
      </c>
      <c r="V3222">
        <v>30</v>
      </c>
      <c r="W3222">
        <v>16</v>
      </c>
      <c r="X3222">
        <v>35</v>
      </c>
      <c r="Y3222">
        <v>2.74</v>
      </c>
    </row>
    <row r="3223" spans="1:25" x14ac:dyDescent="0.25">
      <c r="A3223">
        <v>2026</v>
      </c>
      <c r="B3223" t="s">
        <v>57</v>
      </c>
      <c r="C3223">
        <v>8</v>
      </c>
      <c r="D3223">
        <v>77</v>
      </c>
      <c r="E3223" t="s">
        <v>154</v>
      </c>
      <c r="F3223" t="s">
        <v>155</v>
      </c>
      <c r="G3223">
        <f t="shared" si="3418"/>
        <v>1</v>
      </c>
      <c r="H3223">
        <v>8</v>
      </c>
      <c r="I3223">
        <v>5</v>
      </c>
      <c r="J3223">
        <v>0</v>
      </c>
      <c r="K3223" s="6" t="str">
        <f t="shared" ref="K3223" si="3541">"vs "&amp;E3222</f>
        <v>vs Xanthi Ducks 🦆</v>
      </c>
      <c r="L3223" s="6" t="str">
        <f t="shared" ref="L3223" si="3542">"vs "&amp;F3222</f>
        <v>vs Kotakis</v>
      </c>
      <c r="M3223">
        <v>266</v>
      </c>
      <c r="N3223" s="1">
        <v>0.48699999999999999</v>
      </c>
      <c r="O3223">
        <v>56</v>
      </c>
      <c r="P3223" s="1">
        <v>0.33100000000000002</v>
      </c>
      <c r="Q3223" s="1">
        <v>0.79200000000000004</v>
      </c>
      <c r="R3223">
        <v>740</v>
      </c>
      <c r="S3223">
        <v>69</v>
      </c>
      <c r="T3223">
        <v>162</v>
      </c>
      <c r="U3223">
        <v>158</v>
      </c>
      <c r="V3223">
        <v>51</v>
      </c>
      <c r="W3223">
        <v>31</v>
      </c>
      <c r="X3223">
        <v>76</v>
      </c>
      <c r="Y3223">
        <v>2.08</v>
      </c>
    </row>
    <row r="3224" spans="1:25" x14ac:dyDescent="0.25">
      <c r="A3224">
        <v>2026</v>
      </c>
      <c r="B3224" t="s">
        <v>57</v>
      </c>
      <c r="C3224">
        <v>8</v>
      </c>
      <c r="D3224">
        <v>78</v>
      </c>
      <c r="E3224" t="s">
        <v>26</v>
      </c>
      <c r="F3224" t="s">
        <v>118</v>
      </c>
      <c r="G3224">
        <f t="shared" si="3418"/>
        <v>0</v>
      </c>
      <c r="H3224">
        <v>4</v>
      </c>
      <c r="I3224">
        <v>9</v>
      </c>
      <c r="J3224">
        <v>0</v>
      </c>
      <c r="K3224" s="6" t="str">
        <f t="shared" ref="K3224" si="3543">"vs "&amp;E3225</f>
        <v>vs purple fuzzy apache pirates</v>
      </c>
      <c r="L3224" s="6" t="str">
        <f t="shared" ref="L3224" si="3544">"vs "&amp;F3225</f>
        <v>vs pi/Sotiris</v>
      </c>
      <c r="M3224">
        <v>228</v>
      </c>
      <c r="N3224" s="1">
        <v>0.44500000000000001</v>
      </c>
      <c r="O3224">
        <v>69</v>
      </c>
      <c r="P3224" s="1">
        <v>0.33700000000000002</v>
      </c>
      <c r="Q3224" s="1">
        <v>0.74299999999999999</v>
      </c>
      <c r="R3224">
        <v>635</v>
      </c>
      <c r="S3224">
        <v>50</v>
      </c>
      <c r="T3224">
        <v>189</v>
      </c>
      <c r="U3224">
        <v>158</v>
      </c>
      <c r="V3224">
        <v>51</v>
      </c>
      <c r="W3224">
        <v>19</v>
      </c>
      <c r="X3224">
        <v>70</v>
      </c>
      <c r="Y3224">
        <v>2.2599999999999998</v>
      </c>
    </row>
    <row r="3225" spans="1:25" x14ac:dyDescent="0.25">
      <c r="A3225">
        <v>2026</v>
      </c>
      <c r="B3225" t="s">
        <v>57</v>
      </c>
      <c r="C3225">
        <v>8</v>
      </c>
      <c r="D3225">
        <v>78</v>
      </c>
      <c r="E3225" t="s">
        <v>159</v>
      </c>
      <c r="F3225" t="s">
        <v>116</v>
      </c>
      <c r="G3225">
        <f t="shared" si="3418"/>
        <v>1</v>
      </c>
      <c r="H3225">
        <v>9</v>
      </c>
      <c r="I3225">
        <v>4</v>
      </c>
      <c r="J3225">
        <v>0</v>
      </c>
      <c r="K3225" s="6" t="str">
        <f t="shared" ref="K3225" si="3545">"vs "&amp;E3224</f>
        <v>vs Kourayo Vallecano</v>
      </c>
      <c r="L3225" s="6" t="str">
        <f t="shared" ref="L3225" si="3546">"vs "&amp;F3224</f>
        <v>vs Ziogas/Christof</v>
      </c>
      <c r="M3225">
        <v>244</v>
      </c>
      <c r="N3225" s="1">
        <v>0.48399999999999999</v>
      </c>
      <c r="O3225">
        <v>80</v>
      </c>
      <c r="P3225" s="1">
        <v>0.39</v>
      </c>
      <c r="Q3225" s="1">
        <v>0.748</v>
      </c>
      <c r="R3225">
        <v>654</v>
      </c>
      <c r="S3225">
        <v>61</v>
      </c>
      <c r="T3225">
        <v>204</v>
      </c>
      <c r="U3225">
        <v>182</v>
      </c>
      <c r="V3225">
        <v>35</v>
      </c>
      <c r="W3225">
        <v>9</v>
      </c>
      <c r="X3225">
        <v>90</v>
      </c>
      <c r="Y3225">
        <v>2.02</v>
      </c>
    </row>
    <row r="3226" spans="1:25" x14ac:dyDescent="0.25">
      <c r="A3226">
        <v>2026</v>
      </c>
      <c r="B3226" t="s">
        <v>57</v>
      </c>
      <c r="C3226">
        <v>8</v>
      </c>
      <c r="D3226">
        <v>79</v>
      </c>
      <c r="E3226" t="s">
        <v>16</v>
      </c>
      <c r="F3226" t="s">
        <v>51</v>
      </c>
      <c r="G3226">
        <f t="shared" ref="G3226:G3289" si="3547">IF(H3226+0.5*J3226&gt;6.5,1,0)</f>
        <v>1</v>
      </c>
      <c r="H3226">
        <v>10</v>
      </c>
      <c r="I3226">
        <v>3</v>
      </c>
      <c r="J3226">
        <v>0</v>
      </c>
      <c r="K3226" s="6" t="str">
        <f t="shared" ref="K3226" si="3548">"vs "&amp;E3227</f>
        <v>vs Knights of Ni</v>
      </c>
      <c r="L3226" s="6" t="str">
        <f t="shared" ref="L3226" si="3549">"vs "&amp;F3227</f>
        <v>vs Tolios</v>
      </c>
      <c r="M3226">
        <v>270</v>
      </c>
      <c r="N3226" s="1">
        <v>0.47099999999999997</v>
      </c>
      <c r="O3226">
        <v>72</v>
      </c>
      <c r="P3226" s="1">
        <v>0.34300000000000003</v>
      </c>
      <c r="Q3226" s="1">
        <v>0.77800000000000002</v>
      </c>
      <c r="R3226">
        <v>745</v>
      </c>
      <c r="S3226">
        <v>77</v>
      </c>
      <c r="T3226">
        <v>199</v>
      </c>
      <c r="U3226">
        <v>183</v>
      </c>
      <c r="V3226">
        <v>48</v>
      </c>
      <c r="W3226">
        <v>27</v>
      </c>
      <c r="X3226">
        <v>91</v>
      </c>
      <c r="Y3226">
        <v>2.0099999999999998</v>
      </c>
    </row>
    <row r="3227" spans="1:25" x14ac:dyDescent="0.25">
      <c r="A3227">
        <v>2026</v>
      </c>
      <c r="B3227" t="s">
        <v>57</v>
      </c>
      <c r="C3227">
        <v>8</v>
      </c>
      <c r="D3227">
        <v>79</v>
      </c>
      <c r="E3227" t="s">
        <v>96</v>
      </c>
      <c r="F3227" t="s">
        <v>102</v>
      </c>
      <c r="G3227">
        <f t="shared" si="3547"/>
        <v>0</v>
      </c>
      <c r="H3227">
        <v>3</v>
      </c>
      <c r="I3227">
        <v>10</v>
      </c>
      <c r="J3227">
        <v>0</v>
      </c>
      <c r="K3227" s="6" t="str">
        <f t="shared" ref="K3227" si="3550">"vs "&amp;E3226</f>
        <v>vs The Bridgeburners</v>
      </c>
      <c r="L3227" s="6" t="str">
        <f t="shared" ref="L3227" si="3551">"vs "&amp;F3226</f>
        <v>vs Fanis</v>
      </c>
      <c r="M3227">
        <v>171</v>
      </c>
      <c r="N3227" s="1">
        <v>0.46700000000000003</v>
      </c>
      <c r="O3227">
        <v>44</v>
      </c>
      <c r="P3227" s="1">
        <v>0.34399999999999997</v>
      </c>
      <c r="Q3227" s="1">
        <v>0.79</v>
      </c>
      <c r="R3227">
        <v>469</v>
      </c>
      <c r="S3227">
        <v>40</v>
      </c>
      <c r="T3227">
        <v>124</v>
      </c>
      <c r="U3227">
        <v>83</v>
      </c>
      <c r="V3227">
        <v>34</v>
      </c>
      <c r="W3227">
        <v>18</v>
      </c>
      <c r="X3227">
        <v>62</v>
      </c>
      <c r="Y3227">
        <v>1.34</v>
      </c>
    </row>
    <row r="3228" spans="1:25" x14ac:dyDescent="0.25">
      <c r="A3228">
        <v>2026</v>
      </c>
      <c r="B3228" t="s">
        <v>57</v>
      </c>
      <c r="C3228">
        <v>8</v>
      </c>
      <c r="D3228">
        <v>80</v>
      </c>
      <c r="E3228" t="s">
        <v>184</v>
      </c>
      <c r="F3228" t="s">
        <v>188</v>
      </c>
      <c r="G3228">
        <f t="shared" si="3547"/>
        <v>0</v>
      </c>
      <c r="H3228">
        <v>2</v>
      </c>
      <c r="I3228">
        <v>11</v>
      </c>
      <c r="J3228">
        <v>0</v>
      </c>
      <c r="K3228" s="6" t="str">
        <f t="shared" ref="K3228" si="3552">"vs "&amp;E3229</f>
        <v>vs Guruuu 🐐🐐🐐</v>
      </c>
      <c r="L3228" s="6" t="str">
        <f t="shared" ref="L3228" si="3553">"vs "&amp;F3229</f>
        <v>vs Guru</v>
      </c>
      <c r="M3228">
        <v>148</v>
      </c>
      <c r="N3228" s="1">
        <v>0.433</v>
      </c>
      <c r="O3228">
        <v>44</v>
      </c>
      <c r="P3228" s="1">
        <v>0.29499999999999998</v>
      </c>
      <c r="Q3228" s="1">
        <v>0.78700000000000003</v>
      </c>
      <c r="R3228">
        <v>410</v>
      </c>
      <c r="S3228">
        <v>44</v>
      </c>
      <c r="T3228">
        <v>121</v>
      </c>
      <c r="U3228">
        <v>69</v>
      </c>
      <c r="V3228">
        <v>26</v>
      </c>
      <c r="W3228">
        <v>12</v>
      </c>
      <c r="X3228">
        <v>48</v>
      </c>
      <c r="Y3228">
        <v>1.44</v>
      </c>
    </row>
    <row r="3229" spans="1:25" x14ac:dyDescent="0.25">
      <c r="A3229">
        <v>2026</v>
      </c>
      <c r="B3229" t="s">
        <v>57</v>
      </c>
      <c r="C3229">
        <v>8</v>
      </c>
      <c r="D3229">
        <v>80</v>
      </c>
      <c r="E3229" t="s">
        <v>93</v>
      </c>
      <c r="F3229" t="s">
        <v>189</v>
      </c>
      <c r="G3229">
        <f t="shared" si="3547"/>
        <v>1</v>
      </c>
      <c r="H3229">
        <v>11</v>
      </c>
      <c r="I3229">
        <v>2</v>
      </c>
      <c r="J3229">
        <v>0</v>
      </c>
      <c r="K3229" s="6" t="str">
        <f t="shared" ref="K3229" si="3554">"vs "&amp;E3228</f>
        <v>vs Heraklion Snakes</v>
      </c>
      <c r="L3229" s="6" t="str">
        <f t="shared" ref="L3229" si="3555">"vs "&amp;F3228</f>
        <v>vs Dimitris</v>
      </c>
      <c r="M3229">
        <v>302</v>
      </c>
      <c r="N3229" s="1">
        <v>0.46300000000000002</v>
      </c>
      <c r="O3229">
        <v>85</v>
      </c>
      <c r="P3229" s="1">
        <v>0.35299999999999998</v>
      </c>
      <c r="Q3229" s="1">
        <v>0.755</v>
      </c>
      <c r="R3229">
        <v>828</v>
      </c>
      <c r="S3229">
        <v>76</v>
      </c>
      <c r="T3229">
        <v>215</v>
      </c>
      <c r="U3229">
        <v>179</v>
      </c>
      <c r="V3229">
        <v>50</v>
      </c>
      <c r="W3229">
        <v>18</v>
      </c>
      <c r="X3229">
        <v>87</v>
      </c>
      <c r="Y3229">
        <v>2.06</v>
      </c>
    </row>
    <row r="3230" spans="1:25" x14ac:dyDescent="0.25">
      <c r="A3230">
        <v>2026</v>
      </c>
      <c r="B3230" t="s">
        <v>57</v>
      </c>
      <c r="C3230">
        <v>8</v>
      </c>
      <c r="D3230">
        <v>81</v>
      </c>
      <c r="E3230" t="s">
        <v>94</v>
      </c>
      <c r="F3230" t="s">
        <v>40</v>
      </c>
      <c r="G3230">
        <f t="shared" si="3547"/>
        <v>0</v>
      </c>
      <c r="H3230">
        <v>5</v>
      </c>
      <c r="I3230">
        <v>8</v>
      </c>
      <c r="J3230">
        <v>0</v>
      </c>
      <c r="K3230" s="6" t="str">
        <f t="shared" ref="K3230" si="3556">"vs "&amp;E3231</f>
        <v>vs Samarina Dudenbros</v>
      </c>
      <c r="L3230" s="6" t="str">
        <f t="shared" ref="L3230" si="3557">"vs "&amp;F3231</f>
        <v>vs Sakellariou</v>
      </c>
      <c r="M3230">
        <v>246</v>
      </c>
      <c r="N3230" s="1">
        <v>0.50900000000000001</v>
      </c>
      <c r="O3230">
        <v>74</v>
      </c>
      <c r="P3230" s="1">
        <v>0.41299999999999998</v>
      </c>
      <c r="Q3230" s="1">
        <v>0.79400000000000004</v>
      </c>
      <c r="R3230">
        <v>670</v>
      </c>
      <c r="S3230">
        <v>57</v>
      </c>
      <c r="T3230">
        <v>163</v>
      </c>
      <c r="U3230">
        <v>157</v>
      </c>
      <c r="V3230">
        <v>28</v>
      </c>
      <c r="W3230">
        <v>26</v>
      </c>
      <c r="X3230">
        <v>78</v>
      </c>
      <c r="Y3230">
        <v>2.0099999999999998</v>
      </c>
    </row>
    <row r="3231" spans="1:25" x14ac:dyDescent="0.25">
      <c r="A3231">
        <v>2026</v>
      </c>
      <c r="B3231" t="s">
        <v>57</v>
      </c>
      <c r="C3231">
        <v>8</v>
      </c>
      <c r="D3231">
        <v>81</v>
      </c>
      <c r="E3231" t="s">
        <v>181</v>
      </c>
      <c r="F3231" t="s">
        <v>49</v>
      </c>
      <c r="G3231">
        <f t="shared" si="3547"/>
        <v>1</v>
      </c>
      <c r="H3231">
        <v>8</v>
      </c>
      <c r="I3231">
        <v>5</v>
      </c>
      <c r="J3231">
        <v>0</v>
      </c>
      <c r="K3231" s="6" t="str">
        <f t="shared" ref="K3231" si="3558">"vs "&amp;E3230</f>
        <v>vs Fighting Thaddeus</v>
      </c>
      <c r="L3231" s="6" t="str">
        <f t="shared" ref="L3231" si="3559">"vs "&amp;F3230</f>
        <v>vs Stavros</v>
      </c>
      <c r="M3231">
        <v>265</v>
      </c>
      <c r="N3231" s="1">
        <v>0.45100000000000001</v>
      </c>
      <c r="O3231">
        <v>69</v>
      </c>
      <c r="P3231" s="1">
        <v>0.308</v>
      </c>
      <c r="Q3231" s="1">
        <v>0.79600000000000004</v>
      </c>
      <c r="R3231">
        <v>767</v>
      </c>
      <c r="S3231">
        <v>60</v>
      </c>
      <c r="T3231">
        <v>187</v>
      </c>
      <c r="U3231">
        <v>161</v>
      </c>
      <c r="V3231">
        <v>63</v>
      </c>
      <c r="W3231">
        <v>36</v>
      </c>
      <c r="X3231">
        <v>87</v>
      </c>
      <c r="Y3231">
        <v>1.85</v>
      </c>
    </row>
    <row r="3232" spans="1:25" x14ac:dyDescent="0.25">
      <c r="A3232">
        <v>2026</v>
      </c>
      <c r="B3232" t="s">
        <v>57</v>
      </c>
      <c r="C3232">
        <v>8</v>
      </c>
      <c r="D3232">
        <v>82</v>
      </c>
      <c r="E3232" t="s">
        <v>93</v>
      </c>
      <c r="F3232" t="s">
        <v>189</v>
      </c>
      <c r="G3232">
        <f t="shared" si="3547"/>
        <v>1</v>
      </c>
      <c r="H3232">
        <v>8</v>
      </c>
      <c r="I3232">
        <v>5</v>
      </c>
      <c r="J3232">
        <v>0</v>
      </c>
      <c r="K3232" s="6" t="str">
        <f t="shared" ref="K3232" si="3560">"vs "&amp;E3233</f>
        <v>vs Xanthi Ducks 🦆</v>
      </c>
      <c r="L3232" s="6" t="str">
        <f t="shared" ref="L3232" si="3561">"vs "&amp;F3233</f>
        <v>vs Kotakis</v>
      </c>
      <c r="M3232">
        <v>302</v>
      </c>
      <c r="N3232" s="1">
        <v>0.46300000000000002</v>
      </c>
      <c r="O3232">
        <v>85</v>
      </c>
      <c r="P3232" s="1">
        <v>0.35299999999999998</v>
      </c>
      <c r="Q3232" s="1">
        <v>0.755</v>
      </c>
      <c r="R3232">
        <v>828</v>
      </c>
      <c r="S3232">
        <v>76</v>
      </c>
      <c r="T3232">
        <v>215</v>
      </c>
      <c r="U3232">
        <v>179</v>
      </c>
      <c r="V3232">
        <v>50</v>
      </c>
      <c r="W3232">
        <v>18</v>
      </c>
      <c r="X3232">
        <v>87</v>
      </c>
      <c r="Y3232">
        <v>2.06</v>
      </c>
    </row>
    <row r="3233" spans="1:25" x14ac:dyDescent="0.25">
      <c r="A3233">
        <v>2026</v>
      </c>
      <c r="B3233" t="s">
        <v>57</v>
      </c>
      <c r="C3233">
        <v>8</v>
      </c>
      <c r="D3233">
        <v>82</v>
      </c>
      <c r="E3233" t="s">
        <v>98</v>
      </c>
      <c r="F3233" t="s">
        <v>41</v>
      </c>
      <c r="G3233">
        <f t="shared" si="3547"/>
        <v>0</v>
      </c>
      <c r="H3233">
        <v>5</v>
      </c>
      <c r="I3233">
        <v>8</v>
      </c>
      <c r="J3233">
        <v>0</v>
      </c>
      <c r="K3233" s="6" t="str">
        <f t="shared" ref="K3233" si="3562">"vs "&amp;E3232</f>
        <v>vs Guruuu 🐐🐐🐐</v>
      </c>
      <c r="L3233" s="6" t="str">
        <f t="shared" ref="L3233" si="3563">"vs "&amp;F3232</f>
        <v>vs Guru</v>
      </c>
      <c r="M3233">
        <v>179</v>
      </c>
      <c r="N3233" s="1">
        <v>0.48399999999999999</v>
      </c>
      <c r="O3233">
        <v>70</v>
      </c>
      <c r="P3233" s="1">
        <v>0.38500000000000001</v>
      </c>
      <c r="Q3233" s="1">
        <v>0.80300000000000005</v>
      </c>
      <c r="R3233">
        <v>489</v>
      </c>
      <c r="S3233">
        <v>48</v>
      </c>
      <c r="T3233">
        <v>133</v>
      </c>
      <c r="U3233">
        <v>96</v>
      </c>
      <c r="V3233">
        <v>30</v>
      </c>
      <c r="W3233">
        <v>16</v>
      </c>
      <c r="X3233">
        <v>35</v>
      </c>
      <c r="Y3233">
        <v>2.74</v>
      </c>
    </row>
    <row r="3234" spans="1:25" x14ac:dyDescent="0.25">
      <c r="A3234">
        <v>2026</v>
      </c>
      <c r="B3234" t="s">
        <v>57</v>
      </c>
      <c r="C3234">
        <v>8</v>
      </c>
      <c r="D3234">
        <v>83</v>
      </c>
      <c r="E3234" t="s">
        <v>184</v>
      </c>
      <c r="F3234" t="s">
        <v>188</v>
      </c>
      <c r="G3234">
        <f t="shared" si="3547"/>
        <v>0</v>
      </c>
      <c r="H3234">
        <v>2</v>
      </c>
      <c r="I3234">
        <v>11</v>
      </c>
      <c r="J3234">
        <v>0</v>
      </c>
      <c r="K3234" s="6" t="str">
        <f t="shared" ref="K3234" si="3564">"vs "&amp;E3235</f>
        <v>vs Kourayo Vallecano</v>
      </c>
      <c r="L3234" s="6" t="str">
        <f t="shared" ref="L3234" si="3565">"vs "&amp;F3235</f>
        <v>vs Ziogas/Christof</v>
      </c>
      <c r="M3234">
        <v>148</v>
      </c>
      <c r="N3234" s="1">
        <v>0.433</v>
      </c>
      <c r="O3234">
        <v>44</v>
      </c>
      <c r="P3234" s="1">
        <v>0.29499999999999998</v>
      </c>
      <c r="Q3234" s="1">
        <v>0.78700000000000003</v>
      </c>
      <c r="R3234">
        <v>410</v>
      </c>
      <c r="S3234">
        <v>44</v>
      </c>
      <c r="T3234">
        <v>121</v>
      </c>
      <c r="U3234">
        <v>69</v>
      </c>
      <c r="V3234">
        <v>26</v>
      </c>
      <c r="W3234">
        <v>12</v>
      </c>
      <c r="X3234">
        <v>48</v>
      </c>
      <c r="Y3234">
        <v>1.44</v>
      </c>
    </row>
    <row r="3235" spans="1:25" x14ac:dyDescent="0.25">
      <c r="A3235">
        <v>2026</v>
      </c>
      <c r="B3235" t="s">
        <v>57</v>
      </c>
      <c r="C3235">
        <v>8</v>
      </c>
      <c r="D3235">
        <v>83</v>
      </c>
      <c r="E3235" t="s">
        <v>26</v>
      </c>
      <c r="F3235" t="s">
        <v>118</v>
      </c>
      <c r="G3235">
        <f t="shared" si="3547"/>
        <v>1</v>
      </c>
      <c r="H3235">
        <v>11</v>
      </c>
      <c r="I3235">
        <v>2</v>
      </c>
      <c r="J3235">
        <v>0</v>
      </c>
      <c r="K3235" s="6" t="str">
        <f t="shared" ref="K3235" si="3566">"vs "&amp;E3234</f>
        <v>vs Heraklion Snakes</v>
      </c>
      <c r="L3235" s="6" t="str">
        <f t="shared" ref="L3235" si="3567">"vs "&amp;F3234</f>
        <v>vs Dimitris</v>
      </c>
      <c r="M3235">
        <v>228</v>
      </c>
      <c r="N3235" s="1">
        <v>0.44500000000000001</v>
      </c>
      <c r="O3235">
        <v>69</v>
      </c>
      <c r="P3235" s="1">
        <v>0.33700000000000002</v>
      </c>
      <c r="Q3235" s="1">
        <v>0.74299999999999999</v>
      </c>
      <c r="R3235">
        <v>635</v>
      </c>
      <c r="S3235">
        <v>50</v>
      </c>
      <c r="T3235">
        <v>189</v>
      </c>
      <c r="U3235">
        <v>158</v>
      </c>
      <c r="V3235">
        <v>51</v>
      </c>
      <c r="W3235">
        <v>19</v>
      </c>
      <c r="X3235">
        <v>70</v>
      </c>
      <c r="Y3235">
        <v>2.2599999999999998</v>
      </c>
    </row>
    <row r="3236" spans="1:25" x14ac:dyDescent="0.25">
      <c r="A3236">
        <v>2026</v>
      </c>
      <c r="B3236" t="s">
        <v>57</v>
      </c>
      <c r="C3236">
        <v>8</v>
      </c>
      <c r="D3236">
        <v>84</v>
      </c>
      <c r="E3236" t="s">
        <v>201</v>
      </c>
      <c r="F3236" t="s">
        <v>227</v>
      </c>
      <c r="G3236">
        <f t="shared" si="3547"/>
        <v>0</v>
      </c>
      <c r="H3236">
        <v>4</v>
      </c>
      <c r="I3236">
        <v>9</v>
      </c>
      <c r="J3236">
        <v>0</v>
      </c>
      <c r="K3236" s="6" t="str">
        <f t="shared" ref="K3236" si="3568">"vs "&amp;E3237</f>
        <v>vs The Bad Boys</v>
      </c>
      <c r="L3236" s="6" t="str">
        <f t="shared" ref="L3236" si="3569">"vs "&amp;F3237</f>
        <v>vs Arvanitis</v>
      </c>
      <c r="M3236">
        <v>183</v>
      </c>
      <c r="N3236" s="1">
        <v>0.46100000000000002</v>
      </c>
      <c r="O3236">
        <v>62</v>
      </c>
      <c r="P3236" s="1">
        <v>0.33700000000000002</v>
      </c>
      <c r="Q3236" s="1">
        <v>0.73799999999999999</v>
      </c>
      <c r="R3236">
        <v>504</v>
      </c>
      <c r="S3236">
        <v>54</v>
      </c>
      <c r="T3236">
        <v>181</v>
      </c>
      <c r="U3236">
        <v>119</v>
      </c>
      <c r="V3236">
        <v>35</v>
      </c>
      <c r="W3236">
        <v>30</v>
      </c>
      <c r="X3236">
        <v>64</v>
      </c>
      <c r="Y3236">
        <v>1.86</v>
      </c>
    </row>
    <row r="3237" spans="1:25" x14ac:dyDescent="0.25">
      <c r="A3237">
        <v>2026</v>
      </c>
      <c r="B3237" t="s">
        <v>57</v>
      </c>
      <c r="C3237">
        <v>8</v>
      </c>
      <c r="D3237">
        <v>84</v>
      </c>
      <c r="E3237" t="s">
        <v>154</v>
      </c>
      <c r="F3237" t="s">
        <v>155</v>
      </c>
      <c r="G3237">
        <f t="shared" si="3547"/>
        <v>1</v>
      </c>
      <c r="H3237">
        <v>9</v>
      </c>
      <c r="I3237">
        <v>4</v>
      </c>
      <c r="J3237">
        <v>0</v>
      </c>
      <c r="K3237" s="6" t="str">
        <f t="shared" ref="K3237" si="3570">"vs "&amp;E3236</f>
        <v>vs Hércules Pals</v>
      </c>
      <c r="L3237" s="6" t="str">
        <f t="shared" ref="L3237" si="3571">"vs "&amp;F3236</f>
        <v>vs Pals</v>
      </c>
      <c r="M3237">
        <v>266</v>
      </c>
      <c r="N3237" s="1">
        <v>0.48699999999999999</v>
      </c>
      <c r="O3237">
        <v>56</v>
      </c>
      <c r="P3237" s="1">
        <v>0.33100000000000002</v>
      </c>
      <c r="Q3237" s="1">
        <v>0.79200000000000004</v>
      </c>
      <c r="R3237">
        <v>740</v>
      </c>
      <c r="S3237">
        <v>69</v>
      </c>
      <c r="T3237">
        <v>162</v>
      </c>
      <c r="U3237">
        <v>158</v>
      </c>
      <c r="V3237">
        <v>51</v>
      </c>
      <c r="W3237">
        <v>31</v>
      </c>
      <c r="X3237">
        <v>76</v>
      </c>
      <c r="Y3237">
        <v>2.08</v>
      </c>
    </row>
    <row r="3238" spans="1:25" x14ac:dyDescent="0.25">
      <c r="A3238">
        <v>2026</v>
      </c>
      <c r="B3238" t="s">
        <v>57</v>
      </c>
      <c r="C3238">
        <v>8</v>
      </c>
      <c r="D3238">
        <v>85</v>
      </c>
      <c r="E3238" t="s">
        <v>186</v>
      </c>
      <c r="F3238" t="s">
        <v>103</v>
      </c>
      <c r="G3238">
        <f t="shared" si="3547"/>
        <v>1</v>
      </c>
      <c r="H3238">
        <v>9</v>
      </c>
      <c r="I3238">
        <v>4</v>
      </c>
      <c r="J3238">
        <v>0</v>
      </c>
      <c r="K3238" s="6" t="str">
        <f t="shared" ref="K3238" si="3572">"vs "&amp;E3239</f>
        <v>vs Salonika Devils</v>
      </c>
      <c r="L3238" s="6" t="str">
        <f t="shared" ref="L3238" si="3573">"vs "&amp;F3239</f>
        <v>vs Fountos</v>
      </c>
      <c r="M3238">
        <v>250</v>
      </c>
      <c r="N3238" s="1">
        <v>0.46500000000000002</v>
      </c>
      <c r="O3238">
        <v>79</v>
      </c>
      <c r="P3238" s="1">
        <v>0.39300000000000002</v>
      </c>
      <c r="Q3238" s="1">
        <v>0.80400000000000005</v>
      </c>
      <c r="R3238">
        <v>710</v>
      </c>
      <c r="S3238">
        <v>34</v>
      </c>
      <c r="T3238">
        <v>161</v>
      </c>
      <c r="U3238">
        <v>172</v>
      </c>
      <c r="V3238">
        <v>35</v>
      </c>
      <c r="W3238">
        <v>34</v>
      </c>
      <c r="X3238">
        <v>75</v>
      </c>
      <c r="Y3238">
        <v>2.29</v>
      </c>
    </row>
    <row r="3239" spans="1:25" x14ac:dyDescent="0.25">
      <c r="A3239">
        <v>2026</v>
      </c>
      <c r="B3239" t="s">
        <v>57</v>
      </c>
      <c r="C3239">
        <v>8</v>
      </c>
      <c r="D3239">
        <v>85</v>
      </c>
      <c r="E3239" t="s">
        <v>15</v>
      </c>
      <c r="F3239" t="s">
        <v>48</v>
      </c>
      <c r="G3239">
        <f t="shared" si="3547"/>
        <v>0</v>
      </c>
      <c r="H3239">
        <v>4</v>
      </c>
      <c r="I3239">
        <v>9</v>
      </c>
      <c r="J3239">
        <v>0</v>
      </c>
      <c r="K3239" s="6" t="str">
        <f t="shared" ref="K3239" si="3574">"vs "&amp;E3238</f>
        <v>vs Karafli Saita</v>
      </c>
      <c r="L3239" s="6" t="str">
        <f t="shared" ref="L3239" si="3575">"vs "&amp;F3238</f>
        <v>vs Tassos</v>
      </c>
      <c r="M3239">
        <v>158</v>
      </c>
      <c r="N3239" s="1">
        <v>0.49199999999999999</v>
      </c>
      <c r="O3239">
        <v>60</v>
      </c>
      <c r="P3239" s="1">
        <v>0.432</v>
      </c>
      <c r="Q3239" s="1">
        <v>0.79100000000000004</v>
      </c>
      <c r="R3239">
        <v>444</v>
      </c>
      <c r="S3239">
        <v>61</v>
      </c>
      <c r="T3239">
        <v>108</v>
      </c>
      <c r="U3239">
        <v>80</v>
      </c>
      <c r="V3239">
        <v>24</v>
      </c>
      <c r="W3239">
        <v>18</v>
      </c>
      <c r="X3239">
        <v>40</v>
      </c>
      <c r="Y3239">
        <v>2</v>
      </c>
    </row>
    <row r="3240" spans="1:25" x14ac:dyDescent="0.25">
      <c r="A3240">
        <v>2026</v>
      </c>
      <c r="B3240" t="s">
        <v>57</v>
      </c>
      <c r="C3240">
        <v>8</v>
      </c>
      <c r="D3240">
        <v>86</v>
      </c>
      <c r="E3240" t="s">
        <v>96</v>
      </c>
      <c r="F3240" t="s">
        <v>102</v>
      </c>
      <c r="G3240">
        <f t="shared" si="3547"/>
        <v>0</v>
      </c>
      <c r="H3240">
        <v>3</v>
      </c>
      <c r="I3240">
        <v>10</v>
      </c>
      <c r="J3240">
        <v>0</v>
      </c>
      <c r="K3240" s="6" t="str">
        <f t="shared" ref="K3240" si="3576">"vs "&amp;E3241</f>
        <v>vs The Guns</v>
      </c>
      <c r="L3240" s="6" t="str">
        <f t="shared" ref="L3240" si="3577">"vs "&amp;F3241</f>
        <v>vs Vasilis</v>
      </c>
      <c r="M3240">
        <v>171</v>
      </c>
      <c r="N3240" s="1">
        <v>0.46700000000000003</v>
      </c>
      <c r="O3240">
        <v>44</v>
      </c>
      <c r="P3240" s="1">
        <v>0.34399999999999997</v>
      </c>
      <c r="Q3240" s="1">
        <v>0.79</v>
      </c>
      <c r="R3240">
        <v>469</v>
      </c>
      <c r="S3240">
        <v>40</v>
      </c>
      <c r="T3240">
        <v>124</v>
      </c>
      <c r="U3240">
        <v>83</v>
      </c>
      <c r="V3240">
        <v>34</v>
      </c>
      <c r="W3240">
        <v>18</v>
      </c>
      <c r="X3240">
        <v>62</v>
      </c>
      <c r="Y3240">
        <v>1.34</v>
      </c>
    </row>
    <row r="3241" spans="1:25" x14ac:dyDescent="0.25">
      <c r="A3241">
        <v>2026</v>
      </c>
      <c r="B3241" t="s">
        <v>57</v>
      </c>
      <c r="C3241">
        <v>8</v>
      </c>
      <c r="D3241">
        <v>86</v>
      </c>
      <c r="E3241" t="s">
        <v>33</v>
      </c>
      <c r="F3241" t="s">
        <v>42</v>
      </c>
      <c r="G3241">
        <f t="shared" si="3547"/>
        <v>1</v>
      </c>
      <c r="H3241">
        <v>10</v>
      </c>
      <c r="I3241">
        <v>3</v>
      </c>
      <c r="J3241">
        <v>0</v>
      </c>
      <c r="K3241" s="6" t="str">
        <f t="shared" ref="K3241" si="3578">"vs "&amp;E3240</f>
        <v>vs Knights of Ni</v>
      </c>
      <c r="L3241" s="6" t="str">
        <f t="shared" ref="L3241" si="3579">"vs "&amp;F3240</f>
        <v>vs Tolios</v>
      </c>
      <c r="M3241">
        <v>214</v>
      </c>
      <c r="N3241" s="1">
        <v>0.48899999999999999</v>
      </c>
      <c r="O3241">
        <v>60</v>
      </c>
      <c r="P3241" s="1">
        <v>0.36099999999999999</v>
      </c>
      <c r="Q3241" s="1">
        <v>0.89100000000000001</v>
      </c>
      <c r="R3241">
        <v>578</v>
      </c>
      <c r="S3241">
        <v>32</v>
      </c>
      <c r="T3241">
        <v>145</v>
      </c>
      <c r="U3241">
        <v>105</v>
      </c>
      <c r="V3241">
        <v>35</v>
      </c>
      <c r="W3241">
        <v>22</v>
      </c>
      <c r="X3241">
        <v>79</v>
      </c>
      <c r="Y3241">
        <v>1.33</v>
      </c>
    </row>
    <row r="3242" spans="1:25" x14ac:dyDescent="0.25">
      <c r="A3242">
        <v>2026</v>
      </c>
      <c r="B3242" t="s">
        <v>57</v>
      </c>
      <c r="C3242">
        <v>8</v>
      </c>
      <c r="D3242">
        <v>87</v>
      </c>
      <c r="E3242" t="s">
        <v>23</v>
      </c>
      <c r="F3242" t="s">
        <v>120</v>
      </c>
      <c r="G3242">
        <f t="shared" si="3547"/>
        <v>0</v>
      </c>
      <c r="H3242">
        <v>6</v>
      </c>
      <c r="I3242">
        <v>7</v>
      </c>
      <c r="J3242">
        <v>0</v>
      </c>
      <c r="K3242" s="6" t="str">
        <f t="shared" ref="K3242" si="3580">"vs "&amp;E3243</f>
        <v>vs Steven Adams' Moustache</v>
      </c>
      <c r="L3242" s="6" t="str">
        <f t="shared" ref="L3242" si="3581">"vs "&amp;F3243</f>
        <v>vs Johnny</v>
      </c>
      <c r="M3242">
        <v>145</v>
      </c>
      <c r="N3242" s="1">
        <v>0.39600000000000002</v>
      </c>
      <c r="O3242">
        <v>49</v>
      </c>
      <c r="P3242" s="1">
        <v>0.34300000000000003</v>
      </c>
      <c r="Q3242" s="1">
        <v>0.79700000000000004</v>
      </c>
      <c r="R3242">
        <v>394</v>
      </c>
      <c r="S3242">
        <v>63</v>
      </c>
      <c r="T3242">
        <v>151</v>
      </c>
      <c r="U3242">
        <v>127</v>
      </c>
      <c r="V3242">
        <v>37</v>
      </c>
      <c r="W3242">
        <v>30</v>
      </c>
      <c r="X3242">
        <v>79</v>
      </c>
      <c r="Y3242">
        <v>1.61</v>
      </c>
    </row>
    <row r="3243" spans="1:25" x14ac:dyDescent="0.25">
      <c r="A3243">
        <v>2026</v>
      </c>
      <c r="B3243" t="s">
        <v>57</v>
      </c>
      <c r="C3243">
        <v>8</v>
      </c>
      <c r="D3243">
        <v>87</v>
      </c>
      <c r="E3243" t="s">
        <v>28</v>
      </c>
      <c r="F3243" t="s">
        <v>46</v>
      </c>
      <c r="G3243">
        <f t="shared" si="3547"/>
        <v>1</v>
      </c>
      <c r="H3243">
        <v>7</v>
      </c>
      <c r="I3243">
        <v>6</v>
      </c>
      <c r="J3243">
        <v>0</v>
      </c>
      <c r="K3243" s="6" t="str">
        <f t="shared" ref="K3243" si="3582">"vs "&amp;E3242</f>
        <v>vs Pachiana NinjaBees</v>
      </c>
      <c r="L3243" s="6" t="str">
        <f t="shared" ref="L3243" si="3583">"vs "&amp;F3242</f>
        <v>vs Spiridaus/Oladipas</v>
      </c>
      <c r="M3243">
        <v>170</v>
      </c>
      <c r="N3243" s="1">
        <v>0.48</v>
      </c>
      <c r="O3243">
        <v>66</v>
      </c>
      <c r="P3243" s="1">
        <v>0.36299999999999999</v>
      </c>
      <c r="Q3243" s="1">
        <v>0.77800000000000002</v>
      </c>
      <c r="R3243">
        <v>476</v>
      </c>
      <c r="S3243">
        <v>37</v>
      </c>
      <c r="T3243">
        <v>133</v>
      </c>
      <c r="U3243">
        <v>97</v>
      </c>
      <c r="V3243">
        <v>25</v>
      </c>
      <c r="W3243">
        <v>18</v>
      </c>
      <c r="X3243">
        <v>50</v>
      </c>
      <c r="Y3243">
        <v>1.94</v>
      </c>
    </row>
    <row r="3244" spans="1:25" x14ac:dyDescent="0.25">
      <c r="A3244">
        <v>2026</v>
      </c>
      <c r="B3244" t="s">
        <v>57</v>
      </c>
      <c r="C3244">
        <v>8</v>
      </c>
      <c r="D3244">
        <v>88</v>
      </c>
      <c r="E3244" t="s">
        <v>159</v>
      </c>
      <c r="F3244" t="s">
        <v>116</v>
      </c>
      <c r="G3244">
        <f t="shared" si="3547"/>
        <v>0</v>
      </c>
      <c r="H3244">
        <v>6</v>
      </c>
      <c r="I3244">
        <v>7</v>
      </c>
      <c r="J3244">
        <v>0</v>
      </c>
      <c r="K3244" s="6" t="str">
        <f t="shared" ref="K3244" si="3584">"vs "&amp;E3245</f>
        <v>vs Tsarlatans</v>
      </c>
      <c r="L3244" s="6" t="str">
        <f t="shared" ref="L3244" si="3585">"vs "&amp;F3245</f>
        <v>vs Tzokos</v>
      </c>
      <c r="M3244">
        <v>244</v>
      </c>
      <c r="N3244" s="1">
        <v>0.48399999999999999</v>
      </c>
      <c r="O3244">
        <v>80</v>
      </c>
      <c r="P3244" s="1">
        <v>0.39</v>
      </c>
      <c r="Q3244" s="1">
        <v>0.748</v>
      </c>
      <c r="R3244">
        <v>654</v>
      </c>
      <c r="S3244">
        <v>61</v>
      </c>
      <c r="T3244">
        <v>204</v>
      </c>
      <c r="U3244">
        <v>182</v>
      </c>
      <c r="V3244">
        <v>35</v>
      </c>
      <c r="W3244">
        <v>9</v>
      </c>
      <c r="X3244">
        <v>90</v>
      </c>
      <c r="Y3244">
        <v>2.02</v>
      </c>
    </row>
    <row r="3245" spans="1:25" x14ac:dyDescent="0.25">
      <c r="A3245">
        <v>2026</v>
      </c>
      <c r="B3245" t="s">
        <v>57</v>
      </c>
      <c r="C3245">
        <v>8</v>
      </c>
      <c r="D3245">
        <v>88</v>
      </c>
      <c r="E3245" t="s">
        <v>99</v>
      </c>
      <c r="F3245" t="s">
        <v>45</v>
      </c>
      <c r="G3245">
        <f t="shared" si="3547"/>
        <v>1</v>
      </c>
      <c r="H3245">
        <v>7</v>
      </c>
      <c r="I3245">
        <v>6</v>
      </c>
      <c r="J3245">
        <v>0</v>
      </c>
      <c r="K3245" s="6" t="str">
        <f t="shared" ref="K3245" si="3586">"vs "&amp;E3244</f>
        <v>vs purple fuzzy apache pirates</v>
      </c>
      <c r="L3245" s="6" t="str">
        <f t="shared" ref="L3245" si="3587">"vs "&amp;F3244</f>
        <v>vs pi/Sotiris</v>
      </c>
      <c r="M3245">
        <v>242</v>
      </c>
      <c r="N3245" s="1">
        <v>0.51100000000000001</v>
      </c>
      <c r="O3245">
        <v>65</v>
      </c>
      <c r="P3245" s="1">
        <v>0.41399999999999998</v>
      </c>
      <c r="Q3245" s="1">
        <v>0.75700000000000001</v>
      </c>
      <c r="R3245">
        <v>627</v>
      </c>
      <c r="S3245">
        <v>82</v>
      </c>
      <c r="T3245">
        <v>228</v>
      </c>
      <c r="U3245">
        <v>109</v>
      </c>
      <c r="V3245">
        <v>29</v>
      </c>
      <c r="W3245">
        <v>33</v>
      </c>
      <c r="X3245">
        <v>69</v>
      </c>
      <c r="Y3245">
        <v>1.58</v>
      </c>
    </row>
    <row r="3246" spans="1:25" x14ac:dyDescent="0.25">
      <c r="A3246">
        <v>2026</v>
      </c>
      <c r="B3246" t="s">
        <v>57</v>
      </c>
      <c r="C3246">
        <v>8</v>
      </c>
      <c r="D3246">
        <v>89</v>
      </c>
      <c r="E3246" t="s">
        <v>158</v>
      </c>
      <c r="F3246" t="s">
        <v>177</v>
      </c>
      <c r="G3246">
        <f t="shared" si="3547"/>
        <v>0</v>
      </c>
      <c r="H3246">
        <v>2</v>
      </c>
      <c r="I3246">
        <v>11</v>
      </c>
      <c r="J3246">
        <v>0</v>
      </c>
      <c r="K3246" s="6" t="str">
        <f t="shared" ref="K3246" si="3588">"vs "&amp;E3247</f>
        <v>vs The Bridgeburners</v>
      </c>
      <c r="L3246" s="6" t="str">
        <f t="shared" ref="L3246" si="3589">"vs "&amp;F3247</f>
        <v>vs Fanis</v>
      </c>
      <c r="M3246">
        <v>273</v>
      </c>
      <c r="N3246" s="1">
        <v>0.46899999999999997</v>
      </c>
      <c r="O3246">
        <v>53</v>
      </c>
      <c r="P3246" s="1">
        <v>0.29599999999999999</v>
      </c>
      <c r="Q3246" s="1">
        <v>0.76600000000000001</v>
      </c>
      <c r="R3246">
        <v>779</v>
      </c>
      <c r="S3246">
        <v>52</v>
      </c>
      <c r="T3246">
        <v>197</v>
      </c>
      <c r="U3246">
        <v>181</v>
      </c>
      <c r="V3246">
        <v>46</v>
      </c>
      <c r="W3246">
        <v>26</v>
      </c>
      <c r="X3246">
        <v>93</v>
      </c>
      <c r="Y3246">
        <v>1.95</v>
      </c>
    </row>
    <row r="3247" spans="1:25" x14ac:dyDescent="0.25">
      <c r="A3247">
        <v>2026</v>
      </c>
      <c r="B3247" t="s">
        <v>57</v>
      </c>
      <c r="C3247">
        <v>8</v>
      </c>
      <c r="D3247">
        <v>89</v>
      </c>
      <c r="E3247" t="s">
        <v>16</v>
      </c>
      <c r="F3247" t="s">
        <v>51</v>
      </c>
      <c r="G3247">
        <f t="shared" si="3547"/>
        <v>1</v>
      </c>
      <c r="H3247">
        <v>11</v>
      </c>
      <c r="I3247">
        <v>2</v>
      </c>
      <c r="J3247">
        <v>0</v>
      </c>
      <c r="K3247" s="6" t="str">
        <f t="shared" ref="K3247" si="3590">"vs "&amp;E3246</f>
        <v>vs LRBP PR3DATORS</v>
      </c>
      <c r="L3247" s="6" t="str">
        <f t="shared" ref="L3247" si="3591">"vs "&amp;F3246</f>
        <v>vs Lafa</v>
      </c>
      <c r="M3247">
        <v>270</v>
      </c>
      <c r="N3247" s="1">
        <v>0.47099999999999997</v>
      </c>
      <c r="O3247">
        <v>72</v>
      </c>
      <c r="P3247" s="1">
        <v>0.34300000000000003</v>
      </c>
      <c r="Q3247" s="1">
        <v>0.77800000000000002</v>
      </c>
      <c r="R3247">
        <v>745</v>
      </c>
      <c r="S3247">
        <v>77</v>
      </c>
      <c r="T3247">
        <v>199</v>
      </c>
      <c r="U3247">
        <v>183</v>
      </c>
      <c r="V3247">
        <v>48</v>
      </c>
      <c r="W3247">
        <v>27</v>
      </c>
      <c r="X3247">
        <v>91</v>
      </c>
      <c r="Y3247">
        <v>2.0099999999999998</v>
      </c>
    </row>
    <row r="3248" spans="1:25" x14ac:dyDescent="0.25">
      <c r="A3248">
        <v>2026</v>
      </c>
      <c r="B3248" t="s">
        <v>57</v>
      </c>
      <c r="C3248">
        <v>8</v>
      </c>
      <c r="D3248">
        <v>90</v>
      </c>
      <c r="E3248" t="s">
        <v>185</v>
      </c>
      <c r="F3248" t="s">
        <v>100</v>
      </c>
      <c r="G3248">
        <f t="shared" si="3547"/>
        <v>1</v>
      </c>
      <c r="H3248">
        <v>10</v>
      </c>
      <c r="I3248">
        <v>2</v>
      </c>
      <c r="J3248">
        <v>1</v>
      </c>
      <c r="K3248" s="6" t="str">
        <f t="shared" ref="K3248" si="3592">"vs "&amp;E3249</f>
        <v>vs st.Helens Eruptions</v>
      </c>
      <c r="L3248" s="6" t="str">
        <f t="shared" ref="L3248" si="3593">"vs "&amp;F3249</f>
        <v>vs Aris</v>
      </c>
      <c r="M3248">
        <v>215</v>
      </c>
      <c r="N3248" s="1">
        <v>0.498</v>
      </c>
      <c r="O3248">
        <v>72</v>
      </c>
      <c r="P3248" s="1">
        <v>0.42899999999999999</v>
      </c>
      <c r="Q3248" s="1">
        <v>0.753</v>
      </c>
      <c r="R3248">
        <v>560</v>
      </c>
      <c r="S3248">
        <v>46</v>
      </c>
      <c r="T3248">
        <v>142</v>
      </c>
      <c r="U3248">
        <v>146</v>
      </c>
      <c r="V3248">
        <v>36</v>
      </c>
      <c r="W3248">
        <v>23</v>
      </c>
      <c r="X3248">
        <v>75</v>
      </c>
      <c r="Y3248">
        <v>1.95</v>
      </c>
    </row>
    <row r="3249" spans="1:25" x14ac:dyDescent="0.25">
      <c r="A3249">
        <v>2026</v>
      </c>
      <c r="B3249" t="s">
        <v>57</v>
      </c>
      <c r="C3249">
        <v>8</v>
      </c>
      <c r="D3249">
        <v>90</v>
      </c>
      <c r="E3249" t="s">
        <v>21</v>
      </c>
      <c r="F3249" t="s">
        <v>50</v>
      </c>
      <c r="G3249">
        <f t="shared" si="3547"/>
        <v>0</v>
      </c>
      <c r="H3249">
        <v>2</v>
      </c>
      <c r="I3249">
        <v>10</v>
      </c>
      <c r="J3249">
        <v>1</v>
      </c>
      <c r="K3249" s="6" t="str">
        <f t="shared" ref="K3249" si="3594">"vs "&amp;E3248</f>
        <v>vs Paralouistas</v>
      </c>
      <c r="L3249" s="6" t="str">
        <f t="shared" ref="L3249" si="3595">"vs "&amp;F3248</f>
        <v>vs Panos</v>
      </c>
      <c r="M3249">
        <v>196</v>
      </c>
      <c r="N3249" s="1">
        <v>0.46800000000000003</v>
      </c>
      <c r="O3249">
        <v>58</v>
      </c>
      <c r="P3249" s="1">
        <v>0.32800000000000001</v>
      </c>
      <c r="Q3249" s="1">
        <v>0.73699999999999999</v>
      </c>
      <c r="R3249">
        <v>520</v>
      </c>
      <c r="S3249">
        <v>41</v>
      </c>
      <c r="T3249">
        <v>166</v>
      </c>
      <c r="U3249">
        <v>125</v>
      </c>
      <c r="V3249">
        <v>36</v>
      </c>
      <c r="W3249">
        <v>20</v>
      </c>
      <c r="X3249">
        <v>65</v>
      </c>
      <c r="Y3249">
        <v>1.92</v>
      </c>
    </row>
    <row r="3250" spans="1:25" x14ac:dyDescent="0.25">
      <c r="A3250">
        <v>2026</v>
      </c>
      <c r="B3250" t="s">
        <v>57</v>
      </c>
      <c r="C3250">
        <v>9</v>
      </c>
      <c r="D3250">
        <v>81</v>
      </c>
      <c r="E3250" t="s">
        <v>21</v>
      </c>
      <c r="F3250" t="s">
        <v>50</v>
      </c>
      <c r="G3250">
        <f t="shared" si="3547"/>
        <v>0</v>
      </c>
      <c r="H3250">
        <v>4</v>
      </c>
      <c r="I3250">
        <v>9</v>
      </c>
      <c r="J3250">
        <v>0</v>
      </c>
      <c r="K3250" s="6" t="str">
        <f t="shared" ref="K3250" si="3596">"vs "&amp;E3251</f>
        <v>vs LRBP PR3DATORS</v>
      </c>
      <c r="L3250" s="6" t="str">
        <f t="shared" ref="L3250" si="3597">"vs "&amp;F3251</f>
        <v>vs Lafa</v>
      </c>
      <c r="M3250">
        <v>145</v>
      </c>
      <c r="N3250" s="1">
        <v>0.48799999999999999</v>
      </c>
      <c r="O3250">
        <v>22</v>
      </c>
      <c r="P3250" s="1">
        <v>0.23899999999999999</v>
      </c>
      <c r="Q3250" s="1">
        <v>0.78700000000000003</v>
      </c>
      <c r="R3250">
        <v>382</v>
      </c>
      <c r="S3250">
        <v>41</v>
      </c>
      <c r="T3250">
        <v>105</v>
      </c>
      <c r="U3250">
        <v>64</v>
      </c>
      <c r="V3250">
        <v>25</v>
      </c>
      <c r="W3250">
        <v>15</v>
      </c>
      <c r="X3250">
        <v>45</v>
      </c>
      <c r="Y3250">
        <v>1.42</v>
      </c>
    </row>
    <row r="3251" spans="1:25" x14ac:dyDescent="0.25">
      <c r="A3251">
        <v>2026</v>
      </c>
      <c r="B3251" t="s">
        <v>57</v>
      </c>
      <c r="C3251">
        <v>9</v>
      </c>
      <c r="D3251">
        <v>81</v>
      </c>
      <c r="E3251" t="s">
        <v>158</v>
      </c>
      <c r="F3251" t="s">
        <v>177</v>
      </c>
      <c r="G3251">
        <f t="shared" si="3547"/>
        <v>1</v>
      </c>
      <c r="H3251">
        <v>9</v>
      </c>
      <c r="I3251">
        <v>4</v>
      </c>
      <c r="J3251">
        <v>0</v>
      </c>
      <c r="K3251" s="6" t="str">
        <f t="shared" ref="K3251" si="3598">"vs "&amp;E3250</f>
        <v>vs st.Helens Eruptions</v>
      </c>
      <c r="L3251" s="6" t="str">
        <f t="shared" ref="L3251" si="3599">"vs "&amp;F3250</f>
        <v>vs Aris</v>
      </c>
      <c r="M3251">
        <v>181</v>
      </c>
      <c r="N3251" s="1">
        <v>0.45500000000000002</v>
      </c>
      <c r="O3251">
        <v>37</v>
      </c>
      <c r="P3251" s="1">
        <v>0.30599999999999999</v>
      </c>
      <c r="Q3251" s="1">
        <v>0.69899999999999995</v>
      </c>
      <c r="R3251">
        <v>501</v>
      </c>
      <c r="S3251">
        <v>36</v>
      </c>
      <c r="T3251">
        <v>145</v>
      </c>
      <c r="U3251">
        <v>118</v>
      </c>
      <c r="V3251">
        <v>27</v>
      </c>
      <c r="W3251">
        <v>30</v>
      </c>
      <c r="X3251">
        <v>70</v>
      </c>
      <c r="Y3251">
        <v>1.69</v>
      </c>
    </row>
    <row r="3252" spans="1:25" x14ac:dyDescent="0.25">
      <c r="A3252">
        <v>2026</v>
      </c>
      <c r="B3252" t="s">
        <v>57</v>
      </c>
      <c r="C3252">
        <v>9</v>
      </c>
      <c r="D3252">
        <v>82</v>
      </c>
      <c r="E3252" t="s">
        <v>185</v>
      </c>
      <c r="F3252" t="s">
        <v>100</v>
      </c>
      <c r="G3252">
        <f t="shared" si="3547"/>
        <v>1</v>
      </c>
      <c r="H3252">
        <v>7</v>
      </c>
      <c r="I3252">
        <v>6</v>
      </c>
      <c r="J3252">
        <v>0</v>
      </c>
      <c r="K3252" s="6" t="str">
        <f t="shared" ref="K3252" si="3600">"vs "&amp;E3253</f>
        <v>vs Pachiana NinjaBees</v>
      </c>
      <c r="L3252" s="6" t="str">
        <f t="shared" ref="L3252" si="3601">"vs "&amp;F3253</f>
        <v>vs Spiridaus/Oladipas</v>
      </c>
      <c r="M3252">
        <v>155</v>
      </c>
      <c r="N3252" s="1">
        <v>0.46300000000000002</v>
      </c>
      <c r="O3252">
        <v>47</v>
      </c>
      <c r="P3252" s="1">
        <v>0.33100000000000002</v>
      </c>
      <c r="Q3252" s="1">
        <v>0.74299999999999999</v>
      </c>
      <c r="R3252">
        <v>412</v>
      </c>
      <c r="S3252">
        <v>30</v>
      </c>
      <c r="T3252">
        <v>100</v>
      </c>
      <c r="U3252">
        <v>130</v>
      </c>
      <c r="V3252">
        <v>34</v>
      </c>
      <c r="W3252">
        <v>20</v>
      </c>
      <c r="X3252">
        <v>65</v>
      </c>
      <c r="Y3252">
        <v>2</v>
      </c>
    </row>
    <row r="3253" spans="1:25" x14ac:dyDescent="0.25">
      <c r="A3253">
        <v>2026</v>
      </c>
      <c r="B3253" t="s">
        <v>57</v>
      </c>
      <c r="C3253">
        <v>9</v>
      </c>
      <c r="D3253">
        <v>82</v>
      </c>
      <c r="E3253" t="s">
        <v>23</v>
      </c>
      <c r="F3253" t="s">
        <v>120</v>
      </c>
      <c r="G3253">
        <f t="shared" si="3547"/>
        <v>0</v>
      </c>
      <c r="H3253">
        <v>6</v>
      </c>
      <c r="I3253">
        <v>7</v>
      </c>
      <c r="J3253">
        <v>0</v>
      </c>
      <c r="K3253" s="6" t="str">
        <f t="shared" ref="K3253" si="3602">"vs "&amp;E3252</f>
        <v>vs Paralouistas</v>
      </c>
      <c r="L3253" s="6" t="str">
        <f t="shared" ref="L3253" si="3603">"vs "&amp;F3252</f>
        <v>vs Panos</v>
      </c>
      <c r="M3253">
        <v>154</v>
      </c>
      <c r="N3253" s="1">
        <v>0.51</v>
      </c>
      <c r="O3253">
        <v>40</v>
      </c>
      <c r="P3253" s="1">
        <v>0.377</v>
      </c>
      <c r="Q3253" s="1">
        <v>0.71099999999999997</v>
      </c>
      <c r="R3253">
        <v>402</v>
      </c>
      <c r="S3253">
        <v>57</v>
      </c>
      <c r="T3253">
        <v>121</v>
      </c>
      <c r="U3253">
        <v>95</v>
      </c>
      <c r="V3253">
        <v>19</v>
      </c>
      <c r="W3253">
        <v>18</v>
      </c>
      <c r="X3253">
        <v>46</v>
      </c>
      <c r="Y3253">
        <v>2.0699999999999998</v>
      </c>
    </row>
    <row r="3254" spans="1:25" x14ac:dyDescent="0.25">
      <c r="A3254">
        <v>2026</v>
      </c>
      <c r="B3254" t="s">
        <v>57</v>
      </c>
      <c r="C3254">
        <v>9</v>
      </c>
      <c r="D3254">
        <v>83</v>
      </c>
      <c r="E3254" t="s">
        <v>28</v>
      </c>
      <c r="F3254" t="s">
        <v>46</v>
      </c>
      <c r="G3254">
        <f t="shared" si="3547"/>
        <v>0</v>
      </c>
      <c r="H3254">
        <v>4</v>
      </c>
      <c r="I3254">
        <v>9</v>
      </c>
      <c r="J3254">
        <v>0</v>
      </c>
      <c r="K3254" s="6" t="str">
        <f t="shared" ref="K3254" si="3604">"vs "&amp;E3255</f>
        <v>vs Karafli Saita</v>
      </c>
      <c r="L3254" s="6" t="str">
        <f t="shared" ref="L3254" si="3605">"vs "&amp;F3255</f>
        <v>vs Tassos</v>
      </c>
      <c r="M3254">
        <v>125</v>
      </c>
      <c r="N3254" s="1">
        <v>0.48799999999999999</v>
      </c>
      <c r="O3254">
        <v>58</v>
      </c>
      <c r="P3254" s="1">
        <v>0.42599999999999999</v>
      </c>
      <c r="Q3254" s="1">
        <v>0.85899999999999999</v>
      </c>
      <c r="R3254">
        <v>381</v>
      </c>
      <c r="S3254">
        <v>15</v>
      </c>
      <c r="T3254">
        <v>72</v>
      </c>
      <c r="U3254">
        <v>54</v>
      </c>
      <c r="V3254">
        <v>21</v>
      </c>
      <c r="W3254">
        <v>13</v>
      </c>
      <c r="X3254">
        <v>34</v>
      </c>
      <c r="Y3254">
        <v>1.59</v>
      </c>
    </row>
    <row r="3255" spans="1:25" x14ac:dyDescent="0.25">
      <c r="A3255">
        <v>2026</v>
      </c>
      <c r="B3255" t="s">
        <v>57</v>
      </c>
      <c r="C3255">
        <v>9</v>
      </c>
      <c r="D3255">
        <v>83</v>
      </c>
      <c r="E3255" t="s">
        <v>186</v>
      </c>
      <c r="F3255" t="s">
        <v>103</v>
      </c>
      <c r="G3255">
        <f t="shared" si="3547"/>
        <v>1</v>
      </c>
      <c r="H3255">
        <v>9</v>
      </c>
      <c r="I3255">
        <v>4</v>
      </c>
      <c r="J3255">
        <v>0</v>
      </c>
      <c r="K3255" s="6" t="str">
        <f t="shared" ref="K3255" si="3606">"vs "&amp;E3254</f>
        <v>vs Steven Adams' Moustache</v>
      </c>
      <c r="L3255" s="6" t="str">
        <f t="shared" ref="L3255" si="3607">"vs "&amp;F3254</f>
        <v>vs Johnny</v>
      </c>
      <c r="M3255">
        <v>270</v>
      </c>
      <c r="N3255" s="1">
        <v>0.47399999999999998</v>
      </c>
      <c r="O3255">
        <v>81</v>
      </c>
      <c r="P3255" s="1">
        <v>0.38600000000000001</v>
      </c>
      <c r="Q3255" s="1">
        <v>0.76900000000000002</v>
      </c>
      <c r="R3255">
        <v>724</v>
      </c>
      <c r="S3255">
        <v>31</v>
      </c>
      <c r="T3255">
        <v>161</v>
      </c>
      <c r="U3255">
        <v>191</v>
      </c>
      <c r="V3255">
        <v>44</v>
      </c>
      <c r="W3255">
        <v>23</v>
      </c>
      <c r="X3255">
        <v>100</v>
      </c>
      <c r="Y3255">
        <v>1.91</v>
      </c>
    </row>
    <row r="3256" spans="1:25" x14ac:dyDescent="0.25">
      <c r="A3256">
        <v>2026</v>
      </c>
      <c r="B3256" t="s">
        <v>57</v>
      </c>
      <c r="C3256">
        <v>9</v>
      </c>
      <c r="D3256">
        <v>84</v>
      </c>
      <c r="E3256" t="s">
        <v>15</v>
      </c>
      <c r="F3256" t="s">
        <v>48</v>
      </c>
      <c r="G3256">
        <f t="shared" si="3547"/>
        <v>0</v>
      </c>
      <c r="H3256">
        <v>5</v>
      </c>
      <c r="I3256">
        <v>8</v>
      </c>
      <c r="J3256">
        <v>0</v>
      </c>
      <c r="K3256" s="6" t="str">
        <f t="shared" ref="K3256" si="3608">"vs "&amp;E3257</f>
        <v>vs Fighting Thaddeus</v>
      </c>
      <c r="L3256" s="6" t="str">
        <f t="shared" ref="L3256" si="3609">"vs "&amp;F3257</f>
        <v>vs Stavros</v>
      </c>
      <c r="M3256">
        <v>139</v>
      </c>
      <c r="N3256" s="1">
        <v>0.50900000000000001</v>
      </c>
      <c r="O3256">
        <v>47</v>
      </c>
      <c r="P3256" s="1">
        <v>0.39800000000000002</v>
      </c>
      <c r="Q3256" s="1">
        <v>0.72499999999999998</v>
      </c>
      <c r="R3256">
        <v>375</v>
      </c>
      <c r="S3256">
        <v>45</v>
      </c>
      <c r="T3256">
        <v>99</v>
      </c>
      <c r="U3256">
        <v>70</v>
      </c>
      <c r="V3256">
        <v>26</v>
      </c>
      <c r="W3256">
        <v>22</v>
      </c>
      <c r="X3256">
        <v>30</v>
      </c>
      <c r="Y3256">
        <v>2.33</v>
      </c>
    </row>
    <row r="3257" spans="1:25" x14ac:dyDescent="0.25">
      <c r="A3257">
        <v>2026</v>
      </c>
      <c r="B3257" t="s">
        <v>57</v>
      </c>
      <c r="C3257">
        <v>9</v>
      </c>
      <c r="D3257">
        <v>84</v>
      </c>
      <c r="E3257" t="s">
        <v>94</v>
      </c>
      <c r="F3257" t="s">
        <v>40</v>
      </c>
      <c r="G3257">
        <f t="shared" si="3547"/>
        <v>1</v>
      </c>
      <c r="H3257">
        <v>8</v>
      </c>
      <c r="I3257">
        <v>5</v>
      </c>
      <c r="J3257">
        <v>0</v>
      </c>
      <c r="K3257" s="6" t="str">
        <f t="shared" ref="K3257" si="3610">"vs "&amp;E3256</f>
        <v>vs Salonika Devils</v>
      </c>
      <c r="L3257" s="6" t="str">
        <f t="shared" ref="L3257" si="3611">"vs "&amp;F3256</f>
        <v>vs Fountos</v>
      </c>
      <c r="M3257">
        <v>175</v>
      </c>
      <c r="N3257" s="1">
        <v>0.51500000000000001</v>
      </c>
      <c r="O3257">
        <v>44</v>
      </c>
      <c r="P3257" s="1">
        <v>0.38600000000000001</v>
      </c>
      <c r="Q3257" s="1">
        <v>0.89500000000000002</v>
      </c>
      <c r="R3257">
        <v>488</v>
      </c>
      <c r="S3257">
        <v>29</v>
      </c>
      <c r="T3257">
        <v>104</v>
      </c>
      <c r="U3257">
        <v>120</v>
      </c>
      <c r="V3257">
        <v>22</v>
      </c>
      <c r="W3257">
        <v>23</v>
      </c>
      <c r="X3257">
        <v>50</v>
      </c>
      <c r="Y3257">
        <v>2.4</v>
      </c>
    </row>
    <row r="3258" spans="1:25" x14ac:dyDescent="0.25">
      <c r="A3258">
        <v>2026</v>
      </c>
      <c r="B3258" t="s">
        <v>57</v>
      </c>
      <c r="C3258">
        <v>9</v>
      </c>
      <c r="D3258">
        <v>85</v>
      </c>
      <c r="E3258" t="s">
        <v>181</v>
      </c>
      <c r="F3258" t="s">
        <v>49</v>
      </c>
      <c r="G3258">
        <f t="shared" si="3547"/>
        <v>1</v>
      </c>
      <c r="H3258">
        <v>11</v>
      </c>
      <c r="I3258">
        <v>2</v>
      </c>
      <c r="J3258">
        <v>0</v>
      </c>
      <c r="K3258" s="6" t="str">
        <f t="shared" ref="K3258" si="3612">"vs "&amp;E3259</f>
        <v>vs Hércules Pals</v>
      </c>
      <c r="L3258" s="6" t="str">
        <f t="shared" ref="L3258" si="3613">"vs "&amp;F3259</f>
        <v>vs Pals</v>
      </c>
      <c r="M3258">
        <v>192</v>
      </c>
      <c r="N3258" s="1">
        <v>0.50900000000000001</v>
      </c>
      <c r="O3258">
        <v>54</v>
      </c>
      <c r="P3258" s="1">
        <v>0.39700000000000002</v>
      </c>
      <c r="Q3258" s="1">
        <v>0.87</v>
      </c>
      <c r="R3258">
        <v>565</v>
      </c>
      <c r="S3258">
        <v>41</v>
      </c>
      <c r="T3258">
        <v>105</v>
      </c>
      <c r="U3258">
        <v>118</v>
      </c>
      <c r="V3258">
        <v>38</v>
      </c>
      <c r="W3258">
        <v>16</v>
      </c>
      <c r="X3258">
        <v>47</v>
      </c>
      <c r="Y3258">
        <v>2.5099999999999998</v>
      </c>
    </row>
    <row r="3259" spans="1:25" x14ac:dyDescent="0.25">
      <c r="A3259">
        <v>2026</v>
      </c>
      <c r="B3259" t="s">
        <v>57</v>
      </c>
      <c r="C3259">
        <v>9</v>
      </c>
      <c r="D3259">
        <v>85</v>
      </c>
      <c r="E3259" t="s">
        <v>201</v>
      </c>
      <c r="F3259" t="s">
        <v>227</v>
      </c>
      <c r="G3259">
        <f t="shared" si="3547"/>
        <v>0</v>
      </c>
      <c r="H3259">
        <v>2</v>
      </c>
      <c r="I3259">
        <v>11</v>
      </c>
      <c r="J3259">
        <v>0</v>
      </c>
      <c r="K3259" s="6" t="str">
        <f t="shared" ref="K3259" si="3614">"vs "&amp;E3258</f>
        <v>vs Samarina Dudenbros</v>
      </c>
      <c r="L3259" s="6" t="str">
        <f t="shared" ref="L3259" si="3615">"vs "&amp;F3258</f>
        <v>vs Sakellariou</v>
      </c>
      <c r="M3259">
        <v>118</v>
      </c>
      <c r="N3259" s="1">
        <v>0.47</v>
      </c>
      <c r="O3259">
        <v>48</v>
      </c>
      <c r="P3259" s="1">
        <v>0.38400000000000001</v>
      </c>
      <c r="Q3259" s="1">
        <v>0.68</v>
      </c>
      <c r="R3259">
        <v>318</v>
      </c>
      <c r="S3259">
        <v>61</v>
      </c>
      <c r="T3259">
        <v>101</v>
      </c>
      <c r="U3259">
        <v>62</v>
      </c>
      <c r="V3259">
        <v>22</v>
      </c>
      <c r="W3259">
        <v>10</v>
      </c>
      <c r="X3259">
        <v>45</v>
      </c>
      <c r="Y3259">
        <v>1.38</v>
      </c>
    </row>
    <row r="3260" spans="1:25" x14ac:dyDescent="0.25">
      <c r="A3260">
        <v>2026</v>
      </c>
      <c r="B3260" t="s">
        <v>57</v>
      </c>
      <c r="C3260">
        <v>9</v>
      </c>
      <c r="D3260">
        <v>86</v>
      </c>
      <c r="E3260" t="s">
        <v>154</v>
      </c>
      <c r="F3260" t="s">
        <v>155</v>
      </c>
      <c r="G3260">
        <f t="shared" si="3547"/>
        <v>1</v>
      </c>
      <c r="H3260">
        <v>9</v>
      </c>
      <c r="I3260">
        <v>4</v>
      </c>
      <c r="J3260">
        <v>0</v>
      </c>
      <c r="K3260" s="6" t="str">
        <f t="shared" ref="K3260" si="3616">"vs "&amp;E3261</f>
        <v>vs Tsarlatans</v>
      </c>
      <c r="L3260" s="6" t="str">
        <f t="shared" ref="L3260" si="3617">"vs "&amp;F3261</f>
        <v>vs Tzokos</v>
      </c>
      <c r="M3260">
        <v>205</v>
      </c>
      <c r="N3260" s="1">
        <v>0.51</v>
      </c>
      <c r="O3260">
        <v>51</v>
      </c>
      <c r="P3260" s="1">
        <v>0.38900000000000001</v>
      </c>
      <c r="Q3260" s="1">
        <v>0.746</v>
      </c>
      <c r="R3260">
        <v>549</v>
      </c>
      <c r="S3260">
        <v>59</v>
      </c>
      <c r="T3260">
        <v>116</v>
      </c>
      <c r="U3260">
        <v>119</v>
      </c>
      <c r="V3260">
        <v>38</v>
      </c>
      <c r="W3260">
        <v>26</v>
      </c>
      <c r="X3260">
        <v>62</v>
      </c>
      <c r="Y3260">
        <v>1.92</v>
      </c>
    </row>
    <row r="3261" spans="1:25" x14ac:dyDescent="0.25">
      <c r="A3261">
        <v>2026</v>
      </c>
      <c r="B3261" t="s">
        <v>57</v>
      </c>
      <c r="C3261">
        <v>9</v>
      </c>
      <c r="D3261">
        <v>86</v>
      </c>
      <c r="E3261" t="s">
        <v>99</v>
      </c>
      <c r="F3261" t="s">
        <v>45</v>
      </c>
      <c r="G3261">
        <f t="shared" si="3547"/>
        <v>0</v>
      </c>
      <c r="H3261">
        <v>4</v>
      </c>
      <c r="I3261">
        <v>9</v>
      </c>
      <c r="J3261">
        <v>0</v>
      </c>
      <c r="K3261" s="6" t="str">
        <f t="shared" ref="K3261" si="3618">"vs "&amp;E3260</f>
        <v>vs The Bad Boys</v>
      </c>
      <c r="L3261" s="6" t="str">
        <f t="shared" ref="L3261" si="3619">"vs "&amp;F3260</f>
        <v>vs Arvanitis</v>
      </c>
      <c r="M3261">
        <v>173</v>
      </c>
      <c r="N3261" s="1">
        <v>0.48199999999999998</v>
      </c>
      <c r="O3261">
        <v>39</v>
      </c>
      <c r="P3261" s="1">
        <v>0.34499999999999997</v>
      </c>
      <c r="Q3261" s="1">
        <v>0.80700000000000005</v>
      </c>
      <c r="R3261">
        <v>452</v>
      </c>
      <c r="S3261">
        <v>60</v>
      </c>
      <c r="T3261">
        <v>148</v>
      </c>
      <c r="U3261">
        <v>114</v>
      </c>
      <c r="V3261">
        <v>35</v>
      </c>
      <c r="W3261">
        <v>25</v>
      </c>
      <c r="X3261">
        <v>60</v>
      </c>
      <c r="Y3261">
        <v>1.9</v>
      </c>
    </row>
    <row r="3262" spans="1:25" x14ac:dyDescent="0.25">
      <c r="A3262">
        <v>2026</v>
      </c>
      <c r="B3262" t="s">
        <v>57</v>
      </c>
      <c r="C3262">
        <v>9</v>
      </c>
      <c r="D3262">
        <v>87</v>
      </c>
      <c r="E3262" t="s">
        <v>159</v>
      </c>
      <c r="F3262" t="s">
        <v>116</v>
      </c>
      <c r="G3262">
        <f t="shared" si="3547"/>
        <v>1</v>
      </c>
      <c r="H3262">
        <v>8</v>
      </c>
      <c r="I3262">
        <v>5</v>
      </c>
      <c r="J3262">
        <v>0</v>
      </c>
      <c r="K3262" s="6" t="str">
        <f t="shared" ref="K3262" si="3620">"vs "&amp;E3263</f>
        <v>vs The Guns</v>
      </c>
      <c r="L3262" s="6" t="str">
        <f t="shared" ref="L3262" si="3621">"vs "&amp;F3263</f>
        <v>vs Vasilis</v>
      </c>
      <c r="M3262">
        <v>186</v>
      </c>
      <c r="N3262" s="1">
        <v>0.505</v>
      </c>
      <c r="O3262">
        <v>49</v>
      </c>
      <c r="P3262" s="1">
        <v>0.38300000000000001</v>
      </c>
      <c r="Q3262" s="1">
        <v>0.872</v>
      </c>
      <c r="R3262">
        <v>530</v>
      </c>
      <c r="S3262">
        <v>49</v>
      </c>
      <c r="T3262">
        <v>155</v>
      </c>
      <c r="U3262">
        <v>155</v>
      </c>
      <c r="V3262">
        <v>24</v>
      </c>
      <c r="W3262">
        <v>14</v>
      </c>
      <c r="X3262">
        <v>76</v>
      </c>
      <c r="Y3262">
        <v>2.04</v>
      </c>
    </row>
    <row r="3263" spans="1:25" x14ac:dyDescent="0.25">
      <c r="A3263">
        <v>2026</v>
      </c>
      <c r="B3263" t="s">
        <v>57</v>
      </c>
      <c r="C3263">
        <v>9</v>
      </c>
      <c r="D3263">
        <v>87</v>
      </c>
      <c r="E3263" t="s">
        <v>33</v>
      </c>
      <c r="F3263" t="s">
        <v>42</v>
      </c>
      <c r="G3263">
        <f t="shared" si="3547"/>
        <v>0</v>
      </c>
      <c r="H3263">
        <v>5</v>
      </c>
      <c r="I3263">
        <v>8</v>
      </c>
      <c r="J3263">
        <v>0</v>
      </c>
      <c r="K3263" s="6" t="str">
        <f t="shared" ref="K3263" si="3622">"vs "&amp;E3262</f>
        <v>vs purple fuzzy apache pirates</v>
      </c>
      <c r="L3263" s="6" t="str">
        <f t="shared" ref="L3263" si="3623">"vs "&amp;F3262</f>
        <v>vs pi/Sotiris</v>
      </c>
      <c r="M3263">
        <v>176</v>
      </c>
      <c r="N3263" s="1">
        <v>0.499</v>
      </c>
      <c r="O3263">
        <v>58</v>
      </c>
      <c r="P3263" s="1">
        <v>0.41099999999999998</v>
      </c>
      <c r="Q3263" s="1">
        <v>0.79300000000000004</v>
      </c>
      <c r="R3263">
        <v>475</v>
      </c>
      <c r="S3263">
        <v>25</v>
      </c>
      <c r="T3263">
        <v>109</v>
      </c>
      <c r="U3263">
        <v>91</v>
      </c>
      <c r="V3263">
        <v>44</v>
      </c>
      <c r="W3263">
        <v>13</v>
      </c>
      <c r="X3263">
        <v>42</v>
      </c>
      <c r="Y3263">
        <v>2.17</v>
      </c>
    </row>
    <row r="3264" spans="1:25" x14ac:dyDescent="0.25">
      <c r="A3264">
        <v>2026</v>
      </c>
      <c r="B3264" t="s">
        <v>57</v>
      </c>
      <c r="C3264">
        <v>9</v>
      </c>
      <c r="D3264">
        <v>88</v>
      </c>
      <c r="E3264" t="s">
        <v>96</v>
      </c>
      <c r="F3264" t="s">
        <v>102</v>
      </c>
      <c r="G3264">
        <f t="shared" si="3547"/>
        <v>1</v>
      </c>
      <c r="H3264">
        <v>8</v>
      </c>
      <c r="I3264">
        <v>5</v>
      </c>
      <c r="J3264">
        <v>0</v>
      </c>
      <c r="K3264" s="6" t="str">
        <f t="shared" ref="K3264" si="3624">"vs "&amp;E3265</f>
        <v>vs Xanthi Ducks 🦆</v>
      </c>
      <c r="L3264" s="6" t="str">
        <f t="shared" ref="L3264" si="3625">"vs "&amp;F3265</f>
        <v>vs Kotakis</v>
      </c>
      <c r="M3264">
        <v>146</v>
      </c>
      <c r="N3264" s="1">
        <v>0.47399999999999998</v>
      </c>
      <c r="O3264">
        <v>36</v>
      </c>
      <c r="P3264" s="1">
        <v>0.36699999999999999</v>
      </c>
      <c r="Q3264" s="1">
        <v>0.81599999999999995</v>
      </c>
      <c r="R3264">
        <v>421</v>
      </c>
      <c r="S3264">
        <v>56</v>
      </c>
      <c r="T3264">
        <v>105</v>
      </c>
      <c r="U3264">
        <v>76</v>
      </c>
      <c r="V3264">
        <v>24</v>
      </c>
      <c r="W3264">
        <v>14</v>
      </c>
      <c r="X3264">
        <v>46</v>
      </c>
      <c r="Y3264">
        <v>1.65</v>
      </c>
    </row>
    <row r="3265" spans="1:25" x14ac:dyDescent="0.25">
      <c r="A3265">
        <v>2026</v>
      </c>
      <c r="B3265" t="s">
        <v>57</v>
      </c>
      <c r="C3265">
        <v>9</v>
      </c>
      <c r="D3265">
        <v>88</v>
      </c>
      <c r="E3265" t="s">
        <v>98</v>
      </c>
      <c r="F3265" t="s">
        <v>41</v>
      </c>
      <c r="G3265">
        <f t="shared" si="3547"/>
        <v>0</v>
      </c>
      <c r="H3265">
        <v>5</v>
      </c>
      <c r="I3265">
        <v>8</v>
      </c>
      <c r="J3265">
        <v>0</v>
      </c>
      <c r="K3265" s="6" t="str">
        <f t="shared" ref="K3265" si="3626">"vs "&amp;E3264</f>
        <v>vs Knights of Ni</v>
      </c>
      <c r="L3265" s="6" t="str">
        <f t="shared" ref="L3265" si="3627">"vs "&amp;F3264</f>
        <v>vs Tolios</v>
      </c>
      <c r="M3265">
        <v>111</v>
      </c>
      <c r="N3265" s="1">
        <v>0.49099999999999999</v>
      </c>
      <c r="O3265">
        <v>39</v>
      </c>
      <c r="P3265" s="1">
        <v>0.41499999999999998</v>
      </c>
      <c r="Q3265" s="1">
        <v>0.81299999999999994</v>
      </c>
      <c r="R3265">
        <v>287</v>
      </c>
      <c r="S3265">
        <v>27</v>
      </c>
      <c r="T3265">
        <v>80</v>
      </c>
      <c r="U3265">
        <v>60</v>
      </c>
      <c r="V3265">
        <v>14</v>
      </c>
      <c r="W3265">
        <v>12</v>
      </c>
      <c r="X3265">
        <v>30</v>
      </c>
      <c r="Y3265">
        <v>2</v>
      </c>
    </row>
    <row r="3266" spans="1:25" x14ac:dyDescent="0.25">
      <c r="A3266">
        <v>2026</v>
      </c>
      <c r="B3266" t="s">
        <v>57</v>
      </c>
      <c r="C3266">
        <v>9</v>
      </c>
      <c r="D3266">
        <v>89</v>
      </c>
      <c r="E3266" t="s">
        <v>93</v>
      </c>
      <c r="F3266" t="s">
        <v>189</v>
      </c>
      <c r="G3266">
        <f t="shared" si="3547"/>
        <v>0</v>
      </c>
      <c r="H3266">
        <v>3</v>
      </c>
      <c r="I3266">
        <v>10</v>
      </c>
      <c r="J3266">
        <v>0</v>
      </c>
      <c r="K3266" s="6" t="str">
        <f t="shared" ref="K3266" si="3628">"vs "&amp;E3267</f>
        <v>vs Kourayo Vallecano</v>
      </c>
      <c r="L3266" s="6" t="str">
        <f t="shared" ref="L3266" si="3629">"vs "&amp;F3267</f>
        <v>vs Ziogas/Christof</v>
      </c>
      <c r="M3266">
        <v>155</v>
      </c>
      <c r="N3266" s="1">
        <v>0.42599999999999999</v>
      </c>
      <c r="O3266">
        <v>35</v>
      </c>
      <c r="P3266" s="1">
        <v>0.26500000000000001</v>
      </c>
      <c r="Q3266" s="1">
        <v>0.86</v>
      </c>
      <c r="R3266">
        <v>431</v>
      </c>
      <c r="S3266">
        <v>38</v>
      </c>
      <c r="T3266">
        <v>104</v>
      </c>
      <c r="U3266">
        <v>91</v>
      </c>
      <c r="V3266">
        <v>29</v>
      </c>
      <c r="W3266">
        <v>15</v>
      </c>
      <c r="X3266">
        <v>45</v>
      </c>
      <c r="Y3266">
        <v>2.02</v>
      </c>
    </row>
    <row r="3267" spans="1:25" x14ac:dyDescent="0.25">
      <c r="A3267">
        <v>2026</v>
      </c>
      <c r="B3267" t="s">
        <v>57</v>
      </c>
      <c r="C3267">
        <v>9</v>
      </c>
      <c r="D3267">
        <v>89</v>
      </c>
      <c r="E3267" t="s">
        <v>26</v>
      </c>
      <c r="F3267" t="s">
        <v>118</v>
      </c>
      <c r="G3267">
        <f t="shared" si="3547"/>
        <v>1</v>
      </c>
      <c r="H3267">
        <v>10</v>
      </c>
      <c r="I3267">
        <v>3</v>
      </c>
      <c r="J3267">
        <v>0</v>
      </c>
      <c r="K3267" s="6" t="str">
        <f t="shared" ref="K3267" si="3630">"vs "&amp;E3266</f>
        <v>vs Guruuu 🐐🐐🐐</v>
      </c>
      <c r="L3267" s="6" t="str">
        <f t="shared" ref="L3267" si="3631">"vs "&amp;F3266</f>
        <v>vs Guru</v>
      </c>
      <c r="M3267">
        <v>173</v>
      </c>
      <c r="N3267" s="1">
        <v>0.45500000000000002</v>
      </c>
      <c r="O3267">
        <v>46</v>
      </c>
      <c r="P3267" s="1">
        <v>0.32900000000000001</v>
      </c>
      <c r="Q3267" s="1">
        <v>0.78</v>
      </c>
      <c r="R3267">
        <v>477</v>
      </c>
      <c r="S3267">
        <v>70</v>
      </c>
      <c r="T3267">
        <v>155</v>
      </c>
      <c r="U3267">
        <v>131</v>
      </c>
      <c r="V3267">
        <v>34</v>
      </c>
      <c r="W3267">
        <v>13</v>
      </c>
      <c r="X3267">
        <v>59</v>
      </c>
      <c r="Y3267">
        <v>2.2200000000000002</v>
      </c>
    </row>
    <row r="3268" spans="1:25" x14ac:dyDescent="0.25">
      <c r="A3268">
        <v>2026</v>
      </c>
      <c r="B3268" t="s">
        <v>57</v>
      </c>
      <c r="C3268">
        <v>9</v>
      </c>
      <c r="D3268">
        <v>90</v>
      </c>
      <c r="E3268" t="s">
        <v>184</v>
      </c>
      <c r="F3268" t="s">
        <v>188</v>
      </c>
      <c r="G3268">
        <f t="shared" si="3547"/>
        <v>0</v>
      </c>
      <c r="H3268">
        <v>2</v>
      </c>
      <c r="I3268">
        <v>11</v>
      </c>
      <c r="J3268">
        <v>0</v>
      </c>
      <c r="K3268" s="6" t="str">
        <f t="shared" ref="K3268" si="3632">"vs "&amp;E3269</f>
        <v>vs The Bridgeburners</v>
      </c>
      <c r="L3268" s="6" t="str">
        <f t="shared" ref="L3268" si="3633">"vs "&amp;F3269</f>
        <v>vs Fanis</v>
      </c>
      <c r="M3268">
        <v>88</v>
      </c>
      <c r="N3268" s="1">
        <v>0.40200000000000002</v>
      </c>
      <c r="O3268">
        <v>32</v>
      </c>
      <c r="P3268" s="1">
        <v>0.314</v>
      </c>
      <c r="Q3268" s="1">
        <v>0.81299999999999994</v>
      </c>
      <c r="R3268">
        <v>247</v>
      </c>
      <c r="S3268">
        <v>25</v>
      </c>
      <c r="T3268">
        <v>68</v>
      </c>
      <c r="U3268">
        <v>40</v>
      </c>
      <c r="V3268">
        <v>19</v>
      </c>
      <c r="W3268">
        <v>3</v>
      </c>
      <c r="X3268">
        <v>40</v>
      </c>
      <c r="Y3268">
        <v>1</v>
      </c>
    </row>
    <row r="3269" spans="1:25" x14ac:dyDescent="0.25">
      <c r="A3269">
        <v>2026</v>
      </c>
      <c r="B3269" t="s">
        <v>57</v>
      </c>
      <c r="C3269">
        <v>9</v>
      </c>
      <c r="D3269">
        <v>90</v>
      </c>
      <c r="E3269" t="s">
        <v>16</v>
      </c>
      <c r="F3269" t="s">
        <v>51</v>
      </c>
      <c r="G3269">
        <f t="shared" si="3547"/>
        <v>1</v>
      </c>
      <c r="H3269">
        <v>11</v>
      </c>
      <c r="I3269">
        <v>2</v>
      </c>
      <c r="J3269">
        <v>0</v>
      </c>
      <c r="K3269" s="6" t="str">
        <f t="shared" ref="K3269" si="3634">"vs "&amp;E3268</f>
        <v>vs Heraklion Snakes</v>
      </c>
      <c r="L3269" s="6" t="str">
        <f t="shared" ref="L3269" si="3635">"vs "&amp;F3268</f>
        <v>vs Dimitris</v>
      </c>
      <c r="M3269">
        <v>134</v>
      </c>
      <c r="N3269" s="1">
        <v>0.48199999999999998</v>
      </c>
      <c r="O3269">
        <v>41</v>
      </c>
      <c r="P3269" s="1">
        <v>0.39400000000000002</v>
      </c>
      <c r="Q3269" s="1">
        <v>0.76900000000000002</v>
      </c>
      <c r="R3269">
        <v>359</v>
      </c>
      <c r="S3269">
        <v>33</v>
      </c>
      <c r="T3269">
        <v>104</v>
      </c>
      <c r="U3269">
        <v>100</v>
      </c>
      <c r="V3269">
        <v>29</v>
      </c>
      <c r="W3269">
        <v>11</v>
      </c>
      <c r="X3269">
        <v>46</v>
      </c>
      <c r="Y3269">
        <v>2.17</v>
      </c>
    </row>
    <row r="3270" spans="1:25" x14ac:dyDescent="0.25">
      <c r="A3270">
        <v>2026</v>
      </c>
      <c r="B3270" t="s">
        <v>57</v>
      </c>
      <c r="C3270">
        <v>10</v>
      </c>
      <c r="D3270">
        <v>91</v>
      </c>
      <c r="E3270" t="s">
        <v>158</v>
      </c>
      <c r="F3270" t="s">
        <v>177</v>
      </c>
      <c r="G3270">
        <f t="shared" si="3547"/>
        <v>1</v>
      </c>
      <c r="H3270">
        <v>8</v>
      </c>
      <c r="I3270">
        <v>4</v>
      </c>
      <c r="J3270">
        <v>1</v>
      </c>
      <c r="K3270" s="6" t="str">
        <f t="shared" ref="K3270" si="3636">"vs "&amp;E3271</f>
        <v>vs Paralouistas</v>
      </c>
      <c r="L3270" s="6" t="str">
        <f t="shared" ref="L3270" si="3637">"vs "&amp;F3271</f>
        <v>vs Panos</v>
      </c>
      <c r="M3270">
        <v>230</v>
      </c>
      <c r="N3270" s="1">
        <v>0.501</v>
      </c>
      <c r="O3270">
        <v>49</v>
      </c>
      <c r="P3270" s="1">
        <v>0.33800000000000002</v>
      </c>
      <c r="Q3270" s="1">
        <v>0.73799999999999999</v>
      </c>
      <c r="R3270">
        <v>647</v>
      </c>
      <c r="S3270">
        <v>27</v>
      </c>
      <c r="T3270">
        <v>162</v>
      </c>
      <c r="U3270">
        <v>141</v>
      </c>
      <c r="V3270">
        <v>28</v>
      </c>
      <c r="W3270">
        <v>31</v>
      </c>
      <c r="X3270">
        <v>71</v>
      </c>
      <c r="Y3270">
        <v>1.99</v>
      </c>
    </row>
    <row r="3271" spans="1:25" x14ac:dyDescent="0.25">
      <c r="A3271">
        <v>2026</v>
      </c>
      <c r="B3271" t="s">
        <v>57</v>
      </c>
      <c r="C3271">
        <v>10</v>
      </c>
      <c r="D3271">
        <v>91</v>
      </c>
      <c r="E3271" t="s">
        <v>185</v>
      </c>
      <c r="F3271" t="s">
        <v>100</v>
      </c>
      <c r="G3271">
        <f t="shared" si="3547"/>
        <v>0</v>
      </c>
      <c r="H3271">
        <v>4</v>
      </c>
      <c r="I3271">
        <v>8</v>
      </c>
      <c r="J3271">
        <v>1</v>
      </c>
      <c r="K3271" s="6" t="str">
        <f t="shared" ref="K3271" si="3638">"vs "&amp;E3270</f>
        <v>vs LRBP PR3DATORS</v>
      </c>
      <c r="L3271" s="6" t="str">
        <f t="shared" ref="L3271" si="3639">"vs "&amp;F3270</f>
        <v>vs Lafa</v>
      </c>
      <c r="M3271">
        <v>151</v>
      </c>
      <c r="N3271" s="1">
        <v>0.40799999999999997</v>
      </c>
      <c r="O3271">
        <v>54</v>
      </c>
      <c r="P3271" s="1">
        <v>0.375</v>
      </c>
      <c r="Q3271" s="1">
        <v>0.84099999999999997</v>
      </c>
      <c r="R3271">
        <v>414</v>
      </c>
      <c r="S3271">
        <v>27</v>
      </c>
      <c r="T3271">
        <v>94</v>
      </c>
      <c r="U3271">
        <v>101</v>
      </c>
      <c r="V3271">
        <v>27</v>
      </c>
      <c r="W3271">
        <v>20</v>
      </c>
      <c r="X3271">
        <v>52</v>
      </c>
      <c r="Y3271">
        <v>1.94</v>
      </c>
    </row>
    <row r="3272" spans="1:25" x14ac:dyDescent="0.25">
      <c r="A3272">
        <v>2026</v>
      </c>
      <c r="B3272" t="s">
        <v>57</v>
      </c>
      <c r="C3272">
        <v>10</v>
      </c>
      <c r="D3272">
        <v>92</v>
      </c>
      <c r="E3272" t="s">
        <v>21</v>
      </c>
      <c r="F3272" t="s">
        <v>50</v>
      </c>
      <c r="G3272">
        <f t="shared" si="3547"/>
        <v>1</v>
      </c>
      <c r="H3272">
        <v>11</v>
      </c>
      <c r="I3272">
        <v>2</v>
      </c>
      <c r="J3272">
        <v>0</v>
      </c>
      <c r="K3272" s="6" t="str">
        <f t="shared" ref="K3272" si="3640">"vs "&amp;E3273</f>
        <v>vs Steven Adams' Moustache</v>
      </c>
      <c r="L3272" s="6" t="str">
        <f t="shared" ref="L3272" si="3641">"vs "&amp;F3273</f>
        <v>vs Johnny</v>
      </c>
      <c r="M3272">
        <v>195</v>
      </c>
      <c r="N3272" s="1">
        <v>0.51900000000000002</v>
      </c>
      <c r="O3272">
        <v>55</v>
      </c>
      <c r="P3272" s="1">
        <v>0.44700000000000001</v>
      </c>
      <c r="Q3272" s="1">
        <v>0.76900000000000002</v>
      </c>
      <c r="R3272">
        <v>515</v>
      </c>
      <c r="S3272">
        <v>38</v>
      </c>
      <c r="T3272">
        <v>135</v>
      </c>
      <c r="U3272">
        <v>93</v>
      </c>
      <c r="V3272">
        <v>29</v>
      </c>
      <c r="W3272">
        <v>28</v>
      </c>
      <c r="X3272">
        <v>47</v>
      </c>
      <c r="Y3272">
        <v>1.98</v>
      </c>
    </row>
    <row r="3273" spans="1:25" x14ac:dyDescent="0.25">
      <c r="A3273">
        <v>2026</v>
      </c>
      <c r="B3273" t="s">
        <v>57</v>
      </c>
      <c r="C3273">
        <v>10</v>
      </c>
      <c r="D3273">
        <v>92</v>
      </c>
      <c r="E3273" t="s">
        <v>28</v>
      </c>
      <c r="F3273" t="s">
        <v>46</v>
      </c>
      <c r="G3273">
        <f t="shared" si="3547"/>
        <v>0</v>
      </c>
      <c r="H3273">
        <v>2</v>
      </c>
      <c r="I3273">
        <v>11</v>
      </c>
      <c r="J3273">
        <v>0</v>
      </c>
      <c r="K3273" s="6" t="str">
        <f t="shared" ref="K3273" si="3642">"vs "&amp;E3272</f>
        <v>vs st.Helens Eruptions</v>
      </c>
      <c r="L3273" s="6" t="str">
        <f t="shared" ref="L3273" si="3643">"vs "&amp;F3272</f>
        <v>vs Aris</v>
      </c>
      <c r="M3273">
        <v>104</v>
      </c>
      <c r="N3273" s="1">
        <v>0.43</v>
      </c>
      <c r="O3273">
        <v>38</v>
      </c>
      <c r="P3273" s="1">
        <v>0.30599999999999999</v>
      </c>
      <c r="Q3273" s="1">
        <v>0.76</v>
      </c>
      <c r="R3273">
        <v>303</v>
      </c>
      <c r="S3273">
        <v>21</v>
      </c>
      <c r="T3273">
        <v>74</v>
      </c>
      <c r="U3273">
        <v>56</v>
      </c>
      <c r="V3273">
        <v>14</v>
      </c>
      <c r="W3273">
        <v>16</v>
      </c>
      <c r="X3273">
        <v>23</v>
      </c>
      <c r="Y3273">
        <v>2.4300000000000002</v>
      </c>
    </row>
    <row r="3274" spans="1:25" x14ac:dyDescent="0.25">
      <c r="A3274">
        <v>2026</v>
      </c>
      <c r="B3274" t="s">
        <v>57</v>
      </c>
      <c r="C3274">
        <v>10</v>
      </c>
      <c r="D3274">
        <v>93</v>
      </c>
      <c r="E3274" t="s">
        <v>23</v>
      </c>
      <c r="F3274" t="s">
        <v>120</v>
      </c>
      <c r="G3274">
        <f t="shared" si="3547"/>
        <v>1</v>
      </c>
      <c r="H3274">
        <v>12</v>
      </c>
      <c r="I3274">
        <v>1</v>
      </c>
      <c r="J3274">
        <v>0</v>
      </c>
      <c r="K3274" s="6" t="str">
        <f t="shared" ref="K3274" si="3644">"vs "&amp;E3275</f>
        <v>vs Salonika Devils</v>
      </c>
      <c r="L3274" s="6" t="str">
        <f t="shared" ref="L3274" si="3645">"vs "&amp;F3275</f>
        <v>vs Fountos</v>
      </c>
      <c r="M3274">
        <v>170</v>
      </c>
      <c r="N3274" s="1">
        <v>0.49299999999999999</v>
      </c>
      <c r="O3274">
        <v>60</v>
      </c>
      <c r="P3274" s="1">
        <v>0.41399999999999998</v>
      </c>
      <c r="Q3274" s="1">
        <v>0.83699999999999997</v>
      </c>
      <c r="R3274">
        <v>472</v>
      </c>
      <c r="S3274">
        <v>36</v>
      </c>
      <c r="T3274">
        <v>142</v>
      </c>
      <c r="U3274">
        <v>120</v>
      </c>
      <c r="V3274">
        <v>29</v>
      </c>
      <c r="W3274">
        <v>17</v>
      </c>
      <c r="X3274">
        <v>50</v>
      </c>
      <c r="Y3274">
        <v>2.4</v>
      </c>
    </row>
    <row r="3275" spans="1:25" x14ac:dyDescent="0.25">
      <c r="A3275">
        <v>2026</v>
      </c>
      <c r="B3275" t="s">
        <v>57</v>
      </c>
      <c r="C3275">
        <v>10</v>
      </c>
      <c r="D3275">
        <v>93</v>
      </c>
      <c r="E3275" t="s">
        <v>15</v>
      </c>
      <c r="F3275" t="s">
        <v>48</v>
      </c>
      <c r="G3275">
        <f t="shared" si="3547"/>
        <v>0</v>
      </c>
      <c r="H3275">
        <v>1</v>
      </c>
      <c r="I3275">
        <v>12</v>
      </c>
      <c r="J3275">
        <v>0</v>
      </c>
      <c r="K3275" s="6" t="str">
        <f t="shared" ref="K3275" si="3646">"vs "&amp;E3274</f>
        <v>vs Pachiana NinjaBees</v>
      </c>
      <c r="L3275" s="6" t="str">
        <f t="shared" ref="L3275" si="3647">"vs "&amp;F3274</f>
        <v>vs Spiridaus/Oladipas</v>
      </c>
      <c r="M3275">
        <v>105</v>
      </c>
      <c r="N3275" s="1">
        <v>0.46500000000000002</v>
      </c>
      <c r="O3275">
        <v>33</v>
      </c>
      <c r="P3275" s="1">
        <v>0.39300000000000002</v>
      </c>
      <c r="Q3275" s="1">
        <v>0.76900000000000002</v>
      </c>
      <c r="R3275">
        <v>283</v>
      </c>
      <c r="S3275">
        <v>33</v>
      </c>
      <c r="T3275">
        <v>87</v>
      </c>
      <c r="U3275">
        <v>75</v>
      </c>
      <c r="V3275">
        <v>28</v>
      </c>
      <c r="W3275">
        <v>10</v>
      </c>
      <c r="X3275">
        <v>40</v>
      </c>
      <c r="Y3275">
        <v>1.88</v>
      </c>
    </row>
    <row r="3276" spans="1:25" x14ac:dyDescent="0.25">
      <c r="A3276">
        <v>2026</v>
      </c>
      <c r="B3276" t="s">
        <v>57</v>
      </c>
      <c r="C3276">
        <v>10</v>
      </c>
      <c r="D3276">
        <v>94</v>
      </c>
      <c r="E3276" t="s">
        <v>186</v>
      </c>
      <c r="F3276" t="s">
        <v>103</v>
      </c>
      <c r="G3276">
        <f t="shared" si="3547"/>
        <v>1</v>
      </c>
      <c r="H3276">
        <v>11</v>
      </c>
      <c r="I3276">
        <v>2</v>
      </c>
      <c r="J3276">
        <v>0</v>
      </c>
      <c r="K3276" s="6" t="str">
        <f t="shared" ref="K3276" si="3648">"vs "&amp;E3277</f>
        <v>vs Samarina Dudenbros</v>
      </c>
      <c r="L3276" s="6" t="str">
        <f t="shared" ref="L3276" si="3649">"vs "&amp;F3277</f>
        <v>vs Sakellariou</v>
      </c>
      <c r="M3276">
        <v>272</v>
      </c>
      <c r="N3276" s="1">
        <v>0.50700000000000001</v>
      </c>
      <c r="O3276">
        <v>61</v>
      </c>
      <c r="P3276" s="1">
        <v>0.36499999999999999</v>
      </c>
      <c r="Q3276" s="1">
        <v>0.86299999999999999</v>
      </c>
      <c r="R3276">
        <v>731</v>
      </c>
      <c r="S3276">
        <v>35</v>
      </c>
      <c r="T3276">
        <v>195</v>
      </c>
      <c r="U3276">
        <v>193</v>
      </c>
      <c r="V3276">
        <v>37</v>
      </c>
      <c r="W3276">
        <v>39</v>
      </c>
      <c r="X3276">
        <v>84</v>
      </c>
      <c r="Y3276">
        <v>2.2999999999999998</v>
      </c>
    </row>
    <row r="3277" spans="1:25" x14ac:dyDescent="0.25">
      <c r="A3277">
        <v>2026</v>
      </c>
      <c r="B3277" t="s">
        <v>57</v>
      </c>
      <c r="C3277">
        <v>10</v>
      </c>
      <c r="D3277">
        <v>94</v>
      </c>
      <c r="E3277" t="s">
        <v>181</v>
      </c>
      <c r="F3277" t="s">
        <v>49</v>
      </c>
      <c r="G3277">
        <f t="shared" si="3547"/>
        <v>0</v>
      </c>
      <c r="H3277">
        <v>2</v>
      </c>
      <c r="I3277">
        <v>11</v>
      </c>
      <c r="J3277">
        <v>0</v>
      </c>
      <c r="K3277" s="6" t="str">
        <f t="shared" ref="K3277" si="3650">"vs "&amp;E3276</f>
        <v>vs Karafli Saita</v>
      </c>
      <c r="L3277" s="6" t="str">
        <f t="shared" ref="L3277" si="3651">"vs "&amp;F3276</f>
        <v>vs Tassos</v>
      </c>
      <c r="M3277">
        <v>195</v>
      </c>
      <c r="N3277" s="1">
        <v>0.44900000000000001</v>
      </c>
      <c r="O3277">
        <v>57</v>
      </c>
      <c r="P3277" s="1">
        <v>0.308</v>
      </c>
      <c r="Q3277" s="1">
        <v>0.81299999999999994</v>
      </c>
      <c r="R3277">
        <v>577</v>
      </c>
      <c r="S3277">
        <v>34</v>
      </c>
      <c r="T3277">
        <v>157</v>
      </c>
      <c r="U3277">
        <v>134</v>
      </c>
      <c r="V3277">
        <v>45</v>
      </c>
      <c r="W3277">
        <v>14</v>
      </c>
      <c r="X3277">
        <v>65</v>
      </c>
      <c r="Y3277">
        <v>2.06</v>
      </c>
    </row>
    <row r="3278" spans="1:25" x14ac:dyDescent="0.25">
      <c r="A3278">
        <v>2026</v>
      </c>
      <c r="B3278" t="s">
        <v>57</v>
      </c>
      <c r="C3278">
        <v>10</v>
      </c>
      <c r="D3278">
        <v>95</v>
      </c>
      <c r="E3278" t="s">
        <v>94</v>
      </c>
      <c r="F3278" t="s">
        <v>40</v>
      </c>
      <c r="G3278">
        <f t="shared" si="3547"/>
        <v>1</v>
      </c>
      <c r="H3278">
        <v>8</v>
      </c>
      <c r="I3278">
        <v>5</v>
      </c>
      <c r="J3278">
        <v>0</v>
      </c>
      <c r="K3278" s="6" t="str">
        <f t="shared" ref="K3278" si="3652">"vs "&amp;E3279</f>
        <v>vs The Bad Boys</v>
      </c>
      <c r="L3278" s="6" t="str">
        <f t="shared" ref="L3278" si="3653">"vs "&amp;F3279</f>
        <v>vs Arvanitis</v>
      </c>
      <c r="M3278">
        <v>168</v>
      </c>
      <c r="N3278" s="1">
        <v>0.51900000000000002</v>
      </c>
      <c r="O3278">
        <v>43</v>
      </c>
      <c r="P3278" s="1">
        <v>0.33900000000000002</v>
      </c>
      <c r="Q3278" s="1">
        <v>0.84399999999999997</v>
      </c>
      <c r="R3278">
        <v>433</v>
      </c>
      <c r="S3278">
        <v>24</v>
      </c>
      <c r="T3278">
        <v>106</v>
      </c>
      <c r="U3278">
        <v>133</v>
      </c>
      <c r="V3278">
        <v>18</v>
      </c>
      <c r="W3278">
        <v>22</v>
      </c>
      <c r="X3278">
        <v>55</v>
      </c>
      <c r="Y3278">
        <v>2.42</v>
      </c>
    </row>
    <row r="3279" spans="1:25" x14ac:dyDescent="0.25">
      <c r="A3279">
        <v>2026</v>
      </c>
      <c r="B3279" t="s">
        <v>57</v>
      </c>
      <c r="C3279">
        <v>10</v>
      </c>
      <c r="D3279">
        <v>95</v>
      </c>
      <c r="E3279" t="s">
        <v>154</v>
      </c>
      <c r="F3279" t="s">
        <v>155</v>
      </c>
      <c r="G3279">
        <f t="shared" si="3547"/>
        <v>0</v>
      </c>
      <c r="H3279">
        <v>5</v>
      </c>
      <c r="I3279">
        <v>8</v>
      </c>
      <c r="J3279">
        <v>0</v>
      </c>
      <c r="K3279" s="6" t="str">
        <f t="shared" ref="K3279" si="3654">"vs "&amp;E3278</f>
        <v>vs Fighting Thaddeus</v>
      </c>
      <c r="L3279" s="6" t="str">
        <f t="shared" ref="L3279" si="3655">"vs "&amp;F3278</f>
        <v>vs Stavros</v>
      </c>
      <c r="M3279">
        <v>185</v>
      </c>
      <c r="N3279" s="1">
        <v>0.432</v>
      </c>
      <c r="O3279">
        <v>38</v>
      </c>
      <c r="P3279" s="1">
        <v>0.26200000000000001</v>
      </c>
      <c r="Q3279" s="1">
        <v>0.81499999999999995</v>
      </c>
      <c r="R3279">
        <v>514</v>
      </c>
      <c r="S3279">
        <v>34</v>
      </c>
      <c r="T3279">
        <v>124</v>
      </c>
      <c r="U3279">
        <v>126</v>
      </c>
      <c r="V3279">
        <v>34</v>
      </c>
      <c r="W3279">
        <v>15</v>
      </c>
      <c r="X3279">
        <v>59</v>
      </c>
      <c r="Y3279">
        <v>2.14</v>
      </c>
    </row>
    <row r="3280" spans="1:25" x14ac:dyDescent="0.25">
      <c r="A3280">
        <v>2026</v>
      </c>
      <c r="B3280" t="s">
        <v>57</v>
      </c>
      <c r="C3280">
        <v>10</v>
      </c>
      <c r="D3280">
        <v>96</v>
      </c>
      <c r="E3280" t="s">
        <v>201</v>
      </c>
      <c r="F3280" t="s">
        <v>227</v>
      </c>
      <c r="G3280">
        <f t="shared" si="3547"/>
        <v>0</v>
      </c>
      <c r="H3280">
        <v>6</v>
      </c>
      <c r="I3280">
        <v>7</v>
      </c>
      <c r="J3280">
        <v>0</v>
      </c>
      <c r="K3280" s="6" t="str">
        <f t="shared" ref="K3280" si="3656">"vs "&amp;E3281</f>
        <v>vs purple fuzzy apache pirates</v>
      </c>
      <c r="L3280" s="6" t="str">
        <f t="shared" ref="L3280" si="3657">"vs "&amp;F3281</f>
        <v>vs pi/Sotiris</v>
      </c>
      <c r="M3280">
        <v>153</v>
      </c>
      <c r="N3280" s="1">
        <v>0.45400000000000001</v>
      </c>
      <c r="O3280">
        <v>59</v>
      </c>
      <c r="P3280" s="1">
        <v>0.36899999999999999</v>
      </c>
      <c r="Q3280" s="1">
        <v>0.55700000000000005</v>
      </c>
      <c r="R3280">
        <v>399</v>
      </c>
      <c r="S3280">
        <v>69</v>
      </c>
      <c r="T3280">
        <v>139</v>
      </c>
      <c r="U3280">
        <v>92</v>
      </c>
      <c r="V3280">
        <v>30</v>
      </c>
      <c r="W3280">
        <v>24</v>
      </c>
      <c r="X3280">
        <v>50</v>
      </c>
      <c r="Y3280">
        <v>1.84</v>
      </c>
    </row>
    <row r="3281" spans="1:25" x14ac:dyDescent="0.25">
      <c r="A3281">
        <v>2026</v>
      </c>
      <c r="B3281" t="s">
        <v>57</v>
      </c>
      <c r="C3281">
        <v>10</v>
      </c>
      <c r="D3281">
        <v>96</v>
      </c>
      <c r="E3281" t="s">
        <v>159</v>
      </c>
      <c r="F3281" t="s">
        <v>116</v>
      </c>
      <c r="G3281">
        <f t="shared" si="3547"/>
        <v>1</v>
      </c>
      <c r="H3281">
        <v>7</v>
      </c>
      <c r="I3281">
        <v>6</v>
      </c>
      <c r="J3281">
        <v>0</v>
      </c>
      <c r="K3281" s="6" t="str">
        <f t="shared" ref="K3281" si="3658">"vs "&amp;E3280</f>
        <v>vs Hércules Pals</v>
      </c>
      <c r="L3281" s="6" t="str">
        <f t="shared" ref="L3281" si="3659">"vs "&amp;F3280</f>
        <v>vs Pals</v>
      </c>
      <c r="M3281">
        <v>159</v>
      </c>
      <c r="N3281" s="1">
        <v>0.57199999999999995</v>
      </c>
      <c r="O3281">
        <v>38</v>
      </c>
      <c r="P3281" s="1">
        <v>0.41299999999999998</v>
      </c>
      <c r="Q3281" s="1">
        <v>0.79</v>
      </c>
      <c r="R3281">
        <v>439</v>
      </c>
      <c r="S3281">
        <v>36</v>
      </c>
      <c r="T3281">
        <v>99</v>
      </c>
      <c r="U3281">
        <v>87</v>
      </c>
      <c r="V3281">
        <v>17</v>
      </c>
      <c r="W3281">
        <v>5</v>
      </c>
      <c r="X3281">
        <v>47</v>
      </c>
      <c r="Y3281">
        <v>1.85</v>
      </c>
    </row>
    <row r="3282" spans="1:25" x14ac:dyDescent="0.25">
      <c r="A3282">
        <v>2026</v>
      </c>
      <c r="B3282" t="s">
        <v>57</v>
      </c>
      <c r="C3282">
        <v>10</v>
      </c>
      <c r="D3282">
        <v>97</v>
      </c>
      <c r="E3282" t="s">
        <v>99</v>
      </c>
      <c r="F3282" t="s">
        <v>45</v>
      </c>
      <c r="G3282">
        <f t="shared" si="3547"/>
        <v>0</v>
      </c>
      <c r="H3282">
        <v>6</v>
      </c>
      <c r="I3282">
        <v>7</v>
      </c>
      <c r="J3282">
        <v>0</v>
      </c>
      <c r="K3282" s="6" t="str">
        <f t="shared" ref="K3282" si="3660">"vs "&amp;E3283</f>
        <v>vs Knights of Ni</v>
      </c>
      <c r="L3282" s="6" t="str">
        <f t="shared" ref="L3282" si="3661">"vs "&amp;F3283</f>
        <v>vs Tolios</v>
      </c>
      <c r="M3282">
        <v>162</v>
      </c>
      <c r="N3282" s="1">
        <v>0.497</v>
      </c>
      <c r="O3282">
        <v>48</v>
      </c>
      <c r="P3282" s="1">
        <v>0.375</v>
      </c>
      <c r="Q3282" s="1">
        <v>0.79700000000000004</v>
      </c>
      <c r="R3282">
        <v>435</v>
      </c>
      <c r="S3282">
        <v>46</v>
      </c>
      <c r="T3282">
        <v>126</v>
      </c>
      <c r="U3282">
        <v>88</v>
      </c>
      <c r="V3282">
        <v>23</v>
      </c>
      <c r="W3282">
        <v>20</v>
      </c>
      <c r="X3282">
        <v>37</v>
      </c>
      <c r="Y3282">
        <v>2.38</v>
      </c>
    </row>
    <row r="3283" spans="1:25" x14ac:dyDescent="0.25">
      <c r="A3283">
        <v>2026</v>
      </c>
      <c r="B3283" t="s">
        <v>57</v>
      </c>
      <c r="C3283">
        <v>10</v>
      </c>
      <c r="D3283">
        <v>97</v>
      </c>
      <c r="E3283" t="s">
        <v>96</v>
      </c>
      <c r="F3283" t="s">
        <v>102</v>
      </c>
      <c r="G3283">
        <f t="shared" si="3547"/>
        <v>1</v>
      </c>
      <c r="H3283">
        <v>7</v>
      </c>
      <c r="I3283">
        <v>6</v>
      </c>
      <c r="J3283">
        <v>0</v>
      </c>
      <c r="K3283" s="6" t="str">
        <f t="shared" ref="K3283" si="3662">"vs "&amp;E3282</f>
        <v>vs Tsarlatans</v>
      </c>
      <c r="L3283" s="6" t="str">
        <f t="shared" ref="L3283" si="3663">"vs "&amp;F3282</f>
        <v>vs Tzokos</v>
      </c>
      <c r="M3283">
        <v>174</v>
      </c>
      <c r="N3283" s="1">
        <v>0.45300000000000001</v>
      </c>
      <c r="O3283">
        <v>44</v>
      </c>
      <c r="P3283" s="1">
        <v>0.32100000000000001</v>
      </c>
      <c r="Q3283" s="1">
        <v>0.83499999999999996</v>
      </c>
      <c r="R3283">
        <v>503</v>
      </c>
      <c r="S3283">
        <v>49</v>
      </c>
      <c r="T3283">
        <v>125</v>
      </c>
      <c r="U3283">
        <v>114</v>
      </c>
      <c r="V3283">
        <v>35</v>
      </c>
      <c r="W3283">
        <v>21</v>
      </c>
      <c r="X3283">
        <v>62</v>
      </c>
      <c r="Y3283">
        <v>1.84</v>
      </c>
    </row>
    <row r="3284" spans="1:25" x14ac:dyDescent="0.25">
      <c r="A3284">
        <v>2026</v>
      </c>
      <c r="B3284" t="s">
        <v>57</v>
      </c>
      <c r="C3284">
        <v>10</v>
      </c>
      <c r="D3284">
        <v>98</v>
      </c>
      <c r="E3284" t="s">
        <v>33</v>
      </c>
      <c r="F3284" t="s">
        <v>42</v>
      </c>
      <c r="G3284">
        <f t="shared" si="3547"/>
        <v>0</v>
      </c>
      <c r="H3284">
        <v>6</v>
      </c>
      <c r="I3284">
        <v>7</v>
      </c>
      <c r="J3284">
        <v>0</v>
      </c>
      <c r="K3284" s="6" t="str">
        <f t="shared" ref="K3284" si="3664">"vs "&amp;E3285</f>
        <v>vs Guruuu 🐐🐐🐐</v>
      </c>
      <c r="L3284" s="6" t="str">
        <f t="shared" ref="L3284" si="3665">"vs "&amp;F3285</f>
        <v>vs Guru</v>
      </c>
      <c r="M3284">
        <v>187</v>
      </c>
      <c r="N3284" s="1">
        <v>0.48199999999999998</v>
      </c>
      <c r="O3284">
        <v>73</v>
      </c>
      <c r="P3284" s="1">
        <v>0.38600000000000001</v>
      </c>
      <c r="Q3284" s="1">
        <v>0.89700000000000002</v>
      </c>
      <c r="R3284">
        <v>525</v>
      </c>
      <c r="S3284">
        <v>13</v>
      </c>
      <c r="T3284">
        <v>129</v>
      </c>
      <c r="U3284">
        <v>116</v>
      </c>
      <c r="V3284">
        <v>30</v>
      </c>
      <c r="W3284">
        <v>22</v>
      </c>
      <c r="X3284">
        <v>66</v>
      </c>
      <c r="Y3284">
        <v>1.76</v>
      </c>
    </row>
    <row r="3285" spans="1:25" x14ac:dyDescent="0.25">
      <c r="A3285">
        <v>2026</v>
      </c>
      <c r="B3285" t="s">
        <v>57</v>
      </c>
      <c r="C3285">
        <v>10</v>
      </c>
      <c r="D3285">
        <v>98</v>
      </c>
      <c r="E3285" t="s">
        <v>93</v>
      </c>
      <c r="F3285" t="s">
        <v>189</v>
      </c>
      <c r="G3285">
        <f t="shared" si="3547"/>
        <v>1</v>
      </c>
      <c r="H3285">
        <v>7</v>
      </c>
      <c r="I3285">
        <v>6</v>
      </c>
      <c r="J3285">
        <v>0</v>
      </c>
      <c r="K3285" s="6" t="str">
        <f t="shared" ref="K3285" si="3666">"vs "&amp;E3284</f>
        <v>vs The Guns</v>
      </c>
      <c r="L3285" s="6" t="str">
        <f t="shared" ref="L3285" si="3667">"vs "&amp;F3284</f>
        <v>vs Vasilis</v>
      </c>
      <c r="M3285">
        <v>216</v>
      </c>
      <c r="N3285" s="1">
        <v>0.47699999999999998</v>
      </c>
      <c r="O3285">
        <v>80</v>
      </c>
      <c r="P3285" s="1">
        <v>0.40400000000000003</v>
      </c>
      <c r="Q3285" s="1">
        <v>0.83199999999999996</v>
      </c>
      <c r="R3285">
        <v>636</v>
      </c>
      <c r="S3285">
        <v>48</v>
      </c>
      <c r="T3285">
        <v>114</v>
      </c>
      <c r="U3285">
        <v>123</v>
      </c>
      <c r="V3285">
        <v>36</v>
      </c>
      <c r="W3285">
        <v>18</v>
      </c>
      <c r="X3285">
        <v>75</v>
      </c>
      <c r="Y3285">
        <v>1.64</v>
      </c>
    </row>
    <row r="3286" spans="1:25" x14ac:dyDescent="0.25">
      <c r="A3286">
        <v>2026</v>
      </c>
      <c r="B3286" t="s">
        <v>57</v>
      </c>
      <c r="C3286">
        <v>10</v>
      </c>
      <c r="D3286">
        <v>99</v>
      </c>
      <c r="E3286" t="s">
        <v>98</v>
      </c>
      <c r="F3286" t="s">
        <v>41</v>
      </c>
      <c r="G3286">
        <f t="shared" si="3547"/>
        <v>1</v>
      </c>
      <c r="H3286">
        <v>11</v>
      </c>
      <c r="I3286">
        <v>2</v>
      </c>
      <c r="J3286">
        <v>0</v>
      </c>
      <c r="K3286" s="6" t="str">
        <f t="shared" ref="K3286" si="3668">"vs "&amp;E3287</f>
        <v>vs Heraklion Snakes</v>
      </c>
      <c r="L3286" s="6" t="str">
        <f t="shared" ref="L3286" si="3669">"vs "&amp;F3287</f>
        <v>vs Dimitris</v>
      </c>
      <c r="M3286">
        <v>118</v>
      </c>
      <c r="N3286" s="1">
        <v>0.47399999999999998</v>
      </c>
      <c r="O3286">
        <v>49</v>
      </c>
      <c r="P3286" s="1">
        <v>0.38900000000000001</v>
      </c>
      <c r="Q3286" s="1">
        <v>0.75</v>
      </c>
      <c r="R3286">
        <v>318</v>
      </c>
      <c r="S3286">
        <v>23</v>
      </c>
      <c r="T3286">
        <v>100</v>
      </c>
      <c r="U3286">
        <v>83</v>
      </c>
      <c r="V3286">
        <v>33</v>
      </c>
      <c r="W3286">
        <v>10</v>
      </c>
      <c r="X3286">
        <v>28</v>
      </c>
      <c r="Y3286">
        <v>2.96</v>
      </c>
    </row>
    <row r="3287" spans="1:25" x14ac:dyDescent="0.25">
      <c r="A3287">
        <v>2026</v>
      </c>
      <c r="B3287" t="s">
        <v>57</v>
      </c>
      <c r="C3287">
        <v>10</v>
      </c>
      <c r="D3287">
        <v>99</v>
      </c>
      <c r="E3287" t="s">
        <v>184</v>
      </c>
      <c r="F3287" t="s">
        <v>188</v>
      </c>
      <c r="G3287">
        <f t="shared" si="3547"/>
        <v>0</v>
      </c>
      <c r="H3287">
        <v>2</v>
      </c>
      <c r="I3287">
        <v>11</v>
      </c>
      <c r="J3287">
        <v>0</v>
      </c>
      <c r="K3287" s="6" t="str">
        <f t="shared" ref="K3287" si="3670">"vs "&amp;E3286</f>
        <v>vs Xanthi Ducks 🦆</v>
      </c>
      <c r="L3287" s="6" t="str">
        <f t="shared" ref="L3287" si="3671">"vs "&amp;F3286</f>
        <v>vs Kotakis</v>
      </c>
      <c r="M3287">
        <v>92</v>
      </c>
      <c r="N3287" s="1">
        <v>0.47199999999999998</v>
      </c>
      <c r="O3287">
        <v>33</v>
      </c>
      <c r="P3287" s="1">
        <v>0.38400000000000001</v>
      </c>
      <c r="Q3287" s="1">
        <v>0.82099999999999995</v>
      </c>
      <c r="R3287">
        <v>249</v>
      </c>
      <c r="S3287">
        <v>20</v>
      </c>
      <c r="T3287">
        <v>61</v>
      </c>
      <c r="U3287">
        <v>64</v>
      </c>
      <c r="V3287">
        <v>23</v>
      </c>
      <c r="W3287">
        <v>6</v>
      </c>
      <c r="X3287">
        <v>27</v>
      </c>
      <c r="Y3287">
        <v>2.37</v>
      </c>
    </row>
    <row r="3288" spans="1:25" x14ac:dyDescent="0.25">
      <c r="A3288">
        <v>2026</v>
      </c>
      <c r="B3288" t="s">
        <v>57</v>
      </c>
      <c r="C3288">
        <v>10</v>
      </c>
      <c r="D3288">
        <v>100</v>
      </c>
      <c r="E3288" t="s">
        <v>26</v>
      </c>
      <c r="F3288" t="s">
        <v>118</v>
      </c>
      <c r="G3288">
        <f t="shared" si="3547"/>
        <v>0</v>
      </c>
      <c r="H3288">
        <v>4</v>
      </c>
      <c r="I3288">
        <v>9</v>
      </c>
      <c r="J3288">
        <v>0</v>
      </c>
      <c r="K3288" s="6" t="str">
        <f t="shared" ref="K3288" si="3672">"vs "&amp;E3289</f>
        <v>vs The Bridgeburners</v>
      </c>
      <c r="L3288" s="6" t="str">
        <f t="shared" ref="L3288" si="3673">"vs "&amp;F3289</f>
        <v>vs Fanis</v>
      </c>
      <c r="M3288">
        <v>201</v>
      </c>
      <c r="N3288" s="1">
        <v>0.52500000000000002</v>
      </c>
      <c r="O3288">
        <v>55</v>
      </c>
      <c r="P3288" s="1">
        <v>0.36899999999999999</v>
      </c>
      <c r="Q3288" s="1">
        <v>0.78700000000000003</v>
      </c>
      <c r="R3288">
        <v>527</v>
      </c>
      <c r="S3288">
        <v>47</v>
      </c>
      <c r="T3288">
        <v>146</v>
      </c>
      <c r="U3288">
        <v>110</v>
      </c>
      <c r="V3288">
        <v>33</v>
      </c>
      <c r="W3288">
        <v>22</v>
      </c>
      <c r="X3288">
        <v>41</v>
      </c>
      <c r="Y3288">
        <v>2.68</v>
      </c>
    </row>
    <row r="3289" spans="1:25" x14ac:dyDescent="0.25">
      <c r="A3289">
        <v>2026</v>
      </c>
      <c r="B3289" t="s">
        <v>57</v>
      </c>
      <c r="C3289">
        <v>10</v>
      </c>
      <c r="D3289">
        <v>100</v>
      </c>
      <c r="E3289" t="s">
        <v>16</v>
      </c>
      <c r="F3289" t="s">
        <v>51</v>
      </c>
      <c r="G3289">
        <f t="shared" si="3547"/>
        <v>1</v>
      </c>
      <c r="H3289">
        <v>9</v>
      </c>
      <c r="I3289">
        <v>4</v>
      </c>
      <c r="J3289">
        <v>0</v>
      </c>
      <c r="K3289" s="6" t="str">
        <f t="shared" ref="K3289" si="3674">"vs "&amp;E3288</f>
        <v>vs Kourayo Vallecano</v>
      </c>
      <c r="L3289" s="6" t="str">
        <f t="shared" ref="L3289" si="3675">"vs "&amp;F3288</f>
        <v>vs Ziogas/Christof</v>
      </c>
      <c r="M3289">
        <v>221</v>
      </c>
      <c r="N3289" s="1">
        <v>0.49</v>
      </c>
      <c r="O3289">
        <v>53</v>
      </c>
      <c r="P3289" s="1">
        <v>0.32300000000000001</v>
      </c>
      <c r="Q3289" s="1">
        <v>0.80200000000000005</v>
      </c>
      <c r="R3289">
        <v>584</v>
      </c>
      <c r="S3289">
        <v>53</v>
      </c>
      <c r="T3289">
        <v>182</v>
      </c>
      <c r="U3289">
        <v>176</v>
      </c>
      <c r="V3289">
        <v>34</v>
      </c>
      <c r="W3289">
        <v>39</v>
      </c>
      <c r="X3289">
        <v>59</v>
      </c>
      <c r="Y3289">
        <v>2.98</v>
      </c>
    </row>
    <row r="3290" spans="1:25" x14ac:dyDescent="0.25">
      <c r="A3290">
        <v>2026</v>
      </c>
      <c r="B3290" t="s">
        <v>57</v>
      </c>
      <c r="C3290">
        <v>11</v>
      </c>
      <c r="D3290">
        <v>101</v>
      </c>
      <c r="E3290" t="s">
        <v>28</v>
      </c>
      <c r="F3290" t="s">
        <v>46</v>
      </c>
      <c r="G3290">
        <f t="shared" ref="G3290:G3353" si="3676">IF(H3290+0.5*J3290&gt;6.5,1,0)</f>
        <v>0</v>
      </c>
      <c r="H3290">
        <v>5</v>
      </c>
      <c r="I3290">
        <v>8</v>
      </c>
      <c r="J3290">
        <v>0</v>
      </c>
      <c r="K3290" s="6" t="str">
        <f t="shared" ref="K3290" si="3677">"vs "&amp;E3291</f>
        <v>vs LRBP PR3DATORS</v>
      </c>
      <c r="L3290" s="6" t="str">
        <f t="shared" ref="L3290" si="3678">"vs "&amp;F3291</f>
        <v>vs Lafa</v>
      </c>
      <c r="M3290">
        <v>163</v>
      </c>
      <c r="N3290" s="1">
        <v>0.42099999999999999</v>
      </c>
      <c r="O3290">
        <v>70</v>
      </c>
      <c r="P3290" s="1">
        <v>0.38</v>
      </c>
      <c r="Q3290" s="1">
        <v>0.65300000000000002</v>
      </c>
      <c r="R3290">
        <v>445</v>
      </c>
      <c r="S3290">
        <v>32</v>
      </c>
      <c r="T3290">
        <v>105</v>
      </c>
      <c r="U3290">
        <v>93</v>
      </c>
      <c r="V3290">
        <v>30</v>
      </c>
      <c r="W3290">
        <v>26</v>
      </c>
      <c r="X3290">
        <v>41</v>
      </c>
      <c r="Y3290">
        <v>2.27</v>
      </c>
    </row>
    <row r="3291" spans="1:25" x14ac:dyDescent="0.25">
      <c r="A3291">
        <v>2026</v>
      </c>
      <c r="B3291" t="s">
        <v>57</v>
      </c>
      <c r="C3291">
        <v>11</v>
      </c>
      <c r="D3291">
        <v>101</v>
      </c>
      <c r="E3291" t="s">
        <v>158</v>
      </c>
      <c r="F3291" t="s">
        <v>177</v>
      </c>
      <c r="G3291">
        <f t="shared" si="3676"/>
        <v>1</v>
      </c>
      <c r="H3291">
        <v>8</v>
      </c>
      <c r="I3291">
        <v>5</v>
      </c>
      <c r="J3291">
        <v>0</v>
      </c>
      <c r="K3291" s="6" t="str">
        <f t="shared" ref="K3291" si="3679">"vs "&amp;E3290</f>
        <v>vs Steven Adams' Moustache</v>
      </c>
      <c r="L3291" s="6" t="str">
        <f t="shared" ref="L3291" si="3680">"vs "&amp;F3290</f>
        <v>vs Johnny</v>
      </c>
      <c r="M3291">
        <v>229</v>
      </c>
      <c r="N3291" s="1">
        <v>0.46</v>
      </c>
      <c r="O3291">
        <v>53</v>
      </c>
      <c r="P3291" s="1">
        <v>0.312</v>
      </c>
      <c r="Q3291" s="1">
        <v>0.77800000000000002</v>
      </c>
      <c r="R3291">
        <v>634</v>
      </c>
      <c r="S3291">
        <v>52</v>
      </c>
      <c r="T3291">
        <v>174</v>
      </c>
      <c r="U3291">
        <v>131</v>
      </c>
      <c r="V3291">
        <v>33</v>
      </c>
      <c r="W3291">
        <v>20</v>
      </c>
      <c r="X3291">
        <v>98</v>
      </c>
      <c r="Y3291">
        <v>1.34</v>
      </c>
    </row>
    <row r="3292" spans="1:25" x14ac:dyDescent="0.25">
      <c r="A3292">
        <v>2026</v>
      </c>
      <c r="B3292" t="s">
        <v>57</v>
      </c>
      <c r="C3292">
        <v>11</v>
      </c>
      <c r="D3292">
        <v>102</v>
      </c>
      <c r="E3292" t="s">
        <v>15</v>
      </c>
      <c r="F3292" t="s">
        <v>48</v>
      </c>
      <c r="G3292">
        <f t="shared" si="3676"/>
        <v>0</v>
      </c>
      <c r="H3292">
        <v>6</v>
      </c>
      <c r="I3292">
        <v>6</v>
      </c>
      <c r="J3292">
        <v>1</v>
      </c>
      <c r="K3292" s="6" t="str">
        <f t="shared" ref="K3292" si="3681">"vs "&amp;E3293</f>
        <v>vs Paralouistas</v>
      </c>
      <c r="L3292" s="6" t="str">
        <f t="shared" ref="L3292" si="3682">"vs "&amp;F3293</f>
        <v>vs Panos</v>
      </c>
      <c r="M3292">
        <v>138</v>
      </c>
      <c r="N3292" s="1">
        <v>0.46</v>
      </c>
      <c r="O3292">
        <v>53</v>
      </c>
      <c r="P3292" s="1">
        <v>0.376</v>
      </c>
      <c r="Q3292" s="1">
        <v>0.83299999999999996</v>
      </c>
      <c r="R3292">
        <v>379</v>
      </c>
      <c r="S3292">
        <v>31</v>
      </c>
      <c r="T3292">
        <v>105</v>
      </c>
      <c r="U3292">
        <v>101</v>
      </c>
      <c r="V3292">
        <v>24</v>
      </c>
      <c r="W3292">
        <v>12</v>
      </c>
      <c r="X3292">
        <v>51</v>
      </c>
      <c r="Y3292">
        <v>1.98</v>
      </c>
    </row>
    <row r="3293" spans="1:25" x14ac:dyDescent="0.25">
      <c r="A3293">
        <v>2026</v>
      </c>
      <c r="B3293" t="s">
        <v>57</v>
      </c>
      <c r="C3293">
        <v>11</v>
      </c>
      <c r="D3293">
        <v>102</v>
      </c>
      <c r="E3293" t="s">
        <v>185</v>
      </c>
      <c r="F3293" t="s">
        <v>100</v>
      </c>
      <c r="G3293">
        <f t="shared" si="3676"/>
        <v>0</v>
      </c>
      <c r="H3293">
        <v>6</v>
      </c>
      <c r="I3293">
        <v>6</v>
      </c>
      <c r="J3293">
        <v>1</v>
      </c>
      <c r="K3293" s="6" t="str">
        <f t="shared" ref="K3293" si="3683">"vs "&amp;E3292</f>
        <v>vs Salonika Devils</v>
      </c>
      <c r="L3293" s="6" t="str">
        <f t="shared" ref="L3293" si="3684">"vs "&amp;F3292</f>
        <v>vs Fountos</v>
      </c>
      <c r="M3293">
        <v>150</v>
      </c>
      <c r="N3293" s="1">
        <v>0.44400000000000001</v>
      </c>
      <c r="O3293">
        <v>60</v>
      </c>
      <c r="P3293" s="1">
        <v>0.41399999999999998</v>
      </c>
      <c r="Q3293" s="1">
        <v>0.78800000000000003</v>
      </c>
      <c r="R3293">
        <v>412</v>
      </c>
      <c r="S3293">
        <v>31</v>
      </c>
      <c r="T3293">
        <v>89</v>
      </c>
      <c r="U3293">
        <v>89</v>
      </c>
      <c r="V3293">
        <v>30</v>
      </c>
      <c r="W3293">
        <v>18</v>
      </c>
      <c r="X3293">
        <v>65</v>
      </c>
      <c r="Y3293">
        <v>1.37</v>
      </c>
    </row>
    <row r="3294" spans="1:25" x14ac:dyDescent="0.25">
      <c r="A3294">
        <v>2026</v>
      </c>
      <c r="B3294" t="s">
        <v>57</v>
      </c>
      <c r="C3294">
        <v>11</v>
      </c>
      <c r="D3294">
        <v>103</v>
      </c>
      <c r="E3294" t="s">
        <v>181</v>
      </c>
      <c r="F3294" t="s">
        <v>49</v>
      </c>
      <c r="G3294">
        <f t="shared" si="3676"/>
        <v>1</v>
      </c>
      <c r="H3294">
        <v>9</v>
      </c>
      <c r="I3294">
        <v>4</v>
      </c>
      <c r="J3294">
        <v>0</v>
      </c>
      <c r="K3294" s="6" t="str">
        <f t="shared" ref="K3294" si="3685">"vs "&amp;E3295</f>
        <v>vs st.Helens Eruptions</v>
      </c>
      <c r="L3294" s="6" t="str">
        <f t="shared" ref="L3294" si="3686">"vs "&amp;F3295</f>
        <v>vs Aris</v>
      </c>
      <c r="M3294">
        <v>186</v>
      </c>
      <c r="N3294" s="1">
        <v>0.45100000000000001</v>
      </c>
      <c r="O3294">
        <v>54</v>
      </c>
      <c r="P3294" s="1">
        <v>0.36499999999999999</v>
      </c>
      <c r="Q3294" s="1">
        <v>0.83199999999999996</v>
      </c>
      <c r="R3294">
        <v>525</v>
      </c>
      <c r="S3294">
        <v>53</v>
      </c>
      <c r="T3294">
        <v>146</v>
      </c>
      <c r="U3294">
        <v>132</v>
      </c>
      <c r="V3294">
        <v>44</v>
      </c>
      <c r="W3294">
        <v>16</v>
      </c>
      <c r="X3294">
        <v>55</v>
      </c>
      <c r="Y3294">
        <v>2.4</v>
      </c>
    </row>
    <row r="3295" spans="1:25" x14ac:dyDescent="0.25">
      <c r="A3295">
        <v>2026</v>
      </c>
      <c r="B3295" t="s">
        <v>57</v>
      </c>
      <c r="C3295">
        <v>11</v>
      </c>
      <c r="D3295">
        <v>103</v>
      </c>
      <c r="E3295" t="s">
        <v>21</v>
      </c>
      <c r="F3295" t="s">
        <v>50</v>
      </c>
      <c r="G3295">
        <f t="shared" si="3676"/>
        <v>0</v>
      </c>
      <c r="H3295">
        <v>4</v>
      </c>
      <c r="I3295">
        <v>9</v>
      </c>
      <c r="J3295">
        <v>0</v>
      </c>
      <c r="K3295" s="6" t="str">
        <f t="shared" ref="K3295" si="3687">"vs "&amp;E3294</f>
        <v>vs Samarina Dudenbros</v>
      </c>
      <c r="L3295" s="6" t="str">
        <f t="shared" ref="L3295" si="3688">"vs "&amp;F3294</f>
        <v>vs Sakellariou</v>
      </c>
      <c r="M3295">
        <v>171</v>
      </c>
      <c r="N3295" s="1">
        <v>0.51</v>
      </c>
      <c r="O3295">
        <v>37</v>
      </c>
      <c r="P3295" s="1">
        <v>0.36599999999999999</v>
      </c>
      <c r="Q3295" s="1">
        <v>0.66700000000000004</v>
      </c>
      <c r="R3295">
        <v>427</v>
      </c>
      <c r="S3295">
        <v>43</v>
      </c>
      <c r="T3295">
        <v>150</v>
      </c>
      <c r="U3295">
        <v>120</v>
      </c>
      <c r="V3295">
        <v>34</v>
      </c>
      <c r="W3295">
        <v>21</v>
      </c>
      <c r="X3295">
        <v>56</v>
      </c>
      <c r="Y3295">
        <v>2.14</v>
      </c>
    </row>
    <row r="3296" spans="1:25" x14ac:dyDescent="0.25">
      <c r="A3296">
        <v>2026</v>
      </c>
      <c r="B3296" t="s">
        <v>57</v>
      </c>
      <c r="C3296">
        <v>11</v>
      </c>
      <c r="D3296">
        <v>104</v>
      </c>
      <c r="E3296" t="s">
        <v>154</v>
      </c>
      <c r="F3296" t="s">
        <v>155</v>
      </c>
      <c r="G3296">
        <f t="shared" si="3676"/>
        <v>1</v>
      </c>
      <c r="H3296">
        <v>9</v>
      </c>
      <c r="I3296">
        <v>3</v>
      </c>
      <c r="J3296">
        <v>1</v>
      </c>
      <c r="K3296" s="6" t="str">
        <f t="shared" ref="K3296" si="3689">"vs "&amp;E3297</f>
        <v>vs Pachiana NinjaBees</v>
      </c>
      <c r="L3296" s="6" t="str">
        <f t="shared" ref="L3296" si="3690">"vs "&amp;F3297</f>
        <v>vs Spiridaus/Oladipas</v>
      </c>
      <c r="M3296">
        <v>216</v>
      </c>
      <c r="N3296" s="1">
        <v>0.45</v>
      </c>
      <c r="O3296">
        <v>46</v>
      </c>
      <c r="P3296" s="1">
        <v>0.34100000000000003</v>
      </c>
      <c r="Q3296" s="1">
        <v>0.70199999999999996</v>
      </c>
      <c r="R3296">
        <v>577</v>
      </c>
      <c r="S3296">
        <v>59</v>
      </c>
      <c r="T3296">
        <v>164</v>
      </c>
      <c r="U3296">
        <v>115</v>
      </c>
      <c r="V3296">
        <v>34</v>
      </c>
      <c r="W3296">
        <v>25</v>
      </c>
      <c r="X3296">
        <v>91</v>
      </c>
      <c r="Y3296">
        <v>1.26</v>
      </c>
    </row>
    <row r="3297" spans="1:25" x14ac:dyDescent="0.25">
      <c r="A3297">
        <v>2026</v>
      </c>
      <c r="B3297" t="s">
        <v>57</v>
      </c>
      <c r="C3297">
        <v>11</v>
      </c>
      <c r="D3297">
        <v>104</v>
      </c>
      <c r="E3297" t="s">
        <v>23</v>
      </c>
      <c r="F3297" t="s">
        <v>120</v>
      </c>
      <c r="G3297">
        <f t="shared" si="3676"/>
        <v>0</v>
      </c>
      <c r="H3297">
        <v>3</v>
      </c>
      <c r="I3297">
        <v>9</v>
      </c>
      <c r="J3297">
        <v>1</v>
      </c>
      <c r="K3297" s="6" t="str">
        <f t="shared" ref="K3297" si="3691">"vs "&amp;E3296</f>
        <v>vs The Bad Boys</v>
      </c>
      <c r="L3297" s="6" t="str">
        <f t="shared" ref="L3297" si="3692">"vs "&amp;F3296</f>
        <v>vs Arvanitis</v>
      </c>
      <c r="M3297">
        <v>162</v>
      </c>
      <c r="N3297" s="1">
        <v>0.45</v>
      </c>
      <c r="O3297">
        <v>42</v>
      </c>
      <c r="P3297" s="1">
        <v>0.28999999999999998</v>
      </c>
      <c r="Q3297" s="1">
        <v>0.84499999999999997</v>
      </c>
      <c r="R3297">
        <v>437</v>
      </c>
      <c r="S3297">
        <v>52</v>
      </c>
      <c r="T3297">
        <v>150</v>
      </c>
      <c r="U3297">
        <v>113</v>
      </c>
      <c r="V3297">
        <v>32</v>
      </c>
      <c r="W3297">
        <v>22</v>
      </c>
      <c r="X3297">
        <v>50</v>
      </c>
      <c r="Y3297">
        <v>2.2599999999999998</v>
      </c>
    </row>
    <row r="3298" spans="1:25" x14ac:dyDescent="0.25">
      <c r="A3298">
        <v>2026</v>
      </c>
      <c r="B3298" t="s">
        <v>57</v>
      </c>
      <c r="C3298">
        <v>11</v>
      </c>
      <c r="D3298">
        <v>105</v>
      </c>
      <c r="E3298" t="s">
        <v>159</v>
      </c>
      <c r="F3298" t="s">
        <v>116</v>
      </c>
      <c r="G3298">
        <f t="shared" si="3676"/>
        <v>0</v>
      </c>
      <c r="H3298">
        <v>4</v>
      </c>
      <c r="I3298">
        <v>9</v>
      </c>
      <c r="J3298">
        <v>0</v>
      </c>
      <c r="K3298" s="6" t="str">
        <f t="shared" ref="K3298" si="3693">"vs "&amp;E3299</f>
        <v>vs Karafli Saita</v>
      </c>
      <c r="L3298" s="6" t="str">
        <f t="shared" ref="L3298" si="3694">"vs "&amp;F3299</f>
        <v>vs Tassos</v>
      </c>
      <c r="M3298">
        <v>177</v>
      </c>
      <c r="N3298" s="1">
        <v>0.50900000000000001</v>
      </c>
      <c r="O3298">
        <v>48</v>
      </c>
      <c r="P3298" s="1">
        <v>0.34300000000000003</v>
      </c>
      <c r="Q3298" s="1">
        <v>0.73899999999999999</v>
      </c>
      <c r="R3298">
        <v>467</v>
      </c>
      <c r="S3298">
        <v>35</v>
      </c>
      <c r="T3298">
        <v>102</v>
      </c>
      <c r="U3298">
        <v>108</v>
      </c>
      <c r="V3298">
        <v>30</v>
      </c>
      <c r="W3298">
        <v>14</v>
      </c>
      <c r="X3298">
        <v>44</v>
      </c>
      <c r="Y3298">
        <v>2.4500000000000002</v>
      </c>
    </row>
    <row r="3299" spans="1:25" x14ac:dyDescent="0.25">
      <c r="A3299">
        <v>2026</v>
      </c>
      <c r="B3299" t="s">
        <v>57</v>
      </c>
      <c r="C3299">
        <v>11</v>
      </c>
      <c r="D3299">
        <v>105</v>
      </c>
      <c r="E3299" t="s">
        <v>186</v>
      </c>
      <c r="F3299" t="s">
        <v>103</v>
      </c>
      <c r="G3299">
        <f t="shared" si="3676"/>
        <v>1</v>
      </c>
      <c r="H3299">
        <v>9</v>
      </c>
      <c r="I3299">
        <v>4</v>
      </c>
      <c r="J3299">
        <v>0</v>
      </c>
      <c r="K3299" s="6" t="str">
        <f t="shared" ref="K3299" si="3695">"vs "&amp;E3298</f>
        <v>vs purple fuzzy apache pirates</v>
      </c>
      <c r="L3299" s="6" t="str">
        <f t="shared" ref="L3299" si="3696">"vs "&amp;F3298</f>
        <v>vs pi/Sotiris</v>
      </c>
      <c r="M3299">
        <v>223</v>
      </c>
      <c r="N3299" s="1">
        <v>0.49399999999999999</v>
      </c>
      <c r="O3299">
        <v>51</v>
      </c>
      <c r="P3299" s="1">
        <v>0.35199999999999998</v>
      </c>
      <c r="Q3299" s="1">
        <v>0.73799999999999999</v>
      </c>
      <c r="R3299">
        <v>587</v>
      </c>
      <c r="S3299">
        <v>46</v>
      </c>
      <c r="T3299">
        <v>138</v>
      </c>
      <c r="U3299">
        <v>149</v>
      </c>
      <c r="V3299">
        <v>35</v>
      </c>
      <c r="W3299">
        <v>26</v>
      </c>
      <c r="X3299">
        <v>73</v>
      </c>
      <c r="Y3299">
        <v>2.04</v>
      </c>
    </row>
    <row r="3300" spans="1:25" x14ac:dyDescent="0.25">
      <c r="A3300">
        <v>2026</v>
      </c>
      <c r="B3300" t="s">
        <v>57</v>
      </c>
      <c r="C3300">
        <v>11</v>
      </c>
      <c r="D3300">
        <v>106</v>
      </c>
      <c r="E3300" t="s">
        <v>96</v>
      </c>
      <c r="F3300" t="s">
        <v>102</v>
      </c>
      <c r="G3300">
        <f t="shared" si="3676"/>
        <v>0</v>
      </c>
      <c r="H3300">
        <v>3</v>
      </c>
      <c r="I3300">
        <v>9</v>
      </c>
      <c r="J3300">
        <v>1</v>
      </c>
      <c r="K3300" s="6" t="str">
        <f t="shared" ref="K3300" si="3697">"vs "&amp;E3301</f>
        <v>vs Fighting Thaddeus</v>
      </c>
      <c r="L3300" s="6" t="str">
        <f t="shared" ref="L3300" si="3698">"vs "&amp;F3301</f>
        <v>vs Stavros</v>
      </c>
      <c r="M3300">
        <v>158</v>
      </c>
      <c r="N3300" s="1">
        <v>0.46100000000000002</v>
      </c>
      <c r="O3300">
        <v>58</v>
      </c>
      <c r="P3300" s="1">
        <v>0.44600000000000001</v>
      </c>
      <c r="Q3300" s="1">
        <v>0.82</v>
      </c>
      <c r="R3300">
        <v>456</v>
      </c>
      <c r="S3300">
        <v>30</v>
      </c>
      <c r="T3300">
        <v>115</v>
      </c>
      <c r="U3300">
        <v>107</v>
      </c>
      <c r="V3300">
        <v>30</v>
      </c>
      <c r="W3300">
        <v>14</v>
      </c>
      <c r="X3300">
        <v>76</v>
      </c>
      <c r="Y3300">
        <v>1.41</v>
      </c>
    </row>
    <row r="3301" spans="1:25" x14ac:dyDescent="0.25">
      <c r="A3301">
        <v>2026</v>
      </c>
      <c r="B3301" t="s">
        <v>57</v>
      </c>
      <c r="C3301">
        <v>11</v>
      </c>
      <c r="D3301">
        <v>106</v>
      </c>
      <c r="E3301" t="s">
        <v>94</v>
      </c>
      <c r="F3301" t="s">
        <v>40</v>
      </c>
      <c r="G3301">
        <f t="shared" si="3676"/>
        <v>1</v>
      </c>
      <c r="H3301">
        <v>9</v>
      </c>
      <c r="I3301">
        <v>3</v>
      </c>
      <c r="J3301">
        <v>1</v>
      </c>
      <c r="K3301" s="6" t="str">
        <f t="shared" ref="K3301" si="3699">"vs "&amp;E3300</f>
        <v>vs Knights of Ni</v>
      </c>
      <c r="L3301" s="6" t="str">
        <f t="shared" ref="L3301" si="3700">"vs "&amp;F3300</f>
        <v>vs Tolios</v>
      </c>
      <c r="M3301">
        <v>202</v>
      </c>
      <c r="N3301" s="1">
        <v>0.45700000000000002</v>
      </c>
      <c r="O3301">
        <v>57</v>
      </c>
      <c r="P3301" s="1">
        <v>0.308</v>
      </c>
      <c r="Q3301" s="1">
        <v>0.90300000000000002</v>
      </c>
      <c r="R3301">
        <v>545</v>
      </c>
      <c r="S3301">
        <v>53</v>
      </c>
      <c r="T3301">
        <v>137</v>
      </c>
      <c r="U3301">
        <v>132</v>
      </c>
      <c r="V3301">
        <v>30</v>
      </c>
      <c r="W3301">
        <v>27</v>
      </c>
      <c r="X3301">
        <v>64</v>
      </c>
      <c r="Y3301">
        <v>2.06</v>
      </c>
    </row>
    <row r="3302" spans="1:25" x14ac:dyDescent="0.25">
      <c r="A3302">
        <v>2026</v>
      </c>
      <c r="B3302" t="s">
        <v>57</v>
      </c>
      <c r="C3302">
        <v>11</v>
      </c>
      <c r="D3302">
        <v>107</v>
      </c>
      <c r="E3302" t="s">
        <v>93</v>
      </c>
      <c r="F3302" t="s">
        <v>189</v>
      </c>
      <c r="G3302">
        <f t="shared" si="3676"/>
        <v>1</v>
      </c>
      <c r="H3302">
        <v>7</v>
      </c>
      <c r="I3302">
        <v>6</v>
      </c>
      <c r="J3302">
        <v>0</v>
      </c>
      <c r="K3302" s="6" t="str">
        <f t="shared" ref="K3302" si="3701">"vs "&amp;E3303</f>
        <v>vs Hércules Pals</v>
      </c>
      <c r="L3302" s="6" t="str">
        <f t="shared" ref="L3302" si="3702">"vs "&amp;F3303</f>
        <v>vs Pals</v>
      </c>
      <c r="M3302">
        <v>161</v>
      </c>
      <c r="N3302" s="1">
        <v>0.44700000000000001</v>
      </c>
      <c r="O3302">
        <v>52</v>
      </c>
      <c r="P3302" s="1">
        <v>0.33100000000000002</v>
      </c>
      <c r="Q3302" s="1">
        <v>0.77800000000000002</v>
      </c>
      <c r="R3302">
        <v>444</v>
      </c>
      <c r="S3302">
        <v>42</v>
      </c>
      <c r="T3302">
        <v>126</v>
      </c>
      <c r="U3302">
        <v>108</v>
      </c>
      <c r="V3302">
        <v>28</v>
      </c>
      <c r="W3302">
        <v>11</v>
      </c>
      <c r="X3302">
        <v>54</v>
      </c>
      <c r="Y3302">
        <v>2</v>
      </c>
    </row>
    <row r="3303" spans="1:25" x14ac:dyDescent="0.25">
      <c r="A3303">
        <v>2026</v>
      </c>
      <c r="B3303" t="s">
        <v>57</v>
      </c>
      <c r="C3303">
        <v>11</v>
      </c>
      <c r="D3303">
        <v>107</v>
      </c>
      <c r="E3303" t="s">
        <v>201</v>
      </c>
      <c r="F3303" t="s">
        <v>227</v>
      </c>
      <c r="G3303">
        <f t="shared" si="3676"/>
        <v>0</v>
      </c>
      <c r="H3303">
        <v>6</v>
      </c>
      <c r="I3303">
        <v>7</v>
      </c>
      <c r="J3303">
        <v>0</v>
      </c>
      <c r="K3303" s="6" t="str">
        <f t="shared" ref="K3303" si="3703">"vs "&amp;E3302</f>
        <v>vs Guruuu 🐐🐐🐐</v>
      </c>
      <c r="L3303" s="6" t="str">
        <f t="shared" ref="L3303" si="3704">"vs "&amp;F3302</f>
        <v>vs Guru</v>
      </c>
      <c r="M3303">
        <v>137</v>
      </c>
      <c r="N3303" s="1">
        <v>0.502</v>
      </c>
      <c r="O3303">
        <v>41</v>
      </c>
      <c r="P3303" s="1">
        <v>0.318</v>
      </c>
      <c r="Q3303" s="1">
        <v>0.879</v>
      </c>
      <c r="R3303">
        <v>366</v>
      </c>
      <c r="S3303">
        <v>64</v>
      </c>
      <c r="T3303">
        <v>132</v>
      </c>
      <c r="U3303">
        <v>90</v>
      </c>
      <c r="V3303">
        <v>32</v>
      </c>
      <c r="W3303">
        <v>22</v>
      </c>
      <c r="X3303">
        <v>59</v>
      </c>
      <c r="Y3303">
        <v>1.53</v>
      </c>
    </row>
    <row r="3304" spans="1:25" x14ac:dyDescent="0.25">
      <c r="A3304">
        <v>2026</v>
      </c>
      <c r="B3304" t="s">
        <v>57</v>
      </c>
      <c r="C3304">
        <v>11</v>
      </c>
      <c r="D3304">
        <v>108</v>
      </c>
      <c r="E3304" t="s">
        <v>184</v>
      </c>
      <c r="F3304" t="s">
        <v>188</v>
      </c>
      <c r="G3304">
        <f t="shared" si="3676"/>
        <v>0</v>
      </c>
      <c r="H3304">
        <v>6</v>
      </c>
      <c r="I3304">
        <v>6</v>
      </c>
      <c r="J3304">
        <v>1</v>
      </c>
      <c r="K3304" s="6" t="str">
        <f t="shared" ref="K3304" si="3705">"vs "&amp;E3305</f>
        <v>vs Tsarlatans</v>
      </c>
      <c r="L3304" s="6" t="str">
        <f t="shared" ref="L3304" si="3706">"vs "&amp;F3305</f>
        <v>vs Tzokos</v>
      </c>
      <c r="M3304">
        <v>84</v>
      </c>
      <c r="N3304" s="1">
        <v>0.44700000000000001</v>
      </c>
      <c r="O3304">
        <v>35</v>
      </c>
      <c r="P3304" s="1">
        <v>0.36799999999999999</v>
      </c>
      <c r="Q3304" s="1">
        <v>0.86399999999999999</v>
      </c>
      <c r="R3304">
        <v>222</v>
      </c>
      <c r="S3304">
        <v>20</v>
      </c>
      <c r="T3304">
        <v>77</v>
      </c>
      <c r="U3304">
        <v>59</v>
      </c>
      <c r="V3304">
        <v>22</v>
      </c>
      <c r="W3304">
        <v>10</v>
      </c>
      <c r="X3304">
        <v>31</v>
      </c>
      <c r="Y3304">
        <v>1.9</v>
      </c>
    </row>
    <row r="3305" spans="1:25" x14ac:dyDescent="0.25">
      <c r="A3305">
        <v>2026</v>
      </c>
      <c r="B3305" t="s">
        <v>57</v>
      </c>
      <c r="C3305">
        <v>11</v>
      </c>
      <c r="D3305">
        <v>108</v>
      </c>
      <c r="E3305" t="s">
        <v>99</v>
      </c>
      <c r="F3305" t="s">
        <v>45</v>
      </c>
      <c r="G3305">
        <f t="shared" si="3676"/>
        <v>0</v>
      </c>
      <c r="H3305">
        <v>6</v>
      </c>
      <c r="I3305">
        <v>6</v>
      </c>
      <c r="J3305">
        <v>1</v>
      </c>
      <c r="K3305" s="6" t="str">
        <f t="shared" ref="K3305" si="3707">"vs "&amp;E3304</f>
        <v>vs Heraklion Snakes</v>
      </c>
      <c r="L3305" s="6" t="str">
        <f t="shared" ref="L3305" si="3708">"vs "&amp;F3304</f>
        <v>vs Dimitris</v>
      </c>
      <c r="M3305">
        <v>122</v>
      </c>
      <c r="N3305" s="1">
        <v>0.46899999999999997</v>
      </c>
      <c r="O3305">
        <v>32</v>
      </c>
      <c r="P3305" s="1">
        <v>0.34399999999999997</v>
      </c>
      <c r="Q3305" s="1">
        <v>0.745</v>
      </c>
      <c r="R3305">
        <v>314</v>
      </c>
      <c r="S3305">
        <v>30</v>
      </c>
      <c r="T3305">
        <v>113</v>
      </c>
      <c r="U3305">
        <v>68</v>
      </c>
      <c r="V3305">
        <v>17</v>
      </c>
      <c r="W3305">
        <v>10</v>
      </c>
      <c r="X3305">
        <v>41</v>
      </c>
      <c r="Y3305">
        <v>1.66</v>
      </c>
    </row>
    <row r="3306" spans="1:25" x14ac:dyDescent="0.25">
      <c r="A3306">
        <v>2026</v>
      </c>
      <c r="B3306" t="s">
        <v>57</v>
      </c>
      <c r="C3306">
        <v>11</v>
      </c>
      <c r="D3306">
        <v>109</v>
      </c>
      <c r="E3306" t="s">
        <v>16</v>
      </c>
      <c r="F3306" t="s">
        <v>51</v>
      </c>
      <c r="G3306">
        <f t="shared" si="3676"/>
        <v>0</v>
      </c>
      <c r="H3306">
        <v>6</v>
      </c>
      <c r="I3306">
        <v>6</v>
      </c>
      <c r="J3306">
        <v>1</v>
      </c>
      <c r="K3306" s="6" t="str">
        <f t="shared" ref="K3306" si="3709">"vs "&amp;E3307</f>
        <v>vs The Guns</v>
      </c>
      <c r="L3306" s="6" t="str">
        <f t="shared" ref="L3306" si="3710">"vs "&amp;F3307</f>
        <v>vs Vasilis</v>
      </c>
      <c r="M3306">
        <v>216</v>
      </c>
      <c r="N3306" s="1">
        <v>0.52900000000000003</v>
      </c>
      <c r="O3306">
        <v>56</v>
      </c>
      <c r="P3306" s="1">
        <v>0.40899999999999997</v>
      </c>
      <c r="Q3306" s="1">
        <v>0.76800000000000002</v>
      </c>
      <c r="R3306">
        <v>551</v>
      </c>
      <c r="S3306">
        <v>65</v>
      </c>
      <c r="T3306">
        <v>145</v>
      </c>
      <c r="U3306">
        <v>135</v>
      </c>
      <c r="V3306">
        <v>36</v>
      </c>
      <c r="W3306">
        <v>19</v>
      </c>
      <c r="X3306">
        <v>68</v>
      </c>
      <c r="Y3306">
        <v>1.99</v>
      </c>
    </row>
    <row r="3307" spans="1:25" x14ac:dyDescent="0.25">
      <c r="A3307">
        <v>2026</v>
      </c>
      <c r="B3307" t="s">
        <v>57</v>
      </c>
      <c r="C3307">
        <v>11</v>
      </c>
      <c r="D3307">
        <v>109</v>
      </c>
      <c r="E3307" t="s">
        <v>33</v>
      </c>
      <c r="F3307" t="s">
        <v>42</v>
      </c>
      <c r="G3307">
        <f t="shared" si="3676"/>
        <v>0</v>
      </c>
      <c r="H3307">
        <v>6</v>
      </c>
      <c r="I3307">
        <v>6</v>
      </c>
      <c r="J3307">
        <v>1</v>
      </c>
      <c r="K3307" s="6" t="str">
        <f t="shared" ref="K3307" si="3711">"vs "&amp;E3306</f>
        <v>vs The Bridgeburners</v>
      </c>
      <c r="L3307" s="6" t="str">
        <f t="shared" ref="L3307" si="3712">"vs "&amp;F3306</f>
        <v>vs Fanis</v>
      </c>
      <c r="M3307">
        <v>217</v>
      </c>
      <c r="N3307" s="1">
        <v>0.441</v>
      </c>
      <c r="O3307">
        <v>62</v>
      </c>
      <c r="P3307" s="1">
        <v>0.29799999999999999</v>
      </c>
      <c r="Q3307" s="1">
        <v>0.85199999999999998</v>
      </c>
      <c r="R3307">
        <v>594</v>
      </c>
      <c r="S3307">
        <v>20</v>
      </c>
      <c r="T3307">
        <v>142</v>
      </c>
      <c r="U3307">
        <v>130</v>
      </c>
      <c r="V3307">
        <v>36</v>
      </c>
      <c r="W3307">
        <v>18</v>
      </c>
      <c r="X3307">
        <v>47</v>
      </c>
      <c r="Y3307">
        <v>2.77</v>
      </c>
    </row>
    <row r="3308" spans="1:25" x14ac:dyDescent="0.25">
      <c r="A3308">
        <v>2026</v>
      </c>
      <c r="B3308" t="s">
        <v>57</v>
      </c>
      <c r="C3308">
        <v>11</v>
      </c>
      <c r="D3308">
        <v>110</v>
      </c>
      <c r="E3308" t="s">
        <v>26</v>
      </c>
      <c r="F3308" t="s">
        <v>118</v>
      </c>
      <c r="G3308">
        <f t="shared" si="3676"/>
        <v>1</v>
      </c>
      <c r="H3308">
        <v>10</v>
      </c>
      <c r="I3308">
        <v>3</v>
      </c>
      <c r="J3308">
        <v>0</v>
      </c>
      <c r="K3308" s="6" t="str">
        <f t="shared" ref="K3308" si="3713">"vs "&amp;E3309</f>
        <v>vs Xanthi Ducks 🦆</v>
      </c>
      <c r="L3308" s="6" t="str">
        <f t="shared" ref="L3308" si="3714">"vs "&amp;F3309</f>
        <v>vs Kotakis</v>
      </c>
      <c r="M3308">
        <v>196</v>
      </c>
      <c r="N3308" s="1">
        <v>0.51300000000000001</v>
      </c>
      <c r="O3308">
        <v>53</v>
      </c>
      <c r="P3308" s="1">
        <v>0.42099999999999999</v>
      </c>
      <c r="Q3308" s="1">
        <v>0.72299999999999998</v>
      </c>
      <c r="R3308">
        <v>518</v>
      </c>
      <c r="S3308">
        <v>68</v>
      </c>
      <c r="T3308">
        <v>171</v>
      </c>
      <c r="U3308">
        <v>121</v>
      </c>
      <c r="V3308">
        <v>32</v>
      </c>
      <c r="W3308">
        <v>25</v>
      </c>
      <c r="X3308">
        <v>56</v>
      </c>
      <c r="Y3308">
        <v>2.16</v>
      </c>
    </row>
    <row r="3309" spans="1:25" x14ac:dyDescent="0.25">
      <c r="A3309">
        <v>2026</v>
      </c>
      <c r="B3309" t="s">
        <v>57</v>
      </c>
      <c r="C3309">
        <v>11</v>
      </c>
      <c r="D3309">
        <v>110</v>
      </c>
      <c r="E3309" t="s">
        <v>98</v>
      </c>
      <c r="F3309" t="s">
        <v>41</v>
      </c>
      <c r="G3309">
        <f t="shared" si="3676"/>
        <v>0</v>
      </c>
      <c r="H3309">
        <v>3</v>
      </c>
      <c r="I3309">
        <v>10</v>
      </c>
      <c r="J3309">
        <v>0</v>
      </c>
      <c r="K3309" s="6" t="str">
        <f t="shared" ref="K3309" si="3715">"vs "&amp;E3308</f>
        <v>vs Kourayo Vallecano</v>
      </c>
      <c r="L3309" s="6" t="str">
        <f t="shared" ref="L3309" si="3716">"vs "&amp;F3308</f>
        <v>vs Ziogas/Christof</v>
      </c>
      <c r="M3309">
        <v>117</v>
      </c>
      <c r="N3309" s="1">
        <v>0.44800000000000001</v>
      </c>
      <c r="O3309">
        <v>43</v>
      </c>
      <c r="P3309" s="1">
        <v>0.314</v>
      </c>
      <c r="Q3309" s="1">
        <v>0.78</v>
      </c>
      <c r="R3309">
        <v>309</v>
      </c>
      <c r="S3309">
        <v>19</v>
      </c>
      <c r="T3309">
        <v>74</v>
      </c>
      <c r="U3309">
        <v>60</v>
      </c>
      <c r="V3309">
        <v>28</v>
      </c>
      <c r="W3309">
        <v>19</v>
      </c>
      <c r="X3309">
        <v>24</v>
      </c>
      <c r="Y3309">
        <v>2.5</v>
      </c>
    </row>
    <row r="3310" spans="1:25" x14ac:dyDescent="0.25">
      <c r="A3310">
        <v>2026</v>
      </c>
      <c r="B3310" t="s">
        <v>57</v>
      </c>
      <c r="C3310">
        <v>12</v>
      </c>
      <c r="D3310">
        <v>111</v>
      </c>
      <c r="E3310" t="s">
        <v>158</v>
      </c>
      <c r="F3310" t="s">
        <v>177</v>
      </c>
      <c r="G3310">
        <f t="shared" si="3676"/>
        <v>1</v>
      </c>
      <c r="H3310">
        <v>9</v>
      </c>
      <c r="I3310">
        <v>4</v>
      </c>
      <c r="J3310">
        <v>0</v>
      </c>
      <c r="K3310" s="6" t="str">
        <f t="shared" ref="K3310" si="3717">"vs "&amp;E3311</f>
        <v>vs Salonika Devils</v>
      </c>
      <c r="L3310" s="6" t="str">
        <f t="shared" ref="L3310" si="3718">"vs "&amp;F3311</f>
        <v>vs Fountos</v>
      </c>
      <c r="M3310">
        <v>211</v>
      </c>
      <c r="N3310" s="1">
        <v>0.52200000000000002</v>
      </c>
      <c r="O3310">
        <v>45</v>
      </c>
      <c r="P3310" s="1">
        <v>0.40200000000000002</v>
      </c>
      <c r="Q3310" s="1">
        <v>0.73099999999999998</v>
      </c>
      <c r="R3310">
        <v>546</v>
      </c>
      <c r="S3310">
        <v>35</v>
      </c>
      <c r="T3310">
        <v>125</v>
      </c>
      <c r="U3310">
        <v>144</v>
      </c>
      <c r="V3310">
        <v>30</v>
      </c>
      <c r="W3310">
        <v>16</v>
      </c>
      <c r="X3310">
        <v>73</v>
      </c>
      <c r="Y3310">
        <v>1.97</v>
      </c>
    </row>
    <row r="3311" spans="1:25" x14ac:dyDescent="0.25">
      <c r="A3311">
        <v>2026</v>
      </c>
      <c r="B3311" t="s">
        <v>57</v>
      </c>
      <c r="C3311">
        <v>12</v>
      </c>
      <c r="D3311">
        <v>111</v>
      </c>
      <c r="E3311" t="s">
        <v>15</v>
      </c>
      <c r="F3311" t="s">
        <v>48</v>
      </c>
      <c r="G3311">
        <f t="shared" si="3676"/>
        <v>0</v>
      </c>
      <c r="H3311">
        <v>4</v>
      </c>
      <c r="I3311">
        <v>9</v>
      </c>
      <c r="J3311">
        <v>0</v>
      </c>
      <c r="K3311" s="6" t="str">
        <f t="shared" ref="K3311" si="3719">"vs "&amp;E3310</f>
        <v>vs LRBP PR3DATORS</v>
      </c>
      <c r="L3311" s="6" t="str">
        <f t="shared" ref="L3311" si="3720">"vs "&amp;F3310</f>
        <v>vs Lafa</v>
      </c>
      <c r="M3311">
        <v>117</v>
      </c>
      <c r="N3311" s="1">
        <v>0.44</v>
      </c>
      <c r="O3311">
        <v>42</v>
      </c>
      <c r="P3311" s="1">
        <v>0.35</v>
      </c>
      <c r="Q3311" s="1">
        <v>0.86699999999999999</v>
      </c>
      <c r="R3311">
        <v>341</v>
      </c>
      <c r="S3311">
        <v>32</v>
      </c>
      <c r="T3311">
        <v>53</v>
      </c>
      <c r="U3311">
        <v>94</v>
      </c>
      <c r="V3311">
        <v>33</v>
      </c>
      <c r="W3311">
        <v>12</v>
      </c>
      <c r="X3311">
        <v>45</v>
      </c>
      <c r="Y3311">
        <v>2.09</v>
      </c>
    </row>
    <row r="3312" spans="1:25" x14ac:dyDescent="0.25">
      <c r="A3312">
        <v>2026</v>
      </c>
      <c r="B3312" t="s">
        <v>57</v>
      </c>
      <c r="C3312">
        <v>12</v>
      </c>
      <c r="D3312">
        <v>112</v>
      </c>
      <c r="E3312" t="s">
        <v>28</v>
      </c>
      <c r="F3312" t="s">
        <v>46</v>
      </c>
      <c r="G3312">
        <f t="shared" si="3676"/>
        <v>0</v>
      </c>
      <c r="H3312">
        <v>3</v>
      </c>
      <c r="I3312">
        <v>10</v>
      </c>
      <c r="J3312">
        <v>0</v>
      </c>
      <c r="K3312" s="6" t="str">
        <f t="shared" ref="K3312" si="3721">"vs "&amp;E3313</f>
        <v>vs Samarina Dudenbros</v>
      </c>
      <c r="L3312" s="6" t="str">
        <f t="shared" ref="L3312" si="3722">"vs "&amp;F3313</f>
        <v>vs Sakellariou</v>
      </c>
      <c r="M3312">
        <v>105</v>
      </c>
      <c r="N3312" s="1">
        <v>0.51200000000000001</v>
      </c>
      <c r="O3312">
        <v>33</v>
      </c>
      <c r="P3312" s="1">
        <v>0.35899999999999999</v>
      </c>
      <c r="Q3312" s="1">
        <v>0.85099999999999998</v>
      </c>
      <c r="R3312">
        <v>283</v>
      </c>
      <c r="S3312">
        <v>28</v>
      </c>
      <c r="T3312">
        <v>66</v>
      </c>
      <c r="U3312">
        <v>63</v>
      </c>
      <c r="V3312">
        <v>9</v>
      </c>
      <c r="W3312">
        <v>11</v>
      </c>
      <c r="X3312">
        <v>26</v>
      </c>
      <c r="Y3312">
        <v>2.42</v>
      </c>
    </row>
    <row r="3313" spans="1:25" x14ac:dyDescent="0.25">
      <c r="A3313">
        <v>2026</v>
      </c>
      <c r="B3313" t="s">
        <v>57</v>
      </c>
      <c r="C3313">
        <v>12</v>
      </c>
      <c r="D3313">
        <v>112</v>
      </c>
      <c r="E3313" t="s">
        <v>181</v>
      </c>
      <c r="F3313" t="s">
        <v>49</v>
      </c>
      <c r="G3313">
        <f t="shared" si="3676"/>
        <v>1</v>
      </c>
      <c r="H3313">
        <v>10</v>
      </c>
      <c r="I3313">
        <v>3</v>
      </c>
      <c r="J3313">
        <v>0</v>
      </c>
      <c r="K3313" s="6" t="str">
        <f t="shared" ref="K3313" si="3723">"vs "&amp;E3312</f>
        <v>vs Steven Adams' Moustache</v>
      </c>
      <c r="L3313" s="6" t="str">
        <f t="shared" ref="L3313" si="3724">"vs "&amp;F3312</f>
        <v>vs Johnny</v>
      </c>
      <c r="M3313">
        <v>225</v>
      </c>
      <c r="N3313" s="1">
        <v>0.45800000000000002</v>
      </c>
      <c r="O3313">
        <v>71</v>
      </c>
      <c r="P3313" s="1">
        <v>0.378</v>
      </c>
      <c r="Q3313" s="1">
        <v>0.83499999999999996</v>
      </c>
      <c r="R3313">
        <v>663</v>
      </c>
      <c r="S3313">
        <v>45</v>
      </c>
      <c r="T3313">
        <v>130</v>
      </c>
      <c r="U3313">
        <v>158</v>
      </c>
      <c r="V3313">
        <v>37</v>
      </c>
      <c r="W3313">
        <v>15</v>
      </c>
      <c r="X3313">
        <v>60</v>
      </c>
      <c r="Y3313">
        <v>2.63</v>
      </c>
    </row>
    <row r="3314" spans="1:25" x14ac:dyDescent="0.25">
      <c r="A3314">
        <v>2026</v>
      </c>
      <c r="B3314" t="s">
        <v>57</v>
      </c>
      <c r="C3314">
        <v>12</v>
      </c>
      <c r="D3314">
        <v>113</v>
      </c>
      <c r="E3314" t="s">
        <v>185</v>
      </c>
      <c r="F3314" t="s">
        <v>100</v>
      </c>
      <c r="G3314">
        <f t="shared" si="3676"/>
        <v>0</v>
      </c>
      <c r="H3314">
        <v>6</v>
      </c>
      <c r="I3314">
        <v>6</v>
      </c>
      <c r="J3314">
        <v>1</v>
      </c>
      <c r="K3314" s="6" t="str">
        <f t="shared" ref="K3314" si="3725">"vs "&amp;E3315</f>
        <v>vs The Bad Boys</v>
      </c>
      <c r="L3314" s="6" t="str">
        <f t="shared" ref="L3314" si="3726">"vs "&amp;F3315</f>
        <v>vs Arvanitis</v>
      </c>
      <c r="M3314">
        <v>189</v>
      </c>
      <c r="N3314" s="1">
        <v>0.49099999999999999</v>
      </c>
      <c r="O3314">
        <v>56</v>
      </c>
      <c r="P3314" s="1">
        <v>0.36399999999999999</v>
      </c>
      <c r="Q3314" s="1">
        <v>0.67</v>
      </c>
      <c r="R3314">
        <v>495</v>
      </c>
      <c r="S3314">
        <v>35</v>
      </c>
      <c r="T3314">
        <v>120</v>
      </c>
      <c r="U3314">
        <v>126</v>
      </c>
      <c r="V3314">
        <v>28</v>
      </c>
      <c r="W3314">
        <v>16</v>
      </c>
      <c r="X3314">
        <v>60</v>
      </c>
      <c r="Y3314">
        <v>2.1</v>
      </c>
    </row>
    <row r="3315" spans="1:25" x14ac:dyDescent="0.25">
      <c r="A3315">
        <v>2026</v>
      </c>
      <c r="B3315" t="s">
        <v>57</v>
      </c>
      <c r="C3315">
        <v>12</v>
      </c>
      <c r="D3315">
        <v>113</v>
      </c>
      <c r="E3315" t="s">
        <v>154</v>
      </c>
      <c r="F3315" t="s">
        <v>155</v>
      </c>
      <c r="G3315">
        <f t="shared" si="3676"/>
        <v>0</v>
      </c>
      <c r="H3315">
        <v>6</v>
      </c>
      <c r="I3315">
        <v>6</v>
      </c>
      <c r="J3315">
        <v>1</v>
      </c>
      <c r="K3315" s="6" t="str">
        <f t="shared" ref="K3315" si="3727">"vs "&amp;E3314</f>
        <v>vs Paralouistas</v>
      </c>
      <c r="L3315" s="6" t="str">
        <f t="shared" ref="L3315" si="3728">"vs "&amp;F3314</f>
        <v>vs Panos</v>
      </c>
      <c r="M3315">
        <v>159</v>
      </c>
      <c r="N3315" s="1">
        <v>0.49399999999999999</v>
      </c>
      <c r="O3315">
        <v>41</v>
      </c>
      <c r="P3315" s="1">
        <v>0.41399999999999998</v>
      </c>
      <c r="Q3315" s="1">
        <v>0.72399999999999998</v>
      </c>
      <c r="R3315">
        <v>430</v>
      </c>
      <c r="S3315">
        <v>35</v>
      </c>
      <c r="T3315">
        <v>116</v>
      </c>
      <c r="U3315">
        <v>101</v>
      </c>
      <c r="V3315">
        <v>29</v>
      </c>
      <c r="W3315">
        <v>15</v>
      </c>
      <c r="X3315">
        <v>43</v>
      </c>
      <c r="Y3315">
        <v>2.35</v>
      </c>
    </row>
    <row r="3316" spans="1:25" x14ac:dyDescent="0.25">
      <c r="A3316">
        <v>2026</v>
      </c>
      <c r="B3316" t="s">
        <v>57</v>
      </c>
      <c r="C3316">
        <v>12</v>
      </c>
      <c r="D3316">
        <v>114</v>
      </c>
      <c r="E3316" t="s">
        <v>21</v>
      </c>
      <c r="F3316" t="s">
        <v>50</v>
      </c>
      <c r="G3316">
        <f t="shared" si="3676"/>
        <v>1</v>
      </c>
      <c r="H3316">
        <v>10</v>
      </c>
      <c r="I3316">
        <v>3</v>
      </c>
      <c r="J3316">
        <v>0</v>
      </c>
      <c r="K3316" s="6" t="str">
        <f t="shared" ref="K3316" si="3729">"vs "&amp;E3317</f>
        <v>vs purple fuzzy apache pirates</v>
      </c>
      <c r="L3316" s="6" t="str">
        <f t="shared" ref="L3316" si="3730">"vs "&amp;F3317</f>
        <v>vs pi/Sotiris</v>
      </c>
      <c r="M3316">
        <v>167</v>
      </c>
      <c r="N3316" s="1">
        <v>0.50800000000000001</v>
      </c>
      <c r="O3316">
        <v>36</v>
      </c>
      <c r="P3316" s="1">
        <v>0.39100000000000001</v>
      </c>
      <c r="Q3316" s="1">
        <v>0.78</v>
      </c>
      <c r="R3316">
        <v>434</v>
      </c>
      <c r="S3316">
        <v>41</v>
      </c>
      <c r="T3316">
        <v>148</v>
      </c>
      <c r="U3316">
        <v>85</v>
      </c>
      <c r="V3316">
        <v>20</v>
      </c>
      <c r="W3316">
        <v>14</v>
      </c>
      <c r="X3316">
        <v>47</v>
      </c>
      <c r="Y3316">
        <v>1.81</v>
      </c>
    </row>
    <row r="3317" spans="1:25" x14ac:dyDescent="0.25">
      <c r="A3317">
        <v>2026</v>
      </c>
      <c r="B3317" t="s">
        <v>57</v>
      </c>
      <c r="C3317">
        <v>12</v>
      </c>
      <c r="D3317">
        <v>114</v>
      </c>
      <c r="E3317" t="s">
        <v>159</v>
      </c>
      <c r="F3317" t="s">
        <v>116</v>
      </c>
      <c r="G3317">
        <f t="shared" si="3676"/>
        <v>0</v>
      </c>
      <c r="H3317">
        <v>3</v>
      </c>
      <c r="I3317">
        <v>10</v>
      </c>
      <c r="J3317">
        <v>0</v>
      </c>
      <c r="K3317" s="6" t="str">
        <f t="shared" ref="K3317" si="3731">"vs "&amp;E3316</f>
        <v>vs st.Helens Eruptions</v>
      </c>
      <c r="L3317" s="6" t="str">
        <f t="shared" ref="L3317" si="3732">"vs "&amp;F3316</f>
        <v>vs Aris</v>
      </c>
      <c r="M3317">
        <v>112</v>
      </c>
      <c r="N3317" s="1">
        <v>0.47899999999999998</v>
      </c>
      <c r="O3317">
        <v>34</v>
      </c>
      <c r="P3317" s="1">
        <v>0.36199999999999999</v>
      </c>
      <c r="Q3317" s="1">
        <v>0.70299999999999996</v>
      </c>
      <c r="R3317">
        <v>303</v>
      </c>
      <c r="S3317">
        <v>27</v>
      </c>
      <c r="T3317">
        <v>93</v>
      </c>
      <c r="U3317">
        <v>76</v>
      </c>
      <c r="V3317">
        <v>22</v>
      </c>
      <c r="W3317">
        <v>8</v>
      </c>
      <c r="X3317">
        <v>38</v>
      </c>
      <c r="Y3317">
        <v>2</v>
      </c>
    </row>
    <row r="3318" spans="1:25" x14ac:dyDescent="0.25">
      <c r="A3318">
        <v>2026</v>
      </c>
      <c r="B3318" t="s">
        <v>57</v>
      </c>
      <c r="C3318">
        <v>12</v>
      </c>
      <c r="D3318">
        <v>115</v>
      </c>
      <c r="E3318" t="s">
        <v>23</v>
      </c>
      <c r="F3318" t="s">
        <v>120</v>
      </c>
      <c r="G3318">
        <f t="shared" si="3676"/>
        <v>1</v>
      </c>
      <c r="H3318">
        <v>11</v>
      </c>
      <c r="I3318">
        <v>2</v>
      </c>
      <c r="J3318">
        <v>0</v>
      </c>
      <c r="K3318" s="6" t="str">
        <f t="shared" ref="K3318" si="3733">"vs "&amp;E3319</f>
        <v>vs Knights of Ni</v>
      </c>
      <c r="L3318" s="6" t="str">
        <f t="shared" ref="L3318" si="3734">"vs "&amp;F3319</f>
        <v>vs Tolios</v>
      </c>
      <c r="M3318">
        <v>198</v>
      </c>
      <c r="N3318" s="1">
        <v>0.51300000000000001</v>
      </c>
      <c r="O3318">
        <v>59</v>
      </c>
      <c r="P3318" s="1">
        <v>0.41299999999999998</v>
      </c>
      <c r="Q3318" s="1">
        <v>0.80200000000000005</v>
      </c>
      <c r="R3318">
        <v>532</v>
      </c>
      <c r="S3318">
        <v>40</v>
      </c>
      <c r="T3318">
        <v>131</v>
      </c>
      <c r="U3318">
        <v>130</v>
      </c>
      <c r="V3318">
        <v>30</v>
      </c>
      <c r="W3318">
        <v>20</v>
      </c>
      <c r="X3318">
        <v>59</v>
      </c>
      <c r="Y3318">
        <v>2.2000000000000002</v>
      </c>
    </row>
    <row r="3319" spans="1:25" x14ac:dyDescent="0.25">
      <c r="A3319">
        <v>2026</v>
      </c>
      <c r="B3319" t="s">
        <v>57</v>
      </c>
      <c r="C3319">
        <v>12</v>
      </c>
      <c r="D3319">
        <v>115</v>
      </c>
      <c r="E3319" t="s">
        <v>96</v>
      </c>
      <c r="F3319" t="s">
        <v>102</v>
      </c>
      <c r="G3319">
        <f t="shared" si="3676"/>
        <v>0</v>
      </c>
      <c r="H3319">
        <v>2</v>
      </c>
      <c r="I3319">
        <v>11</v>
      </c>
      <c r="J3319">
        <v>0</v>
      </c>
      <c r="K3319" s="6" t="str">
        <f t="shared" ref="K3319" si="3735">"vs "&amp;E3318</f>
        <v>vs Pachiana NinjaBees</v>
      </c>
      <c r="L3319" s="6" t="str">
        <f t="shared" ref="L3319" si="3736">"vs "&amp;F3318</f>
        <v>vs Spiridaus/Oladipas</v>
      </c>
      <c r="M3319">
        <v>89</v>
      </c>
      <c r="N3319" s="1">
        <v>0.39200000000000002</v>
      </c>
      <c r="O3319">
        <v>23</v>
      </c>
      <c r="P3319" s="1">
        <v>0.26700000000000002</v>
      </c>
      <c r="Q3319" s="1">
        <v>0.91700000000000004</v>
      </c>
      <c r="R3319">
        <v>267</v>
      </c>
      <c r="S3319">
        <v>29</v>
      </c>
      <c r="T3319">
        <v>89</v>
      </c>
      <c r="U3319">
        <v>71</v>
      </c>
      <c r="V3319">
        <v>17</v>
      </c>
      <c r="W3319">
        <v>6</v>
      </c>
      <c r="X3319">
        <v>35</v>
      </c>
      <c r="Y3319">
        <v>2.0299999999999998</v>
      </c>
    </row>
    <row r="3320" spans="1:25" x14ac:dyDescent="0.25">
      <c r="A3320">
        <v>2026</v>
      </c>
      <c r="B3320" t="s">
        <v>57</v>
      </c>
      <c r="C3320">
        <v>12</v>
      </c>
      <c r="D3320">
        <v>116</v>
      </c>
      <c r="E3320" t="s">
        <v>186</v>
      </c>
      <c r="F3320" t="s">
        <v>103</v>
      </c>
      <c r="G3320">
        <f t="shared" si="3676"/>
        <v>1</v>
      </c>
      <c r="H3320">
        <v>9</v>
      </c>
      <c r="I3320">
        <v>3</v>
      </c>
      <c r="J3320">
        <v>1</v>
      </c>
      <c r="K3320" s="6" t="str">
        <f t="shared" ref="K3320" si="3737">"vs "&amp;E3321</f>
        <v>vs Guruuu 🐐🐐🐐</v>
      </c>
      <c r="L3320" s="6" t="str">
        <f t="shared" ref="L3320" si="3738">"vs "&amp;F3321</f>
        <v>vs Guru</v>
      </c>
      <c r="M3320">
        <v>192</v>
      </c>
      <c r="N3320" s="1">
        <v>0.496</v>
      </c>
      <c r="O3320">
        <v>50</v>
      </c>
      <c r="P3320" s="1">
        <v>0.39700000000000002</v>
      </c>
      <c r="Q3320" s="1">
        <v>0.86699999999999999</v>
      </c>
      <c r="R3320">
        <v>519</v>
      </c>
      <c r="S3320">
        <v>22</v>
      </c>
      <c r="T3320">
        <v>105</v>
      </c>
      <c r="U3320">
        <v>123</v>
      </c>
      <c r="V3320">
        <v>24</v>
      </c>
      <c r="W3320">
        <v>28</v>
      </c>
      <c r="X3320">
        <v>53</v>
      </c>
      <c r="Y3320">
        <v>2.3199999999999998</v>
      </c>
    </row>
    <row r="3321" spans="1:25" x14ac:dyDescent="0.25">
      <c r="A3321">
        <v>2026</v>
      </c>
      <c r="B3321" t="s">
        <v>57</v>
      </c>
      <c r="C3321">
        <v>12</v>
      </c>
      <c r="D3321">
        <v>116</v>
      </c>
      <c r="E3321" t="s">
        <v>93</v>
      </c>
      <c r="F3321" t="s">
        <v>189</v>
      </c>
      <c r="G3321">
        <f t="shared" si="3676"/>
        <v>0</v>
      </c>
      <c r="H3321">
        <v>3</v>
      </c>
      <c r="I3321">
        <v>9</v>
      </c>
      <c r="J3321">
        <v>1</v>
      </c>
      <c r="K3321" s="6" t="str">
        <f t="shared" ref="K3321" si="3739">"vs "&amp;E3320</f>
        <v>vs Karafli Saita</v>
      </c>
      <c r="L3321" s="6" t="str">
        <f t="shared" ref="L3321" si="3740">"vs "&amp;F3320</f>
        <v>vs Tassos</v>
      </c>
      <c r="M3321">
        <v>173</v>
      </c>
      <c r="N3321" s="1">
        <v>0.46500000000000002</v>
      </c>
      <c r="O3321">
        <v>59</v>
      </c>
      <c r="P3321" s="1">
        <v>0.34300000000000003</v>
      </c>
      <c r="Q3321" s="1">
        <v>0.73099999999999998</v>
      </c>
      <c r="R3321">
        <v>481</v>
      </c>
      <c r="S3321">
        <v>25</v>
      </c>
      <c r="T3321">
        <v>100</v>
      </c>
      <c r="U3321">
        <v>100</v>
      </c>
      <c r="V3321">
        <v>24</v>
      </c>
      <c r="W3321">
        <v>12</v>
      </c>
      <c r="X3321">
        <v>48</v>
      </c>
      <c r="Y3321">
        <v>2.08</v>
      </c>
    </row>
    <row r="3322" spans="1:25" x14ac:dyDescent="0.25">
      <c r="A3322">
        <v>2026</v>
      </c>
      <c r="B3322" t="s">
        <v>57</v>
      </c>
      <c r="C3322">
        <v>12</v>
      </c>
      <c r="D3322">
        <v>117</v>
      </c>
      <c r="E3322" t="s">
        <v>94</v>
      </c>
      <c r="F3322" t="s">
        <v>40</v>
      </c>
      <c r="G3322">
        <f t="shared" si="3676"/>
        <v>1</v>
      </c>
      <c r="H3322">
        <v>10</v>
      </c>
      <c r="I3322">
        <v>3</v>
      </c>
      <c r="J3322">
        <v>0</v>
      </c>
      <c r="K3322" s="6" t="str">
        <f t="shared" ref="K3322" si="3741">"vs "&amp;E3323</f>
        <v>vs Heraklion Snakes</v>
      </c>
      <c r="L3322" s="6" t="str">
        <f t="shared" ref="L3322" si="3742">"vs "&amp;F3323</f>
        <v>vs Dimitris</v>
      </c>
      <c r="M3322">
        <v>198</v>
      </c>
      <c r="N3322" s="1">
        <v>0.45100000000000001</v>
      </c>
      <c r="O3322">
        <v>54</v>
      </c>
      <c r="P3322" s="1">
        <v>0.316</v>
      </c>
      <c r="Q3322" s="1">
        <v>0.80300000000000005</v>
      </c>
      <c r="R3322">
        <v>552</v>
      </c>
      <c r="S3322">
        <v>46</v>
      </c>
      <c r="T3322">
        <v>122</v>
      </c>
      <c r="U3322">
        <v>115</v>
      </c>
      <c r="V3322">
        <v>23</v>
      </c>
      <c r="W3322">
        <v>23</v>
      </c>
      <c r="X3322">
        <v>53</v>
      </c>
      <c r="Y3322">
        <v>2.17</v>
      </c>
    </row>
    <row r="3323" spans="1:25" x14ac:dyDescent="0.25">
      <c r="A3323">
        <v>2026</v>
      </c>
      <c r="B3323" t="s">
        <v>57</v>
      </c>
      <c r="C3323">
        <v>12</v>
      </c>
      <c r="D3323">
        <v>117</v>
      </c>
      <c r="E3323" t="s">
        <v>184</v>
      </c>
      <c r="F3323" t="s">
        <v>188</v>
      </c>
      <c r="G3323">
        <f t="shared" si="3676"/>
        <v>0</v>
      </c>
      <c r="H3323">
        <v>3</v>
      </c>
      <c r="I3323">
        <v>10</v>
      </c>
      <c r="J3323">
        <v>0</v>
      </c>
      <c r="K3323" s="6" t="str">
        <f t="shared" ref="K3323" si="3743">"vs "&amp;E3322</f>
        <v>vs Fighting Thaddeus</v>
      </c>
      <c r="L3323" s="6" t="str">
        <f t="shared" ref="L3323" si="3744">"vs "&amp;F3322</f>
        <v>vs Stavros</v>
      </c>
      <c r="M3323">
        <v>87</v>
      </c>
      <c r="N3323" s="1">
        <v>0.46800000000000003</v>
      </c>
      <c r="O3323">
        <v>40</v>
      </c>
      <c r="P3323" s="1">
        <v>0.42099999999999999</v>
      </c>
      <c r="Q3323" s="1">
        <v>0.51600000000000001</v>
      </c>
      <c r="R3323">
        <v>230</v>
      </c>
      <c r="S3323">
        <v>19</v>
      </c>
      <c r="T3323">
        <v>76</v>
      </c>
      <c r="U3323">
        <v>62</v>
      </c>
      <c r="V3323">
        <v>21</v>
      </c>
      <c r="W3323">
        <v>13</v>
      </c>
      <c r="X3323">
        <v>36</v>
      </c>
      <c r="Y3323">
        <v>1.72</v>
      </c>
    </row>
    <row r="3324" spans="1:25" x14ac:dyDescent="0.25">
      <c r="A3324">
        <v>2026</v>
      </c>
      <c r="B3324" t="s">
        <v>57</v>
      </c>
      <c r="C3324">
        <v>12</v>
      </c>
      <c r="D3324">
        <v>118</v>
      </c>
      <c r="E3324" t="s">
        <v>201</v>
      </c>
      <c r="F3324" t="s">
        <v>227</v>
      </c>
      <c r="G3324">
        <f t="shared" si="3676"/>
        <v>1</v>
      </c>
      <c r="H3324">
        <v>9</v>
      </c>
      <c r="I3324">
        <v>4</v>
      </c>
      <c r="J3324">
        <v>0</v>
      </c>
      <c r="K3324" s="6" t="str">
        <f t="shared" ref="K3324" si="3745">"vs "&amp;E3325</f>
        <v>vs The Bridgeburners</v>
      </c>
      <c r="L3324" s="6" t="str">
        <f t="shared" ref="L3324" si="3746">"vs "&amp;F3325</f>
        <v>vs Fanis</v>
      </c>
      <c r="M3324">
        <v>162</v>
      </c>
      <c r="N3324" s="1">
        <v>0.53500000000000003</v>
      </c>
      <c r="O3324">
        <v>47</v>
      </c>
      <c r="P3324" s="1">
        <v>0.379</v>
      </c>
      <c r="Q3324" s="1">
        <v>0.81599999999999995</v>
      </c>
      <c r="R3324">
        <v>442</v>
      </c>
      <c r="S3324">
        <v>62</v>
      </c>
      <c r="T3324">
        <v>131</v>
      </c>
      <c r="U3324">
        <v>82</v>
      </c>
      <c r="V3324">
        <v>14</v>
      </c>
      <c r="W3324">
        <v>14</v>
      </c>
      <c r="X3324">
        <v>44</v>
      </c>
      <c r="Y3324">
        <v>1.86</v>
      </c>
    </row>
    <row r="3325" spans="1:25" x14ac:dyDescent="0.25">
      <c r="A3325">
        <v>2026</v>
      </c>
      <c r="B3325" t="s">
        <v>57</v>
      </c>
      <c r="C3325">
        <v>12</v>
      </c>
      <c r="D3325">
        <v>118</v>
      </c>
      <c r="E3325" t="s">
        <v>16</v>
      </c>
      <c r="F3325" t="s">
        <v>51</v>
      </c>
      <c r="G3325">
        <f t="shared" si="3676"/>
        <v>0</v>
      </c>
      <c r="H3325">
        <v>4</v>
      </c>
      <c r="I3325">
        <v>9</v>
      </c>
      <c r="J3325">
        <v>0</v>
      </c>
      <c r="K3325" s="6" t="str">
        <f t="shared" ref="K3325" si="3747">"vs "&amp;E3324</f>
        <v>vs Hércules Pals</v>
      </c>
      <c r="L3325" s="6" t="str">
        <f t="shared" ref="L3325" si="3748">"vs "&amp;F3324</f>
        <v>vs Pals</v>
      </c>
      <c r="M3325">
        <v>110</v>
      </c>
      <c r="N3325" s="1">
        <v>0.45500000000000002</v>
      </c>
      <c r="O3325">
        <v>32</v>
      </c>
      <c r="P3325" s="1">
        <v>0.30199999999999999</v>
      </c>
      <c r="Q3325" s="1">
        <v>0.68300000000000005</v>
      </c>
      <c r="R3325">
        <v>280</v>
      </c>
      <c r="S3325">
        <v>42</v>
      </c>
      <c r="T3325">
        <v>124</v>
      </c>
      <c r="U3325">
        <v>78</v>
      </c>
      <c r="V3325">
        <v>19</v>
      </c>
      <c r="W3325">
        <v>19</v>
      </c>
      <c r="X3325">
        <v>41</v>
      </c>
      <c r="Y3325">
        <v>1.9</v>
      </c>
    </row>
    <row r="3326" spans="1:25" x14ac:dyDescent="0.25">
      <c r="A3326">
        <v>2026</v>
      </c>
      <c r="B3326" t="s">
        <v>57</v>
      </c>
      <c r="C3326">
        <v>12</v>
      </c>
      <c r="D3326">
        <v>119</v>
      </c>
      <c r="E3326" t="s">
        <v>99</v>
      </c>
      <c r="F3326" t="s">
        <v>45</v>
      </c>
      <c r="G3326">
        <f t="shared" si="3676"/>
        <v>0</v>
      </c>
      <c r="H3326">
        <v>2</v>
      </c>
      <c r="I3326">
        <v>11</v>
      </c>
      <c r="J3326">
        <v>0</v>
      </c>
      <c r="K3326" s="6" t="str">
        <f t="shared" ref="K3326" si="3749">"vs "&amp;E3327</f>
        <v>vs Kourayo Vallecano</v>
      </c>
      <c r="L3326" s="6" t="str">
        <f t="shared" ref="L3326" si="3750">"vs "&amp;F3327</f>
        <v>vs Ziogas/Christof</v>
      </c>
      <c r="M3326">
        <v>111</v>
      </c>
      <c r="N3326" s="1">
        <v>0.46800000000000003</v>
      </c>
      <c r="O3326">
        <v>28</v>
      </c>
      <c r="P3326" s="1">
        <v>0.318</v>
      </c>
      <c r="Q3326" s="1">
        <v>0.66700000000000004</v>
      </c>
      <c r="R3326">
        <v>276</v>
      </c>
      <c r="S3326">
        <v>49</v>
      </c>
      <c r="T3326">
        <v>90</v>
      </c>
      <c r="U3326">
        <v>60</v>
      </c>
      <c r="V3326">
        <v>17</v>
      </c>
      <c r="W3326">
        <v>13</v>
      </c>
      <c r="X3326">
        <v>29</v>
      </c>
      <c r="Y3326">
        <v>2.0699999999999998</v>
      </c>
    </row>
    <row r="3327" spans="1:25" x14ac:dyDescent="0.25">
      <c r="A3327">
        <v>2026</v>
      </c>
      <c r="B3327" t="s">
        <v>57</v>
      </c>
      <c r="C3327">
        <v>12</v>
      </c>
      <c r="D3327">
        <v>119</v>
      </c>
      <c r="E3327" t="s">
        <v>26</v>
      </c>
      <c r="F3327" t="s">
        <v>118</v>
      </c>
      <c r="G3327">
        <f t="shared" si="3676"/>
        <v>1</v>
      </c>
      <c r="H3327">
        <v>11</v>
      </c>
      <c r="I3327">
        <v>2</v>
      </c>
      <c r="J3327">
        <v>0</v>
      </c>
      <c r="K3327" s="6" t="str">
        <f t="shared" ref="K3327" si="3751">"vs "&amp;E3326</f>
        <v>vs Tsarlatans</v>
      </c>
      <c r="L3327" s="6" t="str">
        <f t="shared" ref="L3327" si="3752">"vs "&amp;F3326</f>
        <v>vs Tzokos</v>
      </c>
      <c r="M3327">
        <v>134</v>
      </c>
      <c r="N3327" s="1">
        <v>0.48199999999999998</v>
      </c>
      <c r="O3327">
        <v>39</v>
      </c>
      <c r="P3327" s="1">
        <v>0.38200000000000001</v>
      </c>
      <c r="Q3327" s="1">
        <v>0.80500000000000005</v>
      </c>
      <c r="R3327">
        <v>373</v>
      </c>
      <c r="S3327">
        <v>39</v>
      </c>
      <c r="T3327">
        <v>119</v>
      </c>
      <c r="U3327">
        <v>107</v>
      </c>
      <c r="V3327">
        <v>23</v>
      </c>
      <c r="W3327">
        <v>14</v>
      </c>
      <c r="X3327">
        <v>38</v>
      </c>
      <c r="Y3327">
        <v>2.82</v>
      </c>
    </row>
    <row r="3328" spans="1:25" x14ac:dyDescent="0.25">
      <c r="A3328">
        <v>2026</v>
      </c>
      <c r="B3328" t="s">
        <v>57</v>
      </c>
      <c r="C3328">
        <v>12</v>
      </c>
      <c r="D3328">
        <v>120</v>
      </c>
      <c r="E3328" t="s">
        <v>33</v>
      </c>
      <c r="F3328" t="s">
        <v>42</v>
      </c>
      <c r="G3328">
        <f t="shared" si="3676"/>
        <v>1</v>
      </c>
      <c r="H3328">
        <v>10</v>
      </c>
      <c r="I3328">
        <v>3</v>
      </c>
      <c r="J3328">
        <v>0</v>
      </c>
      <c r="K3328" s="6" t="str">
        <f t="shared" ref="K3328" si="3753">"vs "&amp;E3329</f>
        <v>vs Xanthi Ducks 🦆</v>
      </c>
      <c r="L3328" s="6" t="str">
        <f t="shared" ref="L3328" si="3754">"vs "&amp;F3329</f>
        <v>vs Kotakis</v>
      </c>
      <c r="M3328">
        <v>203</v>
      </c>
      <c r="N3328" s="1">
        <v>0.48899999999999999</v>
      </c>
      <c r="O3328">
        <v>84</v>
      </c>
      <c r="P3328" s="1">
        <v>0.41399999999999998</v>
      </c>
      <c r="Q3328" s="1">
        <v>0.85099999999999998</v>
      </c>
      <c r="R3328">
        <v>593</v>
      </c>
      <c r="S3328">
        <v>22</v>
      </c>
      <c r="T3328">
        <v>113</v>
      </c>
      <c r="U3328">
        <v>114</v>
      </c>
      <c r="V3328">
        <v>30</v>
      </c>
      <c r="W3328">
        <v>18</v>
      </c>
      <c r="X3328">
        <v>62</v>
      </c>
      <c r="Y3328">
        <v>1.84</v>
      </c>
    </row>
    <row r="3329" spans="1:25" x14ac:dyDescent="0.25">
      <c r="A3329">
        <v>2026</v>
      </c>
      <c r="B3329" t="s">
        <v>57</v>
      </c>
      <c r="C3329">
        <v>12</v>
      </c>
      <c r="D3329">
        <v>120</v>
      </c>
      <c r="E3329" t="s">
        <v>98</v>
      </c>
      <c r="F3329" t="s">
        <v>41</v>
      </c>
      <c r="G3329">
        <f t="shared" si="3676"/>
        <v>0</v>
      </c>
      <c r="H3329">
        <v>3</v>
      </c>
      <c r="I3329">
        <v>10</v>
      </c>
      <c r="J3329">
        <v>0</v>
      </c>
      <c r="K3329" s="6" t="str">
        <f t="shared" ref="K3329" si="3755">"vs "&amp;E3328</f>
        <v>vs The Guns</v>
      </c>
      <c r="L3329" s="6" t="str">
        <f t="shared" ref="L3329" si="3756">"vs "&amp;F3328</f>
        <v>vs Vasilis</v>
      </c>
      <c r="M3329">
        <v>113</v>
      </c>
      <c r="N3329" s="1">
        <v>0.47899999999999998</v>
      </c>
      <c r="O3329">
        <v>59</v>
      </c>
      <c r="P3329" s="1">
        <v>0.43099999999999999</v>
      </c>
      <c r="Q3329" s="1">
        <v>0.82899999999999996</v>
      </c>
      <c r="R3329">
        <v>319</v>
      </c>
      <c r="S3329">
        <v>17</v>
      </c>
      <c r="T3329">
        <v>57</v>
      </c>
      <c r="U3329">
        <v>67</v>
      </c>
      <c r="V3329">
        <v>20</v>
      </c>
      <c r="W3329">
        <v>14</v>
      </c>
      <c r="X3329">
        <v>17</v>
      </c>
      <c r="Y3329">
        <v>3.94</v>
      </c>
    </row>
    <row r="3330" spans="1:25" x14ac:dyDescent="0.25">
      <c r="A3330">
        <v>2026</v>
      </c>
      <c r="B3330" t="s">
        <v>57</v>
      </c>
      <c r="C3330">
        <v>13</v>
      </c>
      <c r="D3330">
        <v>121</v>
      </c>
      <c r="E3330" t="s">
        <v>181</v>
      </c>
      <c r="F3330" t="s">
        <v>49</v>
      </c>
      <c r="G3330">
        <f t="shared" si="3676"/>
        <v>1</v>
      </c>
      <c r="H3330">
        <v>8</v>
      </c>
      <c r="I3330">
        <v>5</v>
      </c>
      <c r="J3330">
        <v>0</v>
      </c>
      <c r="K3330" s="6" t="str">
        <f t="shared" ref="K3330" si="3757">"vs "&amp;E3331</f>
        <v>vs LRBP PR3DATORS</v>
      </c>
      <c r="L3330" s="6" t="str">
        <f t="shared" ref="L3330" si="3758">"vs "&amp;F3331</f>
        <v>vs Lafa</v>
      </c>
      <c r="M3330">
        <v>220</v>
      </c>
      <c r="N3330" s="1">
        <v>0.45700000000000002</v>
      </c>
      <c r="O3330">
        <v>48</v>
      </c>
      <c r="P3330" s="1">
        <v>0.316</v>
      </c>
      <c r="Q3330" s="1">
        <v>0.82399999999999995</v>
      </c>
      <c r="R3330">
        <v>643</v>
      </c>
      <c r="S3330">
        <v>61</v>
      </c>
      <c r="T3330">
        <v>149</v>
      </c>
      <c r="U3330">
        <v>132</v>
      </c>
      <c r="V3330">
        <v>44</v>
      </c>
      <c r="W3330">
        <v>17</v>
      </c>
      <c r="X3330">
        <v>86</v>
      </c>
      <c r="Y3330">
        <v>1.53</v>
      </c>
    </row>
    <row r="3331" spans="1:25" x14ac:dyDescent="0.25">
      <c r="A3331">
        <v>2026</v>
      </c>
      <c r="B3331" t="s">
        <v>57</v>
      </c>
      <c r="C3331">
        <v>13</v>
      </c>
      <c r="D3331">
        <v>121</v>
      </c>
      <c r="E3331" t="s">
        <v>158</v>
      </c>
      <c r="F3331" t="s">
        <v>177</v>
      </c>
      <c r="G3331">
        <f t="shared" si="3676"/>
        <v>0</v>
      </c>
      <c r="H3331">
        <v>5</v>
      </c>
      <c r="I3331">
        <v>8</v>
      </c>
      <c r="J3331">
        <v>0</v>
      </c>
      <c r="K3331" s="6" t="str">
        <f t="shared" ref="K3331" si="3759">"vs "&amp;E3330</f>
        <v>vs Samarina Dudenbros</v>
      </c>
      <c r="L3331" s="6" t="str">
        <f t="shared" ref="L3331" si="3760">"vs "&amp;F3330</f>
        <v>vs Sakellariou</v>
      </c>
      <c r="M3331">
        <v>157</v>
      </c>
      <c r="N3331" s="1">
        <v>0.495</v>
      </c>
      <c r="O3331">
        <v>43</v>
      </c>
      <c r="P3331" s="1">
        <v>0.371</v>
      </c>
      <c r="Q3331" s="1">
        <v>0.81699999999999995</v>
      </c>
      <c r="R3331">
        <v>491</v>
      </c>
      <c r="S3331">
        <v>29</v>
      </c>
      <c r="T3331">
        <v>146</v>
      </c>
      <c r="U3331">
        <v>119</v>
      </c>
      <c r="V3331">
        <v>29</v>
      </c>
      <c r="W3331">
        <v>24</v>
      </c>
      <c r="X3331">
        <v>65</v>
      </c>
      <c r="Y3331">
        <v>1.83</v>
      </c>
    </row>
    <row r="3332" spans="1:25" x14ac:dyDescent="0.25">
      <c r="A3332">
        <v>2026</v>
      </c>
      <c r="B3332" t="s">
        <v>57</v>
      </c>
      <c r="C3332">
        <v>13</v>
      </c>
      <c r="D3332">
        <v>122</v>
      </c>
      <c r="E3332" t="s">
        <v>154</v>
      </c>
      <c r="F3332" t="s">
        <v>155</v>
      </c>
      <c r="G3332">
        <f t="shared" si="3676"/>
        <v>1</v>
      </c>
      <c r="H3332">
        <v>8</v>
      </c>
      <c r="I3332">
        <v>5</v>
      </c>
      <c r="J3332">
        <v>0</v>
      </c>
      <c r="K3332" s="6" t="str">
        <f t="shared" ref="K3332" si="3761">"vs "&amp;E3333</f>
        <v>vs Salonika Devils</v>
      </c>
      <c r="L3332" s="6" t="str">
        <f t="shared" ref="L3332" si="3762">"vs "&amp;F3333</f>
        <v>vs Fountos</v>
      </c>
      <c r="M3332">
        <v>196</v>
      </c>
      <c r="N3332" s="1">
        <v>0.46700000000000003</v>
      </c>
      <c r="O3332">
        <v>54</v>
      </c>
      <c r="P3332" s="1">
        <v>0.38800000000000001</v>
      </c>
      <c r="Q3332" s="1">
        <v>0.72199999999999998</v>
      </c>
      <c r="R3332">
        <v>550</v>
      </c>
      <c r="S3332">
        <v>43</v>
      </c>
      <c r="T3332">
        <v>141</v>
      </c>
      <c r="U3332">
        <v>129</v>
      </c>
      <c r="V3332">
        <v>35</v>
      </c>
      <c r="W3332">
        <v>22</v>
      </c>
      <c r="X3332">
        <v>66</v>
      </c>
      <c r="Y3332">
        <v>1.95</v>
      </c>
    </row>
    <row r="3333" spans="1:25" x14ac:dyDescent="0.25">
      <c r="A3333">
        <v>2026</v>
      </c>
      <c r="B3333" t="s">
        <v>57</v>
      </c>
      <c r="C3333">
        <v>13</v>
      </c>
      <c r="D3333">
        <v>122</v>
      </c>
      <c r="E3333" t="s">
        <v>15</v>
      </c>
      <c r="F3333" t="s">
        <v>48</v>
      </c>
      <c r="G3333">
        <f t="shared" si="3676"/>
        <v>0</v>
      </c>
      <c r="H3333">
        <v>5</v>
      </c>
      <c r="I3333">
        <v>8</v>
      </c>
      <c r="J3333">
        <v>0</v>
      </c>
      <c r="K3333" s="6" t="str">
        <f t="shared" ref="K3333" si="3763">"vs "&amp;E3332</f>
        <v>vs The Bad Boys</v>
      </c>
      <c r="L3333" s="6" t="str">
        <f t="shared" ref="L3333" si="3764">"vs "&amp;F3332</f>
        <v>vs Arvanitis</v>
      </c>
      <c r="M3333">
        <v>153</v>
      </c>
      <c r="N3333" s="1">
        <v>0.46800000000000003</v>
      </c>
      <c r="O3333">
        <v>47</v>
      </c>
      <c r="P3333" s="1">
        <v>0.379</v>
      </c>
      <c r="Q3333" s="1">
        <v>0.79</v>
      </c>
      <c r="R3333">
        <v>417</v>
      </c>
      <c r="S3333">
        <v>44</v>
      </c>
      <c r="T3333">
        <v>102</v>
      </c>
      <c r="U3333">
        <v>89</v>
      </c>
      <c r="V3333">
        <v>30</v>
      </c>
      <c r="W3333">
        <v>17</v>
      </c>
      <c r="X3333">
        <v>41</v>
      </c>
      <c r="Y3333">
        <v>2.17</v>
      </c>
    </row>
    <row r="3334" spans="1:25" x14ac:dyDescent="0.25">
      <c r="A3334">
        <v>2026</v>
      </c>
      <c r="B3334" t="s">
        <v>57</v>
      </c>
      <c r="C3334">
        <v>13</v>
      </c>
      <c r="D3334">
        <v>123</v>
      </c>
      <c r="E3334" t="s">
        <v>159</v>
      </c>
      <c r="F3334" t="s">
        <v>116</v>
      </c>
      <c r="G3334">
        <f t="shared" si="3676"/>
        <v>1</v>
      </c>
      <c r="H3334">
        <v>8</v>
      </c>
      <c r="I3334">
        <v>5</v>
      </c>
      <c r="J3334">
        <v>0</v>
      </c>
      <c r="K3334" s="6" t="str">
        <f t="shared" ref="K3334" si="3765">"vs "&amp;E3335</f>
        <v>vs Steven Adams' Moustache</v>
      </c>
      <c r="L3334" s="6" t="str">
        <f t="shared" ref="L3334" si="3766">"vs "&amp;F3335</f>
        <v>vs Johnny</v>
      </c>
      <c r="M3334">
        <v>183</v>
      </c>
      <c r="N3334" s="1">
        <v>0.46100000000000002</v>
      </c>
      <c r="O3334">
        <v>44</v>
      </c>
      <c r="P3334" s="1">
        <v>0.31900000000000001</v>
      </c>
      <c r="Q3334" s="1">
        <v>0.77400000000000002</v>
      </c>
      <c r="R3334">
        <v>506</v>
      </c>
      <c r="S3334">
        <v>49</v>
      </c>
      <c r="T3334">
        <v>181</v>
      </c>
      <c r="U3334">
        <v>173</v>
      </c>
      <c r="V3334">
        <v>28</v>
      </c>
      <c r="W3334">
        <v>12</v>
      </c>
      <c r="X3334">
        <v>66</v>
      </c>
      <c r="Y3334">
        <v>2.62</v>
      </c>
    </row>
    <row r="3335" spans="1:25" x14ac:dyDescent="0.25">
      <c r="A3335">
        <v>2026</v>
      </c>
      <c r="B3335" t="s">
        <v>57</v>
      </c>
      <c r="C3335">
        <v>13</v>
      </c>
      <c r="D3335">
        <v>123</v>
      </c>
      <c r="E3335" t="s">
        <v>28</v>
      </c>
      <c r="F3335" t="s">
        <v>46</v>
      </c>
      <c r="G3335">
        <f t="shared" si="3676"/>
        <v>0</v>
      </c>
      <c r="H3335">
        <v>5</v>
      </c>
      <c r="I3335">
        <v>8</v>
      </c>
      <c r="J3335">
        <v>0</v>
      </c>
      <c r="K3335" s="6" t="str">
        <f t="shared" ref="K3335" si="3767">"vs "&amp;E3334</f>
        <v>vs purple fuzzy apache pirates</v>
      </c>
      <c r="L3335" s="6" t="str">
        <f t="shared" ref="L3335" si="3768">"vs "&amp;F3334</f>
        <v>vs pi/Sotiris</v>
      </c>
      <c r="M3335">
        <v>118</v>
      </c>
      <c r="N3335" s="1">
        <v>0.46500000000000002</v>
      </c>
      <c r="O3335">
        <v>45</v>
      </c>
      <c r="P3335" s="1">
        <v>0.39100000000000001</v>
      </c>
      <c r="Q3335" s="1">
        <v>0.84399999999999997</v>
      </c>
      <c r="R3335">
        <v>335</v>
      </c>
      <c r="S3335">
        <v>28</v>
      </c>
      <c r="T3335">
        <v>100</v>
      </c>
      <c r="U3335">
        <v>70</v>
      </c>
      <c r="V3335">
        <v>21</v>
      </c>
      <c r="W3335">
        <v>11</v>
      </c>
      <c r="X3335">
        <v>38</v>
      </c>
      <c r="Y3335">
        <v>1.84</v>
      </c>
    </row>
    <row r="3336" spans="1:25" x14ac:dyDescent="0.25">
      <c r="A3336">
        <v>2026</v>
      </c>
      <c r="B3336" t="s">
        <v>57</v>
      </c>
      <c r="C3336">
        <v>13</v>
      </c>
      <c r="D3336">
        <v>124</v>
      </c>
      <c r="E3336" t="s">
        <v>96</v>
      </c>
      <c r="F3336" t="s">
        <v>102</v>
      </c>
      <c r="G3336">
        <f t="shared" si="3676"/>
        <v>0</v>
      </c>
      <c r="H3336">
        <v>4</v>
      </c>
      <c r="I3336">
        <v>8</v>
      </c>
      <c r="J3336">
        <v>1</v>
      </c>
      <c r="K3336" s="6" t="str">
        <f t="shared" ref="K3336" si="3769">"vs "&amp;E3337</f>
        <v>vs Paralouistas</v>
      </c>
      <c r="L3336" s="6" t="str">
        <f t="shared" ref="L3336" si="3770">"vs "&amp;F3337</f>
        <v>vs Panos</v>
      </c>
      <c r="M3336">
        <v>124</v>
      </c>
      <c r="N3336" s="1">
        <v>0.52300000000000002</v>
      </c>
      <c r="O3336">
        <v>40</v>
      </c>
      <c r="P3336" s="1">
        <v>0.40400000000000003</v>
      </c>
      <c r="Q3336" s="1">
        <v>0.9</v>
      </c>
      <c r="R3336">
        <v>333</v>
      </c>
      <c r="S3336">
        <v>26</v>
      </c>
      <c r="T3336">
        <v>92</v>
      </c>
      <c r="U3336">
        <v>47</v>
      </c>
      <c r="V3336">
        <v>24</v>
      </c>
      <c r="W3336">
        <v>10</v>
      </c>
      <c r="X3336">
        <v>36</v>
      </c>
      <c r="Y3336">
        <v>1.31</v>
      </c>
    </row>
    <row r="3337" spans="1:25" x14ac:dyDescent="0.25">
      <c r="A3337">
        <v>2026</v>
      </c>
      <c r="B3337" t="s">
        <v>57</v>
      </c>
      <c r="C3337">
        <v>13</v>
      </c>
      <c r="D3337">
        <v>124</v>
      </c>
      <c r="E3337" t="s">
        <v>185</v>
      </c>
      <c r="F3337" t="s">
        <v>100</v>
      </c>
      <c r="G3337">
        <f t="shared" si="3676"/>
        <v>1</v>
      </c>
      <c r="H3337">
        <v>8</v>
      </c>
      <c r="I3337">
        <v>4</v>
      </c>
      <c r="J3337">
        <v>1</v>
      </c>
      <c r="K3337" s="6" t="str">
        <f t="shared" ref="K3337" si="3771">"vs "&amp;E3336</f>
        <v>vs Knights of Ni</v>
      </c>
      <c r="L3337" s="6" t="str">
        <f t="shared" ref="L3337" si="3772">"vs "&amp;F3336</f>
        <v>vs Tolios</v>
      </c>
      <c r="M3337">
        <v>174</v>
      </c>
      <c r="N3337" s="1">
        <v>0.435</v>
      </c>
      <c r="O3337">
        <v>40</v>
      </c>
      <c r="P3337" s="1">
        <v>0.28399999999999997</v>
      </c>
      <c r="Q3337" s="1">
        <v>0.70599999999999996</v>
      </c>
      <c r="R3337">
        <v>448</v>
      </c>
      <c r="S3337">
        <v>30</v>
      </c>
      <c r="T3337">
        <v>140</v>
      </c>
      <c r="U3337">
        <v>147</v>
      </c>
      <c r="V3337">
        <v>37</v>
      </c>
      <c r="W3337">
        <v>20</v>
      </c>
      <c r="X3337">
        <v>60</v>
      </c>
      <c r="Y3337">
        <v>2.4500000000000002</v>
      </c>
    </row>
    <row r="3338" spans="1:25" x14ac:dyDescent="0.25">
      <c r="A3338">
        <v>2026</v>
      </c>
      <c r="B3338" t="s">
        <v>57</v>
      </c>
      <c r="C3338">
        <v>13</v>
      </c>
      <c r="D3338">
        <v>125</v>
      </c>
      <c r="E3338" t="s">
        <v>93</v>
      </c>
      <c r="F3338" t="s">
        <v>189</v>
      </c>
      <c r="G3338">
        <f t="shared" si="3676"/>
        <v>0</v>
      </c>
      <c r="H3338">
        <v>6</v>
      </c>
      <c r="I3338">
        <v>7</v>
      </c>
      <c r="J3338">
        <v>0</v>
      </c>
      <c r="K3338" s="6" t="str">
        <f t="shared" ref="K3338" si="3773">"vs "&amp;E3339</f>
        <v>vs st.Helens Eruptions</v>
      </c>
      <c r="L3338" s="6" t="str">
        <f t="shared" ref="L3338" si="3774">"vs "&amp;F3339</f>
        <v>vs Aris</v>
      </c>
      <c r="M3338">
        <v>164</v>
      </c>
      <c r="N3338" s="1">
        <v>0.41799999999999998</v>
      </c>
      <c r="O3338">
        <v>54</v>
      </c>
      <c r="P3338" s="1">
        <v>0.32500000000000001</v>
      </c>
      <c r="Q3338" s="1">
        <v>0.85799999999999998</v>
      </c>
      <c r="R3338">
        <v>485</v>
      </c>
      <c r="S3338">
        <v>32</v>
      </c>
      <c r="T3338">
        <v>106</v>
      </c>
      <c r="U3338">
        <v>77</v>
      </c>
      <c r="V3338">
        <v>29</v>
      </c>
      <c r="W3338">
        <v>18</v>
      </c>
      <c r="X3338">
        <v>46</v>
      </c>
      <c r="Y3338">
        <v>1.67</v>
      </c>
    </row>
    <row r="3339" spans="1:25" x14ac:dyDescent="0.25">
      <c r="A3339">
        <v>2026</v>
      </c>
      <c r="B3339" t="s">
        <v>57</v>
      </c>
      <c r="C3339">
        <v>13</v>
      </c>
      <c r="D3339">
        <v>125</v>
      </c>
      <c r="E3339" t="s">
        <v>21</v>
      </c>
      <c r="F3339" t="s">
        <v>50</v>
      </c>
      <c r="G3339">
        <f t="shared" si="3676"/>
        <v>1</v>
      </c>
      <c r="H3339">
        <v>7</v>
      </c>
      <c r="I3339">
        <v>6</v>
      </c>
      <c r="J3339">
        <v>0</v>
      </c>
      <c r="K3339" s="6" t="str">
        <f t="shared" ref="K3339" si="3775">"vs "&amp;E3338</f>
        <v>vs Guruuu 🐐🐐🐐</v>
      </c>
      <c r="L3339" s="6" t="str">
        <f t="shared" ref="L3339" si="3776">"vs "&amp;F3338</f>
        <v>vs Guru</v>
      </c>
      <c r="M3339">
        <v>152</v>
      </c>
      <c r="N3339" s="1">
        <v>0.438</v>
      </c>
      <c r="O3339">
        <v>49</v>
      </c>
      <c r="P3339" s="1">
        <v>0.38300000000000001</v>
      </c>
      <c r="Q3339" s="1">
        <v>0.747</v>
      </c>
      <c r="R3339">
        <v>415</v>
      </c>
      <c r="S3339">
        <v>44</v>
      </c>
      <c r="T3339">
        <v>108</v>
      </c>
      <c r="U3339">
        <v>93</v>
      </c>
      <c r="V3339">
        <v>24</v>
      </c>
      <c r="W3339">
        <v>12</v>
      </c>
      <c r="X3339">
        <v>40</v>
      </c>
      <c r="Y3339">
        <v>2.33</v>
      </c>
    </row>
    <row r="3340" spans="1:25" x14ac:dyDescent="0.25">
      <c r="A3340">
        <v>2026</v>
      </c>
      <c r="B3340" t="s">
        <v>57</v>
      </c>
      <c r="C3340">
        <v>13</v>
      </c>
      <c r="D3340">
        <v>126</v>
      </c>
      <c r="E3340" t="s">
        <v>184</v>
      </c>
      <c r="F3340" t="s">
        <v>188</v>
      </c>
      <c r="G3340">
        <f t="shared" si="3676"/>
        <v>0</v>
      </c>
      <c r="H3340">
        <v>1</v>
      </c>
      <c r="I3340">
        <v>12</v>
      </c>
      <c r="J3340">
        <v>0</v>
      </c>
      <c r="K3340" s="6" t="str">
        <f t="shared" ref="K3340" si="3777">"vs "&amp;E3341</f>
        <v>vs Pachiana NinjaBees</v>
      </c>
      <c r="L3340" s="6" t="str">
        <f t="shared" ref="L3340" si="3778">"vs "&amp;F3341</f>
        <v>vs Spiridaus/Oladipas</v>
      </c>
      <c r="M3340">
        <v>90</v>
      </c>
      <c r="N3340" s="1">
        <v>0.41899999999999998</v>
      </c>
      <c r="O3340">
        <v>38</v>
      </c>
      <c r="P3340" s="1">
        <v>0.36499999999999999</v>
      </c>
      <c r="Q3340" s="1">
        <v>0.73699999999999999</v>
      </c>
      <c r="R3340">
        <v>260</v>
      </c>
      <c r="S3340">
        <v>28</v>
      </c>
      <c r="T3340">
        <v>76</v>
      </c>
      <c r="U3340">
        <v>60</v>
      </c>
      <c r="V3340">
        <v>12</v>
      </c>
      <c r="W3340">
        <v>11</v>
      </c>
      <c r="X3340">
        <v>38</v>
      </c>
      <c r="Y3340">
        <v>1.58</v>
      </c>
    </row>
    <row r="3341" spans="1:25" x14ac:dyDescent="0.25">
      <c r="A3341">
        <v>2026</v>
      </c>
      <c r="B3341" t="s">
        <v>57</v>
      </c>
      <c r="C3341">
        <v>13</v>
      </c>
      <c r="D3341">
        <v>126</v>
      </c>
      <c r="E3341" t="s">
        <v>23</v>
      </c>
      <c r="F3341" t="s">
        <v>120</v>
      </c>
      <c r="G3341">
        <f t="shared" si="3676"/>
        <v>1</v>
      </c>
      <c r="H3341">
        <v>12</v>
      </c>
      <c r="I3341">
        <v>1</v>
      </c>
      <c r="J3341">
        <v>0</v>
      </c>
      <c r="K3341" s="6" t="str">
        <f t="shared" ref="K3341" si="3779">"vs "&amp;E3340</f>
        <v>vs Heraklion Snakes</v>
      </c>
      <c r="L3341" s="6" t="str">
        <f t="shared" ref="L3341" si="3780">"vs "&amp;F3340</f>
        <v>vs Dimitris</v>
      </c>
      <c r="M3341">
        <v>194</v>
      </c>
      <c r="N3341" s="1">
        <v>0.504</v>
      </c>
      <c r="O3341">
        <v>71</v>
      </c>
      <c r="P3341" s="1">
        <v>0.41799999999999998</v>
      </c>
      <c r="Q3341" s="1">
        <v>0.86699999999999999</v>
      </c>
      <c r="R3341">
        <v>524</v>
      </c>
      <c r="S3341">
        <v>48</v>
      </c>
      <c r="T3341">
        <v>151</v>
      </c>
      <c r="U3341">
        <v>127</v>
      </c>
      <c r="V3341">
        <v>37</v>
      </c>
      <c r="W3341">
        <v>32</v>
      </c>
      <c r="X3341">
        <v>62</v>
      </c>
      <c r="Y3341">
        <v>2.0499999999999998</v>
      </c>
    </row>
    <row r="3342" spans="1:25" x14ac:dyDescent="0.25">
      <c r="A3342">
        <v>2026</v>
      </c>
      <c r="B3342" t="s">
        <v>57</v>
      </c>
      <c r="C3342">
        <v>13</v>
      </c>
      <c r="D3342">
        <v>127</v>
      </c>
      <c r="E3342" t="s">
        <v>16</v>
      </c>
      <c r="F3342" t="s">
        <v>51</v>
      </c>
      <c r="G3342">
        <f t="shared" si="3676"/>
        <v>0</v>
      </c>
      <c r="H3342">
        <v>4</v>
      </c>
      <c r="I3342">
        <v>9</v>
      </c>
      <c r="J3342">
        <v>0</v>
      </c>
      <c r="K3342" s="6" t="str">
        <f t="shared" ref="K3342" si="3781">"vs "&amp;E3343</f>
        <v>vs Karafli Saita</v>
      </c>
      <c r="L3342" s="6" t="str">
        <f t="shared" ref="L3342" si="3782">"vs "&amp;F3343</f>
        <v>vs Tassos</v>
      </c>
      <c r="M3342">
        <v>130</v>
      </c>
      <c r="N3342" s="1">
        <v>0.439</v>
      </c>
      <c r="O3342">
        <v>32</v>
      </c>
      <c r="P3342" s="1">
        <v>0.29599999999999999</v>
      </c>
      <c r="Q3342" s="1">
        <v>0.82499999999999996</v>
      </c>
      <c r="R3342">
        <v>344</v>
      </c>
      <c r="S3342">
        <v>43</v>
      </c>
      <c r="T3342">
        <v>139</v>
      </c>
      <c r="U3342">
        <v>70</v>
      </c>
      <c r="V3342">
        <v>17</v>
      </c>
      <c r="W3342">
        <v>19</v>
      </c>
      <c r="X3342">
        <v>50</v>
      </c>
      <c r="Y3342">
        <v>1.4</v>
      </c>
    </row>
    <row r="3343" spans="1:25" x14ac:dyDescent="0.25">
      <c r="A3343">
        <v>2026</v>
      </c>
      <c r="B3343" t="s">
        <v>57</v>
      </c>
      <c r="C3343">
        <v>13</v>
      </c>
      <c r="D3343">
        <v>127</v>
      </c>
      <c r="E3343" t="s">
        <v>186</v>
      </c>
      <c r="F3343" t="s">
        <v>103</v>
      </c>
      <c r="G3343">
        <f t="shared" si="3676"/>
        <v>1</v>
      </c>
      <c r="H3343">
        <v>9</v>
      </c>
      <c r="I3343">
        <v>4</v>
      </c>
      <c r="J3343">
        <v>0</v>
      </c>
      <c r="K3343" s="6" t="str">
        <f t="shared" ref="K3343" si="3783">"vs "&amp;E3342</f>
        <v>vs The Bridgeburners</v>
      </c>
      <c r="L3343" s="6" t="str">
        <f t="shared" ref="L3343" si="3784">"vs "&amp;F3342</f>
        <v>vs Fanis</v>
      </c>
      <c r="M3343">
        <v>195</v>
      </c>
      <c r="N3343" s="1">
        <v>0.46500000000000002</v>
      </c>
      <c r="O3343">
        <v>36</v>
      </c>
      <c r="P3343" s="1">
        <v>0.31900000000000001</v>
      </c>
      <c r="Q3343" s="1">
        <v>0.77900000000000003</v>
      </c>
      <c r="R3343">
        <v>532</v>
      </c>
      <c r="S3343">
        <v>32</v>
      </c>
      <c r="T3343">
        <v>128</v>
      </c>
      <c r="U3343">
        <v>134</v>
      </c>
      <c r="V3343">
        <v>39</v>
      </c>
      <c r="W3343">
        <v>28</v>
      </c>
      <c r="X3343">
        <v>62</v>
      </c>
      <c r="Y3343">
        <v>2.16</v>
      </c>
    </row>
    <row r="3344" spans="1:25" x14ac:dyDescent="0.25">
      <c r="A3344">
        <v>2026</v>
      </c>
      <c r="B3344" t="s">
        <v>57</v>
      </c>
      <c r="C3344">
        <v>13</v>
      </c>
      <c r="D3344">
        <v>128</v>
      </c>
      <c r="E3344" t="s">
        <v>26</v>
      </c>
      <c r="F3344" t="s">
        <v>118</v>
      </c>
      <c r="G3344">
        <f t="shared" si="3676"/>
        <v>0</v>
      </c>
      <c r="H3344">
        <v>3</v>
      </c>
      <c r="I3344">
        <v>9</v>
      </c>
      <c r="J3344">
        <v>1</v>
      </c>
      <c r="K3344" s="6" t="str">
        <f t="shared" ref="K3344" si="3785">"vs "&amp;E3345</f>
        <v>vs Fighting Thaddeus</v>
      </c>
      <c r="L3344" s="6" t="str">
        <f t="shared" ref="L3344" si="3786">"vs "&amp;F3345</f>
        <v>vs Stavros</v>
      </c>
      <c r="M3344">
        <v>140</v>
      </c>
      <c r="N3344" s="1">
        <v>0.49299999999999999</v>
      </c>
      <c r="O3344">
        <v>42</v>
      </c>
      <c r="P3344" s="1">
        <v>0.375</v>
      </c>
      <c r="Q3344" s="1">
        <v>0.69399999999999995</v>
      </c>
      <c r="R3344">
        <v>381</v>
      </c>
      <c r="S3344">
        <v>51</v>
      </c>
      <c r="T3344">
        <v>120</v>
      </c>
      <c r="U3344">
        <v>111</v>
      </c>
      <c r="V3344">
        <v>28</v>
      </c>
      <c r="W3344">
        <v>18</v>
      </c>
      <c r="X3344">
        <v>58</v>
      </c>
      <c r="Y3344">
        <v>1.91</v>
      </c>
    </row>
    <row r="3345" spans="1:25" x14ac:dyDescent="0.25">
      <c r="A3345">
        <v>2026</v>
      </c>
      <c r="B3345" t="s">
        <v>57</v>
      </c>
      <c r="C3345">
        <v>13</v>
      </c>
      <c r="D3345">
        <v>128</v>
      </c>
      <c r="E3345" t="s">
        <v>94</v>
      </c>
      <c r="F3345" t="s">
        <v>40</v>
      </c>
      <c r="G3345">
        <f t="shared" si="3676"/>
        <v>1</v>
      </c>
      <c r="H3345">
        <v>9</v>
      </c>
      <c r="I3345">
        <v>3</v>
      </c>
      <c r="J3345">
        <v>1</v>
      </c>
      <c r="K3345" s="6" t="str">
        <f t="shared" ref="K3345" si="3787">"vs "&amp;E3344</f>
        <v>vs Kourayo Vallecano</v>
      </c>
      <c r="L3345" s="6" t="str">
        <f t="shared" ref="L3345" si="3788">"vs "&amp;F3344</f>
        <v>vs Ziogas/Christof</v>
      </c>
      <c r="M3345">
        <v>197</v>
      </c>
      <c r="N3345" s="1">
        <v>0.49099999999999999</v>
      </c>
      <c r="O3345">
        <v>67</v>
      </c>
      <c r="P3345" s="1">
        <v>0.38300000000000001</v>
      </c>
      <c r="Q3345" s="1">
        <v>0.81499999999999995</v>
      </c>
      <c r="R3345">
        <v>549</v>
      </c>
      <c r="S3345">
        <v>47</v>
      </c>
      <c r="T3345">
        <v>134</v>
      </c>
      <c r="U3345">
        <v>142</v>
      </c>
      <c r="V3345">
        <v>18</v>
      </c>
      <c r="W3345">
        <v>21</v>
      </c>
      <c r="X3345">
        <v>58</v>
      </c>
      <c r="Y3345">
        <v>2.4500000000000002</v>
      </c>
    </row>
    <row r="3346" spans="1:25" x14ac:dyDescent="0.25">
      <c r="A3346">
        <v>2026</v>
      </c>
      <c r="B3346" t="s">
        <v>57</v>
      </c>
      <c r="C3346">
        <v>13</v>
      </c>
      <c r="D3346">
        <v>129</v>
      </c>
      <c r="E3346" t="s">
        <v>98</v>
      </c>
      <c r="F3346" t="s">
        <v>41</v>
      </c>
      <c r="G3346">
        <f t="shared" si="3676"/>
        <v>0</v>
      </c>
      <c r="H3346">
        <v>6</v>
      </c>
      <c r="I3346">
        <v>7</v>
      </c>
      <c r="J3346">
        <v>0</v>
      </c>
      <c r="K3346" s="6" t="str">
        <f t="shared" ref="K3346" si="3789">"vs "&amp;E3347</f>
        <v>vs Hércules Pals</v>
      </c>
      <c r="L3346" s="6" t="str">
        <f t="shared" ref="L3346" si="3790">"vs "&amp;F3347</f>
        <v>vs Pals</v>
      </c>
      <c r="M3346">
        <v>106</v>
      </c>
      <c r="N3346" s="1">
        <v>0.43099999999999999</v>
      </c>
      <c r="O3346">
        <v>45</v>
      </c>
      <c r="P3346" s="1">
        <v>0.36899999999999999</v>
      </c>
      <c r="Q3346" s="1">
        <v>0.79100000000000004</v>
      </c>
      <c r="R3346">
        <v>291</v>
      </c>
      <c r="S3346">
        <v>25</v>
      </c>
      <c r="T3346">
        <v>86</v>
      </c>
      <c r="U3346">
        <v>80</v>
      </c>
      <c r="V3346">
        <v>24</v>
      </c>
      <c r="W3346">
        <v>9</v>
      </c>
      <c r="X3346">
        <v>30</v>
      </c>
      <c r="Y3346">
        <v>2.67</v>
      </c>
    </row>
    <row r="3347" spans="1:25" x14ac:dyDescent="0.25">
      <c r="A3347">
        <v>2026</v>
      </c>
      <c r="B3347" t="s">
        <v>57</v>
      </c>
      <c r="C3347">
        <v>13</v>
      </c>
      <c r="D3347">
        <v>129</v>
      </c>
      <c r="E3347" t="s">
        <v>201</v>
      </c>
      <c r="F3347" t="s">
        <v>227</v>
      </c>
      <c r="G3347">
        <f t="shared" si="3676"/>
        <v>1</v>
      </c>
      <c r="H3347">
        <v>7</v>
      </c>
      <c r="I3347">
        <v>6</v>
      </c>
      <c r="J3347">
        <v>0</v>
      </c>
      <c r="K3347" s="6" t="str">
        <f t="shared" ref="K3347" si="3791">"vs "&amp;E3346</f>
        <v>vs Xanthi Ducks 🦆</v>
      </c>
      <c r="L3347" s="6" t="str">
        <f t="shared" ref="L3347" si="3792">"vs "&amp;F3346</f>
        <v>vs Kotakis</v>
      </c>
      <c r="M3347">
        <v>101</v>
      </c>
      <c r="N3347" s="1">
        <v>0.45500000000000002</v>
      </c>
      <c r="O3347">
        <v>50</v>
      </c>
      <c r="P3347" s="1">
        <v>0.38500000000000001</v>
      </c>
      <c r="Q3347" s="1">
        <v>0.80400000000000005</v>
      </c>
      <c r="R3347">
        <v>289</v>
      </c>
      <c r="S3347">
        <v>43</v>
      </c>
      <c r="T3347">
        <v>88</v>
      </c>
      <c r="U3347">
        <v>73</v>
      </c>
      <c r="V3347">
        <v>25</v>
      </c>
      <c r="W3347">
        <v>7</v>
      </c>
      <c r="X3347">
        <v>44</v>
      </c>
      <c r="Y3347">
        <v>1.66</v>
      </c>
    </row>
    <row r="3348" spans="1:25" x14ac:dyDescent="0.25">
      <c r="A3348">
        <v>2026</v>
      </c>
      <c r="B3348" t="s">
        <v>57</v>
      </c>
      <c r="C3348">
        <v>13</v>
      </c>
      <c r="D3348">
        <v>130</v>
      </c>
      <c r="E3348" t="s">
        <v>33</v>
      </c>
      <c r="F3348" t="s">
        <v>42</v>
      </c>
      <c r="G3348">
        <f t="shared" si="3676"/>
        <v>1</v>
      </c>
      <c r="H3348">
        <v>8</v>
      </c>
      <c r="I3348">
        <v>5</v>
      </c>
      <c r="J3348">
        <v>0</v>
      </c>
      <c r="K3348" s="6" t="str">
        <f t="shared" ref="K3348" si="3793">"vs "&amp;E3349</f>
        <v>vs Tsarlatans</v>
      </c>
      <c r="L3348" s="6" t="str">
        <f t="shared" ref="L3348" si="3794">"vs "&amp;F3349</f>
        <v>vs Tzokos</v>
      </c>
      <c r="M3348">
        <v>172</v>
      </c>
      <c r="N3348" s="1">
        <v>0.47399999999999998</v>
      </c>
      <c r="O3348">
        <v>58</v>
      </c>
      <c r="P3348" s="1">
        <v>0.34300000000000003</v>
      </c>
      <c r="Q3348" s="1">
        <v>0.85899999999999999</v>
      </c>
      <c r="R3348">
        <v>487</v>
      </c>
      <c r="S3348">
        <v>19</v>
      </c>
      <c r="T3348">
        <v>93</v>
      </c>
      <c r="U3348">
        <v>125</v>
      </c>
      <c r="V3348">
        <v>38</v>
      </c>
      <c r="W3348">
        <v>16</v>
      </c>
      <c r="X3348">
        <v>53</v>
      </c>
      <c r="Y3348">
        <v>2.36</v>
      </c>
    </row>
    <row r="3349" spans="1:25" x14ac:dyDescent="0.25">
      <c r="A3349">
        <v>2026</v>
      </c>
      <c r="B3349" t="s">
        <v>57</v>
      </c>
      <c r="C3349">
        <v>13</v>
      </c>
      <c r="D3349">
        <v>130</v>
      </c>
      <c r="E3349" t="s">
        <v>99</v>
      </c>
      <c r="F3349" t="s">
        <v>45</v>
      </c>
      <c r="G3349">
        <f t="shared" si="3676"/>
        <v>0</v>
      </c>
      <c r="H3349">
        <v>5</v>
      </c>
      <c r="I3349">
        <v>8</v>
      </c>
      <c r="J3349">
        <v>0</v>
      </c>
      <c r="K3349" s="6" t="str">
        <f t="shared" ref="K3349" si="3795">"vs "&amp;E3348</f>
        <v>vs The Guns</v>
      </c>
      <c r="L3349" s="6" t="str">
        <f t="shared" ref="L3349" si="3796">"vs "&amp;F3348</f>
        <v>vs Vasilis</v>
      </c>
      <c r="M3349">
        <v>161</v>
      </c>
      <c r="N3349" s="1">
        <v>0.51100000000000001</v>
      </c>
      <c r="O3349">
        <v>49</v>
      </c>
      <c r="P3349" s="1">
        <v>0.40500000000000003</v>
      </c>
      <c r="Q3349" s="1">
        <v>0.747</v>
      </c>
      <c r="R3349">
        <v>427</v>
      </c>
      <c r="S3349">
        <v>46</v>
      </c>
      <c r="T3349">
        <v>131</v>
      </c>
      <c r="U3349">
        <v>98</v>
      </c>
      <c r="V3349">
        <v>17</v>
      </c>
      <c r="W3349">
        <v>11</v>
      </c>
      <c r="X3349">
        <v>46</v>
      </c>
      <c r="Y3349">
        <v>2.13</v>
      </c>
    </row>
    <row r="3350" spans="1:25" x14ac:dyDescent="0.25">
      <c r="A3350">
        <v>2026</v>
      </c>
      <c r="B3350" t="s">
        <v>57</v>
      </c>
      <c r="C3350">
        <v>14</v>
      </c>
      <c r="D3350">
        <v>131</v>
      </c>
      <c r="E3350" t="s">
        <v>158</v>
      </c>
      <c r="F3350" t="s">
        <v>177</v>
      </c>
      <c r="G3350">
        <f t="shared" si="3676"/>
        <v>1</v>
      </c>
      <c r="H3350">
        <v>9</v>
      </c>
      <c r="I3350">
        <v>4</v>
      </c>
      <c r="J3350">
        <v>0</v>
      </c>
      <c r="K3350" s="6" t="str">
        <f t="shared" ref="K3350" si="3797">"vs "&amp;E3351</f>
        <v>vs The Bad Boys</v>
      </c>
      <c r="L3350" s="6" t="str">
        <f t="shared" ref="L3350" si="3798">"vs "&amp;F3351</f>
        <v>vs Arvanitis</v>
      </c>
      <c r="M3350">
        <v>221</v>
      </c>
      <c r="N3350" s="1">
        <v>0.47799999999999998</v>
      </c>
      <c r="O3350">
        <v>52</v>
      </c>
      <c r="P3350" s="1">
        <v>0.377</v>
      </c>
      <c r="Q3350" s="1">
        <v>0.70299999999999996</v>
      </c>
      <c r="R3350">
        <v>596</v>
      </c>
      <c r="S3350">
        <v>57</v>
      </c>
      <c r="T3350">
        <v>185</v>
      </c>
      <c r="U3350">
        <v>144</v>
      </c>
      <c r="V3350">
        <v>34</v>
      </c>
      <c r="W3350">
        <v>24</v>
      </c>
      <c r="X3350">
        <v>77</v>
      </c>
      <c r="Y3350">
        <v>1.87</v>
      </c>
    </row>
    <row r="3351" spans="1:25" x14ac:dyDescent="0.25">
      <c r="A3351">
        <v>2026</v>
      </c>
      <c r="B3351" t="s">
        <v>57</v>
      </c>
      <c r="C3351">
        <v>14</v>
      </c>
      <c r="D3351">
        <v>131</v>
      </c>
      <c r="E3351" t="s">
        <v>154</v>
      </c>
      <c r="F3351" t="s">
        <v>155</v>
      </c>
      <c r="G3351">
        <f t="shared" si="3676"/>
        <v>0</v>
      </c>
      <c r="H3351">
        <v>4</v>
      </c>
      <c r="I3351">
        <v>9</v>
      </c>
      <c r="J3351">
        <v>0</v>
      </c>
      <c r="K3351" s="6" t="str">
        <f t="shared" ref="K3351" si="3799">"vs "&amp;E3350</f>
        <v>vs LRBP PR3DATORS</v>
      </c>
      <c r="L3351" s="6" t="str">
        <f t="shared" ref="L3351" si="3800">"vs "&amp;F3350</f>
        <v>vs Lafa</v>
      </c>
      <c r="M3351">
        <v>194</v>
      </c>
      <c r="N3351" s="1">
        <v>0.46400000000000002</v>
      </c>
      <c r="O3351">
        <v>32</v>
      </c>
      <c r="P3351" s="1">
        <v>0.28299999999999997</v>
      </c>
      <c r="Q3351" s="1">
        <v>0.75</v>
      </c>
      <c r="R3351">
        <v>504</v>
      </c>
      <c r="S3351">
        <v>49</v>
      </c>
      <c r="T3351">
        <v>117</v>
      </c>
      <c r="U3351">
        <v>111</v>
      </c>
      <c r="V3351">
        <v>30</v>
      </c>
      <c r="W3351">
        <v>29</v>
      </c>
      <c r="X3351">
        <v>52</v>
      </c>
      <c r="Y3351">
        <v>2.13</v>
      </c>
    </row>
    <row r="3352" spans="1:25" x14ac:dyDescent="0.25">
      <c r="A3352">
        <v>2026</v>
      </c>
      <c r="B3352" t="s">
        <v>57</v>
      </c>
      <c r="C3352">
        <v>14</v>
      </c>
      <c r="D3352">
        <v>132</v>
      </c>
      <c r="E3352" t="s">
        <v>181</v>
      </c>
      <c r="F3352" t="s">
        <v>49</v>
      </c>
      <c r="G3352">
        <f t="shared" si="3676"/>
        <v>1</v>
      </c>
      <c r="H3352">
        <v>9</v>
      </c>
      <c r="I3352">
        <v>4</v>
      </c>
      <c r="J3352">
        <v>0</v>
      </c>
      <c r="K3352" s="6" t="str">
        <f t="shared" ref="K3352" si="3801">"vs "&amp;E3353</f>
        <v>vs purple fuzzy apache pirates</v>
      </c>
      <c r="L3352" s="6" t="str">
        <f t="shared" ref="L3352" si="3802">"vs "&amp;F3353</f>
        <v>vs pi/Sotiris</v>
      </c>
      <c r="M3352">
        <v>230</v>
      </c>
      <c r="N3352" s="1">
        <v>0.48699999999999999</v>
      </c>
      <c r="O3352">
        <v>64</v>
      </c>
      <c r="P3352" s="1">
        <v>0.379</v>
      </c>
      <c r="Q3352" s="1">
        <v>0.76700000000000002</v>
      </c>
      <c r="R3352">
        <v>626</v>
      </c>
      <c r="S3352">
        <v>49</v>
      </c>
      <c r="T3352">
        <v>136</v>
      </c>
      <c r="U3352">
        <v>139</v>
      </c>
      <c r="V3352">
        <v>42</v>
      </c>
      <c r="W3352">
        <v>9</v>
      </c>
      <c r="X3352">
        <v>78</v>
      </c>
      <c r="Y3352">
        <v>1.78</v>
      </c>
    </row>
    <row r="3353" spans="1:25" x14ac:dyDescent="0.25">
      <c r="A3353">
        <v>2026</v>
      </c>
      <c r="B3353" t="s">
        <v>57</v>
      </c>
      <c r="C3353">
        <v>14</v>
      </c>
      <c r="D3353">
        <v>132</v>
      </c>
      <c r="E3353" t="s">
        <v>159</v>
      </c>
      <c r="F3353" t="s">
        <v>116</v>
      </c>
      <c r="G3353">
        <f t="shared" si="3676"/>
        <v>0</v>
      </c>
      <c r="H3353">
        <v>4</v>
      </c>
      <c r="I3353">
        <v>9</v>
      </c>
      <c r="J3353">
        <v>0</v>
      </c>
      <c r="K3353" s="6" t="str">
        <f t="shared" ref="K3353" si="3803">"vs "&amp;E3352</f>
        <v>vs Samarina Dudenbros</v>
      </c>
      <c r="L3353" s="6" t="str">
        <f t="shared" ref="L3353" si="3804">"vs "&amp;F3352</f>
        <v>vs Sakellariou</v>
      </c>
      <c r="M3353">
        <v>115</v>
      </c>
      <c r="N3353" s="1">
        <v>0.47899999999999998</v>
      </c>
      <c r="O3353">
        <v>44</v>
      </c>
      <c r="P3353" s="1">
        <v>0.41499999999999998</v>
      </c>
      <c r="Q3353" s="1">
        <v>0.82799999999999996</v>
      </c>
      <c r="R3353">
        <v>322</v>
      </c>
      <c r="S3353">
        <v>36</v>
      </c>
      <c r="T3353">
        <v>90</v>
      </c>
      <c r="U3353">
        <v>64</v>
      </c>
      <c r="V3353">
        <v>27</v>
      </c>
      <c r="W3353">
        <v>11</v>
      </c>
      <c r="X3353">
        <v>50</v>
      </c>
      <c r="Y3353">
        <v>1.28</v>
      </c>
    </row>
    <row r="3354" spans="1:25" x14ac:dyDescent="0.25">
      <c r="A3354">
        <v>2026</v>
      </c>
      <c r="B3354" t="s">
        <v>57</v>
      </c>
      <c r="C3354">
        <v>14</v>
      </c>
      <c r="D3354">
        <v>133</v>
      </c>
      <c r="E3354" t="s">
        <v>15</v>
      </c>
      <c r="F3354" t="s">
        <v>48</v>
      </c>
      <c r="G3354">
        <f t="shared" ref="G3354:G3417" si="3805">IF(H3354+0.5*J3354&gt;6.5,1,0)</f>
        <v>1</v>
      </c>
      <c r="H3354">
        <v>7</v>
      </c>
      <c r="I3354">
        <v>6</v>
      </c>
      <c r="J3354">
        <v>0</v>
      </c>
      <c r="K3354" s="6" t="str">
        <f t="shared" ref="K3354" si="3806">"vs "&amp;E3355</f>
        <v>vs Knights of Ni</v>
      </c>
      <c r="L3354" s="6" t="str">
        <f t="shared" ref="L3354" si="3807">"vs "&amp;F3355</f>
        <v>vs Tolios</v>
      </c>
      <c r="M3354">
        <v>132</v>
      </c>
      <c r="N3354" s="1">
        <v>0.46200000000000002</v>
      </c>
      <c r="O3354">
        <v>34</v>
      </c>
      <c r="P3354" s="1">
        <v>0.32400000000000001</v>
      </c>
      <c r="Q3354" s="1">
        <v>0.67600000000000005</v>
      </c>
      <c r="R3354">
        <v>344</v>
      </c>
      <c r="S3354">
        <v>42</v>
      </c>
      <c r="T3354">
        <v>101</v>
      </c>
      <c r="U3354">
        <v>79</v>
      </c>
      <c r="V3354">
        <v>28</v>
      </c>
      <c r="W3354">
        <v>12</v>
      </c>
      <c r="X3354">
        <v>34</v>
      </c>
      <c r="Y3354">
        <v>2.3199999999999998</v>
      </c>
    </row>
    <row r="3355" spans="1:25" x14ac:dyDescent="0.25">
      <c r="A3355">
        <v>2026</v>
      </c>
      <c r="B3355" t="s">
        <v>57</v>
      </c>
      <c r="C3355">
        <v>14</v>
      </c>
      <c r="D3355">
        <v>133</v>
      </c>
      <c r="E3355" t="s">
        <v>96</v>
      </c>
      <c r="F3355" t="s">
        <v>102</v>
      </c>
      <c r="G3355">
        <f t="shared" si="3805"/>
        <v>0</v>
      </c>
      <c r="H3355">
        <v>6</v>
      </c>
      <c r="I3355">
        <v>7</v>
      </c>
      <c r="J3355">
        <v>0</v>
      </c>
      <c r="K3355" s="6" t="str">
        <f t="shared" ref="K3355" si="3808">"vs "&amp;E3354</f>
        <v>vs Salonika Devils</v>
      </c>
      <c r="L3355" s="6" t="str">
        <f t="shared" ref="L3355" si="3809">"vs "&amp;F3354</f>
        <v>vs Fountos</v>
      </c>
      <c r="M3355">
        <v>114</v>
      </c>
      <c r="N3355" s="1">
        <v>0.41</v>
      </c>
      <c r="O3355">
        <v>38</v>
      </c>
      <c r="P3355" s="1">
        <v>0.33600000000000002</v>
      </c>
      <c r="Q3355" s="1">
        <v>0.79600000000000004</v>
      </c>
      <c r="R3355">
        <v>309</v>
      </c>
      <c r="S3355">
        <v>44</v>
      </c>
      <c r="T3355">
        <v>117</v>
      </c>
      <c r="U3355">
        <v>77</v>
      </c>
      <c r="V3355">
        <v>27</v>
      </c>
      <c r="W3355">
        <v>18</v>
      </c>
      <c r="X3355">
        <v>49</v>
      </c>
      <c r="Y3355">
        <v>1.57</v>
      </c>
    </row>
    <row r="3356" spans="1:25" x14ac:dyDescent="0.25">
      <c r="A3356">
        <v>2026</v>
      </c>
      <c r="B3356" t="s">
        <v>57</v>
      </c>
      <c r="C3356">
        <v>14</v>
      </c>
      <c r="D3356">
        <v>134</v>
      </c>
      <c r="E3356" t="s">
        <v>28</v>
      </c>
      <c r="F3356" t="s">
        <v>46</v>
      </c>
      <c r="G3356">
        <f t="shared" si="3805"/>
        <v>0</v>
      </c>
      <c r="H3356">
        <v>3</v>
      </c>
      <c r="I3356">
        <v>10</v>
      </c>
      <c r="J3356">
        <v>0</v>
      </c>
      <c r="K3356" s="6" t="str">
        <f t="shared" ref="K3356" si="3810">"vs "&amp;E3357</f>
        <v>vs Guruuu 🐐🐐🐐</v>
      </c>
      <c r="L3356" s="6" t="str">
        <f t="shared" ref="L3356" si="3811">"vs "&amp;F3357</f>
        <v>vs Guru</v>
      </c>
      <c r="M3356">
        <v>106</v>
      </c>
      <c r="N3356" s="1">
        <v>0.42899999999999999</v>
      </c>
      <c r="O3356">
        <v>47</v>
      </c>
      <c r="P3356" s="1">
        <v>0.41199999999999998</v>
      </c>
      <c r="Q3356" s="1">
        <v>0.81399999999999995</v>
      </c>
      <c r="R3356">
        <v>307</v>
      </c>
      <c r="S3356">
        <v>22</v>
      </c>
      <c r="T3356">
        <v>83</v>
      </c>
      <c r="U3356">
        <v>84</v>
      </c>
      <c r="V3356">
        <v>26</v>
      </c>
      <c r="W3356">
        <v>11</v>
      </c>
      <c r="X3356">
        <v>54</v>
      </c>
      <c r="Y3356">
        <v>1.56</v>
      </c>
    </row>
    <row r="3357" spans="1:25" x14ac:dyDescent="0.25">
      <c r="A3357">
        <v>2026</v>
      </c>
      <c r="B3357" t="s">
        <v>57</v>
      </c>
      <c r="C3357">
        <v>14</v>
      </c>
      <c r="D3357">
        <v>134</v>
      </c>
      <c r="E3357" t="s">
        <v>93</v>
      </c>
      <c r="F3357" t="s">
        <v>189</v>
      </c>
      <c r="G3357">
        <f t="shared" si="3805"/>
        <v>1</v>
      </c>
      <c r="H3357">
        <v>10</v>
      </c>
      <c r="I3357">
        <v>3</v>
      </c>
      <c r="J3357">
        <v>0</v>
      </c>
      <c r="K3357" s="6" t="str">
        <f t="shared" ref="K3357" si="3812">"vs "&amp;E3356</f>
        <v>vs Steven Adams' Moustache</v>
      </c>
      <c r="L3357" s="6" t="str">
        <f t="shared" ref="L3357" si="3813">"vs "&amp;F3356</f>
        <v>vs Johnny</v>
      </c>
      <c r="M3357">
        <v>194</v>
      </c>
      <c r="N3357" s="1">
        <v>0.48099999999999998</v>
      </c>
      <c r="O3357">
        <v>64</v>
      </c>
      <c r="P3357" s="1">
        <v>0.432</v>
      </c>
      <c r="Q3357" s="1">
        <v>0.752</v>
      </c>
      <c r="R3357">
        <v>549</v>
      </c>
      <c r="S3357">
        <v>47</v>
      </c>
      <c r="T3357">
        <v>139</v>
      </c>
      <c r="U3357">
        <v>74</v>
      </c>
      <c r="V3357">
        <v>30</v>
      </c>
      <c r="W3357">
        <v>18</v>
      </c>
      <c r="X3357">
        <v>53</v>
      </c>
      <c r="Y3357">
        <v>1.4</v>
      </c>
    </row>
    <row r="3358" spans="1:25" x14ac:dyDescent="0.25">
      <c r="A3358">
        <v>2026</v>
      </c>
      <c r="B3358" t="s">
        <v>57</v>
      </c>
      <c r="C3358">
        <v>14</v>
      </c>
      <c r="D3358">
        <v>135</v>
      </c>
      <c r="E3358" t="s">
        <v>185</v>
      </c>
      <c r="F3358" t="s">
        <v>100</v>
      </c>
      <c r="G3358">
        <f t="shared" si="3805"/>
        <v>1</v>
      </c>
      <c r="H3358">
        <v>11</v>
      </c>
      <c r="I3358">
        <v>2</v>
      </c>
      <c r="J3358">
        <v>0</v>
      </c>
      <c r="K3358" s="6" t="str">
        <f t="shared" ref="K3358" si="3814">"vs "&amp;E3359</f>
        <v>vs Heraklion Snakes</v>
      </c>
      <c r="L3358" s="6" t="str">
        <f t="shared" ref="L3358" si="3815">"vs "&amp;F3359</f>
        <v>vs Dimitris</v>
      </c>
      <c r="M3358">
        <v>181</v>
      </c>
      <c r="N3358" s="1">
        <v>0.45300000000000001</v>
      </c>
      <c r="O3358">
        <v>49</v>
      </c>
      <c r="P3358" s="1">
        <v>0.33300000000000002</v>
      </c>
      <c r="Q3358" s="1">
        <v>0.76100000000000001</v>
      </c>
      <c r="R3358">
        <v>481</v>
      </c>
      <c r="S3358">
        <v>40</v>
      </c>
      <c r="T3358">
        <v>120</v>
      </c>
      <c r="U3358">
        <v>150</v>
      </c>
      <c r="V3358">
        <v>36</v>
      </c>
      <c r="W3358">
        <v>27</v>
      </c>
      <c r="X3358">
        <v>73</v>
      </c>
      <c r="Y3358">
        <v>2.0499999999999998</v>
      </c>
    </row>
    <row r="3359" spans="1:25" x14ac:dyDescent="0.25">
      <c r="A3359">
        <v>2026</v>
      </c>
      <c r="B3359" t="s">
        <v>57</v>
      </c>
      <c r="C3359">
        <v>14</v>
      </c>
      <c r="D3359">
        <v>135</v>
      </c>
      <c r="E3359" t="s">
        <v>184</v>
      </c>
      <c r="F3359" t="s">
        <v>188</v>
      </c>
      <c r="G3359">
        <f t="shared" si="3805"/>
        <v>0</v>
      </c>
      <c r="H3359">
        <v>2</v>
      </c>
      <c r="I3359">
        <v>11</v>
      </c>
      <c r="J3359">
        <v>0</v>
      </c>
      <c r="K3359" s="6" t="str">
        <f t="shared" ref="K3359" si="3816">"vs "&amp;E3358</f>
        <v>vs Paralouistas</v>
      </c>
      <c r="L3359" s="6" t="str">
        <f t="shared" ref="L3359" si="3817">"vs "&amp;F3358</f>
        <v>vs Panos</v>
      </c>
      <c r="M3359">
        <v>114</v>
      </c>
      <c r="N3359" s="1">
        <v>0.42899999999999999</v>
      </c>
      <c r="O3359">
        <v>37</v>
      </c>
      <c r="P3359" s="1">
        <v>0.31900000000000001</v>
      </c>
      <c r="Q3359" s="1">
        <v>0.877</v>
      </c>
      <c r="R3359">
        <v>336</v>
      </c>
      <c r="S3359">
        <v>32</v>
      </c>
      <c r="T3359">
        <v>113</v>
      </c>
      <c r="U3359">
        <v>86</v>
      </c>
      <c r="V3359">
        <v>23</v>
      </c>
      <c r="W3359">
        <v>9</v>
      </c>
      <c r="X3359">
        <v>54</v>
      </c>
      <c r="Y3359">
        <v>1.59</v>
      </c>
    </row>
    <row r="3360" spans="1:25" x14ac:dyDescent="0.25">
      <c r="A3360">
        <v>2026</v>
      </c>
      <c r="B3360" t="s">
        <v>57</v>
      </c>
      <c r="C3360">
        <v>14</v>
      </c>
      <c r="D3360">
        <v>136</v>
      </c>
      <c r="E3360" t="s">
        <v>21</v>
      </c>
      <c r="F3360" t="s">
        <v>50</v>
      </c>
      <c r="G3360">
        <f t="shared" si="3805"/>
        <v>1</v>
      </c>
      <c r="H3360">
        <v>9</v>
      </c>
      <c r="I3360">
        <v>4</v>
      </c>
      <c r="J3360">
        <v>0</v>
      </c>
      <c r="K3360" s="6" t="str">
        <f t="shared" ref="K3360" si="3818">"vs "&amp;E3361</f>
        <v>vs The Bridgeburners</v>
      </c>
      <c r="L3360" s="6" t="str">
        <f t="shared" ref="L3360" si="3819">"vs "&amp;F3361</f>
        <v>vs Fanis</v>
      </c>
      <c r="M3360">
        <v>170</v>
      </c>
      <c r="N3360" s="1">
        <v>0.52600000000000002</v>
      </c>
      <c r="O3360">
        <v>36</v>
      </c>
      <c r="P3360" s="1">
        <v>0.379</v>
      </c>
      <c r="Q3360" s="1">
        <v>0.9</v>
      </c>
      <c r="R3360">
        <v>439</v>
      </c>
      <c r="S3360">
        <v>56</v>
      </c>
      <c r="T3360">
        <v>107</v>
      </c>
      <c r="U3360">
        <v>79</v>
      </c>
      <c r="V3360">
        <v>28</v>
      </c>
      <c r="W3360">
        <v>25</v>
      </c>
      <c r="X3360">
        <v>36</v>
      </c>
      <c r="Y3360">
        <v>2.19</v>
      </c>
    </row>
    <row r="3361" spans="1:25" x14ac:dyDescent="0.25">
      <c r="A3361">
        <v>2026</v>
      </c>
      <c r="B3361" t="s">
        <v>57</v>
      </c>
      <c r="C3361">
        <v>14</v>
      </c>
      <c r="D3361">
        <v>136</v>
      </c>
      <c r="E3361" t="s">
        <v>16</v>
      </c>
      <c r="F3361" t="s">
        <v>51</v>
      </c>
      <c r="G3361">
        <f t="shared" si="3805"/>
        <v>0</v>
      </c>
      <c r="H3361">
        <v>4</v>
      </c>
      <c r="I3361">
        <v>9</v>
      </c>
      <c r="J3361">
        <v>0</v>
      </c>
      <c r="K3361" s="6" t="str">
        <f t="shared" ref="K3361" si="3820">"vs "&amp;E3360</f>
        <v>vs st.Helens Eruptions</v>
      </c>
      <c r="L3361" s="6" t="str">
        <f t="shared" ref="L3361" si="3821">"vs "&amp;F3360</f>
        <v>vs Aris</v>
      </c>
      <c r="M3361">
        <v>133</v>
      </c>
      <c r="N3361" s="1">
        <v>0.49099999999999999</v>
      </c>
      <c r="O3361">
        <v>49</v>
      </c>
      <c r="P3361" s="1">
        <v>0.40799999999999997</v>
      </c>
      <c r="Q3361" s="1">
        <v>0.75</v>
      </c>
      <c r="R3361">
        <v>363</v>
      </c>
      <c r="S3361">
        <v>35</v>
      </c>
      <c r="T3361">
        <v>113</v>
      </c>
      <c r="U3361">
        <v>78</v>
      </c>
      <c r="V3361">
        <v>29</v>
      </c>
      <c r="W3361">
        <v>17</v>
      </c>
      <c r="X3361">
        <v>52</v>
      </c>
      <c r="Y3361">
        <v>1.5</v>
      </c>
    </row>
    <row r="3362" spans="1:25" x14ac:dyDescent="0.25">
      <c r="A3362">
        <v>2026</v>
      </c>
      <c r="B3362" t="s">
        <v>57</v>
      </c>
      <c r="C3362">
        <v>14</v>
      </c>
      <c r="D3362">
        <v>137</v>
      </c>
      <c r="E3362" t="s">
        <v>23</v>
      </c>
      <c r="F3362" t="s">
        <v>120</v>
      </c>
      <c r="G3362">
        <f t="shared" si="3805"/>
        <v>0</v>
      </c>
      <c r="H3362">
        <v>2</v>
      </c>
      <c r="I3362">
        <v>11</v>
      </c>
      <c r="J3362">
        <v>0</v>
      </c>
      <c r="K3362" s="6" t="str">
        <f t="shared" ref="K3362" si="3822">"vs "&amp;E3363</f>
        <v>vs Kourayo Vallecano</v>
      </c>
      <c r="L3362" s="6" t="str">
        <f t="shared" ref="L3362" si="3823">"vs "&amp;F3363</f>
        <v>vs Ziogas/Christof</v>
      </c>
      <c r="M3362">
        <v>166</v>
      </c>
      <c r="N3362" s="1">
        <v>0.46100000000000002</v>
      </c>
      <c r="O3362">
        <v>56</v>
      </c>
      <c r="P3362" s="1">
        <v>0.378</v>
      </c>
      <c r="Q3362" s="1">
        <v>0.77600000000000002</v>
      </c>
      <c r="R3362">
        <v>478</v>
      </c>
      <c r="S3362">
        <v>44</v>
      </c>
      <c r="T3362">
        <v>136</v>
      </c>
      <c r="U3362">
        <v>89</v>
      </c>
      <c r="V3362">
        <v>30</v>
      </c>
      <c r="W3362">
        <v>30</v>
      </c>
      <c r="X3362">
        <v>51</v>
      </c>
      <c r="Y3362">
        <v>1.75</v>
      </c>
    </row>
    <row r="3363" spans="1:25" x14ac:dyDescent="0.25">
      <c r="A3363">
        <v>2026</v>
      </c>
      <c r="B3363" t="s">
        <v>57</v>
      </c>
      <c r="C3363">
        <v>14</v>
      </c>
      <c r="D3363">
        <v>137</v>
      </c>
      <c r="E3363" t="s">
        <v>26</v>
      </c>
      <c r="F3363" t="s">
        <v>118</v>
      </c>
      <c r="G3363">
        <f t="shared" si="3805"/>
        <v>1</v>
      </c>
      <c r="H3363">
        <v>11</v>
      </c>
      <c r="I3363">
        <v>2</v>
      </c>
      <c r="J3363">
        <v>0</v>
      </c>
      <c r="K3363" s="6" t="str">
        <f t="shared" ref="K3363" si="3824">"vs "&amp;E3362</f>
        <v>vs Pachiana NinjaBees</v>
      </c>
      <c r="L3363" s="6" t="str">
        <f t="shared" ref="L3363" si="3825">"vs "&amp;F3362</f>
        <v>vs Spiridaus/Oladipas</v>
      </c>
      <c r="M3363">
        <v>226</v>
      </c>
      <c r="N3363" s="1">
        <v>0.50900000000000001</v>
      </c>
      <c r="O3363">
        <v>67</v>
      </c>
      <c r="P3363" s="1">
        <v>0.38300000000000001</v>
      </c>
      <c r="Q3363" s="1">
        <v>0.80700000000000005</v>
      </c>
      <c r="R3363">
        <v>590</v>
      </c>
      <c r="S3363">
        <v>47</v>
      </c>
      <c r="T3363">
        <v>180</v>
      </c>
      <c r="U3363">
        <v>152</v>
      </c>
      <c r="V3363">
        <v>58</v>
      </c>
      <c r="W3363">
        <v>25</v>
      </c>
      <c r="X3363">
        <v>61</v>
      </c>
      <c r="Y3363">
        <v>2.4900000000000002</v>
      </c>
    </row>
    <row r="3364" spans="1:25" x14ac:dyDescent="0.25">
      <c r="A3364">
        <v>2026</v>
      </c>
      <c r="B3364" t="s">
        <v>57</v>
      </c>
      <c r="C3364">
        <v>14</v>
      </c>
      <c r="D3364">
        <v>138</v>
      </c>
      <c r="E3364" t="s">
        <v>186</v>
      </c>
      <c r="F3364" t="s">
        <v>103</v>
      </c>
      <c r="G3364">
        <f t="shared" si="3805"/>
        <v>1</v>
      </c>
      <c r="H3364">
        <v>9</v>
      </c>
      <c r="I3364">
        <v>4</v>
      </c>
      <c r="J3364">
        <v>0</v>
      </c>
      <c r="K3364" s="6" t="str">
        <f t="shared" ref="K3364" si="3826">"vs "&amp;E3365</f>
        <v>vs Xanthi Ducks 🦆</v>
      </c>
      <c r="L3364" s="6" t="str">
        <f t="shared" ref="L3364" si="3827">"vs "&amp;F3365</f>
        <v>vs Kotakis</v>
      </c>
      <c r="M3364">
        <v>209</v>
      </c>
      <c r="N3364" s="1">
        <v>0.51100000000000001</v>
      </c>
      <c r="O3364">
        <v>40</v>
      </c>
      <c r="P3364" s="1">
        <v>0.32</v>
      </c>
      <c r="Q3364" s="1">
        <v>0.754</v>
      </c>
      <c r="R3364">
        <v>559</v>
      </c>
      <c r="S3364">
        <v>31</v>
      </c>
      <c r="T3364">
        <v>133</v>
      </c>
      <c r="U3364">
        <v>158</v>
      </c>
      <c r="V3364">
        <v>29</v>
      </c>
      <c r="W3364">
        <v>28</v>
      </c>
      <c r="X3364">
        <v>47</v>
      </c>
      <c r="Y3364">
        <v>3.36</v>
      </c>
    </row>
    <row r="3365" spans="1:25" x14ac:dyDescent="0.25">
      <c r="A3365">
        <v>2026</v>
      </c>
      <c r="B3365" t="s">
        <v>57</v>
      </c>
      <c r="C3365">
        <v>14</v>
      </c>
      <c r="D3365">
        <v>138</v>
      </c>
      <c r="E3365" t="s">
        <v>98</v>
      </c>
      <c r="F3365" t="s">
        <v>41</v>
      </c>
      <c r="G3365">
        <f t="shared" si="3805"/>
        <v>0</v>
      </c>
      <c r="H3365">
        <v>4</v>
      </c>
      <c r="I3365">
        <v>9</v>
      </c>
      <c r="J3365">
        <v>0</v>
      </c>
      <c r="K3365" s="6" t="str">
        <f t="shared" ref="K3365" si="3828">"vs "&amp;E3364</f>
        <v>vs Karafli Saita</v>
      </c>
      <c r="L3365" s="6" t="str">
        <f t="shared" ref="L3365" si="3829">"vs "&amp;F3364</f>
        <v>vs Tassos</v>
      </c>
      <c r="M3365">
        <v>132</v>
      </c>
      <c r="N3365" s="1">
        <v>0.44700000000000001</v>
      </c>
      <c r="O3365">
        <v>46</v>
      </c>
      <c r="P3365" s="1">
        <v>0.35099999999999998</v>
      </c>
      <c r="Q3365" s="1">
        <v>0.76200000000000001</v>
      </c>
      <c r="R3365">
        <v>342</v>
      </c>
      <c r="S3365">
        <v>27</v>
      </c>
      <c r="T3365">
        <v>83</v>
      </c>
      <c r="U3365">
        <v>79</v>
      </c>
      <c r="V3365">
        <v>22</v>
      </c>
      <c r="W3365">
        <v>14</v>
      </c>
      <c r="X3365">
        <v>40</v>
      </c>
      <c r="Y3365">
        <v>1.98</v>
      </c>
    </row>
    <row r="3366" spans="1:25" x14ac:dyDescent="0.25">
      <c r="A3366">
        <v>2026</v>
      </c>
      <c r="B3366" t="s">
        <v>57</v>
      </c>
      <c r="C3366">
        <v>14</v>
      </c>
      <c r="D3366">
        <v>139</v>
      </c>
      <c r="E3366" t="s">
        <v>94</v>
      </c>
      <c r="F3366" t="s">
        <v>40</v>
      </c>
      <c r="G3366">
        <f t="shared" si="3805"/>
        <v>1</v>
      </c>
      <c r="H3366">
        <v>12</v>
      </c>
      <c r="I3366">
        <v>1</v>
      </c>
      <c r="J3366">
        <v>0</v>
      </c>
      <c r="K3366" s="6" t="str">
        <f t="shared" ref="K3366" si="3830">"vs "&amp;E3367</f>
        <v>vs The Guns</v>
      </c>
      <c r="L3366" s="6" t="str">
        <f t="shared" ref="L3366" si="3831">"vs "&amp;F3367</f>
        <v>vs Vasilis</v>
      </c>
      <c r="M3366">
        <v>223</v>
      </c>
      <c r="N3366" s="1">
        <v>0.46800000000000003</v>
      </c>
      <c r="O3366">
        <v>68</v>
      </c>
      <c r="P3366" s="1">
        <v>0.38200000000000001</v>
      </c>
      <c r="Q3366" s="1">
        <v>0.89200000000000002</v>
      </c>
      <c r="R3366">
        <v>638</v>
      </c>
      <c r="S3366">
        <v>49</v>
      </c>
      <c r="T3366">
        <v>157</v>
      </c>
      <c r="U3366">
        <v>162</v>
      </c>
      <c r="V3366">
        <v>44</v>
      </c>
      <c r="W3366">
        <v>22</v>
      </c>
      <c r="X3366">
        <v>68</v>
      </c>
      <c r="Y3366">
        <v>2.38</v>
      </c>
    </row>
    <row r="3367" spans="1:25" x14ac:dyDescent="0.25">
      <c r="A3367">
        <v>2026</v>
      </c>
      <c r="B3367" t="s">
        <v>57</v>
      </c>
      <c r="C3367">
        <v>14</v>
      </c>
      <c r="D3367">
        <v>139</v>
      </c>
      <c r="E3367" t="s">
        <v>33</v>
      </c>
      <c r="F3367" t="s">
        <v>42</v>
      </c>
      <c r="G3367">
        <f t="shared" si="3805"/>
        <v>0</v>
      </c>
      <c r="H3367">
        <v>1</v>
      </c>
      <c r="I3367">
        <v>12</v>
      </c>
      <c r="J3367">
        <v>0</v>
      </c>
      <c r="K3367" s="6" t="str">
        <f t="shared" ref="K3367" si="3832">"vs "&amp;E3366</f>
        <v>vs Fighting Thaddeus</v>
      </c>
      <c r="L3367" s="6" t="str">
        <f t="shared" ref="L3367" si="3833">"vs "&amp;F3366</f>
        <v>vs Stavros</v>
      </c>
      <c r="M3367">
        <v>143</v>
      </c>
      <c r="N3367" s="1">
        <v>0.40100000000000002</v>
      </c>
      <c r="O3367">
        <v>62</v>
      </c>
      <c r="P3367" s="1">
        <v>0.34399999999999997</v>
      </c>
      <c r="Q3367" s="1">
        <v>0.871</v>
      </c>
      <c r="R3367">
        <v>429</v>
      </c>
      <c r="S3367">
        <v>15</v>
      </c>
      <c r="T3367">
        <v>90</v>
      </c>
      <c r="U3367">
        <v>100</v>
      </c>
      <c r="V3367">
        <v>32</v>
      </c>
      <c r="W3367">
        <v>9</v>
      </c>
      <c r="X3367">
        <v>48</v>
      </c>
      <c r="Y3367">
        <v>2.08</v>
      </c>
    </row>
    <row r="3368" spans="1:25" x14ac:dyDescent="0.25">
      <c r="A3368">
        <v>2026</v>
      </c>
      <c r="B3368" t="s">
        <v>57</v>
      </c>
      <c r="C3368">
        <v>14</v>
      </c>
      <c r="D3368">
        <v>140</v>
      </c>
      <c r="E3368" t="s">
        <v>201</v>
      </c>
      <c r="F3368" t="s">
        <v>227</v>
      </c>
      <c r="G3368">
        <f t="shared" si="3805"/>
        <v>0</v>
      </c>
      <c r="H3368">
        <v>5</v>
      </c>
      <c r="I3368">
        <v>8</v>
      </c>
      <c r="J3368">
        <v>0</v>
      </c>
      <c r="K3368" s="6" t="str">
        <f t="shared" ref="K3368" si="3834">"vs "&amp;E3369</f>
        <v>vs Tsarlatans</v>
      </c>
      <c r="L3368" s="6" t="str">
        <f t="shared" ref="L3368" si="3835">"vs "&amp;F3369</f>
        <v>vs Tzokos</v>
      </c>
      <c r="M3368">
        <v>141</v>
      </c>
      <c r="N3368" s="1">
        <v>0.443</v>
      </c>
      <c r="O3368">
        <v>54</v>
      </c>
      <c r="P3368" s="1">
        <v>0.36499999999999999</v>
      </c>
      <c r="Q3368" s="1">
        <v>0.76800000000000002</v>
      </c>
      <c r="R3368">
        <v>389</v>
      </c>
      <c r="S3368">
        <v>65</v>
      </c>
      <c r="T3368">
        <v>140</v>
      </c>
      <c r="U3368">
        <v>93</v>
      </c>
      <c r="V3368">
        <v>33</v>
      </c>
      <c r="W3368">
        <v>21</v>
      </c>
      <c r="X3368">
        <v>58</v>
      </c>
      <c r="Y3368">
        <v>1.6</v>
      </c>
    </row>
    <row r="3369" spans="1:25" x14ac:dyDescent="0.25">
      <c r="A3369">
        <v>2026</v>
      </c>
      <c r="B3369" t="s">
        <v>57</v>
      </c>
      <c r="C3369">
        <v>14</v>
      </c>
      <c r="D3369">
        <v>140</v>
      </c>
      <c r="E3369" t="s">
        <v>99</v>
      </c>
      <c r="F3369" t="s">
        <v>45</v>
      </c>
      <c r="G3369">
        <f t="shared" si="3805"/>
        <v>1</v>
      </c>
      <c r="H3369">
        <v>8</v>
      </c>
      <c r="I3369">
        <v>5</v>
      </c>
      <c r="J3369">
        <v>0</v>
      </c>
      <c r="K3369" s="6" t="str">
        <f t="shared" ref="K3369" si="3836">"vs "&amp;E3368</f>
        <v>vs Hércules Pals</v>
      </c>
      <c r="L3369" s="6" t="str">
        <f t="shared" ref="L3369" si="3837">"vs "&amp;F3368</f>
        <v>vs Pals</v>
      </c>
      <c r="M3369">
        <v>191</v>
      </c>
      <c r="N3369" s="1">
        <v>0.48799999999999999</v>
      </c>
      <c r="O3369">
        <v>55</v>
      </c>
      <c r="P3369" s="1">
        <v>0.39</v>
      </c>
      <c r="Q3369" s="1">
        <v>0.72199999999999998</v>
      </c>
      <c r="R3369">
        <v>494</v>
      </c>
      <c r="S3369">
        <v>56</v>
      </c>
      <c r="T3369">
        <v>153</v>
      </c>
      <c r="U3369">
        <v>88</v>
      </c>
      <c r="V3369">
        <v>29</v>
      </c>
      <c r="W3369">
        <v>22</v>
      </c>
      <c r="X3369">
        <v>57</v>
      </c>
      <c r="Y3369">
        <v>1.54</v>
      </c>
    </row>
    <row r="3370" spans="1:25" x14ac:dyDescent="0.25">
      <c r="A3370">
        <v>2026</v>
      </c>
      <c r="B3370" t="s">
        <v>57</v>
      </c>
      <c r="C3370">
        <v>15</v>
      </c>
      <c r="D3370">
        <v>141</v>
      </c>
      <c r="E3370" t="s">
        <v>159</v>
      </c>
      <c r="F3370" t="s">
        <v>116</v>
      </c>
      <c r="G3370">
        <f t="shared" si="3805"/>
        <v>0</v>
      </c>
      <c r="H3370">
        <v>3</v>
      </c>
      <c r="I3370">
        <v>9</v>
      </c>
      <c r="J3370">
        <v>1</v>
      </c>
      <c r="K3370" s="6" t="str">
        <f t="shared" ref="K3370" si="3838">"vs "&amp;E3371</f>
        <v>vs LRBP PR3DATORS</v>
      </c>
      <c r="L3370" s="6" t="str">
        <f t="shared" ref="L3370" si="3839">"vs "&amp;F3371</f>
        <v>vs Lafa</v>
      </c>
      <c r="M3370">
        <v>133</v>
      </c>
      <c r="N3370" s="1">
        <v>0.44</v>
      </c>
      <c r="O3370">
        <v>31</v>
      </c>
      <c r="P3370" s="1">
        <v>0.26500000000000001</v>
      </c>
      <c r="Q3370" s="1">
        <v>0.79400000000000004</v>
      </c>
      <c r="R3370">
        <v>374</v>
      </c>
      <c r="S3370">
        <v>42</v>
      </c>
      <c r="T3370">
        <v>133</v>
      </c>
      <c r="U3370">
        <v>104</v>
      </c>
      <c r="V3370">
        <v>27</v>
      </c>
      <c r="W3370">
        <v>7</v>
      </c>
      <c r="X3370">
        <v>48</v>
      </c>
      <c r="Y3370">
        <v>2.17</v>
      </c>
    </row>
    <row r="3371" spans="1:25" x14ac:dyDescent="0.25">
      <c r="A3371">
        <v>2026</v>
      </c>
      <c r="B3371" t="s">
        <v>57</v>
      </c>
      <c r="C3371">
        <v>15</v>
      </c>
      <c r="D3371">
        <v>141</v>
      </c>
      <c r="E3371" t="s">
        <v>158</v>
      </c>
      <c r="F3371" t="s">
        <v>177</v>
      </c>
      <c r="G3371">
        <f t="shared" si="3805"/>
        <v>1</v>
      </c>
      <c r="H3371">
        <v>9</v>
      </c>
      <c r="I3371">
        <v>3</v>
      </c>
      <c r="J3371">
        <v>1</v>
      </c>
      <c r="K3371" s="6" t="str">
        <f t="shared" ref="K3371" si="3840">"vs "&amp;E3370</f>
        <v>vs purple fuzzy apache pirates</v>
      </c>
      <c r="L3371" s="6" t="str">
        <f t="shared" ref="L3371" si="3841">"vs "&amp;F3370</f>
        <v>vs pi/Sotiris</v>
      </c>
      <c r="M3371">
        <v>150</v>
      </c>
      <c r="N3371" s="1">
        <v>0.44600000000000001</v>
      </c>
      <c r="O3371">
        <v>30</v>
      </c>
      <c r="P3371" s="1">
        <v>0.28799999999999998</v>
      </c>
      <c r="Q3371" s="1">
        <v>0.84</v>
      </c>
      <c r="R3371">
        <v>414</v>
      </c>
      <c r="S3371">
        <v>45</v>
      </c>
      <c r="T3371">
        <v>136</v>
      </c>
      <c r="U3371">
        <v>104</v>
      </c>
      <c r="V3371">
        <v>32</v>
      </c>
      <c r="W3371">
        <v>19</v>
      </c>
      <c r="X3371">
        <v>64</v>
      </c>
      <c r="Y3371">
        <v>1.63</v>
      </c>
    </row>
    <row r="3372" spans="1:25" x14ac:dyDescent="0.25">
      <c r="A3372">
        <v>2026</v>
      </c>
      <c r="B3372" t="s">
        <v>57</v>
      </c>
      <c r="C3372">
        <v>15</v>
      </c>
      <c r="D3372">
        <v>142</v>
      </c>
      <c r="E3372" t="s">
        <v>96</v>
      </c>
      <c r="F3372" t="s">
        <v>102</v>
      </c>
      <c r="G3372">
        <f t="shared" si="3805"/>
        <v>0</v>
      </c>
      <c r="H3372">
        <v>4</v>
      </c>
      <c r="I3372">
        <v>9</v>
      </c>
      <c r="J3372">
        <v>0</v>
      </c>
      <c r="K3372" s="6" t="str">
        <f t="shared" ref="K3372" si="3842">"vs "&amp;E3373</f>
        <v>vs The Bad Boys</v>
      </c>
      <c r="L3372" s="6" t="str">
        <f t="shared" ref="L3372" si="3843">"vs "&amp;F3373</f>
        <v>vs Arvanitis</v>
      </c>
      <c r="M3372">
        <v>90</v>
      </c>
      <c r="N3372" s="1">
        <v>0.48399999999999999</v>
      </c>
      <c r="O3372">
        <v>36</v>
      </c>
      <c r="P3372" s="1">
        <v>0.44400000000000001</v>
      </c>
      <c r="Q3372" s="1">
        <v>0.75800000000000001</v>
      </c>
      <c r="R3372">
        <v>241</v>
      </c>
      <c r="S3372">
        <v>23</v>
      </c>
      <c r="T3372">
        <v>80</v>
      </c>
      <c r="U3372">
        <v>41</v>
      </c>
      <c r="V3372">
        <v>22</v>
      </c>
      <c r="W3372">
        <v>11</v>
      </c>
      <c r="X3372">
        <v>32</v>
      </c>
      <c r="Y3372">
        <v>1.28</v>
      </c>
    </row>
    <row r="3373" spans="1:25" x14ac:dyDescent="0.25">
      <c r="A3373">
        <v>2026</v>
      </c>
      <c r="B3373" t="s">
        <v>57</v>
      </c>
      <c r="C3373">
        <v>15</v>
      </c>
      <c r="D3373">
        <v>142</v>
      </c>
      <c r="E3373" t="s">
        <v>154</v>
      </c>
      <c r="F3373" t="s">
        <v>155</v>
      </c>
      <c r="G3373">
        <f t="shared" si="3805"/>
        <v>1</v>
      </c>
      <c r="H3373">
        <v>9</v>
      </c>
      <c r="I3373">
        <v>4</v>
      </c>
      <c r="J3373">
        <v>0</v>
      </c>
      <c r="K3373" s="6" t="str">
        <f t="shared" ref="K3373" si="3844">"vs "&amp;E3372</f>
        <v>vs Knights of Ni</v>
      </c>
      <c r="L3373" s="6" t="str">
        <f t="shared" ref="L3373" si="3845">"vs "&amp;F3372</f>
        <v>vs Tolios</v>
      </c>
      <c r="M3373">
        <v>188</v>
      </c>
      <c r="N3373" s="1">
        <v>0.47199999999999998</v>
      </c>
      <c r="O3373">
        <v>48</v>
      </c>
      <c r="P3373" s="1">
        <v>0.375</v>
      </c>
      <c r="Q3373" s="1">
        <v>0.72199999999999998</v>
      </c>
      <c r="R3373">
        <v>507</v>
      </c>
      <c r="S3373">
        <v>44</v>
      </c>
      <c r="T3373">
        <v>120</v>
      </c>
      <c r="U3373">
        <v>106</v>
      </c>
      <c r="V3373">
        <v>40</v>
      </c>
      <c r="W3373">
        <v>23</v>
      </c>
      <c r="X3373">
        <v>67</v>
      </c>
      <c r="Y3373">
        <v>1.58</v>
      </c>
    </row>
    <row r="3374" spans="1:25" x14ac:dyDescent="0.25">
      <c r="A3374">
        <v>2026</v>
      </c>
      <c r="B3374" t="s">
        <v>57</v>
      </c>
      <c r="C3374">
        <v>15</v>
      </c>
      <c r="D3374">
        <v>143</v>
      </c>
      <c r="E3374" t="s">
        <v>93</v>
      </c>
      <c r="F3374" t="s">
        <v>189</v>
      </c>
      <c r="G3374">
        <f t="shared" si="3805"/>
        <v>0</v>
      </c>
      <c r="H3374">
        <v>6</v>
      </c>
      <c r="I3374">
        <v>7</v>
      </c>
      <c r="J3374">
        <v>0</v>
      </c>
      <c r="K3374" s="6" t="str">
        <f t="shared" ref="K3374" si="3846">"vs "&amp;E3375</f>
        <v>vs Samarina Dudenbros</v>
      </c>
      <c r="L3374" s="6" t="str">
        <f t="shared" ref="L3374" si="3847">"vs "&amp;F3375</f>
        <v>vs Sakellariou</v>
      </c>
      <c r="M3374">
        <v>159</v>
      </c>
      <c r="N3374" s="1">
        <v>0.46500000000000002</v>
      </c>
      <c r="O3374">
        <v>56</v>
      </c>
      <c r="P3374" s="1">
        <v>0.36599999999999999</v>
      </c>
      <c r="Q3374" s="1">
        <v>0.69499999999999995</v>
      </c>
      <c r="R3374">
        <v>440</v>
      </c>
      <c r="S3374">
        <v>33</v>
      </c>
      <c r="T3374">
        <v>106</v>
      </c>
      <c r="U3374">
        <v>88</v>
      </c>
      <c r="V3374">
        <v>17</v>
      </c>
      <c r="W3374">
        <v>16</v>
      </c>
      <c r="X3374">
        <v>50</v>
      </c>
      <c r="Y3374">
        <v>1.76</v>
      </c>
    </row>
    <row r="3375" spans="1:25" x14ac:dyDescent="0.25">
      <c r="A3375">
        <v>2026</v>
      </c>
      <c r="B3375" t="s">
        <v>57</v>
      </c>
      <c r="C3375">
        <v>15</v>
      </c>
      <c r="D3375">
        <v>143</v>
      </c>
      <c r="E3375" t="s">
        <v>181</v>
      </c>
      <c r="F3375" t="s">
        <v>49</v>
      </c>
      <c r="G3375">
        <f t="shared" si="3805"/>
        <v>1</v>
      </c>
      <c r="H3375">
        <v>7</v>
      </c>
      <c r="I3375">
        <v>6</v>
      </c>
      <c r="J3375">
        <v>0</v>
      </c>
      <c r="K3375" s="6" t="str">
        <f t="shared" ref="K3375" si="3848">"vs "&amp;E3374</f>
        <v>vs Guruuu 🐐🐐🐐</v>
      </c>
      <c r="L3375" s="6" t="str">
        <f t="shared" ref="L3375" si="3849">"vs "&amp;F3374</f>
        <v>vs Guru</v>
      </c>
      <c r="M3375">
        <v>191</v>
      </c>
      <c r="N3375" s="1">
        <v>0.46800000000000003</v>
      </c>
      <c r="O3375">
        <v>48</v>
      </c>
      <c r="P3375" s="1">
        <v>0.33100000000000002</v>
      </c>
      <c r="Q3375" s="1">
        <v>0.86399999999999999</v>
      </c>
      <c r="R3375">
        <v>538</v>
      </c>
      <c r="S3375">
        <v>21</v>
      </c>
      <c r="T3375">
        <v>122</v>
      </c>
      <c r="U3375">
        <v>115</v>
      </c>
      <c r="V3375">
        <v>47</v>
      </c>
      <c r="W3375">
        <v>13</v>
      </c>
      <c r="X3375">
        <v>67</v>
      </c>
      <c r="Y3375">
        <v>1.72</v>
      </c>
    </row>
    <row r="3376" spans="1:25" x14ac:dyDescent="0.25">
      <c r="A3376">
        <v>2026</v>
      </c>
      <c r="B3376" t="s">
        <v>57</v>
      </c>
      <c r="C3376">
        <v>15</v>
      </c>
      <c r="D3376">
        <v>144</v>
      </c>
      <c r="E3376" t="s">
        <v>184</v>
      </c>
      <c r="F3376" t="s">
        <v>188</v>
      </c>
      <c r="G3376">
        <f t="shared" si="3805"/>
        <v>1</v>
      </c>
      <c r="H3376">
        <v>7</v>
      </c>
      <c r="I3376">
        <v>6</v>
      </c>
      <c r="J3376">
        <v>0</v>
      </c>
      <c r="K3376" s="6" t="str">
        <f t="shared" ref="K3376" si="3850">"vs "&amp;E3377</f>
        <v>vs Salonika Devils</v>
      </c>
      <c r="L3376" s="6" t="str">
        <f t="shared" ref="L3376" si="3851">"vs "&amp;F3377</f>
        <v>vs Fountos</v>
      </c>
      <c r="M3376">
        <v>102</v>
      </c>
      <c r="N3376" s="1">
        <v>0.48099999999999998</v>
      </c>
      <c r="O3376">
        <v>30</v>
      </c>
      <c r="P3376" s="1">
        <v>0.34100000000000003</v>
      </c>
      <c r="Q3376" s="1">
        <v>0.71399999999999997</v>
      </c>
      <c r="R3376">
        <v>269</v>
      </c>
      <c r="S3376">
        <v>18</v>
      </c>
      <c r="T3376">
        <v>91</v>
      </c>
      <c r="U3376">
        <v>76</v>
      </c>
      <c r="V3376">
        <v>22</v>
      </c>
      <c r="W3376">
        <v>7</v>
      </c>
      <c r="X3376">
        <v>27</v>
      </c>
      <c r="Y3376">
        <v>2.81</v>
      </c>
    </row>
    <row r="3377" spans="1:25" x14ac:dyDescent="0.25">
      <c r="A3377">
        <v>2026</v>
      </c>
      <c r="B3377" t="s">
        <v>57</v>
      </c>
      <c r="C3377">
        <v>15</v>
      </c>
      <c r="D3377">
        <v>144</v>
      </c>
      <c r="E3377" t="s">
        <v>15</v>
      </c>
      <c r="F3377" t="s">
        <v>48</v>
      </c>
      <c r="G3377">
        <f t="shared" si="3805"/>
        <v>0</v>
      </c>
      <c r="H3377">
        <v>6</v>
      </c>
      <c r="I3377">
        <v>7</v>
      </c>
      <c r="J3377">
        <v>0</v>
      </c>
      <c r="K3377" s="6" t="str">
        <f t="shared" ref="K3377" si="3852">"vs "&amp;E3376</f>
        <v>vs Heraklion Snakes</v>
      </c>
      <c r="L3377" s="6" t="str">
        <f t="shared" ref="L3377" si="3853">"vs "&amp;F3376</f>
        <v>vs Dimitris</v>
      </c>
      <c r="M3377">
        <v>99</v>
      </c>
      <c r="N3377" s="1">
        <v>0.48099999999999998</v>
      </c>
      <c r="O3377">
        <v>39</v>
      </c>
      <c r="P3377" s="1">
        <v>0.41899999999999998</v>
      </c>
      <c r="Q3377" s="1">
        <v>0.83699999999999997</v>
      </c>
      <c r="R3377">
        <v>273</v>
      </c>
      <c r="S3377">
        <v>26</v>
      </c>
      <c r="T3377">
        <v>77</v>
      </c>
      <c r="U3377">
        <v>53</v>
      </c>
      <c r="V3377">
        <v>14</v>
      </c>
      <c r="W3377">
        <v>11</v>
      </c>
      <c r="X3377">
        <v>31</v>
      </c>
      <c r="Y3377">
        <v>1.71</v>
      </c>
    </row>
    <row r="3378" spans="1:25" x14ac:dyDescent="0.25">
      <c r="A3378">
        <v>2026</v>
      </c>
      <c r="B3378" t="s">
        <v>57</v>
      </c>
      <c r="C3378">
        <v>15</v>
      </c>
      <c r="D3378">
        <v>145</v>
      </c>
      <c r="E3378" t="s">
        <v>16</v>
      </c>
      <c r="F3378" t="s">
        <v>51</v>
      </c>
      <c r="G3378">
        <f t="shared" si="3805"/>
        <v>1</v>
      </c>
      <c r="H3378">
        <v>11</v>
      </c>
      <c r="I3378">
        <v>2</v>
      </c>
      <c r="J3378">
        <v>0</v>
      </c>
      <c r="K3378" s="6" t="str">
        <f t="shared" ref="K3378" si="3854">"vs "&amp;E3379</f>
        <v>vs Steven Adams' Moustache</v>
      </c>
      <c r="L3378" s="6" t="str">
        <f t="shared" ref="L3378" si="3855">"vs "&amp;F3379</f>
        <v>vs Johnny</v>
      </c>
      <c r="M3378">
        <v>128</v>
      </c>
      <c r="N3378" s="1">
        <v>0.53100000000000003</v>
      </c>
      <c r="O3378">
        <v>51</v>
      </c>
      <c r="P3378" s="1">
        <v>0.44</v>
      </c>
      <c r="Q3378" s="1">
        <v>0.74199999999999999</v>
      </c>
      <c r="R3378">
        <v>379</v>
      </c>
      <c r="S3378">
        <v>26</v>
      </c>
      <c r="T3378">
        <v>105</v>
      </c>
      <c r="U3378">
        <v>78</v>
      </c>
      <c r="V3378">
        <v>31</v>
      </c>
      <c r="W3378">
        <v>17</v>
      </c>
      <c r="X3378">
        <v>42</v>
      </c>
      <c r="Y3378">
        <v>1.86</v>
      </c>
    </row>
    <row r="3379" spans="1:25" x14ac:dyDescent="0.25">
      <c r="A3379">
        <v>2026</v>
      </c>
      <c r="B3379" t="s">
        <v>57</v>
      </c>
      <c r="C3379">
        <v>15</v>
      </c>
      <c r="D3379">
        <v>145</v>
      </c>
      <c r="E3379" t="s">
        <v>28</v>
      </c>
      <c r="F3379" t="s">
        <v>46</v>
      </c>
      <c r="G3379">
        <f t="shared" si="3805"/>
        <v>0</v>
      </c>
      <c r="H3379">
        <v>2</v>
      </c>
      <c r="I3379">
        <v>11</v>
      </c>
      <c r="J3379">
        <v>0</v>
      </c>
      <c r="K3379" s="6" t="str">
        <f t="shared" ref="K3379" si="3856">"vs "&amp;E3378</f>
        <v>vs The Bridgeburners</v>
      </c>
      <c r="L3379" s="6" t="str">
        <f t="shared" ref="L3379" si="3857">"vs "&amp;F3378</f>
        <v>vs Fanis</v>
      </c>
      <c r="M3379">
        <v>123</v>
      </c>
      <c r="N3379" s="1">
        <v>0.48799999999999999</v>
      </c>
      <c r="O3379">
        <v>48</v>
      </c>
      <c r="P3379" s="1">
        <v>0.372</v>
      </c>
      <c r="Q3379" s="1">
        <v>0.8</v>
      </c>
      <c r="R3379">
        <v>354</v>
      </c>
      <c r="S3379">
        <v>14</v>
      </c>
      <c r="T3379">
        <v>74</v>
      </c>
      <c r="U3379">
        <v>64</v>
      </c>
      <c r="V3379">
        <v>17</v>
      </c>
      <c r="W3379">
        <v>11</v>
      </c>
      <c r="X3379">
        <v>40</v>
      </c>
      <c r="Y3379">
        <v>1.6</v>
      </c>
    </row>
    <row r="3380" spans="1:25" x14ac:dyDescent="0.25">
      <c r="A3380">
        <v>2026</v>
      </c>
      <c r="B3380" t="s">
        <v>57</v>
      </c>
      <c r="C3380">
        <v>15</v>
      </c>
      <c r="D3380">
        <v>146</v>
      </c>
      <c r="E3380" t="s">
        <v>26</v>
      </c>
      <c r="F3380" t="s">
        <v>118</v>
      </c>
      <c r="G3380">
        <f t="shared" si="3805"/>
        <v>1</v>
      </c>
      <c r="H3380">
        <v>11</v>
      </c>
      <c r="I3380">
        <v>2</v>
      </c>
      <c r="J3380">
        <v>0</v>
      </c>
      <c r="K3380" s="6" t="str">
        <f t="shared" ref="K3380" si="3858">"vs "&amp;E3381</f>
        <v>vs Paralouistas</v>
      </c>
      <c r="L3380" s="6" t="str">
        <f t="shared" ref="L3380" si="3859">"vs "&amp;F3381</f>
        <v>vs Panos</v>
      </c>
      <c r="M3380">
        <v>178</v>
      </c>
      <c r="N3380" s="1">
        <v>0.46100000000000002</v>
      </c>
      <c r="O3380">
        <v>42</v>
      </c>
      <c r="P3380" s="1">
        <v>0.311</v>
      </c>
      <c r="Q3380" s="1">
        <v>0.83699999999999997</v>
      </c>
      <c r="R3380">
        <v>470</v>
      </c>
      <c r="S3380">
        <v>66</v>
      </c>
      <c r="T3380">
        <v>144</v>
      </c>
      <c r="U3380">
        <v>118</v>
      </c>
      <c r="V3380">
        <v>25</v>
      </c>
      <c r="W3380">
        <v>20</v>
      </c>
      <c r="X3380">
        <v>46</v>
      </c>
      <c r="Y3380">
        <v>2.57</v>
      </c>
    </row>
    <row r="3381" spans="1:25" x14ac:dyDescent="0.25">
      <c r="A3381">
        <v>2026</v>
      </c>
      <c r="B3381" t="s">
        <v>57</v>
      </c>
      <c r="C3381">
        <v>15</v>
      </c>
      <c r="D3381">
        <v>146</v>
      </c>
      <c r="E3381" t="s">
        <v>185</v>
      </c>
      <c r="F3381" t="s">
        <v>100</v>
      </c>
      <c r="G3381">
        <f t="shared" si="3805"/>
        <v>0</v>
      </c>
      <c r="H3381">
        <v>2</v>
      </c>
      <c r="I3381">
        <v>11</v>
      </c>
      <c r="J3381">
        <v>0</v>
      </c>
      <c r="K3381" s="6" t="str">
        <f t="shared" ref="K3381" si="3860">"vs "&amp;E3380</f>
        <v>vs Kourayo Vallecano</v>
      </c>
      <c r="L3381" s="6" t="str">
        <f t="shared" ref="L3381" si="3861">"vs "&amp;F3380</f>
        <v>vs Ziogas/Christof</v>
      </c>
      <c r="M3381">
        <v>148</v>
      </c>
      <c r="N3381" s="1">
        <v>0.45100000000000001</v>
      </c>
      <c r="O3381">
        <v>29</v>
      </c>
      <c r="P3381" s="1">
        <v>0.26600000000000001</v>
      </c>
      <c r="Q3381" s="1">
        <v>0.68</v>
      </c>
      <c r="R3381">
        <v>376</v>
      </c>
      <c r="S3381">
        <v>43</v>
      </c>
      <c r="T3381">
        <v>102</v>
      </c>
      <c r="U3381">
        <v>117</v>
      </c>
      <c r="V3381">
        <v>24</v>
      </c>
      <c r="W3381">
        <v>10</v>
      </c>
      <c r="X3381">
        <v>38</v>
      </c>
      <c r="Y3381">
        <v>3.08</v>
      </c>
    </row>
    <row r="3382" spans="1:25" x14ac:dyDescent="0.25">
      <c r="A3382">
        <v>2026</v>
      </c>
      <c r="B3382" t="s">
        <v>57</v>
      </c>
      <c r="C3382">
        <v>15</v>
      </c>
      <c r="D3382">
        <v>147</v>
      </c>
      <c r="E3382" t="s">
        <v>98</v>
      </c>
      <c r="F3382" t="s">
        <v>41</v>
      </c>
      <c r="G3382">
        <f t="shared" si="3805"/>
        <v>0</v>
      </c>
      <c r="H3382">
        <v>6</v>
      </c>
      <c r="I3382">
        <v>7</v>
      </c>
      <c r="J3382">
        <v>0</v>
      </c>
      <c r="K3382" s="6" t="str">
        <f t="shared" ref="K3382" si="3862">"vs "&amp;E3383</f>
        <v>vs st.Helens Eruptions</v>
      </c>
      <c r="L3382" s="6" t="str">
        <f t="shared" ref="L3382" si="3863">"vs "&amp;F3383</f>
        <v>vs Aris</v>
      </c>
      <c r="M3382">
        <v>124</v>
      </c>
      <c r="N3382" s="1">
        <v>0.49199999999999999</v>
      </c>
      <c r="O3382">
        <v>50</v>
      </c>
      <c r="P3382" s="1">
        <v>0.37</v>
      </c>
      <c r="Q3382" s="1">
        <v>0.88</v>
      </c>
      <c r="R3382">
        <v>342</v>
      </c>
      <c r="S3382">
        <v>24</v>
      </c>
      <c r="T3382">
        <v>81</v>
      </c>
      <c r="U3382">
        <v>74</v>
      </c>
      <c r="V3382">
        <v>29</v>
      </c>
      <c r="W3382">
        <v>19</v>
      </c>
      <c r="X3382">
        <v>27</v>
      </c>
      <c r="Y3382">
        <v>2.74</v>
      </c>
    </row>
    <row r="3383" spans="1:25" x14ac:dyDescent="0.25">
      <c r="A3383">
        <v>2026</v>
      </c>
      <c r="B3383" t="s">
        <v>57</v>
      </c>
      <c r="C3383">
        <v>15</v>
      </c>
      <c r="D3383">
        <v>147</v>
      </c>
      <c r="E3383" t="s">
        <v>21</v>
      </c>
      <c r="F3383" t="s">
        <v>50</v>
      </c>
      <c r="G3383">
        <f t="shared" si="3805"/>
        <v>1</v>
      </c>
      <c r="H3383">
        <v>7</v>
      </c>
      <c r="I3383">
        <v>6</v>
      </c>
      <c r="J3383">
        <v>0</v>
      </c>
      <c r="K3383" s="6" t="str">
        <f t="shared" ref="K3383" si="3864">"vs "&amp;E3382</f>
        <v>vs Xanthi Ducks 🦆</v>
      </c>
      <c r="L3383" s="6" t="str">
        <f t="shared" ref="L3383" si="3865">"vs "&amp;F3382</f>
        <v>vs Kotakis</v>
      </c>
      <c r="M3383">
        <v>109</v>
      </c>
      <c r="N3383" s="1">
        <v>0.49299999999999999</v>
      </c>
      <c r="O3383">
        <v>32</v>
      </c>
      <c r="P3383" s="1">
        <v>0.42099999999999999</v>
      </c>
      <c r="Q3383" s="1">
        <v>0.69599999999999995</v>
      </c>
      <c r="R3383">
        <v>298</v>
      </c>
      <c r="S3383">
        <v>25</v>
      </c>
      <c r="T3383">
        <v>90</v>
      </c>
      <c r="U3383">
        <v>75</v>
      </c>
      <c r="V3383">
        <v>18</v>
      </c>
      <c r="W3383">
        <v>11</v>
      </c>
      <c r="X3383">
        <v>23</v>
      </c>
      <c r="Y3383">
        <v>3.26</v>
      </c>
    </row>
    <row r="3384" spans="1:25" x14ac:dyDescent="0.25">
      <c r="A3384">
        <v>2026</v>
      </c>
      <c r="B3384" t="s">
        <v>57</v>
      </c>
      <c r="C3384">
        <v>15</v>
      </c>
      <c r="D3384">
        <v>148</v>
      </c>
      <c r="E3384" t="s">
        <v>33</v>
      </c>
      <c r="F3384" t="s">
        <v>42</v>
      </c>
      <c r="G3384">
        <f t="shared" si="3805"/>
        <v>0</v>
      </c>
      <c r="H3384">
        <v>3</v>
      </c>
      <c r="I3384">
        <v>10</v>
      </c>
      <c r="J3384">
        <v>0</v>
      </c>
      <c r="K3384" s="6" t="str">
        <f t="shared" ref="K3384" si="3866">"vs "&amp;E3385</f>
        <v>vs Pachiana NinjaBees</v>
      </c>
      <c r="L3384" s="6" t="str">
        <f t="shared" ref="L3384" si="3867">"vs "&amp;F3385</f>
        <v>vs Spiridaus/Oladipas</v>
      </c>
      <c r="M3384">
        <v>115</v>
      </c>
      <c r="N3384" s="1">
        <v>0.45800000000000002</v>
      </c>
      <c r="O3384">
        <v>48</v>
      </c>
      <c r="P3384" s="1">
        <v>0.38700000000000001</v>
      </c>
      <c r="Q3384" s="1">
        <v>0.81799999999999995</v>
      </c>
      <c r="R3384">
        <v>323</v>
      </c>
      <c r="S3384">
        <v>22</v>
      </c>
      <c r="T3384">
        <v>77</v>
      </c>
      <c r="U3384">
        <v>84</v>
      </c>
      <c r="V3384">
        <v>24</v>
      </c>
      <c r="W3384">
        <v>5</v>
      </c>
      <c r="X3384">
        <v>29</v>
      </c>
      <c r="Y3384">
        <v>2.9</v>
      </c>
    </row>
    <row r="3385" spans="1:25" x14ac:dyDescent="0.25">
      <c r="A3385">
        <v>2026</v>
      </c>
      <c r="B3385" t="s">
        <v>57</v>
      </c>
      <c r="C3385">
        <v>15</v>
      </c>
      <c r="D3385">
        <v>148</v>
      </c>
      <c r="E3385" t="s">
        <v>23</v>
      </c>
      <c r="F3385" t="s">
        <v>120</v>
      </c>
      <c r="G3385">
        <f t="shared" si="3805"/>
        <v>1</v>
      </c>
      <c r="H3385">
        <v>10</v>
      </c>
      <c r="I3385">
        <v>3</v>
      </c>
      <c r="J3385">
        <v>0</v>
      </c>
      <c r="K3385" s="6" t="str">
        <f t="shared" ref="K3385" si="3868">"vs "&amp;E3384</f>
        <v>vs The Guns</v>
      </c>
      <c r="L3385" s="6" t="str">
        <f t="shared" ref="L3385" si="3869">"vs "&amp;F3384</f>
        <v>vs Vasilis</v>
      </c>
      <c r="M3385">
        <v>157</v>
      </c>
      <c r="N3385" s="1">
        <v>0.46</v>
      </c>
      <c r="O3385">
        <v>60</v>
      </c>
      <c r="P3385" s="1">
        <v>0.39200000000000002</v>
      </c>
      <c r="Q3385" s="1">
        <v>0.81399999999999995</v>
      </c>
      <c r="R3385">
        <v>431</v>
      </c>
      <c r="S3385">
        <v>45</v>
      </c>
      <c r="T3385">
        <v>121</v>
      </c>
      <c r="U3385">
        <v>94</v>
      </c>
      <c r="V3385">
        <v>26</v>
      </c>
      <c r="W3385">
        <v>22</v>
      </c>
      <c r="X3385">
        <v>50</v>
      </c>
      <c r="Y3385">
        <v>1.88</v>
      </c>
    </row>
    <row r="3386" spans="1:25" x14ac:dyDescent="0.25">
      <c r="A3386">
        <v>2026</v>
      </c>
      <c r="B3386" t="s">
        <v>57</v>
      </c>
      <c r="C3386">
        <v>15</v>
      </c>
      <c r="D3386">
        <v>149</v>
      </c>
      <c r="E3386" t="s">
        <v>99</v>
      </c>
      <c r="F3386" t="s">
        <v>45</v>
      </c>
      <c r="G3386">
        <f t="shared" si="3805"/>
        <v>0</v>
      </c>
      <c r="H3386">
        <v>6</v>
      </c>
      <c r="I3386">
        <v>6</v>
      </c>
      <c r="J3386">
        <v>1</v>
      </c>
      <c r="K3386" s="6" t="str">
        <f t="shared" ref="K3386" si="3870">"vs "&amp;E3387</f>
        <v>vs Karafli Saita</v>
      </c>
      <c r="L3386" s="6" t="str">
        <f t="shared" ref="L3386" si="3871">"vs "&amp;F3387</f>
        <v>vs Tassos</v>
      </c>
      <c r="M3386">
        <v>142</v>
      </c>
      <c r="N3386" s="1">
        <v>0.48599999999999999</v>
      </c>
      <c r="O3386">
        <v>43</v>
      </c>
      <c r="P3386" s="1">
        <v>0.377</v>
      </c>
      <c r="Q3386" s="1">
        <v>0.74399999999999999</v>
      </c>
      <c r="R3386">
        <v>391</v>
      </c>
      <c r="S3386">
        <v>45</v>
      </c>
      <c r="T3386">
        <v>125</v>
      </c>
      <c r="U3386">
        <v>70</v>
      </c>
      <c r="V3386">
        <v>30</v>
      </c>
      <c r="W3386">
        <v>18</v>
      </c>
      <c r="X3386">
        <v>45</v>
      </c>
      <c r="Y3386">
        <v>1.56</v>
      </c>
    </row>
    <row r="3387" spans="1:25" x14ac:dyDescent="0.25">
      <c r="A3387">
        <v>2026</v>
      </c>
      <c r="B3387" t="s">
        <v>57</v>
      </c>
      <c r="C3387">
        <v>15</v>
      </c>
      <c r="D3387">
        <v>149</v>
      </c>
      <c r="E3387" t="s">
        <v>186</v>
      </c>
      <c r="F3387" t="s">
        <v>103</v>
      </c>
      <c r="G3387">
        <f t="shared" si="3805"/>
        <v>0</v>
      </c>
      <c r="H3387">
        <v>6</v>
      </c>
      <c r="I3387">
        <v>6</v>
      </c>
      <c r="J3387">
        <v>1</v>
      </c>
      <c r="K3387" s="6" t="str">
        <f t="shared" ref="K3387" si="3872">"vs "&amp;E3386</f>
        <v>vs Tsarlatans</v>
      </c>
      <c r="L3387" s="6" t="str">
        <f t="shared" ref="L3387" si="3873">"vs "&amp;F3386</f>
        <v>vs Tzokos</v>
      </c>
      <c r="M3387">
        <v>192</v>
      </c>
      <c r="N3387" s="1">
        <v>0.46800000000000003</v>
      </c>
      <c r="O3387">
        <v>44</v>
      </c>
      <c r="P3387" s="1">
        <v>0.29099999999999998</v>
      </c>
      <c r="Q3387" s="1">
        <v>0.80900000000000005</v>
      </c>
      <c r="R3387">
        <v>534</v>
      </c>
      <c r="S3387">
        <v>24</v>
      </c>
      <c r="T3387">
        <v>122</v>
      </c>
      <c r="U3387">
        <v>121</v>
      </c>
      <c r="V3387">
        <v>27</v>
      </c>
      <c r="W3387">
        <v>18</v>
      </c>
      <c r="X3387">
        <v>50</v>
      </c>
      <c r="Y3387">
        <v>2.42</v>
      </c>
    </row>
    <row r="3388" spans="1:25" x14ac:dyDescent="0.25">
      <c r="A3388">
        <v>2026</v>
      </c>
      <c r="B3388" t="s">
        <v>57</v>
      </c>
      <c r="C3388">
        <v>15</v>
      </c>
      <c r="D3388">
        <v>150</v>
      </c>
      <c r="E3388" t="s">
        <v>201</v>
      </c>
      <c r="F3388" t="s">
        <v>227</v>
      </c>
      <c r="G3388">
        <f t="shared" si="3805"/>
        <v>0</v>
      </c>
      <c r="H3388">
        <v>5</v>
      </c>
      <c r="I3388">
        <v>8</v>
      </c>
      <c r="J3388">
        <v>0</v>
      </c>
      <c r="K3388" s="6" t="str">
        <f t="shared" ref="K3388" si="3874">"vs "&amp;E3389</f>
        <v>vs Fighting Thaddeus</v>
      </c>
      <c r="L3388" s="6" t="str">
        <f t="shared" ref="L3388" si="3875">"vs "&amp;F3389</f>
        <v>vs Stavros</v>
      </c>
      <c r="M3388">
        <v>147</v>
      </c>
      <c r="N3388" s="1">
        <v>0.52500000000000002</v>
      </c>
      <c r="O3388">
        <v>46</v>
      </c>
      <c r="P3388" s="1">
        <v>0.377</v>
      </c>
      <c r="Q3388" s="1">
        <v>0.71699999999999997</v>
      </c>
      <c r="R3388">
        <v>378</v>
      </c>
      <c r="S3388">
        <v>58</v>
      </c>
      <c r="T3388">
        <v>121</v>
      </c>
      <c r="U3388">
        <v>75</v>
      </c>
      <c r="V3388">
        <v>25</v>
      </c>
      <c r="W3388">
        <v>17</v>
      </c>
      <c r="X3388">
        <v>39</v>
      </c>
      <c r="Y3388">
        <v>1.92</v>
      </c>
    </row>
    <row r="3389" spans="1:25" x14ac:dyDescent="0.25">
      <c r="A3389">
        <v>2026</v>
      </c>
      <c r="B3389" t="s">
        <v>57</v>
      </c>
      <c r="C3389">
        <v>15</v>
      </c>
      <c r="D3389">
        <v>150</v>
      </c>
      <c r="E3389" t="s">
        <v>94</v>
      </c>
      <c r="F3389" t="s">
        <v>40</v>
      </c>
      <c r="G3389">
        <f t="shared" si="3805"/>
        <v>1</v>
      </c>
      <c r="H3389">
        <v>8</v>
      </c>
      <c r="I3389">
        <v>5</v>
      </c>
      <c r="J3389">
        <v>0</v>
      </c>
      <c r="K3389" s="6" t="str">
        <f t="shared" ref="K3389" si="3876">"vs "&amp;E3388</f>
        <v>vs Hércules Pals</v>
      </c>
      <c r="L3389" s="6" t="str">
        <f t="shared" ref="L3389" si="3877">"vs "&amp;F3388</f>
        <v>vs Pals</v>
      </c>
      <c r="M3389">
        <v>174</v>
      </c>
      <c r="N3389" s="1">
        <v>0.47699999999999998</v>
      </c>
      <c r="O3389">
        <v>62</v>
      </c>
      <c r="P3389" s="1">
        <v>0.41599999999999998</v>
      </c>
      <c r="Q3389" s="1">
        <v>0.85599999999999998</v>
      </c>
      <c r="R3389">
        <v>505</v>
      </c>
      <c r="S3389">
        <v>33</v>
      </c>
      <c r="T3389">
        <v>95</v>
      </c>
      <c r="U3389">
        <v>99</v>
      </c>
      <c r="V3389">
        <v>23</v>
      </c>
      <c r="W3389">
        <v>21</v>
      </c>
      <c r="X3389">
        <v>50</v>
      </c>
      <c r="Y3389">
        <v>1.98</v>
      </c>
    </row>
    <row r="3390" spans="1:25" x14ac:dyDescent="0.25">
      <c r="A3390">
        <v>2026</v>
      </c>
      <c r="B3390" t="s">
        <v>57</v>
      </c>
      <c r="C3390">
        <v>16</v>
      </c>
      <c r="D3390">
        <v>151</v>
      </c>
      <c r="E3390" t="s">
        <v>158</v>
      </c>
      <c r="F3390" t="s">
        <v>177</v>
      </c>
      <c r="G3390">
        <f t="shared" si="3805"/>
        <v>1</v>
      </c>
      <c r="H3390">
        <v>11</v>
      </c>
      <c r="I3390">
        <v>2</v>
      </c>
      <c r="J3390">
        <v>0</v>
      </c>
      <c r="K3390" s="6" t="str">
        <f t="shared" ref="K3390" si="3878">"vs "&amp;E3391</f>
        <v>vs Knights of Ni</v>
      </c>
      <c r="L3390" s="6" t="str">
        <f t="shared" ref="L3390" si="3879">"vs "&amp;F3391</f>
        <v>vs Tolios</v>
      </c>
      <c r="M3390">
        <v>229</v>
      </c>
      <c r="N3390" s="1">
        <v>0.46500000000000002</v>
      </c>
      <c r="O3390">
        <v>57</v>
      </c>
      <c r="P3390" s="1">
        <v>0.34100000000000003</v>
      </c>
      <c r="Q3390" s="1">
        <v>0.74199999999999999</v>
      </c>
      <c r="R3390">
        <v>633</v>
      </c>
      <c r="S3390">
        <v>30</v>
      </c>
      <c r="T3390">
        <v>143</v>
      </c>
      <c r="U3390">
        <v>159</v>
      </c>
      <c r="V3390">
        <v>36</v>
      </c>
      <c r="W3390">
        <v>33</v>
      </c>
      <c r="X3390">
        <v>77</v>
      </c>
      <c r="Y3390">
        <v>2.06</v>
      </c>
    </row>
    <row r="3391" spans="1:25" x14ac:dyDescent="0.25">
      <c r="A3391">
        <v>2026</v>
      </c>
      <c r="B3391" t="s">
        <v>57</v>
      </c>
      <c r="C3391">
        <v>16</v>
      </c>
      <c r="D3391">
        <v>151</v>
      </c>
      <c r="E3391" t="s">
        <v>96</v>
      </c>
      <c r="F3391" t="s">
        <v>102</v>
      </c>
      <c r="G3391">
        <f t="shared" si="3805"/>
        <v>0</v>
      </c>
      <c r="H3391">
        <v>2</v>
      </c>
      <c r="I3391">
        <v>11</v>
      </c>
      <c r="J3391">
        <v>0</v>
      </c>
      <c r="K3391" s="6" t="str">
        <f t="shared" ref="K3391" si="3880">"vs "&amp;E3390</f>
        <v>vs LRBP PR3DATORS</v>
      </c>
      <c r="L3391" s="6" t="str">
        <f t="shared" ref="L3391" si="3881">"vs "&amp;F3390</f>
        <v>vs Lafa</v>
      </c>
      <c r="M3391">
        <v>131</v>
      </c>
      <c r="N3391" s="1">
        <v>0.46100000000000002</v>
      </c>
      <c r="O3391">
        <v>41</v>
      </c>
      <c r="P3391" s="1">
        <v>0.33100000000000002</v>
      </c>
      <c r="Q3391" s="1">
        <v>0.63500000000000001</v>
      </c>
      <c r="R3391">
        <v>343</v>
      </c>
      <c r="S3391">
        <v>34</v>
      </c>
      <c r="T3391">
        <v>121</v>
      </c>
      <c r="U3391">
        <v>76</v>
      </c>
      <c r="V3391">
        <v>26</v>
      </c>
      <c r="W3391">
        <v>14</v>
      </c>
      <c r="X3391">
        <v>50</v>
      </c>
      <c r="Y3391">
        <v>1.52</v>
      </c>
    </row>
    <row r="3392" spans="1:25" x14ac:dyDescent="0.25">
      <c r="A3392">
        <v>2026</v>
      </c>
      <c r="B3392" t="s">
        <v>57</v>
      </c>
      <c r="C3392">
        <v>16</v>
      </c>
      <c r="D3392">
        <v>152</v>
      </c>
      <c r="E3392" t="s">
        <v>159</v>
      </c>
      <c r="F3392" t="s">
        <v>116</v>
      </c>
      <c r="G3392">
        <f t="shared" si="3805"/>
        <v>1</v>
      </c>
      <c r="H3392">
        <v>9</v>
      </c>
      <c r="I3392">
        <v>3</v>
      </c>
      <c r="J3392">
        <v>1</v>
      </c>
      <c r="K3392" s="6" t="str">
        <f t="shared" ref="K3392" si="3882">"vs "&amp;E3393</f>
        <v>vs Guruuu 🐐🐐🐐</v>
      </c>
      <c r="L3392" s="6" t="str">
        <f t="shared" ref="L3392" si="3883">"vs "&amp;F3393</f>
        <v>vs Guru</v>
      </c>
      <c r="M3392">
        <v>225</v>
      </c>
      <c r="N3392" s="1">
        <v>0.48699999999999999</v>
      </c>
      <c r="O3392">
        <v>49</v>
      </c>
      <c r="P3392" s="1">
        <v>0.32</v>
      </c>
      <c r="Q3392" s="1">
        <v>0.79400000000000004</v>
      </c>
      <c r="R3392">
        <v>622</v>
      </c>
      <c r="S3392">
        <v>74</v>
      </c>
      <c r="T3392">
        <v>200</v>
      </c>
      <c r="U3392">
        <v>170</v>
      </c>
      <c r="V3392">
        <v>39</v>
      </c>
      <c r="W3392">
        <v>17</v>
      </c>
      <c r="X3392">
        <v>88</v>
      </c>
      <c r="Y3392">
        <v>1.93</v>
      </c>
    </row>
    <row r="3393" spans="1:25" x14ac:dyDescent="0.25">
      <c r="A3393">
        <v>2026</v>
      </c>
      <c r="B3393" t="s">
        <v>57</v>
      </c>
      <c r="C3393">
        <v>16</v>
      </c>
      <c r="D3393">
        <v>152</v>
      </c>
      <c r="E3393" t="s">
        <v>93</v>
      </c>
      <c r="F3393" t="s">
        <v>189</v>
      </c>
      <c r="G3393">
        <f t="shared" si="3805"/>
        <v>0</v>
      </c>
      <c r="H3393">
        <v>3</v>
      </c>
      <c r="I3393">
        <v>9</v>
      </c>
      <c r="J3393">
        <v>1</v>
      </c>
      <c r="K3393" s="6" t="str">
        <f t="shared" ref="K3393" si="3884">"vs "&amp;E3392</f>
        <v>vs purple fuzzy apache pirates</v>
      </c>
      <c r="L3393" s="6" t="str">
        <f t="shared" ref="L3393" si="3885">"vs "&amp;F3392</f>
        <v>vs pi/Sotiris</v>
      </c>
      <c r="M3393">
        <v>202</v>
      </c>
      <c r="N3393" s="1">
        <v>0.44800000000000001</v>
      </c>
      <c r="O3393">
        <v>83</v>
      </c>
      <c r="P3393" s="1">
        <v>0.34599999999999997</v>
      </c>
      <c r="Q3393" s="1">
        <v>0.76</v>
      </c>
      <c r="R3393">
        <v>563</v>
      </c>
      <c r="S3393">
        <v>24</v>
      </c>
      <c r="T3393">
        <v>102</v>
      </c>
      <c r="U3393">
        <v>97</v>
      </c>
      <c r="V3393">
        <v>39</v>
      </c>
      <c r="W3393">
        <v>13</v>
      </c>
      <c r="X3393">
        <v>65</v>
      </c>
      <c r="Y3393">
        <v>1.49</v>
      </c>
    </row>
    <row r="3394" spans="1:25" x14ac:dyDescent="0.25">
      <c r="A3394">
        <v>2026</v>
      </c>
      <c r="B3394" t="s">
        <v>57</v>
      </c>
      <c r="C3394">
        <v>16</v>
      </c>
      <c r="D3394">
        <v>153</v>
      </c>
      <c r="E3394" t="s">
        <v>154</v>
      </c>
      <c r="F3394" t="s">
        <v>155</v>
      </c>
      <c r="G3394">
        <f t="shared" si="3805"/>
        <v>1</v>
      </c>
      <c r="H3394">
        <v>11</v>
      </c>
      <c r="I3394">
        <v>2</v>
      </c>
      <c r="J3394">
        <v>0</v>
      </c>
      <c r="K3394" s="6" t="str">
        <f t="shared" ref="K3394" si="3886">"vs "&amp;E3395</f>
        <v>vs Heraklion Snakes</v>
      </c>
      <c r="L3394" s="6" t="str">
        <f t="shared" ref="L3394" si="3887">"vs "&amp;F3395</f>
        <v>vs Dimitris</v>
      </c>
      <c r="M3394">
        <v>175</v>
      </c>
      <c r="N3394" s="1">
        <v>0.46500000000000002</v>
      </c>
      <c r="O3394">
        <v>43</v>
      </c>
      <c r="P3394" s="1">
        <v>0.35799999999999998</v>
      </c>
      <c r="Q3394" s="1">
        <v>0.79600000000000004</v>
      </c>
      <c r="R3394">
        <v>510</v>
      </c>
      <c r="S3394">
        <v>45</v>
      </c>
      <c r="T3394">
        <v>126</v>
      </c>
      <c r="U3394">
        <v>103</v>
      </c>
      <c r="V3394">
        <v>48</v>
      </c>
      <c r="W3394">
        <v>19</v>
      </c>
      <c r="X3394">
        <v>60</v>
      </c>
      <c r="Y3394">
        <v>1.72</v>
      </c>
    </row>
    <row r="3395" spans="1:25" x14ac:dyDescent="0.25">
      <c r="A3395">
        <v>2026</v>
      </c>
      <c r="B3395" t="s">
        <v>57</v>
      </c>
      <c r="C3395">
        <v>16</v>
      </c>
      <c r="D3395">
        <v>153</v>
      </c>
      <c r="E3395" t="s">
        <v>184</v>
      </c>
      <c r="F3395" t="s">
        <v>188</v>
      </c>
      <c r="G3395">
        <f t="shared" si="3805"/>
        <v>0</v>
      </c>
      <c r="H3395">
        <v>2</v>
      </c>
      <c r="I3395">
        <v>11</v>
      </c>
      <c r="J3395">
        <v>0</v>
      </c>
      <c r="K3395" s="6" t="str">
        <f t="shared" ref="K3395" si="3888">"vs "&amp;E3394</f>
        <v>vs The Bad Boys</v>
      </c>
      <c r="L3395" s="6" t="str">
        <f t="shared" ref="L3395" si="3889">"vs "&amp;F3394</f>
        <v>vs Arvanitis</v>
      </c>
      <c r="M3395">
        <v>117</v>
      </c>
      <c r="N3395" s="1">
        <v>0.39700000000000002</v>
      </c>
      <c r="O3395">
        <v>30</v>
      </c>
      <c r="P3395" s="1">
        <v>0.28299999999999997</v>
      </c>
      <c r="Q3395" s="1">
        <v>0.83</v>
      </c>
      <c r="R3395">
        <v>337</v>
      </c>
      <c r="S3395">
        <v>26</v>
      </c>
      <c r="T3395">
        <v>100</v>
      </c>
      <c r="U3395">
        <v>74</v>
      </c>
      <c r="V3395">
        <v>25</v>
      </c>
      <c r="W3395">
        <v>14</v>
      </c>
      <c r="X3395">
        <v>45</v>
      </c>
      <c r="Y3395">
        <v>1.64</v>
      </c>
    </row>
    <row r="3396" spans="1:25" x14ac:dyDescent="0.25">
      <c r="A3396">
        <v>2026</v>
      </c>
      <c r="B3396" t="s">
        <v>57</v>
      </c>
      <c r="C3396">
        <v>16</v>
      </c>
      <c r="D3396">
        <v>154</v>
      </c>
      <c r="E3396" t="s">
        <v>181</v>
      </c>
      <c r="F3396" t="s">
        <v>49</v>
      </c>
      <c r="G3396">
        <f t="shared" si="3805"/>
        <v>1</v>
      </c>
      <c r="H3396">
        <v>8</v>
      </c>
      <c r="I3396">
        <v>5</v>
      </c>
      <c r="J3396">
        <v>0</v>
      </c>
      <c r="K3396" s="6" t="str">
        <f t="shared" ref="K3396" si="3890">"vs "&amp;E3397</f>
        <v>vs The Bridgeburners</v>
      </c>
      <c r="L3396" s="6" t="str">
        <f t="shared" ref="L3396" si="3891">"vs "&amp;F3397</f>
        <v>vs Fanis</v>
      </c>
      <c r="M3396">
        <v>292</v>
      </c>
      <c r="N3396" s="1">
        <v>0.44700000000000001</v>
      </c>
      <c r="O3396">
        <v>72</v>
      </c>
      <c r="P3396" s="1">
        <v>0.29499999999999998</v>
      </c>
      <c r="Q3396" s="1">
        <v>0.80900000000000005</v>
      </c>
      <c r="R3396">
        <v>834</v>
      </c>
      <c r="S3396">
        <v>55</v>
      </c>
      <c r="T3396">
        <v>193</v>
      </c>
      <c r="U3396">
        <v>243</v>
      </c>
      <c r="V3396">
        <v>52</v>
      </c>
      <c r="W3396">
        <v>25</v>
      </c>
      <c r="X3396">
        <v>110</v>
      </c>
      <c r="Y3396">
        <v>2.21</v>
      </c>
    </row>
    <row r="3397" spans="1:25" x14ac:dyDescent="0.25">
      <c r="A3397">
        <v>2026</v>
      </c>
      <c r="B3397" t="s">
        <v>57</v>
      </c>
      <c r="C3397">
        <v>16</v>
      </c>
      <c r="D3397">
        <v>154</v>
      </c>
      <c r="E3397" t="s">
        <v>16</v>
      </c>
      <c r="F3397" t="s">
        <v>51</v>
      </c>
      <c r="G3397">
        <f t="shared" si="3805"/>
        <v>0</v>
      </c>
      <c r="H3397">
        <v>5</v>
      </c>
      <c r="I3397">
        <v>8</v>
      </c>
      <c r="J3397">
        <v>0</v>
      </c>
      <c r="K3397" s="6" t="str">
        <f t="shared" ref="K3397" si="3892">"vs "&amp;E3396</f>
        <v>vs Samarina Dudenbros</v>
      </c>
      <c r="L3397" s="6" t="str">
        <f t="shared" ref="L3397" si="3893">"vs "&amp;F3396</f>
        <v>vs Sakellariou</v>
      </c>
      <c r="M3397">
        <v>158</v>
      </c>
      <c r="N3397" s="1">
        <v>0.49399999999999999</v>
      </c>
      <c r="O3397">
        <v>48</v>
      </c>
      <c r="P3397" s="1">
        <v>0.4</v>
      </c>
      <c r="Q3397" s="1">
        <v>0.81599999999999995</v>
      </c>
      <c r="R3397">
        <v>448</v>
      </c>
      <c r="S3397">
        <v>36</v>
      </c>
      <c r="T3397">
        <v>117</v>
      </c>
      <c r="U3397">
        <v>133</v>
      </c>
      <c r="V3397">
        <v>40</v>
      </c>
      <c r="W3397">
        <v>19</v>
      </c>
      <c r="X3397">
        <v>56</v>
      </c>
      <c r="Y3397">
        <v>2.38</v>
      </c>
    </row>
    <row r="3398" spans="1:25" x14ac:dyDescent="0.25">
      <c r="A3398">
        <v>2026</v>
      </c>
      <c r="B3398" t="s">
        <v>57</v>
      </c>
      <c r="C3398">
        <v>16</v>
      </c>
      <c r="D3398">
        <v>155</v>
      </c>
      <c r="E3398" t="s">
        <v>15</v>
      </c>
      <c r="F3398" t="s">
        <v>48</v>
      </c>
      <c r="G3398">
        <f t="shared" si="3805"/>
        <v>0</v>
      </c>
      <c r="H3398">
        <v>2</v>
      </c>
      <c r="I3398">
        <v>11</v>
      </c>
      <c r="J3398">
        <v>0</v>
      </c>
      <c r="K3398" s="6" t="str">
        <f t="shared" ref="K3398" si="3894">"vs "&amp;E3399</f>
        <v>vs Kourayo Vallecano</v>
      </c>
      <c r="L3398" s="6" t="str">
        <f t="shared" ref="L3398" si="3895">"vs "&amp;F3399</f>
        <v>vs Ziogas/Christof</v>
      </c>
      <c r="M3398">
        <v>128</v>
      </c>
      <c r="N3398" s="1">
        <v>0.48099999999999998</v>
      </c>
      <c r="O3398">
        <v>41</v>
      </c>
      <c r="P3398" s="1">
        <v>0.35</v>
      </c>
      <c r="Q3398" s="1">
        <v>0.79200000000000004</v>
      </c>
      <c r="R3398">
        <v>335</v>
      </c>
      <c r="S3398">
        <v>35</v>
      </c>
      <c r="T3398">
        <v>88</v>
      </c>
      <c r="U3398">
        <v>67</v>
      </c>
      <c r="V3398">
        <v>22</v>
      </c>
      <c r="W3398">
        <v>2</v>
      </c>
      <c r="X3398">
        <v>33</v>
      </c>
      <c r="Y3398">
        <v>2.0299999999999998</v>
      </c>
    </row>
    <row r="3399" spans="1:25" x14ac:dyDescent="0.25">
      <c r="A3399">
        <v>2026</v>
      </c>
      <c r="B3399" t="s">
        <v>57</v>
      </c>
      <c r="C3399">
        <v>16</v>
      </c>
      <c r="D3399">
        <v>155</v>
      </c>
      <c r="E3399" t="s">
        <v>26</v>
      </c>
      <c r="F3399" t="s">
        <v>118</v>
      </c>
      <c r="G3399">
        <f t="shared" si="3805"/>
        <v>1</v>
      </c>
      <c r="H3399">
        <v>11</v>
      </c>
      <c r="I3399">
        <v>2</v>
      </c>
      <c r="J3399">
        <v>0</v>
      </c>
      <c r="K3399" s="6" t="str">
        <f t="shared" ref="K3399" si="3896">"vs "&amp;E3398</f>
        <v>vs Salonika Devils</v>
      </c>
      <c r="L3399" s="6" t="str">
        <f t="shared" ref="L3399" si="3897">"vs "&amp;F3398</f>
        <v>vs Fountos</v>
      </c>
      <c r="M3399">
        <v>143</v>
      </c>
      <c r="N3399" s="1">
        <v>0.48799999999999999</v>
      </c>
      <c r="O3399">
        <v>44</v>
      </c>
      <c r="P3399" s="1">
        <v>0.4</v>
      </c>
      <c r="Q3399" s="1">
        <v>0.80800000000000005</v>
      </c>
      <c r="R3399">
        <v>389</v>
      </c>
      <c r="S3399">
        <v>41</v>
      </c>
      <c r="T3399">
        <v>130</v>
      </c>
      <c r="U3399">
        <v>135</v>
      </c>
      <c r="V3399">
        <v>29</v>
      </c>
      <c r="W3399">
        <v>11</v>
      </c>
      <c r="X3399">
        <v>67</v>
      </c>
      <c r="Y3399">
        <v>2.0099999999999998</v>
      </c>
    </row>
    <row r="3400" spans="1:25" x14ac:dyDescent="0.25">
      <c r="A3400">
        <v>2026</v>
      </c>
      <c r="B3400" t="s">
        <v>57</v>
      </c>
      <c r="C3400">
        <v>16</v>
      </c>
      <c r="D3400">
        <v>156</v>
      </c>
      <c r="E3400" t="s">
        <v>28</v>
      </c>
      <c r="F3400" t="s">
        <v>46</v>
      </c>
      <c r="G3400">
        <f t="shared" si="3805"/>
        <v>0</v>
      </c>
      <c r="H3400">
        <v>2</v>
      </c>
      <c r="I3400">
        <v>11</v>
      </c>
      <c r="J3400">
        <v>0</v>
      </c>
      <c r="K3400" s="6" t="str">
        <f t="shared" ref="K3400" si="3898">"vs "&amp;E3401</f>
        <v>vs Xanthi Ducks 🦆</v>
      </c>
      <c r="L3400" s="6" t="str">
        <f t="shared" ref="L3400" si="3899">"vs "&amp;F3401</f>
        <v>vs Kotakis</v>
      </c>
      <c r="M3400">
        <v>145</v>
      </c>
      <c r="N3400" s="1">
        <v>0.47099999999999997</v>
      </c>
      <c r="O3400">
        <v>67</v>
      </c>
      <c r="P3400" s="1">
        <v>0.38700000000000001</v>
      </c>
      <c r="Q3400" s="1">
        <v>0.77800000000000002</v>
      </c>
      <c r="R3400">
        <v>413</v>
      </c>
      <c r="S3400">
        <v>24</v>
      </c>
      <c r="T3400">
        <v>85</v>
      </c>
      <c r="U3400">
        <v>63</v>
      </c>
      <c r="V3400">
        <v>22</v>
      </c>
      <c r="W3400">
        <v>22</v>
      </c>
      <c r="X3400">
        <v>58</v>
      </c>
      <c r="Y3400">
        <v>1.0900000000000001</v>
      </c>
    </row>
    <row r="3401" spans="1:25" x14ac:dyDescent="0.25">
      <c r="A3401">
        <v>2026</v>
      </c>
      <c r="B3401" t="s">
        <v>57</v>
      </c>
      <c r="C3401">
        <v>16</v>
      </c>
      <c r="D3401">
        <v>156</v>
      </c>
      <c r="E3401" t="s">
        <v>98</v>
      </c>
      <c r="F3401" t="s">
        <v>41</v>
      </c>
      <c r="G3401">
        <f t="shared" si="3805"/>
        <v>1</v>
      </c>
      <c r="H3401">
        <v>11</v>
      </c>
      <c r="I3401">
        <v>2</v>
      </c>
      <c r="J3401">
        <v>0</v>
      </c>
      <c r="K3401" s="6" t="str">
        <f t="shared" ref="K3401" si="3900">"vs "&amp;E3400</f>
        <v>vs Steven Adams' Moustache</v>
      </c>
      <c r="L3401" s="6" t="str">
        <f t="shared" ref="L3401" si="3901">"vs "&amp;F3400</f>
        <v>vs Johnny</v>
      </c>
      <c r="M3401">
        <v>156</v>
      </c>
      <c r="N3401" s="1">
        <v>0.47399999999999998</v>
      </c>
      <c r="O3401">
        <v>48</v>
      </c>
      <c r="P3401" s="1">
        <v>0.33600000000000002</v>
      </c>
      <c r="Q3401" s="1">
        <v>0.81499999999999995</v>
      </c>
      <c r="R3401">
        <v>435</v>
      </c>
      <c r="S3401">
        <v>40</v>
      </c>
      <c r="T3401">
        <v>142</v>
      </c>
      <c r="U3401">
        <v>130</v>
      </c>
      <c r="V3401">
        <v>44</v>
      </c>
      <c r="W3401">
        <v>23</v>
      </c>
      <c r="X3401">
        <v>52</v>
      </c>
      <c r="Y3401">
        <v>2.5</v>
      </c>
    </row>
    <row r="3402" spans="1:25" x14ac:dyDescent="0.25">
      <c r="A3402">
        <v>2026</v>
      </c>
      <c r="B3402" t="s">
        <v>57</v>
      </c>
      <c r="C3402">
        <v>16</v>
      </c>
      <c r="D3402">
        <v>157</v>
      </c>
      <c r="E3402" t="s">
        <v>185</v>
      </c>
      <c r="F3402" t="s">
        <v>100</v>
      </c>
      <c r="G3402">
        <f t="shared" si="3805"/>
        <v>1</v>
      </c>
      <c r="H3402">
        <v>8</v>
      </c>
      <c r="I3402">
        <v>5</v>
      </c>
      <c r="J3402">
        <v>0</v>
      </c>
      <c r="K3402" s="6" t="str">
        <f t="shared" ref="K3402" si="3902">"vs "&amp;E3403</f>
        <v>vs The Guns</v>
      </c>
      <c r="L3402" s="6" t="str">
        <f t="shared" ref="L3402" si="3903">"vs "&amp;F3403</f>
        <v>vs Vasilis</v>
      </c>
      <c r="M3402">
        <v>172</v>
      </c>
      <c r="N3402" s="1">
        <v>0.46400000000000002</v>
      </c>
      <c r="O3402">
        <v>50</v>
      </c>
      <c r="P3402" s="1">
        <v>0.35199999999999998</v>
      </c>
      <c r="Q3402" s="1">
        <v>0.80600000000000005</v>
      </c>
      <c r="R3402">
        <v>473</v>
      </c>
      <c r="S3402">
        <v>30</v>
      </c>
      <c r="T3402">
        <v>113</v>
      </c>
      <c r="U3402">
        <v>143</v>
      </c>
      <c r="V3402">
        <v>32</v>
      </c>
      <c r="W3402">
        <v>13</v>
      </c>
      <c r="X3402">
        <v>50</v>
      </c>
      <c r="Y3402">
        <v>2.86</v>
      </c>
    </row>
    <row r="3403" spans="1:25" x14ac:dyDescent="0.25">
      <c r="A3403">
        <v>2026</v>
      </c>
      <c r="B3403" t="s">
        <v>57</v>
      </c>
      <c r="C3403">
        <v>16</v>
      </c>
      <c r="D3403">
        <v>157</v>
      </c>
      <c r="E3403" t="s">
        <v>33</v>
      </c>
      <c r="F3403" t="s">
        <v>42</v>
      </c>
      <c r="G3403">
        <f t="shared" si="3805"/>
        <v>0</v>
      </c>
      <c r="H3403">
        <v>5</v>
      </c>
      <c r="I3403">
        <v>8</v>
      </c>
      <c r="J3403">
        <v>0</v>
      </c>
      <c r="K3403" s="6" t="str">
        <f t="shared" ref="K3403" si="3904">"vs "&amp;E3402</f>
        <v>vs Paralouistas</v>
      </c>
      <c r="L3403" s="6" t="str">
        <f t="shared" ref="L3403" si="3905">"vs "&amp;F3402</f>
        <v>vs Panos</v>
      </c>
      <c r="M3403">
        <v>146</v>
      </c>
      <c r="N3403" s="1">
        <v>0.42</v>
      </c>
      <c r="O3403">
        <v>59</v>
      </c>
      <c r="P3403" s="1">
        <v>0.31900000000000001</v>
      </c>
      <c r="Q3403" s="1">
        <v>0.80400000000000005</v>
      </c>
      <c r="R3403">
        <v>392</v>
      </c>
      <c r="S3403">
        <v>39</v>
      </c>
      <c r="T3403">
        <v>128</v>
      </c>
      <c r="U3403">
        <v>93</v>
      </c>
      <c r="V3403">
        <v>34</v>
      </c>
      <c r="W3403">
        <v>19</v>
      </c>
      <c r="X3403">
        <v>51</v>
      </c>
      <c r="Y3403">
        <v>1.82</v>
      </c>
    </row>
    <row r="3404" spans="1:25" x14ac:dyDescent="0.25">
      <c r="A3404">
        <v>2026</v>
      </c>
      <c r="B3404" t="s">
        <v>57</v>
      </c>
      <c r="C3404">
        <v>16</v>
      </c>
      <c r="D3404">
        <v>158</v>
      </c>
      <c r="E3404" t="s">
        <v>21</v>
      </c>
      <c r="F3404" t="s">
        <v>50</v>
      </c>
      <c r="G3404">
        <f t="shared" si="3805"/>
        <v>0</v>
      </c>
      <c r="H3404">
        <v>3</v>
      </c>
      <c r="I3404">
        <v>10</v>
      </c>
      <c r="J3404">
        <v>0</v>
      </c>
      <c r="K3404" s="6" t="str">
        <f t="shared" ref="K3404" si="3906">"vs "&amp;E3405</f>
        <v>vs Tsarlatans</v>
      </c>
      <c r="L3404" s="6" t="str">
        <f t="shared" ref="L3404" si="3907">"vs "&amp;F3405</f>
        <v>vs Tzokos</v>
      </c>
      <c r="M3404">
        <v>191</v>
      </c>
      <c r="N3404" s="1">
        <v>0.50900000000000001</v>
      </c>
      <c r="O3404">
        <v>26</v>
      </c>
      <c r="P3404" s="1">
        <v>0.26300000000000001</v>
      </c>
      <c r="Q3404" s="1">
        <v>0.747</v>
      </c>
      <c r="R3404">
        <v>473</v>
      </c>
      <c r="S3404">
        <v>42</v>
      </c>
      <c r="T3404">
        <v>137</v>
      </c>
      <c r="U3404">
        <v>95</v>
      </c>
      <c r="V3404">
        <v>40</v>
      </c>
      <c r="W3404">
        <v>23</v>
      </c>
      <c r="X3404">
        <v>56</v>
      </c>
      <c r="Y3404">
        <v>1.7</v>
      </c>
    </row>
    <row r="3405" spans="1:25" x14ac:dyDescent="0.25">
      <c r="A3405">
        <v>2026</v>
      </c>
      <c r="B3405" t="s">
        <v>57</v>
      </c>
      <c r="C3405">
        <v>16</v>
      </c>
      <c r="D3405">
        <v>158</v>
      </c>
      <c r="E3405" t="s">
        <v>99</v>
      </c>
      <c r="F3405" t="s">
        <v>45</v>
      </c>
      <c r="G3405">
        <f t="shared" si="3805"/>
        <v>1</v>
      </c>
      <c r="H3405">
        <v>10</v>
      </c>
      <c r="I3405">
        <v>3</v>
      </c>
      <c r="J3405">
        <v>0</v>
      </c>
      <c r="K3405" s="6" t="str">
        <f t="shared" ref="K3405" si="3908">"vs "&amp;E3404</f>
        <v>vs st.Helens Eruptions</v>
      </c>
      <c r="L3405" s="6" t="str">
        <f t="shared" ref="L3405" si="3909">"vs "&amp;F3404</f>
        <v>vs Aris</v>
      </c>
      <c r="M3405">
        <v>241</v>
      </c>
      <c r="N3405" s="1">
        <v>0.52700000000000002</v>
      </c>
      <c r="O3405">
        <v>61</v>
      </c>
      <c r="P3405" s="1">
        <v>0.379</v>
      </c>
      <c r="Q3405" s="1">
        <v>0.81499999999999995</v>
      </c>
      <c r="R3405">
        <v>640</v>
      </c>
      <c r="S3405">
        <v>86</v>
      </c>
      <c r="T3405">
        <v>208</v>
      </c>
      <c r="U3405">
        <v>99</v>
      </c>
      <c r="V3405">
        <v>43</v>
      </c>
      <c r="W3405">
        <v>21</v>
      </c>
      <c r="X3405">
        <v>59</v>
      </c>
      <c r="Y3405">
        <v>1.68</v>
      </c>
    </row>
    <row r="3406" spans="1:25" x14ac:dyDescent="0.25">
      <c r="A3406">
        <v>2026</v>
      </c>
      <c r="B3406" t="s">
        <v>57</v>
      </c>
      <c r="C3406">
        <v>16</v>
      </c>
      <c r="D3406">
        <v>159</v>
      </c>
      <c r="E3406" t="s">
        <v>23</v>
      </c>
      <c r="F3406" t="s">
        <v>120</v>
      </c>
      <c r="G3406">
        <f t="shared" si="3805"/>
        <v>0</v>
      </c>
      <c r="H3406">
        <v>5</v>
      </c>
      <c r="I3406">
        <v>8</v>
      </c>
      <c r="J3406">
        <v>0</v>
      </c>
      <c r="K3406" s="6" t="str">
        <f t="shared" ref="K3406" si="3910">"vs "&amp;E3407</f>
        <v>vs Hércules Pals</v>
      </c>
      <c r="L3406" s="6" t="str">
        <f t="shared" ref="L3406" si="3911">"vs "&amp;F3407</f>
        <v>vs Pals</v>
      </c>
      <c r="M3406">
        <v>186</v>
      </c>
      <c r="N3406" s="1">
        <v>0.442</v>
      </c>
      <c r="O3406">
        <v>66</v>
      </c>
      <c r="P3406" s="1">
        <v>0.36499999999999999</v>
      </c>
      <c r="Q3406" s="1">
        <v>0.81799999999999995</v>
      </c>
      <c r="R3406">
        <v>519</v>
      </c>
      <c r="S3406">
        <v>42</v>
      </c>
      <c r="T3406">
        <v>135</v>
      </c>
      <c r="U3406">
        <v>137</v>
      </c>
      <c r="V3406">
        <v>41</v>
      </c>
      <c r="W3406">
        <v>30</v>
      </c>
      <c r="X3406">
        <v>82</v>
      </c>
      <c r="Y3406">
        <v>1.67</v>
      </c>
    </row>
    <row r="3407" spans="1:25" x14ac:dyDescent="0.25">
      <c r="A3407">
        <v>2026</v>
      </c>
      <c r="B3407" t="s">
        <v>57</v>
      </c>
      <c r="C3407">
        <v>16</v>
      </c>
      <c r="D3407">
        <v>159</v>
      </c>
      <c r="E3407" t="s">
        <v>201</v>
      </c>
      <c r="F3407" t="s">
        <v>227</v>
      </c>
      <c r="G3407">
        <f t="shared" si="3805"/>
        <v>1</v>
      </c>
      <c r="H3407">
        <v>8</v>
      </c>
      <c r="I3407">
        <v>5</v>
      </c>
      <c r="J3407">
        <v>0</v>
      </c>
      <c r="K3407" s="6" t="str">
        <f t="shared" ref="K3407" si="3912">"vs "&amp;E3406</f>
        <v>vs Pachiana NinjaBees</v>
      </c>
      <c r="L3407" s="6" t="str">
        <f t="shared" ref="L3407" si="3913">"vs "&amp;F3406</f>
        <v>vs Spiridaus/Oladipas</v>
      </c>
      <c r="M3407">
        <v>194</v>
      </c>
      <c r="N3407" s="1">
        <v>0.505</v>
      </c>
      <c r="O3407">
        <v>77</v>
      </c>
      <c r="P3407" s="1">
        <v>0.42099999999999999</v>
      </c>
      <c r="Q3407" s="1">
        <v>0.65400000000000003</v>
      </c>
      <c r="R3407">
        <v>533</v>
      </c>
      <c r="S3407">
        <v>71</v>
      </c>
      <c r="T3407">
        <v>148</v>
      </c>
      <c r="U3407">
        <v>91</v>
      </c>
      <c r="V3407">
        <v>27</v>
      </c>
      <c r="W3407">
        <v>27</v>
      </c>
      <c r="X3407">
        <v>64</v>
      </c>
      <c r="Y3407">
        <v>1.42</v>
      </c>
    </row>
    <row r="3408" spans="1:25" x14ac:dyDescent="0.25">
      <c r="A3408">
        <v>2026</v>
      </c>
      <c r="B3408" t="s">
        <v>57</v>
      </c>
      <c r="C3408">
        <v>16</v>
      </c>
      <c r="D3408">
        <v>160</v>
      </c>
      <c r="E3408" t="s">
        <v>186</v>
      </c>
      <c r="F3408" t="s">
        <v>103</v>
      </c>
      <c r="G3408">
        <f t="shared" si="3805"/>
        <v>1</v>
      </c>
      <c r="H3408">
        <v>10</v>
      </c>
      <c r="I3408">
        <v>3</v>
      </c>
      <c r="J3408">
        <v>0</v>
      </c>
      <c r="K3408" s="6" t="str">
        <f t="shared" ref="K3408" si="3914">"vs "&amp;E3409</f>
        <v>vs Fighting Thaddeus</v>
      </c>
      <c r="L3408" s="6" t="str">
        <f t="shared" ref="L3408" si="3915">"vs "&amp;F3409</f>
        <v>vs Stavros</v>
      </c>
      <c r="M3408">
        <v>305</v>
      </c>
      <c r="N3408" s="1">
        <v>0.49</v>
      </c>
      <c r="O3408">
        <v>72</v>
      </c>
      <c r="P3408" s="1">
        <v>0.33200000000000002</v>
      </c>
      <c r="Q3408" s="1">
        <v>0.82399999999999995</v>
      </c>
      <c r="R3408">
        <v>879</v>
      </c>
      <c r="S3408">
        <v>44</v>
      </c>
      <c r="T3408">
        <v>215</v>
      </c>
      <c r="U3408">
        <v>192</v>
      </c>
      <c r="V3408">
        <v>46</v>
      </c>
      <c r="W3408">
        <v>34</v>
      </c>
      <c r="X3408">
        <v>88</v>
      </c>
      <c r="Y3408">
        <v>2.1800000000000002</v>
      </c>
    </row>
    <row r="3409" spans="1:25" x14ac:dyDescent="0.25">
      <c r="A3409">
        <v>2026</v>
      </c>
      <c r="B3409" t="s">
        <v>57</v>
      </c>
      <c r="C3409">
        <v>16</v>
      </c>
      <c r="D3409">
        <v>160</v>
      </c>
      <c r="E3409" t="s">
        <v>94</v>
      </c>
      <c r="F3409" t="s">
        <v>40</v>
      </c>
      <c r="G3409">
        <f t="shared" si="3805"/>
        <v>0</v>
      </c>
      <c r="H3409">
        <v>3</v>
      </c>
      <c r="I3409">
        <v>10</v>
      </c>
      <c r="J3409">
        <v>0</v>
      </c>
      <c r="K3409" s="6" t="str">
        <f t="shared" ref="K3409" si="3916">"vs "&amp;E3408</f>
        <v>vs Karafli Saita</v>
      </c>
      <c r="L3409" s="6" t="str">
        <f t="shared" ref="L3409" si="3917">"vs "&amp;F3408</f>
        <v>vs Tassos</v>
      </c>
      <c r="M3409">
        <v>165</v>
      </c>
      <c r="N3409" s="1">
        <v>0.47299999999999998</v>
      </c>
      <c r="O3409">
        <v>62</v>
      </c>
      <c r="P3409" s="1">
        <v>0.40799999999999997</v>
      </c>
      <c r="Q3409" s="1">
        <v>0.78700000000000003</v>
      </c>
      <c r="R3409">
        <v>451</v>
      </c>
      <c r="S3409">
        <v>42</v>
      </c>
      <c r="T3409">
        <v>161</v>
      </c>
      <c r="U3409">
        <v>101</v>
      </c>
      <c r="V3409">
        <v>28</v>
      </c>
      <c r="W3409">
        <v>25</v>
      </c>
      <c r="X3409">
        <v>41</v>
      </c>
      <c r="Y3409">
        <v>2.46</v>
      </c>
    </row>
    <row r="3410" spans="1:25" x14ac:dyDescent="0.25">
      <c r="A3410">
        <v>2026</v>
      </c>
      <c r="B3410" t="s">
        <v>57</v>
      </c>
      <c r="C3410">
        <v>16</v>
      </c>
      <c r="D3410">
        <v>161</v>
      </c>
      <c r="E3410" t="s">
        <v>94</v>
      </c>
      <c r="F3410" t="s">
        <v>40</v>
      </c>
      <c r="G3410">
        <f t="shared" si="3805"/>
        <v>1</v>
      </c>
      <c r="H3410">
        <v>12</v>
      </c>
      <c r="I3410">
        <v>1</v>
      </c>
      <c r="J3410">
        <v>0</v>
      </c>
      <c r="K3410" s="6" t="str">
        <f t="shared" ref="K3410" si="3918">"vs "&amp;E3411</f>
        <v>vs Steven Adams' Moustache</v>
      </c>
      <c r="L3410" s="6" t="str">
        <f t="shared" ref="L3410" si="3919">"vs "&amp;F3411</f>
        <v>vs Johnny</v>
      </c>
      <c r="M3410">
        <v>165</v>
      </c>
      <c r="N3410" s="1">
        <v>0.47299999999999998</v>
      </c>
      <c r="O3410">
        <v>62</v>
      </c>
      <c r="P3410" s="1">
        <v>0.40799999999999997</v>
      </c>
      <c r="Q3410" s="1">
        <v>0.78700000000000003</v>
      </c>
      <c r="R3410">
        <v>451</v>
      </c>
      <c r="S3410">
        <v>42</v>
      </c>
      <c r="T3410">
        <v>161</v>
      </c>
      <c r="U3410">
        <v>101</v>
      </c>
      <c r="V3410">
        <v>28</v>
      </c>
      <c r="W3410">
        <v>25</v>
      </c>
      <c r="X3410">
        <v>41</v>
      </c>
      <c r="Y3410">
        <v>2.46</v>
      </c>
    </row>
    <row r="3411" spans="1:25" x14ac:dyDescent="0.25">
      <c r="A3411">
        <v>2026</v>
      </c>
      <c r="B3411" t="s">
        <v>57</v>
      </c>
      <c r="C3411">
        <v>16</v>
      </c>
      <c r="D3411">
        <v>161</v>
      </c>
      <c r="E3411" t="s">
        <v>28</v>
      </c>
      <c r="F3411" t="s">
        <v>46</v>
      </c>
      <c r="G3411">
        <f t="shared" si="3805"/>
        <v>0</v>
      </c>
      <c r="H3411">
        <v>1</v>
      </c>
      <c r="I3411">
        <v>12</v>
      </c>
      <c r="J3411">
        <v>0</v>
      </c>
      <c r="K3411" s="6" t="str">
        <f t="shared" ref="K3411" si="3920">"vs "&amp;E3410</f>
        <v>vs Fighting Thaddeus</v>
      </c>
      <c r="L3411" s="6" t="str">
        <f t="shared" ref="L3411" si="3921">"vs "&amp;F3410</f>
        <v>vs Stavros</v>
      </c>
      <c r="M3411">
        <v>145</v>
      </c>
      <c r="N3411" s="1">
        <v>0.47099999999999997</v>
      </c>
      <c r="O3411">
        <v>67</v>
      </c>
      <c r="P3411" s="1">
        <v>0.38700000000000001</v>
      </c>
      <c r="Q3411" s="1">
        <v>0.77800000000000002</v>
      </c>
      <c r="R3411">
        <v>413</v>
      </c>
      <c r="S3411">
        <v>24</v>
      </c>
      <c r="T3411">
        <v>85</v>
      </c>
      <c r="U3411">
        <v>63</v>
      </c>
      <c r="V3411">
        <v>22</v>
      </c>
      <c r="W3411">
        <v>22</v>
      </c>
      <c r="X3411">
        <v>58</v>
      </c>
      <c r="Y3411">
        <v>1.0900000000000001</v>
      </c>
    </row>
    <row r="3412" spans="1:25" x14ac:dyDescent="0.25">
      <c r="A3412">
        <v>2026</v>
      </c>
      <c r="B3412" t="s">
        <v>57</v>
      </c>
      <c r="C3412">
        <v>16</v>
      </c>
      <c r="D3412">
        <v>162</v>
      </c>
      <c r="E3412" t="s">
        <v>93</v>
      </c>
      <c r="F3412" t="s">
        <v>189</v>
      </c>
      <c r="G3412">
        <f t="shared" si="3805"/>
        <v>0</v>
      </c>
      <c r="H3412">
        <v>3</v>
      </c>
      <c r="I3412">
        <v>10</v>
      </c>
      <c r="J3412">
        <v>0</v>
      </c>
      <c r="K3412" s="6" t="str">
        <f t="shared" ref="K3412" si="3922">"vs "&amp;E3413</f>
        <v>vs The Bridgeburners</v>
      </c>
      <c r="L3412" s="6" t="str">
        <f t="shared" ref="L3412" si="3923">"vs "&amp;F3413</f>
        <v>vs Fanis</v>
      </c>
      <c r="M3412">
        <v>202</v>
      </c>
      <c r="N3412" s="1">
        <v>0.44800000000000001</v>
      </c>
      <c r="O3412">
        <v>83</v>
      </c>
      <c r="P3412" s="1">
        <v>0.34599999999999997</v>
      </c>
      <c r="Q3412" s="1">
        <v>0.76</v>
      </c>
      <c r="R3412">
        <v>563</v>
      </c>
      <c r="S3412">
        <v>24</v>
      </c>
      <c r="T3412">
        <v>102</v>
      </c>
      <c r="U3412">
        <v>97</v>
      </c>
      <c r="V3412">
        <v>39</v>
      </c>
      <c r="W3412">
        <v>13</v>
      </c>
      <c r="X3412">
        <v>65</v>
      </c>
      <c r="Y3412">
        <v>1.49</v>
      </c>
    </row>
    <row r="3413" spans="1:25" x14ac:dyDescent="0.25">
      <c r="A3413">
        <v>2026</v>
      </c>
      <c r="B3413" t="s">
        <v>57</v>
      </c>
      <c r="C3413">
        <v>16</v>
      </c>
      <c r="D3413">
        <v>162</v>
      </c>
      <c r="E3413" t="s">
        <v>16</v>
      </c>
      <c r="F3413" t="s">
        <v>51</v>
      </c>
      <c r="G3413">
        <f t="shared" si="3805"/>
        <v>1</v>
      </c>
      <c r="H3413">
        <v>10</v>
      </c>
      <c r="I3413">
        <v>3</v>
      </c>
      <c r="J3413">
        <v>0</v>
      </c>
      <c r="K3413" s="6" t="str">
        <f t="shared" ref="K3413" si="3924">"vs "&amp;E3412</f>
        <v>vs Guruuu 🐐🐐🐐</v>
      </c>
      <c r="L3413" s="6" t="str">
        <f t="shared" ref="L3413" si="3925">"vs "&amp;F3412</f>
        <v>vs Guru</v>
      </c>
      <c r="M3413">
        <v>158</v>
      </c>
      <c r="N3413" s="1">
        <v>0.49399999999999999</v>
      </c>
      <c r="O3413">
        <v>48</v>
      </c>
      <c r="P3413" s="1">
        <v>0.4</v>
      </c>
      <c r="Q3413" s="1">
        <v>0.81599999999999995</v>
      </c>
      <c r="R3413">
        <v>448</v>
      </c>
      <c r="S3413">
        <v>36</v>
      </c>
      <c r="T3413">
        <v>117</v>
      </c>
      <c r="U3413">
        <v>133</v>
      </c>
      <c r="V3413">
        <v>40</v>
      </c>
      <c r="W3413">
        <v>19</v>
      </c>
      <c r="X3413">
        <v>56</v>
      </c>
      <c r="Y3413">
        <v>2.38</v>
      </c>
    </row>
    <row r="3414" spans="1:25" x14ac:dyDescent="0.25">
      <c r="A3414">
        <v>2026</v>
      </c>
      <c r="B3414" t="s">
        <v>57</v>
      </c>
      <c r="C3414">
        <v>16</v>
      </c>
      <c r="D3414">
        <v>163</v>
      </c>
      <c r="E3414" t="s">
        <v>184</v>
      </c>
      <c r="F3414" t="s">
        <v>188</v>
      </c>
      <c r="G3414">
        <f t="shared" si="3805"/>
        <v>0</v>
      </c>
      <c r="H3414">
        <v>2</v>
      </c>
      <c r="I3414">
        <v>11</v>
      </c>
      <c r="J3414">
        <v>0</v>
      </c>
      <c r="K3414" s="6" t="str">
        <f t="shared" ref="K3414" si="3926">"vs "&amp;E3415</f>
        <v>vs LRBP PR3DATORS</v>
      </c>
      <c r="L3414" s="6" t="str">
        <f t="shared" ref="L3414" si="3927">"vs "&amp;F3415</f>
        <v>vs Lafa</v>
      </c>
      <c r="M3414">
        <v>117</v>
      </c>
      <c r="N3414" s="1">
        <v>0.39700000000000002</v>
      </c>
      <c r="O3414">
        <v>30</v>
      </c>
      <c r="P3414" s="1">
        <v>0.28299999999999997</v>
      </c>
      <c r="Q3414" s="1">
        <v>0.83</v>
      </c>
      <c r="R3414">
        <v>337</v>
      </c>
      <c r="S3414">
        <v>26</v>
      </c>
      <c r="T3414">
        <v>100</v>
      </c>
      <c r="U3414">
        <v>74</v>
      </c>
      <c r="V3414">
        <v>25</v>
      </c>
      <c r="W3414">
        <v>14</v>
      </c>
      <c r="X3414">
        <v>45</v>
      </c>
      <c r="Y3414">
        <v>1.64</v>
      </c>
    </row>
    <row r="3415" spans="1:25" x14ac:dyDescent="0.25">
      <c r="A3415">
        <v>2026</v>
      </c>
      <c r="B3415" t="s">
        <v>57</v>
      </c>
      <c r="C3415">
        <v>16</v>
      </c>
      <c r="D3415">
        <v>163</v>
      </c>
      <c r="E3415" t="s">
        <v>158</v>
      </c>
      <c r="F3415" t="s">
        <v>177</v>
      </c>
      <c r="G3415">
        <f t="shared" si="3805"/>
        <v>1</v>
      </c>
      <c r="H3415">
        <v>11</v>
      </c>
      <c r="I3415">
        <v>2</v>
      </c>
      <c r="J3415">
        <v>0</v>
      </c>
      <c r="K3415" s="6" t="str">
        <f t="shared" ref="K3415" si="3928">"vs "&amp;E3414</f>
        <v>vs Heraklion Snakes</v>
      </c>
      <c r="L3415" s="6" t="str">
        <f t="shared" ref="L3415" si="3929">"vs "&amp;F3414</f>
        <v>vs Dimitris</v>
      </c>
      <c r="M3415">
        <v>229</v>
      </c>
      <c r="N3415" s="1">
        <v>0.46500000000000002</v>
      </c>
      <c r="O3415">
        <v>57</v>
      </c>
      <c r="P3415" s="1">
        <v>0.34100000000000003</v>
      </c>
      <c r="Q3415" s="1">
        <v>0.74199999999999999</v>
      </c>
      <c r="R3415">
        <v>633</v>
      </c>
      <c r="S3415">
        <v>30</v>
      </c>
      <c r="T3415">
        <v>143</v>
      </c>
      <c r="U3415">
        <v>159</v>
      </c>
      <c r="V3415">
        <v>36</v>
      </c>
      <c r="W3415">
        <v>33</v>
      </c>
      <c r="X3415">
        <v>77</v>
      </c>
      <c r="Y3415">
        <v>2.06</v>
      </c>
    </row>
    <row r="3416" spans="1:25" x14ac:dyDescent="0.25">
      <c r="A3416">
        <v>2026</v>
      </c>
      <c r="B3416" t="s">
        <v>57</v>
      </c>
      <c r="C3416">
        <v>16</v>
      </c>
      <c r="D3416">
        <v>164</v>
      </c>
      <c r="E3416" t="s">
        <v>201</v>
      </c>
      <c r="F3416" t="s">
        <v>227</v>
      </c>
      <c r="G3416">
        <f t="shared" si="3805"/>
        <v>1</v>
      </c>
      <c r="H3416">
        <v>10</v>
      </c>
      <c r="I3416">
        <v>3</v>
      </c>
      <c r="J3416">
        <v>0</v>
      </c>
      <c r="K3416" s="6" t="str">
        <f t="shared" ref="K3416" si="3930">"vs "&amp;E3417</f>
        <v>vs Salonika Devils</v>
      </c>
      <c r="L3416" s="6" t="str">
        <f t="shared" ref="L3416" si="3931">"vs "&amp;F3417</f>
        <v>vs Fountos</v>
      </c>
      <c r="M3416">
        <v>194</v>
      </c>
      <c r="N3416" s="1">
        <v>0.505</v>
      </c>
      <c r="O3416">
        <v>77</v>
      </c>
      <c r="P3416" s="1">
        <v>0.42099999999999999</v>
      </c>
      <c r="Q3416" s="1">
        <v>0.65400000000000003</v>
      </c>
      <c r="R3416">
        <v>533</v>
      </c>
      <c r="S3416">
        <v>71</v>
      </c>
      <c r="T3416">
        <v>148</v>
      </c>
      <c r="U3416">
        <v>91</v>
      </c>
      <c r="V3416">
        <v>27</v>
      </c>
      <c r="W3416">
        <v>27</v>
      </c>
      <c r="X3416">
        <v>64</v>
      </c>
      <c r="Y3416">
        <v>1.42</v>
      </c>
    </row>
    <row r="3417" spans="1:25" x14ac:dyDescent="0.25">
      <c r="A3417">
        <v>2026</v>
      </c>
      <c r="B3417" t="s">
        <v>57</v>
      </c>
      <c r="C3417">
        <v>16</v>
      </c>
      <c r="D3417">
        <v>164</v>
      </c>
      <c r="E3417" t="s">
        <v>15</v>
      </c>
      <c r="F3417" t="s">
        <v>48</v>
      </c>
      <c r="G3417">
        <f t="shared" si="3805"/>
        <v>0</v>
      </c>
      <c r="H3417">
        <v>3</v>
      </c>
      <c r="I3417">
        <v>10</v>
      </c>
      <c r="J3417">
        <v>0</v>
      </c>
      <c r="K3417" s="6" t="str">
        <f t="shared" ref="K3417" si="3932">"vs "&amp;E3416</f>
        <v>vs Hércules Pals</v>
      </c>
      <c r="L3417" s="6" t="str">
        <f t="shared" ref="L3417" si="3933">"vs "&amp;F3416</f>
        <v>vs Pals</v>
      </c>
      <c r="M3417">
        <v>128</v>
      </c>
      <c r="N3417" s="1">
        <v>0.48099999999999998</v>
      </c>
      <c r="O3417">
        <v>41</v>
      </c>
      <c r="P3417" s="1">
        <v>0.35</v>
      </c>
      <c r="Q3417" s="1">
        <v>0.79200000000000004</v>
      </c>
      <c r="R3417">
        <v>335</v>
      </c>
      <c r="S3417">
        <v>35</v>
      </c>
      <c r="T3417">
        <v>88</v>
      </c>
      <c r="U3417">
        <v>67</v>
      </c>
      <c r="V3417">
        <v>22</v>
      </c>
      <c r="W3417">
        <v>2</v>
      </c>
      <c r="X3417">
        <v>33</v>
      </c>
      <c r="Y3417">
        <v>2.0299999999999998</v>
      </c>
    </row>
    <row r="3418" spans="1:25" x14ac:dyDescent="0.25">
      <c r="A3418">
        <v>2026</v>
      </c>
      <c r="B3418" t="s">
        <v>57</v>
      </c>
      <c r="C3418">
        <v>16</v>
      </c>
      <c r="D3418">
        <v>165</v>
      </c>
      <c r="E3418" t="s">
        <v>186</v>
      </c>
      <c r="F3418" t="s">
        <v>103</v>
      </c>
      <c r="G3418">
        <f t="shared" ref="G3418:G3451" si="3934">IF(H3418+0.5*J3418&gt;6.5,1,0)</f>
        <v>1</v>
      </c>
      <c r="H3418">
        <v>10</v>
      </c>
      <c r="I3418">
        <v>3</v>
      </c>
      <c r="J3418">
        <v>0</v>
      </c>
      <c r="K3418" s="6" t="str">
        <f t="shared" ref="K3418" si="3935">"vs "&amp;E3419</f>
        <v>vs Paralouistas</v>
      </c>
      <c r="L3418" s="6" t="str">
        <f t="shared" ref="L3418" si="3936">"vs "&amp;F3419</f>
        <v>vs Panos</v>
      </c>
      <c r="M3418">
        <v>305</v>
      </c>
      <c r="N3418" s="1">
        <v>0.49</v>
      </c>
      <c r="O3418">
        <v>72</v>
      </c>
      <c r="P3418" s="1">
        <v>0.33200000000000002</v>
      </c>
      <c r="Q3418" s="1">
        <v>0.82399999999999995</v>
      </c>
      <c r="R3418">
        <v>879</v>
      </c>
      <c r="S3418">
        <v>44</v>
      </c>
      <c r="T3418">
        <v>215</v>
      </c>
      <c r="U3418">
        <v>192</v>
      </c>
      <c r="V3418">
        <v>46</v>
      </c>
      <c r="W3418">
        <v>34</v>
      </c>
      <c r="X3418">
        <v>88</v>
      </c>
      <c r="Y3418">
        <v>2.1800000000000002</v>
      </c>
    </row>
    <row r="3419" spans="1:25" x14ac:dyDescent="0.25">
      <c r="A3419">
        <v>2026</v>
      </c>
      <c r="B3419" t="s">
        <v>57</v>
      </c>
      <c r="C3419">
        <v>16</v>
      </c>
      <c r="D3419">
        <v>165</v>
      </c>
      <c r="E3419" t="s">
        <v>185</v>
      </c>
      <c r="F3419" t="s">
        <v>100</v>
      </c>
      <c r="G3419">
        <f t="shared" si="3934"/>
        <v>0</v>
      </c>
      <c r="H3419">
        <v>3</v>
      </c>
      <c r="I3419">
        <v>10</v>
      </c>
      <c r="J3419">
        <v>0</v>
      </c>
      <c r="K3419" s="6" t="str">
        <f t="shared" ref="K3419" si="3937">"vs "&amp;E3418</f>
        <v>vs Karafli Saita</v>
      </c>
      <c r="L3419" s="6" t="str">
        <f t="shared" ref="L3419" si="3938">"vs "&amp;F3418</f>
        <v>vs Tassos</v>
      </c>
      <c r="M3419">
        <v>172</v>
      </c>
      <c r="N3419" s="1">
        <v>0.46400000000000002</v>
      </c>
      <c r="O3419">
        <v>50</v>
      </c>
      <c r="P3419" s="1">
        <v>0.35199999999999998</v>
      </c>
      <c r="Q3419" s="1">
        <v>0.80600000000000005</v>
      </c>
      <c r="R3419">
        <v>473</v>
      </c>
      <c r="S3419">
        <v>30</v>
      </c>
      <c r="T3419">
        <v>113</v>
      </c>
      <c r="U3419">
        <v>143</v>
      </c>
      <c r="V3419">
        <v>32</v>
      </c>
      <c r="W3419">
        <v>13</v>
      </c>
      <c r="X3419">
        <v>50</v>
      </c>
      <c r="Y3419">
        <v>2.86</v>
      </c>
    </row>
    <row r="3420" spans="1:25" x14ac:dyDescent="0.25">
      <c r="A3420">
        <v>2026</v>
      </c>
      <c r="B3420" t="s">
        <v>57</v>
      </c>
      <c r="C3420">
        <v>16</v>
      </c>
      <c r="D3420">
        <v>166</v>
      </c>
      <c r="E3420" t="s">
        <v>96</v>
      </c>
      <c r="F3420" t="s">
        <v>102</v>
      </c>
      <c r="G3420">
        <f t="shared" si="3934"/>
        <v>0</v>
      </c>
      <c r="H3420">
        <v>2</v>
      </c>
      <c r="I3420">
        <v>11</v>
      </c>
      <c r="J3420">
        <v>0</v>
      </c>
      <c r="K3420" s="6" t="str">
        <f t="shared" ref="K3420" si="3939">"vs "&amp;E3421</f>
        <v>vs Kourayo Vallecano</v>
      </c>
      <c r="L3420" s="6" t="str">
        <f t="shared" ref="L3420" si="3940">"vs "&amp;F3421</f>
        <v>vs Ziogas/Christof</v>
      </c>
      <c r="M3420">
        <v>131</v>
      </c>
      <c r="N3420" s="1">
        <v>0.46100000000000002</v>
      </c>
      <c r="O3420">
        <v>41</v>
      </c>
      <c r="P3420" s="1">
        <v>0.33100000000000002</v>
      </c>
      <c r="Q3420" s="1">
        <v>0.63500000000000001</v>
      </c>
      <c r="R3420">
        <v>343</v>
      </c>
      <c r="S3420">
        <v>34</v>
      </c>
      <c r="T3420">
        <v>121</v>
      </c>
      <c r="U3420">
        <v>76</v>
      </c>
      <c r="V3420">
        <v>26</v>
      </c>
      <c r="W3420">
        <v>14</v>
      </c>
      <c r="X3420">
        <v>50</v>
      </c>
      <c r="Y3420">
        <v>1.52</v>
      </c>
    </row>
    <row r="3421" spans="1:25" x14ac:dyDescent="0.25">
      <c r="A3421">
        <v>2026</v>
      </c>
      <c r="B3421" t="s">
        <v>57</v>
      </c>
      <c r="C3421">
        <v>16</v>
      </c>
      <c r="D3421">
        <v>166</v>
      </c>
      <c r="E3421" t="s">
        <v>26</v>
      </c>
      <c r="F3421" t="s">
        <v>118</v>
      </c>
      <c r="G3421">
        <f t="shared" si="3934"/>
        <v>1</v>
      </c>
      <c r="H3421">
        <v>11</v>
      </c>
      <c r="I3421">
        <v>2</v>
      </c>
      <c r="J3421">
        <v>0</v>
      </c>
      <c r="K3421" s="6" t="str">
        <f t="shared" ref="K3421" si="3941">"vs "&amp;E3420</f>
        <v>vs Knights of Ni</v>
      </c>
      <c r="L3421" s="6" t="str">
        <f t="shared" ref="L3421" si="3942">"vs "&amp;F3420</f>
        <v>vs Tolios</v>
      </c>
      <c r="M3421">
        <v>143</v>
      </c>
      <c r="N3421" s="1">
        <v>0.48799999999999999</v>
      </c>
      <c r="O3421">
        <v>44</v>
      </c>
      <c r="P3421" s="1">
        <v>0.4</v>
      </c>
      <c r="Q3421" s="1">
        <v>0.80800000000000005</v>
      </c>
      <c r="R3421">
        <v>389</v>
      </c>
      <c r="S3421">
        <v>41</v>
      </c>
      <c r="T3421">
        <v>130</v>
      </c>
      <c r="U3421">
        <v>135</v>
      </c>
      <c r="V3421">
        <v>29</v>
      </c>
      <c r="W3421">
        <v>11</v>
      </c>
      <c r="X3421">
        <v>67</v>
      </c>
      <c r="Y3421">
        <v>2.0099999999999998</v>
      </c>
    </row>
    <row r="3422" spans="1:25" x14ac:dyDescent="0.25">
      <c r="A3422">
        <v>2026</v>
      </c>
      <c r="B3422" t="s">
        <v>57</v>
      </c>
      <c r="C3422">
        <v>16</v>
      </c>
      <c r="D3422">
        <v>167</v>
      </c>
      <c r="E3422" t="s">
        <v>23</v>
      </c>
      <c r="F3422" t="s">
        <v>120</v>
      </c>
      <c r="G3422">
        <f t="shared" si="3934"/>
        <v>1</v>
      </c>
      <c r="H3422">
        <v>7</v>
      </c>
      <c r="I3422">
        <v>5</v>
      </c>
      <c r="J3422">
        <v>1</v>
      </c>
      <c r="K3422" s="6" t="str">
        <f t="shared" ref="K3422" si="3943">"vs "&amp;E3423</f>
        <v>vs st.Helens Eruptions</v>
      </c>
      <c r="L3422" s="6" t="str">
        <f t="shared" ref="L3422" si="3944">"vs "&amp;F3423</f>
        <v>vs Aris</v>
      </c>
      <c r="M3422">
        <v>186</v>
      </c>
      <c r="N3422" s="1">
        <v>0.442</v>
      </c>
      <c r="O3422">
        <v>66</v>
      </c>
      <c r="P3422" s="1">
        <v>0.36499999999999999</v>
      </c>
      <c r="Q3422" s="1">
        <v>0.81799999999999995</v>
      </c>
      <c r="R3422">
        <v>519</v>
      </c>
      <c r="S3422">
        <v>42</v>
      </c>
      <c r="T3422">
        <v>135</v>
      </c>
      <c r="U3422">
        <v>137</v>
      </c>
      <c r="V3422">
        <v>41</v>
      </c>
      <c r="W3422">
        <v>30</v>
      </c>
      <c r="X3422">
        <v>82</v>
      </c>
      <c r="Y3422">
        <v>1.67</v>
      </c>
    </row>
    <row r="3423" spans="1:25" x14ac:dyDescent="0.25">
      <c r="A3423">
        <v>2026</v>
      </c>
      <c r="B3423" t="s">
        <v>57</v>
      </c>
      <c r="C3423">
        <v>16</v>
      </c>
      <c r="D3423">
        <v>167</v>
      </c>
      <c r="E3423" t="s">
        <v>21</v>
      </c>
      <c r="F3423" t="s">
        <v>50</v>
      </c>
      <c r="G3423">
        <f t="shared" si="3934"/>
        <v>0</v>
      </c>
      <c r="H3423">
        <v>5</v>
      </c>
      <c r="I3423">
        <v>7</v>
      </c>
      <c r="J3423">
        <v>1</v>
      </c>
      <c r="K3423" s="6" t="str">
        <f t="shared" ref="K3423" si="3945">"vs "&amp;E3422</f>
        <v>vs Pachiana NinjaBees</v>
      </c>
      <c r="L3423" s="6" t="str">
        <f t="shared" ref="L3423" si="3946">"vs "&amp;F3422</f>
        <v>vs Spiridaus/Oladipas</v>
      </c>
      <c r="M3423">
        <v>191</v>
      </c>
      <c r="N3423" s="1">
        <v>0.50900000000000001</v>
      </c>
      <c r="O3423">
        <v>26</v>
      </c>
      <c r="P3423" s="1">
        <v>0.26300000000000001</v>
      </c>
      <c r="Q3423" s="1">
        <v>0.747</v>
      </c>
      <c r="R3423">
        <v>473</v>
      </c>
      <c r="S3423">
        <v>42</v>
      </c>
      <c r="T3423">
        <v>137</v>
      </c>
      <c r="U3423">
        <v>95</v>
      </c>
      <c r="V3423">
        <v>40</v>
      </c>
      <c r="W3423">
        <v>23</v>
      </c>
      <c r="X3423">
        <v>56</v>
      </c>
      <c r="Y3423">
        <v>1.7</v>
      </c>
    </row>
    <row r="3424" spans="1:25" x14ac:dyDescent="0.25">
      <c r="A3424">
        <v>2026</v>
      </c>
      <c r="B3424" t="s">
        <v>57</v>
      </c>
      <c r="C3424">
        <v>16</v>
      </c>
      <c r="D3424">
        <v>168</v>
      </c>
      <c r="E3424" t="s">
        <v>159</v>
      </c>
      <c r="F3424" t="s">
        <v>116</v>
      </c>
      <c r="G3424">
        <f t="shared" si="3934"/>
        <v>1</v>
      </c>
      <c r="H3424">
        <v>7</v>
      </c>
      <c r="I3424">
        <v>6</v>
      </c>
      <c r="J3424">
        <v>0</v>
      </c>
      <c r="K3424" s="6" t="str">
        <f t="shared" ref="K3424" si="3947">"vs "&amp;E3425</f>
        <v>vs Xanthi Ducks 🦆</v>
      </c>
      <c r="L3424" s="6" t="str">
        <f t="shared" ref="L3424" si="3948">"vs "&amp;F3425</f>
        <v>vs Kotakis</v>
      </c>
      <c r="M3424">
        <v>225</v>
      </c>
      <c r="N3424" s="1">
        <v>0.48699999999999999</v>
      </c>
      <c r="O3424">
        <v>49</v>
      </c>
      <c r="P3424" s="1">
        <v>0.32</v>
      </c>
      <c r="Q3424" s="1">
        <v>0.79400000000000004</v>
      </c>
      <c r="R3424">
        <v>622</v>
      </c>
      <c r="S3424">
        <v>74</v>
      </c>
      <c r="T3424">
        <v>200</v>
      </c>
      <c r="U3424">
        <v>170</v>
      </c>
      <c r="V3424">
        <v>39</v>
      </c>
      <c r="W3424">
        <v>17</v>
      </c>
      <c r="X3424">
        <v>88</v>
      </c>
      <c r="Y3424">
        <v>1.93</v>
      </c>
    </row>
    <row r="3425" spans="1:25" x14ac:dyDescent="0.25">
      <c r="A3425">
        <v>2026</v>
      </c>
      <c r="B3425" t="s">
        <v>57</v>
      </c>
      <c r="C3425">
        <v>16</v>
      </c>
      <c r="D3425">
        <v>168</v>
      </c>
      <c r="E3425" t="s">
        <v>98</v>
      </c>
      <c r="F3425" t="s">
        <v>41</v>
      </c>
      <c r="G3425">
        <f t="shared" si="3934"/>
        <v>0</v>
      </c>
      <c r="H3425">
        <v>6</v>
      </c>
      <c r="I3425">
        <v>7</v>
      </c>
      <c r="J3425">
        <v>0</v>
      </c>
      <c r="K3425" s="6" t="str">
        <f t="shared" ref="K3425" si="3949">"vs "&amp;E3424</f>
        <v>vs purple fuzzy apache pirates</v>
      </c>
      <c r="L3425" s="6" t="str">
        <f t="shared" ref="L3425" si="3950">"vs "&amp;F3424</f>
        <v>vs pi/Sotiris</v>
      </c>
      <c r="M3425">
        <v>156</v>
      </c>
      <c r="N3425" s="1">
        <v>0.47399999999999998</v>
      </c>
      <c r="O3425">
        <v>48</v>
      </c>
      <c r="P3425" s="1">
        <v>0.33600000000000002</v>
      </c>
      <c r="Q3425" s="1">
        <v>0.81499999999999995</v>
      </c>
      <c r="R3425">
        <v>435</v>
      </c>
      <c r="S3425">
        <v>40</v>
      </c>
      <c r="T3425">
        <v>142</v>
      </c>
      <c r="U3425">
        <v>130</v>
      </c>
      <c r="V3425">
        <v>44</v>
      </c>
      <c r="W3425">
        <v>23</v>
      </c>
      <c r="X3425">
        <v>52</v>
      </c>
      <c r="Y3425">
        <v>2.5</v>
      </c>
    </row>
    <row r="3426" spans="1:25" x14ac:dyDescent="0.25">
      <c r="A3426">
        <v>2026</v>
      </c>
      <c r="B3426" t="s">
        <v>57</v>
      </c>
      <c r="C3426">
        <v>16</v>
      </c>
      <c r="D3426">
        <v>169</v>
      </c>
      <c r="E3426" t="s">
        <v>181</v>
      </c>
      <c r="F3426" t="s">
        <v>49</v>
      </c>
      <c r="G3426">
        <f t="shared" si="3934"/>
        <v>1</v>
      </c>
      <c r="H3426">
        <v>7</v>
      </c>
      <c r="I3426">
        <v>6</v>
      </c>
      <c r="J3426">
        <v>0</v>
      </c>
      <c r="K3426" s="6" t="str">
        <f t="shared" ref="K3426" si="3951">"vs "&amp;E3427</f>
        <v>vs Tsarlatans</v>
      </c>
      <c r="L3426" s="6" t="str">
        <f t="shared" ref="L3426" si="3952">"vs "&amp;F3427</f>
        <v>vs Tzokos</v>
      </c>
      <c r="M3426">
        <v>292</v>
      </c>
      <c r="N3426" s="1">
        <v>0.44700000000000001</v>
      </c>
      <c r="O3426">
        <v>72</v>
      </c>
      <c r="P3426" s="1">
        <v>0.29499999999999998</v>
      </c>
      <c r="Q3426" s="1">
        <v>0.80900000000000005</v>
      </c>
      <c r="R3426">
        <v>834</v>
      </c>
      <c r="S3426">
        <v>55</v>
      </c>
      <c r="T3426">
        <v>193</v>
      </c>
      <c r="U3426">
        <v>243</v>
      </c>
      <c r="V3426">
        <v>52</v>
      </c>
      <c r="W3426">
        <v>25</v>
      </c>
      <c r="X3426">
        <v>110</v>
      </c>
      <c r="Y3426">
        <v>2.21</v>
      </c>
    </row>
    <row r="3427" spans="1:25" x14ac:dyDescent="0.25">
      <c r="A3427">
        <v>2026</v>
      </c>
      <c r="B3427" t="s">
        <v>57</v>
      </c>
      <c r="C3427">
        <v>16</v>
      </c>
      <c r="D3427">
        <v>169</v>
      </c>
      <c r="E3427" t="s">
        <v>99</v>
      </c>
      <c r="F3427" t="s">
        <v>45</v>
      </c>
      <c r="G3427">
        <f t="shared" si="3934"/>
        <v>0</v>
      </c>
      <c r="H3427">
        <v>6</v>
      </c>
      <c r="I3427">
        <v>7</v>
      </c>
      <c r="J3427">
        <v>0</v>
      </c>
      <c r="K3427" s="6" t="str">
        <f t="shared" ref="K3427" si="3953">"vs "&amp;E3426</f>
        <v>vs Samarina Dudenbros</v>
      </c>
      <c r="L3427" s="6" t="str">
        <f t="shared" ref="L3427" si="3954">"vs "&amp;F3426</f>
        <v>vs Sakellariou</v>
      </c>
      <c r="M3427">
        <v>241</v>
      </c>
      <c r="N3427" s="1">
        <v>0.52700000000000002</v>
      </c>
      <c r="O3427">
        <v>61</v>
      </c>
      <c r="P3427" s="1">
        <v>0.379</v>
      </c>
      <c r="Q3427" s="1">
        <v>0.81499999999999995</v>
      </c>
      <c r="R3427">
        <v>640</v>
      </c>
      <c r="S3427">
        <v>86</v>
      </c>
      <c r="T3427">
        <v>208</v>
      </c>
      <c r="U3427">
        <v>99</v>
      </c>
      <c r="V3427">
        <v>43</v>
      </c>
      <c r="W3427">
        <v>21</v>
      </c>
      <c r="X3427">
        <v>59</v>
      </c>
      <c r="Y3427">
        <v>1.68</v>
      </c>
    </row>
    <row r="3428" spans="1:25" x14ac:dyDescent="0.25">
      <c r="A3428">
        <v>2026</v>
      </c>
      <c r="B3428" t="s">
        <v>57</v>
      </c>
      <c r="C3428">
        <v>16</v>
      </c>
      <c r="D3428">
        <v>170</v>
      </c>
      <c r="E3428" t="s">
        <v>154</v>
      </c>
      <c r="F3428" t="s">
        <v>155</v>
      </c>
      <c r="G3428">
        <f t="shared" si="3934"/>
        <v>1</v>
      </c>
      <c r="H3428">
        <v>7</v>
      </c>
      <c r="I3428">
        <v>5</v>
      </c>
      <c r="J3428">
        <v>1</v>
      </c>
      <c r="K3428" s="6" t="str">
        <f t="shared" ref="K3428" si="3955">"vs "&amp;E3429</f>
        <v>vs The Guns</v>
      </c>
      <c r="L3428" s="6" t="str">
        <f t="shared" ref="L3428" si="3956">"vs "&amp;F3429</f>
        <v>vs Vasilis</v>
      </c>
      <c r="M3428">
        <v>175</v>
      </c>
      <c r="N3428" s="1">
        <v>0.46500000000000002</v>
      </c>
      <c r="O3428">
        <v>43</v>
      </c>
      <c r="P3428" s="1">
        <v>0.35799999999999998</v>
      </c>
      <c r="Q3428" s="1">
        <v>0.79600000000000004</v>
      </c>
      <c r="R3428">
        <v>510</v>
      </c>
      <c r="S3428">
        <v>45</v>
      </c>
      <c r="T3428">
        <v>126</v>
      </c>
      <c r="U3428">
        <v>103</v>
      </c>
      <c r="V3428">
        <v>48</v>
      </c>
      <c r="W3428">
        <v>19</v>
      </c>
      <c r="X3428">
        <v>60</v>
      </c>
      <c r="Y3428">
        <v>1.72</v>
      </c>
    </row>
    <row r="3429" spans="1:25" x14ac:dyDescent="0.25">
      <c r="A3429">
        <v>2026</v>
      </c>
      <c r="B3429" t="s">
        <v>57</v>
      </c>
      <c r="C3429">
        <v>16</v>
      </c>
      <c r="D3429">
        <v>170</v>
      </c>
      <c r="E3429" t="s">
        <v>33</v>
      </c>
      <c r="F3429" t="s">
        <v>42</v>
      </c>
      <c r="G3429">
        <f t="shared" si="3934"/>
        <v>0</v>
      </c>
      <c r="H3429">
        <v>5</v>
      </c>
      <c r="I3429">
        <v>7</v>
      </c>
      <c r="J3429">
        <v>1</v>
      </c>
      <c r="K3429" s="6" t="str">
        <f t="shared" ref="K3429" si="3957">"vs "&amp;E3428</f>
        <v>vs The Bad Boys</v>
      </c>
      <c r="L3429" s="6" t="str">
        <f t="shared" ref="L3429" si="3958">"vs "&amp;F3428</f>
        <v>vs Arvanitis</v>
      </c>
      <c r="M3429">
        <v>146</v>
      </c>
      <c r="N3429" s="1">
        <v>0.42</v>
      </c>
      <c r="O3429">
        <v>59</v>
      </c>
      <c r="P3429" s="1">
        <v>0.31900000000000001</v>
      </c>
      <c r="Q3429" s="1">
        <v>0.80400000000000005</v>
      </c>
      <c r="R3429">
        <v>392</v>
      </c>
      <c r="S3429">
        <v>39</v>
      </c>
      <c r="T3429">
        <v>128</v>
      </c>
      <c r="U3429">
        <v>93</v>
      </c>
      <c r="V3429">
        <v>34</v>
      </c>
      <c r="W3429">
        <v>19</v>
      </c>
      <c r="X3429">
        <v>51</v>
      </c>
      <c r="Y3429">
        <v>1.82</v>
      </c>
    </row>
    <row r="3430" spans="1:25" x14ac:dyDescent="0.25">
      <c r="A3430">
        <v>2026</v>
      </c>
      <c r="B3430" t="s">
        <v>142</v>
      </c>
      <c r="C3430" t="s">
        <v>148</v>
      </c>
      <c r="D3430">
        <v>171</v>
      </c>
      <c r="E3430" t="s">
        <v>33</v>
      </c>
      <c r="F3430" t="s">
        <v>42</v>
      </c>
      <c r="G3430">
        <f t="shared" si="3934"/>
        <v>1</v>
      </c>
      <c r="H3430">
        <v>8</v>
      </c>
      <c r="I3430">
        <v>5</v>
      </c>
      <c r="J3430">
        <v>0</v>
      </c>
      <c r="K3430" s="6" t="str">
        <f t="shared" ref="K3430" si="3959">"vs "&amp;E3431</f>
        <v>vs purple fuzzy apache pirates</v>
      </c>
      <c r="L3430" s="6" t="str">
        <f t="shared" ref="L3430" si="3960">"vs "&amp;F3431</f>
        <v>vs pi/Sotiris</v>
      </c>
      <c r="M3430">
        <v>193</v>
      </c>
      <c r="N3430" s="1">
        <v>0.52</v>
      </c>
      <c r="O3430">
        <v>77</v>
      </c>
      <c r="P3430" s="1">
        <v>0.45</v>
      </c>
      <c r="Q3430" s="1">
        <v>0.89700000000000002</v>
      </c>
      <c r="R3430">
        <v>541</v>
      </c>
      <c r="S3430">
        <v>31</v>
      </c>
      <c r="T3430">
        <v>129</v>
      </c>
      <c r="U3430">
        <v>110</v>
      </c>
      <c r="V3430">
        <v>32</v>
      </c>
      <c r="W3430">
        <v>10</v>
      </c>
      <c r="X3430">
        <v>54</v>
      </c>
      <c r="Y3430">
        <v>2.04</v>
      </c>
    </row>
    <row r="3431" spans="1:25" x14ac:dyDescent="0.25">
      <c r="A3431">
        <v>2026</v>
      </c>
      <c r="B3431" t="s">
        <v>142</v>
      </c>
      <c r="C3431" t="s">
        <v>148</v>
      </c>
      <c r="D3431">
        <v>171</v>
      </c>
      <c r="E3431" t="s">
        <v>159</v>
      </c>
      <c r="F3431" t="s">
        <v>116</v>
      </c>
      <c r="G3431">
        <f t="shared" si="3934"/>
        <v>0</v>
      </c>
      <c r="H3431">
        <v>5</v>
      </c>
      <c r="I3431">
        <v>8</v>
      </c>
      <c r="J3431">
        <v>0</v>
      </c>
      <c r="K3431" s="6" t="str">
        <f t="shared" ref="K3431" si="3961">"vs "&amp;E3430</f>
        <v>vs The Guns</v>
      </c>
      <c r="L3431" s="6" t="str">
        <f t="shared" ref="L3431" si="3962">"vs "&amp;F3430</f>
        <v>vs Vasilis</v>
      </c>
      <c r="M3431">
        <v>186</v>
      </c>
      <c r="N3431" s="1">
        <v>0.45300000000000001</v>
      </c>
      <c r="O3431">
        <v>46</v>
      </c>
      <c r="P3431" s="1">
        <v>0.28699999999999998</v>
      </c>
      <c r="Q3431" s="1">
        <v>0.81899999999999995</v>
      </c>
      <c r="R3431">
        <v>513</v>
      </c>
      <c r="S3431">
        <v>53</v>
      </c>
      <c r="T3431">
        <v>179</v>
      </c>
      <c r="U3431">
        <v>148</v>
      </c>
      <c r="V3431">
        <v>21</v>
      </c>
      <c r="W3431">
        <v>16</v>
      </c>
      <c r="X3431">
        <v>65</v>
      </c>
      <c r="Y3431">
        <v>2.2799999999999998</v>
      </c>
    </row>
    <row r="3432" spans="1:25" x14ac:dyDescent="0.25">
      <c r="A3432">
        <v>2026</v>
      </c>
      <c r="B3432" t="s">
        <v>142</v>
      </c>
      <c r="C3432" t="s">
        <v>148</v>
      </c>
      <c r="D3432">
        <v>172</v>
      </c>
      <c r="E3432" t="s">
        <v>98</v>
      </c>
      <c r="F3432" t="s">
        <v>41</v>
      </c>
      <c r="G3432">
        <f t="shared" si="3934"/>
        <v>0</v>
      </c>
      <c r="H3432">
        <v>2</v>
      </c>
      <c r="I3432">
        <v>11</v>
      </c>
      <c r="J3432">
        <v>0</v>
      </c>
      <c r="K3432" s="6" t="str">
        <f t="shared" ref="K3432" si="3963">"vs "&amp;E3433</f>
        <v>vs Fighting Thaddeus</v>
      </c>
      <c r="L3432" s="6" t="str">
        <f t="shared" ref="L3432" si="3964">"vs "&amp;F3433</f>
        <v>vs Stavros</v>
      </c>
      <c r="M3432">
        <v>99</v>
      </c>
      <c r="N3432" s="1">
        <v>0.40899999999999997</v>
      </c>
      <c r="O3432">
        <v>30</v>
      </c>
      <c r="P3432" s="1">
        <v>0.26300000000000001</v>
      </c>
      <c r="Q3432" s="1">
        <v>0.78</v>
      </c>
      <c r="R3432">
        <v>267</v>
      </c>
      <c r="S3432">
        <v>21</v>
      </c>
      <c r="T3432">
        <v>81</v>
      </c>
      <c r="U3432">
        <v>71</v>
      </c>
      <c r="V3432">
        <v>27</v>
      </c>
      <c r="W3432">
        <v>12</v>
      </c>
      <c r="X3432">
        <v>39</v>
      </c>
      <c r="Y3432">
        <v>1.82</v>
      </c>
    </row>
    <row r="3433" spans="1:25" x14ac:dyDescent="0.25">
      <c r="A3433">
        <v>2026</v>
      </c>
      <c r="B3433" t="s">
        <v>142</v>
      </c>
      <c r="C3433" t="s">
        <v>148</v>
      </c>
      <c r="D3433">
        <v>172</v>
      </c>
      <c r="E3433" t="s">
        <v>94</v>
      </c>
      <c r="F3433" t="s">
        <v>40</v>
      </c>
      <c r="G3433">
        <f t="shared" si="3934"/>
        <v>1</v>
      </c>
      <c r="H3433">
        <v>11</v>
      </c>
      <c r="I3433">
        <v>2</v>
      </c>
      <c r="J3433">
        <v>0</v>
      </c>
      <c r="K3433" s="6" t="str">
        <f t="shared" ref="K3433" si="3965">"vs "&amp;E3432</f>
        <v>vs Xanthi Ducks 🦆</v>
      </c>
      <c r="L3433" s="6" t="str">
        <f t="shared" ref="L3433" si="3966">"vs "&amp;F3432</f>
        <v>vs Kotakis</v>
      </c>
      <c r="M3433">
        <v>142</v>
      </c>
      <c r="N3433" s="1">
        <v>0.436</v>
      </c>
      <c r="O3433">
        <v>39</v>
      </c>
      <c r="P3433" s="1">
        <v>0.32800000000000001</v>
      </c>
      <c r="Q3433" s="1">
        <v>0.90400000000000003</v>
      </c>
      <c r="R3433">
        <v>426</v>
      </c>
      <c r="S3433">
        <v>31</v>
      </c>
      <c r="T3433">
        <v>100</v>
      </c>
      <c r="U3433">
        <v>106</v>
      </c>
      <c r="V3433">
        <v>21</v>
      </c>
      <c r="W3433">
        <v>18</v>
      </c>
      <c r="X3433">
        <v>49</v>
      </c>
      <c r="Y3433">
        <v>2.16</v>
      </c>
    </row>
    <row r="3434" spans="1:25" x14ac:dyDescent="0.25">
      <c r="A3434">
        <v>2026</v>
      </c>
      <c r="B3434" t="s">
        <v>142</v>
      </c>
      <c r="C3434" t="s">
        <v>148</v>
      </c>
      <c r="D3434">
        <v>173</v>
      </c>
      <c r="E3434" t="s">
        <v>23</v>
      </c>
      <c r="F3434" t="s">
        <v>120</v>
      </c>
      <c r="G3434">
        <f t="shared" si="3934"/>
        <v>1</v>
      </c>
      <c r="H3434">
        <v>8</v>
      </c>
      <c r="I3434">
        <v>5</v>
      </c>
      <c r="J3434">
        <v>0</v>
      </c>
      <c r="K3434" s="6" t="str">
        <f t="shared" ref="K3434" si="3967">"vs "&amp;E3435</f>
        <v>vs The Bad Boys</v>
      </c>
      <c r="L3434" s="6" t="str">
        <f t="shared" ref="L3434" si="3968">"vs "&amp;F3435</f>
        <v>vs Arvanitis</v>
      </c>
      <c r="M3434">
        <v>180</v>
      </c>
      <c r="N3434" s="1">
        <v>0.50600000000000001</v>
      </c>
      <c r="O3434">
        <v>64</v>
      </c>
      <c r="P3434" s="1">
        <v>0.38100000000000001</v>
      </c>
      <c r="Q3434" s="1">
        <v>0.85699999999999998</v>
      </c>
      <c r="R3434">
        <v>502</v>
      </c>
      <c r="S3434">
        <v>46</v>
      </c>
      <c r="T3434">
        <v>146</v>
      </c>
      <c r="U3434">
        <v>110</v>
      </c>
      <c r="V3434">
        <v>39</v>
      </c>
      <c r="W3434">
        <v>37</v>
      </c>
      <c r="X3434">
        <v>46</v>
      </c>
      <c r="Y3434">
        <v>2.39</v>
      </c>
    </row>
    <row r="3435" spans="1:25" x14ac:dyDescent="0.25">
      <c r="A3435">
        <v>2026</v>
      </c>
      <c r="B3435" t="s">
        <v>142</v>
      </c>
      <c r="C3435" t="s">
        <v>148</v>
      </c>
      <c r="D3435">
        <v>173</v>
      </c>
      <c r="E3435" t="s">
        <v>154</v>
      </c>
      <c r="F3435" t="s">
        <v>155</v>
      </c>
      <c r="G3435">
        <f t="shared" si="3934"/>
        <v>0</v>
      </c>
      <c r="H3435">
        <v>5</v>
      </c>
      <c r="I3435">
        <v>8</v>
      </c>
      <c r="J3435">
        <v>0</v>
      </c>
      <c r="K3435" s="6" t="str">
        <f t="shared" ref="K3435" si="3969">"vs "&amp;E3434</f>
        <v>vs Pachiana NinjaBees</v>
      </c>
      <c r="L3435" s="6" t="str">
        <f t="shared" ref="L3435" si="3970">"vs "&amp;F3434</f>
        <v>vs Spiridaus/Oladipas</v>
      </c>
      <c r="M3435">
        <v>205</v>
      </c>
      <c r="N3435" s="1">
        <v>0.51</v>
      </c>
      <c r="O3435">
        <v>51</v>
      </c>
      <c r="P3435" s="1">
        <v>0.39200000000000002</v>
      </c>
      <c r="Q3435" s="1">
        <v>0.70799999999999996</v>
      </c>
      <c r="R3435">
        <v>546</v>
      </c>
      <c r="S3435">
        <v>36</v>
      </c>
      <c r="T3435">
        <v>117</v>
      </c>
      <c r="U3435">
        <v>128</v>
      </c>
      <c r="V3435">
        <v>37</v>
      </c>
      <c r="W3435">
        <v>17</v>
      </c>
      <c r="X3435">
        <v>59</v>
      </c>
      <c r="Y3435">
        <v>2.17</v>
      </c>
    </row>
    <row r="3436" spans="1:25" x14ac:dyDescent="0.25">
      <c r="A3436">
        <v>2026</v>
      </c>
      <c r="B3436" t="s">
        <v>142</v>
      </c>
      <c r="C3436" t="s">
        <v>148</v>
      </c>
      <c r="D3436">
        <v>174</v>
      </c>
      <c r="E3436" t="s">
        <v>93</v>
      </c>
      <c r="F3436" t="s">
        <v>189</v>
      </c>
      <c r="G3436">
        <f t="shared" si="3934"/>
        <v>0</v>
      </c>
      <c r="H3436">
        <v>5</v>
      </c>
      <c r="I3436">
        <v>8</v>
      </c>
      <c r="J3436">
        <v>0</v>
      </c>
      <c r="K3436" s="6" t="str">
        <f t="shared" ref="K3436" si="3971">"vs "&amp;E3437</f>
        <v>vs LRBP PR3DATORS</v>
      </c>
      <c r="L3436" s="6" t="str">
        <f t="shared" ref="L3436" si="3972">"vs "&amp;F3437</f>
        <v>vs Lafa</v>
      </c>
      <c r="M3436">
        <v>138</v>
      </c>
      <c r="N3436" s="1">
        <v>0.45200000000000001</v>
      </c>
      <c r="O3436">
        <v>50</v>
      </c>
      <c r="P3436" s="1">
        <v>0.36</v>
      </c>
      <c r="Q3436" s="1">
        <v>0.73499999999999999</v>
      </c>
      <c r="R3436">
        <v>412</v>
      </c>
      <c r="S3436">
        <v>28</v>
      </c>
      <c r="T3436">
        <v>106</v>
      </c>
      <c r="U3436">
        <v>99</v>
      </c>
      <c r="V3436">
        <v>40</v>
      </c>
      <c r="W3436">
        <v>13</v>
      </c>
      <c r="X3436">
        <v>38</v>
      </c>
      <c r="Y3436">
        <v>2.61</v>
      </c>
    </row>
    <row r="3437" spans="1:25" x14ac:dyDescent="0.25">
      <c r="A3437">
        <v>2026</v>
      </c>
      <c r="B3437" t="s">
        <v>142</v>
      </c>
      <c r="C3437" t="s">
        <v>148</v>
      </c>
      <c r="D3437">
        <v>174</v>
      </c>
      <c r="E3437" t="s">
        <v>158</v>
      </c>
      <c r="F3437" t="s">
        <v>177</v>
      </c>
      <c r="G3437">
        <f t="shared" si="3934"/>
        <v>1</v>
      </c>
      <c r="H3437">
        <v>8</v>
      </c>
      <c r="I3437">
        <v>5</v>
      </c>
      <c r="J3437">
        <v>0</v>
      </c>
      <c r="K3437" s="6" t="str">
        <f t="shared" ref="K3437" si="3973">"vs "&amp;E3436</f>
        <v>vs Guruuu 🐐🐐🐐</v>
      </c>
      <c r="L3437" s="6" t="str">
        <f t="shared" ref="L3437" si="3974">"vs "&amp;F3436</f>
        <v>vs Guru</v>
      </c>
      <c r="M3437">
        <v>221</v>
      </c>
      <c r="N3437" s="1">
        <v>0.496</v>
      </c>
      <c r="O3437">
        <v>47</v>
      </c>
      <c r="P3437" s="1">
        <v>0.28699999999999998</v>
      </c>
      <c r="Q3437" s="1">
        <v>0.752</v>
      </c>
      <c r="R3437">
        <v>574</v>
      </c>
      <c r="S3437">
        <v>41</v>
      </c>
      <c r="T3437">
        <v>127</v>
      </c>
      <c r="U3437">
        <v>119</v>
      </c>
      <c r="V3437">
        <v>30</v>
      </c>
      <c r="W3437">
        <v>23</v>
      </c>
      <c r="X3437">
        <v>78</v>
      </c>
      <c r="Y3437">
        <v>1.53</v>
      </c>
    </row>
    <row r="3438" spans="1:25" x14ac:dyDescent="0.25">
      <c r="A3438">
        <v>2026</v>
      </c>
      <c r="B3438" t="s">
        <v>142</v>
      </c>
      <c r="C3438" t="s">
        <v>146</v>
      </c>
      <c r="D3438">
        <v>175</v>
      </c>
      <c r="E3438" t="s">
        <v>33</v>
      </c>
      <c r="F3438" t="s">
        <v>42</v>
      </c>
      <c r="G3438">
        <f t="shared" si="3934"/>
        <v>1</v>
      </c>
      <c r="H3438">
        <v>8</v>
      </c>
      <c r="I3438">
        <v>4</v>
      </c>
      <c r="J3438">
        <v>1</v>
      </c>
      <c r="K3438" s="6" t="str">
        <f t="shared" ref="K3438" si="3975">"vs "&amp;E3439</f>
        <v>vs Karafli Saita</v>
      </c>
      <c r="L3438" s="6" t="str">
        <f t="shared" ref="L3438" si="3976">"vs "&amp;F3439</f>
        <v>vs Tassos</v>
      </c>
      <c r="M3438">
        <v>156</v>
      </c>
      <c r="N3438" s="1">
        <v>0.52</v>
      </c>
      <c r="O3438">
        <v>47</v>
      </c>
      <c r="P3438" s="1">
        <v>0.42</v>
      </c>
      <c r="Q3438" s="1">
        <v>0.88400000000000001</v>
      </c>
      <c r="R3438">
        <v>420</v>
      </c>
      <c r="S3438">
        <v>24</v>
      </c>
      <c r="T3438">
        <v>101</v>
      </c>
      <c r="U3438">
        <v>102</v>
      </c>
      <c r="V3438">
        <v>25</v>
      </c>
      <c r="W3438">
        <v>29</v>
      </c>
      <c r="X3438">
        <v>43</v>
      </c>
      <c r="Y3438">
        <v>2.37</v>
      </c>
    </row>
    <row r="3439" spans="1:25" x14ac:dyDescent="0.25">
      <c r="A3439">
        <v>2026</v>
      </c>
      <c r="B3439" t="s">
        <v>142</v>
      </c>
      <c r="C3439" t="s">
        <v>146</v>
      </c>
      <c r="D3439">
        <v>175</v>
      </c>
      <c r="E3439" t="s">
        <v>186</v>
      </c>
      <c r="F3439" t="s">
        <v>103</v>
      </c>
      <c r="G3439">
        <f t="shared" si="3934"/>
        <v>0</v>
      </c>
      <c r="H3439">
        <v>4</v>
      </c>
      <c r="I3439">
        <v>8</v>
      </c>
      <c r="J3439">
        <v>1</v>
      </c>
      <c r="K3439" s="6" t="str">
        <f t="shared" ref="K3439" si="3977">"vs "&amp;E3438</f>
        <v>vs The Guns</v>
      </c>
      <c r="L3439" s="6" t="str">
        <f t="shared" ref="L3439" si="3978">"vs "&amp;F3438</f>
        <v>vs Vasilis</v>
      </c>
      <c r="M3439">
        <v>132</v>
      </c>
      <c r="N3439" s="1">
        <v>0.47699999999999998</v>
      </c>
      <c r="O3439">
        <v>29</v>
      </c>
      <c r="P3439" s="1">
        <v>0.312</v>
      </c>
      <c r="Q3439" s="1">
        <v>0.91400000000000003</v>
      </c>
      <c r="R3439">
        <v>378</v>
      </c>
      <c r="S3439">
        <v>19</v>
      </c>
      <c r="T3439">
        <v>94</v>
      </c>
      <c r="U3439">
        <v>119</v>
      </c>
      <c r="V3439">
        <v>29</v>
      </c>
      <c r="W3439">
        <v>13</v>
      </c>
      <c r="X3439">
        <v>43</v>
      </c>
      <c r="Y3439">
        <v>2.77</v>
      </c>
    </row>
    <row r="3440" spans="1:25" x14ac:dyDescent="0.25">
      <c r="A3440">
        <v>2026</v>
      </c>
      <c r="B3440" t="s">
        <v>142</v>
      </c>
      <c r="C3440" t="s">
        <v>146</v>
      </c>
      <c r="D3440">
        <v>176</v>
      </c>
      <c r="E3440" t="s">
        <v>94</v>
      </c>
      <c r="F3440" t="s">
        <v>40</v>
      </c>
      <c r="G3440">
        <f t="shared" si="3934"/>
        <v>0</v>
      </c>
      <c r="H3440">
        <v>5</v>
      </c>
      <c r="I3440">
        <v>8</v>
      </c>
      <c r="J3440">
        <v>0</v>
      </c>
      <c r="K3440" s="6" t="str">
        <f t="shared" ref="K3440" si="3979">"vs "&amp;E3441</f>
        <v>vs Samarina Dudenbros</v>
      </c>
      <c r="L3440" s="6" t="str">
        <f t="shared" ref="L3440" si="3980">"vs "&amp;F3441</f>
        <v>vs Sakellariou</v>
      </c>
      <c r="M3440">
        <v>143</v>
      </c>
      <c r="N3440" s="1">
        <v>0.52600000000000002</v>
      </c>
      <c r="O3440">
        <v>48</v>
      </c>
      <c r="P3440" s="1">
        <v>0.39</v>
      </c>
      <c r="Q3440" s="1">
        <v>0.85299999999999998</v>
      </c>
      <c r="R3440">
        <v>398</v>
      </c>
      <c r="S3440">
        <v>17</v>
      </c>
      <c r="T3440">
        <v>81</v>
      </c>
      <c r="U3440">
        <v>93</v>
      </c>
      <c r="V3440">
        <v>25</v>
      </c>
      <c r="W3440">
        <v>11</v>
      </c>
      <c r="X3440">
        <v>33</v>
      </c>
      <c r="Y3440">
        <v>2.82</v>
      </c>
    </row>
    <row r="3441" spans="1:25" x14ac:dyDescent="0.25">
      <c r="A3441">
        <v>2026</v>
      </c>
      <c r="B3441" t="s">
        <v>142</v>
      </c>
      <c r="C3441" t="s">
        <v>146</v>
      </c>
      <c r="D3441">
        <v>176</v>
      </c>
      <c r="E3441" t="s">
        <v>181</v>
      </c>
      <c r="F3441" t="s">
        <v>49</v>
      </c>
      <c r="G3441">
        <f t="shared" si="3934"/>
        <v>1</v>
      </c>
      <c r="H3441">
        <v>8</v>
      </c>
      <c r="I3441">
        <v>5</v>
      </c>
      <c r="J3441">
        <v>0</v>
      </c>
      <c r="K3441" s="6" t="str">
        <f t="shared" ref="K3441" si="3981">"vs "&amp;E3440</f>
        <v>vs Fighting Thaddeus</v>
      </c>
      <c r="L3441" s="6" t="str">
        <f t="shared" ref="L3441" si="3982">"vs "&amp;F3440</f>
        <v>vs Stavros</v>
      </c>
      <c r="M3441">
        <v>247</v>
      </c>
      <c r="N3441" s="1">
        <v>0.501</v>
      </c>
      <c r="O3441">
        <v>59</v>
      </c>
      <c r="P3441" s="1">
        <v>0.34100000000000003</v>
      </c>
      <c r="Q3441" s="1">
        <v>0.83499999999999996</v>
      </c>
      <c r="R3441">
        <v>725</v>
      </c>
      <c r="S3441">
        <v>40</v>
      </c>
      <c r="T3441">
        <v>127</v>
      </c>
      <c r="U3441">
        <v>151</v>
      </c>
      <c r="V3441">
        <v>45</v>
      </c>
      <c r="W3441">
        <v>21</v>
      </c>
      <c r="X3441">
        <v>79</v>
      </c>
      <c r="Y3441">
        <v>1.91</v>
      </c>
    </row>
    <row r="3442" spans="1:25" x14ac:dyDescent="0.25">
      <c r="A3442">
        <v>2026</v>
      </c>
      <c r="B3442" t="s">
        <v>142</v>
      </c>
      <c r="C3442" t="s">
        <v>146</v>
      </c>
      <c r="D3442">
        <v>177</v>
      </c>
      <c r="E3442" t="s">
        <v>23</v>
      </c>
      <c r="F3442" t="s">
        <v>120</v>
      </c>
      <c r="G3442">
        <f t="shared" si="3934"/>
        <v>1</v>
      </c>
      <c r="H3442">
        <v>10</v>
      </c>
      <c r="I3442">
        <v>3</v>
      </c>
      <c r="J3442">
        <v>0</v>
      </c>
      <c r="K3442" s="6" t="str">
        <f t="shared" ref="K3442" si="3983">"vs "&amp;E3443</f>
        <v>vs Kourayo Vallecano</v>
      </c>
      <c r="L3442" s="6" t="str">
        <f t="shared" ref="L3442" si="3984">"vs "&amp;F3443</f>
        <v>vs Ziogas/Christof</v>
      </c>
      <c r="M3442">
        <v>157</v>
      </c>
      <c r="N3442" s="1">
        <v>0.51600000000000001</v>
      </c>
      <c r="O3442">
        <v>44</v>
      </c>
      <c r="P3442" s="1">
        <v>0.39300000000000002</v>
      </c>
      <c r="Q3442" s="1">
        <v>0.85899999999999999</v>
      </c>
      <c r="R3442">
        <v>413</v>
      </c>
      <c r="S3442">
        <v>42</v>
      </c>
      <c r="T3442">
        <v>114</v>
      </c>
      <c r="U3442">
        <v>115</v>
      </c>
      <c r="V3442">
        <v>30</v>
      </c>
      <c r="W3442">
        <v>20</v>
      </c>
      <c r="X3442">
        <v>53</v>
      </c>
      <c r="Y3442">
        <v>2.17</v>
      </c>
    </row>
    <row r="3443" spans="1:25" x14ac:dyDescent="0.25">
      <c r="A3443">
        <v>2026</v>
      </c>
      <c r="B3443" t="s">
        <v>142</v>
      </c>
      <c r="C3443" t="s">
        <v>146</v>
      </c>
      <c r="D3443">
        <v>177</v>
      </c>
      <c r="E3443" t="s">
        <v>26</v>
      </c>
      <c r="F3443" t="s">
        <v>118</v>
      </c>
      <c r="G3443">
        <f t="shared" si="3934"/>
        <v>0</v>
      </c>
      <c r="H3443">
        <v>3</v>
      </c>
      <c r="I3443">
        <v>10</v>
      </c>
      <c r="J3443">
        <v>0</v>
      </c>
      <c r="K3443" s="6" t="str">
        <f t="shared" ref="K3443" si="3985">"vs "&amp;E3442</f>
        <v>vs Pachiana NinjaBees</v>
      </c>
      <c r="L3443" s="6" t="str">
        <f t="shared" ref="L3443" si="3986">"vs "&amp;F3442</f>
        <v>vs Spiridaus/Oladipas</v>
      </c>
      <c r="M3443">
        <v>128</v>
      </c>
      <c r="N3443" s="1">
        <v>0.45700000000000002</v>
      </c>
      <c r="O3443">
        <v>38</v>
      </c>
      <c r="P3443" s="1">
        <v>0.36899999999999999</v>
      </c>
      <c r="Q3443" s="1">
        <v>0.873</v>
      </c>
      <c r="R3443">
        <v>349</v>
      </c>
      <c r="S3443">
        <v>51</v>
      </c>
      <c r="T3443">
        <v>102</v>
      </c>
      <c r="U3443">
        <v>74</v>
      </c>
      <c r="V3443">
        <v>18</v>
      </c>
      <c r="W3443">
        <v>9</v>
      </c>
      <c r="X3443">
        <v>42</v>
      </c>
      <c r="Y3443">
        <v>1.76</v>
      </c>
    </row>
    <row r="3444" spans="1:25" x14ac:dyDescent="0.25">
      <c r="A3444">
        <v>2026</v>
      </c>
      <c r="B3444" t="s">
        <v>142</v>
      </c>
      <c r="C3444" t="s">
        <v>146</v>
      </c>
      <c r="D3444">
        <v>178</v>
      </c>
      <c r="E3444" t="s">
        <v>158</v>
      </c>
      <c r="F3444" t="s">
        <v>177</v>
      </c>
      <c r="G3444">
        <f t="shared" si="3934"/>
        <v>1</v>
      </c>
      <c r="H3444">
        <v>8</v>
      </c>
      <c r="I3444">
        <v>5</v>
      </c>
      <c r="J3444">
        <v>0</v>
      </c>
      <c r="K3444" s="6" t="str">
        <f t="shared" ref="K3444" si="3987">"vs "&amp;E3445</f>
        <v>vs The Bridgeburners</v>
      </c>
      <c r="L3444" s="6" t="str">
        <f t="shared" ref="L3444" si="3988">"vs "&amp;F3445</f>
        <v>vs Fanis</v>
      </c>
      <c r="M3444">
        <v>207</v>
      </c>
      <c r="N3444" s="1">
        <v>0.48399999999999999</v>
      </c>
      <c r="O3444">
        <v>71</v>
      </c>
      <c r="P3444" s="1">
        <v>0.39700000000000002</v>
      </c>
      <c r="Q3444" s="1">
        <v>0.78800000000000003</v>
      </c>
      <c r="R3444">
        <v>600</v>
      </c>
      <c r="S3444">
        <v>38</v>
      </c>
      <c r="T3444">
        <v>149</v>
      </c>
      <c r="U3444">
        <v>160</v>
      </c>
      <c r="V3444">
        <v>39</v>
      </c>
      <c r="W3444">
        <v>24</v>
      </c>
      <c r="X3444">
        <v>76</v>
      </c>
      <c r="Y3444">
        <v>2.11</v>
      </c>
    </row>
    <row r="3445" spans="1:25" x14ac:dyDescent="0.25">
      <c r="A3445">
        <v>2026</v>
      </c>
      <c r="B3445" t="s">
        <v>142</v>
      </c>
      <c r="C3445" t="s">
        <v>146</v>
      </c>
      <c r="D3445">
        <v>178</v>
      </c>
      <c r="E3445" t="s">
        <v>16</v>
      </c>
      <c r="F3445" t="s">
        <v>51</v>
      </c>
      <c r="G3445">
        <f t="shared" si="3934"/>
        <v>0</v>
      </c>
      <c r="H3445">
        <v>5</v>
      </c>
      <c r="I3445">
        <v>8</v>
      </c>
      <c r="J3445">
        <v>0</v>
      </c>
      <c r="K3445" s="6" t="str">
        <f t="shared" ref="K3445" si="3989">"vs "&amp;E3444</f>
        <v>vs LRBP PR3DATORS</v>
      </c>
      <c r="L3445" s="6" t="str">
        <f t="shared" ref="L3445" si="3990">"vs "&amp;F3444</f>
        <v>vs Lafa</v>
      </c>
      <c r="M3445">
        <v>203</v>
      </c>
      <c r="N3445" s="1">
        <v>0.51800000000000002</v>
      </c>
      <c r="O3445">
        <v>49</v>
      </c>
      <c r="P3445" s="1">
        <v>0.34</v>
      </c>
      <c r="Q3445" s="1">
        <v>0.68600000000000005</v>
      </c>
      <c r="R3445">
        <v>525</v>
      </c>
      <c r="S3445">
        <v>58</v>
      </c>
      <c r="T3445">
        <v>154</v>
      </c>
      <c r="U3445">
        <v>103</v>
      </c>
      <c r="V3445">
        <v>28</v>
      </c>
      <c r="W3445">
        <v>28</v>
      </c>
      <c r="X3445">
        <v>58</v>
      </c>
      <c r="Y3445">
        <v>1.78</v>
      </c>
    </row>
    <row r="3446" spans="1:25" x14ac:dyDescent="0.25">
      <c r="A3446">
        <v>2026</v>
      </c>
      <c r="B3446" t="s">
        <v>142</v>
      </c>
      <c r="C3446" t="s">
        <v>147</v>
      </c>
      <c r="D3446">
        <v>179</v>
      </c>
      <c r="E3446" t="s">
        <v>33</v>
      </c>
      <c r="F3446" t="s">
        <v>42</v>
      </c>
      <c r="G3446">
        <f t="shared" si="3934"/>
        <v>0</v>
      </c>
      <c r="H3446">
        <v>6</v>
      </c>
      <c r="I3446">
        <v>7</v>
      </c>
      <c r="J3446">
        <v>0</v>
      </c>
      <c r="K3446" s="6" t="str">
        <f t="shared" ref="K3446" si="3991">"vs "&amp;E3447</f>
        <v>vs Samarina Dudenbros</v>
      </c>
      <c r="L3446" s="6" t="str">
        <f t="shared" ref="L3446" si="3992">"vs "&amp;F3447</f>
        <v>vs Sakellariou</v>
      </c>
      <c r="M3446">
        <v>209</v>
      </c>
      <c r="N3446" s="1">
        <v>0.499</v>
      </c>
      <c r="O3446">
        <v>66</v>
      </c>
      <c r="P3446" s="1">
        <v>0.38400000000000001</v>
      </c>
      <c r="Q3446" s="1">
        <v>0.81499999999999995</v>
      </c>
      <c r="R3446">
        <v>590</v>
      </c>
      <c r="S3446">
        <v>30</v>
      </c>
      <c r="T3446">
        <v>134</v>
      </c>
      <c r="U3446">
        <v>112</v>
      </c>
      <c r="V3446">
        <v>39</v>
      </c>
      <c r="W3446">
        <v>23</v>
      </c>
      <c r="X3446">
        <v>61</v>
      </c>
      <c r="Y3446">
        <v>1.84</v>
      </c>
    </row>
    <row r="3447" spans="1:25" x14ac:dyDescent="0.25">
      <c r="A3447">
        <v>2026</v>
      </c>
      <c r="B3447" t="s">
        <v>142</v>
      </c>
      <c r="C3447" t="s">
        <v>147</v>
      </c>
      <c r="D3447">
        <v>179</v>
      </c>
      <c r="E3447" t="s">
        <v>181</v>
      </c>
      <c r="F3447" t="s">
        <v>49</v>
      </c>
      <c r="G3447">
        <f t="shared" si="3934"/>
        <v>1</v>
      </c>
      <c r="H3447">
        <v>7</v>
      </c>
      <c r="I3447">
        <v>6</v>
      </c>
      <c r="J3447">
        <v>0</v>
      </c>
      <c r="K3447" s="6" t="str">
        <f t="shared" ref="K3447" si="3993">"vs "&amp;E3446</f>
        <v>vs The Guns</v>
      </c>
      <c r="L3447" s="6" t="str">
        <f t="shared" ref="L3447" si="3994">"vs "&amp;F3446</f>
        <v>vs Vasilis</v>
      </c>
      <c r="M3447">
        <v>186</v>
      </c>
      <c r="N3447" s="1">
        <v>0.52</v>
      </c>
      <c r="O3447">
        <v>55</v>
      </c>
      <c r="P3447" s="1">
        <v>0.42599999999999999</v>
      </c>
      <c r="Q3447" s="1">
        <v>0.76600000000000001</v>
      </c>
      <c r="R3447">
        <v>509</v>
      </c>
      <c r="S3447">
        <v>37</v>
      </c>
      <c r="T3447">
        <v>147</v>
      </c>
      <c r="U3447">
        <v>122</v>
      </c>
      <c r="V3447">
        <v>30</v>
      </c>
      <c r="W3447">
        <v>13</v>
      </c>
      <c r="X3447">
        <v>51</v>
      </c>
      <c r="Y3447">
        <v>2.39</v>
      </c>
    </row>
    <row r="3448" spans="1:25" x14ac:dyDescent="0.25">
      <c r="A3448">
        <v>2026</v>
      </c>
      <c r="B3448" t="s">
        <v>142</v>
      </c>
      <c r="C3448" t="s">
        <v>147</v>
      </c>
      <c r="D3448">
        <v>180</v>
      </c>
      <c r="E3448" t="s">
        <v>23</v>
      </c>
      <c r="F3448" t="s">
        <v>120</v>
      </c>
      <c r="G3448">
        <f t="shared" si="3934"/>
        <v>1</v>
      </c>
      <c r="H3448">
        <v>7</v>
      </c>
      <c r="I3448">
        <v>6</v>
      </c>
      <c r="J3448">
        <v>0</v>
      </c>
      <c r="K3448" s="6" t="str">
        <f t="shared" ref="K3448" si="3995">"vs "&amp;E3449</f>
        <v>vs LRBP PR3DATORS</v>
      </c>
      <c r="L3448" s="6" t="str">
        <f t="shared" ref="L3448" si="3996">"vs "&amp;F3449</f>
        <v>vs Lafa</v>
      </c>
      <c r="M3448">
        <v>196</v>
      </c>
      <c r="N3448" s="1">
        <v>0.5</v>
      </c>
      <c r="O3448">
        <v>71</v>
      </c>
      <c r="P3448" s="1">
        <v>0.40799999999999997</v>
      </c>
      <c r="Q3448" s="1">
        <v>0.83899999999999997</v>
      </c>
      <c r="R3448">
        <v>541</v>
      </c>
      <c r="S3448">
        <v>31</v>
      </c>
      <c r="T3448">
        <v>129</v>
      </c>
      <c r="U3448">
        <v>116</v>
      </c>
      <c r="V3448">
        <v>41</v>
      </c>
      <c r="W3448">
        <v>22</v>
      </c>
      <c r="X3448">
        <v>49</v>
      </c>
      <c r="Y3448">
        <v>2.37</v>
      </c>
    </row>
    <row r="3449" spans="1:25" x14ac:dyDescent="0.25">
      <c r="A3449">
        <v>2026</v>
      </c>
      <c r="B3449" t="s">
        <v>142</v>
      </c>
      <c r="C3449" t="s">
        <v>147</v>
      </c>
      <c r="D3449">
        <v>180</v>
      </c>
      <c r="E3449" t="s">
        <v>158</v>
      </c>
      <c r="F3449" t="s">
        <v>177</v>
      </c>
      <c r="G3449">
        <f t="shared" si="3934"/>
        <v>0</v>
      </c>
      <c r="H3449">
        <v>6</v>
      </c>
      <c r="I3449">
        <v>7</v>
      </c>
      <c r="J3449">
        <v>0</v>
      </c>
      <c r="K3449" s="6" t="str">
        <f t="shared" ref="K3449" si="3997">"vs "&amp;E3448</f>
        <v>vs Pachiana NinjaBees</v>
      </c>
      <c r="L3449" s="6" t="str">
        <f t="shared" ref="L3449" si="3998">"vs "&amp;F3448</f>
        <v>vs Spiridaus/Oladipas</v>
      </c>
      <c r="M3449">
        <v>239</v>
      </c>
      <c r="N3449" s="1">
        <v>0.46</v>
      </c>
      <c r="O3449">
        <v>61</v>
      </c>
      <c r="P3449" s="1">
        <v>0.32600000000000001</v>
      </c>
      <c r="Q3449" s="1">
        <v>0.78</v>
      </c>
      <c r="R3449">
        <v>699</v>
      </c>
      <c r="S3449">
        <v>38</v>
      </c>
      <c r="T3449">
        <v>145</v>
      </c>
      <c r="U3449">
        <v>167</v>
      </c>
      <c r="V3449">
        <v>42</v>
      </c>
      <c r="W3449">
        <v>17</v>
      </c>
      <c r="X3449">
        <v>87</v>
      </c>
      <c r="Y3449">
        <v>1.92</v>
      </c>
    </row>
    <row r="3450" spans="1:25" x14ac:dyDescent="0.25">
      <c r="A3450">
        <v>2026</v>
      </c>
      <c r="B3450" t="s">
        <v>142</v>
      </c>
      <c r="C3450" t="s">
        <v>30</v>
      </c>
      <c r="D3450">
        <v>181</v>
      </c>
      <c r="E3450" t="s">
        <v>23</v>
      </c>
      <c r="F3450" t="s">
        <v>120</v>
      </c>
      <c r="G3450">
        <f t="shared" si="3934"/>
        <v>1</v>
      </c>
      <c r="H3450">
        <v>7</v>
      </c>
      <c r="I3450">
        <v>6</v>
      </c>
      <c r="J3450">
        <v>0</v>
      </c>
      <c r="K3450" s="6" t="str">
        <f t="shared" ref="K3450" si="3999">"vs "&amp;E3451</f>
        <v>vs Samarina Dudenbros</v>
      </c>
      <c r="L3450" s="6" t="str">
        <f t="shared" ref="L3450" si="4000">"vs "&amp;F3451</f>
        <v>vs Sakellariou</v>
      </c>
      <c r="M3450">
        <v>216</v>
      </c>
      <c r="N3450" s="1">
        <v>0.52600000000000002</v>
      </c>
      <c r="O3450">
        <v>41</v>
      </c>
      <c r="P3450" s="1">
        <v>0.32800000000000001</v>
      </c>
      <c r="Q3450" s="1">
        <v>0.77</v>
      </c>
      <c r="R3450">
        <v>550</v>
      </c>
      <c r="S3450">
        <v>41</v>
      </c>
      <c r="T3450">
        <v>149</v>
      </c>
      <c r="U3450">
        <v>167</v>
      </c>
      <c r="V3450">
        <v>46</v>
      </c>
      <c r="W3450">
        <v>24</v>
      </c>
      <c r="X3450">
        <v>61</v>
      </c>
      <c r="Y3450">
        <v>2.74</v>
      </c>
    </row>
    <row r="3451" spans="1:25" x14ac:dyDescent="0.25">
      <c r="A3451">
        <v>2026</v>
      </c>
      <c r="B3451" t="s">
        <v>142</v>
      </c>
      <c r="C3451" t="s">
        <v>30</v>
      </c>
      <c r="D3451">
        <v>181</v>
      </c>
      <c r="E3451" t="s">
        <v>181</v>
      </c>
      <c r="F3451" t="s">
        <v>49</v>
      </c>
      <c r="G3451">
        <f t="shared" si="3934"/>
        <v>0</v>
      </c>
      <c r="H3451">
        <v>6</v>
      </c>
      <c r="I3451">
        <v>7</v>
      </c>
      <c r="J3451">
        <v>0</v>
      </c>
      <c r="K3451" s="6" t="str">
        <f t="shared" ref="K3451" si="4001">"vs "&amp;E3450</f>
        <v>vs Pachiana NinjaBees</v>
      </c>
      <c r="L3451" s="6" t="str">
        <f t="shared" ref="L3451" si="4002">"vs "&amp;F3450</f>
        <v>vs Spiridaus/Oladipas</v>
      </c>
      <c r="M3451">
        <v>193</v>
      </c>
      <c r="N3451" s="1">
        <v>0.45100000000000001</v>
      </c>
      <c r="O3451">
        <v>58</v>
      </c>
      <c r="P3451" s="1">
        <v>0.34300000000000003</v>
      </c>
      <c r="Q3451" s="1">
        <v>0.89800000000000002</v>
      </c>
      <c r="R3451">
        <v>558</v>
      </c>
      <c r="S3451">
        <v>32</v>
      </c>
      <c r="T3451">
        <v>156</v>
      </c>
      <c r="U3451">
        <v>155</v>
      </c>
      <c r="V3451">
        <v>35</v>
      </c>
      <c r="W3451">
        <v>15</v>
      </c>
      <c r="X3451">
        <v>59</v>
      </c>
      <c r="Y3451">
        <v>2.63</v>
      </c>
    </row>
  </sheetData>
  <autoFilter ref="A1:Y3451" xr:uid="{32E586FE-1820-448C-B398-53BE0AF6C6CE}"/>
  <pageMargins left="0.7" right="0.7" top="0.75" bottom="0.75" header="0.3" footer="0.3"/>
  <pageSetup orientation="portrait" r:id="rId1"/>
  <customProperties>
    <customPr name="_pios_id" r:id="rId2"/>
    <customPr name="EpmWorksheetKeyString_GUID"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56F3-825E-44B6-8C8B-CAF92CB5BAC6}">
  <dimension ref="A1:Y383"/>
  <sheetViews>
    <sheetView workbookViewId="0">
      <selection activeCell="M2" sqref="M2:Y383"/>
    </sheetView>
  </sheetViews>
  <sheetFormatPr defaultRowHeight="15" x14ac:dyDescent="0.25"/>
  <cols>
    <col min="5" max="5" width="26.42578125" customWidth="1"/>
    <col min="6" max="6" width="18" bestFit="1" customWidth="1"/>
  </cols>
  <sheetData>
    <row r="1" spans="1:25" ht="30" x14ac:dyDescent="0.25">
      <c r="A1" s="2" t="s">
        <v>37</v>
      </c>
      <c r="B1" s="10" t="s">
        <v>122</v>
      </c>
      <c r="C1" s="2" t="s">
        <v>38</v>
      </c>
      <c r="D1" s="2" t="s">
        <v>58</v>
      </c>
      <c r="E1" s="2" t="s">
        <v>29</v>
      </c>
      <c r="F1" s="2" t="s">
        <v>39</v>
      </c>
      <c r="G1" s="2" t="s">
        <v>143</v>
      </c>
      <c r="H1" s="2" t="s">
        <v>13</v>
      </c>
      <c r="I1" s="2" t="s">
        <v>14</v>
      </c>
      <c r="J1" s="2" t="s">
        <v>31</v>
      </c>
      <c r="K1" s="3" t="s">
        <v>92</v>
      </c>
      <c r="L1" s="3" t="s">
        <v>91</v>
      </c>
      <c r="M1" s="2" t="s">
        <v>0</v>
      </c>
      <c r="N1" s="4" t="s">
        <v>1</v>
      </c>
      <c r="O1" s="2" t="s">
        <v>3</v>
      </c>
      <c r="P1" s="4" t="s">
        <v>4</v>
      </c>
      <c r="Q1" s="4" t="s">
        <v>2</v>
      </c>
      <c r="R1" s="2" t="s">
        <v>12</v>
      </c>
      <c r="S1" s="2" t="s">
        <v>5</v>
      </c>
      <c r="T1" s="2" t="s">
        <v>6</v>
      </c>
      <c r="U1" s="2" t="s">
        <v>7</v>
      </c>
      <c r="V1" s="2" t="s">
        <v>9</v>
      </c>
      <c r="W1" s="2" t="s">
        <v>10</v>
      </c>
      <c r="X1" s="2" t="s">
        <v>11</v>
      </c>
      <c r="Y1" s="2" t="s">
        <v>8</v>
      </c>
    </row>
    <row r="2" spans="1:25" x14ac:dyDescent="0.25">
      <c r="A2">
        <v>2026</v>
      </c>
      <c r="B2" t="s">
        <v>57</v>
      </c>
      <c r="C2">
        <v>1</v>
      </c>
      <c r="D2">
        <v>1</v>
      </c>
      <c r="E2" t="str">
        <f>+'Raw data'!A5</f>
        <v>Kourayo Vallecano</v>
      </c>
      <c r="F2" t="str">
        <f>VLOOKUP(E2,Data!$E$2626:$F$2645,2,FALSE)</f>
        <v>Ziogas/Christof</v>
      </c>
      <c r="H2">
        <f>+'Raw data'!A26</f>
        <v>6</v>
      </c>
      <c r="I2">
        <f>+'Raw data'!B26</f>
        <v>7</v>
      </c>
      <c r="J2">
        <f>+'Raw data'!C26</f>
        <v>0</v>
      </c>
      <c r="M2">
        <f>+'Raw data'!E26</f>
        <v>127</v>
      </c>
      <c r="N2">
        <f>+'Raw data'!F26</f>
        <v>0.46400000000000002</v>
      </c>
      <c r="O2">
        <f>+'Raw data'!G26</f>
        <v>30</v>
      </c>
      <c r="P2">
        <f>+'Raw data'!H26</f>
        <v>0.29099999999999998</v>
      </c>
      <c r="Q2">
        <f>+'Raw data'!I26</f>
        <v>0.74299999999999999</v>
      </c>
      <c r="R2">
        <f>+'Raw data'!J26</f>
        <v>359</v>
      </c>
      <c r="S2">
        <f>+'Raw data'!K26</f>
        <v>46</v>
      </c>
      <c r="T2">
        <f>+'Raw data'!L26</f>
        <v>113</v>
      </c>
      <c r="U2">
        <f>+'Raw data'!M26</f>
        <v>82</v>
      </c>
      <c r="V2">
        <f>+'Raw data'!N26</f>
        <v>19</v>
      </c>
      <c r="W2">
        <f>+'Raw data'!O26</f>
        <v>12</v>
      </c>
      <c r="X2">
        <f>+'Raw data'!P26</f>
        <v>31</v>
      </c>
      <c r="Y2">
        <f>+'Raw data'!Q26</f>
        <v>2.65</v>
      </c>
    </row>
    <row r="3" spans="1:25" x14ac:dyDescent="0.25">
      <c r="A3">
        <v>2025</v>
      </c>
      <c r="B3" t="s">
        <v>57</v>
      </c>
      <c r="C3">
        <v>1</v>
      </c>
      <c r="D3">
        <v>1</v>
      </c>
      <c r="E3" t="str">
        <f>+'Raw data'!A6</f>
        <v>LRBP PR3DATORS</v>
      </c>
      <c r="F3" t="str">
        <f>VLOOKUP(E3,Data!$E$2626:$F$2645,2,FALSE)</f>
        <v>Lafa</v>
      </c>
      <c r="H3">
        <f>+'Raw data'!A27</f>
        <v>7</v>
      </c>
      <c r="I3">
        <f>+'Raw data'!B27</f>
        <v>6</v>
      </c>
      <c r="J3">
        <f>+'Raw data'!C27</f>
        <v>0</v>
      </c>
      <c r="M3">
        <f>+'Raw data'!E27</f>
        <v>171</v>
      </c>
      <c r="N3">
        <f>+'Raw data'!F27</f>
        <v>0.46</v>
      </c>
      <c r="O3">
        <f>+'Raw data'!G27</f>
        <v>37</v>
      </c>
      <c r="P3">
        <f>+'Raw data'!H27</f>
        <v>0.29099999999999998</v>
      </c>
      <c r="Q3">
        <f>+'Raw data'!I27</f>
        <v>0.81599999999999995</v>
      </c>
      <c r="R3">
        <f>+'Raw data'!J27</f>
        <v>508</v>
      </c>
      <c r="S3">
        <f>+'Raw data'!K27</f>
        <v>25</v>
      </c>
      <c r="T3">
        <f>+'Raw data'!L27</f>
        <v>132</v>
      </c>
      <c r="U3">
        <f>+'Raw data'!M27</f>
        <v>77</v>
      </c>
      <c r="V3">
        <f>+'Raw data'!N27</f>
        <v>17</v>
      </c>
      <c r="W3">
        <f>+'Raw data'!O27</f>
        <v>25</v>
      </c>
      <c r="X3">
        <f>+'Raw data'!P27</f>
        <v>66</v>
      </c>
      <c r="Y3">
        <f>+'Raw data'!Q27</f>
        <v>1.17</v>
      </c>
    </row>
    <row r="4" spans="1:25" x14ac:dyDescent="0.25">
      <c r="A4">
        <v>2025</v>
      </c>
      <c r="B4" t="s">
        <v>57</v>
      </c>
      <c r="C4">
        <v>1</v>
      </c>
      <c r="D4">
        <f>+D2+1</f>
        <v>2</v>
      </c>
      <c r="E4" t="str">
        <f>+'Raw data'!A7</f>
        <v>Xanthi Ducks 🦆</v>
      </c>
      <c r="F4" t="str">
        <f>VLOOKUP(E4,Data!$E$2626:$F$2645,2,FALSE)</f>
        <v>Kotakis</v>
      </c>
      <c r="H4">
        <f>+'Raw data'!A28</f>
        <v>3</v>
      </c>
      <c r="I4">
        <f>+'Raw data'!B28</f>
        <v>10</v>
      </c>
      <c r="J4">
        <f>+'Raw data'!C28</f>
        <v>0</v>
      </c>
      <c r="M4">
        <f>+'Raw data'!E28</f>
        <v>85</v>
      </c>
      <c r="N4">
        <f>+'Raw data'!F28</f>
        <v>0.436</v>
      </c>
      <c r="O4">
        <f>+'Raw data'!G28</f>
        <v>31</v>
      </c>
      <c r="P4">
        <f>+'Raw data'!H28</f>
        <v>0.36499999999999999</v>
      </c>
      <c r="Q4">
        <f>+'Raw data'!I28</f>
        <v>0.76600000000000001</v>
      </c>
      <c r="R4">
        <f>+'Raw data'!J28</f>
        <v>250</v>
      </c>
      <c r="S4">
        <f>+'Raw data'!K28</f>
        <v>38</v>
      </c>
      <c r="T4">
        <f>+'Raw data'!L28</f>
        <v>85</v>
      </c>
      <c r="U4">
        <f>+'Raw data'!M28</f>
        <v>50</v>
      </c>
      <c r="V4">
        <f>+'Raw data'!N28</f>
        <v>23</v>
      </c>
      <c r="W4">
        <f>+'Raw data'!O28</f>
        <v>13</v>
      </c>
      <c r="X4">
        <f>+'Raw data'!P28</f>
        <v>29</v>
      </c>
      <c r="Y4">
        <f>+'Raw data'!Q28</f>
        <v>1.72</v>
      </c>
    </row>
    <row r="5" spans="1:25" x14ac:dyDescent="0.25">
      <c r="A5">
        <v>2025</v>
      </c>
      <c r="B5" t="s">
        <v>57</v>
      </c>
      <c r="C5">
        <v>1</v>
      </c>
      <c r="D5">
        <f t="shared" ref="D5:D48" si="0">+D3+1</f>
        <v>2</v>
      </c>
      <c r="E5" t="str">
        <f>+'Raw data'!A8</f>
        <v>The Bridgeburners</v>
      </c>
      <c r="F5" t="str">
        <f>VLOOKUP(E5,Data!$E$2626:$F$2645,2,FALSE)</f>
        <v>Fanis</v>
      </c>
      <c r="H5">
        <f>+'Raw data'!A29</f>
        <v>10</v>
      </c>
      <c r="I5">
        <f>+'Raw data'!B29</f>
        <v>3</v>
      </c>
      <c r="J5">
        <f>+'Raw data'!C29</f>
        <v>0</v>
      </c>
      <c r="M5">
        <f>+'Raw data'!E29</f>
        <v>165</v>
      </c>
      <c r="N5">
        <f>+'Raw data'!F29</f>
        <v>0.49299999999999999</v>
      </c>
      <c r="O5">
        <f>+'Raw data'!G29</f>
        <v>54</v>
      </c>
      <c r="P5">
        <f>+'Raw data'!H29</f>
        <v>0.39400000000000002</v>
      </c>
      <c r="Q5">
        <f>+'Raw data'!I29</f>
        <v>0.81699999999999995</v>
      </c>
      <c r="R5">
        <f>+'Raw data'!J29</f>
        <v>473</v>
      </c>
      <c r="S5">
        <f>+'Raw data'!K29</f>
        <v>24</v>
      </c>
      <c r="T5">
        <f>+'Raw data'!L29</f>
        <v>109</v>
      </c>
      <c r="U5">
        <f>+'Raw data'!M29</f>
        <v>82</v>
      </c>
      <c r="V5">
        <f>+'Raw data'!N29</f>
        <v>29</v>
      </c>
      <c r="W5">
        <f>+'Raw data'!O29</f>
        <v>17</v>
      </c>
      <c r="X5">
        <f>+'Raw data'!P29</f>
        <v>50</v>
      </c>
      <c r="Y5">
        <f>+'Raw data'!Q29</f>
        <v>1.64</v>
      </c>
    </row>
    <row r="6" spans="1:25" x14ac:dyDescent="0.25">
      <c r="A6">
        <v>2025</v>
      </c>
      <c r="B6" t="s">
        <v>57</v>
      </c>
      <c r="C6">
        <v>1</v>
      </c>
      <c r="D6">
        <f t="shared" si="0"/>
        <v>3</v>
      </c>
      <c r="E6" t="str">
        <f>+'Raw data'!A9</f>
        <v>The Guns</v>
      </c>
      <c r="F6" t="str">
        <f>VLOOKUP(E6,Data!$E$2626:$F$2645,2,FALSE)</f>
        <v>Vasilis</v>
      </c>
      <c r="H6">
        <f>+'Raw data'!A30</f>
        <v>10</v>
      </c>
      <c r="I6">
        <f>+'Raw data'!B30</f>
        <v>3</v>
      </c>
      <c r="J6">
        <f>+'Raw data'!C30</f>
        <v>0</v>
      </c>
      <c r="M6">
        <f>+'Raw data'!E30</f>
        <v>165</v>
      </c>
      <c r="N6">
        <f>+'Raw data'!F30</f>
        <v>0.47299999999999998</v>
      </c>
      <c r="O6">
        <f>+'Raw data'!G30</f>
        <v>38</v>
      </c>
      <c r="P6">
        <f>+'Raw data'!H30</f>
        <v>0.28799999999999998</v>
      </c>
      <c r="Q6">
        <f>+'Raw data'!I30</f>
        <v>0.82599999999999996</v>
      </c>
      <c r="R6">
        <f>+'Raw data'!J30</f>
        <v>477</v>
      </c>
      <c r="S6">
        <f>+'Raw data'!K30</f>
        <v>41</v>
      </c>
      <c r="T6">
        <f>+'Raw data'!L30</f>
        <v>122</v>
      </c>
      <c r="U6">
        <f>+'Raw data'!M30</f>
        <v>89</v>
      </c>
      <c r="V6">
        <f>+'Raw data'!N30</f>
        <v>29</v>
      </c>
      <c r="W6">
        <f>+'Raw data'!O30</f>
        <v>20</v>
      </c>
      <c r="X6">
        <f>+'Raw data'!P30</f>
        <v>46</v>
      </c>
      <c r="Y6">
        <f>+'Raw data'!Q30</f>
        <v>1.93</v>
      </c>
    </row>
    <row r="7" spans="1:25" x14ac:dyDescent="0.25">
      <c r="A7">
        <v>2025</v>
      </c>
      <c r="B7" t="s">
        <v>57</v>
      </c>
      <c r="C7">
        <v>1</v>
      </c>
      <c r="D7">
        <f t="shared" si="0"/>
        <v>3</v>
      </c>
      <c r="E7" t="str">
        <f>+'Raw data'!A10</f>
        <v>Heraklion Snakes</v>
      </c>
      <c r="F7" t="str">
        <f>VLOOKUP(E7,Data!$E$2626:$F$2645,2,FALSE)</f>
        <v>Dimitris</v>
      </c>
      <c r="H7">
        <f>+'Raw data'!A31</f>
        <v>3</v>
      </c>
      <c r="I7">
        <f>+'Raw data'!B31</f>
        <v>10</v>
      </c>
      <c r="J7">
        <f>+'Raw data'!C31</f>
        <v>0</v>
      </c>
      <c r="M7">
        <f>+'Raw data'!E31</f>
        <v>68</v>
      </c>
      <c r="N7">
        <f>+'Raw data'!F31</f>
        <v>0.45600000000000002</v>
      </c>
      <c r="O7">
        <f>+'Raw data'!G31</f>
        <v>19</v>
      </c>
      <c r="P7">
        <f>+'Raw data'!H31</f>
        <v>0.34499999999999997</v>
      </c>
      <c r="Q7">
        <f>+'Raw data'!I31</f>
        <v>0.87</v>
      </c>
      <c r="R7">
        <f>+'Raw data'!J31</f>
        <v>195</v>
      </c>
      <c r="S7">
        <f>+'Raw data'!K31</f>
        <v>19</v>
      </c>
      <c r="T7">
        <f>+'Raw data'!L31</f>
        <v>54</v>
      </c>
      <c r="U7">
        <f>+'Raw data'!M31</f>
        <v>29</v>
      </c>
      <c r="V7">
        <f>+'Raw data'!N31</f>
        <v>9</v>
      </c>
      <c r="W7">
        <f>+'Raw data'!O31</f>
        <v>4</v>
      </c>
      <c r="X7">
        <f>+'Raw data'!P31</f>
        <v>24</v>
      </c>
      <c r="Y7">
        <f>+'Raw data'!Q31</f>
        <v>1.21</v>
      </c>
    </row>
    <row r="8" spans="1:25" x14ac:dyDescent="0.25">
      <c r="A8">
        <v>2025</v>
      </c>
      <c r="B8" t="s">
        <v>57</v>
      </c>
      <c r="C8">
        <v>1</v>
      </c>
      <c r="D8">
        <f t="shared" si="0"/>
        <v>4</v>
      </c>
      <c r="E8" t="str">
        <f>+'Raw data'!A11</f>
        <v>Tsarlatans</v>
      </c>
      <c r="F8" t="str">
        <f>VLOOKUP(E8,Data!$E$2626:$F$2645,2,FALSE)</f>
        <v>Tzokos</v>
      </c>
      <c r="H8">
        <f>+'Raw data'!A32</f>
        <v>5</v>
      </c>
      <c r="I8">
        <f>+'Raw data'!B32</f>
        <v>8</v>
      </c>
      <c r="J8">
        <f>+'Raw data'!C32</f>
        <v>0</v>
      </c>
      <c r="M8">
        <f>+'Raw data'!E32</f>
        <v>130</v>
      </c>
      <c r="N8">
        <f>+'Raw data'!F32</f>
        <v>0.45500000000000002</v>
      </c>
      <c r="O8">
        <f>+'Raw data'!G32</f>
        <v>24</v>
      </c>
      <c r="P8">
        <f>+'Raw data'!H32</f>
        <v>0.29299999999999998</v>
      </c>
      <c r="Q8">
        <f>+'Raw data'!I32</f>
        <v>0.83899999999999997</v>
      </c>
      <c r="R8">
        <f>+'Raw data'!J32</f>
        <v>357</v>
      </c>
      <c r="S8">
        <f>+'Raw data'!K32</f>
        <v>33</v>
      </c>
      <c r="T8">
        <f>+'Raw data'!L32</f>
        <v>107</v>
      </c>
      <c r="U8">
        <f>+'Raw data'!M32</f>
        <v>89</v>
      </c>
      <c r="V8">
        <f>+'Raw data'!N32</f>
        <v>17</v>
      </c>
      <c r="W8">
        <f>+'Raw data'!O32</f>
        <v>12</v>
      </c>
      <c r="X8">
        <f>+'Raw data'!P32</f>
        <v>58</v>
      </c>
      <c r="Y8">
        <f>+'Raw data'!Q32</f>
        <v>1.53</v>
      </c>
    </row>
    <row r="9" spans="1:25" x14ac:dyDescent="0.25">
      <c r="A9">
        <v>2025</v>
      </c>
      <c r="B9" t="s">
        <v>57</v>
      </c>
      <c r="C9">
        <v>1</v>
      </c>
      <c r="D9">
        <f t="shared" si="0"/>
        <v>4</v>
      </c>
      <c r="E9" t="str">
        <f>+'Raw data'!A12</f>
        <v>Guruuu 🐐🐐🐐</v>
      </c>
      <c r="F9" t="str">
        <f>VLOOKUP(E9,Data!$E$2626:$F$2645,2,FALSE)</f>
        <v>Guru</v>
      </c>
      <c r="H9">
        <f>+'Raw data'!A33</f>
        <v>8</v>
      </c>
      <c r="I9">
        <f>+'Raw data'!B33</f>
        <v>5</v>
      </c>
      <c r="J9">
        <f>+'Raw data'!C33</f>
        <v>0</v>
      </c>
      <c r="M9">
        <f>+'Raw data'!E33</f>
        <v>125</v>
      </c>
      <c r="N9">
        <f>+'Raw data'!F33</f>
        <v>0.44800000000000001</v>
      </c>
      <c r="O9">
        <f>+'Raw data'!G33</f>
        <v>44</v>
      </c>
      <c r="P9">
        <f>+'Raw data'!H33</f>
        <v>0.36099999999999999</v>
      </c>
      <c r="Q9">
        <f>+'Raw data'!I33</f>
        <v>0.76500000000000001</v>
      </c>
      <c r="R9">
        <f>+'Raw data'!J33</f>
        <v>398</v>
      </c>
      <c r="S9">
        <f>+'Raw data'!K33</f>
        <v>36</v>
      </c>
      <c r="T9">
        <f>+'Raw data'!L33</f>
        <v>83</v>
      </c>
      <c r="U9">
        <f>+'Raw data'!M33</f>
        <v>102</v>
      </c>
      <c r="V9">
        <f>+'Raw data'!N33</f>
        <v>28</v>
      </c>
      <c r="W9">
        <f>+'Raw data'!O33</f>
        <v>7</v>
      </c>
      <c r="X9">
        <f>+'Raw data'!P33</f>
        <v>32</v>
      </c>
      <c r="Y9">
        <f>+'Raw data'!Q33</f>
        <v>3.19</v>
      </c>
    </row>
    <row r="10" spans="1:25" x14ac:dyDescent="0.25">
      <c r="A10">
        <v>2025</v>
      </c>
      <c r="B10" t="s">
        <v>57</v>
      </c>
      <c r="C10">
        <v>1</v>
      </c>
      <c r="D10">
        <f t="shared" si="0"/>
        <v>5</v>
      </c>
      <c r="E10" t="str">
        <f>+'Raw data'!A13</f>
        <v>Hércules Pals</v>
      </c>
      <c r="F10" t="e">
        <f>VLOOKUP(E10,Data!$E$2626:$F$2645,2,FALSE)</f>
        <v>#N/A</v>
      </c>
      <c r="H10">
        <f>+'Raw data'!A34</f>
        <v>3</v>
      </c>
      <c r="I10">
        <f>+'Raw data'!B34</f>
        <v>10</v>
      </c>
      <c r="J10">
        <f>+'Raw data'!C34</f>
        <v>0</v>
      </c>
      <c r="M10">
        <f>+'Raw data'!E34</f>
        <v>66</v>
      </c>
      <c r="N10">
        <f>+'Raw data'!F34</f>
        <v>0.379</v>
      </c>
      <c r="O10">
        <f>+'Raw data'!G34</f>
        <v>32</v>
      </c>
      <c r="P10">
        <f>+'Raw data'!H34</f>
        <v>0.39</v>
      </c>
      <c r="Q10">
        <f>+'Raw data'!I34</f>
        <v>0.82199999999999995</v>
      </c>
      <c r="R10">
        <f>+'Raw data'!J34</f>
        <v>201</v>
      </c>
      <c r="S10">
        <f>+'Raw data'!K34</f>
        <v>30</v>
      </c>
      <c r="T10">
        <f>+'Raw data'!L34</f>
        <v>78</v>
      </c>
      <c r="U10">
        <f>+'Raw data'!M34</f>
        <v>54</v>
      </c>
      <c r="V10">
        <f>+'Raw data'!N34</f>
        <v>19</v>
      </c>
      <c r="W10">
        <f>+'Raw data'!O34</f>
        <v>5</v>
      </c>
      <c r="X10">
        <f>+'Raw data'!P34</f>
        <v>27</v>
      </c>
      <c r="Y10">
        <f>+'Raw data'!Q34</f>
        <v>2</v>
      </c>
    </row>
    <row r="11" spans="1:25" x14ac:dyDescent="0.25">
      <c r="A11">
        <v>2025</v>
      </c>
      <c r="B11" t="s">
        <v>57</v>
      </c>
      <c r="C11">
        <v>1</v>
      </c>
      <c r="D11">
        <f t="shared" si="0"/>
        <v>5</v>
      </c>
      <c r="E11" t="str">
        <f>+'Raw data'!A14</f>
        <v>Knights of Ni</v>
      </c>
      <c r="F11" t="str">
        <f>VLOOKUP(E11,Data!$E$2626:$F$2645,2,FALSE)</f>
        <v>Tolios</v>
      </c>
      <c r="H11">
        <f>+'Raw data'!A35</f>
        <v>10</v>
      </c>
      <c r="I11">
        <f>+'Raw data'!B35</f>
        <v>3</v>
      </c>
      <c r="J11">
        <f>+'Raw data'!C35</f>
        <v>0</v>
      </c>
      <c r="M11">
        <f>+'Raw data'!E35</f>
        <v>129</v>
      </c>
      <c r="N11">
        <f>+'Raw data'!F35</f>
        <v>0.52</v>
      </c>
      <c r="O11">
        <f>+'Raw data'!G35</f>
        <v>36</v>
      </c>
      <c r="P11">
        <f>+'Raw data'!H35</f>
        <v>0.41899999999999998</v>
      </c>
      <c r="Q11">
        <f>+'Raw data'!I35</f>
        <v>0.80200000000000005</v>
      </c>
      <c r="R11">
        <f>+'Raw data'!J35</f>
        <v>387</v>
      </c>
      <c r="S11">
        <f>+'Raw data'!K35</f>
        <v>35</v>
      </c>
      <c r="T11">
        <f>+'Raw data'!L35</f>
        <v>105</v>
      </c>
      <c r="U11">
        <f>+'Raw data'!M35</f>
        <v>63</v>
      </c>
      <c r="V11">
        <f>+'Raw data'!N35</f>
        <v>25</v>
      </c>
      <c r="W11">
        <f>+'Raw data'!O35</f>
        <v>13</v>
      </c>
      <c r="X11">
        <f>+'Raw data'!P35</f>
        <v>53</v>
      </c>
      <c r="Y11">
        <f>+'Raw data'!Q35</f>
        <v>1.19</v>
      </c>
    </row>
    <row r="12" spans="1:25" x14ac:dyDescent="0.25">
      <c r="A12">
        <v>2025</v>
      </c>
      <c r="B12" t="s">
        <v>57</v>
      </c>
      <c r="C12">
        <v>1</v>
      </c>
      <c r="D12">
        <f t="shared" si="0"/>
        <v>6</v>
      </c>
      <c r="E12" t="str">
        <f>+'Raw data'!A15</f>
        <v>Fighting Thaddeus</v>
      </c>
      <c r="F12" t="str">
        <f>VLOOKUP(E12,Data!$E$2626:$F$2645,2,FALSE)</f>
        <v>Stavros</v>
      </c>
      <c r="H12">
        <f>+'Raw data'!A36</f>
        <v>3</v>
      </c>
      <c r="I12">
        <f>+'Raw data'!B36</f>
        <v>10</v>
      </c>
      <c r="J12">
        <f>+'Raw data'!C36</f>
        <v>0</v>
      </c>
      <c r="M12">
        <f>+'Raw data'!E36</f>
        <v>123</v>
      </c>
      <c r="N12">
        <f>+'Raw data'!F36</f>
        <v>0.42399999999999999</v>
      </c>
      <c r="O12">
        <f>+'Raw data'!G36</f>
        <v>54</v>
      </c>
      <c r="P12">
        <f>+'Raw data'!H36</f>
        <v>0.35299999999999998</v>
      </c>
      <c r="Q12">
        <f>+'Raw data'!I36</f>
        <v>0.88300000000000001</v>
      </c>
      <c r="R12">
        <f>+'Raw data'!J36</f>
        <v>368</v>
      </c>
      <c r="S12">
        <f>+'Raw data'!K36</f>
        <v>21</v>
      </c>
      <c r="T12">
        <f>+'Raw data'!L36</f>
        <v>106</v>
      </c>
      <c r="U12">
        <f>+'Raw data'!M36</f>
        <v>91</v>
      </c>
      <c r="V12">
        <f>+'Raw data'!N36</f>
        <v>27</v>
      </c>
      <c r="W12">
        <f>+'Raw data'!O36</f>
        <v>13</v>
      </c>
      <c r="X12">
        <f>+'Raw data'!P36</f>
        <v>43</v>
      </c>
      <c r="Y12">
        <f>+'Raw data'!Q36</f>
        <v>2.12</v>
      </c>
    </row>
    <row r="13" spans="1:25" x14ac:dyDescent="0.25">
      <c r="A13">
        <v>2025</v>
      </c>
      <c r="B13" t="s">
        <v>57</v>
      </c>
      <c r="C13">
        <v>1</v>
      </c>
      <c r="D13">
        <f t="shared" si="0"/>
        <v>6</v>
      </c>
      <c r="E13" t="str">
        <f>+'Raw data'!A16</f>
        <v>purple fuzzy apache pirates</v>
      </c>
      <c r="F13" t="str">
        <f>VLOOKUP(E13,Data!$E$2626:$F$2645,2,FALSE)</f>
        <v>pi/Sotiris</v>
      </c>
      <c r="H13">
        <f>+'Raw data'!A37</f>
        <v>10</v>
      </c>
      <c r="I13">
        <f>+'Raw data'!B37</f>
        <v>3</v>
      </c>
      <c r="J13">
        <f>+'Raw data'!C37</f>
        <v>0</v>
      </c>
      <c r="M13">
        <f>+'Raw data'!E37</f>
        <v>207</v>
      </c>
      <c r="N13">
        <f>+'Raw data'!F37</f>
        <v>0.55200000000000005</v>
      </c>
      <c r="O13">
        <f>+'Raw data'!G37</f>
        <v>56</v>
      </c>
      <c r="P13">
        <f>+'Raw data'!H37</f>
        <v>0.41799999999999998</v>
      </c>
      <c r="Q13">
        <f>+'Raw data'!I37</f>
        <v>0.78200000000000003</v>
      </c>
      <c r="R13">
        <f>+'Raw data'!J37</f>
        <v>585</v>
      </c>
      <c r="S13">
        <f>+'Raw data'!K37</f>
        <v>29</v>
      </c>
      <c r="T13">
        <f>+'Raw data'!L37</f>
        <v>156</v>
      </c>
      <c r="U13">
        <f>+'Raw data'!M37</f>
        <v>135</v>
      </c>
      <c r="V13">
        <f>+'Raw data'!N37</f>
        <v>29</v>
      </c>
      <c r="W13">
        <f>+'Raw data'!O37</f>
        <v>11</v>
      </c>
      <c r="X13">
        <f>+'Raw data'!P37</f>
        <v>55</v>
      </c>
      <c r="Y13">
        <f>+'Raw data'!Q37</f>
        <v>2.4500000000000002</v>
      </c>
    </row>
    <row r="14" spans="1:25" x14ac:dyDescent="0.25">
      <c r="A14">
        <v>2025</v>
      </c>
      <c r="B14" t="s">
        <v>57</v>
      </c>
      <c r="C14">
        <v>1</v>
      </c>
      <c r="D14">
        <f t="shared" si="0"/>
        <v>7</v>
      </c>
      <c r="E14" t="str">
        <f>+'Raw data'!A17</f>
        <v>Karafli Saita</v>
      </c>
      <c r="F14" t="str">
        <f>VLOOKUP(E14,Data!$E$2626:$F$2645,2,FALSE)</f>
        <v>Tassos</v>
      </c>
      <c r="H14">
        <f>+'Raw data'!A38</f>
        <v>10</v>
      </c>
      <c r="I14">
        <f>+'Raw data'!B38</f>
        <v>2</v>
      </c>
      <c r="J14">
        <f>+'Raw data'!C38</f>
        <v>1</v>
      </c>
      <c r="M14">
        <f>+'Raw data'!E38</f>
        <v>161</v>
      </c>
      <c r="N14">
        <f>+'Raw data'!F38</f>
        <v>0.47799999999999998</v>
      </c>
      <c r="O14">
        <f>+'Raw data'!G38</f>
        <v>49</v>
      </c>
      <c r="P14">
        <f>+'Raw data'!H38</f>
        <v>0.40799999999999997</v>
      </c>
      <c r="Q14">
        <f>+'Raw data'!I38</f>
        <v>0.78300000000000003</v>
      </c>
      <c r="R14">
        <f>+'Raw data'!J38</f>
        <v>472</v>
      </c>
      <c r="S14">
        <f>+'Raw data'!K38</f>
        <v>30</v>
      </c>
      <c r="T14">
        <f>+'Raw data'!L38</f>
        <v>118</v>
      </c>
      <c r="U14">
        <f>+'Raw data'!M38</f>
        <v>96</v>
      </c>
      <c r="V14">
        <f>+'Raw data'!N38</f>
        <v>22</v>
      </c>
      <c r="W14">
        <f>+'Raw data'!O38</f>
        <v>15</v>
      </c>
      <c r="X14">
        <f>+'Raw data'!P38</f>
        <v>67</v>
      </c>
      <c r="Y14">
        <f>+'Raw data'!Q38</f>
        <v>1.43</v>
      </c>
    </row>
    <row r="15" spans="1:25" x14ac:dyDescent="0.25">
      <c r="A15">
        <v>2025</v>
      </c>
      <c r="B15" t="s">
        <v>57</v>
      </c>
      <c r="C15">
        <v>1</v>
      </c>
      <c r="D15">
        <f t="shared" si="0"/>
        <v>7</v>
      </c>
      <c r="E15" t="str">
        <f>+'Raw data'!A18</f>
        <v>The Bad Boys</v>
      </c>
      <c r="F15" t="str">
        <f>VLOOKUP(E15,Data!$E$2626:$F$2645,2,FALSE)</f>
        <v>Arvanitis</v>
      </c>
      <c r="H15">
        <f>+'Raw data'!A39</f>
        <v>2</v>
      </c>
      <c r="I15">
        <f>+'Raw data'!B39</f>
        <v>10</v>
      </c>
      <c r="J15">
        <f>+'Raw data'!C39</f>
        <v>1</v>
      </c>
      <c r="M15">
        <f>+'Raw data'!E39</f>
        <v>135</v>
      </c>
      <c r="N15">
        <f>+'Raw data'!F39</f>
        <v>0.47199999999999998</v>
      </c>
      <c r="O15">
        <f>+'Raw data'!G39</f>
        <v>43</v>
      </c>
      <c r="P15">
        <f>+'Raw data'!H39</f>
        <v>0.35799999999999998</v>
      </c>
      <c r="Q15">
        <f>+'Raw data'!I39</f>
        <v>0.63</v>
      </c>
      <c r="R15">
        <f>+'Raw data'!J39</f>
        <v>376</v>
      </c>
      <c r="S15">
        <f>+'Raw data'!K39</f>
        <v>25</v>
      </c>
      <c r="T15">
        <f>+'Raw data'!L39</f>
        <v>117</v>
      </c>
      <c r="U15">
        <f>+'Raw data'!M39</f>
        <v>78</v>
      </c>
      <c r="V15">
        <f>+'Raw data'!N39</f>
        <v>26</v>
      </c>
      <c r="W15">
        <f>+'Raw data'!O39</f>
        <v>17</v>
      </c>
      <c r="X15">
        <f>+'Raw data'!P39</f>
        <v>67</v>
      </c>
      <c r="Y15">
        <f>+'Raw data'!Q39</f>
        <v>1.1599999999999999</v>
      </c>
    </row>
    <row r="16" spans="1:25" x14ac:dyDescent="0.25">
      <c r="A16">
        <v>2025</v>
      </c>
      <c r="B16" t="s">
        <v>57</v>
      </c>
      <c r="C16">
        <v>1</v>
      </c>
      <c r="D16">
        <f t="shared" si="0"/>
        <v>8</v>
      </c>
      <c r="E16" t="str">
        <f>+'Raw data'!A19</f>
        <v>Pachiana NinjaBees</v>
      </c>
      <c r="F16" t="str">
        <f>VLOOKUP(E16,Data!$E$2626:$F$2645,2,FALSE)</f>
        <v>Spiridaus/Oladipas</v>
      </c>
      <c r="H16">
        <f>+'Raw data'!A40</f>
        <v>6</v>
      </c>
      <c r="I16">
        <f>+'Raw data'!B40</f>
        <v>7</v>
      </c>
      <c r="J16">
        <f>+'Raw data'!C40</f>
        <v>0</v>
      </c>
      <c r="M16">
        <f>+'Raw data'!E40</f>
        <v>157</v>
      </c>
      <c r="N16">
        <f>+'Raw data'!F40</f>
        <v>0.52300000000000002</v>
      </c>
      <c r="O16">
        <f>+'Raw data'!G40</f>
        <v>37</v>
      </c>
      <c r="P16">
        <f>+'Raw data'!H40</f>
        <v>0.41099999999999998</v>
      </c>
      <c r="Q16">
        <f>+'Raw data'!I40</f>
        <v>0.70299999999999996</v>
      </c>
      <c r="R16">
        <f>+'Raw data'!J40</f>
        <v>415</v>
      </c>
      <c r="S16">
        <f>+'Raw data'!K40</f>
        <v>37</v>
      </c>
      <c r="T16">
        <f>+'Raw data'!L40</f>
        <v>108</v>
      </c>
      <c r="U16">
        <f>+'Raw data'!M40</f>
        <v>84</v>
      </c>
      <c r="V16">
        <f>+'Raw data'!N40</f>
        <v>32</v>
      </c>
      <c r="W16">
        <f>+'Raw data'!O40</f>
        <v>34</v>
      </c>
      <c r="X16">
        <f>+'Raw data'!P40</f>
        <v>35</v>
      </c>
      <c r="Y16">
        <f>+'Raw data'!Q40</f>
        <v>2.4</v>
      </c>
    </row>
    <row r="17" spans="1:25" x14ac:dyDescent="0.25">
      <c r="A17">
        <v>2025</v>
      </c>
      <c r="B17" t="s">
        <v>57</v>
      </c>
      <c r="C17">
        <v>1</v>
      </c>
      <c r="D17">
        <f t="shared" si="0"/>
        <v>8</v>
      </c>
      <c r="E17" t="str">
        <f>+'Raw data'!A20</f>
        <v>Samarina Dudenbros</v>
      </c>
      <c r="F17" t="str">
        <f>VLOOKUP(E17,Data!$E$2626:$F$2645,2,FALSE)</f>
        <v>Sakellariou</v>
      </c>
      <c r="H17">
        <f>+'Raw data'!A41</f>
        <v>7</v>
      </c>
      <c r="I17">
        <f>+'Raw data'!B41</f>
        <v>6</v>
      </c>
      <c r="J17">
        <f>+'Raw data'!C41</f>
        <v>0</v>
      </c>
      <c r="M17">
        <f>+'Raw data'!E41</f>
        <v>166</v>
      </c>
      <c r="N17">
        <f>+'Raw data'!F41</f>
        <v>0.44700000000000001</v>
      </c>
      <c r="O17">
        <f>+'Raw data'!G41</f>
        <v>58</v>
      </c>
      <c r="P17">
        <f>+'Raw data'!H41</f>
        <v>0.34899999999999998</v>
      </c>
      <c r="Q17">
        <f>+'Raw data'!I41</f>
        <v>0.82099999999999995</v>
      </c>
      <c r="R17">
        <f>+'Raw data'!J41</f>
        <v>482</v>
      </c>
      <c r="S17">
        <f>+'Raw data'!K41</f>
        <v>25</v>
      </c>
      <c r="T17">
        <f>+'Raw data'!L41</f>
        <v>123</v>
      </c>
      <c r="U17">
        <f>+'Raw data'!M41</f>
        <v>131</v>
      </c>
      <c r="V17">
        <f>+'Raw data'!N41</f>
        <v>44</v>
      </c>
      <c r="W17">
        <f>+'Raw data'!O41</f>
        <v>8</v>
      </c>
      <c r="X17">
        <f>+'Raw data'!P41</f>
        <v>70</v>
      </c>
      <c r="Y17">
        <f>+'Raw data'!Q41</f>
        <v>1.87</v>
      </c>
    </row>
    <row r="18" spans="1:25" x14ac:dyDescent="0.25">
      <c r="A18">
        <v>2025</v>
      </c>
      <c r="B18" t="s">
        <v>57</v>
      </c>
      <c r="C18">
        <v>1</v>
      </c>
      <c r="D18">
        <f t="shared" si="0"/>
        <v>9</v>
      </c>
      <c r="E18" t="str">
        <f>+'Raw data'!A21</f>
        <v>st.Helens Eruptions</v>
      </c>
      <c r="F18" t="str">
        <f>VLOOKUP(E18,Data!$E$2626:$F$2645,2,FALSE)</f>
        <v>Aris</v>
      </c>
      <c r="H18">
        <f>+'Raw data'!A42</f>
        <v>6</v>
      </c>
      <c r="I18">
        <f>+'Raw data'!B42</f>
        <v>7</v>
      </c>
      <c r="J18">
        <f>+'Raw data'!C42</f>
        <v>0</v>
      </c>
      <c r="M18">
        <f>+'Raw data'!E42</f>
        <v>146</v>
      </c>
      <c r="N18">
        <f>+'Raw data'!F42</f>
        <v>0.49199999999999999</v>
      </c>
      <c r="O18">
        <f>+'Raw data'!G42</f>
        <v>33</v>
      </c>
      <c r="P18">
        <f>+'Raw data'!H42</f>
        <v>0.371</v>
      </c>
      <c r="Q18">
        <f>+'Raw data'!I42</f>
        <v>0.67100000000000004</v>
      </c>
      <c r="R18">
        <f>+'Raw data'!J42</f>
        <v>382</v>
      </c>
      <c r="S18">
        <f>+'Raw data'!K42</f>
        <v>40</v>
      </c>
      <c r="T18">
        <f>+'Raw data'!L42</f>
        <v>112</v>
      </c>
      <c r="U18">
        <f>+'Raw data'!M42</f>
        <v>60</v>
      </c>
      <c r="V18">
        <f>+'Raw data'!N42</f>
        <v>34</v>
      </c>
      <c r="W18">
        <f>+'Raw data'!O42</f>
        <v>14</v>
      </c>
      <c r="X18">
        <f>+'Raw data'!P42</f>
        <v>57</v>
      </c>
      <c r="Y18">
        <f>+'Raw data'!Q42</f>
        <v>1.05</v>
      </c>
    </row>
    <row r="19" spans="1:25" x14ac:dyDescent="0.25">
      <c r="A19">
        <v>2025</v>
      </c>
      <c r="B19" t="s">
        <v>57</v>
      </c>
      <c r="C19">
        <v>1</v>
      </c>
      <c r="D19">
        <f t="shared" si="0"/>
        <v>9</v>
      </c>
      <c r="E19" t="str">
        <f>+'Raw data'!A22</f>
        <v>Salonika Devils</v>
      </c>
      <c r="F19" t="str">
        <f>VLOOKUP(E19,Data!$E$2626:$F$2645,2,FALSE)</f>
        <v>Fountos</v>
      </c>
      <c r="H19">
        <f>+'Raw data'!A43</f>
        <v>7</v>
      </c>
      <c r="I19">
        <f>+'Raw data'!B43</f>
        <v>6</v>
      </c>
      <c r="J19">
        <f>+'Raw data'!C43</f>
        <v>0</v>
      </c>
      <c r="M19">
        <f>+'Raw data'!E43</f>
        <v>108</v>
      </c>
      <c r="N19">
        <f>+'Raw data'!F43</f>
        <v>0.51200000000000001</v>
      </c>
      <c r="O19">
        <f>+'Raw data'!G43</f>
        <v>22</v>
      </c>
      <c r="P19">
        <f>+'Raw data'!H43</f>
        <v>0.314</v>
      </c>
      <c r="Q19">
        <f>+'Raw data'!I43</f>
        <v>0.86899999999999999</v>
      </c>
      <c r="R19">
        <f>+'Raw data'!J43</f>
        <v>291</v>
      </c>
      <c r="S19">
        <f>+'Raw data'!K43</f>
        <v>44</v>
      </c>
      <c r="T19">
        <f>+'Raw data'!L43</f>
        <v>70</v>
      </c>
      <c r="U19">
        <f>+'Raw data'!M43</f>
        <v>63</v>
      </c>
      <c r="V19">
        <f>+'Raw data'!N43</f>
        <v>18</v>
      </c>
      <c r="W19">
        <f>+'Raw data'!O43</f>
        <v>15</v>
      </c>
      <c r="X19">
        <f>+'Raw data'!P43</f>
        <v>38</v>
      </c>
      <c r="Y19">
        <f>+'Raw data'!Q43</f>
        <v>1.66</v>
      </c>
    </row>
    <row r="20" spans="1:25" x14ac:dyDescent="0.25">
      <c r="A20">
        <v>2025</v>
      </c>
      <c r="B20" t="s">
        <v>57</v>
      </c>
      <c r="C20">
        <v>1</v>
      </c>
      <c r="D20">
        <f t="shared" si="0"/>
        <v>10</v>
      </c>
      <c r="E20" t="str">
        <f>+'Raw data'!A23</f>
        <v>Paralouistas</v>
      </c>
      <c r="F20" t="str">
        <f>VLOOKUP(E20,Data!$E$2626:$F$2645,2,FALSE)</f>
        <v>Panos</v>
      </c>
      <c r="H20">
        <f>+'Raw data'!A44</f>
        <v>9</v>
      </c>
      <c r="I20">
        <f>+'Raw data'!B44</f>
        <v>4</v>
      </c>
      <c r="J20">
        <f>+'Raw data'!C44</f>
        <v>0</v>
      </c>
      <c r="M20">
        <f>+'Raw data'!E44</f>
        <v>149</v>
      </c>
      <c r="N20">
        <f>+'Raw data'!F44</f>
        <v>0.442</v>
      </c>
      <c r="O20">
        <f>+'Raw data'!G44</f>
        <v>53</v>
      </c>
      <c r="P20">
        <f>+'Raw data'!H44</f>
        <v>0.373</v>
      </c>
      <c r="Q20">
        <f>+'Raw data'!I44</f>
        <v>0.79500000000000004</v>
      </c>
      <c r="R20">
        <f>+'Raw data'!J44</f>
        <v>413</v>
      </c>
      <c r="S20">
        <f>+'Raw data'!K44</f>
        <v>36</v>
      </c>
      <c r="T20">
        <f>+'Raw data'!L44</f>
        <v>100</v>
      </c>
      <c r="U20">
        <f>+'Raw data'!M44</f>
        <v>86</v>
      </c>
      <c r="V20">
        <f>+'Raw data'!N44</f>
        <v>29</v>
      </c>
      <c r="W20">
        <f>+'Raw data'!O44</f>
        <v>8</v>
      </c>
      <c r="X20">
        <f>+'Raw data'!P44</f>
        <v>58</v>
      </c>
      <c r="Y20">
        <f>+'Raw data'!Q44</f>
        <v>1.48</v>
      </c>
    </row>
    <row r="21" spans="1:25" x14ac:dyDescent="0.25">
      <c r="A21">
        <v>2025</v>
      </c>
      <c r="B21" t="s">
        <v>57</v>
      </c>
      <c r="C21">
        <v>1</v>
      </c>
      <c r="D21">
        <f t="shared" si="0"/>
        <v>10</v>
      </c>
      <c r="E21" t="str">
        <f>+'Raw data'!A24</f>
        <v>Steven Adams' Moustache</v>
      </c>
      <c r="F21" t="str">
        <f>VLOOKUP(E21,Data!$E$2626:$F$2645,2,FALSE)</f>
        <v>Johnny</v>
      </c>
      <c r="H21">
        <f>+'Raw data'!A45</f>
        <v>4</v>
      </c>
      <c r="I21">
        <f>+'Raw data'!B45</f>
        <v>9</v>
      </c>
      <c r="J21">
        <f>+'Raw data'!C45</f>
        <v>0</v>
      </c>
      <c r="M21">
        <f>+'Raw data'!E45</f>
        <v>94</v>
      </c>
      <c r="N21">
        <f>+'Raw data'!F45</f>
        <v>0.46300000000000002</v>
      </c>
      <c r="O21">
        <f>+'Raw data'!G45</f>
        <v>29</v>
      </c>
      <c r="P21">
        <f>+'Raw data'!H45</f>
        <v>0.33300000000000002</v>
      </c>
      <c r="Q21">
        <f>+'Raw data'!I45</f>
        <v>0.75</v>
      </c>
      <c r="R21">
        <f>+'Raw data'!J45</f>
        <v>259</v>
      </c>
      <c r="S21">
        <f>+'Raw data'!K45</f>
        <v>30</v>
      </c>
      <c r="T21">
        <f>+'Raw data'!L45</f>
        <v>67</v>
      </c>
      <c r="U21">
        <f>+'Raw data'!M45</f>
        <v>52</v>
      </c>
      <c r="V21">
        <f>+'Raw data'!N45</f>
        <v>12</v>
      </c>
      <c r="W21">
        <f>+'Raw data'!O45</f>
        <v>10</v>
      </c>
      <c r="X21">
        <f>+'Raw data'!P45</f>
        <v>34</v>
      </c>
      <c r="Y21">
        <f>+'Raw data'!Q45</f>
        <v>1.53</v>
      </c>
    </row>
    <row r="22" spans="1:25" x14ac:dyDescent="0.25">
      <c r="A22">
        <v>2025</v>
      </c>
      <c r="B22" t="s">
        <v>57</v>
      </c>
      <c r="C22">
        <f>+C21+1</f>
        <v>2</v>
      </c>
      <c r="D22">
        <f t="shared" si="0"/>
        <v>11</v>
      </c>
      <c r="E22" t="str">
        <f>+'Raw data'!A49</f>
        <v>LRBP PR3DATORS</v>
      </c>
      <c r="F22" t="str">
        <f>VLOOKUP(E22,Data!$E$2626:$F$2645,2,FALSE)</f>
        <v>Lafa</v>
      </c>
      <c r="H22">
        <f>+'Raw data'!A70</f>
        <v>7</v>
      </c>
      <c r="I22">
        <f>+'Raw data'!B70</f>
        <v>6</v>
      </c>
      <c r="J22">
        <f>+'Raw data'!C70</f>
        <v>0</v>
      </c>
      <c r="M22">
        <f>+'Raw data'!E70</f>
        <v>161</v>
      </c>
      <c r="N22">
        <f>+'Raw data'!F70</f>
        <v>0.503</v>
      </c>
      <c r="O22">
        <f>+'Raw data'!G70</f>
        <v>45</v>
      </c>
      <c r="P22">
        <f>+'Raw data'!H70</f>
        <v>0.42899999999999999</v>
      </c>
      <c r="Q22">
        <f>+'Raw data'!I70</f>
        <v>0.72899999999999998</v>
      </c>
      <c r="R22">
        <f>+'Raw data'!J70</f>
        <v>464</v>
      </c>
      <c r="S22">
        <f>+'Raw data'!K70</f>
        <v>47</v>
      </c>
      <c r="T22">
        <f>+'Raw data'!L70</f>
        <v>136</v>
      </c>
      <c r="U22">
        <f>+'Raw data'!M70</f>
        <v>93</v>
      </c>
      <c r="V22">
        <f>+'Raw data'!N70</f>
        <v>29</v>
      </c>
      <c r="W22">
        <f>+'Raw data'!O70</f>
        <v>27</v>
      </c>
      <c r="X22">
        <f>+'Raw data'!P70</f>
        <v>54</v>
      </c>
      <c r="Y22">
        <f>+'Raw data'!Q70</f>
        <v>1.72</v>
      </c>
    </row>
    <row r="23" spans="1:25" x14ac:dyDescent="0.25">
      <c r="A23">
        <v>2025</v>
      </c>
      <c r="B23" t="s">
        <v>57</v>
      </c>
      <c r="C23">
        <f>+C22</f>
        <v>2</v>
      </c>
      <c r="D23">
        <f t="shared" si="0"/>
        <v>11</v>
      </c>
      <c r="E23" t="str">
        <f>+'Raw data'!A50</f>
        <v>Xanthi Ducks 🦆</v>
      </c>
      <c r="F23" t="str">
        <f>VLOOKUP(E23,Data!$E$2626:$F$2645,2,FALSE)</f>
        <v>Kotakis</v>
      </c>
      <c r="H23">
        <f>+'Raw data'!A71</f>
        <v>6</v>
      </c>
      <c r="I23">
        <f>+'Raw data'!B71</f>
        <v>7</v>
      </c>
      <c r="J23">
        <f>+'Raw data'!C71</f>
        <v>0</v>
      </c>
      <c r="M23">
        <f>+'Raw data'!E71</f>
        <v>149</v>
      </c>
      <c r="N23">
        <f>+'Raw data'!F71</f>
        <v>0.52700000000000002</v>
      </c>
      <c r="O23">
        <f>+'Raw data'!G71</f>
        <v>43</v>
      </c>
      <c r="P23">
        <f>+'Raw data'!H71</f>
        <v>0.40600000000000003</v>
      </c>
      <c r="Q23">
        <f>+'Raw data'!I71</f>
        <v>0.81200000000000006</v>
      </c>
      <c r="R23">
        <f>+'Raw data'!J71</f>
        <v>397</v>
      </c>
      <c r="S23">
        <f>+'Raw data'!K71</f>
        <v>55</v>
      </c>
      <c r="T23">
        <f>+'Raw data'!L71</f>
        <v>146</v>
      </c>
      <c r="U23">
        <f>+'Raw data'!M71</f>
        <v>115</v>
      </c>
      <c r="V23">
        <f>+'Raw data'!N71</f>
        <v>19</v>
      </c>
      <c r="W23">
        <f>+'Raw data'!O71</f>
        <v>17</v>
      </c>
      <c r="X23">
        <f>+'Raw data'!P71</f>
        <v>56</v>
      </c>
      <c r="Y23">
        <f>+'Raw data'!Q71</f>
        <v>2.0499999999999998</v>
      </c>
    </row>
    <row r="24" spans="1:25" x14ac:dyDescent="0.25">
      <c r="A24">
        <v>2025</v>
      </c>
      <c r="B24" t="s">
        <v>57</v>
      </c>
      <c r="C24">
        <f t="shared" ref="C24:C41" si="1">+C23</f>
        <v>2</v>
      </c>
      <c r="D24">
        <f t="shared" si="0"/>
        <v>12</v>
      </c>
      <c r="E24" t="str">
        <f>+'Raw data'!A51</f>
        <v>Kourayo Vallecano</v>
      </c>
      <c r="F24" t="str">
        <f>VLOOKUP(E24,Data!$E$2626:$F$2645,2,FALSE)</f>
        <v>Ziogas/Christof</v>
      </c>
      <c r="H24">
        <f>+'Raw data'!A72</f>
        <v>3</v>
      </c>
      <c r="I24">
        <f>+'Raw data'!B72</f>
        <v>10</v>
      </c>
      <c r="J24">
        <f>+'Raw data'!C72</f>
        <v>0</v>
      </c>
      <c r="M24">
        <f>+'Raw data'!E72</f>
        <v>181</v>
      </c>
      <c r="N24">
        <f>+'Raw data'!F72</f>
        <v>0.46899999999999997</v>
      </c>
      <c r="O24">
        <f>+'Raw data'!G72</f>
        <v>53</v>
      </c>
      <c r="P24">
        <f>+'Raw data'!H72</f>
        <v>0.34599999999999997</v>
      </c>
      <c r="Q24">
        <f>+'Raw data'!I72</f>
        <v>0.82799999999999996</v>
      </c>
      <c r="R24">
        <f>+'Raw data'!J72</f>
        <v>521</v>
      </c>
      <c r="S24">
        <f>+'Raw data'!K72</f>
        <v>49</v>
      </c>
      <c r="T24">
        <f>+'Raw data'!L72</f>
        <v>110</v>
      </c>
      <c r="U24">
        <f>+'Raw data'!M72</f>
        <v>80</v>
      </c>
      <c r="V24">
        <f>+'Raw data'!N72</f>
        <v>22</v>
      </c>
      <c r="W24">
        <f>+'Raw data'!O72</f>
        <v>14</v>
      </c>
      <c r="X24">
        <f>+'Raw data'!P72</f>
        <v>39</v>
      </c>
      <c r="Y24">
        <f>+'Raw data'!Q72</f>
        <v>2.0499999999999998</v>
      </c>
    </row>
    <row r="25" spans="1:25" x14ac:dyDescent="0.25">
      <c r="A25">
        <v>2025</v>
      </c>
      <c r="B25" t="s">
        <v>57</v>
      </c>
      <c r="C25">
        <f t="shared" si="1"/>
        <v>2</v>
      </c>
      <c r="D25">
        <f t="shared" si="0"/>
        <v>12</v>
      </c>
      <c r="E25" t="str">
        <f>+'Raw data'!A52</f>
        <v>The Guns</v>
      </c>
      <c r="F25" t="str">
        <f>VLOOKUP(E25,Data!$E$2626:$F$2645,2,FALSE)</f>
        <v>Vasilis</v>
      </c>
      <c r="H25">
        <f>+'Raw data'!A73</f>
        <v>10</v>
      </c>
      <c r="I25">
        <f>+'Raw data'!B73</f>
        <v>3</v>
      </c>
      <c r="J25">
        <f>+'Raw data'!C73</f>
        <v>0</v>
      </c>
      <c r="M25">
        <f>+'Raw data'!E73</f>
        <v>212</v>
      </c>
      <c r="N25">
        <f>+'Raw data'!F73</f>
        <v>0.47</v>
      </c>
      <c r="O25">
        <f>+'Raw data'!G73</f>
        <v>75</v>
      </c>
      <c r="P25">
        <f>+'Raw data'!H73</f>
        <v>0.35899999999999999</v>
      </c>
      <c r="Q25">
        <f>+'Raw data'!I73</f>
        <v>0.89500000000000002</v>
      </c>
      <c r="R25">
        <f>+'Raw data'!J73</f>
        <v>601</v>
      </c>
      <c r="S25">
        <f>+'Raw data'!K73</f>
        <v>36</v>
      </c>
      <c r="T25">
        <f>+'Raw data'!L73</f>
        <v>151</v>
      </c>
      <c r="U25">
        <f>+'Raw data'!M73</f>
        <v>133</v>
      </c>
      <c r="V25">
        <f>+'Raw data'!N73</f>
        <v>40</v>
      </c>
      <c r="W25">
        <f>+'Raw data'!O73</f>
        <v>13</v>
      </c>
      <c r="X25">
        <f>+'Raw data'!P73</f>
        <v>60</v>
      </c>
      <c r="Y25">
        <f>+'Raw data'!Q73</f>
        <v>2.2200000000000002</v>
      </c>
    </row>
    <row r="26" spans="1:25" x14ac:dyDescent="0.25">
      <c r="A26">
        <v>2025</v>
      </c>
      <c r="B26" t="s">
        <v>57</v>
      </c>
      <c r="C26">
        <f t="shared" si="1"/>
        <v>2</v>
      </c>
      <c r="D26">
        <f t="shared" si="0"/>
        <v>13</v>
      </c>
      <c r="E26" t="str">
        <f>+'Raw data'!A53</f>
        <v>The Bridgeburners</v>
      </c>
      <c r="F26" t="str">
        <f>VLOOKUP(E26,Data!$E$2626:$F$2645,2,FALSE)</f>
        <v>Fanis</v>
      </c>
      <c r="H26">
        <f>+'Raw data'!A74</f>
        <v>8</v>
      </c>
      <c r="I26">
        <f>+'Raw data'!B74</f>
        <v>5</v>
      </c>
      <c r="J26">
        <f>+'Raw data'!C74</f>
        <v>0</v>
      </c>
      <c r="M26">
        <f>+'Raw data'!E74</f>
        <v>170</v>
      </c>
      <c r="N26">
        <f>+'Raw data'!F74</f>
        <v>0.44900000000000001</v>
      </c>
      <c r="O26">
        <f>+'Raw data'!G74</f>
        <v>54</v>
      </c>
      <c r="P26">
        <f>+'Raw data'!H74</f>
        <v>0.33800000000000002</v>
      </c>
      <c r="Q26">
        <f>+'Raw data'!I74</f>
        <v>0.72399999999999998</v>
      </c>
      <c r="R26">
        <f>+'Raw data'!J74</f>
        <v>486</v>
      </c>
      <c r="S26">
        <f>+'Raw data'!K74</f>
        <v>50</v>
      </c>
      <c r="T26">
        <f>+'Raw data'!L74</f>
        <v>140</v>
      </c>
      <c r="U26">
        <f>+'Raw data'!M74</f>
        <v>83</v>
      </c>
      <c r="V26">
        <f>+'Raw data'!N74</f>
        <v>28</v>
      </c>
      <c r="W26">
        <f>+'Raw data'!O74</f>
        <v>18</v>
      </c>
      <c r="X26">
        <f>+'Raw data'!P74</f>
        <v>45</v>
      </c>
      <c r="Y26">
        <f>+'Raw data'!Q74</f>
        <v>1.84</v>
      </c>
    </row>
    <row r="27" spans="1:25" x14ac:dyDescent="0.25">
      <c r="A27">
        <v>2025</v>
      </c>
      <c r="B27" t="s">
        <v>57</v>
      </c>
      <c r="C27">
        <f t="shared" si="1"/>
        <v>2</v>
      </c>
      <c r="D27">
        <f t="shared" si="0"/>
        <v>13</v>
      </c>
      <c r="E27" t="str">
        <f>+'Raw data'!A54</f>
        <v>Tsarlatans</v>
      </c>
      <c r="F27" t="str">
        <f>VLOOKUP(E27,Data!$E$2626:$F$2645,2,FALSE)</f>
        <v>Tzokos</v>
      </c>
      <c r="H27">
        <f>+'Raw data'!A75</f>
        <v>5</v>
      </c>
      <c r="I27">
        <f>+'Raw data'!B75</f>
        <v>8</v>
      </c>
      <c r="J27">
        <f>+'Raw data'!C75</f>
        <v>0</v>
      </c>
      <c r="M27">
        <f>+'Raw data'!E75</f>
        <v>144</v>
      </c>
      <c r="N27">
        <f>+'Raw data'!F75</f>
        <v>0.45100000000000001</v>
      </c>
      <c r="O27">
        <f>+'Raw data'!G75</f>
        <v>22</v>
      </c>
      <c r="P27">
        <f>+'Raw data'!H75</f>
        <v>0.22</v>
      </c>
      <c r="Q27">
        <f>+'Raw data'!I75</f>
        <v>0.77600000000000002</v>
      </c>
      <c r="R27">
        <f>+'Raw data'!J75</f>
        <v>369</v>
      </c>
      <c r="S27">
        <f>+'Raw data'!K75</f>
        <v>36</v>
      </c>
      <c r="T27">
        <f>+'Raw data'!L75</f>
        <v>125</v>
      </c>
      <c r="U27">
        <f>+'Raw data'!M75</f>
        <v>102</v>
      </c>
      <c r="V27">
        <f>+'Raw data'!N75</f>
        <v>26</v>
      </c>
      <c r="W27">
        <f>+'Raw data'!O75</f>
        <v>23</v>
      </c>
      <c r="X27">
        <f>+'Raw data'!P75</f>
        <v>47</v>
      </c>
      <c r="Y27">
        <f>+'Raw data'!Q75</f>
        <v>2.17</v>
      </c>
    </row>
    <row r="28" spans="1:25" x14ac:dyDescent="0.25">
      <c r="A28">
        <v>2025</v>
      </c>
      <c r="B28" t="s">
        <v>57</v>
      </c>
      <c r="C28">
        <f t="shared" si="1"/>
        <v>2</v>
      </c>
      <c r="D28">
        <f t="shared" si="0"/>
        <v>14</v>
      </c>
      <c r="E28" t="str">
        <f>+'Raw data'!A55</f>
        <v>Heraklion Snakes</v>
      </c>
      <c r="F28" t="str">
        <f>VLOOKUP(E28,Data!$E$2626:$F$2645,2,FALSE)</f>
        <v>Dimitris</v>
      </c>
      <c r="H28">
        <f>+'Raw data'!A76</f>
        <v>5</v>
      </c>
      <c r="I28">
        <f>+'Raw data'!B76</f>
        <v>8</v>
      </c>
      <c r="J28">
        <f>+'Raw data'!C76</f>
        <v>0</v>
      </c>
      <c r="M28">
        <f>+'Raw data'!E76</f>
        <v>71</v>
      </c>
      <c r="N28">
        <f>+'Raw data'!F76</f>
        <v>0.52200000000000002</v>
      </c>
      <c r="O28">
        <f>+'Raw data'!G76</f>
        <v>21</v>
      </c>
      <c r="P28">
        <f>+'Raw data'!H76</f>
        <v>0.38200000000000001</v>
      </c>
      <c r="Q28">
        <f>+'Raw data'!I76</f>
        <v>0.88600000000000001</v>
      </c>
      <c r="R28">
        <f>+'Raw data'!J76</f>
        <v>194</v>
      </c>
      <c r="S28">
        <f>+'Raw data'!K76</f>
        <v>18</v>
      </c>
      <c r="T28">
        <f>+'Raw data'!L76</f>
        <v>40</v>
      </c>
      <c r="U28">
        <f>+'Raw data'!M76</f>
        <v>37</v>
      </c>
      <c r="V28">
        <f>+'Raw data'!N76</f>
        <v>12</v>
      </c>
      <c r="W28">
        <f>+'Raw data'!O76</f>
        <v>6</v>
      </c>
      <c r="X28">
        <f>+'Raw data'!P76</f>
        <v>16</v>
      </c>
      <c r="Y28">
        <f>+'Raw data'!Q76</f>
        <v>2.31</v>
      </c>
    </row>
    <row r="29" spans="1:25" x14ac:dyDescent="0.25">
      <c r="A29">
        <v>2025</v>
      </c>
      <c r="B29" t="s">
        <v>57</v>
      </c>
      <c r="C29">
        <f t="shared" si="1"/>
        <v>2</v>
      </c>
      <c r="D29">
        <f t="shared" si="0"/>
        <v>14</v>
      </c>
      <c r="E29" t="str">
        <f>+'Raw data'!A56</f>
        <v>Hércules Pals</v>
      </c>
      <c r="F29" t="e">
        <f>VLOOKUP(E29,Data!$E$2626:$F$2645,2,FALSE)</f>
        <v>#N/A</v>
      </c>
      <c r="H29">
        <f>+'Raw data'!A77</f>
        <v>8</v>
      </c>
      <c r="I29">
        <f>+'Raw data'!B77</f>
        <v>5</v>
      </c>
      <c r="J29">
        <f>+'Raw data'!C77</f>
        <v>0</v>
      </c>
      <c r="M29">
        <f>+'Raw data'!E77</f>
        <v>102</v>
      </c>
      <c r="N29">
        <f>+'Raw data'!F77</f>
        <v>0.40600000000000003</v>
      </c>
      <c r="O29">
        <f>+'Raw data'!G77</f>
        <v>38</v>
      </c>
      <c r="P29">
        <f>+'Raw data'!H77</f>
        <v>0.32500000000000001</v>
      </c>
      <c r="Q29">
        <f>+'Raw data'!I77</f>
        <v>0.75</v>
      </c>
      <c r="R29">
        <f>+'Raw data'!J77</f>
        <v>290</v>
      </c>
      <c r="S29">
        <f>+'Raw data'!K77</f>
        <v>41</v>
      </c>
      <c r="T29">
        <f>+'Raw data'!L77</f>
        <v>86</v>
      </c>
      <c r="U29">
        <f>+'Raw data'!M77</f>
        <v>74</v>
      </c>
      <c r="V29">
        <f>+'Raw data'!N77</f>
        <v>26</v>
      </c>
      <c r="W29">
        <f>+'Raw data'!O77</f>
        <v>15</v>
      </c>
      <c r="X29">
        <f>+'Raw data'!P77</f>
        <v>40</v>
      </c>
      <c r="Y29">
        <f>+'Raw data'!Q77</f>
        <v>1.85</v>
      </c>
    </row>
    <row r="30" spans="1:25" x14ac:dyDescent="0.25">
      <c r="A30">
        <v>2025</v>
      </c>
      <c r="B30" t="s">
        <v>57</v>
      </c>
      <c r="C30">
        <f t="shared" si="1"/>
        <v>2</v>
      </c>
      <c r="D30">
        <f t="shared" si="0"/>
        <v>15</v>
      </c>
      <c r="E30" t="str">
        <f>+'Raw data'!A57</f>
        <v>Guruuu 🐐🐐🐐</v>
      </c>
      <c r="F30" t="str">
        <f>VLOOKUP(E30,Data!$E$2626:$F$2645,2,FALSE)</f>
        <v>Guru</v>
      </c>
      <c r="H30">
        <f>+'Raw data'!A78</f>
        <v>6</v>
      </c>
      <c r="I30">
        <f>+'Raw data'!B78</f>
        <v>7</v>
      </c>
      <c r="J30">
        <f>+'Raw data'!C78</f>
        <v>0</v>
      </c>
      <c r="M30">
        <f>+'Raw data'!E78</f>
        <v>135</v>
      </c>
      <c r="N30">
        <f>+'Raw data'!F78</f>
        <v>0.44700000000000001</v>
      </c>
      <c r="O30">
        <f>+'Raw data'!G78</f>
        <v>55</v>
      </c>
      <c r="P30">
        <f>+'Raw data'!H78</f>
        <v>0.39</v>
      </c>
      <c r="Q30">
        <f>+'Raw data'!I78</f>
        <v>0.85699999999999998</v>
      </c>
      <c r="R30">
        <f>+'Raw data'!J78</f>
        <v>415</v>
      </c>
      <c r="S30">
        <f>+'Raw data'!K78</f>
        <v>27</v>
      </c>
      <c r="T30">
        <f>+'Raw data'!L78</f>
        <v>89</v>
      </c>
      <c r="U30">
        <f>+'Raw data'!M78</f>
        <v>101</v>
      </c>
      <c r="V30">
        <f>+'Raw data'!N78</f>
        <v>29</v>
      </c>
      <c r="W30">
        <f>+'Raw data'!O78</f>
        <v>13</v>
      </c>
      <c r="X30">
        <f>+'Raw data'!P78</f>
        <v>50</v>
      </c>
      <c r="Y30">
        <f>+'Raw data'!Q78</f>
        <v>2.02</v>
      </c>
    </row>
    <row r="31" spans="1:25" x14ac:dyDescent="0.25">
      <c r="A31">
        <v>2025</v>
      </c>
      <c r="B31" t="s">
        <v>57</v>
      </c>
      <c r="C31">
        <f t="shared" si="1"/>
        <v>2</v>
      </c>
      <c r="D31">
        <f t="shared" si="0"/>
        <v>15</v>
      </c>
      <c r="E31" t="str">
        <f>+'Raw data'!A58</f>
        <v>Fighting Thaddeus</v>
      </c>
      <c r="F31" t="str">
        <f>VLOOKUP(E31,Data!$E$2626:$F$2645,2,FALSE)</f>
        <v>Stavros</v>
      </c>
      <c r="H31">
        <f>+'Raw data'!A79</f>
        <v>7</v>
      </c>
      <c r="I31">
        <f>+'Raw data'!B79</f>
        <v>6</v>
      </c>
      <c r="J31">
        <f>+'Raw data'!C79</f>
        <v>0</v>
      </c>
      <c r="M31">
        <f>+'Raw data'!E79</f>
        <v>160</v>
      </c>
      <c r="N31">
        <f>+'Raw data'!F79</f>
        <v>0.42799999999999999</v>
      </c>
      <c r="O31">
        <f>+'Raw data'!G79</f>
        <v>70</v>
      </c>
      <c r="P31">
        <f>+'Raw data'!H79</f>
        <v>0.36499999999999999</v>
      </c>
      <c r="Q31">
        <f>+'Raw data'!I79</f>
        <v>0.84599999999999997</v>
      </c>
      <c r="R31">
        <f>+'Raw data'!J79</f>
        <v>467</v>
      </c>
      <c r="S31">
        <f>+'Raw data'!K79</f>
        <v>31</v>
      </c>
      <c r="T31">
        <f>+'Raw data'!L79</f>
        <v>124</v>
      </c>
      <c r="U31">
        <f>+'Raw data'!M79</f>
        <v>113</v>
      </c>
      <c r="V31">
        <f>+'Raw data'!N79</f>
        <v>25</v>
      </c>
      <c r="W31">
        <f>+'Raw data'!O79</f>
        <v>14</v>
      </c>
      <c r="X31">
        <f>+'Raw data'!P79</f>
        <v>56</v>
      </c>
      <c r="Y31">
        <f>+'Raw data'!Q79</f>
        <v>2.02</v>
      </c>
    </row>
    <row r="32" spans="1:25" x14ac:dyDescent="0.25">
      <c r="A32">
        <v>2025</v>
      </c>
      <c r="B32" t="s">
        <v>57</v>
      </c>
      <c r="C32">
        <f t="shared" si="1"/>
        <v>2</v>
      </c>
      <c r="D32">
        <f t="shared" si="0"/>
        <v>16</v>
      </c>
      <c r="E32" t="str">
        <f>+'Raw data'!A59</f>
        <v>Knights of Ni</v>
      </c>
      <c r="F32" t="str">
        <f>VLOOKUP(E32,Data!$E$2626:$F$2645,2,FALSE)</f>
        <v>Tolios</v>
      </c>
      <c r="H32">
        <f>+'Raw data'!A80</f>
        <v>3</v>
      </c>
      <c r="I32">
        <f>+'Raw data'!B80</f>
        <v>10</v>
      </c>
      <c r="J32">
        <f>+'Raw data'!C80</f>
        <v>0</v>
      </c>
      <c r="M32">
        <f>+'Raw data'!E80</f>
        <v>173</v>
      </c>
      <c r="N32">
        <f>+'Raw data'!F80</f>
        <v>0.45100000000000001</v>
      </c>
      <c r="O32">
        <f>+'Raw data'!G80</f>
        <v>56</v>
      </c>
      <c r="P32">
        <f>+'Raw data'!H80</f>
        <v>0.38400000000000001</v>
      </c>
      <c r="Q32">
        <f>+'Raw data'!I80</f>
        <v>0.83</v>
      </c>
      <c r="R32">
        <f>+'Raw data'!J80</f>
        <v>490</v>
      </c>
      <c r="S32">
        <f>+'Raw data'!K80</f>
        <v>44</v>
      </c>
      <c r="T32">
        <f>+'Raw data'!L80</f>
        <v>107</v>
      </c>
      <c r="U32">
        <f>+'Raw data'!M80</f>
        <v>122</v>
      </c>
      <c r="V32">
        <f>+'Raw data'!N80</f>
        <v>28</v>
      </c>
      <c r="W32">
        <f>+'Raw data'!O80</f>
        <v>14</v>
      </c>
      <c r="X32">
        <f>+'Raw data'!P80</f>
        <v>73</v>
      </c>
      <c r="Y32">
        <f>+'Raw data'!Q80</f>
        <v>1.67</v>
      </c>
    </row>
    <row r="33" spans="1:25" x14ac:dyDescent="0.25">
      <c r="A33">
        <v>2025</v>
      </c>
      <c r="B33" t="s">
        <v>57</v>
      </c>
      <c r="C33">
        <f t="shared" si="1"/>
        <v>2</v>
      </c>
      <c r="D33">
        <f t="shared" si="0"/>
        <v>16</v>
      </c>
      <c r="E33" t="str">
        <f>+'Raw data'!A60</f>
        <v>Karafli Saita</v>
      </c>
      <c r="F33" t="str">
        <f>VLOOKUP(E33,Data!$E$2626:$F$2645,2,FALSE)</f>
        <v>Tassos</v>
      </c>
      <c r="H33">
        <f>+'Raw data'!A81</f>
        <v>10</v>
      </c>
      <c r="I33">
        <f>+'Raw data'!B81</f>
        <v>3</v>
      </c>
      <c r="J33">
        <f>+'Raw data'!C81</f>
        <v>0</v>
      </c>
      <c r="M33">
        <f>+'Raw data'!E81</f>
        <v>200</v>
      </c>
      <c r="N33">
        <f>+'Raw data'!F81</f>
        <v>0.47599999999999998</v>
      </c>
      <c r="O33">
        <f>+'Raw data'!G81</f>
        <v>60</v>
      </c>
      <c r="P33">
        <f>+'Raw data'!H81</f>
        <v>0.35299999999999998</v>
      </c>
      <c r="Q33">
        <f>+'Raw data'!I81</f>
        <v>0.82099999999999995</v>
      </c>
      <c r="R33">
        <f>+'Raw data'!J81</f>
        <v>570</v>
      </c>
      <c r="S33">
        <f>+'Raw data'!K81</f>
        <v>27</v>
      </c>
      <c r="T33">
        <f>+'Raw data'!L81</f>
        <v>121</v>
      </c>
      <c r="U33">
        <f>+'Raw data'!M81</f>
        <v>151</v>
      </c>
      <c r="V33">
        <f>+'Raw data'!N81</f>
        <v>35</v>
      </c>
      <c r="W33">
        <f>+'Raw data'!O81</f>
        <v>24</v>
      </c>
      <c r="X33">
        <f>+'Raw data'!P81</f>
        <v>66</v>
      </c>
      <c r="Y33">
        <f>+'Raw data'!Q81</f>
        <v>2.29</v>
      </c>
    </row>
    <row r="34" spans="1:25" x14ac:dyDescent="0.25">
      <c r="A34">
        <v>2025</v>
      </c>
      <c r="B34" t="s">
        <v>57</v>
      </c>
      <c r="C34">
        <f t="shared" si="1"/>
        <v>2</v>
      </c>
      <c r="D34">
        <f t="shared" si="0"/>
        <v>17</v>
      </c>
      <c r="E34" t="str">
        <f>+'Raw data'!A61</f>
        <v>purple fuzzy apache pirates</v>
      </c>
      <c r="F34" t="str">
        <f>VLOOKUP(E34,Data!$E$2626:$F$2645,2,FALSE)</f>
        <v>pi/Sotiris</v>
      </c>
      <c r="H34">
        <f>+'Raw data'!A82</f>
        <v>7</v>
      </c>
      <c r="I34">
        <f>+'Raw data'!B82</f>
        <v>6</v>
      </c>
      <c r="J34">
        <f>+'Raw data'!C82</f>
        <v>0</v>
      </c>
      <c r="M34">
        <f>+'Raw data'!E82</f>
        <v>226</v>
      </c>
      <c r="N34">
        <f>+'Raw data'!F82</f>
        <v>0.50600000000000001</v>
      </c>
      <c r="O34">
        <f>+'Raw data'!G82</f>
        <v>50</v>
      </c>
      <c r="P34">
        <f>+'Raw data'!H82</f>
        <v>0.318</v>
      </c>
      <c r="Q34">
        <f>+'Raw data'!I82</f>
        <v>0.82599999999999996</v>
      </c>
      <c r="R34">
        <f>+'Raw data'!J82</f>
        <v>635</v>
      </c>
      <c r="S34">
        <f>+'Raw data'!K82</f>
        <v>42</v>
      </c>
      <c r="T34">
        <f>+'Raw data'!L82</f>
        <v>199</v>
      </c>
      <c r="U34">
        <f>+'Raw data'!M82</f>
        <v>179</v>
      </c>
      <c r="V34">
        <f>+'Raw data'!N82</f>
        <v>31</v>
      </c>
      <c r="W34">
        <f>+'Raw data'!O82</f>
        <v>11</v>
      </c>
      <c r="X34">
        <f>+'Raw data'!P82</f>
        <v>102</v>
      </c>
      <c r="Y34">
        <f>+'Raw data'!Q82</f>
        <v>1.75</v>
      </c>
    </row>
    <row r="35" spans="1:25" x14ac:dyDescent="0.25">
      <c r="A35">
        <v>2025</v>
      </c>
      <c r="B35" t="s">
        <v>57</v>
      </c>
      <c r="C35">
        <f t="shared" si="1"/>
        <v>2</v>
      </c>
      <c r="D35">
        <f t="shared" si="0"/>
        <v>17</v>
      </c>
      <c r="E35" t="str">
        <f>+'Raw data'!A62</f>
        <v>Pachiana NinjaBees</v>
      </c>
      <c r="F35" t="str">
        <f>VLOOKUP(E35,Data!$E$2626:$F$2645,2,FALSE)</f>
        <v>Spiridaus/Oladipas</v>
      </c>
      <c r="H35">
        <f>+'Raw data'!A83</f>
        <v>6</v>
      </c>
      <c r="I35">
        <f>+'Raw data'!B83</f>
        <v>7</v>
      </c>
      <c r="J35">
        <f>+'Raw data'!C83</f>
        <v>0</v>
      </c>
      <c r="M35">
        <f>+'Raw data'!E83</f>
        <v>161</v>
      </c>
      <c r="N35">
        <f>+'Raw data'!F83</f>
        <v>0.51400000000000001</v>
      </c>
      <c r="O35">
        <f>+'Raw data'!G83</f>
        <v>51</v>
      </c>
      <c r="P35">
        <f>+'Raw data'!H83</f>
        <v>0.432</v>
      </c>
      <c r="Q35">
        <f>+'Raw data'!I83</f>
        <v>0.82499999999999996</v>
      </c>
      <c r="R35">
        <f>+'Raw data'!J83</f>
        <v>439</v>
      </c>
      <c r="S35">
        <f>+'Raw data'!K83</f>
        <v>31</v>
      </c>
      <c r="T35">
        <f>+'Raw data'!L83</f>
        <v>126</v>
      </c>
      <c r="U35">
        <f>+'Raw data'!M83</f>
        <v>106</v>
      </c>
      <c r="V35">
        <f>+'Raw data'!N83</f>
        <v>29</v>
      </c>
      <c r="W35">
        <f>+'Raw data'!O83</f>
        <v>28</v>
      </c>
      <c r="X35">
        <f>+'Raw data'!P83</f>
        <v>60</v>
      </c>
      <c r="Y35">
        <f>+'Raw data'!Q83</f>
        <v>1.77</v>
      </c>
    </row>
    <row r="36" spans="1:25" x14ac:dyDescent="0.25">
      <c r="A36">
        <v>2025</v>
      </c>
      <c r="B36" t="s">
        <v>57</v>
      </c>
      <c r="C36">
        <f t="shared" si="1"/>
        <v>2</v>
      </c>
      <c r="D36">
        <f t="shared" si="0"/>
        <v>18</v>
      </c>
      <c r="E36" t="str">
        <f>+'Raw data'!A63</f>
        <v>The Bad Boys</v>
      </c>
      <c r="F36" t="str">
        <f>VLOOKUP(E36,Data!$E$2626:$F$2645,2,FALSE)</f>
        <v>Arvanitis</v>
      </c>
      <c r="H36">
        <f>+'Raw data'!A84</f>
        <v>11</v>
      </c>
      <c r="I36">
        <f>+'Raw data'!B84</f>
        <v>2</v>
      </c>
      <c r="J36">
        <f>+'Raw data'!C84</f>
        <v>0</v>
      </c>
      <c r="M36">
        <f>+'Raw data'!E84</f>
        <v>204</v>
      </c>
      <c r="N36">
        <f>+'Raw data'!F84</f>
        <v>0.48299999999999998</v>
      </c>
      <c r="O36">
        <f>+'Raw data'!G84</f>
        <v>59</v>
      </c>
      <c r="P36">
        <f>+'Raw data'!H84</f>
        <v>0.38800000000000001</v>
      </c>
      <c r="Q36">
        <f>+'Raw data'!I84</f>
        <v>0.73599999999999999</v>
      </c>
      <c r="R36">
        <f>+'Raw data'!J84</f>
        <v>562</v>
      </c>
      <c r="S36">
        <f>+'Raw data'!K84</f>
        <v>57</v>
      </c>
      <c r="T36">
        <f>+'Raw data'!L84</f>
        <v>149</v>
      </c>
      <c r="U36">
        <f>+'Raw data'!M84</f>
        <v>113</v>
      </c>
      <c r="V36">
        <f>+'Raw data'!N84</f>
        <v>36</v>
      </c>
      <c r="W36">
        <f>+'Raw data'!O84</f>
        <v>16</v>
      </c>
      <c r="X36">
        <f>+'Raw data'!P84</f>
        <v>61</v>
      </c>
      <c r="Y36">
        <f>+'Raw data'!Q84</f>
        <v>1.85</v>
      </c>
    </row>
    <row r="37" spans="1:25" x14ac:dyDescent="0.25">
      <c r="A37">
        <v>2025</v>
      </c>
      <c r="B37" t="s">
        <v>57</v>
      </c>
      <c r="C37">
        <f t="shared" si="1"/>
        <v>2</v>
      </c>
      <c r="D37">
        <f t="shared" si="0"/>
        <v>18</v>
      </c>
      <c r="E37" t="str">
        <f>+'Raw data'!A64</f>
        <v>st.Helens Eruptions</v>
      </c>
      <c r="F37" t="str">
        <f>VLOOKUP(E37,Data!$E$2626:$F$2645,2,FALSE)</f>
        <v>Aris</v>
      </c>
      <c r="H37">
        <f>+'Raw data'!A85</f>
        <v>2</v>
      </c>
      <c r="I37">
        <f>+'Raw data'!B85</f>
        <v>11</v>
      </c>
      <c r="J37">
        <f>+'Raw data'!C85</f>
        <v>0</v>
      </c>
      <c r="M37">
        <f>+'Raw data'!E85</f>
        <v>176</v>
      </c>
      <c r="N37">
        <f>+'Raw data'!F85</f>
        <v>0.47199999999999998</v>
      </c>
      <c r="O37">
        <f>+'Raw data'!G85</f>
        <v>38</v>
      </c>
      <c r="P37">
        <f>+'Raw data'!H85</f>
        <v>0.35199999999999998</v>
      </c>
      <c r="Q37">
        <f>+'Raw data'!I85</f>
        <v>0.79600000000000004</v>
      </c>
      <c r="R37">
        <f>+'Raw data'!J85</f>
        <v>472</v>
      </c>
      <c r="S37">
        <f>+'Raw data'!K85</f>
        <v>37</v>
      </c>
      <c r="T37">
        <f>+'Raw data'!L85</f>
        <v>117</v>
      </c>
      <c r="U37">
        <f>+'Raw data'!M85</f>
        <v>77</v>
      </c>
      <c r="V37">
        <f>+'Raw data'!N85</f>
        <v>30</v>
      </c>
      <c r="W37">
        <f>+'Raw data'!O85</f>
        <v>15</v>
      </c>
      <c r="X37">
        <f>+'Raw data'!P85</f>
        <v>57</v>
      </c>
      <c r="Y37">
        <f>+'Raw data'!Q85</f>
        <v>1.35</v>
      </c>
    </row>
    <row r="38" spans="1:25" x14ac:dyDescent="0.25">
      <c r="A38">
        <v>2025</v>
      </c>
      <c r="B38" t="s">
        <v>57</v>
      </c>
      <c r="C38">
        <f t="shared" si="1"/>
        <v>2</v>
      </c>
      <c r="D38">
        <f t="shared" si="0"/>
        <v>19</v>
      </c>
      <c r="E38" t="str">
        <f>+'Raw data'!A65</f>
        <v>Samarina Dudenbros</v>
      </c>
      <c r="F38" t="str">
        <f>VLOOKUP(E38,Data!$E$2626:$F$2645,2,FALSE)</f>
        <v>Sakellariou</v>
      </c>
      <c r="H38">
        <f>+'Raw data'!A86</f>
        <v>10</v>
      </c>
      <c r="I38">
        <f>+'Raw data'!B86</f>
        <v>3</v>
      </c>
      <c r="J38">
        <f>+'Raw data'!C86</f>
        <v>0</v>
      </c>
      <c r="M38">
        <f>+'Raw data'!E86</f>
        <v>192</v>
      </c>
      <c r="N38">
        <f>+'Raw data'!F86</f>
        <v>0.497</v>
      </c>
      <c r="O38">
        <f>+'Raw data'!G86</f>
        <v>70</v>
      </c>
      <c r="P38">
        <f>+'Raw data'!H86</f>
        <v>0.39800000000000002</v>
      </c>
      <c r="Q38">
        <f>+'Raw data'!I86</f>
        <v>0.85599999999999998</v>
      </c>
      <c r="R38">
        <f>+'Raw data'!J86</f>
        <v>543</v>
      </c>
      <c r="S38">
        <f>+'Raw data'!K86</f>
        <v>16</v>
      </c>
      <c r="T38">
        <f>+'Raw data'!L86</f>
        <v>100</v>
      </c>
      <c r="U38">
        <f>+'Raw data'!M86</f>
        <v>130</v>
      </c>
      <c r="V38">
        <f>+'Raw data'!N86</f>
        <v>43</v>
      </c>
      <c r="W38">
        <f>+'Raw data'!O86</f>
        <v>14</v>
      </c>
      <c r="X38">
        <f>+'Raw data'!P86</f>
        <v>52</v>
      </c>
      <c r="Y38">
        <f>+'Raw data'!Q86</f>
        <v>2.5</v>
      </c>
    </row>
    <row r="39" spans="1:25" x14ac:dyDescent="0.25">
      <c r="A39">
        <v>2025</v>
      </c>
      <c r="B39" t="s">
        <v>57</v>
      </c>
      <c r="C39">
        <f t="shared" si="1"/>
        <v>2</v>
      </c>
      <c r="D39">
        <f t="shared" si="0"/>
        <v>19</v>
      </c>
      <c r="E39" t="str">
        <f>+'Raw data'!A66</f>
        <v>Paralouistas</v>
      </c>
      <c r="F39" t="str">
        <f>VLOOKUP(E39,Data!$E$2626:$F$2645,2,FALSE)</f>
        <v>Panos</v>
      </c>
      <c r="H39">
        <f>+'Raw data'!A87</f>
        <v>3</v>
      </c>
      <c r="I39">
        <f>+'Raw data'!B87</f>
        <v>10</v>
      </c>
      <c r="J39">
        <f>+'Raw data'!C87</f>
        <v>0</v>
      </c>
      <c r="M39">
        <f>+'Raw data'!E87</f>
        <v>176</v>
      </c>
      <c r="N39">
        <f>+'Raw data'!F87</f>
        <v>0.46200000000000002</v>
      </c>
      <c r="O39">
        <f>+'Raw data'!G87</f>
        <v>60</v>
      </c>
      <c r="P39">
        <f>+'Raw data'!H87</f>
        <v>0.35299999999999998</v>
      </c>
      <c r="Q39">
        <f>+'Raw data'!I87</f>
        <v>0.78600000000000003</v>
      </c>
      <c r="R39">
        <f>+'Raw data'!J87</f>
        <v>478</v>
      </c>
      <c r="S39">
        <f>+'Raw data'!K87</f>
        <v>37</v>
      </c>
      <c r="T39">
        <f>+'Raw data'!L87</f>
        <v>132</v>
      </c>
      <c r="U39">
        <f>+'Raw data'!M87</f>
        <v>111</v>
      </c>
      <c r="V39">
        <f>+'Raw data'!N87</f>
        <v>26</v>
      </c>
      <c r="W39">
        <f>+'Raw data'!O87</f>
        <v>20</v>
      </c>
      <c r="X39">
        <f>+'Raw data'!P87</f>
        <v>64</v>
      </c>
      <c r="Y39">
        <f>+'Raw data'!Q87</f>
        <v>1.73</v>
      </c>
    </row>
    <row r="40" spans="1:25" x14ac:dyDescent="0.25">
      <c r="A40">
        <v>2025</v>
      </c>
      <c r="B40" t="s">
        <v>57</v>
      </c>
      <c r="C40">
        <f t="shared" si="1"/>
        <v>2</v>
      </c>
      <c r="D40">
        <f t="shared" si="0"/>
        <v>20</v>
      </c>
      <c r="E40" t="str">
        <f>+'Raw data'!A67</f>
        <v>Salonika Devils</v>
      </c>
      <c r="F40" t="str">
        <f>VLOOKUP(E40,Data!$E$2626:$F$2645,2,FALSE)</f>
        <v>Fountos</v>
      </c>
      <c r="H40">
        <f>+'Raw data'!A88</f>
        <v>7</v>
      </c>
      <c r="I40">
        <f>+'Raw data'!B88</f>
        <v>6</v>
      </c>
      <c r="J40">
        <f>+'Raw data'!C88</f>
        <v>0</v>
      </c>
      <c r="M40">
        <f>+'Raw data'!E88</f>
        <v>169</v>
      </c>
      <c r="N40">
        <f>+'Raw data'!F88</f>
        <v>0.53800000000000003</v>
      </c>
      <c r="O40">
        <f>+'Raw data'!G88</f>
        <v>36</v>
      </c>
      <c r="P40">
        <f>+'Raw data'!H88</f>
        <v>0.39600000000000002</v>
      </c>
      <c r="Q40">
        <f>+'Raw data'!I88</f>
        <v>0.79300000000000004</v>
      </c>
      <c r="R40">
        <f>+'Raw data'!J88</f>
        <v>485</v>
      </c>
      <c r="S40">
        <f>+'Raw data'!K88</f>
        <v>60</v>
      </c>
      <c r="T40">
        <f>+'Raw data'!L88</f>
        <v>127</v>
      </c>
      <c r="U40">
        <f>+'Raw data'!M88</f>
        <v>95</v>
      </c>
      <c r="V40">
        <f>+'Raw data'!N88</f>
        <v>26</v>
      </c>
      <c r="W40">
        <f>+'Raw data'!O88</f>
        <v>27</v>
      </c>
      <c r="X40">
        <f>+'Raw data'!P88</f>
        <v>59</v>
      </c>
      <c r="Y40">
        <f>+'Raw data'!Q88</f>
        <v>1.61</v>
      </c>
    </row>
    <row r="41" spans="1:25" x14ac:dyDescent="0.25">
      <c r="A41">
        <v>2025</v>
      </c>
      <c r="B41" t="s">
        <v>57</v>
      </c>
      <c r="C41">
        <f t="shared" si="1"/>
        <v>2</v>
      </c>
      <c r="D41">
        <f t="shared" si="0"/>
        <v>20</v>
      </c>
      <c r="E41" t="str">
        <f>+'Raw data'!A68</f>
        <v>Steven Adams' Moustache</v>
      </c>
      <c r="F41" t="str">
        <f>VLOOKUP(E41,Data!$E$2626:$F$2645,2,FALSE)</f>
        <v>Johnny</v>
      </c>
      <c r="H41">
        <f>+'Raw data'!A89</f>
        <v>6</v>
      </c>
      <c r="I41">
        <f>+'Raw data'!B89</f>
        <v>7</v>
      </c>
      <c r="J41">
        <f>+'Raw data'!C89</f>
        <v>0</v>
      </c>
      <c r="M41">
        <f>+'Raw data'!E89</f>
        <v>135</v>
      </c>
      <c r="N41">
        <f>+'Raw data'!F89</f>
        <v>0.46700000000000003</v>
      </c>
      <c r="O41">
        <f>+'Raw data'!G89</f>
        <v>69</v>
      </c>
      <c r="P41">
        <f>+'Raw data'!H89</f>
        <v>0.41799999999999998</v>
      </c>
      <c r="Q41">
        <f>+'Raw data'!I89</f>
        <v>0.83099999999999996</v>
      </c>
      <c r="R41">
        <f>+'Raw data'!J89</f>
        <v>388</v>
      </c>
      <c r="S41">
        <f>+'Raw data'!K89</f>
        <v>33</v>
      </c>
      <c r="T41">
        <f>+'Raw data'!L89</f>
        <v>96</v>
      </c>
      <c r="U41">
        <f>+'Raw data'!M89</f>
        <v>93</v>
      </c>
      <c r="V41">
        <f>+'Raw data'!N89</f>
        <v>29</v>
      </c>
      <c r="W41">
        <f>+'Raw data'!O89</f>
        <v>15</v>
      </c>
      <c r="X41">
        <f>+'Raw data'!P89</f>
        <v>35</v>
      </c>
      <c r="Y41">
        <f>+'Raw data'!Q89</f>
        <v>2.66</v>
      </c>
    </row>
    <row r="42" spans="1:25" x14ac:dyDescent="0.25">
      <c r="A42">
        <v>2025</v>
      </c>
      <c r="B42" t="s">
        <v>57</v>
      </c>
      <c r="C42">
        <f>+C41+1</f>
        <v>3</v>
      </c>
      <c r="D42">
        <f t="shared" si="0"/>
        <v>21</v>
      </c>
      <c r="E42" t="str">
        <f>+'Raw data'!A93</f>
        <v>The Guns</v>
      </c>
      <c r="F42" t="str">
        <f>VLOOKUP(E42,Data!$E$2626:$F$2645,2,FALSE)</f>
        <v>Vasilis</v>
      </c>
      <c r="H42">
        <f>+'Raw data'!A114</f>
        <v>6</v>
      </c>
      <c r="I42">
        <f>+'Raw data'!B114</f>
        <v>7</v>
      </c>
      <c r="J42">
        <f>+'Raw data'!C114</f>
        <v>0</v>
      </c>
      <c r="M42">
        <f>+'Raw data'!E114</f>
        <v>133</v>
      </c>
      <c r="N42">
        <f>+'Raw data'!F114</f>
        <v>0.48199999999999998</v>
      </c>
      <c r="O42">
        <f>+'Raw data'!G114</f>
        <v>56</v>
      </c>
      <c r="P42">
        <f>+'Raw data'!H114</f>
        <v>0.44400000000000001</v>
      </c>
      <c r="Q42">
        <f>+'Raw data'!I114</f>
        <v>0.85399999999999998</v>
      </c>
      <c r="R42">
        <f>+'Raw data'!J114</f>
        <v>410</v>
      </c>
      <c r="S42">
        <f>+'Raw data'!K114</f>
        <v>29</v>
      </c>
      <c r="T42">
        <f>+'Raw data'!L114</f>
        <v>91</v>
      </c>
      <c r="U42">
        <f>+'Raw data'!M114</f>
        <v>87</v>
      </c>
      <c r="V42">
        <f>+'Raw data'!N114</f>
        <v>21</v>
      </c>
      <c r="W42">
        <f>+'Raw data'!O114</f>
        <v>15</v>
      </c>
      <c r="X42">
        <f>+'Raw data'!P114</f>
        <v>44</v>
      </c>
      <c r="Y42">
        <f>+'Raw data'!Q114</f>
        <v>1.98</v>
      </c>
    </row>
    <row r="43" spans="1:25" x14ac:dyDescent="0.25">
      <c r="A43">
        <v>2025</v>
      </c>
      <c r="B43" t="s">
        <v>57</v>
      </c>
      <c r="C43">
        <f>+C42</f>
        <v>3</v>
      </c>
      <c r="D43">
        <f t="shared" si="0"/>
        <v>21</v>
      </c>
      <c r="E43" t="str">
        <f>+'Raw data'!A94</f>
        <v>LRBP PR3DATORS</v>
      </c>
      <c r="F43" t="str">
        <f>VLOOKUP(E43,Data!$E$2626:$F$2645,2,FALSE)</f>
        <v>Lafa</v>
      </c>
      <c r="H43">
        <f>+'Raw data'!A115</f>
        <v>7</v>
      </c>
      <c r="I43">
        <f>+'Raw data'!B115</f>
        <v>6</v>
      </c>
      <c r="J43">
        <f>+'Raw data'!C115</f>
        <v>0</v>
      </c>
      <c r="M43">
        <f>+'Raw data'!E115</f>
        <v>184</v>
      </c>
      <c r="N43">
        <f>+'Raw data'!F115</f>
        <v>0.47099999999999997</v>
      </c>
      <c r="O43">
        <f>+'Raw data'!G115</f>
        <v>43</v>
      </c>
      <c r="P43">
        <f>+'Raw data'!H115</f>
        <v>0.35</v>
      </c>
      <c r="Q43">
        <f>+'Raw data'!I115</f>
        <v>0.77700000000000002</v>
      </c>
      <c r="R43">
        <f>+'Raw data'!J115</f>
        <v>540</v>
      </c>
      <c r="S43">
        <f>+'Raw data'!K115</f>
        <v>52</v>
      </c>
      <c r="T43">
        <f>+'Raw data'!L115</f>
        <v>187</v>
      </c>
      <c r="U43">
        <f>+'Raw data'!M115</f>
        <v>120</v>
      </c>
      <c r="V43">
        <f>+'Raw data'!N115</f>
        <v>35</v>
      </c>
      <c r="W43">
        <f>+'Raw data'!O115</f>
        <v>33</v>
      </c>
      <c r="X43">
        <f>+'Raw data'!P115</f>
        <v>71</v>
      </c>
      <c r="Y43">
        <f>+'Raw data'!Q115</f>
        <v>1.69</v>
      </c>
    </row>
    <row r="44" spans="1:25" x14ac:dyDescent="0.25">
      <c r="A44">
        <v>2025</v>
      </c>
      <c r="B44" t="s">
        <v>57</v>
      </c>
      <c r="C44">
        <f>+C43</f>
        <v>3</v>
      </c>
      <c r="D44">
        <f t="shared" si="0"/>
        <v>22</v>
      </c>
      <c r="E44" t="str">
        <f>+'Raw data'!A95</f>
        <v>Tsarlatans</v>
      </c>
      <c r="F44" t="str">
        <f>VLOOKUP(E44,Data!$E$2626:$F$2645,2,FALSE)</f>
        <v>Tzokos</v>
      </c>
      <c r="H44">
        <f>+'Raw data'!A116</f>
        <v>4</v>
      </c>
      <c r="I44">
        <f>+'Raw data'!B116</f>
        <v>9</v>
      </c>
      <c r="J44">
        <f>+'Raw data'!C116</f>
        <v>0</v>
      </c>
      <c r="M44">
        <f>+'Raw data'!E116</f>
        <v>137</v>
      </c>
      <c r="N44">
        <f>+'Raw data'!F116</f>
        <v>0.43099999999999999</v>
      </c>
      <c r="O44">
        <f>+'Raw data'!G116</f>
        <v>32</v>
      </c>
      <c r="P44">
        <f>+'Raw data'!H116</f>
        <v>0.28799999999999998</v>
      </c>
      <c r="Q44">
        <f>+'Raw data'!I116</f>
        <v>0.76500000000000001</v>
      </c>
      <c r="R44">
        <f>+'Raw data'!J116</f>
        <v>381</v>
      </c>
      <c r="S44">
        <f>+'Raw data'!K116</f>
        <v>51</v>
      </c>
      <c r="T44">
        <f>+'Raw data'!L116</f>
        <v>147</v>
      </c>
      <c r="U44">
        <f>+'Raw data'!M116</f>
        <v>109</v>
      </c>
      <c r="V44">
        <f>+'Raw data'!N116</f>
        <v>33</v>
      </c>
      <c r="W44">
        <f>+'Raw data'!O116</f>
        <v>29</v>
      </c>
      <c r="X44">
        <f>+'Raw data'!P116</f>
        <v>77</v>
      </c>
      <c r="Y44">
        <f>+'Raw data'!Q116</f>
        <v>1.42</v>
      </c>
    </row>
    <row r="45" spans="1:25" x14ac:dyDescent="0.25">
      <c r="A45">
        <v>2025</v>
      </c>
      <c r="B45" t="s">
        <v>57</v>
      </c>
      <c r="C45">
        <f>+C44</f>
        <v>3</v>
      </c>
      <c r="D45">
        <f t="shared" si="0"/>
        <v>22</v>
      </c>
      <c r="E45" t="str">
        <f>+'Raw data'!A96</f>
        <v>Xanthi Ducks 🦆</v>
      </c>
      <c r="F45" t="str">
        <f>VLOOKUP(E45,Data!$E$2626:$F$2645,2,FALSE)</f>
        <v>Kotakis</v>
      </c>
      <c r="H45">
        <f>+'Raw data'!A117</f>
        <v>9</v>
      </c>
      <c r="I45">
        <f>+'Raw data'!B117</f>
        <v>4</v>
      </c>
      <c r="J45">
        <f>+'Raw data'!C117</f>
        <v>0</v>
      </c>
      <c r="M45">
        <f>+'Raw data'!E117</f>
        <v>159</v>
      </c>
      <c r="N45">
        <f>+'Raw data'!F117</f>
        <v>0.51</v>
      </c>
      <c r="O45">
        <f>+'Raw data'!G117</f>
        <v>49</v>
      </c>
      <c r="P45">
        <f>+'Raw data'!H117</f>
        <v>0.40799999999999997</v>
      </c>
      <c r="Q45">
        <f>+'Raw data'!I117</f>
        <v>0.80800000000000005</v>
      </c>
      <c r="R45">
        <f>+'Raw data'!J117</f>
        <v>430</v>
      </c>
      <c r="S45">
        <f>+'Raw data'!K117</f>
        <v>42</v>
      </c>
      <c r="T45">
        <f>+'Raw data'!L117</f>
        <v>121</v>
      </c>
      <c r="U45">
        <f>+'Raw data'!M117</f>
        <v>91</v>
      </c>
      <c r="V45">
        <f>+'Raw data'!N117</f>
        <v>41</v>
      </c>
      <c r="W45">
        <f>+'Raw data'!O117</f>
        <v>16</v>
      </c>
      <c r="X45">
        <f>+'Raw data'!P117</f>
        <v>46</v>
      </c>
      <c r="Y45">
        <f>+'Raw data'!Q117</f>
        <v>1.98</v>
      </c>
    </row>
    <row r="46" spans="1:25" x14ac:dyDescent="0.25">
      <c r="A46">
        <v>2025</v>
      </c>
      <c r="B46" t="s">
        <v>57</v>
      </c>
      <c r="C46">
        <f t="shared" ref="C46:C61" si="2">+C45</f>
        <v>3</v>
      </c>
      <c r="D46">
        <f t="shared" si="0"/>
        <v>23</v>
      </c>
      <c r="E46" t="str">
        <f>+'Raw data'!A97</f>
        <v>Hércules Pals</v>
      </c>
      <c r="F46" t="e">
        <f>VLOOKUP(E46,Data!$E$2626:$F$2645,2,FALSE)</f>
        <v>#N/A</v>
      </c>
      <c r="H46">
        <f>+'Raw data'!A118</f>
        <v>4</v>
      </c>
      <c r="I46">
        <f>+'Raw data'!B118</f>
        <v>9</v>
      </c>
      <c r="J46">
        <f>+'Raw data'!C118</f>
        <v>0</v>
      </c>
      <c r="M46">
        <f>+'Raw data'!E118</f>
        <v>108</v>
      </c>
      <c r="N46">
        <f>+'Raw data'!F118</f>
        <v>0.42699999999999999</v>
      </c>
      <c r="O46">
        <f>+'Raw data'!G118</f>
        <v>49</v>
      </c>
      <c r="P46">
        <f>+'Raw data'!H118</f>
        <v>0.374</v>
      </c>
      <c r="Q46">
        <f>+'Raw data'!I118</f>
        <v>0.78900000000000003</v>
      </c>
      <c r="R46">
        <f>+'Raw data'!J118</f>
        <v>310</v>
      </c>
      <c r="S46">
        <f>+'Raw data'!K118</f>
        <v>40</v>
      </c>
      <c r="T46">
        <f>+'Raw data'!L118</f>
        <v>101</v>
      </c>
      <c r="U46">
        <f>+'Raw data'!M118</f>
        <v>72</v>
      </c>
      <c r="V46">
        <f>+'Raw data'!N118</f>
        <v>24</v>
      </c>
      <c r="W46">
        <f>+'Raw data'!O118</f>
        <v>18</v>
      </c>
      <c r="X46">
        <f>+'Raw data'!P118</f>
        <v>57</v>
      </c>
      <c r="Y46">
        <f>+'Raw data'!Q118</f>
        <v>1.26</v>
      </c>
    </row>
    <row r="47" spans="1:25" x14ac:dyDescent="0.25">
      <c r="A47">
        <v>2025</v>
      </c>
      <c r="B47" t="s">
        <v>57</v>
      </c>
      <c r="C47">
        <f t="shared" si="2"/>
        <v>3</v>
      </c>
      <c r="D47">
        <f t="shared" si="0"/>
        <v>23</v>
      </c>
      <c r="E47" t="str">
        <f>+'Raw data'!A98</f>
        <v>Kourayo Vallecano</v>
      </c>
      <c r="F47" t="str">
        <f>VLOOKUP(E47,Data!$E$2626:$F$2645,2,FALSE)</f>
        <v>Ziogas/Christof</v>
      </c>
      <c r="H47">
        <f>+'Raw data'!A119</f>
        <v>9</v>
      </c>
      <c r="I47">
        <f>+'Raw data'!B119</f>
        <v>4</v>
      </c>
      <c r="J47">
        <f>+'Raw data'!C119</f>
        <v>0</v>
      </c>
      <c r="M47">
        <f>+'Raw data'!E119</f>
        <v>174</v>
      </c>
      <c r="N47">
        <f>+'Raw data'!F119</f>
        <v>0.47399999999999998</v>
      </c>
      <c r="O47">
        <f>+'Raw data'!G119</f>
        <v>50</v>
      </c>
      <c r="P47">
        <f>+'Raw data'!H119</f>
        <v>0.34</v>
      </c>
      <c r="Q47">
        <f>+'Raw data'!I119</f>
        <v>0.77</v>
      </c>
      <c r="R47">
        <f>+'Raw data'!J119</f>
        <v>475</v>
      </c>
      <c r="S47">
        <f>+'Raw data'!K119</f>
        <v>47</v>
      </c>
      <c r="T47">
        <f>+'Raw data'!L119</f>
        <v>134</v>
      </c>
      <c r="U47">
        <f>+'Raw data'!M119</f>
        <v>110</v>
      </c>
      <c r="V47">
        <f>+'Raw data'!N119</f>
        <v>37</v>
      </c>
      <c r="W47">
        <f>+'Raw data'!O119</f>
        <v>15</v>
      </c>
      <c r="X47">
        <f>+'Raw data'!P119</f>
        <v>60</v>
      </c>
      <c r="Y47">
        <f>+'Raw data'!Q119</f>
        <v>1.83</v>
      </c>
    </row>
    <row r="48" spans="1:25" x14ac:dyDescent="0.25">
      <c r="A48">
        <v>2025</v>
      </c>
      <c r="B48" t="s">
        <v>57</v>
      </c>
      <c r="C48">
        <f t="shared" si="2"/>
        <v>3</v>
      </c>
      <c r="D48">
        <f t="shared" si="0"/>
        <v>24</v>
      </c>
      <c r="E48" t="str">
        <f>+'Raw data'!A99</f>
        <v>Fighting Thaddeus</v>
      </c>
      <c r="F48" t="str">
        <f>VLOOKUP(E48,Data!$E$2626:$F$2645,2,FALSE)</f>
        <v>Stavros</v>
      </c>
      <c r="H48">
        <f>+'Raw data'!A120</f>
        <v>5</v>
      </c>
      <c r="I48">
        <f>+'Raw data'!B120</f>
        <v>8</v>
      </c>
      <c r="J48">
        <f>+'Raw data'!C120</f>
        <v>0</v>
      </c>
      <c r="M48">
        <f>+'Raw data'!E120</f>
        <v>148</v>
      </c>
      <c r="N48">
        <f>+'Raw data'!F120</f>
        <v>0.42499999999999999</v>
      </c>
      <c r="O48">
        <f>+'Raw data'!G120</f>
        <v>55</v>
      </c>
      <c r="P48">
        <f>+'Raw data'!H120</f>
        <v>0.34599999999999997</v>
      </c>
      <c r="Q48">
        <f>+'Raw data'!I120</f>
        <v>0.79700000000000004</v>
      </c>
      <c r="R48">
        <f>+'Raw data'!J120</f>
        <v>410</v>
      </c>
      <c r="S48">
        <f>+'Raw data'!K120</f>
        <v>25</v>
      </c>
      <c r="T48">
        <f>+'Raw data'!L120</f>
        <v>91</v>
      </c>
      <c r="U48">
        <f>+'Raw data'!M120</f>
        <v>99</v>
      </c>
      <c r="V48">
        <f>+'Raw data'!N120</f>
        <v>38</v>
      </c>
      <c r="W48">
        <f>+'Raw data'!O120</f>
        <v>22</v>
      </c>
      <c r="X48">
        <f>+'Raw data'!P120</f>
        <v>50</v>
      </c>
      <c r="Y48">
        <f>+'Raw data'!Q120</f>
        <v>1.98</v>
      </c>
    </row>
    <row r="49" spans="1:25" x14ac:dyDescent="0.25">
      <c r="A49">
        <v>2025</v>
      </c>
      <c r="B49" t="s">
        <v>57</v>
      </c>
      <c r="C49">
        <f t="shared" si="2"/>
        <v>3</v>
      </c>
      <c r="D49">
        <f t="shared" ref="D49:D112" si="3">+D47+1</f>
        <v>24</v>
      </c>
      <c r="E49" t="str">
        <f>+'Raw data'!A100</f>
        <v>The Bridgeburners</v>
      </c>
      <c r="F49" t="str">
        <f>VLOOKUP(E49,Data!$E$2626:$F$2645,2,FALSE)</f>
        <v>Fanis</v>
      </c>
      <c r="H49">
        <f>+'Raw data'!A121</f>
        <v>8</v>
      </c>
      <c r="I49">
        <f>+'Raw data'!B121</f>
        <v>5</v>
      </c>
      <c r="J49">
        <f>+'Raw data'!C121</f>
        <v>0</v>
      </c>
      <c r="M49">
        <f>+'Raw data'!E121</f>
        <v>167</v>
      </c>
      <c r="N49">
        <f>+'Raw data'!F121</f>
        <v>0.46100000000000002</v>
      </c>
      <c r="O49">
        <f>+'Raw data'!G121</f>
        <v>43</v>
      </c>
      <c r="P49">
        <f>+'Raw data'!H121</f>
        <v>0.33300000000000002</v>
      </c>
      <c r="Q49">
        <f>+'Raw data'!I121</f>
        <v>0.84</v>
      </c>
      <c r="R49">
        <f>+'Raw data'!J121</f>
        <v>466</v>
      </c>
      <c r="S49">
        <f>+'Raw data'!K121</f>
        <v>73</v>
      </c>
      <c r="T49">
        <f>+'Raw data'!L121</f>
        <v>125</v>
      </c>
      <c r="U49">
        <f>+'Raw data'!M121</f>
        <v>102</v>
      </c>
      <c r="V49">
        <f>+'Raw data'!N121</f>
        <v>32</v>
      </c>
      <c r="W49">
        <f>+'Raw data'!O121</f>
        <v>24</v>
      </c>
      <c r="X49">
        <f>+'Raw data'!P121</f>
        <v>58</v>
      </c>
      <c r="Y49">
        <f>+'Raw data'!Q121</f>
        <v>1.76</v>
      </c>
    </row>
    <row r="50" spans="1:25" x14ac:dyDescent="0.25">
      <c r="A50">
        <v>2025</v>
      </c>
      <c r="B50" t="s">
        <v>57</v>
      </c>
      <c r="C50">
        <f t="shared" si="2"/>
        <v>3</v>
      </c>
      <c r="D50">
        <f t="shared" si="3"/>
        <v>25</v>
      </c>
      <c r="E50" t="str">
        <f>+'Raw data'!A101</f>
        <v>Karafli Saita</v>
      </c>
      <c r="F50" t="str">
        <f>VLOOKUP(E50,Data!$E$2626:$F$2645,2,FALSE)</f>
        <v>Tassos</v>
      </c>
      <c r="H50">
        <f>+'Raw data'!A122</f>
        <v>11</v>
      </c>
      <c r="I50">
        <f>+'Raw data'!B122</f>
        <v>2</v>
      </c>
      <c r="J50">
        <f>+'Raw data'!C122</f>
        <v>0</v>
      </c>
      <c r="M50">
        <f>+'Raw data'!E122</f>
        <v>242</v>
      </c>
      <c r="N50">
        <f>+'Raw data'!F122</f>
        <v>0.48699999999999999</v>
      </c>
      <c r="O50">
        <f>+'Raw data'!G122</f>
        <v>50</v>
      </c>
      <c r="P50">
        <f>+'Raw data'!H122</f>
        <v>0.29799999999999999</v>
      </c>
      <c r="Q50">
        <f>+'Raw data'!I122</f>
        <v>0.79700000000000004</v>
      </c>
      <c r="R50">
        <f>+'Raw data'!J122</f>
        <v>648</v>
      </c>
      <c r="S50">
        <f>+'Raw data'!K122</f>
        <v>40</v>
      </c>
      <c r="T50">
        <f>+'Raw data'!L122</f>
        <v>146</v>
      </c>
      <c r="U50">
        <f>+'Raw data'!M122</f>
        <v>130</v>
      </c>
      <c r="V50">
        <f>+'Raw data'!N122</f>
        <v>38</v>
      </c>
      <c r="W50">
        <f>+'Raw data'!O122</f>
        <v>41</v>
      </c>
      <c r="X50">
        <f>+'Raw data'!P122</f>
        <v>73</v>
      </c>
      <c r="Y50">
        <f>+'Raw data'!Q122</f>
        <v>1.78</v>
      </c>
    </row>
    <row r="51" spans="1:25" x14ac:dyDescent="0.25">
      <c r="A51">
        <v>2025</v>
      </c>
      <c r="B51" t="s">
        <v>57</v>
      </c>
      <c r="C51">
        <f t="shared" si="2"/>
        <v>3</v>
      </c>
      <c r="D51">
        <f t="shared" si="3"/>
        <v>25</v>
      </c>
      <c r="E51" t="str">
        <f>+'Raw data'!A102</f>
        <v>Heraklion Snakes</v>
      </c>
      <c r="F51" t="str">
        <f>VLOOKUP(E51,Data!$E$2626:$F$2645,2,FALSE)</f>
        <v>Dimitris</v>
      </c>
      <c r="H51">
        <f>+'Raw data'!A123</f>
        <v>2</v>
      </c>
      <c r="I51">
        <f>+'Raw data'!B123</f>
        <v>11</v>
      </c>
      <c r="J51">
        <f>+'Raw data'!C123</f>
        <v>0</v>
      </c>
      <c r="M51">
        <f>+'Raw data'!E123</f>
        <v>76</v>
      </c>
      <c r="N51">
        <f>+'Raw data'!F123</f>
        <v>0.434</v>
      </c>
      <c r="O51">
        <f>+'Raw data'!G123</f>
        <v>19</v>
      </c>
      <c r="P51">
        <f>+'Raw data'!H123</f>
        <v>0.32800000000000001</v>
      </c>
      <c r="Q51">
        <f>+'Raw data'!I123</f>
        <v>0.69399999999999995</v>
      </c>
      <c r="R51">
        <f>+'Raw data'!J123</f>
        <v>196</v>
      </c>
      <c r="S51">
        <f>+'Raw data'!K123</f>
        <v>29</v>
      </c>
      <c r="T51">
        <f>+'Raw data'!L123</f>
        <v>60</v>
      </c>
      <c r="U51">
        <f>+'Raw data'!M123</f>
        <v>44</v>
      </c>
      <c r="V51">
        <f>+'Raw data'!N123</f>
        <v>18</v>
      </c>
      <c r="W51">
        <f>+'Raw data'!O123</f>
        <v>4</v>
      </c>
      <c r="X51">
        <f>+'Raw data'!P123</f>
        <v>27</v>
      </c>
      <c r="Y51">
        <f>+'Raw data'!Q123</f>
        <v>1.63</v>
      </c>
    </row>
    <row r="52" spans="1:25" x14ac:dyDescent="0.25">
      <c r="A52">
        <v>2025</v>
      </c>
      <c r="B52" t="s">
        <v>57</v>
      </c>
      <c r="C52">
        <f t="shared" si="2"/>
        <v>3</v>
      </c>
      <c r="D52">
        <f t="shared" si="3"/>
        <v>26</v>
      </c>
      <c r="E52" t="str">
        <f>+'Raw data'!A103</f>
        <v>Pachiana NinjaBees</v>
      </c>
      <c r="F52" t="str">
        <f>VLOOKUP(E52,Data!$E$2626:$F$2645,2,FALSE)</f>
        <v>Spiridaus/Oladipas</v>
      </c>
      <c r="H52">
        <f>+'Raw data'!A124</f>
        <v>6</v>
      </c>
      <c r="I52">
        <f>+'Raw data'!B124</f>
        <v>7</v>
      </c>
      <c r="J52">
        <f>+'Raw data'!C124</f>
        <v>0</v>
      </c>
      <c r="M52">
        <f>+'Raw data'!E124</f>
        <v>147</v>
      </c>
      <c r="N52">
        <f>+'Raw data'!F124</f>
        <v>0.46800000000000003</v>
      </c>
      <c r="O52">
        <f>+'Raw data'!G124</f>
        <v>43</v>
      </c>
      <c r="P52">
        <f>+'Raw data'!H124</f>
        <v>0.36799999999999999</v>
      </c>
      <c r="Q52">
        <f>+'Raw data'!I124</f>
        <v>0.83499999999999996</v>
      </c>
      <c r="R52">
        <f>+'Raw data'!J124</f>
        <v>403</v>
      </c>
      <c r="S52">
        <f>+'Raw data'!K124</f>
        <v>38</v>
      </c>
      <c r="T52">
        <f>+'Raw data'!L124</f>
        <v>99</v>
      </c>
      <c r="U52">
        <f>+'Raw data'!M124</f>
        <v>94</v>
      </c>
      <c r="V52">
        <f>+'Raw data'!N124</f>
        <v>37</v>
      </c>
      <c r="W52">
        <f>+'Raw data'!O124</f>
        <v>23</v>
      </c>
      <c r="X52">
        <f>+'Raw data'!P124</f>
        <v>57</v>
      </c>
      <c r="Y52">
        <f>+'Raw data'!Q124</f>
        <v>1.65</v>
      </c>
    </row>
    <row r="53" spans="1:25" x14ac:dyDescent="0.25">
      <c r="A53">
        <v>2025</v>
      </c>
      <c r="B53" t="s">
        <v>57</v>
      </c>
      <c r="C53">
        <f t="shared" si="2"/>
        <v>3</v>
      </c>
      <c r="D53">
        <f t="shared" si="3"/>
        <v>26</v>
      </c>
      <c r="E53" t="str">
        <f>+'Raw data'!A104</f>
        <v>Guruuu 🐐🐐🐐</v>
      </c>
      <c r="F53" t="str">
        <f>VLOOKUP(E53,Data!$E$2626:$F$2645,2,FALSE)</f>
        <v>Guru</v>
      </c>
      <c r="H53">
        <f>+'Raw data'!A125</f>
        <v>7</v>
      </c>
      <c r="I53">
        <f>+'Raw data'!B125</f>
        <v>6</v>
      </c>
      <c r="J53">
        <f>+'Raw data'!C125</f>
        <v>0</v>
      </c>
      <c r="M53">
        <f>+'Raw data'!E125</f>
        <v>183</v>
      </c>
      <c r="N53">
        <f>+'Raw data'!F125</f>
        <v>0.48499999999999999</v>
      </c>
      <c r="O53">
        <f>+'Raw data'!G125</f>
        <v>55</v>
      </c>
      <c r="P53">
        <f>+'Raw data'!H125</f>
        <v>0.36699999999999999</v>
      </c>
      <c r="Q53">
        <f>+'Raw data'!I125</f>
        <v>0.78400000000000003</v>
      </c>
      <c r="R53">
        <f>+'Raw data'!J125</f>
        <v>512</v>
      </c>
      <c r="S53">
        <f>+'Raw data'!K125</f>
        <v>33</v>
      </c>
      <c r="T53">
        <f>+'Raw data'!L125</f>
        <v>133</v>
      </c>
      <c r="U53">
        <f>+'Raw data'!M125</f>
        <v>137</v>
      </c>
      <c r="V53">
        <f>+'Raw data'!N125</f>
        <v>34</v>
      </c>
      <c r="W53">
        <f>+'Raw data'!O125</f>
        <v>16</v>
      </c>
      <c r="X53">
        <f>+'Raw data'!P125</f>
        <v>73</v>
      </c>
      <c r="Y53">
        <f>+'Raw data'!Q125</f>
        <v>1.88</v>
      </c>
    </row>
    <row r="54" spans="1:25" x14ac:dyDescent="0.25">
      <c r="A54">
        <v>2025</v>
      </c>
      <c r="B54" t="s">
        <v>57</v>
      </c>
      <c r="C54">
        <f t="shared" si="2"/>
        <v>3</v>
      </c>
      <c r="D54">
        <f t="shared" si="3"/>
        <v>27</v>
      </c>
      <c r="E54" t="str">
        <f>+'Raw data'!A105</f>
        <v>st.Helens Eruptions</v>
      </c>
      <c r="F54" t="str">
        <f>VLOOKUP(E54,Data!$E$2626:$F$2645,2,FALSE)</f>
        <v>Aris</v>
      </c>
      <c r="H54">
        <f>+'Raw data'!A126</f>
        <v>5</v>
      </c>
      <c r="I54">
        <f>+'Raw data'!B126</f>
        <v>8</v>
      </c>
      <c r="J54">
        <f>+'Raw data'!C126</f>
        <v>0</v>
      </c>
      <c r="M54">
        <f>+'Raw data'!E126</f>
        <v>146</v>
      </c>
      <c r="N54">
        <f>+'Raw data'!F126</f>
        <v>0.46500000000000002</v>
      </c>
      <c r="O54">
        <f>+'Raw data'!G126</f>
        <v>39</v>
      </c>
      <c r="P54">
        <f>+'Raw data'!H126</f>
        <v>0.33900000000000002</v>
      </c>
      <c r="Q54">
        <f>+'Raw data'!I126</f>
        <v>0.82799999999999996</v>
      </c>
      <c r="R54">
        <f>+'Raw data'!J126</f>
        <v>384</v>
      </c>
      <c r="S54">
        <f>+'Raw data'!K126</f>
        <v>37</v>
      </c>
      <c r="T54">
        <f>+'Raw data'!L126</f>
        <v>119</v>
      </c>
      <c r="U54">
        <f>+'Raw data'!M126</f>
        <v>94</v>
      </c>
      <c r="V54">
        <f>+'Raw data'!N126</f>
        <v>21</v>
      </c>
      <c r="W54">
        <f>+'Raw data'!O126</f>
        <v>15</v>
      </c>
      <c r="X54">
        <f>+'Raw data'!P126</f>
        <v>59</v>
      </c>
      <c r="Y54">
        <f>+'Raw data'!Q126</f>
        <v>1.59</v>
      </c>
    </row>
    <row r="55" spans="1:25" x14ac:dyDescent="0.25">
      <c r="A55">
        <v>2025</v>
      </c>
      <c r="B55" t="s">
        <v>57</v>
      </c>
      <c r="C55">
        <f t="shared" si="2"/>
        <v>3</v>
      </c>
      <c r="D55">
        <f t="shared" si="3"/>
        <v>27</v>
      </c>
      <c r="E55" t="str">
        <f>+'Raw data'!A106</f>
        <v>Knights of Ni</v>
      </c>
      <c r="F55" t="str">
        <f>VLOOKUP(E55,Data!$E$2626:$F$2645,2,FALSE)</f>
        <v>Tolios</v>
      </c>
      <c r="H55">
        <f>+'Raw data'!A127</f>
        <v>8</v>
      </c>
      <c r="I55">
        <f>+'Raw data'!B127</f>
        <v>5</v>
      </c>
      <c r="J55">
        <f>+'Raw data'!C127</f>
        <v>0</v>
      </c>
      <c r="M55">
        <f>+'Raw data'!E127</f>
        <v>178</v>
      </c>
      <c r="N55">
        <f>+'Raw data'!F127</f>
        <v>0.48199999999999998</v>
      </c>
      <c r="O55">
        <f>+'Raw data'!G127</f>
        <v>51</v>
      </c>
      <c r="P55">
        <f>+'Raw data'!H127</f>
        <v>0.38100000000000001</v>
      </c>
      <c r="Q55">
        <f>+'Raw data'!I127</f>
        <v>0.85399999999999998</v>
      </c>
      <c r="R55">
        <f>+'Raw data'!J127</f>
        <v>483</v>
      </c>
      <c r="S55">
        <f>+'Raw data'!K127</f>
        <v>38</v>
      </c>
      <c r="T55">
        <f>+'Raw data'!L127</f>
        <v>118</v>
      </c>
      <c r="U55">
        <f>+'Raw data'!M127</f>
        <v>87</v>
      </c>
      <c r="V55">
        <f>+'Raw data'!N127</f>
        <v>33</v>
      </c>
      <c r="W55">
        <f>+'Raw data'!O127</f>
        <v>9</v>
      </c>
      <c r="X55">
        <f>+'Raw data'!P127</f>
        <v>67</v>
      </c>
      <c r="Y55">
        <f>+'Raw data'!Q127</f>
        <v>1.3</v>
      </c>
    </row>
    <row r="56" spans="1:25" x14ac:dyDescent="0.25">
      <c r="A56">
        <v>2025</v>
      </c>
      <c r="B56" t="s">
        <v>57</v>
      </c>
      <c r="C56">
        <f t="shared" si="2"/>
        <v>3</v>
      </c>
      <c r="D56">
        <f t="shared" si="3"/>
        <v>28</v>
      </c>
      <c r="E56" t="str">
        <f>+'Raw data'!A107</f>
        <v>Paralouistas</v>
      </c>
      <c r="F56" t="str">
        <f>VLOOKUP(E56,Data!$E$2626:$F$2645,2,FALSE)</f>
        <v>Panos</v>
      </c>
      <c r="H56">
        <f>+'Raw data'!A128</f>
        <v>3</v>
      </c>
      <c r="I56">
        <f>+'Raw data'!B128</f>
        <v>9</v>
      </c>
      <c r="J56">
        <f>+'Raw data'!C128</f>
        <v>1</v>
      </c>
      <c r="M56">
        <f>+'Raw data'!E128</f>
        <v>159</v>
      </c>
      <c r="N56">
        <f>+'Raw data'!F128</f>
        <v>0.47899999999999998</v>
      </c>
      <c r="O56">
        <f>+'Raw data'!G128</f>
        <v>42</v>
      </c>
      <c r="P56">
        <f>+'Raw data'!H128</f>
        <v>0.32600000000000001</v>
      </c>
      <c r="Q56">
        <f>+'Raw data'!I128</f>
        <v>0.79300000000000004</v>
      </c>
      <c r="R56">
        <f>+'Raw data'!J128</f>
        <v>448</v>
      </c>
      <c r="S56">
        <f>+'Raw data'!K128</f>
        <v>46</v>
      </c>
      <c r="T56">
        <f>+'Raw data'!L128</f>
        <v>102</v>
      </c>
      <c r="U56">
        <f>+'Raw data'!M128</f>
        <v>98</v>
      </c>
      <c r="V56">
        <f>+'Raw data'!N128</f>
        <v>33</v>
      </c>
      <c r="W56">
        <f>+'Raw data'!O128</f>
        <v>24</v>
      </c>
      <c r="X56">
        <f>+'Raw data'!P128</f>
        <v>61</v>
      </c>
      <c r="Y56">
        <f>+'Raw data'!Q128</f>
        <v>1.61</v>
      </c>
    </row>
    <row r="57" spans="1:25" x14ac:dyDescent="0.25">
      <c r="A57">
        <v>2025</v>
      </c>
      <c r="B57" t="s">
        <v>57</v>
      </c>
      <c r="C57">
        <f t="shared" si="2"/>
        <v>3</v>
      </c>
      <c r="D57">
        <f t="shared" si="3"/>
        <v>28</v>
      </c>
      <c r="E57" t="str">
        <f>+'Raw data'!A108</f>
        <v>purple fuzzy apache pirates</v>
      </c>
      <c r="F57" t="str">
        <f>VLOOKUP(E57,Data!$E$2626:$F$2645,2,FALSE)</f>
        <v>pi/Sotiris</v>
      </c>
      <c r="H57">
        <f>+'Raw data'!A129</f>
        <v>9</v>
      </c>
      <c r="I57">
        <f>+'Raw data'!B129</f>
        <v>3</v>
      </c>
      <c r="J57">
        <f>+'Raw data'!C129</f>
        <v>1</v>
      </c>
      <c r="M57">
        <f>+'Raw data'!E129</f>
        <v>238</v>
      </c>
      <c r="N57">
        <f>+'Raw data'!F129</f>
        <v>0.52500000000000002</v>
      </c>
      <c r="O57">
        <f>+'Raw data'!G129</f>
        <v>65</v>
      </c>
      <c r="P57">
        <f>+'Raw data'!H129</f>
        <v>0.42799999999999999</v>
      </c>
      <c r="Q57">
        <f>+'Raw data'!I129</f>
        <v>0.76600000000000001</v>
      </c>
      <c r="R57">
        <f>+'Raw data'!J129</f>
        <v>649</v>
      </c>
      <c r="S57">
        <f>+'Raw data'!K129</f>
        <v>52</v>
      </c>
      <c r="T57">
        <f>+'Raw data'!L129</f>
        <v>152</v>
      </c>
      <c r="U57">
        <f>+'Raw data'!M129</f>
        <v>146</v>
      </c>
      <c r="V57">
        <f>+'Raw data'!N129</f>
        <v>30</v>
      </c>
      <c r="W57">
        <f>+'Raw data'!O129</f>
        <v>12</v>
      </c>
      <c r="X57">
        <f>+'Raw data'!P129</f>
        <v>61</v>
      </c>
      <c r="Y57">
        <f>+'Raw data'!Q129</f>
        <v>2.39</v>
      </c>
    </row>
    <row r="58" spans="1:25" x14ac:dyDescent="0.25">
      <c r="A58">
        <v>2025</v>
      </c>
      <c r="B58" t="s">
        <v>57</v>
      </c>
      <c r="C58">
        <f t="shared" si="2"/>
        <v>3</v>
      </c>
      <c r="D58">
        <f t="shared" si="3"/>
        <v>29</v>
      </c>
      <c r="E58" t="str">
        <f>+'Raw data'!A109</f>
        <v>Steven Adams' Moustache</v>
      </c>
      <c r="F58" t="str">
        <f>VLOOKUP(E58,Data!$E$2626:$F$2645,2,FALSE)</f>
        <v>Johnny</v>
      </c>
      <c r="H58">
        <f>+'Raw data'!A130</f>
        <v>4</v>
      </c>
      <c r="I58">
        <f>+'Raw data'!B130</f>
        <v>9</v>
      </c>
      <c r="J58">
        <f>+'Raw data'!C130</f>
        <v>0</v>
      </c>
      <c r="M58">
        <f>+'Raw data'!E130</f>
        <v>103</v>
      </c>
      <c r="N58">
        <f>+'Raw data'!F130</f>
        <v>0.438</v>
      </c>
      <c r="O58">
        <f>+'Raw data'!G130</f>
        <v>47</v>
      </c>
      <c r="P58">
        <f>+'Raw data'!H130</f>
        <v>0.373</v>
      </c>
      <c r="Q58">
        <f>+'Raw data'!I130</f>
        <v>0.83299999999999996</v>
      </c>
      <c r="R58">
        <f>+'Raw data'!J130</f>
        <v>303</v>
      </c>
      <c r="S58">
        <f>+'Raw data'!K130</f>
        <v>29</v>
      </c>
      <c r="T58">
        <f>+'Raw data'!L130</f>
        <v>111</v>
      </c>
      <c r="U58">
        <f>+'Raw data'!M130</f>
        <v>79</v>
      </c>
      <c r="V58">
        <f>+'Raw data'!N130</f>
        <v>24</v>
      </c>
      <c r="W58">
        <f>+'Raw data'!O130</f>
        <v>11</v>
      </c>
      <c r="X58">
        <f>+'Raw data'!P130</f>
        <v>42</v>
      </c>
      <c r="Y58">
        <f>+'Raw data'!Q130</f>
        <v>1.88</v>
      </c>
    </row>
    <row r="59" spans="1:25" x14ac:dyDescent="0.25">
      <c r="A59">
        <v>2025</v>
      </c>
      <c r="B59" t="s">
        <v>57</v>
      </c>
      <c r="C59">
        <f t="shared" si="2"/>
        <v>3</v>
      </c>
      <c r="D59">
        <f t="shared" si="3"/>
        <v>29</v>
      </c>
      <c r="E59" t="str">
        <f>+'Raw data'!A110</f>
        <v>The Bad Boys</v>
      </c>
      <c r="F59" t="str">
        <f>VLOOKUP(E59,Data!$E$2626:$F$2645,2,FALSE)</f>
        <v>Arvanitis</v>
      </c>
      <c r="H59">
        <f>+'Raw data'!A131</f>
        <v>9</v>
      </c>
      <c r="I59">
        <f>+'Raw data'!B131</f>
        <v>4</v>
      </c>
      <c r="J59">
        <f>+'Raw data'!C131</f>
        <v>0</v>
      </c>
      <c r="M59">
        <f>+'Raw data'!E131</f>
        <v>207</v>
      </c>
      <c r="N59">
        <f>+'Raw data'!F131</f>
        <v>0.46600000000000003</v>
      </c>
      <c r="O59">
        <f>+'Raw data'!G131</f>
        <v>57</v>
      </c>
      <c r="P59">
        <f>+'Raw data'!H131</f>
        <v>0.34100000000000003</v>
      </c>
      <c r="Q59">
        <f>+'Raw data'!I131</f>
        <v>0.73099999999999998</v>
      </c>
      <c r="R59">
        <f>+'Raw data'!J131</f>
        <v>547</v>
      </c>
      <c r="S59">
        <f>+'Raw data'!K131</f>
        <v>46</v>
      </c>
      <c r="T59">
        <f>+'Raw data'!L131</f>
        <v>120</v>
      </c>
      <c r="U59">
        <f>+'Raw data'!M131</f>
        <v>134</v>
      </c>
      <c r="V59">
        <f>+'Raw data'!N131</f>
        <v>43</v>
      </c>
      <c r="W59">
        <f>+'Raw data'!O131</f>
        <v>20</v>
      </c>
      <c r="X59">
        <f>+'Raw data'!P131</f>
        <v>76</v>
      </c>
      <c r="Y59">
        <f>+'Raw data'!Q131</f>
        <v>1.76</v>
      </c>
    </row>
    <row r="60" spans="1:25" x14ac:dyDescent="0.25">
      <c r="A60">
        <v>2025</v>
      </c>
      <c r="B60" t="s">
        <v>57</v>
      </c>
      <c r="C60">
        <f t="shared" si="2"/>
        <v>3</v>
      </c>
      <c r="D60">
        <f t="shared" si="3"/>
        <v>30</v>
      </c>
      <c r="E60" t="str">
        <f>+'Raw data'!A111</f>
        <v>Salonika Devils</v>
      </c>
      <c r="F60" t="str">
        <f>VLOOKUP(E60,Data!$E$2626:$F$2645,2,FALSE)</f>
        <v>Fountos</v>
      </c>
      <c r="H60">
        <f>+'Raw data'!A132</f>
        <v>6</v>
      </c>
      <c r="I60">
        <f>+'Raw data'!B132</f>
        <v>7</v>
      </c>
      <c r="J60">
        <f>+'Raw data'!C132</f>
        <v>0</v>
      </c>
      <c r="M60">
        <f>+'Raw data'!E132</f>
        <v>176</v>
      </c>
      <c r="N60">
        <f>+'Raw data'!F132</f>
        <v>0.48899999999999999</v>
      </c>
      <c r="O60">
        <f>+'Raw data'!G132</f>
        <v>33</v>
      </c>
      <c r="P60">
        <f>+'Raw data'!H132</f>
        <v>0.30599999999999999</v>
      </c>
      <c r="Q60">
        <f>+'Raw data'!I132</f>
        <v>0.82799999999999996</v>
      </c>
      <c r="R60">
        <f>+'Raw data'!J132</f>
        <v>491</v>
      </c>
      <c r="S60">
        <f>+'Raw data'!K132</f>
        <v>58</v>
      </c>
      <c r="T60">
        <f>+'Raw data'!L132</f>
        <v>158</v>
      </c>
      <c r="U60">
        <f>+'Raw data'!M132</f>
        <v>97</v>
      </c>
      <c r="V60">
        <f>+'Raw data'!N132</f>
        <v>36</v>
      </c>
      <c r="W60">
        <f>+'Raw data'!O132</f>
        <v>17</v>
      </c>
      <c r="X60">
        <f>+'Raw data'!P132</f>
        <v>44</v>
      </c>
      <c r="Y60">
        <f>+'Raw data'!Q132</f>
        <v>2.2000000000000002</v>
      </c>
    </row>
    <row r="61" spans="1:25" x14ac:dyDescent="0.25">
      <c r="A61">
        <v>2025</v>
      </c>
      <c r="B61" t="s">
        <v>57</v>
      </c>
      <c r="C61">
        <f t="shared" si="2"/>
        <v>3</v>
      </c>
      <c r="D61">
        <f t="shared" si="3"/>
        <v>30</v>
      </c>
      <c r="E61" t="str">
        <f>+'Raw data'!A112</f>
        <v>Samarina Dudenbros</v>
      </c>
      <c r="F61" t="str">
        <f>VLOOKUP(E61,Data!$E$2626:$F$2645,2,FALSE)</f>
        <v>Sakellariou</v>
      </c>
      <c r="H61">
        <f>+'Raw data'!A133</f>
        <v>7</v>
      </c>
      <c r="I61">
        <f>+'Raw data'!B133</f>
        <v>6</v>
      </c>
      <c r="J61">
        <f>+'Raw data'!C133</f>
        <v>0</v>
      </c>
      <c r="M61">
        <f>+'Raw data'!E133</f>
        <v>175</v>
      </c>
      <c r="N61">
        <f>+'Raw data'!F133</f>
        <v>0.46800000000000003</v>
      </c>
      <c r="O61">
        <f>+'Raw data'!G133</f>
        <v>74</v>
      </c>
      <c r="P61">
        <f>+'Raw data'!H133</f>
        <v>0.435</v>
      </c>
      <c r="Q61">
        <f>+'Raw data'!I133</f>
        <v>0.92900000000000005</v>
      </c>
      <c r="R61">
        <f>+'Raw data'!J133</f>
        <v>503</v>
      </c>
      <c r="S61">
        <f>+'Raw data'!K133</f>
        <v>31</v>
      </c>
      <c r="T61">
        <f>+'Raw data'!L133</f>
        <v>94</v>
      </c>
      <c r="U61">
        <f>+'Raw data'!M133</f>
        <v>134</v>
      </c>
      <c r="V61">
        <f>+'Raw data'!N133</f>
        <v>42</v>
      </c>
      <c r="W61">
        <f>+'Raw data'!O133</f>
        <v>5</v>
      </c>
      <c r="X61">
        <f>+'Raw data'!P133</f>
        <v>50</v>
      </c>
      <c r="Y61">
        <f>+'Raw data'!Q133</f>
        <v>2.68</v>
      </c>
    </row>
    <row r="62" spans="1:25" x14ac:dyDescent="0.25">
      <c r="A62">
        <v>2025</v>
      </c>
      <c r="B62" t="s">
        <v>57</v>
      </c>
      <c r="C62">
        <f>+C61+1</f>
        <v>4</v>
      </c>
      <c r="D62">
        <f t="shared" si="3"/>
        <v>31</v>
      </c>
      <c r="E62" t="str">
        <f>+'Raw data'!A137</f>
        <v>LRBP PR3DATORS</v>
      </c>
      <c r="F62" t="str">
        <f>VLOOKUP(E62,Data!$E$2626:$F$2645,2,FALSE)</f>
        <v>Lafa</v>
      </c>
      <c r="H62">
        <f>+'Raw data'!A158</f>
        <v>7</v>
      </c>
      <c r="I62">
        <f>+'Raw data'!B158</f>
        <v>6</v>
      </c>
      <c r="J62">
        <f>+'Raw data'!C158</f>
        <v>0</v>
      </c>
      <c r="M62">
        <f>+'Raw data'!E158</f>
        <v>219</v>
      </c>
      <c r="N62">
        <f>+'Raw data'!F158</f>
        <v>0.46500000000000002</v>
      </c>
      <c r="O62">
        <f>+'Raw data'!G158</f>
        <v>67</v>
      </c>
      <c r="P62">
        <f>+'Raw data'!H158</f>
        <v>0.39600000000000002</v>
      </c>
      <c r="Q62">
        <f>+'Raw data'!I158</f>
        <v>0.81100000000000005</v>
      </c>
      <c r="R62">
        <f>+'Raw data'!J158</f>
        <v>642</v>
      </c>
      <c r="S62">
        <f>+'Raw data'!K158</f>
        <v>58</v>
      </c>
      <c r="T62">
        <f>+'Raw data'!L158</f>
        <v>156</v>
      </c>
      <c r="U62">
        <f>+'Raw data'!M158</f>
        <v>143</v>
      </c>
      <c r="V62">
        <f>+'Raw data'!N158</f>
        <v>29</v>
      </c>
      <c r="W62">
        <f>+'Raw data'!O158</f>
        <v>23</v>
      </c>
      <c r="X62">
        <f>+'Raw data'!P158</f>
        <v>80</v>
      </c>
      <c r="Y62">
        <f>+'Raw data'!Q158</f>
        <v>1.79</v>
      </c>
    </row>
    <row r="63" spans="1:25" x14ac:dyDescent="0.25">
      <c r="A63">
        <v>2025</v>
      </c>
      <c r="B63" t="s">
        <v>57</v>
      </c>
      <c r="C63">
        <f>+C62</f>
        <v>4</v>
      </c>
      <c r="D63">
        <f t="shared" si="3"/>
        <v>31</v>
      </c>
      <c r="E63" t="str">
        <f>+'Raw data'!A138</f>
        <v>Tsarlatans</v>
      </c>
      <c r="F63" t="str">
        <f>VLOOKUP(E63,Data!$E$2626:$F$2645,2,FALSE)</f>
        <v>Tzokos</v>
      </c>
      <c r="H63">
        <f>+'Raw data'!A159</f>
        <v>6</v>
      </c>
      <c r="I63">
        <f>+'Raw data'!B159</f>
        <v>7</v>
      </c>
      <c r="J63">
        <f>+'Raw data'!C159</f>
        <v>0</v>
      </c>
      <c r="M63">
        <f>+'Raw data'!E159</f>
        <v>182</v>
      </c>
      <c r="N63">
        <f>+'Raw data'!F159</f>
        <v>0.51900000000000002</v>
      </c>
      <c r="O63">
        <f>+'Raw data'!G159</f>
        <v>52</v>
      </c>
      <c r="P63">
        <f>+'Raw data'!H159</f>
        <v>0.41899999999999998</v>
      </c>
      <c r="Q63">
        <f>+'Raw data'!I159</f>
        <v>0.83199999999999996</v>
      </c>
      <c r="R63">
        <f>+'Raw data'!J159</f>
        <v>505</v>
      </c>
      <c r="S63">
        <f>+'Raw data'!K159</f>
        <v>60</v>
      </c>
      <c r="T63">
        <f>+'Raw data'!L159</f>
        <v>165</v>
      </c>
      <c r="U63">
        <f>+'Raw data'!M159</f>
        <v>106</v>
      </c>
      <c r="V63">
        <f>+'Raw data'!N159</f>
        <v>27</v>
      </c>
      <c r="W63">
        <f>+'Raw data'!O159</f>
        <v>18</v>
      </c>
      <c r="X63">
        <f>+'Raw data'!P159</f>
        <v>66</v>
      </c>
      <c r="Y63">
        <f>+'Raw data'!Q159</f>
        <v>1.61</v>
      </c>
    </row>
    <row r="64" spans="1:25" x14ac:dyDescent="0.25">
      <c r="A64">
        <v>2025</v>
      </c>
      <c r="B64" t="s">
        <v>57</v>
      </c>
      <c r="C64">
        <f>+C63</f>
        <v>4</v>
      </c>
      <c r="D64">
        <f t="shared" si="3"/>
        <v>32</v>
      </c>
      <c r="E64" t="str">
        <f>+'Raw data'!A139</f>
        <v>The Guns</v>
      </c>
      <c r="F64" t="str">
        <f>VLOOKUP(E64,Data!$E$2626:$F$2645,2,FALSE)</f>
        <v>Vasilis</v>
      </c>
      <c r="H64">
        <f>+'Raw data'!A160</f>
        <v>10</v>
      </c>
      <c r="I64">
        <f>+'Raw data'!B160</f>
        <v>3</v>
      </c>
      <c r="J64">
        <f>+'Raw data'!C160</f>
        <v>0</v>
      </c>
      <c r="M64">
        <f>+'Raw data'!E160</f>
        <v>157</v>
      </c>
      <c r="N64">
        <f>+'Raw data'!F160</f>
        <v>0.44</v>
      </c>
      <c r="O64">
        <f>+'Raw data'!G160</f>
        <v>58</v>
      </c>
      <c r="P64">
        <f>+'Raw data'!H160</f>
        <v>0.34499999999999997</v>
      </c>
      <c r="Q64">
        <f>+'Raw data'!I160</f>
        <v>0.878</v>
      </c>
      <c r="R64">
        <f>+'Raw data'!J160</f>
        <v>458</v>
      </c>
      <c r="S64">
        <f>+'Raw data'!K160</f>
        <v>26</v>
      </c>
      <c r="T64">
        <f>+'Raw data'!L160</f>
        <v>114</v>
      </c>
      <c r="U64">
        <f>+'Raw data'!M160</f>
        <v>114</v>
      </c>
      <c r="V64">
        <f>+'Raw data'!N160</f>
        <v>35</v>
      </c>
      <c r="W64">
        <f>+'Raw data'!O160</f>
        <v>19</v>
      </c>
      <c r="X64">
        <f>+'Raw data'!P160</f>
        <v>71</v>
      </c>
      <c r="Y64">
        <f>+'Raw data'!Q160</f>
        <v>1.61</v>
      </c>
    </row>
    <row r="65" spans="1:25" x14ac:dyDescent="0.25">
      <c r="A65">
        <v>2025</v>
      </c>
      <c r="B65" t="s">
        <v>57</v>
      </c>
      <c r="C65">
        <f>+C64</f>
        <v>4</v>
      </c>
      <c r="D65">
        <f t="shared" si="3"/>
        <v>32</v>
      </c>
      <c r="E65" t="str">
        <f>+'Raw data'!A140</f>
        <v>Hércules Pals</v>
      </c>
      <c r="F65" t="e">
        <f>VLOOKUP(E65,Data!$E$2626:$F$2645,2,FALSE)</f>
        <v>#N/A</v>
      </c>
      <c r="H65">
        <f>+'Raw data'!A161</f>
        <v>3</v>
      </c>
      <c r="I65">
        <f>+'Raw data'!B161</f>
        <v>10</v>
      </c>
      <c r="J65">
        <f>+'Raw data'!C161</f>
        <v>0</v>
      </c>
      <c r="M65">
        <f>+'Raw data'!E161</f>
        <v>89</v>
      </c>
      <c r="N65">
        <f>+'Raw data'!F161</f>
        <v>0.42599999999999999</v>
      </c>
      <c r="O65">
        <f>+'Raw data'!G161</f>
        <v>38</v>
      </c>
      <c r="P65">
        <f>+'Raw data'!H161</f>
        <v>0.32500000000000001</v>
      </c>
      <c r="Q65">
        <f>+'Raw data'!I161</f>
        <v>0.89600000000000002</v>
      </c>
      <c r="R65">
        <f>+'Raw data'!J161</f>
        <v>259</v>
      </c>
      <c r="S65">
        <f>+'Raw data'!K161</f>
        <v>42</v>
      </c>
      <c r="T65">
        <f>+'Raw data'!L161</f>
        <v>90</v>
      </c>
      <c r="U65">
        <f>+'Raw data'!M161</f>
        <v>49</v>
      </c>
      <c r="V65">
        <f>+'Raw data'!N161</f>
        <v>17</v>
      </c>
      <c r="W65">
        <f>+'Raw data'!O161</f>
        <v>15</v>
      </c>
      <c r="X65">
        <f>+'Raw data'!P161</f>
        <v>44</v>
      </c>
      <c r="Y65">
        <f>+'Raw data'!Q161</f>
        <v>1.1100000000000001</v>
      </c>
    </row>
    <row r="66" spans="1:25" x14ac:dyDescent="0.25">
      <c r="A66">
        <v>2025</v>
      </c>
      <c r="B66" t="s">
        <v>57</v>
      </c>
      <c r="C66">
        <f t="shared" ref="C66:C81" si="4">+C65</f>
        <v>4</v>
      </c>
      <c r="D66">
        <f t="shared" si="3"/>
        <v>33</v>
      </c>
      <c r="E66" t="str">
        <f>+'Raw data'!A141</f>
        <v>Xanthi Ducks 🦆</v>
      </c>
      <c r="F66" t="str">
        <f>VLOOKUP(E66,Data!$E$2626:$F$2645,2,FALSE)</f>
        <v>Kotakis</v>
      </c>
      <c r="H66">
        <f>+'Raw data'!A162</f>
        <v>5</v>
      </c>
      <c r="I66">
        <f>+'Raw data'!B162</f>
        <v>8</v>
      </c>
      <c r="J66">
        <f>+'Raw data'!C162</f>
        <v>0</v>
      </c>
      <c r="M66">
        <f>+'Raw data'!E162</f>
        <v>144</v>
      </c>
      <c r="N66">
        <f>+'Raw data'!F162</f>
        <v>0.49099999999999999</v>
      </c>
      <c r="O66">
        <f>+'Raw data'!G162</f>
        <v>37</v>
      </c>
      <c r="P66">
        <f>+'Raw data'!H162</f>
        <v>0.33600000000000002</v>
      </c>
      <c r="Q66">
        <f>+'Raw data'!I162</f>
        <v>0.74199999999999999</v>
      </c>
      <c r="R66">
        <f>+'Raw data'!J162</f>
        <v>371</v>
      </c>
      <c r="S66">
        <f>+'Raw data'!K162</f>
        <v>44</v>
      </c>
      <c r="T66">
        <f>+'Raw data'!L162</f>
        <v>128</v>
      </c>
      <c r="U66">
        <f>+'Raw data'!M162</f>
        <v>88</v>
      </c>
      <c r="V66">
        <f>+'Raw data'!N162</f>
        <v>36</v>
      </c>
      <c r="W66">
        <f>+'Raw data'!O162</f>
        <v>19</v>
      </c>
      <c r="X66">
        <f>+'Raw data'!P162</f>
        <v>53</v>
      </c>
      <c r="Y66">
        <f>+'Raw data'!Q162</f>
        <v>1.66</v>
      </c>
    </row>
    <row r="67" spans="1:25" x14ac:dyDescent="0.25">
      <c r="A67">
        <v>2025</v>
      </c>
      <c r="B67" t="s">
        <v>57</v>
      </c>
      <c r="C67">
        <f t="shared" si="4"/>
        <v>4</v>
      </c>
      <c r="D67">
        <f t="shared" si="3"/>
        <v>33</v>
      </c>
      <c r="E67" t="str">
        <f>+'Raw data'!A142</f>
        <v>Fighting Thaddeus</v>
      </c>
      <c r="F67" t="str">
        <f>VLOOKUP(E67,Data!$E$2626:$F$2645,2,FALSE)</f>
        <v>Stavros</v>
      </c>
      <c r="H67">
        <f>+'Raw data'!A163</f>
        <v>8</v>
      </c>
      <c r="I67">
        <f>+'Raw data'!B163</f>
        <v>5</v>
      </c>
      <c r="J67">
        <f>+'Raw data'!C163</f>
        <v>0</v>
      </c>
      <c r="M67">
        <f>+'Raw data'!E163</f>
        <v>155</v>
      </c>
      <c r="N67">
        <f>+'Raw data'!F163</f>
        <v>0.45600000000000002</v>
      </c>
      <c r="O67">
        <f>+'Raw data'!G163</f>
        <v>72</v>
      </c>
      <c r="P67">
        <f>+'Raw data'!H163</f>
        <v>0.39600000000000002</v>
      </c>
      <c r="Q67">
        <f>+'Raw data'!I163</f>
        <v>0.81399999999999995</v>
      </c>
      <c r="R67">
        <f>+'Raw data'!J163</f>
        <v>452</v>
      </c>
      <c r="S67">
        <f>+'Raw data'!K163</f>
        <v>18</v>
      </c>
      <c r="T67">
        <f>+'Raw data'!L163</f>
        <v>103</v>
      </c>
      <c r="U67">
        <f>+'Raw data'!M163</f>
        <v>94</v>
      </c>
      <c r="V67">
        <f>+'Raw data'!N163</f>
        <v>24</v>
      </c>
      <c r="W67">
        <f>+'Raw data'!O163</f>
        <v>14</v>
      </c>
      <c r="X67">
        <f>+'Raw data'!P163</f>
        <v>33</v>
      </c>
      <c r="Y67">
        <f>+'Raw data'!Q163</f>
        <v>2.85</v>
      </c>
    </row>
    <row r="68" spans="1:25" x14ac:dyDescent="0.25">
      <c r="A68">
        <v>2025</v>
      </c>
      <c r="B68" t="s">
        <v>57</v>
      </c>
      <c r="C68">
        <f t="shared" si="4"/>
        <v>4</v>
      </c>
      <c r="D68">
        <f t="shared" si="3"/>
        <v>34</v>
      </c>
      <c r="E68" t="str">
        <f>+'Raw data'!A143</f>
        <v>Kourayo Vallecano</v>
      </c>
      <c r="F68" t="str">
        <f>VLOOKUP(E68,Data!$E$2626:$F$2645,2,FALSE)</f>
        <v>Ziogas/Christof</v>
      </c>
      <c r="H68">
        <f>+'Raw data'!A164</f>
        <v>10</v>
      </c>
      <c r="I68">
        <f>+'Raw data'!B164</f>
        <v>2</v>
      </c>
      <c r="J68">
        <f>+'Raw data'!C164</f>
        <v>1</v>
      </c>
      <c r="M68">
        <f>+'Raw data'!E164</f>
        <v>200</v>
      </c>
      <c r="N68">
        <f>+'Raw data'!F164</f>
        <v>0.48899999999999999</v>
      </c>
      <c r="O68">
        <f>+'Raw data'!G164</f>
        <v>76</v>
      </c>
      <c r="P68">
        <f>+'Raw data'!H164</f>
        <v>0.40899999999999997</v>
      </c>
      <c r="Q68">
        <f>+'Raw data'!I164</f>
        <v>0.876</v>
      </c>
      <c r="R68">
        <f>+'Raw data'!J164</f>
        <v>582</v>
      </c>
      <c r="S68">
        <f>+'Raw data'!K164</f>
        <v>53</v>
      </c>
      <c r="T68">
        <f>+'Raw data'!L164</f>
        <v>132</v>
      </c>
      <c r="U68">
        <f>+'Raw data'!M164</f>
        <v>124</v>
      </c>
      <c r="V68">
        <f>+'Raw data'!N164</f>
        <v>32</v>
      </c>
      <c r="W68">
        <f>+'Raw data'!O164</f>
        <v>17</v>
      </c>
      <c r="X68">
        <f>+'Raw data'!P164</f>
        <v>43</v>
      </c>
      <c r="Y68">
        <f>+'Raw data'!Q164</f>
        <v>2.88</v>
      </c>
    </row>
    <row r="69" spans="1:25" x14ac:dyDescent="0.25">
      <c r="A69">
        <v>2025</v>
      </c>
      <c r="B69" t="s">
        <v>57</v>
      </c>
      <c r="C69">
        <f t="shared" si="4"/>
        <v>4</v>
      </c>
      <c r="D69">
        <f t="shared" si="3"/>
        <v>34</v>
      </c>
      <c r="E69" t="str">
        <f>+'Raw data'!A144</f>
        <v>Karafli Saita</v>
      </c>
      <c r="F69" t="str">
        <f>VLOOKUP(E69,Data!$E$2626:$F$2645,2,FALSE)</f>
        <v>Tassos</v>
      </c>
      <c r="H69">
        <f>+'Raw data'!A165</f>
        <v>2</v>
      </c>
      <c r="I69">
        <f>+'Raw data'!B165</f>
        <v>10</v>
      </c>
      <c r="J69">
        <f>+'Raw data'!C165</f>
        <v>1</v>
      </c>
      <c r="M69">
        <f>+'Raw data'!E165</f>
        <v>189</v>
      </c>
      <c r="N69">
        <f>+'Raw data'!F165</f>
        <v>0.45100000000000001</v>
      </c>
      <c r="O69">
        <f>+'Raw data'!G165</f>
        <v>36</v>
      </c>
      <c r="P69">
        <f>+'Raw data'!H165</f>
        <v>0.29299999999999998</v>
      </c>
      <c r="Q69">
        <f>+'Raw data'!I165</f>
        <v>0.79400000000000004</v>
      </c>
      <c r="R69">
        <f>+'Raw data'!J165</f>
        <v>522</v>
      </c>
      <c r="S69">
        <f>+'Raw data'!K165</f>
        <v>37</v>
      </c>
      <c r="T69">
        <f>+'Raw data'!L165</f>
        <v>135</v>
      </c>
      <c r="U69">
        <f>+'Raw data'!M165</f>
        <v>116</v>
      </c>
      <c r="V69">
        <f>+'Raw data'!N165</f>
        <v>32</v>
      </c>
      <c r="W69">
        <f>+'Raw data'!O165</f>
        <v>18</v>
      </c>
      <c r="X69">
        <f>+'Raw data'!P165</f>
        <v>50</v>
      </c>
      <c r="Y69">
        <f>+'Raw data'!Q165</f>
        <v>2.3199999999999998</v>
      </c>
    </row>
    <row r="70" spans="1:25" x14ac:dyDescent="0.25">
      <c r="A70">
        <v>2025</v>
      </c>
      <c r="B70" t="s">
        <v>57</v>
      </c>
      <c r="C70">
        <f t="shared" si="4"/>
        <v>4</v>
      </c>
      <c r="D70">
        <f t="shared" si="3"/>
        <v>35</v>
      </c>
      <c r="E70" t="str">
        <f>+'Raw data'!A145</f>
        <v>The Bridgeburners</v>
      </c>
      <c r="F70" t="str">
        <f>VLOOKUP(E70,Data!$E$2626:$F$2645,2,FALSE)</f>
        <v>Fanis</v>
      </c>
      <c r="H70">
        <f>+'Raw data'!A166</f>
        <v>8</v>
      </c>
      <c r="I70">
        <f>+'Raw data'!B166</f>
        <v>5</v>
      </c>
      <c r="J70">
        <f>+'Raw data'!C166</f>
        <v>0</v>
      </c>
      <c r="M70">
        <f>+'Raw data'!E166</f>
        <v>180</v>
      </c>
      <c r="N70">
        <f>+'Raw data'!F166</f>
        <v>0.497</v>
      </c>
      <c r="O70">
        <f>+'Raw data'!G166</f>
        <v>45</v>
      </c>
      <c r="P70">
        <f>+'Raw data'!H166</f>
        <v>0.38100000000000001</v>
      </c>
      <c r="Q70">
        <f>+'Raw data'!I166</f>
        <v>0.79400000000000004</v>
      </c>
      <c r="R70">
        <f>+'Raw data'!J166</f>
        <v>536</v>
      </c>
      <c r="S70">
        <f>+'Raw data'!K166</f>
        <v>63</v>
      </c>
      <c r="T70">
        <f>+'Raw data'!L166</f>
        <v>154</v>
      </c>
      <c r="U70">
        <f>+'Raw data'!M166</f>
        <v>87</v>
      </c>
      <c r="V70">
        <f>+'Raw data'!N166</f>
        <v>31</v>
      </c>
      <c r="W70">
        <f>+'Raw data'!O166</f>
        <v>33</v>
      </c>
      <c r="X70">
        <f>+'Raw data'!P166</f>
        <v>63</v>
      </c>
      <c r="Y70">
        <f>+'Raw data'!Q166</f>
        <v>1.38</v>
      </c>
    </row>
    <row r="71" spans="1:25" x14ac:dyDescent="0.25">
      <c r="A71">
        <v>2025</v>
      </c>
      <c r="B71" t="s">
        <v>57</v>
      </c>
      <c r="C71">
        <f t="shared" si="4"/>
        <v>4</v>
      </c>
      <c r="D71">
        <f t="shared" si="3"/>
        <v>35</v>
      </c>
      <c r="E71" t="str">
        <f>+'Raw data'!A146</f>
        <v>Pachiana NinjaBees</v>
      </c>
      <c r="F71" t="str">
        <f>VLOOKUP(E71,Data!$E$2626:$F$2645,2,FALSE)</f>
        <v>Spiridaus/Oladipas</v>
      </c>
      <c r="H71">
        <f>+'Raw data'!A167</f>
        <v>5</v>
      </c>
      <c r="I71">
        <f>+'Raw data'!B167</f>
        <v>8</v>
      </c>
      <c r="J71">
        <f>+'Raw data'!C167</f>
        <v>0</v>
      </c>
      <c r="M71">
        <f>+'Raw data'!E167</f>
        <v>172</v>
      </c>
      <c r="N71">
        <f>+'Raw data'!F167</f>
        <v>0.499</v>
      </c>
      <c r="O71">
        <f>+'Raw data'!G167</f>
        <v>42</v>
      </c>
      <c r="P71">
        <f>+'Raw data'!H167</f>
        <v>0.372</v>
      </c>
      <c r="Q71">
        <f>+'Raw data'!I167</f>
        <v>0.79</v>
      </c>
      <c r="R71">
        <f>+'Raw data'!J167</f>
        <v>469</v>
      </c>
      <c r="S71">
        <f>+'Raw data'!K167</f>
        <v>49</v>
      </c>
      <c r="T71">
        <f>+'Raw data'!L167</f>
        <v>138</v>
      </c>
      <c r="U71">
        <f>+'Raw data'!M167</f>
        <v>122</v>
      </c>
      <c r="V71">
        <f>+'Raw data'!N167</f>
        <v>37</v>
      </c>
      <c r="W71">
        <f>+'Raw data'!O167</f>
        <v>24</v>
      </c>
      <c r="X71">
        <f>+'Raw data'!P167</f>
        <v>55</v>
      </c>
      <c r="Y71">
        <f>+'Raw data'!Q167</f>
        <v>2.2200000000000002</v>
      </c>
    </row>
    <row r="72" spans="1:25" x14ac:dyDescent="0.25">
      <c r="A72">
        <v>2025</v>
      </c>
      <c r="B72" t="s">
        <v>57</v>
      </c>
      <c r="C72">
        <f t="shared" si="4"/>
        <v>4</v>
      </c>
      <c r="D72">
        <f t="shared" si="3"/>
        <v>36</v>
      </c>
      <c r="E72" t="str">
        <f>+'Raw data'!A147</f>
        <v>Heraklion Snakes</v>
      </c>
      <c r="F72" t="str">
        <f>VLOOKUP(E72,Data!$E$2626:$F$2645,2,FALSE)</f>
        <v>Dimitris</v>
      </c>
      <c r="H72">
        <f>+'Raw data'!A168</f>
        <v>4</v>
      </c>
      <c r="I72">
        <f>+'Raw data'!B168</f>
        <v>9</v>
      </c>
      <c r="J72">
        <f>+'Raw data'!C168</f>
        <v>0</v>
      </c>
      <c r="M72">
        <f>+'Raw data'!E168</f>
        <v>54</v>
      </c>
      <c r="N72">
        <f>+'Raw data'!F168</f>
        <v>0.432</v>
      </c>
      <c r="O72">
        <f>+'Raw data'!G168</f>
        <v>22</v>
      </c>
      <c r="P72">
        <f>+'Raw data'!H168</f>
        <v>0.41499999999999998</v>
      </c>
      <c r="Q72">
        <f>+'Raw data'!I168</f>
        <v>0.84599999999999997</v>
      </c>
      <c r="R72">
        <f>+'Raw data'!J168</f>
        <v>163</v>
      </c>
      <c r="S72">
        <f>+'Raw data'!K168</f>
        <v>17</v>
      </c>
      <c r="T72">
        <f>+'Raw data'!L168</f>
        <v>48</v>
      </c>
      <c r="U72">
        <f>+'Raw data'!M168</f>
        <v>30</v>
      </c>
      <c r="V72">
        <f>+'Raw data'!N168</f>
        <v>12</v>
      </c>
      <c r="W72">
        <f>+'Raw data'!O168</f>
        <v>8</v>
      </c>
      <c r="X72">
        <f>+'Raw data'!P168</f>
        <v>17</v>
      </c>
      <c r="Y72">
        <f>+'Raw data'!Q168</f>
        <v>1.76</v>
      </c>
    </row>
    <row r="73" spans="1:25" x14ac:dyDescent="0.25">
      <c r="A73">
        <v>2025</v>
      </c>
      <c r="B73" t="s">
        <v>57</v>
      </c>
      <c r="C73">
        <f t="shared" si="4"/>
        <v>4</v>
      </c>
      <c r="D73">
        <f t="shared" si="3"/>
        <v>36</v>
      </c>
      <c r="E73" t="str">
        <f>+'Raw data'!A148</f>
        <v>st.Helens Eruptions</v>
      </c>
      <c r="F73" t="str">
        <f>VLOOKUP(E73,Data!$E$2626:$F$2645,2,FALSE)</f>
        <v>Aris</v>
      </c>
      <c r="H73">
        <f>+'Raw data'!A169</f>
        <v>9</v>
      </c>
      <c r="I73">
        <f>+'Raw data'!B169</f>
        <v>4</v>
      </c>
      <c r="J73">
        <f>+'Raw data'!C169</f>
        <v>0</v>
      </c>
      <c r="M73">
        <f>+'Raw data'!E169</f>
        <v>137</v>
      </c>
      <c r="N73">
        <f>+'Raw data'!F169</f>
        <v>0.46899999999999997</v>
      </c>
      <c r="O73">
        <f>+'Raw data'!G169</f>
        <v>38</v>
      </c>
      <c r="P73">
        <f>+'Raw data'!H169</f>
        <v>0.32500000000000001</v>
      </c>
      <c r="Q73">
        <f>+'Raw data'!I169</f>
        <v>0.79200000000000004</v>
      </c>
      <c r="R73">
        <f>+'Raw data'!J169</f>
        <v>350</v>
      </c>
      <c r="S73">
        <f>+'Raw data'!K169</f>
        <v>31</v>
      </c>
      <c r="T73">
        <f>+'Raw data'!L169</f>
        <v>101</v>
      </c>
      <c r="U73">
        <f>+'Raw data'!M169</f>
        <v>91</v>
      </c>
      <c r="V73">
        <f>+'Raw data'!N169</f>
        <v>28</v>
      </c>
      <c r="W73">
        <f>+'Raw data'!O169</f>
        <v>14</v>
      </c>
      <c r="X73">
        <f>+'Raw data'!P169</f>
        <v>59</v>
      </c>
      <c r="Y73">
        <f>+'Raw data'!Q169</f>
        <v>1.54</v>
      </c>
    </row>
    <row r="74" spans="1:25" x14ac:dyDescent="0.25">
      <c r="A74">
        <v>2025</v>
      </c>
      <c r="B74" t="s">
        <v>57</v>
      </c>
      <c r="C74">
        <f t="shared" si="4"/>
        <v>4</v>
      </c>
      <c r="D74">
        <f t="shared" si="3"/>
        <v>37</v>
      </c>
      <c r="E74" t="str">
        <f>+'Raw data'!A149</f>
        <v>Guruuu 🐐🐐🐐</v>
      </c>
      <c r="F74" t="str">
        <f>VLOOKUP(E74,Data!$E$2626:$F$2645,2,FALSE)</f>
        <v>Guru</v>
      </c>
      <c r="H74">
        <f>+'Raw data'!A170</f>
        <v>8</v>
      </c>
      <c r="I74">
        <f>+'Raw data'!B170</f>
        <v>5</v>
      </c>
      <c r="J74">
        <f>+'Raw data'!C170</f>
        <v>0</v>
      </c>
      <c r="M74">
        <f>+'Raw data'!E170</f>
        <v>193</v>
      </c>
      <c r="N74">
        <f>+'Raw data'!F170</f>
        <v>0.46500000000000002</v>
      </c>
      <c r="O74">
        <f>+'Raw data'!G170</f>
        <v>65</v>
      </c>
      <c r="P74">
        <f>+'Raw data'!H170</f>
        <v>0.35899999999999999</v>
      </c>
      <c r="Q74">
        <f>+'Raw data'!I170</f>
        <v>0.79400000000000004</v>
      </c>
      <c r="R74">
        <f>+'Raw data'!J170</f>
        <v>578</v>
      </c>
      <c r="S74">
        <f>+'Raw data'!K170</f>
        <v>35</v>
      </c>
      <c r="T74">
        <f>+'Raw data'!L170</f>
        <v>114</v>
      </c>
      <c r="U74">
        <f>+'Raw data'!M170</f>
        <v>152</v>
      </c>
      <c r="V74">
        <f>+'Raw data'!N170</f>
        <v>39</v>
      </c>
      <c r="W74">
        <f>+'Raw data'!O170</f>
        <v>9</v>
      </c>
      <c r="X74">
        <f>+'Raw data'!P170</f>
        <v>73</v>
      </c>
      <c r="Y74">
        <f>+'Raw data'!Q170</f>
        <v>2.08</v>
      </c>
    </row>
    <row r="75" spans="1:25" x14ac:dyDescent="0.25">
      <c r="A75">
        <v>2025</v>
      </c>
      <c r="B75" t="s">
        <v>57</v>
      </c>
      <c r="C75">
        <f t="shared" si="4"/>
        <v>4</v>
      </c>
      <c r="D75">
        <f t="shared" si="3"/>
        <v>37</v>
      </c>
      <c r="E75" t="str">
        <f>+'Raw data'!A150</f>
        <v>Paralouistas</v>
      </c>
      <c r="F75" t="str">
        <f>VLOOKUP(E75,Data!$E$2626:$F$2645,2,FALSE)</f>
        <v>Panos</v>
      </c>
      <c r="H75">
        <f>+'Raw data'!A171</f>
        <v>5</v>
      </c>
      <c r="I75">
        <f>+'Raw data'!B171</f>
        <v>8</v>
      </c>
      <c r="J75">
        <f>+'Raw data'!C171</f>
        <v>0</v>
      </c>
      <c r="M75">
        <f>+'Raw data'!E171</f>
        <v>179</v>
      </c>
      <c r="N75">
        <f>+'Raw data'!F171</f>
        <v>0.48399999999999999</v>
      </c>
      <c r="O75">
        <f>+'Raw data'!G171</f>
        <v>48</v>
      </c>
      <c r="P75">
        <f>+'Raw data'!H171</f>
        <v>0.34</v>
      </c>
      <c r="Q75">
        <f>+'Raw data'!I171</f>
        <v>0.72399999999999998</v>
      </c>
      <c r="R75">
        <f>+'Raw data'!J171</f>
        <v>490</v>
      </c>
      <c r="S75">
        <f>+'Raw data'!K171</f>
        <v>25</v>
      </c>
      <c r="T75">
        <f>+'Raw data'!L171</f>
        <v>150</v>
      </c>
      <c r="U75">
        <f>+'Raw data'!M171</f>
        <v>135</v>
      </c>
      <c r="V75">
        <f>+'Raw data'!N171</f>
        <v>26</v>
      </c>
      <c r="W75">
        <f>+'Raw data'!O171</f>
        <v>23</v>
      </c>
      <c r="X75">
        <f>+'Raw data'!P171</f>
        <v>53</v>
      </c>
      <c r="Y75">
        <f>+'Raw data'!Q171</f>
        <v>2.5499999999999998</v>
      </c>
    </row>
    <row r="76" spans="1:25" x14ac:dyDescent="0.25">
      <c r="A76">
        <v>2025</v>
      </c>
      <c r="B76" t="s">
        <v>57</v>
      </c>
      <c r="C76">
        <f t="shared" si="4"/>
        <v>4</v>
      </c>
      <c r="D76">
        <f t="shared" si="3"/>
        <v>38</v>
      </c>
      <c r="E76" t="str">
        <f>+'Raw data'!A151</f>
        <v>Knights of Ni</v>
      </c>
      <c r="F76" t="str">
        <f>VLOOKUP(E76,Data!$E$2626:$F$2645,2,FALSE)</f>
        <v>Tolios</v>
      </c>
      <c r="H76">
        <f>+'Raw data'!A172</f>
        <v>8</v>
      </c>
      <c r="I76">
        <f>+'Raw data'!B172</f>
        <v>5</v>
      </c>
      <c r="J76">
        <f>+'Raw data'!C172</f>
        <v>0</v>
      </c>
      <c r="M76">
        <f>+'Raw data'!E172</f>
        <v>185</v>
      </c>
      <c r="N76">
        <f>+'Raw data'!F172</f>
        <v>0.437</v>
      </c>
      <c r="O76">
        <f>+'Raw data'!G172</f>
        <v>47</v>
      </c>
      <c r="P76">
        <f>+'Raw data'!H172</f>
        <v>0.29199999999999998</v>
      </c>
      <c r="Q76">
        <f>+'Raw data'!I172</f>
        <v>0.84</v>
      </c>
      <c r="R76">
        <f>+'Raw data'!J172</f>
        <v>517</v>
      </c>
      <c r="S76">
        <f>+'Raw data'!K172</f>
        <v>34</v>
      </c>
      <c r="T76">
        <f>+'Raw data'!L172</f>
        <v>115</v>
      </c>
      <c r="U76">
        <f>+'Raw data'!M172</f>
        <v>107</v>
      </c>
      <c r="V76">
        <f>+'Raw data'!N172</f>
        <v>39</v>
      </c>
      <c r="W76">
        <f>+'Raw data'!O172</f>
        <v>19</v>
      </c>
      <c r="X76">
        <f>+'Raw data'!P172</f>
        <v>78</v>
      </c>
      <c r="Y76">
        <f>+'Raw data'!Q172</f>
        <v>1.37</v>
      </c>
    </row>
    <row r="77" spans="1:25" x14ac:dyDescent="0.25">
      <c r="A77">
        <v>2025</v>
      </c>
      <c r="B77" t="s">
        <v>57</v>
      </c>
      <c r="C77">
        <f t="shared" si="4"/>
        <v>4</v>
      </c>
      <c r="D77">
        <f t="shared" si="3"/>
        <v>38</v>
      </c>
      <c r="E77" t="str">
        <f>+'Raw data'!A152</f>
        <v>Steven Adams' Moustache</v>
      </c>
      <c r="F77" t="str">
        <f>VLOOKUP(E77,Data!$E$2626:$F$2645,2,FALSE)</f>
        <v>Johnny</v>
      </c>
      <c r="H77">
        <f>+'Raw data'!A173</f>
        <v>5</v>
      </c>
      <c r="I77">
        <f>+'Raw data'!B173</f>
        <v>8</v>
      </c>
      <c r="J77">
        <f>+'Raw data'!C173</f>
        <v>0</v>
      </c>
      <c r="M77">
        <f>+'Raw data'!E173</f>
        <v>127</v>
      </c>
      <c r="N77">
        <f>+'Raw data'!F173</f>
        <v>0.496</v>
      </c>
      <c r="O77">
        <f>+'Raw data'!G173</f>
        <v>43</v>
      </c>
      <c r="P77">
        <f>+'Raw data'!H173</f>
        <v>0.377</v>
      </c>
      <c r="Q77">
        <f>+'Raw data'!I173</f>
        <v>0.86199999999999999</v>
      </c>
      <c r="R77">
        <f>+'Raw data'!J173</f>
        <v>353</v>
      </c>
      <c r="S77">
        <f>+'Raw data'!K173</f>
        <v>24</v>
      </c>
      <c r="T77">
        <f>+'Raw data'!L173</f>
        <v>96</v>
      </c>
      <c r="U77">
        <f>+'Raw data'!M173</f>
        <v>68</v>
      </c>
      <c r="V77">
        <f>+'Raw data'!N173</f>
        <v>16</v>
      </c>
      <c r="W77">
        <f>+'Raw data'!O173</f>
        <v>16</v>
      </c>
      <c r="X77">
        <f>+'Raw data'!P173</f>
        <v>40</v>
      </c>
      <c r="Y77">
        <f>+'Raw data'!Q173</f>
        <v>1.7</v>
      </c>
    </row>
    <row r="78" spans="1:25" x14ac:dyDescent="0.25">
      <c r="A78">
        <v>2025</v>
      </c>
      <c r="B78" t="s">
        <v>57</v>
      </c>
      <c r="C78">
        <f t="shared" si="4"/>
        <v>4</v>
      </c>
      <c r="D78">
        <f t="shared" si="3"/>
        <v>39</v>
      </c>
      <c r="E78" t="str">
        <f>+'Raw data'!A153</f>
        <v>purple fuzzy apache pirates</v>
      </c>
      <c r="F78" t="str">
        <f>VLOOKUP(E78,Data!$E$2626:$F$2645,2,FALSE)</f>
        <v>pi/Sotiris</v>
      </c>
      <c r="H78">
        <f>+'Raw data'!A174</f>
        <v>10</v>
      </c>
      <c r="I78">
        <f>+'Raw data'!B174</f>
        <v>3</v>
      </c>
      <c r="J78">
        <f>+'Raw data'!C174</f>
        <v>0</v>
      </c>
      <c r="M78">
        <f>+'Raw data'!E174</f>
        <v>227</v>
      </c>
      <c r="N78">
        <f>+'Raw data'!F174</f>
        <v>0.50600000000000001</v>
      </c>
      <c r="O78">
        <f>+'Raw data'!G174</f>
        <v>60</v>
      </c>
      <c r="P78">
        <f>+'Raw data'!H174</f>
        <v>0.36399999999999999</v>
      </c>
      <c r="Q78">
        <f>+'Raw data'!I174</f>
        <v>0.79400000000000004</v>
      </c>
      <c r="R78">
        <f>+'Raw data'!J174</f>
        <v>676</v>
      </c>
      <c r="S78">
        <f>+'Raw data'!K174</f>
        <v>53</v>
      </c>
      <c r="T78">
        <f>+'Raw data'!L174</f>
        <v>189</v>
      </c>
      <c r="U78">
        <f>+'Raw data'!M174</f>
        <v>162</v>
      </c>
      <c r="V78">
        <f>+'Raw data'!N174</f>
        <v>35</v>
      </c>
      <c r="W78">
        <f>+'Raw data'!O174</f>
        <v>19</v>
      </c>
      <c r="X78">
        <f>+'Raw data'!P174</f>
        <v>82</v>
      </c>
      <c r="Y78">
        <f>+'Raw data'!Q174</f>
        <v>1.98</v>
      </c>
    </row>
    <row r="79" spans="1:25" x14ac:dyDescent="0.25">
      <c r="A79">
        <v>2025</v>
      </c>
      <c r="B79" t="s">
        <v>57</v>
      </c>
      <c r="C79">
        <f t="shared" si="4"/>
        <v>4</v>
      </c>
      <c r="D79">
        <f t="shared" si="3"/>
        <v>39</v>
      </c>
      <c r="E79" t="str">
        <f>+'Raw data'!A154</f>
        <v>Salonika Devils</v>
      </c>
      <c r="F79" t="str">
        <f>VLOOKUP(E79,Data!$E$2626:$F$2645,2,FALSE)</f>
        <v>Fountos</v>
      </c>
      <c r="H79">
        <f>+'Raw data'!A175</f>
        <v>3</v>
      </c>
      <c r="I79">
        <f>+'Raw data'!B175</f>
        <v>10</v>
      </c>
      <c r="J79">
        <f>+'Raw data'!C175</f>
        <v>0</v>
      </c>
      <c r="M79">
        <f>+'Raw data'!E175</f>
        <v>131</v>
      </c>
      <c r="N79">
        <f>+'Raw data'!F175</f>
        <v>0.47599999999999998</v>
      </c>
      <c r="O79">
        <f>+'Raw data'!G175</f>
        <v>40</v>
      </c>
      <c r="P79">
        <f>+'Raw data'!H175</f>
        <v>0.37</v>
      </c>
      <c r="Q79">
        <f>+'Raw data'!I175</f>
        <v>0.73299999999999998</v>
      </c>
      <c r="R79">
        <f>+'Raw data'!J175</f>
        <v>346</v>
      </c>
      <c r="S79">
        <f>+'Raw data'!K175</f>
        <v>41</v>
      </c>
      <c r="T79">
        <f>+'Raw data'!L175</f>
        <v>99</v>
      </c>
      <c r="U79">
        <f>+'Raw data'!M175</f>
        <v>74</v>
      </c>
      <c r="V79">
        <f>+'Raw data'!N175</f>
        <v>29</v>
      </c>
      <c r="W79">
        <f>+'Raw data'!O175</f>
        <v>12</v>
      </c>
      <c r="X79">
        <f>+'Raw data'!P175</f>
        <v>37</v>
      </c>
      <c r="Y79">
        <f>+'Raw data'!Q175</f>
        <v>2</v>
      </c>
    </row>
    <row r="80" spans="1:25" x14ac:dyDescent="0.25">
      <c r="A80">
        <v>2025</v>
      </c>
      <c r="B80" t="s">
        <v>57</v>
      </c>
      <c r="C80">
        <f t="shared" si="4"/>
        <v>4</v>
      </c>
      <c r="D80">
        <f t="shared" si="3"/>
        <v>40</v>
      </c>
      <c r="E80" t="str">
        <f>+'Raw data'!A155</f>
        <v>The Bad Boys</v>
      </c>
      <c r="F80" t="str">
        <f>VLOOKUP(E80,Data!$E$2626:$F$2645,2,FALSE)</f>
        <v>Arvanitis</v>
      </c>
      <c r="H80">
        <f>+'Raw data'!A176</f>
        <v>8</v>
      </c>
      <c r="I80">
        <f>+'Raw data'!B176</f>
        <v>4</v>
      </c>
      <c r="J80">
        <f>+'Raw data'!C176</f>
        <v>1</v>
      </c>
      <c r="M80">
        <f>+'Raw data'!E176</f>
        <v>174</v>
      </c>
      <c r="N80">
        <f>+'Raw data'!F176</f>
        <v>0.47199999999999998</v>
      </c>
      <c r="O80">
        <f>+'Raw data'!G176</f>
        <v>51</v>
      </c>
      <c r="P80">
        <f>+'Raw data'!H176</f>
        <v>0.35399999999999998</v>
      </c>
      <c r="Q80">
        <f>+'Raw data'!I176</f>
        <v>0.75800000000000001</v>
      </c>
      <c r="R80">
        <f>+'Raw data'!J176</f>
        <v>474</v>
      </c>
      <c r="S80">
        <f>+'Raw data'!K176</f>
        <v>41</v>
      </c>
      <c r="T80">
        <f>+'Raw data'!L176</f>
        <v>103</v>
      </c>
      <c r="U80">
        <f>+'Raw data'!M176</f>
        <v>116</v>
      </c>
      <c r="V80">
        <f>+'Raw data'!N176</f>
        <v>36</v>
      </c>
      <c r="W80">
        <f>+'Raw data'!O176</f>
        <v>13</v>
      </c>
      <c r="X80">
        <f>+'Raw data'!P176</f>
        <v>49</v>
      </c>
      <c r="Y80">
        <f>+'Raw data'!Q176</f>
        <v>2.37</v>
      </c>
    </row>
    <row r="81" spans="1:25" x14ac:dyDescent="0.25">
      <c r="A81">
        <v>2025</v>
      </c>
      <c r="B81" t="s">
        <v>57</v>
      </c>
      <c r="C81">
        <f t="shared" si="4"/>
        <v>4</v>
      </c>
      <c r="D81">
        <f t="shared" si="3"/>
        <v>40</v>
      </c>
      <c r="E81" t="str">
        <f>+'Raw data'!A156</f>
        <v>Samarina Dudenbros</v>
      </c>
      <c r="F81" t="str">
        <f>VLOOKUP(E81,Data!$E$2626:$F$2645,2,FALSE)</f>
        <v>Sakellariou</v>
      </c>
      <c r="H81">
        <f>+'Raw data'!A177</f>
        <v>4</v>
      </c>
      <c r="I81">
        <f>+'Raw data'!B177</f>
        <v>8</v>
      </c>
      <c r="J81">
        <f>+'Raw data'!C177</f>
        <v>1</v>
      </c>
      <c r="M81">
        <f>+'Raw data'!E177</f>
        <v>147</v>
      </c>
      <c r="N81">
        <f>+'Raw data'!F177</f>
        <v>0.432</v>
      </c>
      <c r="O81">
        <f>+'Raw data'!G177</f>
        <v>52</v>
      </c>
      <c r="P81">
        <f>+'Raw data'!H177</f>
        <v>0.33300000000000002</v>
      </c>
      <c r="Q81">
        <f>+'Raw data'!I177</f>
        <v>0.86099999999999999</v>
      </c>
      <c r="R81">
        <f>+'Raw data'!J177</f>
        <v>433</v>
      </c>
      <c r="S81">
        <f>+'Raw data'!K177</f>
        <v>40</v>
      </c>
      <c r="T81">
        <f>+'Raw data'!L177</f>
        <v>106</v>
      </c>
      <c r="U81">
        <f>+'Raw data'!M177</f>
        <v>129</v>
      </c>
      <c r="V81">
        <f>+'Raw data'!N177</f>
        <v>35</v>
      </c>
      <c r="W81">
        <f>+'Raw data'!O177</f>
        <v>13</v>
      </c>
      <c r="X81">
        <f>+'Raw data'!P177</f>
        <v>65</v>
      </c>
      <c r="Y81">
        <f>+'Raw data'!Q177</f>
        <v>1.98</v>
      </c>
    </row>
    <row r="82" spans="1:25" x14ac:dyDescent="0.25">
      <c r="A82">
        <v>2025</v>
      </c>
      <c r="B82" t="s">
        <v>57</v>
      </c>
      <c r="C82">
        <f>+C81+1</f>
        <v>5</v>
      </c>
      <c r="D82">
        <f t="shared" si="3"/>
        <v>41</v>
      </c>
      <c r="E82" t="str">
        <f>+'Raw data'!A181</f>
        <v>Hércules Pals</v>
      </c>
      <c r="F82" t="e">
        <f>VLOOKUP(E82,Data!$E$2626:$F$2645,2,FALSE)</f>
        <v>#N/A</v>
      </c>
      <c r="H82">
        <f>+'Raw data'!A202</f>
        <v>6</v>
      </c>
      <c r="I82">
        <f>+'Raw data'!B202</f>
        <v>7</v>
      </c>
      <c r="J82">
        <f>+'Raw data'!C202</f>
        <v>0</v>
      </c>
      <c r="M82">
        <f>+'Raw data'!E202</f>
        <v>101</v>
      </c>
      <c r="N82">
        <f>+'Raw data'!F202</f>
        <v>0.46300000000000002</v>
      </c>
      <c r="O82">
        <f>+'Raw data'!G202</f>
        <v>43</v>
      </c>
      <c r="P82">
        <f>+'Raw data'!H202</f>
        <v>0.39100000000000001</v>
      </c>
      <c r="Q82">
        <f>+'Raw data'!I202</f>
        <v>0.78600000000000003</v>
      </c>
      <c r="R82">
        <f>+'Raw data'!J202</f>
        <v>278</v>
      </c>
      <c r="S82">
        <f>+'Raw data'!K202</f>
        <v>49</v>
      </c>
      <c r="T82">
        <f>+'Raw data'!L202</f>
        <v>80</v>
      </c>
      <c r="U82">
        <f>+'Raw data'!M202</f>
        <v>53</v>
      </c>
      <c r="V82">
        <f>+'Raw data'!N202</f>
        <v>15</v>
      </c>
      <c r="W82">
        <f>+'Raw data'!O202</f>
        <v>16</v>
      </c>
      <c r="X82">
        <f>+'Raw data'!P202</f>
        <v>33</v>
      </c>
      <c r="Y82">
        <f>+'Raw data'!Q202</f>
        <v>1.61</v>
      </c>
    </row>
    <row r="83" spans="1:25" x14ac:dyDescent="0.25">
      <c r="A83">
        <v>2025</v>
      </c>
      <c r="B83" t="s">
        <v>57</v>
      </c>
      <c r="C83">
        <f>+C82</f>
        <v>5</v>
      </c>
      <c r="D83">
        <f t="shared" si="3"/>
        <v>41</v>
      </c>
      <c r="E83" t="str">
        <f>+'Raw data'!A182</f>
        <v>LRBP PR3DATORS</v>
      </c>
      <c r="F83" t="str">
        <f>VLOOKUP(E83,Data!$E$2626:$F$2645,2,FALSE)</f>
        <v>Lafa</v>
      </c>
      <c r="H83">
        <f>+'Raw data'!A203</f>
        <v>7</v>
      </c>
      <c r="I83">
        <f>+'Raw data'!B203</f>
        <v>6</v>
      </c>
      <c r="J83">
        <f>+'Raw data'!C203</f>
        <v>0</v>
      </c>
      <c r="M83">
        <f>+'Raw data'!E203</f>
        <v>157</v>
      </c>
      <c r="N83">
        <f>+'Raw data'!F203</f>
        <v>0.48599999999999999</v>
      </c>
      <c r="O83">
        <f>+'Raw data'!G203</f>
        <v>40</v>
      </c>
      <c r="P83">
        <f>+'Raw data'!H203</f>
        <v>0.33600000000000002</v>
      </c>
      <c r="Q83">
        <f>+'Raw data'!I203</f>
        <v>0.77400000000000002</v>
      </c>
      <c r="R83">
        <f>+'Raw data'!J203</f>
        <v>460</v>
      </c>
      <c r="S83">
        <f>+'Raw data'!K203</f>
        <v>27</v>
      </c>
      <c r="T83">
        <f>+'Raw data'!L203</f>
        <v>126</v>
      </c>
      <c r="U83">
        <f>+'Raw data'!M203</f>
        <v>103</v>
      </c>
      <c r="V83">
        <f>+'Raw data'!N203</f>
        <v>23</v>
      </c>
      <c r="W83">
        <f>+'Raw data'!O203</f>
        <v>13</v>
      </c>
      <c r="X83">
        <f>+'Raw data'!P203</f>
        <v>58</v>
      </c>
      <c r="Y83">
        <f>+'Raw data'!Q203</f>
        <v>1.78</v>
      </c>
    </row>
    <row r="84" spans="1:25" x14ac:dyDescent="0.25">
      <c r="A84">
        <v>2025</v>
      </c>
      <c r="B84" t="s">
        <v>57</v>
      </c>
      <c r="C84">
        <f>+C83</f>
        <v>5</v>
      </c>
      <c r="D84">
        <f t="shared" si="3"/>
        <v>42</v>
      </c>
      <c r="E84" t="str">
        <f>+'Raw data'!A183</f>
        <v>Fighting Thaddeus</v>
      </c>
      <c r="F84" t="str">
        <f>VLOOKUP(E84,Data!$E$2626:$F$2645,2,FALSE)</f>
        <v>Stavros</v>
      </c>
      <c r="H84">
        <f>+'Raw data'!A204</f>
        <v>3</v>
      </c>
      <c r="I84">
        <f>+'Raw data'!B204</f>
        <v>10</v>
      </c>
      <c r="J84">
        <f>+'Raw data'!C204</f>
        <v>0</v>
      </c>
      <c r="M84">
        <f>+'Raw data'!E204</f>
        <v>109</v>
      </c>
      <c r="N84">
        <f>+'Raw data'!F204</f>
        <v>0.42399999999999999</v>
      </c>
      <c r="O84">
        <f>+'Raw data'!G204</f>
        <v>47</v>
      </c>
      <c r="P84">
        <f>+'Raw data'!H204</f>
        <v>0.36399999999999999</v>
      </c>
      <c r="Q84">
        <f>+'Raw data'!I204</f>
        <v>0.82099999999999995</v>
      </c>
      <c r="R84">
        <f>+'Raw data'!J204</f>
        <v>297</v>
      </c>
      <c r="S84">
        <f>+'Raw data'!K204</f>
        <v>23</v>
      </c>
      <c r="T84">
        <f>+'Raw data'!L204</f>
        <v>85</v>
      </c>
      <c r="U84">
        <f>+'Raw data'!M204</f>
        <v>67</v>
      </c>
      <c r="V84">
        <f>+'Raw data'!N204</f>
        <v>17</v>
      </c>
      <c r="W84">
        <f>+'Raw data'!O204</f>
        <v>10</v>
      </c>
      <c r="X84">
        <f>+'Raw data'!P204</f>
        <v>30</v>
      </c>
      <c r="Y84">
        <f>+'Raw data'!Q204</f>
        <v>2.23</v>
      </c>
    </row>
    <row r="85" spans="1:25" x14ac:dyDescent="0.25">
      <c r="A85">
        <v>2025</v>
      </c>
      <c r="B85" t="s">
        <v>57</v>
      </c>
      <c r="C85">
        <f>+C84</f>
        <v>5</v>
      </c>
      <c r="D85">
        <f t="shared" si="3"/>
        <v>42</v>
      </c>
      <c r="E85" t="str">
        <f>+'Raw data'!A184</f>
        <v>Tsarlatans</v>
      </c>
      <c r="F85" t="str">
        <f>VLOOKUP(E85,Data!$E$2626:$F$2645,2,FALSE)</f>
        <v>Tzokos</v>
      </c>
      <c r="H85">
        <f>+'Raw data'!A205</f>
        <v>10</v>
      </c>
      <c r="I85">
        <f>+'Raw data'!B205</f>
        <v>3</v>
      </c>
      <c r="J85">
        <f>+'Raw data'!C205</f>
        <v>0</v>
      </c>
      <c r="M85">
        <f>+'Raw data'!E205</f>
        <v>170</v>
      </c>
      <c r="N85">
        <f>+'Raw data'!F205</f>
        <v>0.48299999999999998</v>
      </c>
      <c r="O85">
        <f>+'Raw data'!G205</f>
        <v>50</v>
      </c>
      <c r="P85">
        <f>+'Raw data'!H205</f>
        <v>0.43099999999999999</v>
      </c>
      <c r="Q85">
        <f>+'Raw data'!I205</f>
        <v>0.81499999999999995</v>
      </c>
      <c r="R85">
        <f>+'Raw data'!J205</f>
        <v>465</v>
      </c>
      <c r="S85">
        <f>+'Raw data'!K205</f>
        <v>62</v>
      </c>
      <c r="T85">
        <f>+'Raw data'!L205</f>
        <v>177</v>
      </c>
      <c r="U85">
        <f>+'Raw data'!M205</f>
        <v>99</v>
      </c>
      <c r="V85">
        <f>+'Raw data'!N205</f>
        <v>34</v>
      </c>
      <c r="W85">
        <f>+'Raw data'!O205</f>
        <v>20</v>
      </c>
      <c r="X85">
        <f>+'Raw data'!P205</f>
        <v>50</v>
      </c>
      <c r="Y85">
        <f>+'Raw data'!Q205</f>
        <v>1.98</v>
      </c>
    </row>
    <row r="86" spans="1:25" x14ac:dyDescent="0.25">
      <c r="A86">
        <v>2025</v>
      </c>
      <c r="B86" t="s">
        <v>57</v>
      </c>
      <c r="C86">
        <f t="shared" ref="C86:C101" si="5">+C85</f>
        <v>5</v>
      </c>
      <c r="D86">
        <f t="shared" si="3"/>
        <v>43</v>
      </c>
      <c r="E86" t="str">
        <f>+'Raw data'!A185</f>
        <v>Karafli Saita</v>
      </c>
      <c r="F86" t="str">
        <f>VLOOKUP(E86,Data!$E$2626:$F$2645,2,FALSE)</f>
        <v>Tassos</v>
      </c>
      <c r="H86">
        <f>+'Raw data'!A206</f>
        <v>7</v>
      </c>
      <c r="I86">
        <f>+'Raw data'!B206</f>
        <v>6</v>
      </c>
      <c r="J86">
        <f>+'Raw data'!C206</f>
        <v>0</v>
      </c>
      <c r="M86">
        <f>+'Raw data'!E206</f>
        <v>246</v>
      </c>
      <c r="N86">
        <f>+'Raw data'!F206</f>
        <v>0.49</v>
      </c>
      <c r="O86">
        <f>+'Raw data'!G206</f>
        <v>65</v>
      </c>
      <c r="P86">
        <f>+'Raw data'!H206</f>
        <v>0.35099999999999998</v>
      </c>
      <c r="Q86">
        <f>+'Raw data'!I206</f>
        <v>0.81899999999999995</v>
      </c>
      <c r="R86">
        <f>+'Raw data'!J206</f>
        <v>675</v>
      </c>
      <c r="S86">
        <f>+'Raw data'!K206</f>
        <v>47</v>
      </c>
      <c r="T86">
        <f>+'Raw data'!L206</f>
        <v>160</v>
      </c>
      <c r="U86">
        <f>+'Raw data'!M206</f>
        <v>157</v>
      </c>
      <c r="V86">
        <f>+'Raw data'!N206</f>
        <v>43</v>
      </c>
      <c r="W86">
        <f>+'Raw data'!O206</f>
        <v>28</v>
      </c>
      <c r="X86">
        <f>+'Raw data'!P206</f>
        <v>86</v>
      </c>
      <c r="Y86">
        <f>+'Raw data'!Q206</f>
        <v>1.83</v>
      </c>
    </row>
    <row r="87" spans="1:25" x14ac:dyDescent="0.25">
      <c r="A87">
        <v>2025</v>
      </c>
      <c r="B87" t="s">
        <v>57</v>
      </c>
      <c r="C87">
        <f t="shared" si="5"/>
        <v>5</v>
      </c>
      <c r="D87">
        <f t="shared" si="3"/>
        <v>43</v>
      </c>
      <c r="E87" t="str">
        <f>+'Raw data'!A186</f>
        <v>The Guns</v>
      </c>
      <c r="F87" t="str">
        <f>VLOOKUP(E87,Data!$E$2626:$F$2645,2,FALSE)</f>
        <v>Vasilis</v>
      </c>
      <c r="H87">
        <f>+'Raw data'!A207</f>
        <v>6</v>
      </c>
      <c r="I87">
        <f>+'Raw data'!B207</f>
        <v>7</v>
      </c>
      <c r="J87">
        <f>+'Raw data'!C207</f>
        <v>0</v>
      </c>
      <c r="M87">
        <f>+'Raw data'!E207</f>
        <v>197</v>
      </c>
      <c r="N87">
        <f>+'Raw data'!F207</f>
        <v>0.52100000000000002</v>
      </c>
      <c r="O87">
        <f>+'Raw data'!G207</f>
        <v>71</v>
      </c>
      <c r="P87">
        <f>+'Raw data'!H207</f>
        <v>0.41799999999999998</v>
      </c>
      <c r="Q87">
        <f>+'Raw data'!I207</f>
        <v>0.85399999999999998</v>
      </c>
      <c r="R87">
        <f>+'Raw data'!J207</f>
        <v>576</v>
      </c>
      <c r="S87">
        <f>+'Raw data'!K207</f>
        <v>20</v>
      </c>
      <c r="T87">
        <f>+'Raw data'!L207</f>
        <v>103</v>
      </c>
      <c r="U87">
        <f>+'Raw data'!M207</f>
        <v>105</v>
      </c>
      <c r="V87">
        <f>+'Raw data'!N207</f>
        <v>42</v>
      </c>
      <c r="W87">
        <f>+'Raw data'!O207</f>
        <v>24</v>
      </c>
      <c r="X87">
        <f>+'Raw data'!P207</f>
        <v>57</v>
      </c>
      <c r="Y87">
        <f>+'Raw data'!Q207</f>
        <v>1.84</v>
      </c>
    </row>
    <row r="88" spans="1:25" x14ac:dyDescent="0.25">
      <c r="A88">
        <v>2025</v>
      </c>
      <c r="B88" t="s">
        <v>57</v>
      </c>
      <c r="C88">
        <f t="shared" si="5"/>
        <v>5</v>
      </c>
      <c r="D88">
        <f t="shared" si="3"/>
        <v>44</v>
      </c>
      <c r="E88" t="str">
        <f>+'Raw data'!A187</f>
        <v>Pachiana NinjaBees</v>
      </c>
      <c r="F88" t="str">
        <f>VLOOKUP(E88,Data!$E$2626:$F$2645,2,FALSE)</f>
        <v>Spiridaus/Oladipas</v>
      </c>
      <c r="H88">
        <f>+'Raw data'!A208</f>
        <v>5</v>
      </c>
      <c r="I88">
        <f>+'Raw data'!B208</f>
        <v>8</v>
      </c>
      <c r="J88">
        <f>+'Raw data'!C208</f>
        <v>0</v>
      </c>
      <c r="M88">
        <f>+'Raw data'!E208</f>
        <v>161</v>
      </c>
      <c r="N88">
        <f>+'Raw data'!F208</f>
        <v>0.503</v>
      </c>
      <c r="O88">
        <f>+'Raw data'!G208</f>
        <v>42</v>
      </c>
      <c r="P88">
        <f>+'Raw data'!H208</f>
        <v>0.38500000000000001</v>
      </c>
      <c r="Q88">
        <f>+'Raw data'!I208</f>
        <v>0.77600000000000002</v>
      </c>
      <c r="R88">
        <f>+'Raw data'!J208</f>
        <v>402</v>
      </c>
      <c r="S88">
        <f>+'Raw data'!K208</f>
        <v>38</v>
      </c>
      <c r="T88">
        <f>+'Raw data'!L208</f>
        <v>92</v>
      </c>
      <c r="U88">
        <f>+'Raw data'!M208</f>
        <v>99</v>
      </c>
      <c r="V88">
        <f>+'Raw data'!N208</f>
        <v>28</v>
      </c>
      <c r="W88">
        <f>+'Raw data'!O208</f>
        <v>18</v>
      </c>
      <c r="X88">
        <f>+'Raw data'!P208</f>
        <v>43</v>
      </c>
      <c r="Y88">
        <f>+'Raw data'!Q208</f>
        <v>2.2999999999999998</v>
      </c>
    </row>
    <row r="89" spans="1:25" x14ac:dyDescent="0.25">
      <c r="A89">
        <v>2025</v>
      </c>
      <c r="B89" t="s">
        <v>57</v>
      </c>
      <c r="C89">
        <f t="shared" si="5"/>
        <v>5</v>
      </c>
      <c r="D89">
        <f t="shared" si="3"/>
        <v>44</v>
      </c>
      <c r="E89" t="str">
        <f>+'Raw data'!A188</f>
        <v>Xanthi Ducks 🦆</v>
      </c>
      <c r="F89" t="str">
        <f>VLOOKUP(E89,Data!$E$2626:$F$2645,2,FALSE)</f>
        <v>Kotakis</v>
      </c>
      <c r="H89">
        <f>+'Raw data'!A209</f>
        <v>8</v>
      </c>
      <c r="I89">
        <f>+'Raw data'!B209</f>
        <v>5</v>
      </c>
      <c r="J89">
        <f>+'Raw data'!C209</f>
        <v>0</v>
      </c>
      <c r="M89">
        <f>+'Raw data'!E209</f>
        <v>120</v>
      </c>
      <c r="N89">
        <f>+'Raw data'!F209</f>
        <v>0.51500000000000001</v>
      </c>
      <c r="O89">
        <f>+'Raw data'!G209</f>
        <v>46</v>
      </c>
      <c r="P89">
        <f>+'Raw data'!H209</f>
        <v>0.40699999999999997</v>
      </c>
      <c r="Q89">
        <f>+'Raw data'!I209</f>
        <v>0.79</v>
      </c>
      <c r="R89">
        <f>+'Raw data'!J209</f>
        <v>350</v>
      </c>
      <c r="S89">
        <f>+'Raw data'!K209</f>
        <v>33</v>
      </c>
      <c r="T89">
        <f>+'Raw data'!L209</f>
        <v>103</v>
      </c>
      <c r="U89">
        <f>+'Raw data'!M209</f>
        <v>106</v>
      </c>
      <c r="V89">
        <f>+'Raw data'!N209</f>
        <v>35</v>
      </c>
      <c r="W89">
        <f>+'Raw data'!O209</f>
        <v>22</v>
      </c>
      <c r="X89">
        <f>+'Raw data'!P209</f>
        <v>55</v>
      </c>
      <c r="Y89">
        <f>+'Raw data'!Q209</f>
        <v>1.93</v>
      </c>
    </row>
    <row r="90" spans="1:25" x14ac:dyDescent="0.25">
      <c r="A90">
        <v>2025</v>
      </c>
      <c r="B90" t="s">
        <v>57</v>
      </c>
      <c r="C90">
        <f t="shared" si="5"/>
        <v>5</v>
      </c>
      <c r="D90">
        <f t="shared" si="3"/>
        <v>45</v>
      </c>
      <c r="E90" t="str">
        <f>+'Raw data'!A189</f>
        <v>st.Helens Eruptions</v>
      </c>
      <c r="F90" t="str">
        <f>VLOOKUP(E90,Data!$E$2626:$F$2645,2,FALSE)</f>
        <v>Aris</v>
      </c>
      <c r="H90">
        <f>+'Raw data'!A210</f>
        <v>4</v>
      </c>
      <c r="I90">
        <f>+'Raw data'!B210</f>
        <v>9</v>
      </c>
      <c r="J90">
        <f>+'Raw data'!C210</f>
        <v>0</v>
      </c>
      <c r="M90">
        <f>+'Raw data'!E210</f>
        <v>144</v>
      </c>
      <c r="N90">
        <f>+'Raw data'!F210</f>
        <v>0.503</v>
      </c>
      <c r="O90">
        <f>+'Raw data'!G210</f>
        <v>44</v>
      </c>
      <c r="P90">
        <f>+'Raw data'!H210</f>
        <v>0.379</v>
      </c>
      <c r="Q90">
        <f>+'Raw data'!I210</f>
        <v>0.76400000000000001</v>
      </c>
      <c r="R90">
        <f>+'Raw data'!J210</f>
        <v>387</v>
      </c>
      <c r="S90">
        <f>+'Raw data'!K210</f>
        <v>38</v>
      </c>
      <c r="T90">
        <f>+'Raw data'!L210</f>
        <v>90</v>
      </c>
      <c r="U90">
        <f>+'Raw data'!M210</f>
        <v>70</v>
      </c>
      <c r="V90">
        <f>+'Raw data'!N210</f>
        <v>30</v>
      </c>
      <c r="W90">
        <f>+'Raw data'!O210</f>
        <v>12</v>
      </c>
      <c r="X90">
        <f>+'Raw data'!P210</f>
        <v>51</v>
      </c>
      <c r="Y90">
        <f>+'Raw data'!Q210</f>
        <v>1.37</v>
      </c>
    </row>
    <row r="91" spans="1:25" x14ac:dyDescent="0.25">
      <c r="A91">
        <v>2025</v>
      </c>
      <c r="B91" t="s">
        <v>57</v>
      </c>
      <c r="C91">
        <f t="shared" si="5"/>
        <v>5</v>
      </c>
      <c r="D91">
        <f t="shared" si="3"/>
        <v>45</v>
      </c>
      <c r="E91" t="str">
        <f>+'Raw data'!A190</f>
        <v>Kourayo Vallecano</v>
      </c>
      <c r="F91" t="str">
        <f>VLOOKUP(E91,Data!$E$2626:$F$2645,2,FALSE)</f>
        <v>Ziogas/Christof</v>
      </c>
      <c r="H91">
        <f>+'Raw data'!A211</f>
        <v>9</v>
      </c>
      <c r="I91">
        <f>+'Raw data'!B211</f>
        <v>4</v>
      </c>
      <c r="J91">
        <f>+'Raw data'!C211</f>
        <v>0</v>
      </c>
      <c r="M91">
        <f>+'Raw data'!E211</f>
        <v>187</v>
      </c>
      <c r="N91">
        <f>+'Raw data'!F211</f>
        <v>0.45600000000000002</v>
      </c>
      <c r="O91">
        <f>+'Raw data'!G211</f>
        <v>52</v>
      </c>
      <c r="P91">
        <f>+'Raw data'!H211</f>
        <v>0.317</v>
      </c>
      <c r="Q91">
        <f>+'Raw data'!I211</f>
        <v>0.82899999999999996</v>
      </c>
      <c r="R91">
        <f>+'Raw data'!J211</f>
        <v>523</v>
      </c>
      <c r="S91">
        <f>+'Raw data'!K211</f>
        <v>52</v>
      </c>
      <c r="T91">
        <f>+'Raw data'!L211</f>
        <v>121</v>
      </c>
      <c r="U91">
        <f>+'Raw data'!M211</f>
        <v>102</v>
      </c>
      <c r="V91">
        <f>+'Raw data'!N211</f>
        <v>27</v>
      </c>
      <c r="W91">
        <f>+'Raw data'!O211</f>
        <v>18</v>
      </c>
      <c r="X91">
        <f>+'Raw data'!P211</f>
        <v>54</v>
      </c>
      <c r="Y91">
        <f>+'Raw data'!Q211</f>
        <v>1.89</v>
      </c>
    </row>
    <row r="92" spans="1:25" x14ac:dyDescent="0.25">
      <c r="A92">
        <v>2025</v>
      </c>
      <c r="B92" t="s">
        <v>57</v>
      </c>
      <c r="C92">
        <f t="shared" si="5"/>
        <v>5</v>
      </c>
      <c r="D92">
        <f t="shared" si="3"/>
        <v>46</v>
      </c>
      <c r="E92" t="str">
        <f>+'Raw data'!A191</f>
        <v>Paralouistas</v>
      </c>
      <c r="F92" t="str">
        <f>VLOOKUP(E92,Data!$E$2626:$F$2645,2,FALSE)</f>
        <v>Panos</v>
      </c>
      <c r="H92">
        <f>+'Raw data'!A212</f>
        <v>1</v>
      </c>
      <c r="I92">
        <f>+'Raw data'!B212</f>
        <v>11</v>
      </c>
      <c r="J92">
        <f>+'Raw data'!C212</f>
        <v>1</v>
      </c>
      <c r="M92">
        <f>+'Raw data'!E212</f>
        <v>120</v>
      </c>
      <c r="N92">
        <f>+'Raw data'!F212</f>
        <v>0.39900000000000002</v>
      </c>
      <c r="O92">
        <f>+'Raw data'!G212</f>
        <v>34</v>
      </c>
      <c r="P92">
        <f>+'Raw data'!H212</f>
        <v>0.318</v>
      </c>
      <c r="Q92">
        <f>+'Raw data'!I212</f>
        <v>0.8</v>
      </c>
      <c r="R92">
        <f>+'Raw data'!J212</f>
        <v>342</v>
      </c>
      <c r="S92">
        <f>+'Raw data'!K212</f>
        <v>33</v>
      </c>
      <c r="T92">
        <f>+'Raw data'!L212</f>
        <v>98</v>
      </c>
      <c r="U92">
        <f>+'Raw data'!M212</f>
        <v>104</v>
      </c>
      <c r="V92">
        <f>+'Raw data'!N212</f>
        <v>20</v>
      </c>
      <c r="W92">
        <f>+'Raw data'!O212</f>
        <v>14</v>
      </c>
      <c r="X92">
        <f>+'Raw data'!P212</f>
        <v>58</v>
      </c>
      <c r="Y92">
        <f>+'Raw data'!Q212</f>
        <v>1.79</v>
      </c>
    </row>
    <row r="93" spans="1:25" x14ac:dyDescent="0.25">
      <c r="A93">
        <v>2025</v>
      </c>
      <c r="B93" t="s">
        <v>57</v>
      </c>
      <c r="C93">
        <f t="shared" si="5"/>
        <v>5</v>
      </c>
      <c r="D93">
        <f t="shared" si="3"/>
        <v>46</v>
      </c>
      <c r="E93" t="str">
        <f>+'Raw data'!A192</f>
        <v>The Bridgeburners</v>
      </c>
      <c r="F93" t="str">
        <f>VLOOKUP(E93,Data!$E$2626:$F$2645,2,FALSE)</f>
        <v>Fanis</v>
      </c>
      <c r="H93">
        <f>+'Raw data'!A213</f>
        <v>11</v>
      </c>
      <c r="I93">
        <f>+'Raw data'!B213</f>
        <v>1</v>
      </c>
      <c r="J93">
        <f>+'Raw data'!C213</f>
        <v>1</v>
      </c>
      <c r="M93">
        <f>+'Raw data'!E213</f>
        <v>177</v>
      </c>
      <c r="N93">
        <f>+'Raw data'!F213</f>
        <v>0.51800000000000002</v>
      </c>
      <c r="O93">
        <f>+'Raw data'!G213</f>
        <v>35</v>
      </c>
      <c r="P93">
        <f>+'Raw data'!H213</f>
        <v>0.39800000000000002</v>
      </c>
      <c r="Q93">
        <f>+'Raw data'!I213</f>
        <v>0.72499999999999998</v>
      </c>
      <c r="R93">
        <f>+'Raw data'!J213</f>
        <v>468</v>
      </c>
      <c r="S93">
        <f>+'Raw data'!K213</f>
        <v>55</v>
      </c>
      <c r="T93">
        <f>+'Raw data'!L213</f>
        <v>157</v>
      </c>
      <c r="U93">
        <f>+'Raw data'!M213</f>
        <v>115</v>
      </c>
      <c r="V93">
        <f>+'Raw data'!N213</f>
        <v>25</v>
      </c>
      <c r="W93">
        <f>+'Raw data'!O213</f>
        <v>20</v>
      </c>
      <c r="X93">
        <f>+'Raw data'!P213</f>
        <v>58</v>
      </c>
      <c r="Y93">
        <f>+'Raw data'!Q213</f>
        <v>1.98</v>
      </c>
    </row>
    <row r="94" spans="1:25" x14ac:dyDescent="0.25">
      <c r="A94">
        <v>2025</v>
      </c>
      <c r="B94" t="s">
        <v>57</v>
      </c>
      <c r="C94">
        <f t="shared" si="5"/>
        <v>5</v>
      </c>
      <c r="D94">
        <f t="shared" si="3"/>
        <v>47</v>
      </c>
      <c r="E94" t="str">
        <f>+'Raw data'!A193</f>
        <v>Steven Adams' Moustache</v>
      </c>
      <c r="F94" t="str">
        <f>VLOOKUP(E94,Data!$E$2626:$F$2645,2,FALSE)</f>
        <v>Johnny</v>
      </c>
      <c r="H94">
        <f>+'Raw data'!A214</f>
        <v>9</v>
      </c>
      <c r="I94">
        <f>+'Raw data'!B214</f>
        <v>3</v>
      </c>
      <c r="J94">
        <f>+'Raw data'!C214</f>
        <v>1</v>
      </c>
      <c r="M94">
        <f>+'Raw data'!E214</f>
        <v>125</v>
      </c>
      <c r="N94">
        <f>+'Raw data'!F214</f>
        <v>0.47899999999999998</v>
      </c>
      <c r="O94">
        <f>+'Raw data'!G214</f>
        <v>56</v>
      </c>
      <c r="P94">
        <f>+'Raw data'!H214</f>
        <v>0.41199999999999998</v>
      </c>
      <c r="Q94">
        <f>+'Raw data'!I214</f>
        <v>0.86299999999999999</v>
      </c>
      <c r="R94">
        <f>+'Raw data'!J214</f>
        <v>350</v>
      </c>
      <c r="S94">
        <f>+'Raw data'!K214</f>
        <v>32</v>
      </c>
      <c r="T94">
        <f>+'Raw data'!L214</f>
        <v>90</v>
      </c>
      <c r="U94">
        <f>+'Raw data'!M214</f>
        <v>67</v>
      </c>
      <c r="V94">
        <f>+'Raw data'!N214</f>
        <v>22</v>
      </c>
      <c r="W94">
        <f>+'Raw data'!O214</f>
        <v>17</v>
      </c>
      <c r="X94">
        <f>+'Raw data'!P214</f>
        <v>38</v>
      </c>
      <c r="Y94">
        <f>+'Raw data'!Q214</f>
        <v>1.76</v>
      </c>
    </row>
    <row r="95" spans="1:25" x14ac:dyDescent="0.25">
      <c r="A95">
        <v>2025</v>
      </c>
      <c r="B95" t="s">
        <v>57</v>
      </c>
      <c r="C95">
        <f t="shared" si="5"/>
        <v>5</v>
      </c>
      <c r="D95">
        <f t="shared" si="3"/>
        <v>47</v>
      </c>
      <c r="E95" t="str">
        <f>+'Raw data'!A194</f>
        <v>Heraklion Snakes</v>
      </c>
      <c r="F95" t="str">
        <f>VLOOKUP(E95,Data!$E$2626:$F$2645,2,FALSE)</f>
        <v>Dimitris</v>
      </c>
      <c r="H95">
        <f>+'Raw data'!A215</f>
        <v>3</v>
      </c>
      <c r="I95">
        <f>+'Raw data'!B215</f>
        <v>9</v>
      </c>
      <c r="J95">
        <f>+'Raw data'!C215</f>
        <v>1</v>
      </c>
      <c r="M95">
        <f>+'Raw data'!E215</f>
        <v>103</v>
      </c>
      <c r="N95">
        <f>+'Raw data'!F215</f>
        <v>0.51200000000000001</v>
      </c>
      <c r="O95">
        <f>+'Raw data'!G215</f>
        <v>30</v>
      </c>
      <c r="P95">
        <f>+'Raw data'!H215</f>
        <v>0.4</v>
      </c>
      <c r="Q95">
        <f>+'Raw data'!I215</f>
        <v>0.72799999999999998</v>
      </c>
      <c r="R95">
        <f>+'Raw data'!J215</f>
        <v>295</v>
      </c>
      <c r="S95">
        <f>+'Raw data'!K215</f>
        <v>43</v>
      </c>
      <c r="T95">
        <f>+'Raw data'!L215</f>
        <v>70</v>
      </c>
      <c r="U95">
        <f>+'Raw data'!M215</f>
        <v>56</v>
      </c>
      <c r="V95">
        <f>+'Raw data'!N215</f>
        <v>17</v>
      </c>
      <c r="W95">
        <f>+'Raw data'!O215</f>
        <v>18</v>
      </c>
      <c r="X95">
        <f>+'Raw data'!P215</f>
        <v>38</v>
      </c>
      <c r="Y95">
        <f>+'Raw data'!Q215</f>
        <v>1.47</v>
      </c>
    </row>
    <row r="96" spans="1:25" x14ac:dyDescent="0.25">
      <c r="A96">
        <v>2025</v>
      </c>
      <c r="B96" t="s">
        <v>57</v>
      </c>
      <c r="C96">
        <f t="shared" si="5"/>
        <v>5</v>
      </c>
      <c r="D96">
        <f t="shared" si="3"/>
        <v>48</v>
      </c>
      <c r="E96" t="str">
        <f>+'Raw data'!A195</f>
        <v>Salonika Devils</v>
      </c>
      <c r="F96" t="str">
        <f>VLOOKUP(E96,Data!$E$2626:$F$2645,2,FALSE)</f>
        <v>Fountos</v>
      </c>
      <c r="H96">
        <f>+'Raw data'!A216</f>
        <v>5</v>
      </c>
      <c r="I96">
        <f>+'Raw data'!B216</f>
        <v>8</v>
      </c>
      <c r="J96">
        <f>+'Raw data'!C216</f>
        <v>0</v>
      </c>
      <c r="M96">
        <f>+'Raw data'!E216</f>
        <v>134</v>
      </c>
      <c r="N96">
        <f>+'Raw data'!F216</f>
        <v>0.53600000000000003</v>
      </c>
      <c r="O96">
        <f>+'Raw data'!G216</f>
        <v>42</v>
      </c>
      <c r="P96">
        <f>+'Raw data'!H216</f>
        <v>0.40799999999999997</v>
      </c>
      <c r="Q96">
        <f>+'Raw data'!I216</f>
        <v>0.75</v>
      </c>
      <c r="R96">
        <f>+'Raw data'!J216</f>
        <v>370</v>
      </c>
      <c r="S96">
        <f>+'Raw data'!K216</f>
        <v>29</v>
      </c>
      <c r="T96">
        <f>+'Raw data'!L216</f>
        <v>91</v>
      </c>
      <c r="U96">
        <f>+'Raw data'!M216</f>
        <v>87</v>
      </c>
      <c r="V96">
        <f>+'Raw data'!N216</f>
        <v>19</v>
      </c>
      <c r="W96">
        <f>+'Raw data'!O216</f>
        <v>6</v>
      </c>
      <c r="X96">
        <f>+'Raw data'!P216</f>
        <v>40</v>
      </c>
      <c r="Y96">
        <f>+'Raw data'!Q216</f>
        <v>2.17</v>
      </c>
    </row>
    <row r="97" spans="1:25" x14ac:dyDescent="0.25">
      <c r="A97">
        <v>2025</v>
      </c>
      <c r="B97" t="s">
        <v>57</v>
      </c>
      <c r="C97">
        <f t="shared" si="5"/>
        <v>5</v>
      </c>
      <c r="D97">
        <f t="shared" si="3"/>
        <v>48</v>
      </c>
      <c r="E97" t="str">
        <f>+'Raw data'!A196</f>
        <v>Guruuu 🐐🐐🐐</v>
      </c>
      <c r="F97" t="str">
        <f>VLOOKUP(E97,Data!$E$2626:$F$2645,2,FALSE)</f>
        <v>Guru</v>
      </c>
      <c r="H97">
        <f>+'Raw data'!A217</f>
        <v>8</v>
      </c>
      <c r="I97">
        <f>+'Raw data'!B217</f>
        <v>5</v>
      </c>
      <c r="J97">
        <f>+'Raw data'!C217</f>
        <v>0</v>
      </c>
      <c r="M97">
        <f>+'Raw data'!E217</f>
        <v>202</v>
      </c>
      <c r="N97">
        <f>+'Raw data'!F217</f>
        <v>0.501</v>
      </c>
      <c r="O97">
        <f>+'Raw data'!G217</f>
        <v>63</v>
      </c>
      <c r="P97">
        <f>+'Raw data'!H217</f>
        <v>0.38900000000000001</v>
      </c>
      <c r="Q97">
        <f>+'Raw data'!I217</f>
        <v>0.746</v>
      </c>
      <c r="R97">
        <f>+'Raw data'!J217</f>
        <v>567</v>
      </c>
      <c r="S97">
        <f>+'Raw data'!K217</f>
        <v>48</v>
      </c>
      <c r="T97">
        <f>+'Raw data'!L217</f>
        <v>113</v>
      </c>
      <c r="U97">
        <f>+'Raw data'!M217</f>
        <v>113</v>
      </c>
      <c r="V97">
        <f>+'Raw data'!N217</f>
        <v>35</v>
      </c>
      <c r="W97">
        <f>+'Raw data'!O217</f>
        <v>14</v>
      </c>
      <c r="X97">
        <f>+'Raw data'!P217</f>
        <v>61</v>
      </c>
      <c r="Y97">
        <f>+'Raw data'!Q217</f>
        <v>1.85</v>
      </c>
    </row>
    <row r="98" spans="1:25" x14ac:dyDescent="0.25">
      <c r="A98">
        <v>2025</v>
      </c>
      <c r="B98" t="s">
        <v>57</v>
      </c>
      <c r="C98">
        <f t="shared" si="5"/>
        <v>5</v>
      </c>
      <c r="D98">
        <f t="shared" si="3"/>
        <v>49</v>
      </c>
      <c r="E98" t="str">
        <f>+'Raw data'!A197</f>
        <v>Samarina Dudenbros</v>
      </c>
      <c r="F98" t="str">
        <f>VLOOKUP(E98,Data!$E$2626:$F$2645,2,FALSE)</f>
        <v>Sakellariou</v>
      </c>
      <c r="H98">
        <f>+'Raw data'!A218</f>
        <v>11</v>
      </c>
      <c r="I98">
        <f>+'Raw data'!B218</f>
        <v>2</v>
      </c>
      <c r="J98">
        <f>+'Raw data'!C218</f>
        <v>0</v>
      </c>
      <c r="M98">
        <f>+'Raw data'!E218</f>
        <v>160</v>
      </c>
      <c r="N98">
        <f>+'Raw data'!F218</f>
        <v>0.48299999999999998</v>
      </c>
      <c r="O98">
        <f>+'Raw data'!G218</f>
        <v>54</v>
      </c>
      <c r="P98">
        <f>+'Raw data'!H218</f>
        <v>0.37</v>
      </c>
      <c r="Q98">
        <f>+'Raw data'!I218</f>
        <v>0.78100000000000003</v>
      </c>
      <c r="R98">
        <f>+'Raw data'!J218</f>
        <v>481</v>
      </c>
      <c r="S98">
        <f>+'Raw data'!K218</f>
        <v>35</v>
      </c>
      <c r="T98">
        <f>+'Raw data'!L218</f>
        <v>108</v>
      </c>
      <c r="U98">
        <f>+'Raw data'!M218</f>
        <v>92</v>
      </c>
      <c r="V98">
        <f>+'Raw data'!N218</f>
        <v>32</v>
      </c>
      <c r="W98">
        <f>+'Raw data'!O218</f>
        <v>18</v>
      </c>
      <c r="X98">
        <f>+'Raw data'!P218</f>
        <v>50</v>
      </c>
      <c r="Y98">
        <f>+'Raw data'!Q218</f>
        <v>1.84</v>
      </c>
    </row>
    <row r="99" spans="1:25" x14ac:dyDescent="0.25">
      <c r="A99">
        <v>2025</v>
      </c>
      <c r="B99" t="s">
        <v>57</v>
      </c>
      <c r="C99">
        <f t="shared" si="5"/>
        <v>5</v>
      </c>
      <c r="D99">
        <f t="shared" si="3"/>
        <v>49</v>
      </c>
      <c r="E99" t="str">
        <f>+'Raw data'!A198</f>
        <v>Knights of Ni</v>
      </c>
      <c r="F99" t="str">
        <f>VLOOKUP(E99,Data!$E$2626:$F$2645,2,FALSE)</f>
        <v>Tolios</v>
      </c>
      <c r="H99">
        <f>+'Raw data'!A219</f>
        <v>2</v>
      </c>
      <c r="I99">
        <f>+'Raw data'!B219</f>
        <v>11</v>
      </c>
      <c r="J99">
        <f>+'Raw data'!C219</f>
        <v>0</v>
      </c>
      <c r="M99">
        <f>+'Raw data'!E219</f>
        <v>142</v>
      </c>
      <c r="N99">
        <f>+'Raw data'!F219</f>
        <v>0.39200000000000002</v>
      </c>
      <c r="O99">
        <f>+'Raw data'!G219</f>
        <v>32</v>
      </c>
      <c r="P99">
        <f>+'Raw data'!H219</f>
        <v>0.26700000000000002</v>
      </c>
      <c r="Q99">
        <f>+'Raw data'!I219</f>
        <v>0.78600000000000003</v>
      </c>
      <c r="R99">
        <f>+'Raw data'!J219</f>
        <v>404</v>
      </c>
      <c r="S99">
        <f>+'Raw data'!K219</f>
        <v>29</v>
      </c>
      <c r="T99">
        <f>+'Raw data'!L219</f>
        <v>111</v>
      </c>
      <c r="U99">
        <f>+'Raw data'!M219</f>
        <v>81</v>
      </c>
      <c r="V99">
        <f>+'Raw data'!N219</f>
        <v>23</v>
      </c>
      <c r="W99">
        <f>+'Raw data'!O219</f>
        <v>13</v>
      </c>
      <c r="X99">
        <f>+'Raw data'!P219</f>
        <v>54</v>
      </c>
      <c r="Y99">
        <f>+'Raw data'!Q219</f>
        <v>1.5</v>
      </c>
    </row>
    <row r="100" spans="1:25" x14ac:dyDescent="0.25">
      <c r="A100">
        <v>2025</v>
      </c>
      <c r="B100" t="s">
        <v>57</v>
      </c>
      <c r="C100">
        <f t="shared" si="5"/>
        <v>5</v>
      </c>
      <c r="D100">
        <f t="shared" si="3"/>
        <v>50</v>
      </c>
      <c r="E100" t="str">
        <f>+'Raw data'!A199</f>
        <v>The Bad Boys</v>
      </c>
      <c r="F100" t="str">
        <f>VLOOKUP(E100,Data!$E$2626:$F$2645,2,FALSE)</f>
        <v>Arvanitis</v>
      </c>
      <c r="H100">
        <f>+'Raw data'!A220</f>
        <v>6</v>
      </c>
      <c r="I100">
        <f>+'Raw data'!B220</f>
        <v>7</v>
      </c>
      <c r="J100">
        <f>+'Raw data'!C220</f>
        <v>0</v>
      </c>
      <c r="M100">
        <f>+'Raw data'!E220</f>
        <v>181</v>
      </c>
      <c r="N100">
        <f>+'Raw data'!F220</f>
        <v>0.55000000000000004</v>
      </c>
      <c r="O100">
        <f>+'Raw data'!G220</f>
        <v>43</v>
      </c>
      <c r="P100">
        <f>+'Raw data'!H220</f>
        <v>0.41699999999999998</v>
      </c>
      <c r="Q100">
        <f>+'Raw data'!I220</f>
        <v>0.79400000000000004</v>
      </c>
      <c r="R100">
        <f>+'Raw data'!J220</f>
        <v>490</v>
      </c>
      <c r="S100">
        <f>+'Raw data'!K220</f>
        <v>42</v>
      </c>
      <c r="T100">
        <f>+'Raw data'!L220</f>
        <v>122</v>
      </c>
      <c r="U100">
        <f>+'Raw data'!M220</f>
        <v>86</v>
      </c>
      <c r="V100">
        <f>+'Raw data'!N220</f>
        <v>30</v>
      </c>
      <c r="W100">
        <f>+'Raw data'!O220</f>
        <v>22</v>
      </c>
      <c r="X100">
        <f>+'Raw data'!P220</f>
        <v>50</v>
      </c>
      <c r="Y100">
        <f>+'Raw data'!Q220</f>
        <v>1.72</v>
      </c>
    </row>
    <row r="101" spans="1:25" x14ac:dyDescent="0.25">
      <c r="A101">
        <v>2025</v>
      </c>
      <c r="B101" t="s">
        <v>57</v>
      </c>
      <c r="C101">
        <f t="shared" si="5"/>
        <v>5</v>
      </c>
      <c r="D101">
        <f t="shared" si="3"/>
        <v>50</v>
      </c>
      <c r="E101" t="str">
        <f>+'Raw data'!A200</f>
        <v>purple fuzzy apache pirates</v>
      </c>
      <c r="F101" t="str">
        <f>VLOOKUP(E101,Data!$E$2626:$F$2645,2,FALSE)</f>
        <v>pi/Sotiris</v>
      </c>
      <c r="H101">
        <f>+'Raw data'!A221</f>
        <v>7</v>
      </c>
      <c r="I101">
        <f>+'Raw data'!B221</f>
        <v>6</v>
      </c>
      <c r="J101">
        <f>+'Raw data'!C221</f>
        <v>0</v>
      </c>
      <c r="M101">
        <f>+'Raw data'!E221</f>
        <v>207</v>
      </c>
      <c r="N101">
        <f>+'Raw data'!F221</f>
        <v>0.52900000000000003</v>
      </c>
      <c r="O101">
        <f>+'Raw data'!G221</f>
        <v>59</v>
      </c>
      <c r="P101">
        <f>+'Raw data'!H221</f>
        <v>0.41499999999999998</v>
      </c>
      <c r="Q101">
        <f>+'Raw data'!I221</f>
        <v>0.78800000000000003</v>
      </c>
      <c r="R101">
        <f>+'Raw data'!J221</f>
        <v>581</v>
      </c>
      <c r="S101">
        <f>+'Raw data'!K221</f>
        <v>57</v>
      </c>
      <c r="T101">
        <f>+'Raw data'!L221</f>
        <v>146</v>
      </c>
      <c r="U101">
        <f>+'Raw data'!M221</f>
        <v>155</v>
      </c>
      <c r="V101">
        <f>+'Raw data'!N221</f>
        <v>28</v>
      </c>
      <c r="W101">
        <f>+'Raw data'!O221</f>
        <v>9</v>
      </c>
      <c r="X101">
        <f>+'Raw data'!P221</f>
        <v>79</v>
      </c>
      <c r="Y101">
        <f>+'Raw data'!Q221</f>
        <v>1.96</v>
      </c>
    </row>
    <row r="102" spans="1:25" x14ac:dyDescent="0.25">
      <c r="A102">
        <v>2025</v>
      </c>
      <c r="B102" t="s">
        <v>57</v>
      </c>
      <c r="C102">
        <f>+C101+1</f>
        <v>6</v>
      </c>
      <c r="D102">
        <f t="shared" si="3"/>
        <v>51</v>
      </c>
      <c r="E102" t="str">
        <f>+'Raw data'!A225</f>
        <v>LRBP PR3DATORS</v>
      </c>
      <c r="F102" t="str">
        <f>VLOOKUP(E102,Data!$E$2626:$F$2645,2,FALSE)</f>
        <v>Lafa</v>
      </c>
      <c r="H102">
        <f>+'Raw data'!A246</f>
        <v>7</v>
      </c>
      <c r="I102">
        <f>+'Raw data'!B246</f>
        <v>6</v>
      </c>
      <c r="J102">
        <f>+'Raw data'!C246</f>
        <v>0</v>
      </c>
      <c r="M102">
        <f>+'Raw data'!E246</f>
        <v>184</v>
      </c>
      <c r="N102">
        <f>+'Raw data'!F246</f>
        <v>0.48199999999999998</v>
      </c>
      <c r="O102">
        <f>+'Raw data'!G246</f>
        <v>57</v>
      </c>
      <c r="P102">
        <f>+'Raw data'!H246</f>
        <v>0.36299999999999999</v>
      </c>
      <c r="Q102">
        <f>+'Raw data'!I246</f>
        <v>0.80100000000000005</v>
      </c>
      <c r="R102">
        <f>+'Raw data'!J246</f>
        <v>546</v>
      </c>
      <c r="S102">
        <f>+'Raw data'!K246</f>
        <v>36</v>
      </c>
      <c r="T102">
        <f>+'Raw data'!L246</f>
        <v>115</v>
      </c>
      <c r="U102">
        <f>+'Raw data'!M246</f>
        <v>122</v>
      </c>
      <c r="V102">
        <f>+'Raw data'!N246</f>
        <v>22</v>
      </c>
      <c r="W102">
        <f>+'Raw data'!O246</f>
        <v>19</v>
      </c>
      <c r="X102">
        <f>+'Raw data'!P246</f>
        <v>53</v>
      </c>
      <c r="Y102">
        <f>+'Raw data'!Q246</f>
        <v>2.2999999999999998</v>
      </c>
    </row>
    <row r="103" spans="1:25" x14ac:dyDescent="0.25">
      <c r="A103">
        <v>2025</v>
      </c>
      <c r="B103" t="s">
        <v>57</v>
      </c>
      <c r="C103">
        <f>+C102</f>
        <v>6</v>
      </c>
      <c r="D103">
        <f t="shared" si="3"/>
        <v>51</v>
      </c>
      <c r="E103" t="str">
        <f>+'Raw data'!A226</f>
        <v>Fighting Thaddeus</v>
      </c>
      <c r="F103" t="str">
        <f>VLOOKUP(E103,Data!$E$2626:$F$2645,2,FALSE)</f>
        <v>Stavros</v>
      </c>
      <c r="H103">
        <f>+'Raw data'!A247</f>
        <v>6</v>
      </c>
      <c r="I103">
        <f>+'Raw data'!B247</f>
        <v>7</v>
      </c>
      <c r="J103">
        <f>+'Raw data'!C247</f>
        <v>0</v>
      </c>
      <c r="M103">
        <f>+'Raw data'!E247</f>
        <v>121</v>
      </c>
      <c r="N103">
        <f>+'Raw data'!F247</f>
        <v>0.5</v>
      </c>
      <c r="O103">
        <f>+'Raw data'!G247</f>
        <v>60</v>
      </c>
      <c r="P103">
        <f>+'Raw data'!H247</f>
        <v>0.49199999999999999</v>
      </c>
      <c r="Q103">
        <f>+'Raw data'!I247</f>
        <v>0.84899999999999998</v>
      </c>
      <c r="R103">
        <f>+'Raw data'!J247</f>
        <v>347</v>
      </c>
      <c r="S103">
        <f>+'Raw data'!K247</f>
        <v>24</v>
      </c>
      <c r="T103">
        <f>+'Raw data'!L247</f>
        <v>83</v>
      </c>
      <c r="U103">
        <f>+'Raw data'!M247</f>
        <v>80</v>
      </c>
      <c r="V103">
        <f>+'Raw data'!N247</f>
        <v>25</v>
      </c>
      <c r="W103">
        <f>+'Raw data'!O247</f>
        <v>6</v>
      </c>
      <c r="X103">
        <f>+'Raw data'!P247</f>
        <v>43</v>
      </c>
      <c r="Y103">
        <f>+'Raw data'!Q247</f>
        <v>1.86</v>
      </c>
    </row>
    <row r="104" spans="1:25" x14ac:dyDescent="0.25">
      <c r="A104">
        <v>2025</v>
      </c>
      <c r="B104" t="s">
        <v>57</v>
      </c>
      <c r="C104">
        <f>+C103</f>
        <v>6</v>
      </c>
      <c r="D104">
        <f t="shared" si="3"/>
        <v>52</v>
      </c>
      <c r="E104" t="str">
        <f>+'Raw data'!A227</f>
        <v>Hércules Pals</v>
      </c>
      <c r="F104" t="e">
        <f>VLOOKUP(E104,Data!$E$2626:$F$2645,2,FALSE)</f>
        <v>#N/A</v>
      </c>
      <c r="H104">
        <f>+'Raw data'!A248</f>
        <v>3</v>
      </c>
      <c r="I104">
        <f>+'Raw data'!B248</f>
        <v>10</v>
      </c>
      <c r="J104">
        <f>+'Raw data'!C248</f>
        <v>0</v>
      </c>
      <c r="M104">
        <f>+'Raw data'!E248</f>
        <v>131</v>
      </c>
      <c r="N104">
        <f>+'Raw data'!F248</f>
        <v>0.44700000000000001</v>
      </c>
      <c r="O104">
        <f>+'Raw data'!G248</f>
        <v>48</v>
      </c>
      <c r="P104">
        <f>+'Raw data'!H248</f>
        <v>0.34300000000000003</v>
      </c>
      <c r="Q104">
        <f>+'Raw data'!I248</f>
        <v>0.78300000000000003</v>
      </c>
      <c r="R104">
        <f>+'Raw data'!J248</f>
        <v>375</v>
      </c>
      <c r="S104">
        <f>+'Raw data'!K248</f>
        <v>51</v>
      </c>
      <c r="T104">
        <f>+'Raw data'!L248</f>
        <v>111</v>
      </c>
      <c r="U104">
        <f>+'Raw data'!M248</f>
        <v>67</v>
      </c>
      <c r="V104">
        <f>+'Raw data'!N248</f>
        <v>34</v>
      </c>
      <c r="W104">
        <f>+'Raw data'!O248</f>
        <v>20</v>
      </c>
      <c r="X104">
        <f>+'Raw data'!P248</f>
        <v>41</v>
      </c>
      <c r="Y104">
        <f>+'Raw data'!Q248</f>
        <v>1.63</v>
      </c>
    </row>
    <row r="105" spans="1:25" x14ac:dyDescent="0.25">
      <c r="A105">
        <v>2025</v>
      </c>
      <c r="B105" t="s">
        <v>57</v>
      </c>
      <c r="C105">
        <f>+C104</f>
        <v>6</v>
      </c>
      <c r="D105">
        <f t="shared" si="3"/>
        <v>52</v>
      </c>
      <c r="E105" t="str">
        <f>+'Raw data'!A228</f>
        <v>Karafli Saita</v>
      </c>
      <c r="F105" t="str">
        <f>VLOOKUP(E105,Data!$E$2626:$F$2645,2,FALSE)</f>
        <v>Tassos</v>
      </c>
      <c r="H105">
        <f>+'Raw data'!A249</f>
        <v>10</v>
      </c>
      <c r="I105">
        <f>+'Raw data'!B249</f>
        <v>3</v>
      </c>
      <c r="J105">
        <f>+'Raw data'!C249</f>
        <v>0</v>
      </c>
      <c r="M105">
        <f>+'Raw data'!E249</f>
        <v>211</v>
      </c>
      <c r="N105">
        <f>+'Raw data'!F249</f>
        <v>0.46700000000000003</v>
      </c>
      <c r="O105">
        <f>+'Raw data'!G249</f>
        <v>59</v>
      </c>
      <c r="P105">
        <f>+'Raw data'!H249</f>
        <v>0.38800000000000001</v>
      </c>
      <c r="Q105">
        <f>+'Raw data'!I249</f>
        <v>0.79700000000000004</v>
      </c>
      <c r="R105">
        <f>+'Raw data'!J249</f>
        <v>607</v>
      </c>
      <c r="S105">
        <f>+'Raw data'!K249</f>
        <v>43</v>
      </c>
      <c r="T105">
        <f>+'Raw data'!L249</f>
        <v>151</v>
      </c>
      <c r="U105">
        <f>+'Raw data'!M249</f>
        <v>139</v>
      </c>
      <c r="V105">
        <f>+'Raw data'!N249</f>
        <v>25</v>
      </c>
      <c r="W105">
        <f>+'Raw data'!O249</f>
        <v>34</v>
      </c>
      <c r="X105">
        <f>+'Raw data'!P249</f>
        <v>73</v>
      </c>
      <c r="Y105">
        <f>+'Raw data'!Q249</f>
        <v>1.9</v>
      </c>
    </row>
    <row r="106" spans="1:25" x14ac:dyDescent="0.25">
      <c r="A106">
        <v>2025</v>
      </c>
      <c r="B106" t="s">
        <v>57</v>
      </c>
      <c r="C106">
        <f t="shared" ref="C106:C121" si="6">+C105</f>
        <v>6</v>
      </c>
      <c r="D106">
        <f t="shared" si="3"/>
        <v>53</v>
      </c>
      <c r="E106" t="str">
        <f>+'Raw data'!A229</f>
        <v>Tsarlatans</v>
      </c>
      <c r="F106" t="str">
        <f>VLOOKUP(E106,Data!$E$2626:$F$2645,2,FALSE)</f>
        <v>Tzokos</v>
      </c>
      <c r="H106">
        <f>+'Raw data'!A250</f>
        <v>3</v>
      </c>
      <c r="I106">
        <f>+'Raw data'!B250</f>
        <v>9</v>
      </c>
      <c r="J106">
        <f>+'Raw data'!C250</f>
        <v>1</v>
      </c>
      <c r="M106">
        <f>+'Raw data'!E250</f>
        <v>150</v>
      </c>
      <c r="N106">
        <f>+'Raw data'!F250</f>
        <v>0.46600000000000003</v>
      </c>
      <c r="O106">
        <f>+'Raw data'!G250</f>
        <v>43</v>
      </c>
      <c r="P106">
        <f>+'Raw data'!H250</f>
        <v>0.34100000000000003</v>
      </c>
      <c r="Q106">
        <f>+'Raw data'!I250</f>
        <v>0.79800000000000004</v>
      </c>
      <c r="R106">
        <f>+'Raw data'!J250</f>
        <v>410</v>
      </c>
      <c r="S106">
        <f>+'Raw data'!K250</f>
        <v>49</v>
      </c>
      <c r="T106">
        <f>+'Raw data'!L250</f>
        <v>141</v>
      </c>
      <c r="U106">
        <f>+'Raw data'!M250</f>
        <v>74</v>
      </c>
      <c r="V106">
        <f>+'Raw data'!N250</f>
        <v>22</v>
      </c>
      <c r="W106">
        <f>+'Raw data'!O250</f>
        <v>22</v>
      </c>
      <c r="X106">
        <f>+'Raw data'!P250</f>
        <v>48</v>
      </c>
      <c r="Y106">
        <f>+'Raw data'!Q250</f>
        <v>1.54</v>
      </c>
    </row>
    <row r="107" spans="1:25" x14ac:dyDescent="0.25">
      <c r="A107">
        <v>2025</v>
      </c>
      <c r="B107" t="s">
        <v>57</v>
      </c>
      <c r="C107">
        <f t="shared" si="6"/>
        <v>6</v>
      </c>
      <c r="D107">
        <f t="shared" si="3"/>
        <v>53</v>
      </c>
      <c r="E107" t="str">
        <f>+'Raw data'!A230</f>
        <v>Pachiana NinjaBees</v>
      </c>
      <c r="F107" t="str">
        <f>VLOOKUP(E107,Data!$E$2626:$F$2645,2,FALSE)</f>
        <v>Spiridaus/Oladipas</v>
      </c>
      <c r="H107">
        <f>+'Raw data'!A251</f>
        <v>9</v>
      </c>
      <c r="I107">
        <f>+'Raw data'!B251</f>
        <v>3</v>
      </c>
      <c r="J107">
        <f>+'Raw data'!C251</f>
        <v>1</v>
      </c>
      <c r="M107">
        <f>+'Raw data'!E251</f>
        <v>172</v>
      </c>
      <c r="N107">
        <f>+'Raw data'!F251</f>
        <v>0.46400000000000002</v>
      </c>
      <c r="O107">
        <f>+'Raw data'!G251</f>
        <v>51</v>
      </c>
      <c r="P107">
        <f>+'Raw data'!H251</f>
        <v>0.34899999999999998</v>
      </c>
      <c r="Q107">
        <f>+'Raw data'!I251</f>
        <v>0.86699999999999999</v>
      </c>
      <c r="R107">
        <f>+'Raw data'!J251</f>
        <v>473</v>
      </c>
      <c r="S107">
        <f>+'Raw data'!K251</f>
        <v>49</v>
      </c>
      <c r="T107">
        <f>+'Raw data'!L251</f>
        <v>120</v>
      </c>
      <c r="U107">
        <f>+'Raw data'!M251</f>
        <v>159</v>
      </c>
      <c r="V107">
        <f>+'Raw data'!N251</f>
        <v>43</v>
      </c>
      <c r="W107">
        <f>+'Raw data'!O251</f>
        <v>26</v>
      </c>
      <c r="X107">
        <f>+'Raw data'!P251</f>
        <v>79</v>
      </c>
      <c r="Y107">
        <f>+'Raw data'!Q251</f>
        <v>2.0099999999999998</v>
      </c>
    </row>
    <row r="108" spans="1:25" x14ac:dyDescent="0.25">
      <c r="A108">
        <v>2025</v>
      </c>
      <c r="B108" t="s">
        <v>57</v>
      </c>
      <c r="C108">
        <f t="shared" si="6"/>
        <v>6</v>
      </c>
      <c r="D108">
        <f t="shared" si="3"/>
        <v>54</v>
      </c>
      <c r="E108" t="str">
        <f>+'Raw data'!A231</f>
        <v>The Guns</v>
      </c>
      <c r="F108" t="str">
        <f>VLOOKUP(E108,Data!$E$2626:$F$2645,2,FALSE)</f>
        <v>Vasilis</v>
      </c>
      <c r="H108">
        <f>+'Raw data'!A252</f>
        <v>9</v>
      </c>
      <c r="I108">
        <f>+'Raw data'!B252</f>
        <v>4</v>
      </c>
      <c r="J108">
        <f>+'Raw data'!C252</f>
        <v>0</v>
      </c>
      <c r="M108">
        <f>+'Raw data'!E252</f>
        <v>178</v>
      </c>
      <c r="N108">
        <f>+'Raw data'!F252</f>
        <v>0.46100000000000002</v>
      </c>
      <c r="O108">
        <f>+'Raw data'!G252</f>
        <v>69</v>
      </c>
      <c r="P108">
        <f>+'Raw data'!H252</f>
        <v>0.36899999999999999</v>
      </c>
      <c r="Q108">
        <f>+'Raw data'!I252</f>
        <v>0.85</v>
      </c>
      <c r="R108">
        <f>+'Raw data'!J252</f>
        <v>521</v>
      </c>
      <c r="S108">
        <f>+'Raw data'!K252</f>
        <v>15</v>
      </c>
      <c r="T108">
        <f>+'Raw data'!L252</f>
        <v>97</v>
      </c>
      <c r="U108">
        <f>+'Raw data'!M252</f>
        <v>92</v>
      </c>
      <c r="V108">
        <f>+'Raw data'!N252</f>
        <v>36</v>
      </c>
      <c r="W108">
        <f>+'Raw data'!O252</f>
        <v>7</v>
      </c>
      <c r="X108">
        <f>+'Raw data'!P252</f>
        <v>42</v>
      </c>
      <c r="Y108">
        <f>+'Raw data'!Q252</f>
        <v>2.19</v>
      </c>
    </row>
    <row r="109" spans="1:25" x14ac:dyDescent="0.25">
      <c r="A109">
        <v>2025</v>
      </c>
      <c r="B109" t="s">
        <v>57</v>
      </c>
      <c r="C109">
        <f t="shared" si="6"/>
        <v>6</v>
      </c>
      <c r="D109">
        <f t="shared" si="3"/>
        <v>54</v>
      </c>
      <c r="E109" t="str">
        <f>+'Raw data'!A232</f>
        <v>st.Helens Eruptions</v>
      </c>
      <c r="F109" t="str">
        <f>VLOOKUP(E109,Data!$E$2626:$F$2645,2,FALSE)</f>
        <v>Aris</v>
      </c>
      <c r="H109">
        <f>+'Raw data'!A253</f>
        <v>4</v>
      </c>
      <c r="I109">
        <f>+'Raw data'!B253</f>
        <v>9</v>
      </c>
      <c r="J109">
        <f>+'Raw data'!C253</f>
        <v>0</v>
      </c>
      <c r="M109">
        <f>+'Raw data'!E253</f>
        <v>152</v>
      </c>
      <c r="N109">
        <f>+'Raw data'!F253</f>
        <v>0.48099999999999998</v>
      </c>
      <c r="O109">
        <f>+'Raw data'!G253</f>
        <v>35</v>
      </c>
      <c r="P109">
        <f>+'Raw data'!H253</f>
        <v>0.35399999999999998</v>
      </c>
      <c r="Q109">
        <f>+'Raw data'!I253</f>
        <v>0.73699999999999999</v>
      </c>
      <c r="R109">
        <f>+'Raw data'!J253</f>
        <v>409</v>
      </c>
      <c r="S109">
        <f>+'Raw data'!K253</f>
        <v>31</v>
      </c>
      <c r="T109">
        <f>+'Raw data'!L253</f>
        <v>104</v>
      </c>
      <c r="U109">
        <f>+'Raw data'!M253</f>
        <v>80</v>
      </c>
      <c r="V109">
        <f>+'Raw data'!N253</f>
        <v>22</v>
      </c>
      <c r="W109">
        <f>+'Raw data'!O253</f>
        <v>20</v>
      </c>
      <c r="X109">
        <f>+'Raw data'!P253</f>
        <v>48</v>
      </c>
      <c r="Y109">
        <f>+'Raw data'!Q253</f>
        <v>1.67</v>
      </c>
    </row>
    <row r="110" spans="1:25" x14ac:dyDescent="0.25">
      <c r="A110">
        <v>2025</v>
      </c>
      <c r="B110" t="s">
        <v>57</v>
      </c>
      <c r="C110">
        <f t="shared" si="6"/>
        <v>6</v>
      </c>
      <c r="D110">
        <f t="shared" si="3"/>
        <v>55</v>
      </c>
      <c r="E110" t="str">
        <f>+'Raw data'!A233</f>
        <v>Xanthi Ducks 🦆</v>
      </c>
      <c r="F110" t="str">
        <f>VLOOKUP(E110,Data!$E$2626:$F$2645,2,FALSE)</f>
        <v>Kotakis</v>
      </c>
      <c r="H110">
        <f>+'Raw data'!A254</f>
        <v>9</v>
      </c>
      <c r="I110">
        <f>+'Raw data'!B254</f>
        <v>1</v>
      </c>
      <c r="J110">
        <f>+'Raw data'!C254</f>
        <v>3</v>
      </c>
      <c r="M110">
        <f>+'Raw data'!E254</f>
        <v>133</v>
      </c>
      <c r="N110">
        <f>+'Raw data'!F254</f>
        <v>0.46200000000000002</v>
      </c>
      <c r="O110">
        <f>+'Raw data'!G254</f>
        <v>61</v>
      </c>
      <c r="P110">
        <f>+'Raw data'!H254</f>
        <v>0.39900000000000002</v>
      </c>
      <c r="Q110">
        <f>+'Raw data'!I254</f>
        <v>0.91300000000000003</v>
      </c>
      <c r="R110">
        <f>+'Raw data'!J254</f>
        <v>369</v>
      </c>
      <c r="S110">
        <f>+'Raw data'!K254</f>
        <v>37</v>
      </c>
      <c r="T110">
        <f>+'Raw data'!L254</f>
        <v>96</v>
      </c>
      <c r="U110">
        <f>+'Raw data'!M254</f>
        <v>68</v>
      </c>
      <c r="V110">
        <f>+'Raw data'!N254</f>
        <v>36</v>
      </c>
      <c r="W110">
        <f>+'Raw data'!O254</f>
        <v>19</v>
      </c>
      <c r="X110">
        <f>+'Raw data'!P254</f>
        <v>40</v>
      </c>
      <c r="Y110">
        <f>+'Raw data'!Q254</f>
        <v>1.7</v>
      </c>
    </row>
    <row r="111" spans="1:25" x14ac:dyDescent="0.25">
      <c r="A111">
        <v>2025</v>
      </c>
      <c r="B111" t="s">
        <v>57</v>
      </c>
      <c r="C111">
        <f t="shared" si="6"/>
        <v>6</v>
      </c>
      <c r="D111">
        <f t="shared" si="3"/>
        <v>55</v>
      </c>
      <c r="E111" t="str">
        <f>+'Raw data'!A234</f>
        <v>Paralouistas</v>
      </c>
      <c r="F111" t="str">
        <f>VLOOKUP(E111,Data!$E$2626:$F$2645,2,FALSE)</f>
        <v>Panos</v>
      </c>
      <c r="H111">
        <f>+'Raw data'!A255</f>
        <v>1</v>
      </c>
      <c r="I111">
        <f>+'Raw data'!B255</f>
        <v>9</v>
      </c>
      <c r="J111">
        <f>+'Raw data'!C255</f>
        <v>3</v>
      </c>
      <c r="M111">
        <f>+'Raw data'!E255</f>
        <v>114</v>
      </c>
      <c r="N111">
        <f>+'Raw data'!F255</f>
        <v>0.46300000000000002</v>
      </c>
      <c r="O111">
        <f>+'Raw data'!G255</f>
        <v>31</v>
      </c>
      <c r="P111">
        <f>+'Raw data'!H255</f>
        <v>0.33700000000000002</v>
      </c>
      <c r="Q111">
        <f>+'Raw data'!I255</f>
        <v>0.66700000000000004</v>
      </c>
      <c r="R111">
        <f>+'Raw data'!J255</f>
        <v>309</v>
      </c>
      <c r="S111">
        <f>+'Raw data'!K255</f>
        <v>28</v>
      </c>
      <c r="T111">
        <f>+'Raw data'!L255</f>
        <v>86</v>
      </c>
      <c r="U111">
        <f>+'Raw data'!M255</f>
        <v>68</v>
      </c>
      <c r="V111">
        <f>+'Raw data'!N255</f>
        <v>26</v>
      </c>
      <c r="W111">
        <f>+'Raw data'!O255</f>
        <v>11</v>
      </c>
      <c r="X111">
        <f>+'Raw data'!P255</f>
        <v>40</v>
      </c>
      <c r="Y111">
        <f>+'Raw data'!Q255</f>
        <v>1.7</v>
      </c>
    </row>
    <row r="112" spans="1:25" x14ac:dyDescent="0.25">
      <c r="A112">
        <v>2025</v>
      </c>
      <c r="B112" t="s">
        <v>57</v>
      </c>
      <c r="C112">
        <f t="shared" si="6"/>
        <v>6</v>
      </c>
      <c r="D112">
        <f t="shared" si="3"/>
        <v>56</v>
      </c>
      <c r="E112" t="str">
        <f>+'Raw data'!A235</f>
        <v>Kourayo Vallecano</v>
      </c>
      <c r="F112" t="str">
        <f>VLOOKUP(E112,Data!$E$2626:$F$2645,2,FALSE)</f>
        <v>Ziogas/Christof</v>
      </c>
      <c r="H112">
        <f>+'Raw data'!A256</f>
        <v>10</v>
      </c>
      <c r="I112">
        <f>+'Raw data'!B256</f>
        <v>3</v>
      </c>
      <c r="J112">
        <f>+'Raw data'!C256</f>
        <v>0</v>
      </c>
      <c r="M112">
        <f>+'Raw data'!E256</f>
        <v>177</v>
      </c>
      <c r="N112">
        <f>+'Raw data'!F256</f>
        <v>0.45700000000000002</v>
      </c>
      <c r="O112">
        <f>+'Raw data'!G256</f>
        <v>55</v>
      </c>
      <c r="P112">
        <f>+'Raw data'!H256</f>
        <v>0.33700000000000002</v>
      </c>
      <c r="Q112">
        <f>+'Raw data'!I256</f>
        <v>0.8</v>
      </c>
      <c r="R112">
        <f>+'Raw data'!J256</f>
        <v>497</v>
      </c>
      <c r="S112">
        <f>+'Raw data'!K256</f>
        <v>57</v>
      </c>
      <c r="T112">
        <f>+'Raw data'!L256</f>
        <v>158</v>
      </c>
      <c r="U112">
        <f>+'Raw data'!M256</f>
        <v>119</v>
      </c>
      <c r="V112">
        <f>+'Raw data'!N256</f>
        <v>33</v>
      </c>
      <c r="W112">
        <f>+'Raw data'!O256</f>
        <v>14</v>
      </c>
      <c r="X112">
        <f>+'Raw data'!P256</f>
        <v>63</v>
      </c>
      <c r="Y112">
        <f>+'Raw data'!Q256</f>
        <v>1.89</v>
      </c>
    </row>
    <row r="113" spans="1:25" x14ac:dyDescent="0.25">
      <c r="A113">
        <v>2025</v>
      </c>
      <c r="B113" t="s">
        <v>57</v>
      </c>
      <c r="C113">
        <f t="shared" si="6"/>
        <v>6</v>
      </c>
      <c r="D113">
        <f t="shared" ref="D113:D196" si="7">+D111+1</f>
        <v>56</v>
      </c>
      <c r="E113" t="str">
        <f>+'Raw data'!A236</f>
        <v>Steven Adams' Moustache</v>
      </c>
      <c r="F113" t="str">
        <f>VLOOKUP(E113,Data!$E$2626:$F$2645,2,FALSE)</f>
        <v>Johnny</v>
      </c>
      <c r="H113">
        <f>+'Raw data'!A257</f>
        <v>3</v>
      </c>
      <c r="I113">
        <f>+'Raw data'!B257</f>
        <v>10</v>
      </c>
      <c r="J113">
        <f>+'Raw data'!C257</f>
        <v>0</v>
      </c>
      <c r="M113">
        <f>+'Raw data'!E257</f>
        <v>123</v>
      </c>
      <c r="N113">
        <f>+'Raw data'!F257</f>
        <v>0.44400000000000001</v>
      </c>
      <c r="O113">
        <f>+'Raw data'!G257</f>
        <v>46</v>
      </c>
      <c r="P113">
        <f>+'Raw data'!H257</f>
        <v>0.34100000000000003</v>
      </c>
      <c r="Q113">
        <f>+'Raw data'!I257</f>
        <v>0.72499999999999998</v>
      </c>
      <c r="R113">
        <f>+'Raw data'!J257</f>
        <v>350</v>
      </c>
      <c r="S113">
        <f>+'Raw data'!K257</f>
        <v>20</v>
      </c>
      <c r="T113">
        <f>+'Raw data'!L257</f>
        <v>80</v>
      </c>
      <c r="U113">
        <f>+'Raw data'!M257</f>
        <v>86</v>
      </c>
      <c r="V113">
        <f>+'Raw data'!N257</f>
        <v>18</v>
      </c>
      <c r="W113">
        <f>+'Raw data'!O257</f>
        <v>11</v>
      </c>
      <c r="X113">
        <f>+'Raw data'!P257</f>
        <v>40</v>
      </c>
      <c r="Y113">
        <f>+'Raw data'!Q257</f>
        <v>2.15</v>
      </c>
    </row>
    <row r="114" spans="1:25" x14ac:dyDescent="0.25">
      <c r="A114">
        <v>2025</v>
      </c>
      <c r="B114" t="s">
        <v>57</v>
      </c>
      <c r="C114">
        <f t="shared" si="6"/>
        <v>6</v>
      </c>
      <c r="D114">
        <f t="shared" si="7"/>
        <v>57</v>
      </c>
      <c r="E114" t="str">
        <f>+'Raw data'!A237</f>
        <v>The Bridgeburners</v>
      </c>
      <c r="F114" t="str">
        <f>VLOOKUP(E114,Data!$E$2626:$F$2645,2,FALSE)</f>
        <v>Fanis</v>
      </c>
      <c r="H114">
        <f>+'Raw data'!A258</f>
        <v>10</v>
      </c>
      <c r="I114">
        <f>+'Raw data'!B258</f>
        <v>1</v>
      </c>
      <c r="J114">
        <f>+'Raw data'!C258</f>
        <v>2</v>
      </c>
      <c r="M114">
        <f>+'Raw data'!E258</f>
        <v>184</v>
      </c>
      <c r="N114">
        <f>+'Raw data'!F258</f>
        <v>0.497</v>
      </c>
      <c r="O114">
        <f>+'Raw data'!G258</f>
        <v>48</v>
      </c>
      <c r="P114">
        <f>+'Raw data'!H258</f>
        <v>0.372</v>
      </c>
      <c r="Q114">
        <f>+'Raw data'!I258</f>
        <v>0.79500000000000004</v>
      </c>
      <c r="R114">
        <f>+'Raw data'!J258</f>
        <v>474</v>
      </c>
      <c r="S114">
        <f>+'Raw data'!K258</f>
        <v>51</v>
      </c>
      <c r="T114">
        <f>+'Raw data'!L258</f>
        <v>130</v>
      </c>
      <c r="U114">
        <f>+'Raw data'!M258</f>
        <v>93</v>
      </c>
      <c r="V114">
        <f>+'Raw data'!N258</f>
        <v>35</v>
      </c>
      <c r="W114">
        <f>+'Raw data'!O258</f>
        <v>17</v>
      </c>
      <c r="X114">
        <f>+'Raw data'!P258</f>
        <v>46</v>
      </c>
      <c r="Y114">
        <f>+'Raw data'!Q258</f>
        <v>2.02</v>
      </c>
    </row>
    <row r="115" spans="1:25" x14ac:dyDescent="0.25">
      <c r="A115">
        <v>2025</v>
      </c>
      <c r="B115" t="s">
        <v>57</v>
      </c>
      <c r="C115">
        <f t="shared" si="6"/>
        <v>6</v>
      </c>
      <c r="D115">
        <f t="shared" si="7"/>
        <v>57</v>
      </c>
      <c r="E115" t="str">
        <f>+'Raw data'!A238</f>
        <v>Salonika Devils</v>
      </c>
      <c r="F115" t="str">
        <f>VLOOKUP(E115,Data!$E$2626:$F$2645,2,FALSE)</f>
        <v>Fountos</v>
      </c>
      <c r="H115">
        <f>+'Raw data'!A259</f>
        <v>1</v>
      </c>
      <c r="I115">
        <f>+'Raw data'!B259</f>
        <v>10</v>
      </c>
      <c r="J115">
        <f>+'Raw data'!C259</f>
        <v>2</v>
      </c>
      <c r="M115">
        <f>+'Raw data'!E259</f>
        <v>129</v>
      </c>
      <c r="N115">
        <f>+'Raw data'!F259</f>
        <v>0.45600000000000002</v>
      </c>
      <c r="O115">
        <f>+'Raw data'!G259</f>
        <v>39</v>
      </c>
      <c r="P115">
        <f>+'Raw data'!H259</f>
        <v>0.33100000000000002</v>
      </c>
      <c r="Q115">
        <f>+'Raw data'!I259</f>
        <v>0.73799999999999999</v>
      </c>
      <c r="R115">
        <f>+'Raw data'!J259</f>
        <v>345</v>
      </c>
      <c r="S115">
        <f>+'Raw data'!K259</f>
        <v>54</v>
      </c>
      <c r="T115">
        <f>+'Raw data'!L259</f>
        <v>109</v>
      </c>
      <c r="U115">
        <f>+'Raw data'!M259</f>
        <v>65</v>
      </c>
      <c r="V115">
        <f>+'Raw data'!N259</f>
        <v>18</v>
      </c>
      <c r="W115">
        <f>+'Raw data'!O259</f>
        <v>17</v>
      </c>
      <c r="X115">
        <f>+'Raw data'!P259</f>
        <v>46</v>
      </c>
      <c r="Y115">
        <f>+'Raw data'!Q259</f>
        <v>1.41</v>
      </c>
    </row>
    <row r="116" spans="1:25" x14ac:dyDescent="0.25">
      <c r="A116">
        <v>2025</v>
      </c>
      <c r="B116" t="s">
        <v>57</v>
      </c>
      <c r="C116">
        <f t="shared" si="6"/>
        <v>6</v>
      </c>
      <c r="D116">
        <f t="shared" si="7"/>
        <v>58</v>
      </c>
      <c r="E116" t="str">
        <f>+'Raw data'!A239</f>
        <v>Heraklion Snakes</v>
      </c>
      <c r="F116" t="str">
        <f>VLOOKUP(E116,Data!$E$2626:$F$2645,2,FALSE)</f>
        <v>Dimitris</v>
      </c>
      <c r="H116">
        <f>+'Raw data'!A260</f>
        <v>5</v>
      </c>
      <c r="I116">
        <f>+'Raw data'!B260</f>
        <v>8</v>
      </c>
      <c r="J116">
        <f>+'Raw data'!C260</f>
        <v>0</v>
      </c>
      <c r="M116">
        <f>+'Raw data'!E260</f>
        <v>119</v>
      </c>
      <c r="N116">
        <f>+'Raw data'!F260</f>
        <v>0.52200000000000002</v>
      </c>
      <c r="O116">
        <f>+'Raw data'!G260</f>
        <v>29</v>
      </c>
      <c r="P116">
        <f>+'Raw data'!H260</f>
        <v>0.38200000000000001</v>
      </c>
      <c r="Q116">
        <f>+'Raw data'!I260</f>
        <v>0.75</v>
      </c>
      <c r="R116">
        <f>+'Raw data'!J260</f>
        <v>312</v>
      </c>
      <c r="S116">
        <f>+'Raw data'!K260</f>
        <v>30</v>
      </c>
      <c r="T116">
        <f>+'Raw data'!L260</f>
        <v>93</v>
      </c>
      <c r="U116">
        <f>+'Raw data'!M260</f>
        <v>45</v>
      </c>
      <c r="V116">
        <f>+'Raw data'!N260</f>
        <v>11</v>
      </c>
      <c r="W116">
        <f>+'Raw data'!O260</f>
        <v>17</v>
      </c>
      <c r="X116">
        <f>+'Raw data'!P260</f>
        <v>40</v>
      </c>
      <c r="Y116">
        <f>+'Raw data'!Q260</f>
        <v>1.1299999999999999</v>
      </c>
    </row>
    <row r="117" spans="1:25" x14ac:dyDescent="0.25">
      <c r="A117">
        <v>2025</v>
      </c>
      <c r="B117" t="s">
        <v>57</v>
      </c>
      <c r="C117">
        <f t="shared" si="6"/>
        <v>6</v>
      </c>
      <c r="D117">
        <f t="shared" si="7"/>
        <v>58</v>
      </c>
      <c r="E117" t="str">
        <f>+'Raw data'!A240</f>
        <v>Samarina Dudenbros</v>
      </c>
      <c r="F117" t="str">
        <f>VLOOKUP(E117,Data!$E$2626:$F$2645,2,FALSE)</f>
        <v>Sakellariou</v>
      </c>
      <c r="H117">
        <f>+'Raw data'!A261</f>
        <v>8</v>
      </c>
      <c r="I117">
        <f>+'Raw data'!B261</f>
        <v>5</v>
      </c>
      <c r="J117">
        <f>+'Raw data'!C261</f>
        <v>0</v>
      </c>
      <c r="M117">
        <f>+'Raw data'!E261</f>
        <v>185</v>
      </c>
      <c r="N117">
        <f>+'Raw data'!F261</f>
        <v>0.44400000000000001</v>
      </c>
      <c r="O117">
        <f>+'Raw data'!G261</f>
        <v>52</v>
      </c>
      <c r="P117">
        <f>+'Raw data'!H261</f>
        <v>0.315</v>
      </c>
      <c r="Q117">
        <f>+'Raw data'!I261</f>
        <v>0.88700000000000001</v>
      </c>
      <c r="R117">
        <f>+'Raw data'!J261</f>
        <v>532</v>
      </c>
      <c r="S117">
        <f>+'Raw data'!K261</f>
        <v>27</v>
      </c>
      <c r="T117">
        <f>+'Raw data'!L261</f>
        <v>105</v>
      </c>
      <c r="U117">
        <f>+'Raw data'!M261</f>
        <v>116</v>
      </c>
      <c r="V117">
        <f>+'Raw data'!N261</f>
        <v>36</v>
      </c>
      <c r="W117">
        <f>+'Raw data'!O261</f>
        <v>8</v>
      </c>
      <c r="X117">
        <f>+'Raw data'!P261</f>
        <v>70</v>
      </c>
      <c r="Y117">
        <f>+'Raw data'!Q261</f>
        <v>1.66</v>
      </c>
    </row>
    <row r="118" spans="1:25" x14ac:dyDescent="0.25">
      <c r="A118">
        <v>2025</v>
      </c>
      <c r="B118" t="s">
        <v>57</v>
      </c>
      <c r="C118">
        <f t="shared" si="6"/>
        <v>6</v>
      </c>
      <c r="D118">
        <f t="shared" si="7"/>
        <v>59</v>
      </c>
      <c r="E118" t="str">
        <f>+'Raw data'!A241</f>
        <v>Guruuu 🐐🐐🐐</v>
      </c>
      <c r="F118" t="str">
        <f>VLOOKUP(E118,Data!$E$2626:$F$2645,2,FALSE)</f>
        <v>Guru</v>
      </c>
      <c r="H118">
        <f>+'Raw data'!A262</f>
        <v>6</v>
      </c>
      <c r="I118">
        <f>+'Raw data'!B262</f>
        <v>7</v>
      </c>
      <c r="J118">
        <f>+'Raw data'!C262</f>
        <v>0</v>
      </c>
      <c r="M118">
        <f>+'Raw data'!E262</f>
        <v>178</v>
      </c>
      <c r="N118">
        <f>+'Raw data'!F262</f>
        <v>0.46500000000000002</v>
      </c>
      <c r="O118">
        <f>+'Raw data'!G262</f>
        <v>56</v>
      </c>
      <c r="P118">
        <f>+'Raw data'!H262</f>
        <v>0.36799999999999999</v>
      </c>
      <c r="Q118">
        <f>+'Raw data'!I262</f>
        <v>0.75800000000000001</v>
      </c>
      <c r="R118">
        <f>+'Raw data'!J262</f>
        <v>506</v>
      </c>
      <c r="S118">
        <f>+'Raw data'!K262</f>
        <v>45</v>
      </c>
      <c r="T118">
        <f>+'Raw data'!L262</f>
        <v>139</v>
      </c>
      <c r="U118">
        <f>+'Raw data'!M262</f>
        <v>123</v>
      </c>
      <c r="V118">
        <f>+'Raw data'!N262</f>
        <v>34</v>
      </c>
      <c r="W118">
        <f>+'Raw data'!O262</f>
        <v>13</v>
      </c>
      <c r="X118">
        <f>+'Raw data'!P262</f>
        <v>57</v>
      </c>
      <c r="Y118">
        <f>+'Raw data'!Q262</f>
        <v>2.16</v>
      </c>
    </row>
    <row r="119" spans="1:25" x14ac:dyDescent="0.25">
      <c r="A119">
        <v>2025</v>
      </c>
      <c r="B119" t="s">
        <v>57</v>
      </c>
      <c r="C119">
        <f t="shared" si="6"/>
        <v>6</v>
      </c>
      <c r="D119">
        <f t="shared" si="7"/>
        <v>59</v>
      </c>
      <c r="E119" t="str">
        <f>+'Raw data'!A242</f>
        <v>The Bad Boys</v>
      </c>
      <c r="F119" t="str">
        <f>VLOOKUP(E119,Data!$E$2626:$F$2645,2,FALSE)</f>
        <v>Arvanitis</v>
      </c>
      <c r="H119">
        <f>+'Raw data'!A263</f>
        <v>7</v>
      </c>
      <c r="I119">
        <f>+'Raw data'!B263</f>
        <v>6</v>
      </c>
      <c r="J119">
        <f>+'Raw data'!C263</f>
        <v>0</v>
      </c>
      <c r="M119">
        <f>+'Raw data'!E263</f>
        <v>176</v>
      </c>
      <c r="N119">
        <f>+'Raw data'!F263</f>
        <v>0.501</v>
      </c>
      <c r="O119">
        <f>+'Raw data'!G263</f>
        <v>37</v>
      </c>
      <c r="P119">
        <f>+'Raw data'!H263</f>
        <v>0.34899999999999998</v>
      </c>
      <c r="Q119">
        <f>+'Raw data'!I263</f>
        <v>0.77700000000000002</v>
      </c>
      <c r="R119">
        <f>+'Raw data'!J263</f>
        <v>469</v>
      </c>
      <c r="S119">
        <f>+'Raw data'!K263</f>
        <v>61</v>
      </c>
      <c r="T119">
        <f>+'Raw data'!L263</f>
        <v>153</v>
      </c>
      <c r="U119">
        <f>+'Raw data'!M263</f>
        <v>97</v>
      </c>
      <c r="V119">
        <f>+'Raw data'!N263</f>
        <v>38</v>
      </c>
      <c r="W119">
        <f>+'Raw data'!O263</f>
        <v>18</v>
      </c>
      <c r="X119">
        <f>+'Raw data'!P263</f>
        <v>55</v>
      </c>
      <c r="Y119">
        <f>+'Raw data'!Q263</f>
        <v>1.76</v>
      </c>
    </row>
    <row r="120" spans="1:25" x14ac:dyDescent="0.25">
      <c r="A120">
        <v>2025</v>
      </c>
      <c r="B120" t="s">
        <v>57</v>
      </c>
      <c r="C120">
        <f t="shared" si="6"/>
        <v>6</v>
      </c>
      <c r="D120">
        <f t="shared" si="7"/>
        <v>60</v>
      </c>
      <c r="E120" t="str">
        <f>+'Raw data'!A243</f>
        <v>Knights of Ni</v>
      </c>
      <c r="F120" t="str">
        <f>VLOOKUP(E120,Data!$E$2626:$F$2645,2,FALSE)</f>
        <v>Tolios</v>
      </c>
      <c r="H120">
        <f>+'Raw data'!A264</f>
        <v>4</v>
      </c>
      <c r="I120">
        <f>+'Raw data'!B264</f>
        <v>7</v>
      </c>
      <c r="J120">
        <f>+'Raw data'!C264</f>
        <v>2</v>
      </c>
      <c r="M120">
        <f>+'Raw data'!E264</f>
        <v>153</v>
      </c>
      <c r="N120">
        <f>+'Raw data'!F264</f>
        <v>0.47699999999999998</v>
      </c>
      <c r="O120">
        <f>+'Raw data'!G264</f>
        <v>38</v>
      </c>
      <c r="P120">
        <f>+'Raw data'!H264</f>
        <v>0.31900000000000001</v>
      </c>
      <c r="Q120">
        <f>+'Raw data'!I264</f>
        <v>0.85199999999999998</v>
      </c>
      <c r="R120">
        <f>+'Raw data'!J264</f>
        <v>453</v>
      </c>
      <c r="S120">
        <f>+'Raw data'!K264</f>
        <v>32</v>
      </c>
      <c r="T120">
        <f>+'Raw data'!L264</f>
        <v>107</v>
      </c>
      <c r="U120">
        <f>+'Raw data'!M264</f>
        <v>76</v>
      </c>
      <c r="V120">
        <f>+'Raw data'!N264</f>
        <v>18</v>
      </c>
      <c r="W120">
        <f>+'Raw data'!O264</f>
        <v>19</v>
      </c>
      <c r="X120">
        <f>+'Raw data'!P264</f>
        <v>47</v>
      </c>
      <c r="Y120">
        <f>+'Raw data'!Q264</f>
        <v>1.62</v>
      </c>
    </row>
    <row r="121" spans="1:25" x14ac:dyDescent="0.25">
      <c r="A121">
        <v>2025</v>
      </c>
      <c r="B121" t="s">
        <v>57</v>
      </c>
      <c r="C121">
        <f t="shared" si="6"/>
        <v>6</v>
      </c>
      <c r="D121">
        <f t="shared" si="7"/>
        <v>60</v>
      </c>
      <c r="E121" t="str">
        <f>+'Raw data'!A244</f>
        <v>purple fuzzy apache pirates</v>
      </c>
      <c r="F121" t="str">
        <f>VLOOKUP(E121,Data!$E$2626:$F$2645,2,FALSE)</f>
        <v>pi/Sotiris</v>
      </c>
      <c r="H121">
        <f>+'Raw data'!A265</f>
        <v>7</v>
      </c>
      <c r="I121">
        <f>+'Raw data'!B265</f>
        <v>4</v>
      </c>
      <c r="J121">
        <f>+'Raw data'!C265</f>
        <v>2</v>
      </c>
      <c r="M121">
        <f>+'Raw data'!E265</f>
        <v>153</v>
      </c>
      <c r="N121">
        <f>+'Raw data'!F265</f>
        <v>0.53700000000000003</v>
      </c>
      <c r="O121">
        <f>+'Raw data'!G265</f>
        <v>54</v>
      </c>
      <c r="P121">
        <f>+'Raw data'!H265</f>
        <v>0.40600000000000003</v>
      </c>
      <c r="Q121">
        <f>+'Raw data'!I265</f>
        <v>0.82199999999999995</v>
      </c>
      <c r="R121">
        <f>+'Raw data'!J265</f>
        <v>443</v>
      </c>
      <c r="S121">
        <f>+'Raw data'!K265</f>
        <v>32</v>
      </c>
      <c r="T121">
        <f>+'Raw data'!L265</f>
        <v>125</v>
      </c>
      <c r="U121">
        <f>+'Raw data'!M265</f>
        <v>122</v>
      </c>
      <c r="V121">
        <f>+'Raw data'!N265</f>
        <v>22</v>
      </c>
      <c r="W121">
        <f>+'Raw data'!O265</f>
        <v>11</v>
      </c>
      <c r="X121">
        <f>+'Raw data'!P265</f>
        <v>55</v>
      </c>
      <c r="Y121">
        <f>+'Raw data'!Q265</f>
        <v>2.2200000000000002</v>
      </c>
    </row>
    <row r="122" spans="1:25" x14ac:dyDescent="0.25">
      <c r="A122">
        <v>2025</v>
      </c>
      <c r="B122" t="s">
        <v>57</v>
      </c>
      <c r="C122">
        <f>+C121+1</f>
        <v>7</v>
      </c>
      <c r="D122">
        <f t="shared" si="7"/>
        <v>61</v>
      </c>
      <c r="E122" t="str">
        <f>+'Raw data'!A269</f>
        <v>Karafli Saita</v>
      </c>
      <c r="F122" t="str">
        <f>VLOOKUP(E122,Data!$E$2626:$F$2645,2,FALSE)</f>
        <v>Tassos</v>
      </c>
      <c r="H122">
        <f>+'Raw data'!A290</f>
        <v>11</v>
      </c>
      <c r="I122">
        <f>+'Raw data'!B290</f>
        <v>2</v>
      </c>
      <c r="J122">
        <f>+'Raw data'!C290</f>
        <v>0</v>
      </c>
      <c r="M122">
        <f>+'Raw data'!E290</f>
        <v>254</v>
      </c>
      <c r="N122">
        <f>+'Raw data'!F290</f>
        <v>0.502</v>
      </c>
      <c r="O122">
        <f>+'Raw data'!G290</f>
        <v>64</v>
      </c>
      <c r="P122">
        <f>+'Raw data'!H290</f>
        <v>0.38100000000000001</v>
      </c>
      <c r="Q122">
        <f>+'Raw data'!I290</f>
        <v>0.86199999999999999</v>
      </c>
      <c r="R122">
        <f>+'Raw data'!J290</f>
        <v>697</v>
      </c>
      <c r="S122">
        <f>+'Raw data'!K290</f>
        <v>35</v>
      </c>
      <c r="T122">
        <f>+'Raw data'!L290</f>
        <v>151</v>
      </c>
      <c r="U122">
        <f>+'Raw data'!M290</f>
        <v>182</v>
      </c>
      <c r="V122">
        <f>+'Raw data'!N290</f>
        <v>44</v>
      </c>
      <c r="W122">
        <f>+'Raw data'!O290</f>
        <v>31</v>
      </c>
      <c r="X122">
        <f>+'Raw data'!P290</f>
        <v>65</v>
      </c>
      <c r="Y122">
        <f>+'Raw data'!Q290</f>
        <v>2.8</v>
      </c>
    </row>
    <row r="123" spans="1:25" x14ac:dyDescent="0.25">
      <c r="A123">
        <v>2025</v>
      </c>
      <c r="B123" t="s">
        <v>57</v>
      </c>
      <c r="C123">
        <f>+C122</f>
        <v>7</v>
      </c>
      <c r="D123">
        <f t="shared" si="7"/>
        <v>61</v>
      </c>
      <c r="E123" t="str">
        <f>+'Raw data'!A270</f>
        <v>LRBP PR3DATORS</v>
      </c>
      <c r="F123" t="str">
        <f>VLOOKUP(E123,Data!$E$2626:$F$2645,2,FALSE)</f>
        <v>Lafa</v>
      </c>
      <c r="H123">
        <f>+'Raw data'!A291</f>
        <v>2</v>
      </c>
      <c r="I123">
        <f>+'Raw data'!B291</f>
        <v>11</v>
      </c>
      <c r="J123">
        <f>+'Raw data'!C291</f>
        <v>0</v>
      </c>
      <c r="M123">
        <f>+'Raw data'!E291</f>
        <v>184</v>
      </c>
      <c r="N123">
        <f>+'Raw data'!F291</f>
        <v>0.504</v>
      </c>
      <c r="O123">
        <f>+'Raw data'!G291</f>
        <v>39</v>
      </c>
      <c r="P123">
        <f>+'Raw data'!H291</f>
        <v>0.315</v>
      </c>
      <c r="Q123">
        <f>+'Raw data'!I291</f>
        <v>0.77900000000000003</v>
      </c>
      <c r="R123">
        <f>+'Raw data'!J291</f>
        <v>523</v>
      </c>
      <c r="S123">
        <f>+'Raw data'!K291</f>
        <v>36</v>
      </c>
      <c r="T123">
        <f>+'Raw data'!L291</f>
        <v>127</v>
      </c>
      <c r="U123">
        <f>+'Raw data'!M291</f>
        <v>124</v>
      </c>
      <c r="V123">
        <f>+'Raw data'!N291</f>
        <v>34</v>
      </c>
      <c r="W123">
        <f>+'Raw data'!O291</f>
        <v>25</v>
      </c>
      <c r="X123">
        <f>+'Raw data'!P291</f>
        <v>68</v>
      </c>
      <c r="Y123">
        <f>+'Raw data'!Q291</f>
        <v>1.82</v>
      </c>
    </row>
    <row r="124" spans="1:25" x14ac:dyDescent="0.25">
      <c r="A124">
        <v>2025</v>
      </c>
      <c r="B124" t="s">
        <v>57</v>
      </c>
      <c r="C124">
        <f>+C123</f>
        <v>7</v>
      </c>
      <c r="D124">
        <f t="shared" si="7"/>
        <v>62</v>
      </c>
      <c r="E124" t="str">
        <f>+'Raw data'!A271</f>
        <v>Pachiana NinjaBees</v>
      </c>
      <c r="F124" t="str">
        <f>VLOOKUP(E124,Data!$E$2626:$F$2645,2,FALSE)</f>
        <v>Spiridaus/Oladipas</v>
      </c>
      <c r="H124">
        <f>+'Raw data'!A292</f>
        <v>4</v>
      </c>
      <c r="I124">
        <f>+'Raw data'!B292</f>
        <v>9</v>
      </c>
      <c r="J124">
        <f>+'Raw data'!C292</f>
        <v>0</v>
      </c>
      <c r="M124">
        <f>+'Raw data'!E292</f>
        <v>124</v>
      </c>
      <c r="N124">
        <f>+'Raw data'!F292</f>
        <v>0.45900000000000002</v>
      </c>
      <c r="O124">
        <f>+'Raw data'!G292</f>
        <v>36</v>
      </c>
      <c r="P124">
        <f>+'Raw data'!H292</f>
        <v>0.35599999999999998</v>
      </c>
      <c r="Q124">
        <f>+'Raw data'!I292</f>
        <v>0.76800000000000002</v>
      </c>
      <c r="R124">
        <f>+'Raw data'!J292</f>
        <v>327</v>
      </c>
      <c r="S124">
        <f>+'Raw data'!K292</f>
        <v>26</v>
      </c>
      <c r="T124">
        <f>+'Raw data'!L292</f>
        <v>87</v>
      </c>
      <c r="U124">
        <f>+'Raw data'!M292</f>
        <v>99</v>
      </c>
      <c r="V124">
        <f>+'Raw data'!N292</f>
        <v>19</v>
      </c>
      <c r="W124">
        <f>+'Raw data'!O292</f>
        <v>17</v>
      </c>
      <c r="X124">
        <f>+'Raw data'!P292</f>
        <v>53</v>
      </c>
      <c r="Y124">
        <f>+'Raw data'!Q292</f>
        <v>1.87</v>
      </c>
    </row>
    <row r="125" spans="1:25" x14ac:dyDescent="0.25">
      <c r="A125">
        <v>2025</v>
      </c>
      <c r="B125" t="s">
        <v>57</v>
      </c>
      <c r="C125">
        <f>+C124</f>
        <v>7</v>
      </c>
      <c r="D125">
        <f t="shared" si="7"/>
        <v>62</v>
      </c>
      <c r="E125" t="str">
        <f>+'Raw data'!A272</f>
        <v>Fighting Thaddeus</v>
      </c>
      <c r="F125" t="str">
        <f>VLOOKUP(E125,Data!$E$2626:$F$2645,2,FALSE)</f>
        <v>Stavros</v>
      </c>
      <c r="H125">
        <f>+'Raw data'!A293</f>
        <v>9</v>
      </c>
      <c r="I125">
        <f>+'Raw data'!B293</f>
        <v>4</v>
      </c>
      <c r="J125">
        <f>+'Raw data'!C293</f>
        <v>0</v>
      </c>
      <c r="M125">
        <f>+'Raw data'!E293</f>
        <v>183</v>
      </c>
      <c r="N125">
        <f>+'Raw data'!F293</f>
        <v>0.45900000000000002</v>
      </c>
      <c r="O125">
        <f>+'Raw data'!G293</f>
        <v>61</v>
      </c>
      <c r="P125">
        <f>+'Raw data'!H293</f>
        <v>0.37</v>
      </c>
      <c r="Q125">
        <f>+'Raw data'!I293</f>
        <v>0.83699999999999997</v>
      </c>
      <c r="R125">
        <f>+'Raw data'!J293</f>
        <v>499</v>
      </c>
      <c r="S125">
        <f>+'Raw data'!K293</f>
        <v>39</v>
      </c>
      <c r="T125">
        <f>+'Raw data'!L293</f>
        <v>120</v>
      </c>
      <c r="U125">
        <f>+'Raw data'!M293</f>
        <v>115</v>
      </c>
      <c r="V125">
        <f>+'Raw data'!N293</f>
        <v>23</v>
      </c>
      <c r="W125">
        <f>+'Raw data'!O293</f>
        <v>15</v>
      </c>
      <c r="X125">
        <f>+'Raw data'!P293</f>
        <v>67</v>
      </c>
      <c r="Y125">
        <f>+'Raw data'!Q293</f>
        <v>1.72</v>
      </c>
    </row>
    <row r="126" spans="1:25" x14ac:dyDescent="0.25">
      <c r="A126">
        <v>2025</v>
      </c>
      <c r="B126" t="s">
        <v>57</v>
      </c>
      <c r="C126">
        <f t="shared" ref="C126:C141" si="8">+C125</f>
        <v>7</v>
      </c>
      <c r="D126">
        <f t="shared" si="7"/>
        <v>63</v>
      </c>
      <c r="E126" t="str">
        <f>+'Raw data'!A273</f>
        <v>st.Helens Eruptions</v>
      </c>
      <c r="F126" t="str">
        <f>VLOOKUP(E126,Data!$E$2626:$F$2645,2,FALSE)</f>
        <v>Aris</v>
      </c>
      <c r="H126">
        <f>+'Raw data'!A294</f>
        <v>6</v>
      </c>
      <c r="I126">
        <f>+'Raw data'!B294</f>
        <v>7</v>
      </c>
      <c r="J126">
        <f>+'Raw data'!C294</f>
        <v>0</v>
      </c>
      <c r="M126">
        <f>+'Raw data'!E294</f>
        <v>140</v>
      </c>
      <c r="N126">
        <f>+'Raw data'!F294</f>
        <v>0.42</v>
      </c>
      <c r="O126">
        <f>+'Raw data'!G294</f>
        <v>35</v>
      </c>
      <c r="P126">
        <f>+'Raw data'!H294</f>
        <v>0.32700000000000001</v>
      </c>
      <c r="Q126">
        <f>+'Raw data'!I294</f>
        <v>0.76400000000000001</v>
      </c>
      <c r="R126">
        <f>+'Raw data'!J294</f>
        <v>357</v>
      </c>
      <c r="S126">
        <f>+'Raw data'!K294</f>
        <v>37</v>
      </c>
      <c r="T126">
        <f>+'Raw data'!L294</f>
        <v>125</v>
      </c>
      <c r="U126">
        <f>+'Raw data'!M294</f>
        <v>73</v>
      </c>
      <c r="V126">
        <f>+'Raw data'!N294</f>
        <v>20</v>
      </c>
      <c r="W126">
        <f>+'Raw data'!O294</f>
        <v>12</v>
      </c>
      <c r="X126">
        <f>+'Raw data'!P294</f>
        <v>43</v>
      </c>
      <c r="Y126">
        <f>+'Raw data'!Q294</f>
        <v>1.7</v>
      </c>
    </row>
    <row r="127" spans="1:25" x14ac:dyDescent="0.25">
      <c r="A127">
        <v>2025</v>
      </c>
      <c r="B127" t="s">
        <v>57</v>
      </c>
      <c r="C127">
        <f t="shared" si="8"/>
        <v>7</v>
      </c>
      <c r="D127">
        <f t="shared" si="7"/>
        <v>63</v>
      </c>
      <c r="E127" t="str">
        <f>+'Raw data'!A274</f>
        <v>Hércules Pals</v>
      </c>
      <c r="F127" t="e">
        <f>VLOOKUP(E127,Data!$E$2626:$F$2645,2,FALSE)</f>
        <v>#N/A</v>
      </c>
      <c r="H127">
        <f>+'Raw data'!A295</f>
        <v>7</v>
      </c>
      <c r="I127">
        <f>+'Raw data'!B295</f>
        <v>6</v>
      </c>
      <c r="J127">
        <f>+'Raw data'!C295</f>
        <v>0</v>
      </c>
      <c r="M127">
        <f>+'Raw data'!E295</f>
        <v>128</v>
      </c>
      <c r="N127">
        <f>+'Raw data'!F295</f>
        <v>0.49</v>
      </c>
      <c r="O127">
        <f>+'Raw data'!G295</f>
        <v>47</v>
      </c>
      <c r="P127">
        <f>+'Raw data'!H295</f>
        <v>0.38500000000000001</v>
      </c>
      <c r="Q127">
        <f>+'Raw data'!I295</f>
        <v>0.69199999999999995</v>
      </c>
      <c r="R127">
        <f>+'Raw data'!J295</f>
        <v>348</v>
      </c>
      <c r="S127">
        <f>+'Raw data'!K295</f>
        <v>56</v>
      </c>
      <c r="T127">
        <f>+'Raw data'!L295</f>
        <v>112</v>
      </c>
      <c r="U127">
        <f>+'Raw data'!M295</f>
        <v>83</v>
      </c>
      <c r="V127">
        <f>+'Raw data'!N295</f>
        <v>22</v>
      </c>
      <c r="W127">
        <f>+'Raw data'!O295</f>
        <v>15</v>
      </c>
      <c r="X127">
        <f>+'Raw data'!P295</f>
        <v>54</v>
      </c>
      <c r="Y127">
        <f>+'Raw data'!Q295</f>
        <v>1.54</v>
      </c>
    </row>
    <row r="128" spans="1:25" x14ac:dyDescent="0.25">
      <c r="A128">
        <v>2025</v>
      </c>
      <c r="B128" t="s">
        <v>57</v>
      </c>
      <c r="C128">
        <f t="shared" si="8"/>
        <v>7</v>
      </c>
      <c r="D128">
        <f t="shared" si="7"/>
        <v>64</v>
      </c>
      <c r="E128" t="str">
        <f>+'Raw data'!A275</f>
        <v>Paralouistas</v>
      </c>
      <c r="F128" t="str">
        <f>VLOOKUP(E128,Data!$E$2626:$F$2645,2,FALSE)</f>
        <v>Panos</v>
      </c>
      <c r="H128">
        <f>+'Raw data'!A296</f>
        <v>4</v>
      </c>
      <c r="I128">
        <f>+'Raw data'!B296</f>
        <v>9</v>
      </c>
      <c r="J128">
        <f>+'Raw data'!C296</f>
        <v>0</v>
      </c>
      <c r="M128">
        <f>+'Raw data'!E296</f>
        <v>149</v>
      </c>
      <c r="N128">
        <f>+'Raw data'!F296</f>
        <v>0.42899999999999999</v>
      </c>
      <c r="O128">
        <f>+'Raw data'!G296</f>
        <v>54</v>
      </c>
      <c r="P128">
        <f>+'Raw data'!H296</f>
        <v>0.38800000000000001</v>
      </c>
      <c r="Q128">
        <f>+'Raw data'!I296</f>
        <v>0.80200000000000005</v>
      </c>
      <c r="R128">
        <f>+'Raw data'!J296</f>
        <v>425</v>
      </c>
      <c r="S128">
        <f>+'Raw data'!K296</f>
        <v>36</v>
      </c>
      <c r="T128">
        <f>+'Raw data'!L296</f>
        <v>119</v>
      </c>
      <c r="U128">
        <f>+'Raw data'!M296</f>
        <v>139</v>
      </c>
      <c r="V128">
        <f>+'Raw data'!N296</f>
        <v>30</v>
      </c>
      <c r="W128">
        <f>+'Raw data'!O296</f>
        <v>17</v>
      </c>
      <c r="X128">
        <f>+'Raw data'!P296</f>
        <v>68</v>
      </c>
      <c r="Y128">
        <f>+'Raw data'!Q296</f>
        <v>2.04</v>
      </c>
    </row>
    <row r="129" spans="1:25" x14ac:dyDescent="0.25">
      <c r="A129">
        <v>2025</v>
      </c>
      <c r="B129" t="s">
        <v>57</v>
      </c>
      <c r="C129">
        <f t="shared" si="8"/>
        <v>7</v>
      </c>
      <c r="D129">
        <f t="shared" si="7"/>
        <v>64</v>
      </c>
      <c r="E129" t="str">
        <f>+'Raw data'!A276</f>
        <v>Tsarlatans</v>
      </c>
      <c r="F129" t="str">
        <f>VLOOKUP(E129,Data!$E$2626:$F$2645,2,FALSE)</f>
        <v>Tzokos</v>
      </c>
      <c r="H129">
        <f>+'Raw data'!A297</f>
        <v>9</v>
      </c>
      <c r="I129">
        <f>+'Raw data'!B297</f>
        <v>4</v>
      </c>
      <c r="J129">
        <f>+'Raw data'!C297</f>
        <v>0</v>
      </c>
      <c r="M129">
        <f>+'Raw data'!E297</f>
        <v>156</v>
      </c>
      <c r="N129">
        <f>+'Raw data'!F297</f>
        <v>0.47399999999999998</v>
      </c>
      <c r="O129">
        <f>+'Raw data'!G297</f>
        <v>51</v>
      </c>
      <c r="P129">
        <f>+'Raw data'!H297</f>
        <v>0.38300000000000001</v>
      </c>
      <c r="Q129">
        <f>+'Raw data'!I297</f>
        <v>0.81499999999999995</v>
      </c>
      <c r="R129">
        <f>+'Raw data'!J297</f>
        <v>416</v>
      </c>
      <c r="S129">
        <f>+'Raw data'!K297</f>
        <v>46</v>
      </c>
      <c r="T129">
        <f>+'Raw data'!L297</f>
        <v>153</v>
      </c>
      <c r="U129">
        <f>+'Raw data'!M297</f>
        <v>107</v>
      </c>
      <c r="V129">
        <f>+'Raw data'!N297</f>
        <v>32</v>
      </c>
      <c r="W129">
        <f>+'Raw data'!O297</f>
        <v>26</v>
      </c>
      <c r="X129">
        <f>+'Raw data'!P297</f>
        <v>48</v>
      </c>
      <c r="Y129">
        <f>+'Raw data'!Q297</f>
        <v>2.23</v>
      </c>
    </row>
    <row r="130" spans="1:25" x14ac:dyDescent="0.25">
      <c r="A130">
        <v>2025</v>
      </c>
      <c r="B130" t="s">
        <v>57</v>
      </c>
      <c r="C130">
        <f t="shared" si="8"/>
        <v>7</v>
      </c>
      <c r="D130">
        <f t="shared" si="7"/>
        <v>65</v>
      </c>
      <c r="E130" t="str">
        <f>+'Raw data'!A277</f>
        <v>Steven Adams' Moustache</v>
      </c>
      <c r="F130" t="str">
        <f>VLOOKUP(E130,Data!$E$2626:$F$2645,2,FALSE)</f>
        <v>Johnny</v>
      </c>
      <c r="H130">
        <f>+'Raw data'!A298</f>
        <v>2</v>
      </c>
      <c r="I130">
        <f>+'Raw data'!B298</f>
        <v>11</v>
      </c>
      <c r="J130">
        <f>+'Raw data'!C298</f>
        <v>0</v>
      </c>
      <c r="M130">
        <f>+'Raw data'!E298</f>
        <v>155</v>
      </c>
      <c r="N130">
        <f>+'Raw data'!F298</f>
        <v>0.48299999999999998</v>
      </c>
      <c r="O130">
        <f>+'Raw data'!G298</f>
        <v>51</v>
      </c>
      <c r="P130">
        <f>+'Raw data'!H298</f>
        <v>0.35899999999999999</v>
      </c>
      <c r="Q130">
        <f>+'Raw data'!I298</f>
        <v>0.86699999999999999</v>
      </c>
      <c r="R130">
        <f>+'Raw data'!J298</f>
        <v>439</v>
      </c>
      <c r="S130">
        <f>+'Raw data'!K298</f>
        <v>27</v>
      </c>
      <c r="T130">
        <f>+'Raw data'!L298</f>
        <v>110</v>
      </c>
      <c r="U130">
        <f>+'Raw data'!M298</f>
        <v>97</v>
      </c>
      <c r="V130">
        <f>+'Raw data'!N298</f>
        <v>19</v>
      </c>
      <c r="W130">
        <f>+'Raw data'!O298</f>
        <v>19</v>
      </c>
      <c r="X130">
        <f>+'Raw data'!P298</f>
        <v>64</v>
      </c>
      <c r="Y130">
        <f>+'Raw data'!Q298</f>
        <v>1.52</v>
      </c>
    </row>
    <row r="131" spans="1:25" x14ac:dyDescent="0.25">
      <c r="A131">
        <v>2025</v>
      </c>
      <c r="B131" t="s">
        <v>57</v>
      </c>
      <c r="C131">
        <f t="shared" si="8"/>
        <v>7</v>
      </c>
      <c r="D131">
        <f t="shared" si="7"/>
        <v>65</v>
      </c>
      <c r="E131" t="str">
        <f>+'Raw data'!A278</f>
        <v>The Guns</v>
      </c>
      <c r="F131" t="str">
        <f>VLOOKUP(E131,Data!$E$2626:$F$2645,2,FALSE)</f>
        <v>Vasilis</v>
      </c>
      <c r="H131">
        <f>+'Raw data'!A299</f>
        <v>11</v>
      </c>
      <c r="I131">
        <f>+'Raw data'!B299</f>
        <v>2</v>
      </c>
      <c r="J131">
        <f>+'Raw data'!C299</f>
        <v>0</v>
      </c>
      <c r="M131">
        <f>+'Raw data'!E299</f>
        <v>181</v>
      </c>
      <c r="N131">
        <f>+'Raw data'!F299</f>
        <v>0.50600000000000001</v>
      </c>
      <c r="O131">
        <f>+'Raw data'!G299</f>
        <v>61</v>
      </c>
      <c r="P131">
        <f>+'Raw data'!H299</f>
        <v>0.44900000000000001</v>
      </c>
      <c r="Q131">
        <f>+'Raw data'!I299</f>
        <v>0.83199999999999996</v>
      </c>
      <c r="R131">
        <f>+'Raw data'!J299</f>
        <v>502</v>
      </c>
      <c r="S131">
        <f>+'Raw data'!K299</f>
        <v>34</v>
      </c>
      <c r="T131">
        <f>+'Raw data'!L299</f>
        <v>124</v>
      </c>
      <c r="U131">
        <f>+'Raw data'!M299</f>
        <v>85</v>
      </c>
      <c r="V131">
        <f>+'Raw data'!N299</f>
        <v>25</v>
      </c>
      <c r="W131">
        <f>+'Raw data'!O299</f>
        <v>21</v>
      </c>
      <c r="X131">
        <f>+'Raw data'!P299</f>
        <v>36</v>
      </c>
      <c r="Y131">
        <f>+'Raw data'!Q299</f>
        <v>2.36</v>
      </c>
    </row>
    <row r="132" spans="1:25" x14ac:dyDescent="0.25">
      <c r="A132">
        <v>2025</v>
      </c>
      <c r="B132" t="s">
        <v>57</v>
      </c>
      <c r="C132">
        <f t="shared" si="8"/>
        <v>7</v>
      </c>
      <c r="D132">
        <f t="shared" si="7"/>
        <v>66</v>
      </c>
      <c r="E132" t="str">
        <f>+'Raw data'!A279</f>
        <v>Salonika Devils</v>
      </c>
      <c r="F132" t="str">
        <f>VLOOKUP(E132,Data!$E$2626:$F$2645,2,FALSE)</f>
        <v>Fountos</v>
      </c>
      <c r="H132">
        <f>+'Raw data'!A300</f>
        <v>2</v>
      </c>
      <c r="I132">
        <f>+'Raw data'!B300</f>
        <v>11</v>
      </c>
      <c r="J132">
        <f>+'Raw data'!C300</f>
        <v>0</v>
      </c>
      <c r="M132">
        <f>+'Raw data'!E300</f>
        <v>104</v>
      </c>
      <c r="N132">
        <f>+'Raw data'!F300</f>
        <v>0.45400000000000001</v>
      </c>
      <c r="O132">
        <f>+'Raw data'!G300</f>
        <v>25</v>
      </c>
      <c r="P132">
        <f>+'Raw data'!H300</f>
        <v>0.30099999999999999</v>
      </c>
      <c r="Q132">
        <f>+'Raw data'!I300</f>
        <v>0.8</v>
      </c>
      <c r="R132">
        <f>+'Raw data'!J300</f>
        <v>297</v>
      </c>
      <c r="S132">
        <f>+'Raw data'!K300</f>
        <v>35</v>
      </c>
      <c r="T132">
        <f>+'Raw data'!L300</f>
        <v>95</v>
      </c>
      <c r="U132">
        <f>+'Raw data'!M300</f>
        <v>64</v>
      </c>
      <c r="V132">
        <f>+'Raw data'!N300</f>
        <v>18</v>
      </c>
      <c r="W132">
        <f>+'Raw data'!O300</f>
        <v>5</v>
      </c>
      <c r="X132">
        <f>+'Raw data'!P300</f>
        <v>42</v>
      </c>
      <c r="Y132">
        <f>+'Raw data'!Q300</f>
        <v>1.52</v>
      </c>
    </row>
    <row r="133" spans="1:25" x14ac:dyDescent="0.25">
      <c r="A133">
        <v>2025</v>
      </c>
      <c r="B133" t="s">
        <v>57</v>
      </c>
      <c r="C133">
        <f t="shared" si="8"/>
        <v>7</v>
      </c>
      <c r="D133">
        <f t="shared" si="7"/>
        <v>66</v>
      </c>
      <c r="E133" t="str">
        <f>+'Raw data'!A280</f>
        <v>Xanthi Ducks 🦆</v>
      </c>
      <c r="F133" t="str">
        <f>VLOOKUP(E133,Data!$E$2626:$F$2645,2,FALSE)</f>
        <v>Kotakis</v>
      </c>
      <c r="H133">
        <f>+'Raw data'!A301</f>
        <v>11</v>
      </c>
      <c r="I133">
        <f>+'Raw data'!B301</f>
        <v>2</v>
      </c>
      <c r="J133">
        <f>+'Raw data'!C301</f>
        <v>0</v>
      </c>
      <c r="M133">
        <f>+'Raw data'!E301</f>
        <v>159</v>
      </c>
      <c r="N133">
        <f>+'Raw data'!F301</f>
        <v>0.47199999999999998</v>
      </c>
      <c r="O133">
        <f>+'Raw data'!G301</f>
        <v>75</v>
      </c>
      <c r="P133">
        <f>+'Raw data'!H301</f>
        <v>0.40799999999999997</v>
      </c>
      <c r="Q133">
        <f>+'Raw data'!I301</f>
        <v>0.77600000000000002</v>
      </c>
      <c r="R133">
        <f>+'Raw data'!J301</f>
        <v>445</v>
      </c>
      <c r="S133">
        <f>+'Raw data'!K301</f>
        <v>32</v>
      </c>
      <c r="T133">
        <f>+'Raw data'!L301</f>
        <v>96</v>
      </c>
      <c r="U133">
        <f>+'Raw data'!M301</f>
        <v>85</v>
      </c>
      <c r="V133">
        <f>+'Raw data'!N301</f>
        <v>37</v>
      </c>
      <c r="W133">
        <f>+'Raw data'!O301</f>
        <v>17</v>
      </c>
      <c r="X133">
        <f>+'Raw data'!P301</f>
        <v>36</v>
      </c>
      <c r="Y133">
        <f>+'Raw data'!Q301</f>
        <v>2.36</v>
      </c>
    </row>
    <row r="134" spans="1:25" x14ac:dyDescent="0.25">
      <c r="A134">
        <v>2025</v>
      </c>
      <c r="B134" t="s">
        <v>57</v>
      </c>
      <c r="C134">
        <f t="shared" si="8"/>
        <v>7</v>
      </c>
      <c r="D134">
        <f t="shared" si="7"/>
        <v>67</v>
      </c>
      <c r="E134" t="str">
        <f>+'Raw data'!A281</f>
        <v>Samarina Dudenbros</v>
      </c>
      <c r="F134" t="str">
        <f>VLOOKUP(E134,Data!$E$2626:$F$2645,2,FALSE)</f>
        <v>Sakellariou</v>
      </c>
      <c r="H134">
        <f>+'Raw data'!A302</f>
        <v>6</v>
      </c>
      <c r="I134">
        <f>+'Raw data'!B302</f>
        <v>7</v>
      </c>
      <c r="J134">
        <f>+'Raw data'!C302</f>
        <v>0</v>
      </c>
      <c r="M134">
        <f>+'Raw data'!E302</f>
        <v>210</v>
      </c>
      <c r="N134">
        <f>+'Raw data'!F302</f>
        <v>0.46899999999999997</v>
      </c>
      <c r="O134">
        <f>+'Raw data'!G302</f>
        <v>56</v>
      </c>
      <c r="P134">
        <f>+'Raw data'!H302</f>
        <v>0.33100000000000002</v>
      </c>
      <c r="Q134">
        <f>+'Raw data'!I302</f>
        <v>0.79600000000000004</v>
      </c>
      <c r="R134">
        <f>+'Raw data'!J302</f>
        <v>566</v>
      </c>
      <c r="S134">
        <f>+'Raw data'!K302</f>
        <v>51</v>
      </c>
      <c r="T134">
        <f>+'Raw data'!L302</f>
        <v>139</v>
      </c>
      <c r="U134">
        <f>+'Raw data'!M302</f>
        <v>117</v>
      </c>
      <c r="V134">
        <f>+'Raw data'!N302</f>
        <v>45</v>
      </c>
      <c r="W134">
        <f>+'Raw data'!O302</f>
        <v>16</v>
      </c>
      <c r="X134">
        <f>+'Raw data'!P302</f>
        <v>59</v>
      </c>
      <c r="Y134">
        <f>+'Raw data'!Q302</f>
        <v>1.98</v>
      </c>
    </row>
    <row r="135" spans="1:25" x14ac:dyDescent="0.25">
      <c r="A135">
        <v>2025</v>
      </c>
      <c r="B135" t="s">
        <v>57</v>
      </c>
      <c r="C135">
        <f t="shared" si="8"/>
        <v>7</v>
      </c>
      <c r="D135">
        <f t="shared" si="7"/>
        <v>67</v>
      </c>
      <c r="E135" t="str">
        <f>+'Raw data'!A282</f>
        <v>Kourayo Vallecano</v>
      </c>
      <c r="F135" t="str">
        <f>VLOOKUP(E135,Data!$E$2626:$F$2645,2,FALSE)</f>
        <v>Ziogas/Christof</v>
      </c>
      <c r="H135">
        <f>+'Raw data'!A303</f>
        <v>7</v>
      </c>
      <c r="I135">
        <f>+'Raw data'!B303</f>
        <v>6</v>
      </c>
      <c r="J135">
        <f>+'Raw data'!C303</f>
        <v>0</v>
      </c>
      <c r="M135">
        <f>+'Raw data'!E303</f>
        <v>190</v>
      </c>
      <c r="N135">
        <f>+'Raw data'!F303</f>
        <v>0.47599999999999998</v>
      </c>
      <c r="O135">
        <f>+'Raw data'!G303</f>
        <v>53</v>
      </c>
      <c r="P135">
        <f>+'Raw data'!H303</f>
        <v>0.34399999999999997</v>
      </c>
      <c r="Q135">
        <f>+'Raw data'!I303</f>
        <v>0.83099999999999996</v>
      </c>
      <c r="R135">
        <f>+'Raw data'!J303</f>
        <v>531</v>
      </c>
      <c r="S135">
        <f>+'Raw data'!K303</f>
        <v>45</v>
      </c>
      <c r="T135">
        <f>+'Raw data'!L303</f>
        <v>154</v>
      </c>
      <c r="U135">
        <f>+'Raw data'!M303</f>
        <v>133</v>
      </c>
      <c r="V135">
        <f>+'Raw data'!N303</f>
        <v>29</v>
      </c>
      <c r="W135">
        <f>+'Raw data'!O303</f>
        <v>10</v>
      </c>
      <c r="X135">
        <f>+'Raw data'!P303</f>
        <v>50</v>
      </c>
      <c r="Y135">
        <f>+'Raw data'!Q303</f>
        <v>2.66</v>
      </c>
    </row>
    <row r="136" spans="1:25" x14ac:dyDescent="0.25">
      <c r="A136">
        <v>2025</v>
      </c>
      <c r="B136" t="s">
        <v>57</v>
      </c>
      <c r="C136">
        <f t="shared" si="8"/>
        <v>7</v>
      </c>
      <c r="D136">
        <f t="shared" si="7"/>
        <v>68</v>
      </c>
      <c r="E136" t="str">
        <f>+'Raw data'!A283</f>
        <v>The Bad Boys</v>
      </c>
      <c r="F136" t="str">
        <f>VLOOKUP(E136,Data!$E$2626:$F$2645,2,FALSE)</f>
        <v>Arvanitis</v>
      </c>
      <c r="H136">
        <f>+'Raw data'!A304</f>
        <v>3</v>
      </c>
      <c r="I136">
        <f>+'Raw data'!B304</f>
        <v>9</v>
      </c>
      <c r="J136">
        <f>+'Raw data'!C304</f>
        <v>1</v>
      </c>
      <c r="M136">
        <f>+'Raw data'!E304</f>
        <v>174</v>
      </c>
      <c r="N136">
        <f>+'Raw data'!F304</f>
        <v>0.50900000000000001</v>
      </c>
      <c r="O136">
        <f>+'Raw data'!G304</f>
        <v>38</v>
      </c>
      <c r="P136">
        <f>+'Raw data'!H304</f>
        <v>0.39200000000000002</v>
      </c>
      <c r="Q136">
        <f>+'Raw data'!I304</f>
        <v>0.77500000000000002</v>
      </c>
      <c r="R136">
        <f>+'Raw data'!J304</f>
        <v>465</v>
      </c>
      <c r="S136">
        <f>+'Raw data'!K304</f>
        <v>34</v>
      </c>
      <c r="T136">
        <f>+'Raw data'!L304</f>
        <v>119</v>
      </c>
      <c r="U136">
        <f>+'Raw data'!M304</f>
        <v>65</v>
      </c>
      <c r="V136">
        <f>+'Raw data'!N304</f>
        <v>29</v>
      </c>
      <c r="W136">
        <f>+'Raw data'!O304</f>
        <v>32</v>
      </c>
      <c r="X136">
        <f>+'Raw data'!P304</f>
        <v>49</v>
      </c>
      <c r="Y136">
        <f>+'Raw data'!Q304</f>
        <v>1.33</v>
      </c>
    </row>
    <row r="137" spans="1:25" x14ac:dyDescent="0.25">
      <c r="A137">
        <v>2025</v>
      </c>
      <c r="B137" t="s">
        <v>57</v>
      </c>
      <c r="C137">
        <f t="shared" si="8"/>
        <v>7</v>
      </c>
      <c r="D137">
        <f t="shared" si="7"/>
        <v>68</v>
      </c>
      <c r="E137" t="str">
        <f>+'Raw data'!A284</f>
        <v>The Bridgeburners</v>
      </c>
      <c r="F137" t="str">
        <f>VLOOKUP(E137,Data!$E$2626:$F$2645,2,FALSE)</f>
        <v>Fanis</v>
      </c>
      <c r="H137">
        <f>+'Raw data'!A305</f>
        <v>9</v>
      </c>
      <c r="I137">
        <f>+'Raw data'!B305</f>
        <v>3</v>
      </c>
      <c r="J137">
        <f>+'Raw data'!C305</f>
        <v>1</v>
      </c>
      <c r="M137">
        <f>+'Raw data'!E305</f>
        <v>225</v>
      </c>
      <c r="N137">
        <f>+'Raw data'!F305</f>
        <v>0.48699999999999999</v>
      </c>
      <c r="O137">
        <f>+'Raw data'!G305</f>
        <v>56</v>
      </c>
      <c r="P137">
        <f>+'Raw data'!H305</f>
        <v>0.33700000000000002</v>
      </c>
      <c r="Q137">
        <f>+'Raw data'!I305</f>
        <v>0.78900000000000003</v>
      </c>
      <c r="R137">
        <f>+'Raw data'!J305</f>
        <v>603</v>
      </c>
      <c r="S137">
        <f>+'Raw data'!K305</f>
        <v>48</v>
      </c>
      <c r="T137">
        <f>+'Raw data'!L305</f>
        <v>162</v>
      </c>
      <c r="U137">
        <f>+'Raw data'!M305</f>
        <v>133</v>
      </c>
      <c r="V137">
        <f>+'Raw data'!N305</f>
        <v>39</v>
      </c>
      <c r="W137">
        <f>+'Raw data'!O305</f>
        <v>32</v>
      </c>
      <c r="X137">
        <f>+'Raw data'!P305</f>
        <v>60</v>
      </c>
      <c r="Y137">
        <f>+'Raw data'!Q305</f>
        <v>2.2200000000000002</v>
      </c>
    </row>
    <row r="138" spans="1:25" x14ac:dyDescent="0.25">
      <c r="A138">
        <v>2025</v>
      </c>
      <c r="B138" t="s">
        <v>57</v>
      </c>
      <c r="C138">
        <f t="shared" si="8"/>
        <v>7</v>
      </c>
      <c r="D138">
        <f t="shared" si="7"/>
        <v>69</v>
      </c>
      <c r="E138" t="str">
        <f>+'Raw data'!A285</f>
        <v>purple fuzzy apache pirates</v>
      </c>
      <c r="F138" t="str">
        <f>VLOOKUP(E138,Data!$E$2626:$F$2645,2,FALSE)</f>
        <v>pi/Sotiris</v>
      </c>
      <c r="H138">
        <f>+'Raw data'!A306</f>
        <v>10</v>
      </c>
      <c r="I138">
        <f>+'Raw data'!B306</f>
        <v>3</v>
      </c>
      <c r="J138">
        <f>+'Raw data'!C306</f>
        <v>0</v>
      </c>
      <c r="M138">
        <f>+'Raw data'!E306</f>
        <v>198</v>
      </c>
      <c r="N138">
        <f>+'Raw data'!F306</f>
        <v>0.501</v>
      </c>
      <c r="O138">
        <f>+'Raw data'!G306</f>
        <v>66</v>
      </c>
      <c r="P138">
        <f>+'Raw data'!H306</f>
        <v>0.40500000000000003</v>
      </c>
      <c r="Q138">
        <f>+'Raw data'!I306</f>
        <v>0.74099999999999999</v>
      </c>
      <c r="R138">
        <f>+'Raw data'!J306</f>
        <v>562</v>
      </c>
      <c r="S138">
        <f>+'Raw data'!K306</f>
        <v>34</v>
      </c>
      <c r="T138">
        <f>+'Raw data'!L306</f>
        <v>153</v>
      </c>
      <c r="U138">
        <f>+'Raw data'!M306</f>
        <v>145</v>
      </c>
      <c r="V138">
        <f>+'Raw data'!N306</f>
        <v>24</v>
      </c>
      <c r="W138">
        <f>+'Raw data'!O306</f>
        <v>16</v>
      </c>
      <c r="X138">
        <f>+'Raw data'!P306</f>
        <v>80</v>
      </c>
      <c r="Y138">
        <f>+'Raw data'!Q306</f>
        <v>1.81</v>
      </c>
    </row>
    <row r="139" spans="1:25" x14ac:dyDescent="0.25">
      <c r="A139">
        <v>2025</v>
      </c>
      <c r="B139" t="s">
        <v>57</v>
      </c>
      <c r="C139">
        <f t="shared" si="8"/>
        <v>7</v>
      </c>
      <c r="D139">
        <f t="shared" si="7"/>
        <v>69</v>
      </c>
      <c r="E139" t="str">
        <f>+'Raw data'!A286</f>
        <v>Heraklion Snakes</v>
      </c>
      <c r="F139" t="str">
        <f>VLOOKUP(E139,Data!$E$2626:$F$2645,2,FALSE)</f>
        <v>Dimitris</v>
      </c>
      <c r="H139">
        <f>+'Raw data'!A307</f>
        <v>3</v>
      </c>
      <c r="I139">
        <f>+'Raw data'!B307</f>
        <v>10</v>
      </c>
      <c r="J139">
        <f>+'Raw data'!C307</f>
        <v>0</v>
      </c>
      <c r="M139">
        <f>+'Raw data'!E307</f>
        <v>111</v>
      </c>
      <c r="N139">
        <f>+'Raw data'!F307</f>
        <v>0.46800000000000003</v>
      </c>
      <c r="O139">
        <f>+'Raw data'!G307</f>
        <v>36</v>
      </c>
      <c r="P139">
        <f>+'Raw data'!H307</f>
        <v>0.40899999999999997</v>
      </c>
      <c r="Q139">
        <f>+'Raw data'!I307</f>
        <v>0.82399999999999995</v>
      </c>
      <c r="R139">
        <f>+'Raw data'!J307</f>
        <v>314</v>
      </c>
      <c r="S139">
        <f>+'Raw data'!K307</f>
        <v>32</v>
      </c>
      <c r="T139">
        <f>+'Raw data'!L307</f>
        <v>101</v>
      </c>
      <c r="U139">
        <f>+'Raw data'!M307</f>
        <v>60</v>
      </c>
      <c r="V139">
        <f>+'Raw data'!N307</f>
        <v>18</v>
      </c>
      <c r="W139">
        <f>+'Raw data'!O307</f>
        <v>11</v>
      </c>
      <c r="X139">
        <f>+'Raw data'!P307</f>
        <v>56</v>
      </c>
      <c r="Y139">
        <f>+'Raw data'!Q307</f>
        <v>1.07</v>
      </c>
    </row>
    <row r="140" spans="1:25" x14ac:dyDescent="0.25">
      <c r="A140">
        <v>2025</v>
      </c>
      <c r="B140" t="s">
        <v>57</v>
      </c>
      <c r="C140">
        <f t="shared" si="8"/>
        <v>7</v>
      </c>
      <c r="D140">
        <f t="shared" si="7"/>
        <v>70</v>
      </c>
      <c r="E140" t="str">
        <f>+'Raw data'!A287</f>
        <v>Knights of Ni</v>
      </c>
      <c r="F140" t="str">
        <f>VLOOKUP(E140,Data!$E$2626:$F$2645,2,FALSE)</f>
        <v>Tolios</v>
      </c>
      <c r="H140">
        <f>+'Raw data'!A308</f>
        <v>4</v>
      </c>
      <c r="I140">
        <f>+'Raw data'!B308</f>
        <v>9</v>
      </c>
      <c r="J140">
        <f>+'Raw data'!C308</f>
        <v>0</v>
      </c>
      <c r="M140">
        <f>+'Raw data'!E308</f>
        <v>142</v>
      </c>
      <c r="N140">
        <f>+'Raw data'!F308</f>
        <v>0.46100000000000002</v>
      </c>
      <c r="O140">
        <f>+'Raw data'!G308</f>
        <v>27</v>
      </c>
      <c r="P140">
        <f>+'Raw data'!H308</f>
        <v>0.3</v>
      </c>
      <c r="Q140">
        <f>+'Raw data'!I308</f>
        <v>0.81499999999999995</v>
      </c>
      <c r="R140">
        <f>+'Raw data'!J308</f>
        <v>364</v>
      </c>
      <c r="S140">
        <f>+'Raw data'!K308</f>
        <v>36</v>
      </c>
      <c r="T140">
        <f>+'Raw data'!L308</f>
        <v>110</v>
      </c>
      <c r="U140">
        <f>+'Raw data'!M308</f>
        <v>71</v>
      </c>
      <c r="V140">
        <f>+'Raw data'!N308</f>
        <v>25</v>
      </c>
      <c r="W140">
        <f>+'Raw data'!O308</f>
        <v>14</v>
      </c>
      <c r="X140">
        <f>+'Raw data'!P308</f>
        <v>43</v>
      </c>
      <c r="Y140">
        <f>+'Raw data'!Q308</f>
        <v>1.65</v>
      </c>
    </row>
    <row r="141" spans="1:25" x14ac:dyDescent="0.25">
      <c r="A141">
        <v>2025</v>
      </c>
      <c r="B141" t="s">
        <v>57</v>
      </c>
      <c r="C141">
        <f t="shared" si="8"/>
        <v>7</v>
      </c>
      <c r="D141">
        <f t="shared" si="7"/>
        <v>70</v>
      </c>
      <c r="E141" t="str">
        <f>+'Raw data'!A288</f>
        <v>Guruuu 🐐🐐🐐</v>
      </c>
      <c r="F141" t="str">
        <f>VLOOKUP(E141,Data!$E$2626:$F$2645,2,FALSE)</f>
        <v>Guru</v>
      </c>
      <c r="H141">
        <f>+'Raw data'!A309</f>
        <v>9</v>
      </c>
      <c r="I141">
        <f>+'Raw data'!B309</f>
        <v>4</v>
      </c>
      <c r="J141">
        <f>+'Raw data'!C309</f>
        <v>0</v>
      </c>
      <c r="M141">
        <f>+'Raw data'!E309</f>
        <v>206</v>
      </c>
      <c r="N141">
        <f>+'Raw data'!F309</f>
        <v>0.49</v>
      </c>
      <c r="O141">
        <f>+'Raw data'!G309</f>
        <v>62</v>
      </c>
      <c r="P141">
        <f>+'Raw data'!H309</f>
        <v>0.36</v>
      </c>
      <c r="Q141">
        <f>+'Raw data'!I309</f>
        <v>0.79900000000000004</v>
      </c>
      <c r="R141">
        <f>+'Raw data'!J309</f>
        <v>581</v>
      </c>
      <c r="S141">
        <f>+'Raw data'!K309</f>
        <v>39</v>
      </c>
      <c r="T141">
        <f>+'Raw data'!L309</f>
        <v>97</v>
      </c>
      <c r="U141">
        <f>+'Raw data'!M309</f>
        <v>121</v>
      </c>
      <c r="V141">
        <f>+'Raw data'!N309</f>
        <v>22</v>
      </c>
      <c r="W141">
        <f>+'Raw data'!O309</f>
        <v>16</v>
      </c>
      <c r="X141">
        <f>+'Raw data'!P309</f>
        <v>55</v>
      </c>
      <c r="Y141">
        <f>+'Raw data'!Q309</f>
        <v>2.2000000000000002</v>
      </c>
    </row>
    <row r="142" spans="1:25" x14ac:dyDescent="0.25">
      <c r="A142">
        <v>2025</v>
      </c>
      <c r="B142" t="s">
        <v>57</v>
      </c>
      <c r="C142">
        <f>+C141+1</f>
        <v>8</v>
      </c>
      <c r="D142">
        <f t="shared" si="7"/>
        <v>71</v>
      </c>
      <c r="E142" t="str">
        <f>+'Raw data'!A313</f>
        <v>LRBP PR3DATORS</v>
      </c>
      <c r="F142" t="str">
        <f>VLOOKUP(E142,Data!$E$2626:$F$2645,2,FALSE)</f>
        <v>Lafa</v>
      </c>
      <c r="H142">
        <f>+'Raw data'!A354</f>
        <v>8</v>
      </c>
      <c r="I142">
        <f>+'Raw data'!B354</f>
        <v>5</v>
      </c>
      <c r="J142">
        <f>+'Raw data'!C354</f>
        <v>0</v>
      </c>
      <c r="M142">
        <f>+'Raw data'!E354</f>
        <v>273</v>
      </c>
      <c r="N142">
        <f>+'Raw data'!F354</f>
        <v>0.46899999999999997</v>
      </c>
      <c r="O142">
        <f>+'Raw data'!G354</f>
        <v>53</v>
      </c>
      <c r="P142">
        <f>+'Raw data'!H354</f>
        <v>0.29599999999999999</v>
      </c>
      <c r="Q142">
        <f>+'Raw data'!I354</f>
        <v>0.76600000000000001</v>
      </c>
      <c r="R142">
        <f>+'Raw data'!J354</f>
        <v>779</v>
      </c>
      <c r="S142">
        <f>+'Raw data'!K354</f>
        <v>52</v>
      </c>
      <c r="T142">
        <f>+'Raw data'!L354</f>
        <v>197</v>
      </c>
      <c r="U142">
        <f>+'Raw data'!M354</f>
        <v>181</v>
      </c>
      <c r="V142">
        <f>+'Raw data'!N354</f>
        <v>46</v>
      </c>
      <c r="W142">
        <f>+'Raw data'!O354</f>
        <v>26</v>
      </c>
      <c r="X142">
        <f>+'Raw data'!P354</f>
        <v>93</v>
      </c>
      <c r="Y142">
        <f>+'Raw data'!Q354</f>
        <v>1.95</v>
      </c>
    </row>
    <row r="143" spans="1:25" x14ac:dyDescent="0.25">
      <c r="A143">
        <v>2025</v>
      </c>
      <c r="B143" t="s">
        <v>57</v>
      </c>
      <c r="C143">
        <f>+C142</f>
        <v>8</v>
      </c>
      <c r="D143">
        <f t="shared" si="7"/>
        <v>71</v>
      </c>
      <c r="E143" t="str">
        <f>+'Raw data'!A314</f>
        <v>Pachiana NinjaBees</v>
      </c>
      <c r="F143" t="str">
        <f>VLOOKUP(E143,Data!$E$2626:$F$2645,2,FALSE)</f>
        <v>Spiridaus/Oladipas</v>
      </c>
      <c r="H143">
        <f>+'Raw data'!A355</f>
        <v>5</v>
      </c>
      <c r="I143">
        <f>+'Raw data'!B355</f>
        <v>8</v>
      </c>
      <c r="J143">
        <f>+'Raw data'!C355</f>
        <v>0</v>
      </c>
      <c r="M143">
        <f>+'Raw data'!E355</f>
        <v>145</v>
      </c>
      <c r="N143">
        <f>+'Raw data'!F355</f>
        <v>0.39600000000000002</v>
      </c>
      <c r="O143">
        <f>+'Raw data'!G355</f>
        <v>49</v>
      </c>
      <c r="P143">
        <f>+'Raw data'!H355</f>
        <v>0.34300000000000003</v>
      </c>
      <c r="Q143">
        <f>+'Raw data'!I355</f>
        <v>0.79700000000000004</v>
      </c>
      <c r="R143">
        <f>+'Raw data'!J355</f>
        <v>394</v>
      </c>
      <c r="S143">
        <f>+'Raw data'!K355</f>
        <v>63</v>
      </c>
      <c r="T143">
        <f>+'Raw data'!L355</f>
        <v>151</v>
      </c>
      <c r="U143">
        <f>+'Raw data'!M355</f>
        <v>127</v>
      </c>
      <c r="V143">
        <f>+'Raw data'!N355</f>
        <v>37</v>
      </c>
      <c r="W143">
        <f>+'Raw data'!O355</f>
        <v>30</v>
      </c>
      <c r="X143">
        <f>+'Raw data'!P355</f>
        <v>79</v>
      </c>
      <c r="Y143">
        <f>+'Raw data'!Q355</f>
        <v>1.61</v>
      </c>
    </row>
    <row r="144" spans="1:25" x14ac:dyDescent="0.25">
      <c r="A144">
        <v>2025</v>
      </c>
      <c r="B144" t="s">
        <v>57</v>
      </c>
      <c r="C144">
        <f>+C143</f>
        <v>8</v>
      </c>
      <c r="D144">
        <f t="shared" si="7"/>
        <v>72</v>
      </c>
      <c r="E144" t="str">
        <f>+'Raw data'!A315</f>
        <v>Karafli Saita</v>
      </c>
      <c r="F144" t="str">
        <f>VLOOKUP(E144,Data!$E$2626:$F$2645,2,FALSE)</f>
        <v>Tassos</v>
      </c>
      <c r="H144">
        <f>+'Raw data'!A356</f>
        <v>8</v>
      </c>
      <c r="I144">
        <f>+'Raw data'!B356</f>
        <v>5</v>
      </c>
      <c r="J144">
        <f>+'Raw data'!C356</f>
        <v>0</v>
      </c>
      <c r="M144">
        <f>+'Raw data'!E356</f>
        <v>250</v>
      </c>
      <c r="N144">
        <f>+'Raw data'!F356</f>
        <v>0.46500000000000002</v>
      </c>
      <c r="O144">
        <f>+'Raw data'!G356</f>
        <v>79</v>
      </c>
      <c r="P144">
        <f>+'Raw data'!H356</f>
        <v>0.39300000000000002</v>
      </c>
      <c r="Q144">
        <f>+'Raw data'!I356</f>
        <v>0.80400000000000005</v>
      </c>
      <c r="R144">
        <f>+'Raw data'!J356</f>
        <v>710</v>
      </c>
      <c r="S144">
        <f>+'Raw data'!K356</f>
        <v>34</v>
      </c>
      <c r="T144">
        <f>+'Raw data'!L356</f>
        <v>161</v>
      </c>
      <c r="U144">
        <f>+'Raw data'!M356</f>
        <v>172</v>
      </c>
      <c r="V144">
        <f>+'Raw data'!N356</f>
        <v>35</v>
      </c>
      <c r="W144">
        <f>+'Raw data'!O356</f>
        <v>34</v>
      </c>
      <c r="X144">
        <f>+'Raw data'!P356</f>
        <v>75</v>
      </c>
      <c r="Y144">
        <f>+'Raw data'!Q356</f>
        <v>2.29</v>
      </c>
    </row>
    <row r="145" spans="1:25" x14ac:dyDescent="0.25">
      <c r="A145">
        <v>2025</v>
      </c>
      <c r="B145" t="s">
        <v>57</v>
      </c>
      <c r="C145">
        <f>+C144</f>
        <v>8</v>
      </c>
      <c r="D145">
        <f t="shared" si="7"/>
        <v>72</v>
      </c>
      <c r="E145" t="str">
        <f>+'Raw data'!A316</f>
        <v>st.Helens Eruptions</v>
      </c>
      <c r="F145" t="str">
        <f>VLOOKUP(E145,Data!$E$2626:$F$2645,2,FALSE)</f>
        <v>Aris</v>
      </c>
      <c r="H145">
        <f>+'Raw data'!A357</f>
        <v>5</v>
      </c>
      <c r="I145">
        <f>+'Raw data'!B357</f>
        <v>8</v>
      </c>
      <c r="J145">
        <f>+'Raw data'!C357</f>
        <v>0</v>
      </c>
      <c r="M145">
        <f>+'Raw data'!E357</f>
        <v>196</v>
      </c>
      <c r="N145">
        <f>+'Raw data'!F357</f>
        <v>0.46800000000000003</v>
      </c>
      <c r="O145">
        <f>+'Raw data'!G357</f>
        <v>58</v>
      </c>
      <c r="P145">
        <f>+'Raw data'!H357</f>
        <v>0.32800000000000001</v>
      </c>
      <c r="Q145">
        <f>+'Raw data'!I357</f>
        <v>0.73699999999999999</v>
      </c>
      <c r="R145">
        <f>+'Raw data'!J357</f>
        <v>520</v>
      </c>
      <c r="S145">
        <f>+'Raw data'!K357</f>
        <v>41</v>
      </c>
      <c r="T145">
        <f>+'Raw data'!L357</f>
        <v>166</v>
      </c>
      <c r="U145">
        <f>+'Raw data'!M357</f>
        <v>125</v>
      </c>
      <c r="V145">
        <f>+'Raw data'!N357</f>
        <v>36</v>
      </c>
      <c r="W145">
        <f>+'Raw data'!O357</f>
        <v>20</v>
      </c>
      <c r="X145">
        <f>+'Raw data'!P357</f>
        <v>65</v>
      </c>
      <c r="Y145">
        <f>+'Raw data'!Q357</f>
        <v>1.92</v>
      </c>
    </row>
    <row r="146" spans="1:25" x14ac:dyDescent="0.25">
      <c r="A146">
        <v>2025</v>
      </c>
      <c r="B146" t="s">
        <v>57</v>
      </c>
      <c r="C146">
        <f t="shared" ref="C146:C181" si="9">+C145</f>
        <v>8</v>
      </c>
      <c r="D146">
        <f t="shared" si="7"/>
        <v>73</v>
      </c>
      <c r="E146" t="str">
        <f>+'Raw data'!A317</f>
        <v>Fighting Thaddeus</v>
      </c>
      <c r="F146" t="str">
        <f>VLOOKUP(E146,Data!$E$2626:$F$2645,2,FALSE)</f>
        <v>Stavros</v>
      </c>
      <c r="H146">
        <f>+'Raw data'!A358</f>
        <v>10</v>
      </c>
      <c r="I146">
        <f>+'Raw data'!B358</f>
        <v>3</v>
      </c>
      <c r="J146">
        <f>+'Raw data'!C358</f>
        <v>0</v>
      </c>
      <c r="M146">
        <f>+'Raw data'!E358</f>
        <v>246</v>
      </c>
      <c r="N146">
        <f>+'Raw data'!F358</f>
        <v>0.50900000000000001</v>
      </c>
      <c r="O146">
        <f>+'Raw data'!G358</f>
        <v>74</v>
      </c>
      <c r="P146">
        <f>+'Raw data'!H358</f>
        <v>0.41299999999999998</v>
      </c>
      <c r="Q146">
        <f>+'Raw data'!I358</f>
        <v>0.79400000000000004</v>
      </c>
      <c r="R146">
        <f>+'Raw data'!J358</f>
        <v>670</v>
      </c>
      <c r="S146">
        <f>+'Raw data'!K358</f>
        <v>57</v>
      </c>
      <c r="T146">
        <f>+'Raw data'!L358</f>
        <v>163</v>
      </c>
      <c r="U146">
        <f>+'Raw data'!M358</f>
        <v>157</v>
      </c>
      <c r="V146">
        <f>+'Raw data'!N358</f>
        <v>28</v>
      </c>
      <c r="W146">
        <f>+'Raw data'!O358</f>
        <v>26</v>
      </c>
      <c r="X146">
        <f>+'Raw data'!P358</f>
        <v>78</v>
      </c>
      <c r="Y146">
        <f>+'Raw data'!Q358</f>
        <v>2.0099999999999998</v>
      </c>
    </row>
    <row r="147" spans="1:25" x14ac:dyDescent="0.25">
      <c r="A147">
        <v>2025</v>
      </c>
      <c r="B147" t="s">
        <v>57</v>
      </c>
      <c r="C147">
        <f t="shared" si="9"/>
        <v>8</v>
      </c>
      <c r="D147">
        <f t="shared" si="7"/>
        <v>73</v>
      </c>
      <c r="E147" t="str">
        <f>+'Raw data'!A318</f>
        <v>Paralouistas</v>
      </c>
      <c r="F147" t="str">
        <f>VLOOKUP(E147,Data!$E$2626:$F$2645,2,FALSE)</f>
        <v>Panos</v>
      </c>
      <c r="H147">
        <f>+'Raw data'!A359</f>
        <v>3</v>
      </c>
      <c r="I147">
        <f>+'Raw data'!B359</f>
        <v>10</v>
      </c>
      <c r="J147">
        <f>+'Raw data'!C359</f>
        <v>0</v>
      </c>
      <c r="M147">
        <f>+'Raw data'!E359</f>
        <v>215</v>
      </c>
      <c r="N147">
        <f>+'Raw data'!F359</f>
        <v>0.498</v>
      </c>
      <c r="O147">
        <f>+'Raw data'!G359</f>
        <v>72</v>
      </c>
      <c r="P147">
        <f>+'Raw data'!H359</f>
        <v>0.42899999999999999</v>
      </c>
      <c r="Q147">
        <f>+'Raw data'!I359</f>
        <v>0.753</v>
      </c>
      <c r="R147">
        <f>+'Raw data'!J359</f>
        <v>560</v>
      </c>
      <c r="S147">
        <f>+'Raw data'!K359</f>
        <v>46</v>
      </c>
      <c r="T147">
        <f>+'Raw data'!L359</f>
        <v>142</v>
      </c>
      <c r="U147">
        <f>+'Raw data'!M359</f>
        <v>146</v>
      </c>
      <c r="V147">
        <f>+'Raw data'!N359</f>
        <v>36</v>
      </c>
      <c r="W147">
        <f>+'Raw data'!O359</f>
        <v>23</v>
      </c>
      <c r="X147">
        <f>+'Raw data'!P359</f>
        <v>75</v>
      </c>
      <c r="Y147">
        <f>+'Raw data'!Q359</f>
        <v>1.95</v>
      </c>
    </row>
    <row r="148" spans="1:25" x14ac:dyDescent="0.25">
      <c r="A148">
        <v>2025</v>
      </c>
      <c r="B148" t="s">
        <v>57</v>
      </c>
      <c r="C148">
        <f t="shared" si="9"/>
        <v>8</v>
      </c>
      <c r="D148">
        <f t="shared" si="7"/>
        <v>74</v>
      </c>
      <c r="E148" t="str">
        <f>+'Raw data'!A319</f>
        <v>Hércules Pals</v>
      </c>
      <c r="F148" t="e">
        <f>VLOOKUP(E148,Data!$E$2626:$F$2645,2,FALSE)</f>
        <v>#N/A</v>
      </c>
      <c r="H148">
        <f>+'Raw data'!A360</f>
        <v>7</v>
      </c>
      <c r="I148">
        <f>+'Raw data'!B360</f>
        <v>6</v>
      </c>
      <c r="J148">
        <f>+'Raw data'!C360</f>
        <v>0</v>
      </c>
      <c r="M148">
        <f>+'Raw data'!E360</f>
        <v>183</v>
      </c>
      <c r="N148">
        <f>+'Raw data'!F360</f>
        <v>0.46100000000000002</v>
      </c>
      <c r="O148">
        <f>+'Raw data'!G360</f>
        <v>62</v>
      </c>
      <c r="P148">
        <f>+'Raw data'!H360</f>
        <v>0.33700000000000002</v>
      </c>
      <c r="Q148">
        <f>+'Raw data'!I360</f>
        <v>0.73799999999999999</v>
      </c>
      <c r="R148">
        <f>+'Raw data'!J360</f>
        <v>504</v>
      </c>
      <c r="S148">
        <f>+'Raw data'!K360</f>
        <v>54</v>
      </c>
      <c r="T148">
        <f>+'Raw data'!L360</f>
        <v>181</v>
      </c>
      <c r="U148">
        <f>+'Raw data'!M360</f>
        <v>119</v>
      </c>
      <c r="V148">
        <f>+'Raw data'!N360</f>
        <v>35</v>
      </c>
      <c r="W148">
        <f>+'Raw data'!O360</f>
        <v>30</v>
      </c>
      <c r="X148">
        <f>+'Raw data'!P360</f>
        <v>64</v>
      </c>
      <c r="Y148">
        <f>+'Raw data'!Q360</f>
        <v>1.86</v>
      </c>
    </row>
    <row r="149" spans="1:25" x14ac:dyDescent="0.25">
      <c r="A149">
        <v>2025</v>
      </c>
      <c r="B149" t="s">
        <v>57</v>
      </c>
      <c r="C149">
        <f t="shared" si="9"/>
        <v>8</v>
      </c>
      <c r="D149">
        <f t="shared" si="7"/>
        <v>74</v>
      </c>
      <c r="E149" t="str">
        <f>+'Raw data'!A320</f>
        <v>Steven Adams' Moustache</v>
      </c>
      <c r="F149" t="str">
        <f>VLOOKUP(E149,Data!$E$2626:$F$2645,2,FALSE)</f>
        <v>Johnny</v>
      </c>
      <c r="H149">
        <f>+'Raw data'!A361</f>
        <v>6</v>
      </c>
      <c r="I149">
        <f>+'Raw data'!B361</f>
        <v>7</v>
      </c>
      <c r="J149">
        <f>+'Raw data'!C361</f>
        <v>0</v>
      </c>
      <c r="M149">
        <f>+'Raw data'!E361</f>
        <v>170</v>
      </c>
      <c r="N149">
        <f>+'Raw data'!F361</f>
        <v>0.48</v>
      </c>
      <c r="O149">
        <f>+'Raw data'!G361</f>
        <v>66</v>
      </c>
      <c r="P149">
        <f>+'Raw data'!H361</f>
        <v>0.36299999999999999</v>
      </c>
      <c r="Q149">
        <f>+'Raw data'!I361</f>
        <v>0.77800000000000002</v>
      </c>
      <c r="R149">
        <f>+'Raw data'!J361</f>
        <v>476</v>
      </c>
      <c r="S149">
        <f>+'Raw data'!K361</f>
        <v>37</v>
      </c>
      <c r="T149">
        <f>+'Raw data'!L361</f>
        <v>133</v>
      </c>
      <c r="U149">
        <f>+'Raw data'!M361</f>
        <v>97</v>
      </c>
      <c r="V149">
        <f>+'Raw data'!N361</f>
        <v>25</v>
      </c>
      <c r="W149">
        <f>+'Raw data'!O361</f>
        <v>18</v>
      </c>
      <c r="X149">
        <f>+'Raw data'!P361</f>
        <v>50</v>
      </c>
      <c r="Y149">
        <f>+'Raw data'!Q361</f>
        <v>1.94</v>
      </c>
    </row>
    <row r="150" spans="1:25" x14ac:dyDescent="0.25">
      <c r="A150">
        <v>2025</v>
      </c>
      <c r="B150" t="s">
        <v>57</v>
      </c>
      <c r="C150">
        <f t="shared" si="9"/>
        <v>8</v>
      </c>
      <c r="D150">
        <f t="shared" si="7"/>
        <v>75</v>
      </c>
      <c r="E150" t="str">
        <f>+'Raw data'!A321</f>
        <v>Tsarlatans</v>
      </c>
      <c r="F150" t="str">
        <f>VLOOKUP(E150,Data!$E$2626:$F$2645,2,FALSE)</f>
        <v>Tzokos</v>
      </c>
      <c r="H150">
        <f>+'Raw data'!A362</f>
        <v>9</v>
      </c>
      <c r="I150">
        <f>+'Raw data'!B362</f>
        <v>4</v>
      </c>
      <c r="J150">
        <f>+'Raw data'!C362</f>
        <v>0</v>
      </c>
      <c r="M150">
        <f>+'Raw data'!E362</f>
        <v>242</v>
      </c>
      <c r="N150">
        <f>+'Raw data'!F362</f>
        <v>0.51100000000000001</v>
      </c>
      <c r="O150">
        <f>+'Raw data'!G362</f>
        <v>65</v>
      </c>
      <c r="P150">
        <f>+'Raw data'!H362</f>
        <v>0.41399999999999998</v>
      </c>
      <c r="Q150">
        <f>+'Raw data'!I362</f>
        <v>0.75700000000000001</v>
      </c>
      <c r="R150">
        <f>+'Raw data'!J362</f>
        <v>627</v>
      </c>
      <c r="S150">
        <f>+'Raw data'!K362</f>
        <v>82</v>
      </c>
      <c r="T150">
        <f>+'Raw data'!L362</f>
        <v>228</v>
      </c>
      <c r="U150">
        <f>+'Raw data'!M362</f>
        <v>109</v>
      </c>
      <c r="V150">
        <f>+'Raw data'!N362</f>
        <v>29</v>
      </c>
      <c r="W150">
        <f>+'Raw data'!O362</f>
        <v>33</v>
      </c>
      <c r="X150">
        <f>+'Raw data'!P362</f>
        <v>69</v>
      </c>
      <c r="Y150">
        <f>+'Raw data'!Q362</f>
        <v>1.58</v>
      </c>
    </row>
    <row r="151" spans="1:25" x14ac:dyDescent="0.25">
      <c r="A151">
        <v>2025</v>
      </c>
      <c r="B151" t="s">
        <v>57</v>
      </c>
      <c r="C151">
        <f t="shared" si="9"/>
        <v>8</v>
      </c>
      <c r="D151">
        <f t="shared" si="7"/>
        <v>75</v>
      </c>
      <c r="E151" t="str">
        <f>+'Raw data'!A322</f>
        <v>Salonika Devils</v>
      </c>
      <c r="F151" t="str">
        <f>VLOOKUP(E151,Data!$E$2626:$F$2645,2,FALSE)</f>
        <v>Fountos</v>
      </c>
      <c r="H151">
        <f>+'Raw data'!A363</f>
        <v>4</v>
      </c>
      <c r="I151">
        <f>+'Raw data'!B363</f>
        <v>9</v>
      </c>
      <c r="J151">
        <f>+'Raw data'!C363</f>
        <v>0</v>
      </c>
      <c r="M151">
        <f>+'Raw data'!E363</f>
        <v>158</v>
      </c>
      <c r="N151">
        <f>+'Raw data'!F363</f>
        <v>0.49199999999999999</v>
      </c>
      <c r="O151">
        <f>+'Raw data'!G363</f>
        <v>60</v>
      </c>
      <c r="P151">
        <f>+'Raw data'!H363</f>
        <v>0.432</v>
      </c>
      <c r="Q151">
        <f>+'Raw data'!I363</f>
        <v>0.79100000000000004</v>
      </c>
      <c r="R151">
        <f>+'Raw data'!J363</f>
        <v>444</v>
      </c>
      <c r="S151">
        <f>+'Raw data'!K363</f>
        <v>61</v>
      </c>
      <c r="T151">
        <f>+'Raw data'!L363</f>
        <v>108</v>
      </c>
      <c r="U151">
        <f>+'Raw data'!M363</f>
        <v>80</v>
      </c>
      <c r="V151">
        <f>+'Raw data'!N363</f>
        <v>24</v>
      </c>
      <c r="W151">
        <f>+'Raw data'!O363</f>
        <v>18</v>
      </c>
      <c r="X151">
        <f>+'Raw data'!P363</f>
        <v>40</v>
      </c>
      <c r="Y151">
        <f>+'Raw data'!Q363</f>
        <v>2</v>
      </c>
    </row>
    <row r="152" spans="1:25" x14ac:dyDescent="0.25">
      <c r="A152">
        <v>2025</v>
      </c>
      <c r="B152" t="s">
        <v>57</v>
      </c>
      <c r="C152">
        <f t="shared" si="9"/>
        <v>8</v>
      </c>
      <c r="D152">
        <f t="shared" si="7"/>
        <v>76</v>
      </c>
      <c r="E152" t="str">
        <f>+'Raw data'!A323</f>
        <v>The Guns</v>
      </c>
      <c r="F152" t="str">
        <f>VLOOKUP(E152,Data!$E$2626:$F$2645,2,FALSE)</f>
        <v>Vasilis</v>
      </c>
      <c r="H152">
        <f>+'Raw data'!A364</f>
        <v>4</v>
      </c>
      <c r="I152">
        <f>+'Raw data'!B364</f>
        <v>9</v>
      </c>
      <c r="J152">
        <f>+'Raw data'!C364</f>
        <v>0</v>
      </c>
      <c r="M152">
        <f>+'Raw data'!E364</f>
        <v>214</v>
      </c>
      <c r="N152">
        <f>+'Raw data'!F364</f>
        <v>0.48899999999999999</v>
      </c>
      <c r="O152">
        <f>+'Raw data'!G364</f>
        <v>60</v>
      </c>
      <c r="P152">
        <f>+'Raw data'!H364</f>
        <v>0.36099999999999999</v>
      </c>
      <c r="Q152">
        <f>+'Raw data'!I364</f>
        <v>0.89100000000000001</v>
      </c>
      <c r="R152">
        <f>+'Raw data'!J364</f>
        <v>578</v>
      </c>
      <c r="S152">
        <f>+'Raw data'!K364</f>
        <v>32</v>
      </c>
      <c r="T152">
        <f>+'Raw data'!L364</f>
        <v>145</v>
      </c>
      <c r="U152">
        <f>+'Raw data'!M364</f>
        <v>105</v>
      </c>
      <c r="V152">
        <f>+'Raw data'!N364</f>
        <v>35</v>
      </c>
      <c r="W152">
        <f>+'Raw data'!O364</f>
        <v>22</v>
      </c>
      <c r="X152">
        <f>+'Raw data'!P364</f>
        <v>79</v>
      </c>
      <c r="Y152">
        <f>+'Raw data'!Q364</f>
        <v>1.33</v>
      </c>
    </row>
    <row r="153" spans="1:25" x14ac:dyDescent="0.25">
      <c r="A153">
        <v>2025</v>
      </c>
      <c r="B153" t="s">
        <v>57</v>
      </c>
      <c r="C153">
        <f t="shared" si="9"/>
        <v>8</v>
      </c>
      <c r="D153">
        <f t="shared" si="7"/>
        <v>76</v>
      </c>
      <c r="E153" t="str">
        <f>+'Raw data'!A324</f>
        <v>Samarina Dudenbros</v>
      </c>
      <c r="F153" t="str">
        <f>VLOOKUP(E153,Data!$E$2626:$F$2645,2,FALSE)</f>
        <v>Sakellariou</v>
      </c>
      <c r="H153">
        <f>+'Raw data'!A365</f>
        <v>9</v>
      </c>
      <c r="I153">
        <f>+'Raw data'!B365</f>
        <v>4</v>
      </c>
      <c r="J153">
        <f>+'Raw data'!C365</f>
        <v>0</v>
      </c>
      <c r="M153">
        <f>+'Raw data'!E365</f>
        <v>265</v>
      </c>
      <c r="N153">
        <f>+'Raw data'!F365</f>
        <v>0.45100000000000001</v>
      </c>
      <c r="O153">
        <f>+'Raw data'!G365</f>
        <v>69</v>
      </c>
      <c r="P153">
        <f>+'Raw data'!H365</f>
        <v>0.308</v>
      </c>
      <c r="Q153">
        <f>+'Raw data'!I365</f>
        <v>0.79600000000000004</v>
      </c>
      <c r="R153">
        <f>+'Raw data'!J365</f>
        <v>767</v>
      </c>
      <c r="S153">
        <f>+'Raw data'!K365</f>
        <v>60</v>
      </c>
      <c r="T153">
        <f>+'Raw data'!L365</f>
        <v>187</v>
      </c>
      <c r="U153">
        <f>+'Raw data'!M365</f>
        <v>161</v>
      </c>
      <c r="V153">
        <f>+'Raw data'!N365</f>
        <v>63</v>
      </c>
      <c r="W153">
        <f>+'Raw data'!O365</f>
        <v>36</v>
      </c>
      <c r="X153">
        <f>+'Raw data'!P365</f>
        <v>87</v>
      </c>
      <c r="Y153">
        <f>+'Raw data'!Q365</f>
        <v>1.85</v>
      </c>
    </row>
    <row r="154" spans="1:25" x14ac:dyDescent="0.25">
      <c r="A154">
        <v>2025</v>
      </c>
      <c r="B154" t="s">
        <v>57</v>
      </c>
      <c r="C154">
        <f t="shared" si="9"/>
        <v>8</v>
      </c>
      <c r="D154">
        <f t="shared" si="7"/>
        <v>77</v>
      </c>
      <c r="E154" t="str">
        <f>+'Raw data'!A325</f>
        <v>Xanthi Ducks 🦆</v>
      </c>
      <c r="F154" t="str">
        <f>VLOOKUP(E154,Data!$E$2626:$F$2645,2,FALSE)</f>
        <v>Kotakis</v>
      </c>
      <c r="H154">
        <f>+'Raw data'!A366</f>
        <v>5</v>
      </c>
      <c r="I154">
        <f>+'Raw data'!B366</f>
        <v>8</v>
      </c>
      <c r="J154">
        <f>+'Raw data'!C366</f>
        <v>0</v>
      </c>
      <c r="M154">
        <f>+'Raw data'!E366</f>
        <v>179</v>
      </c>
      <c r="N154">
        <f>+'Raw data'!F366</f>
        <v>0.48399999999999999</v>
      </c>
      <c r="O154">
        <f>+'Raw data'!G366</f>
        <v>70</v>
      </c>
      <c r="P154">
        <f>+'Raw data'!H366</f>
        <v>0.38500000000000001</v>
      </c>
      <c r="Q154">
        <f>+'Raw data'!I366</f>
        <v>0.80300000000000005</v>
      </c>
      <c r="R154">
        <f>+'Raw data'!J366</f>
        <v>489</v>
      </c>
      <c r="S154">
        <f>+'Raw data'!K366</f>
        <v>48</v>
      </c>
      <c r="T154">
        <f>+'Raw data'!L366</f>
        <v>133</v>
      </c>
      <c r="U154">
        <f>+'Raw data'!M366</f>
        <v>96</v>
      </c>
      <c r="V154">
        <f>+'Raw data'!N366</f>
        <v>30</v>
      </c>
      <c r="W154">
        <f>+'Raw data'!O366</f>
        <v>16</v>
      </c>
      <c r="X154">
        <f>+'Raw data'!P366</f>
        <v>35</v>
      </c>
      <c r="Y154">
        <f>+'Raw data'!Q366</f>
        <v>2.74</v>
      </c>
    </row>
    <row r="155" spans="1:25" x14ac:dyDescent="0.25">
      <c r="A155">
        <v>2025</v>
      </c>
      <c r="B155" t="s">
        <v>57</v>
      </c>
      <c r="C155">
        <f t="shared" si="9"/>
        <v>8</v>
      </c>
      <c r="D155">
        <f t="shared" si="7"/>
        <v>77</v>
      </c>
      <c r="E155" t="str">
        <f>+'Raw data'!A326</f>
        <v>The Bad Boys</v>
      </c>
      <c r="F155" t="str">
        <f>VLOOKUP(E155,Data!$E$2626:$F$2645,2,FALSE)</f>
        <v>Arvanitis</v>
      </c>
      <c r="H155">
        <f>+'Raw data'!A367</f>
        <v>8</v>
      </c>
      <c r="I155">
        <f>+'Raw data'!B367</f>
        <v>5</v>
      </c>
      <c r="J155">
        <f>+'Raw data'!C367</f>
        <v>0</v>
      </c>
      <c r="M155">
        <f>+'Raw data'!E367</f>
        <v>266</v>
      </c>
      <c r="N155">
        <f>+'Raw data'!F367</f>
        <v>0.48699999999999999</v>
      </c>
      <c r="O155">
        <f>+'Raw data'!G367</f>
        <v>56</v>
      </c>
      <c r="P155">
        <f>+'Raw data'!H367</f>
        <v>0.33100000000000002</v>
      </c>
      <c r="Q155">
        <f>+'Raw data'!I367</f>
        <v>0.79200000000000004</v>
      </c>
      <c r="R155">
        <f>+'Raw data'!J367</f>
        <v>740</v>
      </c>
      <c r="S155">
        <f>+'Raw data'!K367</f>
        <v>69</v>
      </c>
      <c r="T155">
        <f>+'Raw data'!L367</f>
        <v>162</v>
      </c>
      <c r="U155">
        <f>+'Raw data'!M367</f>
        <v>158</v>
      </c>
      <c r="V155">
        <f>+'Raw data'!N367</f>
        <v>51</v>
      </c>
      <c r="W155">
        <f>+'Raw data'!O367</f>
        <v>31</v>
      </c>
      <c r="X155">
        <f>+'Raw data'!P367</f>
        <v>76</v>
      </c>
      <c r="Y155">
        <f>+'Raw data'!Q367</f>
        <v>2.08</v>
      </c>
    </row>
    <row r="156" spans="1:25" x14ac:dyDescent="0.25">
      <c r="A156">
        <v>2025</v>
      </c>
      <c r="B156" t="s">
        <v>57</v>
      </c>
      <c r="C156">
        <f t="shared" si="9"/>
        <v>8</v>
      </c>
      <c r="D156">
        <f t="shared" si="7"/>
        <v>78</v>
      </c>
      <c r="E156" t="str">
        <f>+'Raw data'!A327</f>
        <v>Kourayo Vallecano</v>
      </c>
      <c r="F156" t="str">
        <f>VLOOKUP(E156,Data!$E$2626:$F$2645,2,FALSE)</f>
        <v>Ziogas/Christof</v>
      </c>
      <c r="H156">
        <f>+'Raw data'!A368</f>
        <v>4</v>
      </c>
      <c r="I156">
        <f>+'Raw data'!B368</f>
        <v>9</v>
      </c>
      <c r="J156">
        <f>+'Raw data'!C368</f>
        <v>0</v>
      </c>
      <c r="M156">
        <f>+'Raw data'!E368</f>
        <v>228</v>
      </c>
      <c r="N156">
        <f>+'Raw data'!F368</f>
        <v>0.44500000000000001</v>
      </c>
      <c r="O156">
        <f>+'Raw data'!G368</f>
        <v>69</v>
      </c>
      <c r="P156">
        <f>+'Raw data'!H368</f>
        <v>0.33700000000000002</v>
      </c>
      <c r="Q156">
        <f>+'Raw data'!I368</f>
        <v>0.74299999999999999</v>
      </c>
      <c r="R156">
        <f>+'Raw data'!J368</f>
        <v>635</v>
      </c>
      <c r="S156">
        <f>+'Raw data'!K368</f>
        <v>50</v>
      </c>
      <c r="T156">
        <f>+'Raw data'!L368</f>
        <v>189</v>
      </c>
      <c r="U156">
        <f>+'Raw data'!M368</f>
        <v>158</v>
      </c>
      <c r="V156">
        <f>+'Raw data'!N368</f>
        <v>51</v>
      </c>
      <c r="W156">
        <f>+'Raw data'!O368</f>
        <v>19</v>
      </c>
      <c r="X156">
        <f>+'Raw data'!P368</f>
        <v>70</v>
      </c>
      <c r="Y156">
        <f>+'Raw data'!Q368</f>
        <v>2.2599999999999998</v>
      </c>
    </row>
    <row r="157" spans="1:25" x14ac:dyDescent="0.25">
      <c r="A157">
        <v>2025</v>
      </c>
      <c r="B157" t="s">
        <v>57</v>
      </c>
      <c r="C157">
        <f t="shared" si="9"/>
        <v>8</v>
      </c>
      <c r="D157">
        <f t="shared" si="7"/>
        <v>78</v>
      </c>
      <c r="E157" t="str">
        <f>+'Raw data'!A328</f>
        <v>purple fuzzy apache pirates</v>
      </c>
      <c r="F157" t="str">
        <f>VLOOKUP(E157,Data!$E$2626:$F$2645,2,FALSE)</f>
        <v>pi/Sotiris</v>
      </c>
      <c r="H157">
        <f>+'Raw data'!A369</f>
        <v>9</v>
      </c>
      <c r="I157">
        <f>+'Raw data'!B369</f>
        <v>4</v>
      </c>
      <c r="J157">
        <f>+'Raw data'!C369</f>
        <v>0</v>
      </c>
      <c r="M157">
        <f>+'Raw data'!E369</f>
        <v>244</v>
      </c>
      <c r="N157">
        <f>+'Raw data'!F369</f>
        <v>0.48399999999999999</v>
      </c>
      <c r="O157">
        <f>+'Raw data'!G369</f>
        <v>80</v>
      </c>
      <c r="P157">
        <f>+'Raw data'!H369</f>
        <v>0.39</v>
      </c>
      <c r="Q157">
        <f>+'Raw data'!I369</f>
        <v>0.748</v>
      </c>
      <c r="R157">
        <f>+'Raw data'!J369</f>
        <v>654</v>
      </c>
      <c r="S157">
        <f>+'Raw data'!K369</f>
        <v>61</v>
      </c>
      <c r="T157">
        <f>+'Raw data'!L369</f>
        <v>204</v>
      </c>
      <c r="U157">
        <f>+'Raw data'!M369</f>
        <v>182</v>
      </c>
      <c r="V157">
        <f>+'Raw data'!N369</f>
        <v>35</v>
      </c>
      <c r="W157">
        <f>+'Raw data'!O369</f>
        <v>9</v>
      </c>
      <c r="X157">
        <f>+'Raw data'!P369</f>
        <v>90</v>
      </c>
      <c r="Y157">
        <f>+'Raw data'!Q369</f>
        <v>2.02</v>
      </c>
    </row>
    <row r="158" spans="1:25" x14ac:dyDescent="0.25">
      <c r="A158">
        <v>2025</v>
      </c>
      <c r="B158" t="s">
        <v>57</v>
      </c>
      <c r="C158">
        <f t="shared" si="9"/>
        <v>8</v>
      </c>
      <c r="D158">
        <f t="shared" si="7"/>
        <v>79</v>
      </c>
      <c r="E158" t="str">
        <f>+'Raw data'!A329</f>
        <v>The Bridgeburners</v>
      </c>
      <c r="F158" t="str">
        <f>VLOOKUP(E158,Data!$E$2626:$F$2645,2,FALSE)</f>
        <v>Fanis</v>
      </c>
      <c r="H158">
        <f>+'Raw data'!A370</f>
        <v>10</v>
      </c>
      <c r="I158">
        <f>+'Raw data'!B370</f>
        <v>3</v>
      </c>
      <c r="J158">
        <f>+'Raw data'!C370</f>
        <v>0</v>
      </c>
      <c r="M158">
        <f>+'Raw data'!E370</f>
        <v>270</v>
      </c>
      <c r="N158">
        <f>+'Raw data'!F370</f>
        <v>0.47099999999999997</v>
      </c>
      <c r="O158">
        <f>+'Raw data'!G370</f>
        <v>72</v>
      </c>
      <c r="P158">
        <f>+'Raw data'!H370</f>
        <v>0.34300000000000003</v>
      </c>
      <c r="Q158">
        <f>+'Raw data'!I370</f>
        <v>0.77800000000000002</v>
      </c>
      <c r="R158">
        <f>+'Raw data'!J370</f>
        <v>745</v>
      </c>
      <c r="S158">
        <f>+'Raw data'!K370</f>
        <v>77</v>
      </c>
      <c r="T158">
        <f>+'Raw data'!L370</f>
        <v>199</v>
      </c>
      <c r="U158">
        <f>+'Raw data'!M370</f>
        <v>183</v>
      </c>
      <c r="V158">
        <f>+'Raw data'!N370</f>
        <v>48</v>
      </c>
      <c r="W158">
        <f>+'Raw data'!O370</f>
        <v>27</v>
      </c>
      <c r="X158">
        <f>+'Raw data'!P370</f>
        <v>91</v>
      </c>
      <c r="Y158">
        <f>+'Raw data'!Q370</f>
        <v>2.0099999999999998</v>
      </c>
    </row>
    <row r="159" spans="1:25" x14ac:dyDescent="0.25">
      <c r="A159">
        <v>2025</v>
      </c>
      <c r="B159" t="s">
        <v>57</v>
      </c>
      <c r="C159">
        <f t="shared" si="9"/>
        <v>8</v>
      </c>
      <c r="D159">
        <f t="shared" si="7"/>
        <v>79</v>
      </c>
      <c r="E159" t="str">
        <f>+'Raw data'!A330</f>
        <v>Knights of Ni</v>
      </c>
      <c r="F159" t="str">
        <f>VLOOKUP(E159,Data!$E$2626:$F$2645,2,FALSE)</f>
        <v>Tolios</v>
      </c>
      <c r="H159">
        <f>+'Raw data'!A371</f>
        <v>3</v>
      </c>
      <c r="I159">
        <f>+'Raw data'!B371</f>
        <v>10</v>
      </c>
      <c r="J159">
        <f>+'Raw data'!C371</f>
        <v>0</v>
      </c>
      <c r="M159">
        <f>+'Raw data'!E371</f>
        <v>171</v>
      </c>
      <c r="N159">
        <f>+'Raw data'!F371</f>
        <v>0.46700000000000003</v>
      </c>
      <c r="O159">
        <f>+'Raw data'!G371</f>
        <v>44</v>
      </c>
      <c r="P159">
        <f>+'Raw data'!H371</f>
        <v>0.34399999999999997</v>
      </c>
      <c r="Q159">
        <f>+'Raw data'!I371</f>
        <v>0.79</v>
      </c>
      <c r="R159">
        <f>+'Raw data'!J371</f>
        <v>469</v>
      </c>
      <c r="S159">
        <f>+'Raw data'!K371</f>
        <v>40</v>
      </c>
      <c r="T159">
        <f>+'Raw data'!L371</f>
        <v>124</v>
      </c>
      <c r="U159">
        <f>+'Raw data'!M371</f>
        <v>83</v>
      </c>
      <c r="V159">
        <f>+'Raw data'!N371</f>
        <v>34</v>
      </c>
      <c r="W159">
        <f>+'Raw data'!O371</f>
        <v>18</v>
      </c>
      <c r="X159">
        <f>+'Raw data'!P371</f>
        <v>62</v>
      </c>
      <c r="Y159">
        <f>+'Raw data'!Q371</f>
        <v>1.34</v>
      </c>
    </row>
    <row r="160" spans="1:25" x14ac:dyDescent="0.25">
      <c r="A160">
        <v>2025</v>
      </c>
      <c r="B160" t="s">
        <v>57</v>
      </c>
      <c r="C160">
        <f t="shared" si="9"/>
        <v>8</v>
      </c>
      <c r="D160">
        <f t="shared" si="7"/>
        <v>80</v>
      </c>
      <c r="E160" t="str">
        <f>+'Raw data'!A331</f>
        <v>Heraklion Snakes</v>
      </c>
      <c r="F160" t="str">
        <f>VLOOKUP(E160,Data!$E$2626:$F$2645,2,FALSE)</f>
        <v>Dimitris</v>
      </c>
      <c r="H160">
        <f>+'Raw data'!A372</f>
        <v>2</v>
      </c>
      <c r="I160">
        <f>+'Raw data'!B372</f>
        <v>11</v>
      </c>
      <c r="J160">
        <f>+'Raw data'!C372</f>
        <v>0</v>
      </c>
      <c r="M160">
        <f>+'Raw data'!E372</f>
        <v>148</v>
      </c>
      <c r="N160">
        <f>+'Raw data'!F372</f>
        <v>0.433</v>
      </c>
      <c r="O160">
        <f>+'Raw data'!G372</f>
        <v>44</v>
      </c>
      <c r="P160">
        <f>+'Raw data'!H372</f>
        <v>0.29499999999999998</v>
      </c>
      <c r="Q160">
        <f>+'Raw data'!I372</f>
        <v>0.78700000000000003</v>
      </c>
      <c r="R160">
        <f>+'Raw data'!J372</f>
        <v>410</v>
      </c>
      <c r="S160">
        <f>+'Raw data'!K372</f>
        <v>44</v>
      </c>
      <c r="T160">
        <f>+'Raw data'!L372</f>
        <v>121</v>
      </c>
      <c r="U160">
        <f>+'Raw data'!M372</f>
        <v>69</v>
      </c>
      <c r="V160">
        <f>+'Raw data'!N372</f>
        <v>26</v>
      </c>
      <c r="W160">
        <f>+'Raw data'!O372</f>
        <v>12</v>
      </c>
      <c r="X160">
        <f>+'Raw data'!P372</f>
        <v>48</v>
      </c>
      <c r="Y160">
        <f>+'Raw data'!Q372</f>
        <v>1.44</v>
      </c>
    </row>
    <row r="161" spans="1:25" x14ac:dyDescent="0.25">
      <c r="A161">
        <v>2025</v>
      </c>
      <c r="B161" t="s">
        <v>57</v>
      </c>
      <c r="C161">
        <f t="shared" si="9"/>
        <v>8</v>
      </c>
      <c r="D161">
        <f t="shared" si="7"/>
        <v>80</v>
      </c>
      <c r="E161" t="str">
        <f>+'Raw data'!A332</f>
        <v>Guruuu 🐐🐐🐐</v>
      </c>
      <c r="F161" t="str">
        <f>VLOOKUP(E161,Data!$E$2626:$F$2645,2,FALSE)</f>
        <v>Guru</v>
      </c>
      <c r="H161">
        <f>+'Raw data'!A373</f>
        <v>11</v>
      </c>
      <c r="I161">
        <f>+'Raw data'!B373</f>
        <v>2</v>
      </c>
      <c r="J161">
        <f>+'Raw data'!C373</f>
        <v>0</v>
      </c>
      <c r="M161">
        <f>+'Raw data'!E373</f>
        <v>302</v>
      </c>
      <c r="N161">
        <f>+'Raw data'!F373</f>
        <v>0.46300000000000002</v>
      </c>
      <c r="O161">
        <f>+'Raw data'!G373</f>
        <v>85</v>
      </c>
      <c r="P161">
        <f>+'Raw data'!H373</f>
        <v>0.35299999999999998</v>
      </c>
      <c r="Q161">
        <f>+'Raw data'!I373</f>
        <v>0.755</v>
      </c>
      <c r="R161">
        <f>+'Raw data'!J373</f>
        <v>828</v>
      </c>
      <c r="S161">
        <f>+'Raw data'!K373</f>
        <v>76</v>
      </c>
      <c r="T161">
        <f>+'Raw data'!L373</f>
        <v>215</v>
      </c>
      <c r="U161">
        <f>+'Raw data'!M373</f>
        <v>179</v>
      </c>
      <c r="V161">
        <f>+'Raw data'!N373</f>
        <v>50</v>
      </c>
      <c r="W161">
        <f>+'Raw data'!O373</f>
        <v>18</v>
      </c>
      <c r="X161">
        <f>+'Raw data'!P373</f>
        <v>87</v>
      </c>
      <c r="Y161">
        <f>+'Raw data'!Q373</f>
        <v>2.06</v>
      </c>
    </row>
    <row r="162" spans="1:25" x14ac:dyDescent="0.25">
      <c r="A162">
        <v>2025</v>
      </c>
      <c r="B162" t="s">
        <v>57</v>
      </c>
      <c r="C162">
        <f t="shared" si="9"/>
        <v>8</v>
      </c>
      <c r="D162">
        <f t="shared" si="7"/>
        <v>81</v>
      </c>
      <c r="E162" t="str">
        <f>+'Raw data'!A333</f>
        <v>Fighting Thaddeus</v>
      </c>
      <c r="F162" t="str">
        <f>VLOOKUP(E162,Data!$E$2626:$F$2645,2,FALSE)</f>
        <v>Stavros</v>
      </c>
      <c r="H162">
        <f>+'Raw data'!A374</f>
        <v>5</v>
      </c>
      <c r="I162">
        <f>+'Raw data'!B374</f>
        <v>8</v>
      </c>
      <c r="J162">
        <f>+'Raw data'!C374</f>
        <v>0</v>
      </c>
      <c r="M162">
        <f>+'Raw data'!E374</f>
        <v>246</v>
      </c>
      <c r="N162">
        <f>+'Raw data'!F374</f>
        <v>0.50900000000000001</v>
      </c>
      <c r="O162">
        <f>+'Raw data'!G374</f>
        <v>74</v>
      </c>
      <c r="P162">
        <f>+'Raw data'!H374</f>
        <v>0.41299999999999998</v>
      </c>
      <c r="Q162">
        <f>+'Raw data'!I374</f>
        <v>0.79400000000000004</v>
      </c>
      <c r="R162">
        <f>+'Raw data'!J374</f>
        <v>670</v>
      </c>
      <c r="S162">
        <f>+'Raw data'!K374</f>
        <v>57</v>
      </c>
      <c r="T162">
        <f>+'Raw data'!L374</f>
        <v>163</v>
      </c>
      <c r="U162">
        <f>+'Raw data'!M374</f>
        <v>157</v>
      </c>
      <c r="V162">
        <f>+'Raw data'!N374</f>
        <v>28</v>
      </c>
      <c r="W162">
        <f>+'Raw data'!O374</f>
        <v>26</v>
      </c>
      <c r="X162">
        <f>+'Raw data'!P374</f>
        <v>78</v>
      </c>
      <c r="Y162">
        <f>+'Raw data'!Q374</f>
        <v>2.0099999999999998</v>
      </c>
    </row>
    <row r="163" spans="1:25" x14ac:dyDescent="0.25">
      <c r="A163">
        <v>2025</v>
      </c>
      <c r="B163" t="s">
        <v>57</v>
      </c>
      <c r="C163">
        <f t="shared" si="9"/>
        <v>8</v>
      </c>
      <c r="D163">
        <f t="shared" si="7"/>
        <v>81</v>
      </c>
      <c r="E163" t="str">
        <f>+'Raw data'!A334</f>
        <v>Samarina Dudenbros</v>
      </c>
      <c r="F163" t="str">
        <f>VLOOKUP(E163,Data!$E$2626:$F$2645,2,FALSE)</f>
        <v>Sakellariou</v>
      </c>
      <c r="H163">
        <f>+'Raw data'!A375</f>
        <v>8</v>
      </c>
      <c r="I163">
        <f>+'Raw data'!B375</f>
        <v>5</v>
      </c>
      <c r="J163">
        <f>+'Raw data'!C375</f>
        <v>0</v>
      </c>
      <c r="M163">
        <f>+'Raw data'!E375</f>
        <v>265</v>
      </c>
      <c r="N163">
        <f>+'Raw data'!F375</f>
        <v>0.45100000000000001</v>
      </c>
      <c r="O163">
        <f>+'Raw data'!G375</f>
        <v>69</v>
      </c>
      <c r="P163">
        <f>+'Raw data'!H375</f>
        <v>0.308</v>
      </c>
      <c r="Q163">
        <f>+'Raw data'!I375</f>
        <v>0.79600000000000004</v>
      </c>
      <c r="R163">
        <f>+'Raw data'!J375</f>
        <v>767</v>
      </c>
      <c r="S163">
        <f>+'Raw data'!K375</f>
        <v>60</v>
      </c>
      <c r="T163">
        <f>+'Raw data'!L375</f>
        <v>187</v>
      </c>
      <c r="U163">
        <f>+'Raw data'!M375</f>
        <v>161</v>
      </c>
      <c r="V163">
        <f>+'Raw data'!N375</f>
        <v>63</v>
      </c>
      <c r="W163">
        <f>+'Raw data'!O375</f>
        <v>36</v>
      </c>
      <c r="X163">
        <f>+'Raw data'!P375</f>
        <v>87</v>
      </c>
      <c r="Y163">
        <f>+'Raw data'!Q375</f>
        <v>1.85</v>
      </c>
    </row>
    <row r="164" spans="1:25" x14ac:dyDescent="0.25">
      <c r="A164">
        <v>2025</v>
      </c>
      <c r="B164" t="s">
        <v>57</v>
      </c>
      <c r="C164">
        <f t="shared" si="9"/>
        <v>8</v>
      </c>
      <c r="D164">
        <f t="shared" si="7"/>
        <v>82</v>
      </c>
      <c r="E164" t="str">
        <f>+'Raw data'!A335</f>
        <v>Guruuu 🐐🐐🐐</v>
      </c>
      <c r="F164" t="str">
        <f>VLOOKUP(E164,Data!$E$2626:$F$2645,2,FALSE)</f>
        <v>Guru</v>
      </c>
      <c r="H164">
        <f>+'Raw data'!A376</f>
        <v>8</v>
      </c>
      <c r="I164">
        <f>+'Raw data'!B376</f>
        <v>5</v>
      </c>
      <c r="J164">
        <f>+'Raw data'!C376</f>
        <v>0</v>
      </c>
      <c r="M164">
        <f>+'Raw data'!E376</f>
        <v>302</v>
      </c>
      <c r="N164">
        <f>+'Raw data'!F376</f>
        <v>0.46300000000000002</v>
      </c>
      <c r="O164">
        <f>+'Raw data'!G376</f>
        <v>85</v>
      </c>
      <c r="P164">
        <f>+'Raw data'!H376</f>
        <v>0.35299999999999998</v>
      </c>
      <c r="Q164">
        <f>+'Raw data'!I376</f>
        <v>0.755</v>
      </c>
      <c r="R164">
        <f>+'Raw data'!J376</f>
        <v>828</v>
      </c>
      <c r="S164">
        <f>+'Raw data'!K376</f>
        <v>76</v>
      </c>
      <c r="T164">
        <f>+'Raw data'!L376</f>
        <v>215</v>
      </c>
      <c r="U164">
        <f>+'Raw data'!M376</f>
        <v>179</v>
      </c>
      <c r="V164">
        <f>+'Raw data'!N376</f>
        <v>50</v>
      </c>
      <c r="W164">
        <f>+'Raw data'!O376</f>
        <v>18</v>
      </c>
      <c r="X164">
        <f>+'Raw data'!P376</f>
        <v>87</v>
      </c>
      <c r="Y164">
        <f>+'Raw data'!Q376</f>
        <v>2.06</v>
      </c>
    </row>
    <row r="165" spans="1:25" x14ac:dyDescent="0.25">
      <c r="A165">
        <v>2025</v>
      </c>
      <c r="B165" t="s">
        <v>57</v>
      </c>
      <c r="C165">
        <f t="shared" si="9"/>
        <v>8</v>
      </c>
      <c r="D165">
        <f t="shared" si="7"/>
        <v>82</v>
      </c>
      <c r="E165" t="str">
        <f>+'Raw data'!A336</f>
        <v>Xanthi Ducks 🦆</v>
      </c>
      <c r="F165" t="str">
        <f>VLOOKUP(E165,Data!$E$2626:$F$2645,2,FALSE)</f>
        <v>Kotakis</v>
      </c>
      <c r="H165">
        <f>+'Raw data'!A377</f>
        <v>5</v>
      </c>
      <c r="I165">
        <f>+'Raw data'!B377</f>
        <v>8</v>
      </c>
      <c r="J165">
        <f>+'Raw data'!C377</f>
        <v>0</v>
      </c>
      <c r="M165">
        <f>+'Raw data'!E377</f>
        <v>179</v>
      </c>
      <c r="N165">
        <f>+'Raw data'!F377</f>
        <v>0.48399999999999999</v>
      </c>
      <c r="O165">
        <f>+'Raw data'!G377</f>
        <v>70</v>
      </c>
      <c r="P165">
        <f>+'Raw data'!H377</f>
        <v>0.38500000000000001</v>
      </c>
      <c r="Q165">
        <f>+'Raw data'!I377</f>
        <v>0.80300000000000005</v>
      </c>
      <c r="R165">
        <f>+'Raw data'!J377</f>
        <v>489</v>
      </c>
      <c r="S165">
        <f>+'Raw data'!K377</f>
        <v>48</v>
      </c>
      <c r="T165">
        <f>+'Raw data'!L377</f>
        <v>133</v>
      </c>
      <c r="U165">
        <f>+'Raw data'!M377</f>
        <v>96</v>
      </c>
      <c r="V165">
        <f>+'Raw data'!N377</f>
        <v>30</v>
      </c>
      <c r="W165">
        <f>+'Raw data'!O377</f>
        <v>16</v>
      </c>
      <c r="X165">
        <f>+'Raw data'!P377</f>
        <v>35</v>
      </c>
      <c r="Y165">
        <f>+'Raw data'!Q377</f>
        <v>2.74</v>
      </c>
    </row>
    <row r="166" spans="1:25" x14ac:dyDescent="0.25">
      <c r="A166">
        <v>2025</v>
      </c>
      <c r="B166" t="s">
        <v>57</v>
      </c>
      <c r="C166">
        <f t="shared" si="9"/>
        <v>8</v>
      </c>
      <c r="D166">
        <f t="shared" si="7"/>
        <v>83</v>
      </c>
      <c r="E166" t="str">
        <f>+'Raw data'!A337</f>
        <v>Heraklion Snakes</v>
      </c>
      <c r="F166" t="str">
        <f>VLOOKUP(E166,Data!$E$2626:$F$2645,2,FALSE)</f>
        <v>Dimitris</v>
      </c>
      <c r="H166">
        <f>+'Raw data'!A378</f>
        <v>2</v>
      </c>
      <c r="I166">
        <f>+'Raw data'!B378</f>
        <v>11</v>
      </c>
      <c r="J166">
        <f>+'Raw data'!C378</f>
        <v>0</v>
      </c>
      <c r="M166">
        <f>+'Raw data'!E378</f>
        <v>148</v>
      </c>
      <c r="N166">
        <f>+'Raw data'!F378</f>
        <v>0.433</v>
      </c>
      <c r="O166">
        <f>+'Raw data'!G378</f>
        <v>44</v>
      </c>
      <c r="P166">
        <f>+'Raw data'!H378</f>
        <v>0.29499999999999998</v>
      </c>
      <c r="Q166">
        <f>+'Raw data'!I378</f>
        <v>0.78700000000000003</v>
      </c>
      <c r="R166">
        <f>+'Raw data'!J378</f>
        <v>410</v>
      </c>
      <c r="S166">
        <f>+'Raw data'!K378</f>
        <v>44</v>
      </c>
      <c r="T166">
        <f>+'Raw data'!L378</f>
        <v>121</v>
      </c>
      <c r="U166">
        <f>+'Raw data'!M378</f>
        <v>69</v>
      </c>
      <c r="V166">
        <f>+'Raw data'!N378</f>
        <v>26</v>
      </c>
      <c r="W166">
        <f>+'Raw data'!O378</f>
        <v>12</v>
      </c>
      <c r="X166">
        <f>+'Raw data'!P378</f>
        <v>48</v>
      </c>
      <c r="Y166">
        <f>+'Raw data'!Q378</f>
        <v>1.44</v>
      </c>
    </row>
    <row r="167" spans="1:25" x14ac:dyDescent="0.25">
      <c r="A167">
        <v>2025</v>
      </c>
      <c r="B167" t="s">
        <v>57</v>
      </c>
      <c r="C167">
        <f t="shared" si="9"/>
        <v>8</v>
      </c>
      <c r="D167">
        <f t="shared" si="7"/>
        <v>83</v>
      </c>
      <c r="E167" t="str">
        <f>+'Raw data'!A338</f>
        <v>Kourayo Vallecano</v>
      </c>
      <c r="F167" t="str">
        <f>VLOOKUP(E167,Data!$E$2626:$F$2645,2,FALSE)</f>
        <v>Ziogas/Christof</v>
      </c>
      <c r="H167">
        <f>+'Raw data'!A379</f>
        <v>11</v>
      </c>
      <c r="I167">
        <f>+'Raw data'!B379</f>
        <v>2</v>
      </c>
      <c r="J167">
        <f>+'Raw data'!C379</f>
        <v>0</v>
      </c>
      <c r="M167">
        <f>+'Raw data'!E379</f>
        <v>228</v>
      </c>
      <c r="N167">
        <f>+'Raw data'!F379</f>
        <v>0.44500000000000001</v>
      </c>
      <c r="O167">
        <f>+'Raw data'!G379</f>
        <v>69</v>
      </c>
      <c r="P167">
        <f>+'Raw data'!H379</f>
        <v>0.33700000000000002</v>
      </c>
      <c r="Q167">
        <f>+'Raw data'!I379</f>
        <v>0.74299999999999999</v>
      </c>
      <c r="R167">
        <f>+'Raw data'!J379</f>
        <v>635</v>
      </c>
      <c r="S167">
        <f>+'Raw data'!K379</f>
        <v>50</v>
      </c>
      <c r="T167">
        <f>+'Raw data'!L379</f>
        <v>189</v>
      </c>
      <c r="U167">
        <f>+'Raw data'!M379</f>
        <v>158</v>
      </c>
      <c r="V167">
        <f>+'Raw data'!N379</f>
        <v>51</v>
      </c>
      <c r="W167">
        <f>+'Raw data'!O379</f>
        <v>19</v>
      </c>
      <c r="X167">
        <f>+'Raw data'!P379</f>
        <v>70</v>
      </c>
      <c r="Y167">
        <f>+'Raw data'!Q379</f>
        <v>2.2599999999999998</v>
      </c>
    </row>
    <row r="168" spans="1:25" x14ac:dyDescent="0.25">
      <c r="A168">
        <v>2025</v>
      </c>
      <c r="B168" t="s">
        <v>57</v>
      </c>
      <c r="C168">
        <f t="shared" si="9"/>
        <v>8</v>
      </c>
      <c r="D168">
        <f t="shared" si="7"/>
        <v>84</v>
      </c>
      <c r="E168" t="str">
        <f>+'Raw data'!A339</f>
        <v>Hércules Pals</v>
      </c>
      <c r="F168" t="e">
        <f>VLOOKUP(E168,Data!$E$2626:$F$2645,2,FALSE)</f>
        <v>#N/A</v>
      </c>
      <c r="H168">
        <f>+'Raw data'!A380</f>
        <v>4</v>
      </c>
      <c r="I168">
        <f>+'Raw data'!B380</f>
        <v>9</v>
      </c>
      <c r="J168">
        <f>+'Raw data'!C380</f>
        <v>0</v>
      </c>
      <c r="M168">
        <f>+'Raw data'!E380</f>
        <v>183</v>
      </c>
      <c r="N168">
        <f>+'Raw data'!F380</f>
        <v>0.46100000000000002</v>
      </c>
      <c r="O168">
        <f>+'Raw data'!G380</f>
        <v>62</v>
      </c>
      <c r="P168">
        <f>+'Raw data'!H380</f>
        <v>0.33700000000000002</v>
      </c>
      <c r="Q168">
        <f>+'Raw data'!I380</f>
        <v>0.73799999999999999</v>
      </c>
      <c r="R168">
        <f>+'Raw data'!J380</f>
        <v>504</v>
      </c>
      <c r="S168">
        <f>+'Raw data'!K380</f>
        <v>54</v>
      </c>
      <c r="T168">
        <f>+'Raw data'!L380</f>
        <v>181</v>
      </c>
      <c r="U168">
        <f>+'Raw data'!M380</f>
        <v>119</v>
      </c>
      <c r="V168">
        <f>+'Raw data'!N380</f>
        <v>35</v>
      </c>
      <c r="W168">
        <f>+'Raw data'!O380</f>
        <v>30</v>
      </c>
      <c r="X168">
        <f>+'Raw data'!P380</f>
        <v>64</v>
      </c>
      <c r="Y168">
        <f>+'Raw data'!Q380</f>
        <v>1.86</v>
      </c>
    </row>
    <row r="169" spans="1:25" x14ac:dyDescent="0.25">
      <c r="A169">
        <v>2025</v>
      </c>
      <c r="B169" t="s">
        <v>57</v>
      </c>
      <c r="C169">
        <f t="shared" si="9"/>
        <v>8</v>
      </c>
      <c r="D169">
        <f t="shared" si="7"/>
        <v>84</v>
      </c>
      <c r="E169" t="str">
        <f>+'Raw data'!A340</f>
        <v>The Bad Boys</v>
      </c>
      <c r="F169" t="str">
        <f>VLOOKUP(E169,Data!$E$2626:$F$2645,2,FALSE)</f>
        <v>Arvanitis</v>
      </c>
      <c r="H169">
        <f>+'Raw data'!A381</f>
        <v>9</v>
      </c>
      <c r="I169">
        <f>+'Raw data'!B381</f>
        <v>4</v>
      </c>
      <c r="J169">
        <f>+'Raw data'!C381</f>
        <v>0</v>
      </c>
      <c r="M169">
        <f>+'Raw data'!E381</f>
        <v>266</v>
      </c>
      <c r="N169">
        <f>+'Raw data'!F381</f>
        <v>0.48699999999999999</v>
      </c>
      <c r="O169">
        <f>+'Raw data'!G381</f>
        <v>56</v>
      </c>
      <c r="P169">
        <f>+'Raw data'!H381</f>
        <v>0.33100000000000002</v>
      </c>
      <c r="Q169">
        <f>+'Raw data'!I381</f>
        <v>0.79200000000000004</v>
      </c>
      <c r="R169">
        <f>+'Raw data'!J381</f>
        <v>740</v>
      </c>
      <c r="S169">
        <f>+'Raw data'!K381</f>
        <v>69</v>
      </c>
      <c r="T169">
        <f>+'Raw data'!L381</f>
        <v>162</v>
      </c>
      <c r="U169">
        <f>+'Raw data'!M381</f>
        <v>158</v>
      </c>
      <c r="V169">
        <f>+'Raw data'!N381</f>
        <v>51</v>
      </c>
      <c r="W169">
        <f>+'Raw data'!O381</f>
        <v>31</v>
      </c>
      <c r="X169">
        <f>+'Raw data'!P381</f>
        <v>76</v>
      </c>
      <c r="Y169">
        <f>+'Raw data'!Q381</f>
        <v>2.08</v>
      </c>
    </row>
    <row r="170" spans="1:25" x14ac:dyDescent="0.25">
      <c r="A170">
        <v>2025</v>
      </c>
      <c r="B170" t="s">
        <v>57</v>
      </c>
      <c r="C170">
        <f t="shared" si="9"/>
        <v>8</v>
      </c>
      <c r="D170">
        <f t="shared" si="7"/>
        <v>85</v>
      </c>
      <c r="E170" t="str">
        <f>+'Raw data'!A341</f>
        <v>Karafli Saita</v>
      </c>
      <c r="F170" t="str">
        <f>VLOOKUP(E170,Data!$E$2626:$F$2645,2,FALSE)</f>
        <v>Tassos</v>
      </c>
      <c r="H170">
        <f>+'Raw data'!A382</f>
        <v>9</v>
      </c>
      <c r="I170">
        <f>+'Raw data'!B382</f>
        <v>4</v>
      </c>
      <c r="J170">
        <f>+'Raw data'!C382</f>
        <v>0</v>
      </c>
      <c r="M170">
        <f>+'Raw data'!E382</f>
        <v>250</v>
      </c>
      <c r="N170">
        <f>+'Raw data'!F382</f>
        <v>0.46500000000000002</v>
      </c>
      <c r="O170">
        <f>+'Raw data'!G382</f>
        <v>79</v>
      </c>
      <c r="P170">
        <f>+'Raw data'!H382</f>
        <v>0.39300000000000002</v>
      </c>
      <c r="Q170">
        <f>+'Raw data'!I382</f>
        <v>0.80400000000000005</v>
      </c>
      <c r="R170">
        <f>+'Raw data'!J382</f>
        <v>710</v>
      </c>
      <c r="S170">
        <f>+'Raw data'!K382</f>
        <v>34</v>
      </c>
      <c r="T170">
        <f>+'Raw data'!L382</f>
        <v>161</v>
      </c>
      <c r="U170">
        <f>+'Raw data'!M382</f>
        <v>172</v>
      </c>
      <c r="V170">
        <f>+'Raw data'!N382</f>
        <v>35</v>
      </c>
      <c r="W170">
        <f>+'Raw data'!O382</f>
        <v>34</v>
      </c>
      <c r="X170">
        <f>+'Raw data'!P382</f>
        <v>75</v>
      </c>
      <c r="Y170">
        <f>+'Raw data'!Q382</f>
        <v>2.29</v>
      </c>
    </row>
    <row r="171" spans="1:25" x14ac:dyDescent="0.25">
      <c r="A171">
        <v>2025</v>
      </c>
      <c r="B171" t="s">
        <v>57</v>
      </c>
      <c r="C171">
        <f t="shared" si="9"/>
        <v>8</v>
      </c>
      <c r="D171">
        <f t="shared" si="7"/>
        <v>85</v>
      </c>
      <c r="E171" t="str">
        <f>+'Raw data'!A342</f>
        <v>Salonika Devils</v>
      </c>
      <c r="F171" t="str">
        <f>VLOOKUP(E171,Data!$E$2626:$F$2645,2,FALSE)</f>
        <v>Fountos</v>
      </c>
      <c r="H171">
        <f>+'Raw data'!A383</f>
        <v>4</v>
      </c>
      <c r="I171">
        <f>+'Raw data'!B383</f>
        <v>9</v>
      </c>
      <c r="J171">
        <f>+'Raw data'!C383</f>
        <v>0</v>
      </c>
      <c r="M171">
        <f>+'Raw data'!E383</f>
        <v>158</v>
      </c>
      <c r="N171">
        <f>+'Raw data'!F383</f>
        <v>0.49199999999999999</v>
      </c>
      <c r="O171">
        <f>+'Raw data'!G383</f>
        <v>60</v>
      </c>
      <c r="P171">
        <f>+'Raw data'!H383</f>
        <v>0.432</v>
      </c>
      <c r="Q171">
        <f>+'Raw data'!I383</f>
        <v>0.79100000000000004</v>
      </c>
      <c r="R171">
        <f>+'Raw data'!J383</f>
        <v>444</v>
      </c>
      <c r="S171">
        <f>+'Raw data'!K383</f>
        <v>61</v>
      </c>
      <c r="T171">
        <f>+'Raw data'!L383</f>
        <v>108</v>
      </c>
      <c r="U171">
        <f>+'Raw data'!M383</f>
        <v>80</v>
      </c>
      <c r="V171">
        <f>+'Raw data'!N383</f>
        <v>24</v>
      </c>
      <c r="W171">
        <f>+'Raw data'!O383</f>
        <v>18</v>
      </c>
      <c r="X171">
        <f>+'Raw data'!P383</f>
        <v>40</v>
      </c>
      <c r="Y171">
        <f>+'Raw data'!Q383</f>
        <v>2</v>
      </c>
    </row>
    <row r="172" spans="1:25" x14ac:dyDescent="0.25">
      <c r="A172">
        <v>2025</v>
      </c>
      <c r="B172" t="s">
        <v>57</v>
      </c>
      <c r="C172">
        <f t="shared" si="9"/>
        <v>8</v>
      </c>
      <c r="D172">
        <f t="shared" si="7"/>
        <v>86</v>
      </c>
      <c r="E172" t="str">
        <f>+'Raw data'!A343</f>
        <v>Knights of Ni</v>
      </c>
      <c r="F172" t="str">
        <f>VLOOKUP(E172,Data!$E$2626:$F$2645,2,FALSE)</f>
        <v>Tolios</v>
      </c>
      <c r="H172">
        <f>+'Raw data'!A384</f>
        <v>3</v>
      </c>
      <c r="I172">
        <f>+'Raw data'!B384</f>
        <v>10</v>
      </c>
      <c r="J172">
        <f>+'Raw data'!C384</f>
        <v>0</v>
      </c>
      <c r="M172">
        <f>+'Raw data'!E384</f>
        <v>171</v>
      </c>
      <c r="N172">
        <f>+'Raw data'!F384</f>
        <v>0.46700000000000003</v>
      </c>
      <c r="O172">
        <f>+'Raw data'!G384</f>
        <v>44</v>
      </c>
      <c r="P172">
        <f>+'Raw data'!H384</f>
        <v>0.34399999999999997</v>
      </c>
      <c r="Q172">
        <f>+'Raw data'!I384</f>
        <v>0.79</v>
      </c>
      <c r="R172">
        <f>+'Raw data'!J384</f>
        <v>469</v>
      </c>
      <c r="S172">
        <f>+'Raw data'!K384</f>
        <v>40</v>
      </c>
      <c r="T172">
        <f>+'Raw data'!L384</f>
        <v>124</v>
      </c>
      <c r="U172">
        <f>+'Raw data'!M384</f>
        <v>83</v>
      </c>
      <c r="V172">
        <f>+'Raw data'!N384</f>
        <v>34</v>
      </c>
      <c r="W172">
        <f>+'Raw data'!O384</f>
        <v>18</v>
      </c>
      <c r="X172">
        <f>+'Raw data'!P384</f>
        <v>62</v>
      </c>
      <c r="Y172">
        <f>+'Raw data'!Q384</f>
        <v>1.34</v>
      </c>
    </row>
    <row r="173" spans="1:25" x14ac:dyDescent="0.25">
      <c r="A173">
        <v>2025</v>
      </c>
      <c r="B173" t="s">
        <v>57</v>
      </c>
      <c r="C173">
        <f t="shared" si="9"/>
        <v>8</v>
      </c>
      <c r="D173">
        <f t="shared" si="7"/>
        <v>86</v>
      </c>
      <c r="E173" t="str">
        <f>+'Raw data'!A344</f>
        <v>The Guns</v>
      </c>
      <c r="F173" t="str">
        <f>VLOOKUP(E173,Data!$E$2626:$F$2645,2,FALSE)</f>
        <v>Vasilis</v>
      </c>
      <c r="H173">
        <f>+'Raw data'!A385</f>
        <v>10</v>
      </c>
      <c r="I173">
        <f>+'Raw data'!B385</f>
        <v>3</v>
      </c>
      <c r="J173">
        <f>+'Raw data'!C385</f>
        <v>0</v>
      </c>
      <c r="M173">
        <f>+'Raw data'!E385</f>
        <v>214</v>
      </c>
      <c r="N173">
        <f>+'Raw data'!F385</f>
        <v>0.48899999999999999</v>
      </c>
      <c r="O173">
        <f>+'Raw data'!G385</f>
        <v>60</v>
      </c>
      <c r="P173">
        <f>+'Raw data'!H385</f>
        <v>0.36099999999999999</v>
      </c>
      <c r="Q173">
        <f>+'Raw data'!I385</f>
        <v>0.89100000000000001</v>
      </c>
      <c r="R173">
        <f>+'Raw data'!J385</f>
        <v>578</v>
      </c>
      <c r="S173">
        <f>+'Raw data'!K385</f>
        <v>32</v>
      </c>
      <c r="T173">
        <f>+'Raw data'!L385</f>
        <v>145</v>
      </c>
      <c r="U173">
        <f>+'Raw data'!M385</f>
        <v>105</v>
      </c>
      <c r="V173">
        <f>+'Raw data'!N385</f>
        <v>35</v>
      </c>
      <c r="W173">
        <f>+'Raw data'!O385</f>
        <v>22</v>
      </c>
      <c r="X173">
        <f>+'Raw data'!P385</f>
        <v>79</v>
      </c>
      <c r="Y173">
        <f>+'Raw data'!Q385</f>
        <v>1.33</v>
      </c>
    </row>
    <row r="174" spans="1:25" x14ac:dyDescent="0.25">
      <c r="A174">
        <v>2025</v>
      </c>
      <c r="B174" t="s">
        <v>57</v>
      </c>
      <c r="C174">
        <f t="shared" si="9"/>
        <v>8</v>
      </c>
      <c r="D174">
        <f t="shared" si="7"/>
        <v>87</v>
      </c>
      <c r="E174" t="str">
        <f>+'Raw data'!A345</f>
        <v>Pachiana NinjaBees</v>
      </c>
      <c r="F174" t="str">
        <f>VLOOKUP(E174,Data!$E$2626:$F$2645,2,FALSE)</f>
        <v>Spiridaus/Oladipas</v>
      </c>
      <c r="H174">
        <f>+'Raw data'!A386</f>
        <v>6</v>
      </c>
      <c r="I174">
        <f>+'Raw data'!B386</f>
        <v>7</v>
      </c>
      <c r="J174">
        <f>+'Raw data'!C386</f>
        <v>0</v>
      </c>
      <c r="M174">
        <f>+'Raw data'!E386</f>
        <v>145</v>
      </c>
      <c r="N174">
        <f>+'Raw data'!F386</f>
        <v>0.39600000000000002</v>
      </c>
      <c r="O174">
        <f>+'Raw data'!G386</f>
        <v>49</v>
      </c>
      <c r="P174">
        <f>+'Raw data'!H386</f>
        <v>0.34300000000000003</v>
      </c>
      <c r="Q174">
        <f>+'Raw data'!I386</f>
        <v>0.79700000000000004</v>
      </c>
      <c r="R174">
        <f>+'Raw data'!J386</f>
        <v>394</v>
      </c>
      <c r="S174">
        <f>+'Raw data'!K386</f>
        <v>63</v>
      </c>
      <c r="T174">
        <f>+'Raw data'!L386</f>
        <v>151</v>
      </c>
      <c r="U174">
        <f>+'Raw data'!M386</f>
        <v>127</v>
      </c>
      <c r="V174">
        <f>+'Raw data'!N386</f>
        <v>37</v>
      </c>
      <c r="W174">
        <f>+'Raw data'!O386</f>
        <v>30</v>
      </c>
      <c r="X174">
        <f>+'Raw data'!P386</f>
        <v>79</v>
      </c>
      <c r="Y174">
        <f>+'Raw data'!Q386</f>
        <v>1.61</v>
      </c>
    </row>
    <row r="175" spans="1:25" x14ac:dyDescent="0.25">
      <c r="A175">
        <v>2025</v>
      </c>
      <c r="B175" t="s">
        <v>57</v>
      </c>
      <c r="C175">
        <f t="shared" si="9"/>
        <v>8</v>
      </c>
      <c r="D175">
        <f t="shared" si="7"/>
        <v>87</v>
      </c>
      <c r="E175" t="str">
        <f>+'Raw data'!A346</f>
        <v>Steven Adams' Moustache</v>
      </c>
      <c r="F175" t="str">
        <f>VLOOKUP(E175,Data!$E$2626:$F$2645,2,FALSE)</f>
        <v>Johnny</v>
      </c>
      <c r="H175">
        <f>+'Raw data'!A387</f>
        <v>7</v>
      </c>
      <c r="I175">
        <f>+'Raw data'!B387</f>
        <v>6</v>
      </c>
      <c r="J175">
        <f>+'Raw data'!C387</f>
        <v>0</v>
      </c>
      <c r="M175">
        <f>+'Raw data'!E387</f>
        <v>170</v>
      </c>
      <c r="N175">
        <f>+'Raw data'!F387</f>
        <v>0.48</v>
      </c>
      <c r="O175">
        <f>+'Raw data'!G387</f>
        <v>66</v>
      </c>
      <c r="P175">
        <f>+'Raw data'!H387</f>
        <v>0.36299999999999999</v>
      </c>
      <c r="Q175">
        <f>+'Raw data'!I387</f>
        <v>0.77800000000000002</v>
      </c>
      <c r="R175">
        <f>+'Raw data'!J387</f>
        <v>476</v>
      </c>
      <c r="S175">
        <f>+'Raw data'!K387</f>
        <v>37</v>
      </c>
      <c r="T175">
        <f>+'Raw data'!L387</f>
        <v>133</v>
      </c>
      <c r="U175">
        <f>+'Raw data'!M387</f>
        <v>97</v>
      </c>
      <c r="V175">
        <f>+'Raw data'!N387</f>
        <v>25</v>
      </c>
      <c r="W175">
        <f>+'Raw data'!O387</f>
        <v>18</v>
      </c>
      <c r="X175">
        <f>+'Raw data'!P387</f>
        <v>50</v>
      </c>
      <c r="Y175">
        <f>+'Raw data'!Q387</f>
        <v>1.94</v>
      </c>
    </row>
    <row r="176" spans="1:25" x14ac:dyDescent="0.25">
      <c r="A176">
        <v>2025</v>
      </c>
      <c r="B176" t="s">
        <v>57</v>
      </c>
      <c r="C176">
        <f t="shared" si="9"/>
        <v>8</v>
      </c>
      <c r="D176">
        <f t="shared" si="7"/>
        <v>88</v>
      </c>
      <c r="E176" t="str">
        <f>+'Raw data'!A347</f>
        <v>purple fuzzy apache pirates</v>
      </c>
      <c r="F176" t="str">
        <f>VLOOKUP(E176,Data!$E$2626:$F$2645,2,FALSE)</f>
        <v>pi/Sotiris</v>
      </c>
      <c r="H176">
        <f>+'Raw data'!A388</f>
        <v>6</v>
      </c>
      <c r="I176">
        <f>+'Raw data'!B388</f>
        <v>7</v>
      </c>
      <c r="J176">
        <f>+'Raw data'!C388</f>
        <v>0</v>
      </c>
      <c r="M176">
        <f>+'Raw data'!E388</f>
        <v>244</v>
      </c>
      <c r="N176">
        <f>+'Raw data'!F388</f>
        <v>0.48399999999999999</v>
      </c>
      <c r="O176">
        <f>+'Raw data'!G388</f>
        <v>80</v>
      </c>
      <c r="P176">
        <f>+'Raw data'!H388</f>
        <v>0.39</v>
      </c>
      <c r="Q176">
        <f>+'Raw data'!I388</f>
        <v>0.748</v>
      </c>
      <c r="R176">
        <f>+'Raw data'!J388</f>
        <v>654</v>
      </c>
      <c r="S176">
        <f>+'Raw data'!K388</f>
        <v>61</v>
      </c>
      <c r="T176">
        <f>+'Raw data'!L388</f>
        <v>204</v>
      </c>
      <c r="U176">
        <f>+'Raw data'!M388</f>
        <v>182</v>
      </c>
      <c r="V176">
        <f>+'Raw data'!N388</f>
        <v>35</v>
      </c>
      <c r="W176">
        <f>+'Raw data'!O388</f>
        <v>9</v>
      </c>
      <c r="X176">
        <f>+'Raw data'!P388</f>
        <v>90</v>
      </c>
      <c r="Y176">
        <f>+'Raw data'!Q388</f>
        <v>2.02</v>
      </c>
    </row>
    <row r="177" spans="1:25" x14ac:dyDescent="0.25">
      <c r="A177">
        <v>2025</v>
      </c>
      <c r="B177" t="s">
        <v>57</v>
      </c>
      <c r="C177">
        <f t="shared" si="9"/>
        <v>8</v>
      </c>
      <c r="D177">
        <f t="shared" si="7"/>
        <v>88</v>
      </c>
      <c r="E177" t="str">
        <f>+'Raw data'!A348</f>
        <v>Tsarlatans</v>
      </c>
      <c r="F177" t="str">
        <f>VLOOKUP(E177,Data!$E$2626:$F$2645,2,FALSE)</f>
        <v>Tzokos</v>
      </c>
      <c r="H177">
        <f>+'Raw data'!A389</f>
        <v>7</v>
      </c>
      <c r="I177">
        <f>+'Raw data'!B389</f>
        <v>6</v>
      </c>
      <c r="J177">
        <f>+'Raw data'!C389</f>
        <v>0</v>
      </c>
      <c r="M177">
        <f>+'Raw data'!E389</f>
        <v>242</v>
      </c>
      <c r="N177">
        <f>+'Raw data'!F389</f>
        <v>0.51100000000000001</v>
      </c>
      <c r="O177">
        <f>+'Raw data'!G389</f>
        <v>65</v>
      </c>
      <c r="P177">
        <f>+'Raw data'!H389</f>
        <v>0.41399999999999998</v>
      </c>
      <c r="Q177">
        <f>+'Raw data'!I389</f>
        <v>0.75700000000000001</v>
      </c>
      <c r="R177">
        <f>+'Raw data'!J389</f>
        <v>627</v>
      </c>
      <c r="S177">
        <f>+'Raw data'!K389</f>
        <v>82</v>
      </c>
      <c r="T177">
        <f>+'Raw data'!L389</f>
        <v>228</v>
      </c>
      <c r="U177">
        <f>+'Raw data'!M389</f>
        <v>109</v>
      </c>
      <c r="V177">
        <f>+'Raw data'!N389</f>
        <v>29</v>
      </c>
      <c r="W177">
        <f>+'Raw data'!O389</f>
        <v>33</v>
      </c>
      <c r="X177">
        <f>+'Raw data'!P389</f>
        <v>69</v>
      </c>
      <c r="Y177">
        <f>+'Raw data'!Q389</f>
        <v>1.58</v>
      </c>
    </row>
    <row r="178" spans="1:25" x14ac:dyDescent="0.25">
      <c r="A178">
        <v>2025</v>
      </c>
      <c r="B178" t="s">
        <v>57</v>
      </c>
      <c r="C178">
        <f t="shared" si="9"/>
        <v>8</v>
      </c>
      <c r="D178">
        <f t="shared" si="7"/>
        <v>89</v>
      </c>
      <c r="E178" t="str">
        <f>+'Raw data'!A349</f>
        <v>LRBP PR3DATORS</v>
      </c>
      <c r="F178" t="str">
        <f>VLOOKUP(E178,Data!$E$2626:$F$2645,2,FALSE)</f>
        <v>Lafa</v>
      </c>
      <c r="H178">
        <f>+'Raw data'!A390</f>
        <v>2</v>
      </c>
      <c r="I178">
        <f>+'Raw data'!B390</f>
        <v>11</v>
      </c>
      <c r="J178">
        <f>+'Raw data'!C390</f>
        <v>0</v>
      </c>
      <c r="M178">
        <f>+'Raw data'!E390</f>
        <v>273</v>
      </c>
      <c r="N178">
        <f>+'Raw data'!F390</f>
        <v>0.46899999999999997</v>
      </c>
      <c r="O178">
        <f>+'Raw data'!G390</f>
        <v>53</v>
      </c>
      <c r="P178">
        <f>+'Raw data'!H390</f>
        <v>0.29599999999999999</v>
      </c>
      <c r="Q178">
        <f>+'Raw data'!I390</f>
        <v>0.76600000000000001</v>
      </c>
      <c r="R178">
        <f>+'Raw data'!J390</f>
        <v>779</v>
      </c>
      <c r="S178">
        <f>+'Raw data'!K390</f>
        <v>52</v>
      </c>
      <c r="T178">
        <f>+'Raw data'!L390</f>
        <v>197</v>
      </c>
      <c r="U178">
        <f>+'Raw data'!M390</f>
        <v>181</v>
      </c>
      <c r="V178">
        <f>+'Raw data'!N390</f>
        <v>46</v>
      </c>
      <c r="W178">
        <f>+'Raw data'!O390</f>
        <v>26</v>
      </c>
      <c r="X178">
        <f>+'Raw data'!P390</f>
        <v>93</v>
      </c>
      <c r="Y178">
        <f>+'Raw data'!Q390</f>
        <v>1.95</v>
      </c>
    </row>
    <row r="179" spans="1:25" x14ac:dyDescent="0.25">
      <c r="A179">
        <v>2025</v>
      </c>
      <c r="B179" t="s">
        <v>57</v>
      </c>
      <c r="C179">
        <f t="shared" si="9"/>
        <v>8</v>
      </c>
      <c r="D179">
        <f t="shared" si="7"/>
        <v>89</v>
      </c>
      <c r="E179" t="str">
        <f>+'Raw data'!A350</f>
        <v>The Bridgeburners</v>
      </c>
      <c r="F179" t="str">
        <f>VLOOKUP(E179,Data!$E$2626:$F$2645,2,FALSE)</f>
        <v>Fanis</v>
      </c>
      <c r="H179">
        <f>+'Raw data'!A391</f>
        <v>11</v>
      </c>
      <c r="I179">
        <f>+'Raw data'!B391</f>
        <v>2</v>
      </c>
      <c r="J179">
        <f>+'Raw data'!C391</f>
        <v>0</v>
      </c>
      <c r="M179">
        <f>+'Raw data'!E391</f>
        <v>270</v>
      </c>
      <c r="N179">
        <f>+'Raw data'!F391</f>
        <v>0.47099999999999997</v>
      </c>
      <c r="O179">
        <f>+'Raw data'!G391</f>
        <v>72</v>
      </c>
      <c r="P179">
        <f>+'Raw data'!H391</f>
        <v>0.34300000000000003</v>
      </c>
      <c r="Q179">
        <f>+'Raw data'!I391</f>
        <v>0.77800000000000002</v>
      </c>
      <c r="R179">
        <f>+'Raw data'!J391</f>
        <v>745</v>
      </c>
      <c r="S179">
        <f>+'Raw data'!K391</f>
        <v>77</v>
      </c>
      <c r="T179">
        <f>+'Raw data'!L391</f>
        <v>199</v>
      </c>
      <c r="U179">
        <f>+'Raw data'!M391</f>
        <v>183</v>
      </c>
      <c r="V179">
        <f>+'Raw data'!N391</f>
        <v>48</v>
      </c>
      <c r="W179">
        <f>+'Raw data'!O391</f>
        <v>27</v>
      </c>
      <c r="X179">
        <f>+'Raw data'!P391</f>
        <v>91</v>
      </c>
      <c r="Y179">
        <f>+'Raw data'!Q391</f>
        <v>2.0099999999999998</v>
      </c>
    </row>
    <row r="180" spans="1:25" x14ac:dyDescent="0.25">
      <c r="A180">
        <v>2025</v>
      </c>
      <c r="B180" t="s">
        <v>57</v>
      </c>
      <c r="C180">
        <f t="shared" si="9"/>
        <v>8</v>
      </c>
      <c r="D180">
        <f t="shared" si="7"/>
        <v>90</v>
      </c>
      <c r="E180" t="str">
        <f>+'Raw data'!A351</f>
        <v>Paralouistas</v>
      </c>
      <c r="F180" t="str">
        <f>VLOOKUP(E180,Data!$E$2626:$F$2645,2,FALSE)</f>
        <v>Panos</v>
      </c>
      <c r="H180">
        <f>+'Raw data'!A392</f>
        <v>10</v>
      </c>
      <c r="I180">
        <f>+'Raw data'!B392</f>
        <v>2</v>
      </c>
      <c r="J180">
        <f>+'Raw data'!C392</f>
        <v>1</v>
      </c>
      <c r="M180">
        <f>+'Raw data'!E392</f>
        <v>215</v>
      </c>
      <c r="N180">
        <f>+'Raw data'!F392</f>
        <v>0.498</v>
      </c>
      <c r="O180">
        <f>+'Raw data'!G392</f>
        <v>72</v>
      </c>
      <c r="P180">
        <f>+'Raw data'!H392</f>
        <v>0.42899999999999999</v>
      </c>
      <c r="Q180">
        <f>+'Raw data'!I392</f>
        <v>0.753</v>
      </c>
      <c r="R180">
        <f>+'Raw data'!J392</f>
        <v>560</v>
      </c>
      <c r="S180">
        <f>+'Raw data'!K392</f>
        <v>46</v>
      </c>
      <c r="T180">
        <f>+'Raw data'!L392</f>
        <v>142</v>
      </c>
      <c r="U180">
        <f>+'Raw data'!M392</f>
        <v>146</v>
      </c>
      <c r="V180">
        <f>+'Raw data'!N392</f>
        <v>36</v>
      </c>
      <c r="W180">
        <f>+'Raw data'!O392</f>
        <v>23</v>
      </c>
      <c r="X180">
        <f>+'Raw data'!P392</f>
        <v>75</v>
      </c>
      <c r="Y180">
        <f>+'Raw data'!Q392</f>
        <v>1.95</v>
      </c>
    </row>
    <row r="181" spans="1:25" x14ac:dyDescent="0.25">
      <c r="A181">
        <v>2025</v>
      </c>
      <c r="B181" t="s">
        <v>57</v>
      </c>
      <c r="C181">
        <f t="shared" si="9"/>
        <v>8</v>
      </c>
      <c r="D181">
        <f t="shared" si="7"/>
        <v>90</v>
      </c>
      <c r="E181" t="str">
        <f>+'Raw data'!A352</f>
        <v>st.Helens Eruptions</v>
      </c>
      <c r="F181" t="str">
        <f>VLOOKUP(E181,Data!$E$2626:$F$2645,2,FALSE)</f>
        <v>Aris</v>
      </c>
      <c r="H181">
        <f>+'Raw data'!A393</f>
        <v>2</v>
      </c>
      <c r="I181">
        <f>+'Raw data'!B393</f>
        <v>10</v>
      </c>
      <c r="J181">
        <f>+'Raw data'!C393</f>
        <v>1</v>
      </c>
      <c r="M181">
        <f>+'Raw data'!E393</f>
        <v>196</v>
      </c>
      <c r="N181">
        <f>+'Raw data'!F393</f>
        <v>0.46800000000000003</v>
      </c>
      <c r="O181">
        <f>+'Raw data'!G393</f>
        <v>58</v>
      </c>
      <c r="P181">
        <f>+'Raw data'!H393</f>
        <v>0.32800000000000001</v>
      </c>
      <c r="Q181">
        <f>+'Raw data'!I393</f>
        <v>0.73699999999999999</v>
      </c>
      <c r="R181">
        <f>+'Raw data'!J393</f>
        <v>520</v>
      </c>
      <c r="S181">
        <f>+'Raw data'!K393</f>
        <v>41</v>
      </c>
      <c r="T181">
        <f>+'Raw data'!L393</f>
        <v>166</v>
      </c>
      <c r="U181">
        <f>+'Raw data'!M393</f>
        <v>125</v>
      </c>
      <c r="V181">
        <f>+'Raw data'!N393</f>
        <v>36</v>
      </c>
      <c r="W181">
        <f>+'Raw data'!O393</f>
        <v>20</v>
      </c>
      <c r="X181">
        <f>+'Raw data'!P393</f>
        <v>65</v>
      </c>
      <c r="Y181">
        <f>+'Raw data'!Q393</f>
        <v>1.92</v>
      </c>
    </row>
    <row r="182" spans="1:25" x14ac:dyDescent="0.25">
      <c r="A182">
        <v>2025</v>
      </c>
      <c r="B182" t="s">
        <v>57</v>
      </c>
      <c r="C182">
        <f>+C161+1</f>
        <v>9</v>
      </c>
      <c r="D182">
        <f>+D160+1</f>
        <v>81</v>
      </c>
      <c r="E182" t="str">
        <f>+'Raw data'!A397</f>
        <v>st.Helens Eruptions</v>
      </c>
      <c r="F182" t="str">
        <f>VLOOKUP(E182,Data!$E$2626:$F$2645,2,FALSE)</f>
        <v>Aris</v>
      </c>
      <c r="H182">
        <f>+'Raw data'!A418</f>
        <v>4</v>
      </c>
      <c r="I182">
        <f>+'Raw data'!B418</f>
        <v>9</v>
      </c>
      <c r="J182">
        <f>+'Raw data'!C418</f>
        <v>0</v>
      </c>
      <c r="M182">
        <f>+'Raw data'!E418</f>
        <v>145</v>
      </c>
      <c r="N182">
        <f>+'Raw data'!F418</f>
        <v>0.48799999999999999</v>
      </c>
      <c r="O182">
        <f>+'Raw data'!G418</f>
        <v>22</v>
      </c>
      <c r="P182">
        <f>+'Raw data'!H418</f>
        <v>0.23899999999999999</v>
      </c>
      <c r="Q182">
        <f>+'Raw data'!I418</f>
        <v>0.78700000000000003</v>
      </c>
      <c r="R182">
        <f>+'Raw data'!J418</f>
        <v>382</v>
      </c>
      <c r="S182">
        <f>+'Raw data'!K418</f>
        <v>41</v>
      </c>
      <c r="T182">
        <f>+'Raw data'!L418</f>
        <v>105</v>
      </c>
      <c r="U182">
        <f>+'Raw data'!M418</f>
        <v>64</v>
      </c>
      <c r="V182">
        <f>+'Raw data'!N418</f>
        <v>25</v>
      </c>
      <c r="W182">
        <f>+'Raw data'!O418</f>
        <v>15</v>
      </c>
      <c r="X182">
        <f>+'Raw data'!P418</f>
        <v>45</v>
      </c>
      <c r="Y182">
        <f>+'Raw data'!Q418</f>
        <v>1.42</v>
      </c>
    </row>
    <row r="183" spans="1:25" x14ac:dyDescent="0.25">
      <c r="A183">
        <v>2025</v>
      </c>
      <c r="B183" t="s">
        <v>57</v>
      </c>
      <c r="C183">
        <f>+C182</f>
        <v>9</v>
      </c>
      <c r="D183">
        <f>+D161+1</f>
        <v>81</v>
      </c>
      <c r="E183" t="str">
        <f>+'Raw data'!A398</f>
        <v>LRBP PR3DATORS</v>
      </c>
      <c r="F183" t="str">
        <f>VLOOKUP(E183,Data!$E$2626:$F$2645,2,FALSE)</f>
        <v>Lafa</v>
      </c>
      <c r="H183">
        <f>+'Raw data'!A419</f>
        <v>9</v>
      </c>
      <c r="I183">
        <f>+'Raw data'!B419</f>
        <v>4</v>
      </c>
      <c r="J183">
        <f>+'Raw data'!C419</f>
        <v>0</v>
      </c>
      <c r="M183">
        <f>+'Raw data'!E419</f>
        <v>181</v>
      </c>
      <c r="N183">
        <f>+'Raw data'!F419</f>
        <v>0.45500000000000002</v>
      </c>
      <c r="O183">
        <f>+'Raw data'!G419</f>
        <v>37</v>
      </c>
      <c r="P183">
        <f>+'Raw data'!H419</f>
        <v>0.30599999999999999</v>
      </c>
      <c r="Q183">
        <f>+'Raw data'!I419</f>
        <v>0.69899999999999995</v>
      </c>
      <c r="R183">
        <f>+'Raw data'!J419</f>
        <v>501</v>
      </c>
      <c r="S183">
        <f>+'Raw data'!K419</f>
        <v>36</v>
      </c>
      <c r="T183">
        <f>+'Raw data'!L419</f>
        <v>145</v>
      </c>
      <c r="U183">
        <f>+'Raw data'!M419</f>
        <v>118</v>
      </c>
      <c r="V183">
        <f>+'Raw data'!N419</f>
        <v>27</v>
      </c>
      <c r="W183">
        <f>+'Raw data'!O419</f>
        <v>30</v>
      </c>
      <c r="X183">
        <f>+'Raw data'!P419</f>
        <v>70</v>
      </c>
      <c r="Y183">
        <f>+'Raw data'!Q419</f>
        <v>1.69</v>
      </c>
    </row>
    <row r="184" spans="1:25" x14ac:dyDescent="0.25">
      <c r="A184">
        <v>2025</v>
      </c>
      <c r="B184" t="s">
        <v>57</v>
      </c>
      <c r="C184">
        <f>+C183</f>
        <v>9</v>
      </c>
      <c r="D184">
        <f t="shared" si="7"/>
        <v>82</v>
      </c>
      <c r="E184" t="str">
        <f>+'Raw data'!A399</f>
        <v>Paralouistas</v>
      </c>
      <c r="F184" t="str">
        <f>VLOOKUP(E184,Data!$E$2626:$F$2645,2,FALSE)</f>
        <v>Panos</v>
      </c>
      <c r="H184">
        <f>+'Raw data'!A420</f>
        <v>7</v>
      </c>
      <c r="I184">
        <f>+'Raw data'!B420</f>
        <v>6</v>
      </c>
      <c r="J184">
        <f>+'Raw data'!C420</f>
        <v>0</v>
      </c>
      <c r="M184">
        <f>+'Raw data'!E420</f>
        <v>155</v>
      </c>
      <c r="N184">
        <f>+'Raw data'!F420</f>
        <v>0.46300000000000002</v>
      </c>
      <c r="O184">
        <f>+'Raw data'!G420</f>
        <v>47</v>
      </c>
      <c r="P184">
        <f>+'Raw data'!H420</f>
        <v>0.33100000000000002</v>
      </c>
      <c r="Q184">
        <f>+'Raw data'!I420</f>
        <v>0.74299999999999999</v>
      </c>
      <c r="R184">
        <f>+'Raw data'!J420</f>
        <v>412</v>
      </c>
      <c r="S184">
        <f>+'Raw data'!K420</f>
        <v>30</v>
      </c>
      <c r="T184">
        <f>+'Raw data'!L420</f>
        <v>100</v>
      </c>
      <c r="U184">
        <f>+'Raw data'!M420</f>
        <v>130</v>
      </c>
      <c r="V184">
        <f>+'Raw data'!N420</f>
        <v>34</v>
      </c>
      <c r="W184">
        <f>+'Raw data'!O420</f>
        <v>20</v>
      </c>
      <c r="X184">
        <f>+'Raw data'!P420</f>
        <v>65</v>
      </c>
      <c r="Y184">
        <f>+'Raw data'!Q420</f>
        <v>2</v>
      </c>
    </row>
    <row r="185" spans="1:25" x14ac:dyDescent="0.25">
      <c r="A185">
        <v>2025</v>
      </c>
      <c r="B185" t="s">
        <v>57</v>
      </c>
      <c r="C185">
        <f>+C184</f>
        <v>9</v>
      </c>
      <c r="D185">
        <f t="shared" si="7"/>
        <v>82</v>
      </c>
      <c r="E185" t="str">
        <f>+'Raw data'!A400</f>
        <v>Pachiana NinjaBees</v>
      </c>
      <c r="F185" t="str">
        <f>VLOOKUP(E185,Data!$E$2626:$F$2645,2,FALSE)</f>
        <v>Spiridaus/Oladipas</v>
      </c>
      <c r="H185">
        <f>+'Raw data'!A421</f>
        <v>6</v>
      </c>
      <c r="I185">
        <f>+'Raw data'!B421</f>
        <v>7</v>
      </c>
      <c r="J185">
        <f>+'Raw data'!C421</f>
        <v>0</v>
      </c>
      <c r="M185">
        <f>+'Raw data'!E421</f>
        <v>154</v>
      </c>
      <c r="N185">
        <f>+'Raw data'!F421</f>
        <v>0.51</v>
      </c>
      <c r="O185">
        <f>+'Raw data'!G421</f>
        <v>40</v>
      </c>
      <c r="P185">
        <f>+'Raw data'!H421</f>
        <v>0.377</v>
      </c>
      <c r="Q185">
        <f>+'Raw data'!I421</f>
        <v>0.71099999999999997</v>
      </c>
      <c r="R185">
        <f>+'Raw data'!J421</f>
        <v>402</v>
      </c>
      <c r="S185">
        <f>+'Raw data'!K421</f>
        <v>57</v>
      </c>
      <c r="T185">
        <f>+'Raw data'!L421</f>
        <v>121</v>
      </c>
      <c r="U185">
        <f>+'Raw data'!M421</f>
        <v>95</v>
      </c>
      <c r="V185">
        <f>+'Raw data'!N421</f>
        <v>19</v>
      </c>
      <c r="W185">
        <f>+'Raw data'!O421</f>
        <v>18</v>
      </c>
      <c r="X185">
        <f>+'Raw data'!P421</f>
        <v>46</v>
      </c>
      <c r="Y185">
        <f>+'Raw data'!Q421</f>
        <v>2.0699999999999998</v>
      </c>
    </row>
    <row r="186" spans="1:25" x14ac:dyDescent="0.25">
      <c r="A186">
        <v>2025</v>
      </c>
      <c r="B186" t="s">
        <v>57</v>
      </c>
      <c r="C186">
        <f t="shared" ref="C186:C201" si="10">+C185</f>
        <v>9</v>
      </c>
      <c r="D186">
        <f t="shared" si="7"/>
        <v>83</v>
      </c>
      <c r="E186" t="str">
        <f>+'Raw data'!A401</f>
        <v>Steven Adams' Moustache</v>
      </c>
      <c r="F186" t="str">
        <f>VLOOKUP(E186,Data!$E$2626:$F$2645,2,FALSE)</f>
        <v>Johnny</v>
      </c>
      <c r="H186">
        <f>+'Raw data'!A422</f>
        <v>4</v>
      </c>
      <c r="I186">
        <f>+'Raw data'!B422</f>
        <v>9</v>
      </c>
      <c r="J186">
        <f>+'Raw data'!C422</f>
        <v>0</v>
      </c>
      <c r="M186">
        <f>+'Raw data'!E422</f>
        <v>125</v>
      </c>
      <c r="N186">
        <f>+'Raw data'!F422</f>
        <v>0.48799999999999999</v>
      </c>
      <c r="O186">
        <f>+'Raw data'!G422</f>
        <v>58</v>
      </c>
      <c r="P186">
        <f>+'Raw data'!H422</f>
        <v>0.42599999999999999</v>
      </c>
      <c r="Q186">
        <f>+'Raw data'!I422</f>
        <v>0.85899999999999999</v>
      </c>
      <c r="R186">
        <f>+'Raw data'!J422</f>
        <v>381</v>
      </c>
      <c r="S186">
        <f>+'Raw data'!K422</f>
        <v>15</v>
      </c>
      <c r="T186">
        <f>+'Raw data'!L422</f>
        <v>72</v>
      </c>
      <c r="U186">
        <f>+'Raw data'!M422</f>
        <v>54</v>
      </c>
      <c r="V186">
        <f>+'Raw data'!N422</f>
        <v>21</v>
      </c>
      <c r="W186">
        <f>+'Raw data'!O422</f>
        <v>13</v>
      </c>
      <c r="X186">
        <f>+'Raw data'!P422</f>
        <v>34</v>
      </c>
      <c r="Y186">
        <f>+'Raw data'!Q422</f>
        <v>1.59</v>
      </c>
    </row>
    <row r="187" spans="1:25" x14ac:dyDescent="0.25">
      <c r="A187">
        <v>2025</v>
      </c>
      <c r="B187" t="s">
        <v>57</v>
      </c>
      <c r="C187">
        <f t="shared" si="10"/>
        <v>9</v>
      </c>
      <c r="D187">
        <f t="shared" si="7"/>
        <v>83</v>
      </c>
      <c r="E187" t="str">
        <f>+'Raw data'!A402</f>
        <v>Karafli Saita</v>
      </c>
      <c r="F187" t="str">
        <f>VLOOKUP(E187,Data!$E$2626:$F$2645,2,FALSE)</f>
        <v>Tassos</v>
      </c>
      <c r="H187">
        <f>+'Raw data'!A423</f>
        <v>9</v>
      </c>
      <c r="I187">
        <f>+'Raw data'!B423</f>
        <v>4</v>
      </c>
      <c r="J187">
        <f>+'Raw data'!C423</f>
        <v>0</v>
      </c>
      <c r="M187">
        <f>+'Raw data'!E423</f>
        <v>270</v>
      </c>
      <c r="N187">
        <f>+'Raw data'!F423</f>
        <v>0.47399999999999998</v>
      </c>
      <c r="O187">
        <f>+'Raw data'!G423</f>
        <v>81</v>
      </c>
      <c r="P187">
        <f>+'Raw data'!H423</f>
        <v>0.38600000000000001</v>
      </c>
      <c r="Q187">
        <f>+'Raw data'!I423</f>
        <v>0.76900000000000002</v>
      </c>
      <c r="R187">
        <f>+'Raw data'!J423</f>
        <v>724</v>
      </c>
      <c r="S187">
        <f>+'Raw data'!K423</f>
        <v>31</v>
      </c>
      <c r="T187">
        <f>+'Raw data'!L423</f>
        <v>161</v>
      </c>
      <c r="U187">
        <f>+'Raw data'!M423</f>
        <v>191</v>
      </c>
      <c r="V187">
        <f>+'Raw data'!N423</f>
        <v>44</v>
      </c>
      <c r="W187">
        <f>+'Raw data'!O423</f>
        <v>23</v>
      </c>
      <c r="X187">
        <f>+'Raw data'!P423</f>
        <v>100</v>
      </c>
      <c r="Y187">
        <f>+'Raw data'!Q423</f>
        <v>1.91</v>
      </c>
    </row>
    <row r="188" spans="1:25" x14ac:dyDescent="0.25">
      <c r="A188">
        <v>2025</v>
      </c>
      <c r="B188" t="s">
        <v>57</v>
      </c>
      <c r="C188">
        <f t="shared" si="10"/>
        <v>9</v>
      </c>
      <c r="D188">
        <f t="shared" si="7"/>
        <v>84</v>
      </c>
      <c r="E188" t="str">
        <f>+'Raw data'!A403</f>
        <v>Salonika Devils</v>
      </c>
      <c r="F188" t="str">
        <f>VLOOKUP(E188,Data!$E$2626:$F$2645,2,FALSE)</f>
        <v>Fountos</v>
      </c>
      <c r="H188">
        <f>+'Raw data'!A424</f>
        <v>5</v>
      </c>
      <c r="I188">
        <f>+'Raw data'!B424</f>
        <v>8</v>
      </c>
      <c r="J188">
        <f>+'Raw data'!C424</f>
        <v>0</v>
      </c>
      <c r="M188">
        <f>+'Raw data'!E424</f>
        <v>139</v>
      </c>
      <c r="N188">
        <f>+'Raw data'!F424</f>
        <v>0.50900000000000001</v>
      </c>
      <c r="O188">
        <f>+'Raw data'!G424</f>
        <v>47</v>
      </c>
      <c r="P188">
        <f>+'Raw data'!H424</f>
        <v>0.39800000000000002</v>
      </c>
      <c r="Q188">
        <f>+'Raw data'!I424</f>
        <v>0.72499999999999998</v>
      </c>
      <c r="R188">
        <f>+'Raw data'!J424</f>
        <v>375</v>
      </c>
      <c r="S188">
        <f>+'Raw data'!K424</f>
        <v>45</v>
      </c>
      <c r="T188">
        <f>+'Raw data'!L424</f>
        <v>99</v>
      </c>
      <c r="U188">
        <f>+'Raw data'!M424</f>
        <v>70</v>
      </c>
      <c r="V188">
        <f>+'Raw data'!N424</f>
        <v>26</v>
      </c>
      <c r="W188">
        <f>+'Raw data'!O424</f>
        <v>22</v>
      </c>
      <c r="X188">
        <f>+'Raw data'!P424</f>
        <v>30</v>
      </c>
      <c r="Y188">
        <f>+'Raw data'!Q424</f>
        <v>2.33</v>
      </c>
    </row>
    <row r="189" spans="1:25" x14ac:dyDescent="0.25">
      <c r="A189">
        <v>2025</v>
      </c>
      <c r="B189" t="s">
        <v>57</v>
      </c>
      <c r="C189">
        <f t="shared" si="10"/>
        <v>9</v>
      </c>
      <c r="D189">
        <f t="shared" si="7"/>
        <v>84</v>
      </c>
      <c r="E189" t="str">
        <f>+'Raw data'!A404</f>
        <v>Fighting Thaddeus</v>
      </c>
      <c r="F189" t="str">
        <f>VLOOKUP(E189,Data!$E$2626:$F$2645,2,FALSE)</f>
        <v>Stavros</v>
      </c>
      <c r="H189">
        <f>+'Raw data'!A425</f>
        <v>8</v>
      </c>
      <c r="I189">
        <f>+'Raw data'!B425</f>
        <v>5</v>
      </c>
      <c r="J189">
        <f>+'Raw data'!C425</f>
        <v>0</v>
      </c>
      <c r="M189">
        <f>+'Raw data'!E425</f>
        <v>175</v>
      </c>
      <c r="N189">
        <f>+'Raw data'!F425</f>
        <v>0.51500000000000001</v>
      </c>
      <c r="O189">
        <f>+'Raw data'!G425</f>
        <v>44</v>
      </c>
      <c r="P189">
        <f>+'Raw data'!H425</f>
        <v>0.38600000000000001</v>
      </c>
      <c r="Q189">
        <f>+'Raw data'!I425</f>
        <v>0.89500000000000002</v>
      </c>
      <c r="R189">
        <f>+'Raw data'!J425</f>
        <v>488</v>
      </c>
      <c r="S189">
        <f>+'Raw data'!K425</f>
        <v>29</v>
      </c>
      <c r="T189">
        <f>+'Raw data'!L425</f>
        <v>104</v>
      </c>
      <c r="U189">
        <f>+'Raw data'!M425</f>
        <v>120</v>
      </c>
      <c r="V189">
        <f>+'Raw data'!N425</f>
        <v>22</v>
      </c>
      <c r="W189">
        <f>+'Raw data'!O425</f>
        <v>23</v>
      </c>
      <c r="X189">
        <f>+'Raw data'!P425</f>
        <v>50</v>
      </c>
      <c r="Y189">
        <f>+'Raw data'!Q425</f>
        <v>2.4</v>
      </c>
    </row>
    <row r="190" spans="1:25" x14ac:dyDescent="0.25">
      <c r="A190">
        <v>2025</v>
      </c>
      <c r="B190" t="s">
        <v>57</v>
      </c>
      <c r="C190">
        <f t="shared" si="10"/>
        <v>9</v>
      </c>
      <c r="D190">
        <f t="shared" si="7"/>
        <v>85</v>
      </c>
      <c r="E190" t="str">
        <f>+'Raw data'!A405</f>
        <v>Samarina Dudenbros</v>
      </c>
      <c r="F190" t="str">
        <f>VLOOKUP(E190,Data!$E$2626:$F$2645,2,FALSE)</f>
        <v>Sakellariou</v>
      </c>
      <c r="H190">
        <f>+'Raw data'!A426</f>
        <v>11</v>
      </c>
      <c r="I190">
        <f>+'Raw data'!B426</f>
        <v>2</v>
      </c>
      <c r="J190">
        <f>+'Raw data'!C426</f>
        <v>0</v>
      </c>
      <c r="M190">
        <f>+'Raw data'!E426</f>
        <v>192</v>
      </c>
      <c r="N190">
        <f>+'Raw data'!F426</f>
        <v>0.50900000000000001</v>
      </c>
      <c r="O190">
        <f>+'Raw data'!G426</f>
        <v>54</v>
      </c>
      <c r="P190">
        <f>+'Raw data'!H426</f>
        <v>0.39700000000000002</v>
      </c>
      <c r="Q190">
        <f>+'Raw data'!I426</f>
        <v>0.87</v>
      </c>
      <c r="R190">
        <f>+'Raw data'!J426</f>
        <v>565</v>
      </c>
      <c r="S190">
        <f>+'Raw data'!K426</f>
        <v>41</v>
      </c>
      <c r="T190">
        <f>+'Raw data'!L426</f>
        <v>105</v>
      </c>
      <c r="U190">
        <f>+'Raw data'!M426</f>
        <v>118</v>
      </c>
      <c r="V190">
        <f>+'Raw data'!N426</f>
        <v>38</v>
      </c>
      <c r="W190">
        <f>+'Raw data'!O426</f>
        <v>16</v>
      </c>
      <c r="X190">
        <f>+'Raw data'!P426</f>
        <v>47</v>
      </c>
      <c r="Y190">
        <f>+'Raw data'!Q426</f>
        <v>2.5099999999999998</v>
      </c>
    </row>
    <row r="191" spans="1:25" x14ac:dyDescent="0.25">
      <c r="A191">
        <v>2025</v>
      </c>
      <c r="B191" t="s">
        <v>57</v>
      </c>
      <c r="C191">
        <f t="shared" si="10"/>
        <v>9</v>
      </c>
      <c r="D191">
        <f t="shared" si="7"/>
        <v>85</v>
      </c>
      <c r="E191" t="str">
        <f>+'Raw data'!A406</f>
        <v>Hércules Pals</v>
      </c>
      <c r="F191" t="e">
        <f>VLOOKUP(E191,Data!$E$2626:$F$2645,2,FALSE)</f>
        <v>#N/A</v>
      </c>
      <c r="H191">
        <f>+'Raw data'!A427</f>
        <v>2</v>
      </c>
      <c r="I191">
        <f>+'Raw data'!B427</f>
        <v>11</v>
      </c>
      <c r="J191">
        <f>+'Raw data'!C427</f>
        <v>0</v>
      </c>
      <c r="M191">
        <f>+'Raw data'!E427</f>
        <v>118</v>
      </c>
      <c r="N191">
        <f>+'Raw data'!F427</f>
        <v>0.47</v>
      </c>
      <c r="O191">
        <f>+'Raw data'!G427</f>
        <v>48</v>
      </c>
      <c r="P191">
        <f>+'Raw data'!H427</f>
        <v>0.38400000000000001</v>
      </c>
      <c r="Q191">
        <f>+'Raw data'!I427</f>
        <v>0.68</v>
      </c>
      <c r="R191">
        <f>+'Raw data'!J427</f>
        <v>318</v>
      </c>
      <c r="S191">
        <f>+'Raw data'!K427</f>
        <v>61</v>
      </c>
      <c r="T191">
        <f>+'Raw data'!L427</f>
        <v>101</v>
      </c>
      <c r="U191">
        <f>+'Raw data'!M427</f>
        <v>62</v>
      </c>
      <c r="V191">
        <f>+'Raw data'!N427</f>
        <v>22</v>
      </c>
      <c r="W191">
        <f>+'Raw data'!O427</f>
        <v>10</v>
      </c>
      <c r="X191">
        <f>+'Raw data'!P427</f>
        <v>45</v>
      </c>
      <c r="Y191">
        <f>+'Raw data'!Q427</f>
        <v>1.38</v>
      </c>
    </row>
    <row r="192" spans="1:25" x14ac:dyDescent="0.25">
      <c r="A192">
        <v>2025</v>
      </c>
      <c r="B192" t="s">
        <v>57</v>
      </c>
      <c r="C192">
        <f t="shared" si="10"/>
        <v>9</v>
      </c>
      <c r="D192">
        <f t="shared" si="7"/>
        <v>86</v>
      </c>
      <c r="E192" t="str">
        <f>+'Raw data'!A407</f>
        <v>The Bad Boys</v>
      </c>
      <c r="F192" t="str">
        <f>VLOOKUP(E192,Data!$E$2626:$F$2645,2,FALSE)</f>
        <v>Arvanitis</v>
      </c>
      <c r="H192">
        <f>+'Raw data'!A428</f>
        <v>9</v>
      </c>
      <c r="I192">
        <f>+'Raw data'!B428</f>
        <v>4</v>
      </c>
      <c r="J192">
        <f>+'Raw data'!C428</f>
        <v>0</v>
      </c>
      <c r="M192">
        <f>+'Raw data'!E428</f>
        <v>205</v>
      </c>
      <c r="N192">
        <f>+'Raw data'!F428</f>
        <v>0.51</v>
      </c>
      <c r="O192">
        <f>+'Raw data'!G428</f>
        <v>51</v>
      </c>
      <c r="P192">
        <f>+'Raw data'!H428</f>
        <v>0.38900000000000001</v>
      </c>
      <c r="Q192">
        <f>+'Raw data'!I428</f>
        <v>0.746</v>
      </c>
      <c r="R192">
        <f>+'Raw data'!J428</f>
        <v>549</v>
      </c>
      <c r="S192">
        <f>+'Raw data'!K428</f>
        <v>59</v>
      </c>
      <c r="T192">
        <f>+'Raw data'!L428</f>
        <v>116</v>
      </c>
      <c r="U192">
        <f>+'Raw data'!M428</f>
        <v>119</v>
      </c>
      <c r="V192">
        <f>+'Raw data'!N428</f>
        <v>38</v>
      </c>
      <c r="W192">
        <f>+'Raw data'!O428</f>
        <v>26</v>
      </c>
      <c r="X192">
        <f>+'Raw data'!P428</f>
        <v>62</v>
      </c>
      <c r="Y192">
        <f>+'Raw data'!Q428</f>
        <v>1.92</v>
      </c>
    </row>
    <row r="193" spans="1:25" x14ac:dyDescent="0.25">
      <c r="A193">
        <v>2025</v>
      </c>
      <c r="B193" t="s">
        <v>57</v>
      </c>
      <c r="C193">
        <f t="shared" si="10"/>
        <v>9</v>
      </c>
      <c r="D193">
        <f t="shared" si="7"/>
        <v>86</v>
      </c>
      <c r="E193" t="str">
        <f>+'Raw data'!A408</f>
        <v>Tsarlatans</v>
      </c>
      <c r="F193" t="str">
        <f>VLOOKUP(E193,Data!$E$2626:$F$2645,2,FALSE)</f>
        <v>Tzokos</v>
      </c>
      <c r="H193">
        <f>+'Raw data'!A429</f>
        <v>4</v>
      </c>
      <c r="I193">
        <f>+'Raw data'!B429</f>
        <v>9</v>
      </c>
      <c r="J193">
        <f>+'Raw data'!C429</f>
        <v>0</v>
      </c>
      <c r="M193">
        <f>+'Raw data'!E429</f>
        <v>173</v>
      </c>
      <c r="N193">
        <f>+'Raw data'!F429</f>
        <v>0.48199999999999998</v>
      </c>
      <c r="O193">
        <f>+'Raw data'!G429</f>
        <v>39</v>
      </c>
      <c r="P193">
        <f>+'Raw data'!H429</f>
        <v>0.34499999999999997</v>
      </c>
      <c r="Q193">
        <f>+'Raw data'!I429</f>
        <v>0.80700000000000005</v>
      </c>
      <c r="R193">
        <f>+'Raw data'!J429</f>
        <v>452</v>
      </c>
      <c r="S193">
        <f>+'Raw data'!K429</f>
        <v>60</v>
      </c>
      <c r="T193">
        <f>+'Raw data'!L429</f>
        <v>148</v>
      </c>
      <c r="U193">
        <f>+'Raw data'!M429</f>
        <v>114</v>
      </c>
      <c r="V193">
        <f>+'Raw data'!N429</f>
        <v>35</v>
      </c>
      <c r="W193">
        <f>+'Raw data'!O429</f>
        <v>25</v>
      </c>
      <c r="X193">
        <f>+'Raw data'!P429</f>
        <v>60</v>
      </c>
      <c r="Y193">
        <f>+'Raw data'!Q429</f>
        <v>1.9</v>
      </c>
    </row>
    <row r="194" spans="1:25" x14ac:dyDescent="0.25">
      <c r="A194">
        <v>2025</v>
      </c>
      <c r="B194" t="s">
        <v>57</v>
      </c>
      <c r="C194">
        <f t="shared" si="10"/>
        <v>9</v>
      </c>
      <c r="D194">
        <f t="shared" si="7"/>
        <v>87</v>
      </c>
      <c r="E194" t="str">
        <f>+'Raw data'!A409</f>
        <v>purple fuzzy apache pirates</v>
      </c>
      <c r="F194" t="str">
        <f>VLOOKUP(E194,Data!$E$2626:$F$2645,2,FALSE)</f>
        <v>pi/Sotiris</v>
      </c>
      <c r="H194">
        <f>+'Raw data'!A430</f>
        <v>8</v>
      </c>
      <c r="I194">
        <f>+'Raw data'!B430</f>
        <v>5</v>
      </c>
      <c r="J194">
        <f>+'Raw data'!C430</f>
        <v>0</v>
      </c>
      <c r="M194">
        <f>+'Raw data'!E430</f>
        <v>186</v>
      </c>
      <c r="N194">
        <f>+'Raw data'!F430</f>
        <v>0.505</v>
      </c>
      <c r="O194">
        <f>+'Raw data'!G430</f>
        <v>49</v>
      </c>
      <c r="P194">
        <f>+'Raw data'!H430</f>
        <v>0.38300000000000001</v>
      </c>
      <c r="Q194">
        <f>+'Raw data'!I430</f>
        <v>0.872</v>
      </c>
      <c r="R194">
        <f>+'Raw data'!J430</f>
        <v>530</v>
      </c>
      <c r="S194">
        <f>+'Raw data'!K430</f>
        <v>49</v>
      </c>
      <c r="T194">
        <f>+'Raw data'!L430</f>
        <v>155</v>
      </c>
      <c r="U194">
        <f>+'Raw data'!M430</f>
        <v>155</v>
      </c>
      <c r="V194">
        <f>+'Raw data'!N430</f>
        <v>24</v>
      </c>
      <c r="W194">
        <f>+'Raw data'!O430</f>
        <v>14</v>
      </c>
      <c r="X194">
        <f>+'Raw data'!P430</f>
        <v>76</v>
      </c>
      <c r="Y194">
        <f>+'Raw data'!Q430</f>
        <v>2.04</v>
      </c>
    </row>
    <row r="195" spans="1:25" x14ac:dyDescent="0.25">
      <c r="A195">
        <v>2025</v>
      </c>
      <c r="B195" t="s">
        <v>57</v>
      </c>
      <c r="C195">
        <f t="shared" si="10"/>
        <v>9</v>
      </c>
      <c r="D195">
        <f t="shared" si="7"/>
        <v>87</v>
      </c>
      <c r="E195" t="str">
        <f>+'Raw data'!A410</f>
        <v>The Guns</v>
      </c>
      <c r="F195" t="str">
        <f>VLOOKUP(E195,Data!$E$2626:$F$2645,2,FALSE)</f>
        <v>Vasilis</v>
      </c>
      <c r="H195">
        <f>+'Raw data'!A431</f>
        <v>5</v>
      </c>
      <c r="I195">
        <f>+'Raw data'!B431</f>
        <v>8</v>
      </c>
      <c r="J195">
        <f>+'Raw data'!C431</f>
        <v>0</v>
      </c>
      <c r="M195">
        <f>+'Raw data'!E431</f>
        <v>176</v>
      </c>
      <c r="N195">
        <f>+'Raw data'!F431</f>
        <v>0.499</v>
      </c>
      <c r="O195">
        <f>+'Raw data'!G431</f>
        <v>58</v>
      </c>
      <c r="P195">
        <f>+'Raw data'!H431</f>
        <v>0.41099999999999998</v>
      </c>
      <c r="Q195">
        <f>+'Raw data'!I431</f>
        <v>0.79300000000000004</v>
      </c>
      <c r="R195">
        <f>+'Raw data'!J431</f>
        <v>475</v>
      </c>
      <c r="S195">
        <f>+'Raw data'!K431</f>
        <v>25</v>
      </c>
      <c r="T195">
        <f>+'Raw data'!L431</f>
        <v>109</v>
      </c>
      <c r="U195">
        <f>+'Raw data'!M431</f>
        <v>91</v>
      </c>
      <c r="V195">
        <f>+'Raw data'!N431</f>
        <v>44</v>
      </c>
      <c r="W195">
        <f>+'Raw data'!O431</f>
        <v>13</v>
      </c>
      <c r="X195">
        <f>+'Raw data'!P431</f>
        <v>42</v>
      </c>
      <c r="Y195">
        <f>+'Raw data'!Q431</f>
        <v>2.17</v>
      </c>
    </row>
    <row r="196" spans="1:25" x14ac:dyDescent="0.25">
      <c r="A196">
        <v>2025</v>
      </c>
      <c r="B196" t="s">
        <v>57</v>
      </c>
      <c r="C196">
        <f t="shared" si="10"/>
        <v>9</v>
      </c>
      <c r="D196">
        <f t="shared" si="7"/>
        <v>88</v>
      </c>
      <c r="E196" t="str">
        <f>+'Raw data'!A411</f>
        <v>Knights of Ni</v>
      </c>
      <c r="F196" t="str">
        <f>VLOOKUP(E196,Data!$E$2626:$F$2645,2,FALSE)</f>
        <v>Tolios</v>
      </c>
      <c r="H196">
        <f>+'Raw data'!A432</f>
        <v>8</v>
      </c>
      <c r="I196">
        <f>+'Raw data'!B432</f>
        <v>5</v>
      </c>
      <c r="J196">
        <f>+'Raw data'!C432</f>
        <v>0</v>
      </c>
      <c r="M196">
        <f>+'Raw data'!E432</f>
        <v>146</v>
      </c>
      <c r="N196">
        <f>+'Raw data'!F432</f>
        <v>0.47399999999999998</v>
      </c>
      <c r="O196">
        <f>+'Raw data'!G432</f>
        <v>36</v>
      </c>
      <c r="P196">
        <f>+'Raw data'!H432</f>
        <v>0.36699999999999999</v>
      </c>
      <c r="Q196">
        <f>+'Raw data'!I432</f>
        <v>0.81599999999999995</v>
      </c>
      <c r="R196">
        <f>+'Raw data'!J432</f>
        <v>421</v>
      </c>
      <c r="S196">
        <f>+'Raw data'!K432</f>
        <v>56</v>
      </c>
      <c r="T196">
        <f>+'Raw data'!L432</f>
        <v>105</v>
      </c>
      <c r="U196">
        <f>+'Raw data'!M432</f>
        <v>76</v>
      </c>
      <c r="V196">
        <f>+'Raw data'!N432</f>
        <v>24</v>
      </c>
      <c r="W196">
        <f>+'Raw data'!O432</f>
        <v>14</v>
      </c>
      <c r="X196">
        <f>+'Raw data'!P432</f>
        <v>46</v>
      </c>
      <c r="Y196">
        <f>+'Raw data'!Q432</f>
        <v>1.65</v>
      </c>
    </row>
    <row r="197" spans="1:25" x14ac:dyDescent="0.25">
      <c r="A197">
        <v>2025</v>
      </c>
      <c r="B197" t="s">
        <v>57</v>
      </c>
      <c r="C197">
        <f t="shared" si="10"/>
        <v>9</v>
      </c>
      <c r="D197">
        <f t="shared" ref="D197:D260" si="11">+D195+1</f>
        <v>88</v>
      </c>
      <c r="E197" t="str">
        <f>+'Raw data'!A412</f>
        <v>Xanthi Ducks 🦆</v>
      </c>
      <c r="F197" t="str">
        <f>VLOOKUP(E197,Data!$E$2626:$F$2645,2,FALSE)</f>
        <v>Kotakis</v>
      </c>
      <c r="H197">
        <f>+'Raw data'!A433</f>
        <v>5</v>
      </c>
      <c r="I197">
        <f>+'Raw data'!B433</f>
        <v>8</v>
      </c>
      <c r="J197">
        <f>+'Raw data'!C433</f>
        <v>0</v>
      </c>
      <c r="M197">
        <f>+'Raw data'!E433</f>
        <v>111</v>
      </c>
      <c r="N197">
        <f>+'Raw data'!F433</f>
        <v>0.49099999999999999</v>
      </c>
      <c r="O197">
        <f>+'Raw data'!G433</f>
        <v>39</v>
      </c>
      <c r="P197">
        <f>+'Raw data'!H433</f>
        <v>0.41499999999999998</v>
      </c>
      <c r="Q197">
        <f>+'Raw data'!I433</f>
        <v>0.81299999999999994</v>
      </c>
      <c r="R197">
        <f>+'Raw data'!J433</f>
        <v>287</v>
      </c>
      <c r="S197">
        <f>+'Raw data'!K433</f>
        <v>27</v>
      </c>
      <c r="T197">
        <f>+'Raw data'!L433</f>
        <v>80</v>
      </c>
      <c r="U197">
        <f>+'Raw data'!M433</f>
        <v>60</v>
      </c>
      <c r="V197">
        <f>+'Raw data'!N433</f>
        <v>14</v>
      </c>
      <c r="W197">
        <f>+'Raw data'!O433</f>
        <v>12</v>
      </c>
      <c r="X197">
        <f>+'Raw data'!P433</f>
        <v>30</v>
      </c>
      <c r="Y197">
        <f>+'Raw data'!Q433</f>
        <v>2</v>
      </c>
    </row>
    <row r="198" spans="1:25" x14ac:dyDescent="0.25">
      <c r="A198">
        <v>2025</v>
      </c>
      <c r="B198" t="s">
        <v>57</v>
      </c>
      <c r="C198">
        <f t="shared" si="10"/>
        <v>9</v>
      </c>
      <c r="D198">
        <f t="shared" si="11"/>
        <v>89</v>
      </c>
      <c r="E198" t="str">
        <f>+'Raw data'!A413</f>
        <v>Guruuu 🐐🐐🐐</v>
      </c>
      <c r="F198" t="str">
        <f>VLOOKUP(E198,Data!$E$2626:$F$2645,2,FALSE)</f>
        <v>Guru</v>
      </c>
      <c r="H198">
        <f>+'Raw data'!A434</f>
        <v>3</v>
      </c>
      <c r="I198">
        <f>+'Raw data'!B434</f>
        <v>10</v>
      </c>
      <c r="J198">
        <f>+'Raw data'!C434</f>
        <v>0</v>
      </c>
      <c r="M198">
        <f>+'Raw data'!E434</f>
        <v>155</v>
      </c>
      <c r="N198">
        <f>+'Raw data'!F434</f>
        <v>0.42599999999999999</v>
      </c>
      <c r="O198">
        <f>+'Raw data'!G434</f>
        <v>35</v>
      </c>
      <c r="P198">
        <f>+'Raw data'!H434</f>
        <v>0.26500000000000001</v>
      </c>
      <c r="Q198">
        <f>+'Raw data'!I434</f>
        <v>0.86</v>
      </c>
      <c r="R198">
        <f>+'Raw data'!J434</f>
        <v>431</v>
      </c>
      <c r="S198">
        <f>+'Raw data'!K434</f>
        <v>38</v>
      </c>
      <c r="T198">
        <f>+'Raw data'!L434</f>
        <v>104</v>
      </c>
      <c r="U198">
        <f>+'Raw data'!M434</f>
        <v>91</v>
      </c>
      <c r="V198">
        <f>+'Raw data'!N434</f>
        <v>29</v>
      </c>
      <c r="W198">
        <f>+'Raw data'!O434</f>
        <v>15</v>
      </c>
      <c r="X198">
        <f>+'Raw data'!P434</f>
        <v>45</v>
      </c>
      <c r="Y198">
        <f>+'Raw data'!Q434</f>
        <v>2.02</v>
      </c>
    </row>
    <row r="199" spans="1:25" x14ac:dyDescent="0.25">
      <c r="A199">
        <v>2025</v>
      </c>
      <c r="B199" t="s">
        <v>57</v>
      </c>
      <c r="C199">
        <f t="shared" si="10"/>
        <v>9</v>
      </c>
      <c r="D199">
        <f t="shared" si="11"/>
        <v>89</v>
      </c>
      <c r="E199" t="str">
        <f>+'Raw data'!A414</f>
        <v>Kourayo Vallecano</v>
      </c>
      <c r="F199" t="str">
        <f>VLOOKUP(E199,Data!$E$2626:$F$2645,2,FALSE)</f>
        <v>Ziogas/Christof</v>
      </c>
      <c r="H199">
        <f>+'Raw data'!A435</f>
        <v>10</v>
      </c>
      <c r="I199">
        <f>+'Raw data'!B435</f>
        <v>3</v>
      </c>
      <c r="J199">
        <f>+'Raw data'!C435</f>
        <v>0</v>
      </c>
      <c r="M199">
        <f>+'Raw data'!E435</f>
        <v>173</v>
      </c>
      <c r="N199">
        <f>+'Raw data'!F435</f>
        <v>0.45500000000000002</v>
      </c>
      <c r="O199">
        <f>+'Raw data'!G435</f>
        <v>46</v>
      </c>
      <c r="P199">
        <f>+'Raw data'!H435</f>
        <v>0.32900000000000001</v>
      </c>
      <c r="Q199">
        <f>+'Raw data'!I435</f>
        <v>0.78</v>
      </c>
      <c r="R199">
        <f>+'Raw data'!J435</f>
        <v>477</v>
      </c>
      <c r="S199">
        <f>+'Raw data'!K435</f>
        <v>70</v>
      </c>
      <c r="T199">
        <f>+'Raw data'!L435</f>
        <v>155</v>
      </c>
      <c r="U199">
        <f>+'Raw data'!M435</f>
        <v>131</v>
      </c>
      <c r="V199">
        <f>+'Raw data'!N435</f>
        <v>34</v>
      </c>
      <c r="W199">
        <f>+'Raw data'!O435</f>
        <v>13</v>
      </c>
      <c r="X199">
        <f>+'Raw data'!P435</f>
        <v>59</v>
      </c>
      <c r="Y199">
        <f>+'Raw data'!Q435</f>
        <v>2.2200000000000002</v>
      </c>
    </row>
    <row r="200" spans="1:25" x14ac:dyDescent="0.25">
      <c r="A200">
        <v>2025</v>
      </c>
      <c r="B200" t="s">
        <v>57</v>
      </c>
      <c r="C200">
        <f t="shared" si="10"/>
        <v>9</v>
      </c>
      <c r="D200">
        <f t="shared" si="11"/>
        <v>90</v>
      </c>
      <c r="E200" t="str">
        <f>+'Raw data'!A415</f>
        <v>Heraklion Snakes</v>
      </c>
      <c r="F200" t="str">
        <f>VLOOKUP(E200,Data!$E$2626:$F$2645,2,FALSE)</f>
        <v>Dimitris</v>
      </c>
      <c r="H200">
        <f>+'Raw data'!A436</f>
        <v>2</v>
      </c>
      <c r="I200">
        <f>+'Raw data'!B436</f>
        <v>11</v>
      </c>
      <c r="J200">
        <f>+'Raw data'!C436</f>
        <v>0</v>
      </c>
      <c r="M200">
        <f>+'Raw data'!E436</f>
        <v>88</v>
      </c>
      <c r="N200">
        <f>+'Raw data'!F436</f>
        <v>0.40200000000000002</v>
      </c>
      <c r="O200">
        <f>+'Raw data'!G436</f>
        <v>32</v>
      </c>
      <c r="P200">
        <f>+'Raw data'!H436</f>
        <v>0.314</v>
      </c>
      <c r="Q200">
        <f>+'Raw data'!I436</f>
        <v>0.81299999999999994</v>
      </c>
      <c r="R200">
        <f>+'Raw data'!J436</f>
        <v>247</v>
      </c>
      <c r="S200">
        <f>+'Raw data'!K436</f>
        <v>25</v>
      </c>
      <c r="T200">
        <f>+'Raw data'!L436</f>
        <v>68</v>
      </c>
      <c r="U200">
        <f>+'Raw data'!M436</f>
        <v>40</v>
      </c>
      <c r="V200">
        <f>+'Raw data'!N436</f>
        <v>19</v>
      </c>
      <c r="W200">
        <f>+'Raw data'!O436</f>
        <v>3</v>
      </c>
      <c r="X200">
        <f>+'Raw data'!P436</f>
        <v>40</v>
      </c>
      <c r="Y200">
        <f>+'Raw data'!Q436</f>
        <v>1</v>
      </c>
    </row>
    <row r="201" spans="1:25" x14ac:dyDescent="0.25">
      <c r="A201">
        <v>2025</v>
      </c>
      <c r="B201" t="s">
        <v>57</v>
      </c>
      <c r="C201">
        <f t="shared" si="10"/>
        <v>9</v>
      </c>
      <c r="D201">
        <f t="shared" si="11"/>
        <v>90</v>
      </c>
      <c r="E201" t="str">
        <f>+'Raw data'!A416</f>
        <v>The Bridgeburners</v>
      </c>
      <c r="F201" t="str">
        <f>VLOOKUP(E201,Data!$E$2626:$F$2645,2,FALSE)</f>
        <v>Fanis</v>
      </c>
      <c r="H201">
        <f>+'Raw data'!A437</f>
        <v>11</v>
      </c>
      <c r="I201">
        <f>+'Raw data'!B437</f>
        <v>2</v>
      </c>
      <c r="J201">
        <f>+'Raw data'!C437</f>
        <v>0</v>
      </c>
      <c r="M201">
        <f>+'Raw data'!E437</f>
        <v>134</v>
      </c>
      <c r="N201">
        <f>+'Raw data'!F437</f>
        <v>0.48199999999999998</v>
      </c>
      <c r="O201">
        <f>+'Raw data'!G437</f>
        <v>41</v>
      </c>
      <c r="P201">
        <f>+'Raw data'!H437</f>
        <v>0.39400000000000002</v>
      </c>
      <c r="Q201">
        <f>+'Raw data'!I437</f>
        <v>0.76900000000000002</v>
      </c>
      <c r="R201">
        <f>+'Raw data'!J437</f>
        <v>359</v>
      </c>
      <c r="S201">
        <f>+'Raw data'!K437</f>
        <v>33</v>
      </c>
      <c r="T201">
        <f>+'Raw data'!L437</f>
        <v>104</v>
      </c>
      <c r="U201">
        <f>+'Raw data'!M437</f>
        <v>100</v>
      </c>
      <c r="V201">
        <f>+'Raw data'!N437</f>
        <v>29</v>
      </c>
      <c r="W201">
        <f>+'Raw data'!O437</f>
        <v>11</v>
      </c>
      <c r="X201">
        <f>+'Raw data'!P437</f>
        <v>46</v>
      </c>
      <c r="Y201">
        <f>+'Raw data'!Q437</f>
        <v>2.17</v>
      </c>
    </row>
    <row r="202" spans="1:25" x14ac:dyDescent="0.25">
      <c r="A202">
        <v>2025</v>
      </c>
      <c r="B202" t="s">
        <v>57</v>
      </c>
      <c r="C202">
        <f>+C201+1</f>
        <v>10</v>
      </c>
      <c r="D202">
        <f t="shared" si="11"/>
        <v>91</v>
      </c>
      <c r="E202" t="str">
        <f>+'Raw data'!A441</f>
        <v>LRBP PR3DATORS</v>
      </c>
      <c r="F202" t="str">
        <f>VLOOKUP(E202,Data!$E$2626:$F$2645,2,FALSE)</f>
        <v>Lafa</v>
      </c>
      <c r="H202">
        <f>+'Raw data'!A462</f>
        <v>8</v>
      </c>
      <c r="I202">
        <f>+'Raw data'!B462</f>
        <v>4</v>
      </c>
      <c r="J202">
        <f>+'Raw data'!C462</f>
        <v>1</v>
      </c>
      <c r="M202">
        <f>+'Raw data'!E462</f>
        <v>230</v>
      </c>
      <c r="N202">
        <f>+'Raw data'!F462</f>
        <v>0.501</v>
      </c>
      <c r="O202">
        <f>+'Raw data'!G462</f>
        <v>49</v>
      </c>
      <c r="P202">
        <f>+'Raw data'!H462</f>
        <v>0.33800000000000002</v>
      </c>
      <c r="Q202">
        <f>+'Raw data'!I462</f>
        <v>0.73799999999999999</v>
      </c>
      <c r="R202">
        <f>+'Raw data'!J462</f>
        <v>647</v>
      </c>
      <c r="S202">
        <f>+'Raw data'!K462</f>
        <v>27</v>
      </c>
      <c r="T202">
        <f>+'Raw data'!L462</f>
        <v>162</v>
      </c>
      <c r="U202">
        <f>+'Raw data'!M462</f>
        <v>141</v>
      </c>
      <c r="V202">
        <f>+'Raw data'!N462</f>
        <v>28</v>
      </c>
      <c r="W202">
        <f>+'Raw data'!O462</f>
        <v>31</v>
      </c>
      <c r="X202">
        <f>+'Raw data'!P462</f>
        <v>71</v>
      </c>
      <c r="Y202">
        <f>+'Raw data'!Q462</f>
        <v>1.99</v>
      </c>
    </row>
    <row r="203" spans="1:25" x14ac:dyDescent="0.25">
      <c r="A203">
        <v>2025</v>
      </c>
      <c r="B203" t="s">
        <v>57</v>
      </c>
      <c r="C203">
        <f>+C202</f>
        <v>10</v>
      </c>
      <c r="D203">
        <f t="shared" si="11"/>
        <v>91</v>
      </c>
      <c r="E203" t="str">
        <f>+'Raw data'!A442</f>
        <v>Paralouistas</v>
      </c>
      <c r="F203" t="str">
        <f>VLOOKUP(E203,Data!$E$2626:$F$2645,2,FALSE)</f>
        <v>Panos</v>
      </c>
      <c r="H203">
        <f>+'Raw data'!A463</f>
        <v>4</v>
      </c>
      <c r="I203">
        <f>+'Raw data'!B463</f>
        <v>8</v>
      </c>
      <c r="J203">
        <f>+'Raw data'!C463</f>
        <v>1</v>
      </c>
      <c r="M203">
        <f>+'Raw data'!E463</f>
        <v>151</v>
      </c>
      <c r="N203">
        <f>+'Raw data'!F463</f>
        <v>0.40799999999999997</v>
      </c>
      <c r="O203">
        <f>+'Raw data'!G463</f>
        <v>54</v>
      </c>
      <c r="P203">
        <f>+'Raw data'!H463</f>
        <v>0.375</v>
      </c>
      <c r="Q203">
        <f>+'Raw data'!I463</f>
        <v>0.84099999999999997</v>
      </c>
      <c r="R203">
        <f>+'Raw data'!J463</f>
        <v>414</v>
      </c>
      <c r="S203">
        <f>+'Raw data'!K463</f>
        <v>27</v>
      </c>
      <c r="T203">
        <f>+'Raw data'!L463</f>
        <v>94</v>
      </c>
      <c r="U203">
        <f>+'Raw data'!M463</f>
        <v>101</v>
      </c>
      <c r="V203">
        <f>+'Raw data'!N463</f>
        <v>27</v>
      </c>
      <c r="W203">
        <f>+'Raw data'!O463</f>
        <v>20</v>
      </c>
      <c r="X203">
        <f>+'Raw data'!P463</f>
        <v>52</v>
      </c>
      <c r="Y203">
        <f>+'Raw data'!Q463</f>
        <v>1.94</v>
      </c>
    </row>
    <row r="204" spans="1:25" x14ac:dyDescent="0.25">
      <c r="A204">
        <v>2025</v>
      </c>
      <c r="B204" t="s">
        <v>57</v>
      </c>
      <c r="C204">
        <f>+C203</f>
        <v>10</v>
      </c>
      <c r="D204">
        <f t="shared" si="11"/>
        <v>92</v>
      </c>
      <c r="E204" t="str">
        <f>+'Raw data'!A443</f>
        <v>st.Helens Eruptions</v>
      </c>
      <c r="F204" t="str">
        <f>VLOOKUP(E204,Data!$E$2626:$F$2645,2,FALSE)</f>
        <v>Aris</v>
      </c>
      <c r="H204">
        <f>+'Raw data'!A464</f>
        <v>11</v>
      </c>
      <c r="I204">
        <f>+'Raw data'!B464</f>
        <v>2</v>
      </c>
      <c r="J204">
        <f>+'Raw data'!C464</f>
        <v>0</v>
      </c>
      <c r="M204">
        <f>+'Raw data'!E464</f>
        <v>195</v>
      </c>
      <c r="N204">
        <f>+'Raw data'!F464</f>
        <v>0.51900000000000002</v>
      </c>
      <c r="O204">
        <f>+'Raw data'!G464</f>
        <v>55</v>
      </c>
      <c r="P204">
        <f>+'Raw data'!H464</f>
        <v>0.44700000000000001</v>
      </c>
      <c r="Q204">
        <f>+'Raw data'!I464</f>
        <v>0.76900000000000002</v>
      </c>
      <c r="R204">
        <f>+'Raw data'!J464</f>
        <v>515</v>
      </c>
      <c r="S204">
        <f>+'Raw data'!K464</f>
        <v>38</v>
      </c>
      <c r="T204">
        <f>+'Raw data'!L464</f>
        <v>135</v>
      </c>
      <c r="U204">
        <f>+'Raw data'!M464</f>
        <v>93</v>
      </c>
      <c r="V204">
        <f>+'Raw data'!N464</f>
        <v>29</v>
      </c>
      <c r="W204">
        <f>+'Raw data'!O464</f>
        <v>28</v>
      </c>
      <c r="X204">
        <f>+'Raw data'!P464</f>
        <v>47</v>
      </c>
      <c r="Y204">
        <f>+'Raw data'!Q464</f>
        <v>1.98</v>
      </c>
    </row>
    <row r="205" spans="1:25" x14ac:dyDescent="0.25">
      <c r="A205">
        <v>2025</v>
      </c>
      <c r="B205" t="s">
        <v>57</v>
      </c>
      <c r="C205">
        <f>+C204</f>
        <v>10</v>
      </c>
      <c r="D205">
        <f t="shared" si="11"/>
        <v>92</v>
      </c>
      <c r="E205" t="str">
        <f>+'Raw data'!A444</f>
        <v>Steven Adams' Moustache</v>
      </c>
      <c r="F205" t="str">
        <f>VLOOKUP(E205,Data!$E$2626:$F$2645,2,FALSE)</f>
        <v>Johnny</v>
      </c>
      <c r="H205">
        <f>+'Raw data'!A465</f>
        <v>2</v>
      </c>
      <c r="I205">
        <f>+'Raw data'!B465</f>
        <v>11</v>
      </c>
      <c r="J205">
        <f>+'Raw data'!C465</f>
        <v>0</v>
      </c>
      <c r="M205">
        <f>+'Raw data'!E465</f>
        <v>104</v>
      </c>
      <c r="N205">
        <f>+'Raw data'!F465</f>
        <v>0.43</v>
      </c>
      <c r="O205">
        <f>+'Raw data'!G465</f>
        <v>38</v>
      </c>
      <c r="P205">
        <f>+'Raw data'!H465</f>
        <v>0.30599999999999999</v>
      </c>
      <c r="Q205">
        <f>+'Raw data'!I465</f>
        <v>0.76</v>
      </c>
      <c r="R205">
        <f>+'Raw data'!J465</f>
        <v>303</v>
      </c>
      <c r="S205">
        <f>+'Raw data'!K465</f>
        <v>21</v>
      </c>
      <c r="T205">
        <f>+'Raw data'!L465</f>
        <v>74</v>
      </c>
      <c r="U205">
        <f>+'Raw data'!M465</f>
        <v>56</v>
      </c>
      <c r="V205">
        <f>+'Raw data'!N465</f>
        <v>14</v>
      </c>
      <c r="W205">
        <f>+'Raw data'!O465</f>
        <v>16</v>
      </c>
      <c r="X205">
        <f>+'Raw data'!P465</f>
        <v>23</v>
      </c>
      <c r="Y205">
        <f>+'Raw data'!Q465</f>
        <v>2.4300000000000002</v>
      </c>
    </row>
    <row r="206" spans="1:25" x14ac:dyDescent="0.25">
      <c r="A206">
        <v>2025</v>
      </c>
      <c r="B206" t="s">
        <v>57</v>
      </c>
      <c r="C206">
        <f t="shared" ref="C206:C221" si="12">+C205</f>
        <v>10</v>
      </c>
      <c r="D206">
        <f t="shared" si="11"/>
        <v>93</v>
      </c>
      <c r="E206" t="str">
        <f>+'Raw data'!A445</f>
        <v>Pachiana NinjaBees</v>
      </c>
      <c r="F206" t="str">
        <f>VLOOKUP(E206,Data!$E$2626:$F$2645,2,FALSE)</f>
        <v>Spiridaus/Oladipas</v>
      </c>
      <c r="H206">
        <f>+'Raw data'!A466</f>
        <v>12</v>
      </c>
      <c r="I206">
        <f>+'Raw data'!B466</f>
        <v>1</v>
      </c>
      <c r="J206">
        <f>+'Raw data'!C466</f>
        <v>0</v>
      </c>
      <c r="M206">
        <f>+'Raw data'!E466</f>
        <v>170</v>
      </c>
      <c r="N206">
        <f>+'Raw data'!F466</f>
        <v>0.49299999999999999</v>
      </c>
      <c r="O206">
        <f>+'Raw data'!G466</f>
        <v>60</v>
      </c>
      <c r="P206">
        <f>+'Raw data'!H466</f>
        <v>0.41399999999999998</v>
      </c>
      <c r="Q206">
        <f>+'Raw data'!I466</f>
        <v>0.83699999999999997</v>
      </c>
      <c r="R206">
        <f>+'Raw data'!J466</f>
        <v>472</v>
      </c>
      <c r="S206">
        <f>+'Raw data'!K466</f>
        <v>36</v>
      </c>
      <c r="T206">
        <f>+'Raw data'!L466</f>
        <v>142</v>
      </c>
      <c r="U206">
        <f>+'Raw data'!M466</f>
        <v>120</v>
      </c>
      <c r="V206">
        <f>+'Raw data'!N466</f>
        <v>29</v>
      </c>
      <c r="W206">
        <f>+'Raw data'!O466</f>
        <v>17</v>
      </c>
      <c r="X206">
        <f>+'Raw data'!P466</f>
        <v>50</v>
      </c>
      <c r="Y206">
        <f>+'Raw data'!Q466</f>
        <v>2.4</v>
      </c>
    </row>
    <row r="207" spans="1:25" x14ac:dyDescent="0.25">
      <c r="A207">
        <v>2025</v>
      </c>
      <c r="B207" t="s">
        <v>57</v>
      </c>
      <c r="C207">
        <f t="shared" si="12"/>
        <v>10</v>
      </c>
      <c r="D207">
        <f t="shared" si="11"/>
        <v>93</v>
      </c>
      <c r="E207" t="str">
        <f>+'Raw data'!A446</f>
        <v>Salonika Devils</v>
      </c>
      <c r="F207" t="str">
        <f>VLOOKUP(E207,Data!$E$2626:$F$2645,2,FALSE)</f>
        <v>Fountos</v>
      </c>
      <c r="H207">
        <f>+'Raw data'!A467</f>
        <v>1</v>
      </c>
      <c r="I207">
        <f>+'Raw data'!B467</f>
        <v>12</v>
      </c>
      <c r="J207">
        <f>+'Raw data'!C467</f>
        <v>0</v>
      </c>
      <c r="M207">
        <f>+'Raw data'!E467</f>
        <v>105</v>
      </c>
      <c r="N207">
        <f>+'Raw data'!F467</f>
        <v>0.46500000000000002</v>
      </c>
      <c r="O207">
        <f>+'Raw data'!G467</f>
        <v>33</v>
      </c>
      <c r="P207">
        <f>+'Raw data'!H467</f>
        <v>0.39300000000000002</v>
      </c>
      <c r="Q207">
        <f>+'Raw data'!I467</f>
        <v>0.76900000000000002</v>
      </c>
      <c r="R207">
        <f>+'Raw data'!J467</f>
        <v>283</v>
      </c>
      <c r="S207">
        <f>+'Raw data'!K467</f>
        <v>33</v>
      </c>
      <c r="T207">
        <f>+'Raw data'!L467</f>
        <v>87</v>
      </c>
      <c r="U207">
        <f>+'Raw data'!M467</f>
        <v>75</v>
      </c>
      <c r="V207">
        <f>+'Raw data'!N467</f>
        <v>28</v>
      </c>
      <c r="W207">
        <f>+'Raw data'!O467</f>
        <v>10</v>
      </c>
      <c r="X207">
        <f>+'Raw data'!P467</f>
        <v>40</v>
      </c>
      <c r="Y207">
        <f>+'Raw data'!Q467</f>
        <v>1.88</v>
      </c>
    </row>
    <row r="208" spans="1:25" x14ac:dyDescent="0.25">
      <c r="A208">
        <v>2025</v>
      </c>
      <c r="B208" t="s">
        <v>57</v>
      </c>
      <c r="C208">
        <f t="shared" si="12"/>
        <v>10</v>
      </c>
      <c r="D208">
        <f t="shared" si="11"/>
        <v>94</v>
      </c>
      <c r="E208" t="str">
        <f>+'Raw data'!A447</f>
        <v>Karafli Saita</v>
      </c>
      <c r="F208" t="str">
        <f>VLOOKUP(E208,Data!$E$2626:$F$2645,2,FALSE)</f>
        <v>Tassos</v>
      </c>
      <c r="H208">
        <f>+'Raw data'!A468</f>
        <v>11</v>
      </c>
      <c r="I208">
        <f>+'Raw data'!B468</f>
        <v>2</v>
      </c>
      <c r="J208">
        <f>+'Raw data'!C468</f>
        <v>0</v>
      </c>
      <c r="M208">
        <f>+'Raw data'!E468</f>
        <v>272</v>
      </c>
      <c r="N208">
        <f>+'Raw data'!F468</f>
        <v>0.50700000000000001</v>
      </c>
      <c r="O208">
        <f>+'Raw data'!G468</f>
        <v>61</v>
      </c>
      <c r="P208">
        <f>+'Raw data'!H468</f>
        <v>0.36499999999999999</v>
      </c>
      <c r="Q208">
        <f>+'Raw data'!I468</f>
        <v>0.86299999999999999</v>
      </c>
      <c r="R208">
        <f>+'Raw data'!J468</f>
        <v>731</v>
      </c>
      <c r="S208">
        <f>+'Raw data'!K468</f>
        <v>35</v>
      </c>
      <c r="T208">
        <f>+'Raw data'!L468</f>
        <v>195</v>
      </c>
      <c r="U208">
        <f>+'Raw data'!M468</f>
        <v>193</v>
      </c>
      <c r="V208">
        <f>+'Raw data'!N468</f>
        <v>37</v>
      </c>
      <c r="W208">
        <f>+'Raw data'!O468</f>
        <v>39</v>
      </c>
      <c r="X208">
        <f>+'Raw data'!P468</f>
        <v>84</v>
      </c>
      <c r="Y208">
        <f>+'Raw data'!Q468</f>
        <v>2.2999999999999998</v>
      </c>
    </row>
    <row r="209" spans="1:25" x14ac:dyDescent="0.25">
      <c r="A209">
        <v>2025</v>
      </c>
      <c r="B209" t="s">
        <v>57</v>
      </c>
      <c r="C209">
        <f t="shared" si="12"/>
        <v>10</v>
      </c>
      <c r="D209">
        <f t="shared" si="11"/>
        <v>94</v>
      </c>
      <c r="E209" t="str">
        <f>+'Raw data'!A448</f>
        <v>Samarina Dudenbros</v>
      </c>
      <c r="F209" t="str">
        <f>VLOOKUP(E209,Data!$E$2626:$F$2645,2,FALSE)</f>
        <v>Sakellariou</v>
      </c>
      <c r="H209">
        <f>+'Raw data'!A469</f>
        <v>2</v>
      </c>
      <c r="I209">
        <f>+'Raw data'!B469</f>
        <v>11</v>
      </c>
      <c r="J209">
        <f>+'Raw data'!C469</f>
        <v>0</v>
      </c>
      <c r="M209">
        <f>+'Raw data'!E469</f>
        <v>195</v>
      </c>
      <c r="N209">
        <f>+'Raw data'!F469</f>
        <v>0.44900000000000001</v>
      </c>
      <c r="O209">
        <f>+'Raw data'!G469</f>
        <v>57</v>
      </c>
      <c r="P209">
        <f>+'Raw data'!H469</f>
        <v>0.308</v>
      </c>
      <c r="Q209">
        <f>+'Raw data'!I469</f>
        <v>0.81299999999999994</v>
      </c>
      <c r="R209">
        <f>+'Raw data'!J469</f>
        <v>577</v>
      </c>
      <c r="S209">
        <f>+'Raw data'!K469</f>
        <v>34</v>
      </c>
      <c r="T209">
        <f>+'Raw data'!L469</f>
        <v>157</v>
      </c>
      <c r="U209">
        <f>+'Raw data'!M469</f>
        <v>134</v>
      </c>
      <c r="V209">
        <f>+'Raw data'!N469</f>
        <v>45</v>
      </c>
      <c r="W209">
        <f>+'Raw data'!O469</f>
        <v>14</v>
      </c>
      <c r="X209">
        <f>+'Raw data'!P469</f>
        <v>65</v>
      </c>
      <c r="Y209">
        <f>+'Raw data'!Q469</f>
        <v>2.06</v>
      </c>
    </row>
    <row r="210" spans="1:25" x14ac:dyDescent="0.25">
      <c r="A210">
        <v>2025</v>
      </c>
      <c r="B210" t="s">
        <v>57</v>
      </c>
      <c r="C210">
        <f t="shared" si="12"/>
        <v>10</v>
      </c>
      <c r="D210">
        <f t="shared" si="11"/>
        <v>95</v>
      </c>
      <c r="E210" t="str">
        <f>+'Raw data'!A449</f>
        <v>Fighting Thaddeus</v>
      </c>
      <c r="F210" t="str">
        <f>VLOOKUP(E210,Data!$E$2626:$F$2645,2,FALSE)</f>
        <v>Stavros</v>
      </c>
      <c r="H210">
        <f>+'Raw data'!A470</f>
        <v>8</v>
      </c>
      <c r="I210">
        <f>+'Raw data'!B470</f>
        <v>5</v>
      </c>
      <c r="J210">
        <f>+'Raw data'!C470</f>
        <v>0</v>
      </c>
      <c r="M210">
        <f>+'Raw data'!E470</f>
        <v>168</v>
      </c>
      <c r="N210">
        <f>+'Raw data'!F470</f>
        <v>0.51900000000000002</v>
      </c>
      <c r="O210">
        <f>+'Raw data'!G470</f>
        <v>43</v>
      </c>
      <c r="P210">
        <f>+'Raw data'!H470</f>
        <v>0.33900000000000002</v>
      </c>
      <c r="Q210">
        <f>+'Raw data'!I470</f>
        <v>0.84399999999999997</v>
      </c>
      <c r="R210">
        <f>+'Raw data'!J470</f>
        <v>433</v>
      </c>
      <c r="S210">
        <f>+'Raw data'!K470</f>
        <v>24</v>
      </c>
      <c r="T210">
        <f>+'Raw data'!L470</f>
        <v>106</v>
      </c>
      <c r="U210">
        <f>+'Raw data'!M470</f>
        <v>133</v>
      </c>
      <c r="V210">
        <f>+'Raw data'!N470</f>
        <v>18</v>
      </c>
      <c r="W210">
        <f>+'Raw data'!O470</f>
        <v>22</v>
      </c>
      <c r="X210">
        <f>+'Raw data'!P470</f>
        <v>55</v>
      </c>
      <c r="Y210">
        <f>+'Raw data'!Q470</f>
        <v>2.42</v>
      </c>
    </row>
    <row r="211" spans="1:25" x14ac:dyDescent="0.25">
      <c r="A211">
        <v>2025</v>
      </c>
      <c r="B211" t="s">
        <v>57</v>
      </c>
      <c r="C211">
        <f t="shared" si="12"/>
        <v>10</v>
      </c>
      <c r="D211">
        <f t="shared" si="11"/>
        <v>95</v>
      </c>
      <c r="E211" t="str">
        <f>+'Raw data'!A450</f>
        <v>The Bad Boys</v>
      </c>
      <c r="F211" t="str">
        <f>VLOOKUP(E211,Data!$E$2626:$F$2645,2,FALSE)</f>
        <v>Arvanitis</v>
      </c>
      <c r="H211">
        <f>+'Raw data'!A471</f>
        <v>5</v>
      </c>
      <c r="I211">
        <f>+'Raw data'!B471</f>
        <v>8</v>
      </c>
      <c r="J211">
        <f>+'Raw data'!C471</f>
        <v>0</v>
      </c>
      <c r="M211">
        <f>+'Raw data'!E471</f>
        <v>185</v>
      </c>
      <c r="N211">
        <f>+'Raw data'!F471</f>
        <v>0.432</v>
      </c>
      <c r="O211">
        <f>+'Raw data'!G471</f>
        <v>38</v>
      </c>
      <c r="P211">
        <f>+'Raw data'!H471</f>
        <v>0.26200000000000001</v>
      </c>
      <c r="Q211">
        <f>+'Raw data'!I471</f>
        <v>0.81499999999999995</v>
      </c>
      <c r="R211">
        <f>+'Raw data'!J471</f>
        <v>514</v>
      </c>
      <c r="S211">
        <f>+'Raw data'!K471</f>
        <v>34</v>
      </c>
      <c r="T211">
        <f>+'Raw data'!L471</f>
        <v>124</v>
      </c>
      <c r="U211">
        <f>+'Raw data'!M471</f>
        <v>126</v>
      </c>
      <c r="V211">
        <f>+'Raw data'!N471</f>
        <v>34</v>
      </c>
      <c r="W211">
        <f>+'Raw data'!O471</f>
        <v>15</v>
      </c>
      <c r="X211">
        <f>+'Raw data'!P471</f>
        <v>59</v>
      </c>
      <c r="Y211">
        <f>+'Raw data'!Q471</f>
        <v>2.14</v>
      </c>
    </row>
    <row r="212" spans="1:25" x14ac:dyDescent="0.25">
      <c r="A212">
        <v>2025</v>
      </c>
      <c r="B212" t="s">
        <v>57</v>
      </c>
      <c r="C212">
        <f t="shared" si="12"/>
        <v>10</v>
      </c>
      <c r="D212">
        <f t="shared" si="11"/>
        <v>96</v>
      </c>
      <c r="E212" t="str">
        <f>+'Raw data'!A451</f>
        <v>Hércules Pals</v>
      </c>
      <c r="F212" t="e">
        <f>VLOOKUP(E212,Data!$E$2626:$F$2645,2,FALSE)</f>
        <v>#N/A</v>
      </c>
      <c r="H212">
        <f>+'Raw data'!A472</f>
        <v>6</v>
      </c>
      <c r="I212">
        <f>+'Raw data'!B472</f>
        <v>7</v>
      </c>
      <c r="J212">
        <f>+'Raw data'!C472</f>
        <v>0</v>
      </c>
      <c r="M212">
        <f>+'Raw data'!E472</f>
        <v>153</v>
      </c>
      <c r="N212">
        <f>+'Raw data'!F472</f>
        <v>0.45400000000000001</v>
      </c>
      <c r="O212">
        <f>+'Raw data'!G472</f>
        <v>59</v>
      </c>
      <c r="P212">
        <f>+'Raw data'!H472</f>
        <v>0.36899999999999999</v>
      </c>
      <c r="Q212">
        <f>+'Raw data'!I472</f>
        <v>0.55700000000000005</v>
      </c>
      <c r="R212">
        <f>+'Raw data'!J472</f>
        <v>399</v>
      </c>
      <c r="S212">
        <f>+'Raw data'!K472</f>
        <v>69</v>
      </c>
      <c r="T212">
        <f>+'Raw data'!L472</f>
        <v>139</v>
      </c>
      <c r="U212">
        <f>+'Raw data'!M472</f>
        <v>92</v>
      </c>
      <c r="V212">
        <f>+'Raw data'!N472</f>
        <v>30</v>
      </c>
      <c r="W212">
        <f>+'Raw data'!O472</f>
        <v>24</v>
      </c>
      <c r="X212">
        <f>+'Raw data'!P472</f>
        <v>50</v>
      </c>
      <c r="Y212">
        <f>+'Raw data'!Q472</f>
        <v>1.84</v>
      </c>
    </row>
    <row r="213" spans="1:25" x14ac:dyDescent="0.25">
      <c r="A213">
        <v>2025</v>
      </c>
      <c r="B213" t="s">
        <v>57</v>
      </c>
      <c r="C213">
        <f t="shared" si="12"/>
        <v>10</v>
      </c>
      <c r="D213">
        <f t="shared" si="11"/>
        <v>96</v>
      </c>
      <c r="E213" t="str">
        <f>+'Raw data'!A452</f>
        <v>purple fuzzy apache pirates</v>
      </c>
      <c r="F213" t="str">
        <f>VLOOKUP(E213,Data!$E$2626:$F$2645,2,FALSE)</f>
        <v>pi/Sotiris</v>
      </c>
      <c r="H213">
        <f>+'Raw data'!A473</f>
        <v>7</v>
      </c>
      <c r="I213">
        <f>+'Raw data'!B473</f>
        <v>6</v>
      </c>
      <c r="J213">
        <f>+'Raw data'!C473</f>
        <v>0</v>
      </c>
      <c r="M213">
        <f>+'Raw data'!E473</f>
        <v>159</v>
      </c>
      <c r="N213">
        <f>+'Raw data'!F473</f>
        <v>0.57199999999999995</v>
      </c>
      <c r="O213">
        <f>+'Raw data'!G473</f>
        <v>38</v>
      </c>
      <c r="P213">
        <f>+'Raw data'!H473</f>
        <v>0.41299999999999998</v>
      </c>
      <c r="Q213">
        <f>+'Raw data'!I473</f>
        <v>0.79</v>
      </c>
      <c r="R213">
        <f>+'Raw data'!J473</f>
        <v>439</v>
      </c>
      <c r="S213">
        <f>+'Raw data'!K473</f>
        <v>36</v>
      </c>
      <c r="T213">
        <f>+'Raw data'!L473</f>
        <v>99</v>
      </c>
      <c r="U213">
        <f>+'Raw data'!M473</f>
        <v>87</v>
      </c>
      <c r="V213">
        <f>+'Raw data'!N473</f>
        <v>17</v>
      </c>
      <c r="W213">
        <f>+'Raw data'!O473</f>
        <v>5</v>
      </c>
      <c r="X213">
        <f>+'Raw data'!P473</f>
        <v>47</v>
      </c>
      <c r="Y213">
        <f>+'Raw data'!Q473</f>
        <v>1.85</v>
      </c>
    </row>
    <row r="214" spans="1:25" x14ac:dyDescent="0.25">
      <c r="A214">
        <v>2025</v>
      </c>
      <c r="B214" t="s">
        <v>57</v>
      </c>
      <c r="C214">
        <f t="shared" si="12"/>
        <v>10</v>
      </c>
      <c r="D214">
        <f t="shared" si="11"/>
        <v>97</v>
      </c>
      <c r="E214" t="str">
        <f>+'Raw data'!A453</f>
        <v>Tsarlatans</v>
      </c>
      <c r="F214" t="str">
        <f>VLOOKUP(E214,Data!$E$2626:$F$2645,2,FALSE)</f>
        <v>Tzokos</v>
      </c>
      <c r="H214">
        <f>+'Raw data'!A474</f>
        <v>6</v>
      </c>
      <c r="I214">
        <f>+'Raw data'!B474</f>
        <v>7</v>
      </c>
      <c r="J214">
        <f>+'Raw data'!C474</f>
        <v>0</v>
      </c>
      <c r="M214">
        <f>+'Raw data'!E474</f>
        <v>162</v>
      </c>
      <c r="N214">
        <f>+'Raw data'!F474</f>
        <v>0.497</v>
      </c>
      <c r="O214">
        <f>+'Raw data'!G474</f>
        <v>48</v>
      </c>
      <c r="P214">
        <f>+'Raw data'!H474</f>
        <v>0.375</v>
      </c>
      <c r="Q214">
        <f>+'Raw data'!I474</f>
        <v>0.79700000000000004</v>
      </c>
      <c r="R214">
        <f>+'Raw data'!J474</f>
        <v>435</v>
      </c>
      <c r="S214">
        <f>+'Raw data'!K474</f>
        <v>46</v>
      </c>
      <c r="T214">
        <f>+'Raw data'!L474</f>
        <v>126</v>
      </c>
      <c r="U214">
        <f>+'Raw data'!M474</f>
        <v>88</v>
      </c>
      <c r="V214">
        <f>+'Raw data'!N474</f>
        <v>23</v>
      </c>
      <c r="W214">
        <f>+'Raw data'!O474</f>
        <v>20</v>
      </c>
      <c r="X214">
        <f>+'Raw data'!P474</f>
        <v>37</v>
      </c>
      <c r="Y214">
        <f>+'Raw data'!Q474</f>
        <v>2.38</v>
      </c>
    </row>
    <row r="215" spans="1:25" x14ac:dyDescent="0.25">
      <c r="A215">
        <v>2025</v>
      </c>
      <c r="B215" t="s">
        <v>57</v>
      </c>
      <c r="C215">
        <f t="shared" si="12"/>
        <v>10</v>
      </c>
      <c r="D215">
        <f t="shared" si="11"/>
        <v>97</v>
      </c>
      <c r="E215" t="str">
        <f>+'Raw data'!A454</f>
        <v>Knights of Ni</v>
      </c>
      <c r="F215" t="str">
        <f>VLOOKUP(E215,Data!$E$2626:$F$2645,2,FALSE)</f>
        <v>Tolios</v>
      </c>
      <c r="H215">
        <f>+'Raw data'!A475</f>
        <v>7</v>
      </c>
      <c r="I215">
        <f>+'Raw data'!B475</f>
        <v>6</v>
      </c>
      <c r="J215">
        <f>+'Raw data'!C475</f>
        <v>0</v>
      </c>
      <c r="M215">
        <f>+'Raw data'!E475</f>
        <v>174</v>
      </c>
      <c r="N215">
        <f>+'Raw data'!F475</f>
        <v>0.45300000000000001</v>
      </c>
      <c r="O215">
        <f>+'Raw data'!G475</f>
        <v>44</v>
      </c>
      <c r="P215">
        <f>+'Raw data'!H475</f>
        <v>0.32100000000000001</v>
      </c>
      <c r="Q215">
        <f>+'Raw data'!I475</f>
        <v>0.83499999999999996</v>
      </c>
      <c r="R215">
        <f>+'Raw data'!J475</f>
        <v>503</v>
      </c>
      <c r="S215">
        <f>+'Raw data'!K475</f>
        <v>49</v>
      </c>
      <c r="T215">
        <f>+'Raw data'!L475</f>
        <v>125</v>
      </c>
      <c r="U215">
        <f>+'Raw data'!M475</f>
        <v>114</v>
      </c>
      <c r="V215">
        <f>+'Raw data'!N475</f>
        <v>35</v>
      </c>
      <c r="W215">
        <f>+'Raw data'!O475</f>
        <v>21</v>
      </c>
      <c r="X215">
        <f>+'Raw data'!P475</f>
        <v>62</v>
      </c>
      <c r="Y215">
        <f>+'Raw data'!Q475</f>
        <v>1.84</v>
      </c>
    </row>
    <row r="216" spans="1:25" x14ac:dyDescent="0.25">
      <c r="A216">
        <v>2025</v>
      </c>
      <c r="B216" t="s">
        <v>57</v>
      </c>
      <c r="C216">
        <f t="shared" si="12"/>
        <v>10</v>
      </c>
      <c r="D216">
        <f t="shared" si="11"/>
        <v>98</v>
      </c>
      <c r="E216" t="str">
        <f>+'Raw data'!A455</f>
        <v>The Guns</v>
      </c>
      <c r="F216" t="str">
        <f>VLOOKUP(E216,Data!$E$2626:$F$2645,2,FALSE)</f>
        <v>Vasilis</v>
      </c>
      <c r="H216">
        <f>+'Raw data'!A476</f>
        <v>6</v>
      </c>
      <c r="I216">
        <f>+'Raw data'!B476</f>
        <v>7</v>
      </c>
      <c r="J216">
        <f>+'Raw data'!C476</f>
        <v>0</v>
      </c>
      <c r="M216">
        <f>+'Raw data'!E476</f>
        <v>187</v>
      </c>
      <c r="N216">
        <f>+'Raw data'!F476</f>
        <v>0.48199999999999998</v>
      </c>
      <c r="O216">
        <f>+'Raw data'!G476</f>
        <v>73</v>
      </c>
      <c r="P216">
        <f>+'Raw data'!H476</f>
        <v>0.38600000000000001</v>
      </c>
      <c r="Q216">
        <f>+'Raw data'!I476</f>
        <v>0.89700000000000002</v>
      </c>
      <c r="R216">
        <f>+'Raw data'!J476</f>
        <v>525</v>
      </c>
      <c r="S216">
        <f>+'Raw data'!K476</f>
        <v>13</v>
      </c>
      <c r="T216">
        <f>+'Raw data'!L476</f>
        <v>129</v>
      </c>
      <c r="U216">
        <f>+'Raw data'!M476</f>
        <v>116</v>
      </c>
      <c r="V216">
        <f>+'Raw data'!N476</f>
        <v>30</v>
      </c>
      <c r="W216">
        <f>+'Raw data'!O476</f>
        <v>22</v>
      </c>
      <c r="X216">
        <f>+'Raw data'!P476</f>
        <v>66</v>
      </c>
      <c r="Y216">
        <f>+'Raw data'!Q476</f>
        <v>1.76</v>
      </c>
    </row>
    <row r="217" spans="1:25" x14ac:dyDescent="0.25">
      <c r="A217">
        <v>2025</v>
      </c>
      <c r="B217" t="s">
        <v>57</v>
      </c>
      <c r="C217">
        <f t="shared" si="12"/>
        <v>10</v>
      </c>
      <c r="D217">
        <f t="shared" si="11"/>
        <v>98</v>
      </c>
      <c r="E217" t="str">
        <f>+'Raw data'!A456</f>
        <v>Guruuu 🐐🐐🐐</v>
      </c>
      <c r="F217" t="str">
        <f>VLOOKUP(E217,Data!$E$2626:$F$2645,2,FALSE)</f>
        <v>Guru</v>
      </c>
      <c r="H217">
        <f>+'Raw data'!A477</f>
        <v>7</v>
      </c>
      <c r="I217">
        <f>+'Raw data'!B477</f>
        <v>6</v>
      </c>
      <c r="J217">
        <f>+'Raw data'!C477</f>
        <v>0</v>
      </c>
      <c r="M217">
        <f>+'Raw data'!E477</f>
        <v>216</v>
      </c>
      <c r="N217">
        <f>+'Raw data'!F477</f>
        <v>0.47699999999999998</v>
      </c>
      <c r="O217">
        <f>+'Raw data'!G477</f>
        <v>80</v>
      </c>
      <c r="P217">
        <f>+'Raw data'!H477</f>
        <v>0.40400000000000003</v>
      </c>
      <c r="Q217">
        <f>+'Raw data'!I477</f>
        <v>0.83199999999999996</v>
      </c>
      <c r="R217">
        <f>+'Raw data'!J477</f>
        <v>636</v>
      </c>
      <c r="S217">
        <f>+'Raw data'!K477</f>
        <v>48</v>
      </c>
      <c r="T217">
        <f>+'Raw data'!L477</f>
        <v>114</v>
      </c>
      <c r="U217">
        <f>+'Raw data'!M477</f>
        <v>123</v>
      </c>
      <c r="V217">
        <f>+'Raw data'!N477</f>
        <v>36</v>
      </c>
      <c r="W217">
        <f>+'Raw data'!O477</f>
        <v>18</v>
      </c>
      <c r="X217">
        <f>+'Raw data'!P477</f>
        <v>75</v>
      </c>
      <c r="Y217">
        <f>+'Raw data'!Q477</f>
        <v>1.64</v>
      </c>
    </row>
    <row r="218" spans="1:25" x14ac:dyDescent="0.25">
      <c r="A218">
        <v>2025</v>
      </c>
      <c r="B218" t="s">
        <v>57</v>
      </c>
      <c r="C218">
        <f t="shared" si="12"/>
        <v>10</v>
      </c>
      <c r="D218">
        <f t="shared" si="11"/>
        <v>99</v>
      </c>
      <c r="E218" t="str">
        <f>+'Raw data'!A457</f>
        <v>Xanthi Ducks 🦆</v>
      </c>
      <c r="F218" t="str">
        <f>VLOOKUP(E218,Data!$E$2626:$F$2645,2,FALSE)</f>
        <v>Kotakis</v>
      </c>
      <c r="H218">
        <f>+'Raw data'!A478</f>
        <v>11</v>
      </c>
      <c r="I218">
        <f>+'Raw data'!B478</f>
        <v>2</v>
      </c>
      <c r="J218">
        <f>+'Raw data'!C478</f>
        <v>0</v>
      </c>
      <c r="M218">
        <f>+'Raw data'!E478</f>
        <v>118</v>
      </c>
      <c r="N218">
        <f>+'Raw data'!F478</f>
        <v>0.47399999999999998</v>
      </c>
      <c r="O218">
        <f>+'Raw data'!G478</f>
        <v>49</v>
      </c>
      <c r="P218">
        <f>+'Raw data'!H478</f>
        <v>0.38900000000000001</v>
      </c>
      <c r="Q218">
        <f>+'Raw data'!I478</f>
        <v>0.75</v>
      </c>
      <c r="R218">
        <f>+'Raw data'!J478</f>
        <v>318</v>
      </c>
      <c r="S218">
        <f>+'Raw data'!K478</f>
        <v>23</v>
      </c>
      <c r="T218">
        <f>+'Raw data'!L478</f>
        <v>100</v>
      </c>
      <c r="U218">
        <f>+'Raw data'!M478</f>
        <v>83</v>
      </c>
      <c r="V218">
        <f>+'Raw data'!N478</f>
        <v>33</v>
      </c>
      <c r="W218">
        <f>+'Raw data'!O478</f>
        <v>10</v>
      </c>
      <c r="X218">
        <f>+'Raw data'!P478</f>
        <v>28</v>
      </c>
      <c r="Y218">
        <f>+'Raw data'!Q478</f>
        <v>2.96</v>
      </c>
    </row>
    <row r="219" spans="1:25" x14ac:dyDescent="0.25">
      <c r="A219">
        <v>2025</v>
      </c>
      <c r="B219" t="s">
        <v>57</v>
      </c>
      <c r="C219">
        <f t="shared" si="12"/>
        <v>10</v>
      </c>
      <c r="D219">
        <f t="shared" si="11"/>
        <v>99</v>
      </c>
      <c r="E219" t="str">
        <f>+'Raw data'!A458</f>
        <v>Heraklion Snakes</v>
      </c>
      <c r="F219" t="str">
        <f>VLOOKUP(E219,Data!$E$2626:$F$2645,2,FALSE)</f>
        <v>Dimitris</v>
      </c>
      <c r="H219">
        <f>+'Raw data'!A479</f>
        <v>2</v>
      </c>
      <c r="I219">
        <f>+'Raw data'!B479</f>
        <v>11</v>
      </c>
      <c r="J219">
        <f>+'Raw data'!C479</f>
        <v>0</v>
      </c>
      <c r="M219">
        <f>+'Raw data'!E479</f>
        <v>92</v>
      </c>
      <c r="N219">
        <f>+'Raw data'!F479</f>
        <v>0.47199999999999998</v>
      </c>
      <c r="O219">
        <f>+'Raw data'!G479</f>
        <v>33</v>
      </c>
      <c r="P219">
        <f>+'Raw data'!H479</f>
        <v>0.38400000000000001</v>
      </c>
      <c r="Q219">
        <f>+'Raw data'!I479</f>
        <v>0.82099999999999995</v>
      </c>
      <c r="R219">
        <f>+'Raw data'!J479</f>
        <v>249</v>
      </c>
      <c r="S219">
        <f>+'Raw data'!K479</f>
        <v>20</v>
      </c>
      <c r="T219">
        <f>+'Raw data'!L479</f>
        <v>61</v>
      </c>
      <c r="U219">
        <f>+'Raw data'!M479</f>
        <v>64</v>
      </c>
      <c r="V219">
        <f>+'Raw data'!N479</f>
        <v>23</v>
      </c>
      <c r="W219">
        <f>+'Raw data'!O479</f>
        <v>6</v>
      </c>
      <c r="X219">
        <f>+'Raw data'!P479</f>
        <v>27</v>
      </c>
      <c r="Y219">
        <f>+'Raw data'!Q479</f>
        <v>2.37</v>
      </c>
    </row>
    <row r="220" spans="1:25" x14ac:dyDescent="0.25">
      <c r="A220">
        <v>2025</v>
      </c>
      <c r="B220" t="s">
        <v>57</v>
      </c>
      <c r="C220">
        <f t="shared" si="12"/>
        <v>10</v>
      </c>
      <c r="D220">
        <f t="shared" si="11"/>
        <v>100</v>
      </c>
      <c r="E220" t="str">
        <f>+'Raw data'!A459</f>
        <v>Kourayo Vallecano</v>
      </c>
      <c r="F220" t="str">
        <f>VLOOKUP(E220,Data!$E$2626:$F$2645,2,FALSE)</f>
        <v>Ziogas/Christof</v>
      </c>
      <c r="H220">
        <f>+'Raw data'!A480</f>
        <v>4</v>
      </c>
      <c r="I220">
        <f>+'Raw data'!B480</f>
        <v>9</v>
      </c>
      <c r="J220">
        <f>+'Raw data'!C480</f>
        <v>0</v>
      </c>
      <c r="M220">
        <f>+'Raw data'!E480</f>
        <v>201</v>
      </c>
      <c r="N220">
        <f>+'Raw data'!F480</f>
        <v>0.52500000000000002</v>
      </c>
      <c r="O220">
        <f>+'Raw data'!G480</f>
        <v>55</v>
      </c>
      <c r="P220">
        <f>+'Raw data'!H480</f>
        <v>0.36899999999999999</v>
      </c>
      <c r="Q220">
        <f>+'Raw data'!I480</f>
        <v>0.78700000000000003</v>
      </c>
      <c r="R220">
        <f>+'Raw data'!J480</f>
        <v>527</v>
      </c>
      <c r="S220">
        <f>+'Raw data'!K480</f>
        <v>47</v>
      </c>
      <c r="T220">
        <f>+'Raw data'!L480</f>
        <v>146</v>
      </c>
      <c r="U220">
        <f>+'Raw data'!M480</f>
        <v>110</v>
      </c>
      <c r="V220">
        <f>+'Raw data'!N480</f>
        <v>33</v>
      </c>
      <c r="W220">
        <f>+'Raw data'!O480</f>
        <v>22</v>
      </c>
      <c r="X220">
        <f>+'Raw data'!P480</f>
        <v>41</v>
      </c>
      <c r="Y220">
        <f>+'Raw data'!Q480</f>
        <v>2.68</v>
      </c>
    </row>
    <row r="221" spans="1:25" x14ac:dyDescent="0.25">
      <c r="A221">
        <v>2025</v>
      </c>
      <c r="B221" t="s">
        <v>57</v>
      </c>
      <c r="C221">
        <f t="shared" si="12"/>
        <v>10</v>
      </c>
      <c r="D221">
        <f t="shared" si="11"/>
        <v>100</v>
      </c>
      <c r="E221" t="str">
        <f>+'Raw data'!A460</f>
        <v>The Bridgeburners</v>
      </c>
      <c r="F221" t="str">
        <f>VLOOKUP(E221,Data!$E$2626:$F$2645,2,FALSE)</f>
        <v>Fanis</v>
      </c>
      <c r="H221">
        <f>+'Raw data'!A481</f>
        <v>9</v>
      </c>
      <c r="I221">
        <f>+'Raw data'!B481</f>
        <v>4</v>
      </c>
      <c r="J221">
        <f>+'Raw data'!C481</f>
        <v>0</v>
      </c>
      <c r="M221">
        <f>+'Raw data'!E481</f>
        <v>221</v>
      </c>
      <c r="N221">
        <f>+'Raw data'!F481</f>
        <v>0.49</v>
      </c>
      <c r="O221">
        <f>+'Raw data'!G481</f>
        <v>53</v>
      </c>
      <c r="P221">
        <f>+'Raw data'!H481</f>
        <v>0.32300000000000001</v>
      </c>
      <c r="Q221">
        <f>+'Raw data'!I481</f>
        <v>0.80200000000000005</v>
      </c>
      <c r="R221">
        <f>+'Raw data'!J481</f>
        <v>584</v>
      </c>
      <c r="S221">
        <f>+'Raw data'!K481</f>
        <v>53</v>
      </c>
      <c r="T221">
        <f>+'Raw data'!L481</f>
        <v>182</v>
      </c>
      <c r="U221">
        <f>+'Raw data'!M481</f>
        <v>176</v>
      </c>
      <c r="V221">
        <f>+'Raw data'!N481</f>
        <v>34</v>
      </c>
      <c r="W221">
        <f>+'Raw data'!O481</f>
        <v>39</v>
      </c>
      <c r="X221">
        <f>+'Raw data'!P481</f>
        <v>59</v>
      </c>
      <c r="Y221">
        <f>+'Raw data'!Q481</f>
        <v>2.98</v>
      </c>
    </row>
    <row r="222" spans="1:25" x14ac:dyDescent="0.25">
      <c r="A222">
        <v>2025</v>
      </c>
      <c r="B222" t="s">
        <v>57</v>
      </c>
      <c r="C222">
        <f>+C221+1</f>
        <v>11</v>
      </c>
      <c r="D222">
        <f t="shared" si="11"/>
        <v>101</v>
      </c>
      <c r="E222" t="str">
        <f>+'Raw data'!A485</f>
        <v>Steven Adams' Moustache</v>
      </c>
      <c r="F222" t="str">
        <f>VLOOKUP(E222,Data!$E$2626:$F$2645,2,FALSE)</f>
        <v>Johnny</v>
      </c>
      <c r="H222">
        <f>+'Raw data'!A506</f>
        <v>5</v>
      </c>
      <c r="I222">
        <f>+'Raw data'!B506</f>
        <v>8</v>
      </c>
      <c r="J222">
        <f>+'Raw data'!C506</f>
        <v>0</v>
      </c>
      <c r="M222">
        <f>+'Raw data'!E506</f>
        <v>163</v>
      </c>
      <c r="N222">
        <f>+'Raw data'!F506</f>
        <v>0.42099999999999999</v>
      </c>
      <c r="O222">
        <f>+'Raw data'!G506</f>
        <v>70</v>
      </c>
      <c r="P222">
        <f>+'Raw data'!H506</f>
        <v>0.38</v>
      </c>
      <c r="Q222">
        <f>+'Raw data'!I506</f>
        <v>0.65300000000000002</v>
      </c>
      <c r="R222">
        <f>+'Raw data'!J506</f>
        <v>445</v>
      </c>
      <c r="S222">
        <f>+'Raw data'!K506</f>
        <v>32</v>
      </c>
      <c r="T222">
        <f>+'Raw data'!L506</f>
        <v>105</v>
      </c>
      <c r="U222">
        <f>+'Raw data'!M506</f>
        <v>93</v>
      </c>
      <c r="V222">
        <f>+'Raw data'!N506</f>
        <v>30</v>
      </c>
      <c r="W222">
        <f>+'Raw data'!O506</f>
        <v>26</v>
      </c>
      <c r="X222">
        <f>+'Raw data'!P506</f>
        <v>41</v>
      </c>
      <c r="Y222">
        <f>+'Raw data'!Q506</f>
        <v>2.27</v>
      </c>
    </row>
    <row r="223" spans="1:25" x14ac:dyDescent="0.25">
      <c r="A223">
        <v>2025</v>
      </c>
      <c r="B223" t="s">
        <v>57</v>
      </c>
      <c r="C223">
        <f>+C222</f>
        <v>11</v>
      </c>
      <c r="D223">
        <f t="shared" si="11"/>
        <v>101</v>
      </c>
      <c r="E223" t="str">
        <f>+'Raw data'!A486</f>
        <v>LRBP PR3DATORS</v>
      </c>
      <c r="F223" t="str">
        <f>VLOOKUP(E223,Data!$E$2626:$F$2645,2,FALSE)</f>
        <v>Lafa</v>
      </c>
      <c r="H223">
        <f>+'Raw data'!A507</f>
        <v>8</v>
      </c>
      <c r="I223">
        <f>+'Raw data'!B507</f>
        <v>5</v>
      </c>
      <c r="J223">
        <f>+'Raw data'!C507</f>
        <v>0</v>
      </c>
      <c r="M223">
        <f>+'Raw data'!E507</f>
        <v>229</v>
      </c>
      <c r="N223">
        <f>+'Raw data'!F507</f>
        <v>0.46</v>
      </c>
      <c r="O223">
        <f>+'Raw data'!G507</f>
        <v>53</v>
      </c>
      <c r="P223">
        <f>+'Raw data'!H507</f>
        <v>0.312</v>
      </c>
      <c r="Q223">
        <f>+'Raw data'!I507</f>
        <v>0.77800000000000002</v>
      </c>
      <c r="R223">
        <f>+'Raw data'!J507</f>
        <v>634</v>
      </c>
      <c r="S223">
        <f>+'Raw data'!K507</f>
        <v>52</v>
      </c>
      <c r="T223">
        <f>+'Raw data'!L507</f>
        <v>174</v>
      </c>
      <c r="U223">
        <f>+'Raw data'!M507</f>
        <v>131</v>
      </c>
      <c r="V223">
        <f>+'Raw data'!N507</f>
        <v>33</v>
      </c>
      <c r="W223">
        <f>+'Raw data'!O507</f>
        <v>20</v>
      </c>
      <c r="X223">
        <f>+'Raw data'!P507</f>
        <v>98</v>
      </c>
      <c r="Y223">
        <f>+'Raw data'!Q507</f>
        <v>1.34</v>
      </c>
    </row>
    <row r="224" spans="1:25" x14ac:dyDescent="0.25">
      <c r="A224">
        <v>2025</v>
      </c>
      <c r="B224" t="s">
        <v>57</v>
      </c>
      <c r="C224">
        <f>+C223</f>
        <v>11</v>
      </c>
      <c r="D224">
        <f t="shared" si="11"/>
        <v>102</v>
      </c>
      <c r="E224" t="str">
        <f>+'Raw data'!A487</f>
        <v>Salonika Devils</v>
      </c>
      <c r="F224" t="str">
        <f>VLOOKUP(E224,Data!$E$2626:$F$2645,2,FALSE)</f>
        <v>Fountos</v>
      </c>
      <c r="H224">
        <f>+'Raw data'!A508</f>
        <v>6</v>
      </c>
      <c r="I224">
        <f>+'Raw data'!B508</f>
        <v>6</v>
      </c>
      <c r="J224">
        <f>+'Raw data'!C508</f>
        <v>1</v>
      </c>
      <c r="M224">
        <f>+'Raw data'!E508</f>
        <v>138</v>
      </c>
      <c r="N224">
        <f>+'Raw data'!F508</f>
        <v>0.46</v>
      </c>
      <c r="O224">
        <f>+'Raw data'!G508</f>
        <v>53</v>
      </c>
      <c r="P224">
        <f>+'Raw data'!H508</f>
        <v>0.376</v>
      </c>
      <c r="Q224">
        <f>+'Raw data'!I508</f>
        <v>0.83299999999999996</v>
      </c>
      <c r="R224">
        <f>+'Raw data'!J508</f>
        <v>379</v>
      </c>
      <c r="S224">
        <f>+'Raw data'!K508</f>
        <v>31</v>
      </c>
      <c r="T224">
        <f>+'Raw data'!L508</f>
        <v>105</v>
      </c>
      <c r="U224">
        <f>+'Raw data'!M508</f>
        <v>101</v>
      </c>
      <c r="V224">
        <f>+'Raw data'!N508</f>
        <v>24</v>
      </c>
      <c r="W224">
        <f>+'Raw data'!O508</f>
        <v>12</v>
      </c>
      <c r="X224">
        <f>+'Raw data'!P508</f>
        <v>51</v>
      </c>
      <c r="Y224">
        <f>+'Raw data'!Q508</f>
        <v>1.98</v>
      </c>
    </row>
    <row r="225" spans="1:25" x14ac:dyDescent="0.25">
      <c r="A225">
        <v>2025</v>
      </c>
      <c r="B225" t="s">
        <v>57</v>
      </c>
      <c r="C225">
        <f>+C224</f>
        <v>11</v>
      </c>
      <c r="D225">
        <f t="shared" si="11"/>
        <v>102</v>
      </c>
      <c r="E225" t="str">
        <f>+'Raw data'!A488</f>
        <v>Paralouistas</v>
      </c>
      <c r="F225" t="str">
        <f>VLOOKUP(E225,Data!$E$2626:$F$2645,2,FALSE)</f>
        <v>Panos</v>
      </c>
      <c r="H225">
        <f>+'Raw data'!A509</f>
        <v>6</v>
      </c>
      <c r="I225">
        <f>+'Raw data'!B509</f>
        <v>6</v>
      </c>
      <c r="J225">
        <f>+'Raw data'!C509</f>
        <v>1</v>
      </c>
      <c r="M225">
        <f>+'Raw data'!E509</f>
        <v>150</v>
      </c>
      <c r="N225">
        <f>+'Raw data'!F509</f>
        <v>0.44400000000000001</v>
      </c>
      <c r="O225">
        <f>+'Raw data'!G509</f>
        <v>60</v>
      </c>
      <c r="P225">
        <f>+'Raw data'!H509</f>
        <v>0.41399999999999998</v>
      </c>
      <c r="Q225">
        <f>+'Raw data'!I509</f>
        <v>0.78800000000000003</v>
      </c>
      <c r="R225">
        <f>+'Raw data'!J509</f>
        <v>412</v>
      </c>
      <c r="S225">
        <f>+'Raw data'!K509</f>
        <v>31</v>
      </c>
      <c r="T225">
        <f>+'Raw data'!L509</f>
        <v>89</v>
      </c>
      <c r="U225">
        <f>+'Raw data'!M509</f>
        <v>89</v>
      </c>
      <c r="V225">
        <f>+'Raw data'!N509</f>
        <v>30</v>
      </c>
      <c r="W225">
        <f>+'Raw data'!O509</f>
        <v>18</v>
      </c>
      <c r="X225">
        <f>+'Raw data'!P509</f>
        <v>65</v>
      </c>
      <c r="Y225">
        <f>+'Raw data'!Q509</f>
        <v>1.37</v>
      </c>
    </row>
    <row r="226" spans="1:25" x14ac:dyDescent="0.25">
      <c r="A226">
        <v>2025</v>
      </c>
      <c r="B226" t="s">
        <v>57</v>
      </c>
      <c r="C226">
        <f t="shared" ref="C226:C241" si="13">+C225</f>
        <v>11</v>
      </c>
      <c r="D226">
        <f t="shared" si="11"/>
        <v>103</v>
      </c>
      <c r="E226" t="str">
        <f>+'Raw data'!A489</f>
        <v>Samarina Dudenbros</v>
      </c>
      <c r="F226" t="str">
        <f>VLOOKUP(E226,Data!$E$2626:$F$2645,2,FALSE)</f>
        <v>Sakellariou</v>
      </c>
      <c r="H226">
        <f>+'Raw data'!A510</f>
        <v>9</v>
      </c>
      <c r="I226">
        <f>+'Raw data'!B510</f>
        <v>4</v>
      </c>
      <c r="J226">
        <f>+'Raw data'!C510</f>
        <v>0</v>
      </c>
      <c r="M226">
        <f>+'Raw data'!E510</f>
        <v>186</v>
      </c>
      <c r="N226">
        <f>+'Raw data'!F510</f>
        <v>0.45100000000000001</v>
      </c>
      <c r="O226">
        <f>+'Raw data'!G510</f>
        <v>54</v>
      </c>
      <c r="P226">
        <f>+'Raw data'!H510</f>
        <v>0.36499999999999999</v>
      </c>
      <c r="Q226">
        <f>+'Raw data'!I510</f>
        <v>0.83199999999999996</v>
      </c>
      <c r="R226">
        <f>+'Raw data'!J510</f>
        <v>525</v>
      </c>
      <c r="S226">
        <f>+'Raw data'!K510</f>
        <v>53</v>
      </c>
      <c r="T226">
        <f>+'Raw data'!L510</f>
        <v>146</v>
      </c>
      <c r="U226">
        <f>+'Raw data'!M510</f>
        <v>132</v>
      </c>
      <c r="V226">
        <f>+'Raw data'!N510</f>
        <v>44</v>
      </c>
      <c r="W226">
        <f>+'Raw data'!O510</f>
        <v>16</v>
      </c>
      <c r="X226">
        <f>+'Raw data'!P510</f>
        <v>55</v>
      </c>
      <c r="Y226">
        <f>+'Raw data'!Q510</f>
        <v>2.4</v>
      </c>
    </row>
    <row r="227" spans="1:25" x14ac:dyDescent="0.25">
      <c r="A227">
        <v>2025</v>
      </c>
      <c r="B227" t="s">
        <v>57</v>
      </c>
      <c r="C227">
        <f t="shared" si="13"/>
        <v>11</v>
      </c>
      <c r="D227">
        <f t="shared" si="11"/>
        <v>103</v>
      </c>
      <c r="E227" t="str">
        <f>+'Raw data'!A490</f>
        <v>st.Helens Eruptions</v>
      </c>
      <c r="F227" t="str">
        <f>VLOOKUP(E227,Data!$E$2626:$F$2645,2,FALSE)</f>
        <v>Aris</v>
      </c>
      <c r="H227">
        <f>+'Raw data'!A511</f>
        <v>4</v>
      </c>
      <c r="I227">
        <f>+'Raw data'!B511</f>
        <v>9</v>
      </c>
      <c r="J227">
        <f>+'Raw data'!C511</f>
        <v>0</v>
      </c>
      <c r="M227">
        <f>+'Raw data'!E511</f>
        <v>171</v>
      </c>
      <c r="N227">
        <f>+'Raw data'!F511</f>
        <v>0.51</v>
      </c>
      <c r="O227">
        <f>+'Raw data'!G511</f>
        <v>37</v>
      </c>
      <c r="P227">
        <f>+'Raw data'!H511</f>
        <v>0.36599999999999999</v>
      </c>
      <c r="Q227">
        <f>+'Raw data'!I511</f>
        <v>0.66700000000000004</v>
      </c>
      <c r="R227">
        <f>+'Raw data'!J511</f>
        <v>427</v>
      </c>
      <c r="S227">
        <f>+'Raw data'!K511</f>
        <v>43</v>
      </c>
      <c r="T227">
        <f>+'Raw data'!L511</f>
        <v>150</v>
      </c>
      <c r="U227">
        <f>+'Raw data'!M511</f>
        <v>120</v>
      </c>
      <c r="V227">
        <f>+'Raw data'!N511</f>
        <v>34</v>
      </c>
      <c r="W227">
        <f>+'Raw data'!O511</f>
        <v>21</v>
      </c>
      <c r="X227">
        <f>+'Raw data'!P511</f>
        <v>56</v>
      </c>
      <c r="Y227">
        <f>+'Raw data'!Q511</f>
        <v>2.14</v>
      </c>
    </row>
    <row r="228" spans="1:25" x14ac:dyDescent="0.25">
      <c r="A228">
        <v>2025</v>
      </c>
      <c r="B228" t="s">
        <v>57</v>
      </c>
      <c r="C228">
        <f t="shared" si="13"/>
        <v>11</v>
      </c>
      <c r="D228">
        <f t="shared" si="11"/>
        <v>104</v>
      </c>
      <c r="E228" t="str">
        <f>+'Raw data'!A491</f>
        <v>The Bad Boys</v>
      </c>
      <c r="F228" t="str">
        <f>VLOOKUP(E228,Data!$E$2626:$F$2645,2,FALSE)</f>
        <v>Arvanitis</v>
      </c>
      <c r="H228">
        <f>+'Raw data'!A512</f>
        <v>9</v>
      </c>
      <c r="I228">
        <f>+'Raw data'!B512</f>
        <v>3</v>
      </c>
      <c r="J228">
        <f>+'Raw data'!C512</f>
        <v>1</v>
      </c>
      <c r="M228">
        <f>+'Raw data'!E512</f>
        <v>216</v>
      </c>
      <c r="N228">
        <f>+'Raw data'!F512</f>
        <v>0.45</v>
      </c>
      <c r="O228">
        <f>+'Raw data'!G512</f>
        <v>46</v>
      </c>
      <c r="P228">
        <f>+'Raw data'!H512</f>
        <v>0.34100000000000003</v>
      </c>
      <c r="Q228">
        <f>+'Raw data'!I512</f>
        <v>0.70199999999999996</v>
      </c>
      <c r="R228">
        <f>+'Raw data'!J512</f>
        <v>577</v>
      </c>
      <c r="S228">
        <f>+'Raw data'!K512</f>
        <v>59</v>
      </c>
      <c r="T228">
        <f>+'Raw data'!L512</f>
        <v>164</v>
      </c>
      <c r="U228">
        <f>+'Raw data'!M512</f>
        <v>115</v>
      </c>
      <c r="V228">
        <f>+'Raw data'!N512</f>
        <v>34</v>
      </c>
      <c r="W228">
        <f>+'Raw data'!O512</f>
        <v>25</v>
      </c>
      <c r="X228">
        <f>+'Raw data'!P512</f>
        <v>91</v>
      </c>
      <c r="Y228">
        <f>+'Raw data'!Q512</f>
        <v>1.26</v>
      </c>
    </row>
    <row r="229" spans="1:25" x14ac:dyDescent="0.25">
      <c r="A229">
        <v>2025</v>
      </c>
      <c r="B229" t="s">
        <v>57</v>
      </c>
      <c r="C229">
        <f t="shared" si="13"/>
        <v>11</v>
      </c>
      <c r="D229">
        <f t="shared" si="11"/>
        <v>104</v>
      </c>
      <c r="E229" t="str">
        <f>+'Raw data'!A492</f>
        <v>Pachiana NinjaBees</v>
      </c>
      <c r="F229" t="str">
        <f>VLOOKUP(E229,Data!$E$2626:$F$2645,2,FALSE)</f>
        <v>Spiridaus/Oladipas</v>
      </c>
      <c r="H229">
        <f>+'Raw data'!A513</f>
        <v>3</v>
      </c>
      <c r="I229">
        <f>+'Raw data'!B513</f>
        <v>9</v>
      </c>
      <c r="J229">
        <f>+'Raw data'!C513</f>
        <v>1</v>
      </c>
      <c r="M229">
        <f>+'Raw data'!E513</f>
        <v>162</v>
      </c>
      <c r="N229">
        <f>+'Raw data'!F513</f>
        <v>0.45</v>
      </c>
      <c r="O229">
        <f>+'Raw data'!G513</f>
        <v>42</v>
      </c>
      <c r="P229">
        <f>+'Raw data'!H513</f>
        <v>0.28999999999999998</v>
      </c>
      <c r="Q229">
        <f>+'Raw data'!I513</f>
        <v>0.84499999999999997</v>
      </c>
      <c r="R229">
        <f>+'Raw data'!J513</f>
        <v>437</v>
      </c>
      <c r="S229">
        <f>+'Raw data'!K513</f>
        <v>52</v>
      </c>
      <c r="T229">
        <f>+'Raw data'!L513</f>
        <v>150</v>
      </c>
      <c r="U229">
        <f>+'Raw data'!M513</f>
        <v>113</v>
      </c>
      <c r="V229">
        <f>+'Raw data'!N513</f>
        <v>32</v>
      </c>
      <c r="W229">
        <f>+'Raw data'!O513</f>
        <v>22</v>
      </c>
      <c r="X229">
        <f>+'Raw data'!P513</f>
        <v>50</v>
      </c>
      <c r="Y229">
        <f>+'Raw data'!Q513</f>
        <v>2.2599999999999998</v>
      </c>
    </row>
    <row r="230" spans="1:25" x14ac:dyDescent="0.25">
      <c r="A230">
        <v>2025</v>
      </c>
      <c r="B230" t="s">
        <v>57</v>
      </c>
      <c r="C230">
        <f t="shared" si="13"/>
        <v>11</v>
      </c>
      <c r="D230">
        <f t="shared" si="11"/>
        <v>105</v>
      </c>
      <c r="E230" t="str">
        <f>+'Raw data'!A493</f>
        <v>purple fuzzy apache pirates</v>
      </c>
      <c r="F230" t="str">
        <f>VLOOKUP(E230,Data!$E$2626:$F$2645,2,FALSE)</f>
        <v>pi/Sotiris</v>
      </c>
      <c r="H230">
        <f>+'Raw data'!A514</f>
        <v>4</v>
      </c>
      <c r="I230">
        <f>+'Raw data'!B514</f>
        <v>9</v>
      </c>
      <c r="J230">
        <f>+'Raw data'!C514</f>
        <v>0</v>
      </c>
      <c r="M230">
        <f>+'Raw data'!E514</f>
        <v>177</v>
      </c>
      <c r="N230">
        <f>+'Raw data'!F514</f>
        <v>0.50900000000000001</v>
      </c>
      <c r="O230">
        <f>+'Raw data'!G514</f>
        <v>48</v>
      </c>
      <c r="P230">
        <f>+'Raw data'!H514</f>
        <v>0.34300000000000003</v>
      </c>
      <c r="Q230">
        <f>+'Raw data'!I514</f>
        <v>0.73899999999999999</v>
      </c>
      <c r="R230">
        <f>+'Raw data'!J514</f>
        <v>467</v>
      </c>
      <c r="S230">
        <f>+'Raw data'!K514</f>
        <v>35</v>
      </c>
      <c r="T230">
        <f>+'Raw data'!L514</f>
        <v>102</v>
      </c>
      <c r="U230">
        <f>+'Raw data'!M514</f>
        <v>108</v>
      </c>
      <c r="V230">
        <f>+'Raw data'!N514</f>
        <v>30</v>
      </c>
      <c r="W230">
        <f>+'Raw data'!O514</f>
        <v>14</v>
      </c>
      <c r="X230">
        <f>+'Raw data'!P514</f>
        <v>44</v>
      </c>
      <c r="Y230">
        <f>+'Raw data'!Q514</f>
        <v>2.4500000000000002</v>
      </c>
    </row>
    <row r="231" spans="1:25" x14ac:dyDescent="0.25">
      <c r="A231">
        <v>2025</v>
      </c>
      <c r="B231" t="s">
        <v>57</v>
      </c>
      <c r="C231">
        <f t="shared" si="13"/>
        <v>11</v>
      </c>
      <c r="D231">
        <f t="shared" si="11"/>
        <v>105</v>
      </c>
      <c r="E231" t="str">
        <f>+'Raw data'!A494</f>
        <v>Karafli Saita</v>
      </c>
      <c r="F231" t="str">
        <f>VLOOKUP(E231,Data!$E$2626:$F$2645,2,FALSE)</f>
        <v>Tassos</v>
      </c>
      <c r="H231">
        <f>+'Raw data'!A515</f>
        <v>9</v>
      </c>
      <c r="I231">
        <f>+'Raw data'!B515</f>
        <v>4</v>
      </c>
      <c r="J231">
        <f>+'Raw data'!C515</f>
        <v>0</v>
      </c>
      <c r="M231">
        <f>+'Raw data'!E515</f>
        <v>223</v>
      </c>
      <c r="N231">
        <f>+'Raw data'!F515</f>
        <v>0.49399999999999999</v>
      </c>
      <c r="O231">
        <f>+'Raw data'!G515</f>
        <v>51</v>
      </c>
      <c r="P231">
        <f>+'Raw data'!H515</f>
        <v>0.35199999999999998</v>
      </c>
      <c r="Q231">
        <f>+'Raw data'!I515</f>
        <v>0.73799999999999999</v>
      </c>
      <c r="R231">
        <f>+'Raw data'!J515</f>
        <v>587</v>
      </c>
      <c r="S231">
        <f>+'Raw data'!K515</f>
        <v>46</v>
      </c>
      <c r="T231">
        <f>+'Raw data'!L515</f>
        <v>138</v>
      </c>
      <c r="U231">
        <f>+'Raw data'!M515</f>
        <v>149</v>
      </c>
      <c r="V231">
        <f>+'Raw data'!N515</f>
        <v>35</v>
      </c>
      <c r="W231">
        <f>+'Raw data'!O515</f>
        <v>26</v>
      </c>
      <c r="X231">
        <f>+'Raw data'!P515</f>
        <v>73</v>
      </c>
      <c r="Y231">
        <f>+'Raw data'!Q515</f>
        <v>2.04</v>
      </c>
    </row>
    <row r="232" spans="1:25" x14ac:dyDescent="0.25">
      <c r="A232">
        <v>2025</v>
      </c>
      <c r="B232" t="s">
        <v>57</v>
      </c>
      <c r="C232">
        <f t="shared" si="13"/>
        <v>11</v>
      </c>
      <c r="D232">
        <f t="shared" si="11"/>
        <v>106</v>
      </c>
      <c r="E232" t="str">
        <f>+'Raw data'!A495</f>
        <v>Knights of Ni</v>
      </c>
      <c r="F232" t="str">
        <f>VLOOKUP(E232,Data!$E$2626:$F$2645,2,FALSE)</f>
        <v>Tolios</v>
      </c>
      <c r="H232">
        <f>+'Raw data'!A516</f>
        <v>3</v>
      </c>
      <c r="I232">
        <f>+'Raw data'!B516</f>
        <v>9</v>
      </c>
      <c r="J232">
        <f>+'Raw data'!C516</f>
        <v>1</v>
      </c>
      <c r="M232">
        <f>+'Raw data'!E516</f>
        <v>158</v>
      </c>
      <c r="N232">
        <f>+'Raw data'!F516</f>
        <v>0.46100000000000002</v>
      </c>
      <c r="O232">
        <f>+'Raw data'!G516</f>
        <v>58</v>
      </c>
      <c r="P232">
        <f>+'Raw data'!H516</f>
        <v>0.44600000000000001</v>
      </c>
      <c r="Q232">
        <f>+'Raw data'!I516</f>
        <v>0.82</v>
      </c>
      <c r="R232">
        <f>+'Raw data'!J516</f>
        <v>456</v>
      </c>
      <c r="S232">
        <f>+'Raw data'!K516</f>
        <v>30</v>
      </c>
      <c r="T232">
        <f>+'Raw data'!L516</f>
        <v>115</v>
      </c>
      <c r="U232">
        <f>+'Raw data'!M516</f>
        <v>107</v>
      </c>
      <c r="V232">
        <f>+'Raw data'!N516</f>
        <v>30</v>
      </c>
      <c r="W232">
        <f>+'Raw data'!O516</f>
        <v>14</v>
      </c>
      <c r="X232">
        <f>+'Raw data'!P516</f>
        <v>76</v>
      </c>
      <c r="Y232">
        <f>+'Raw data'!Q516</f>
        <v>1.41</v>
      </c>
    </row>
    <row r="233" spans="1:25" x14ac:dyDescent="0.25">
      <c r="A233">
        <v>2025</v>
      </c>
      <c r="B233" t="s">
        <v>57</v>
      </c>
      <c r="C233">
        <f t="shared" si="13"/>
        <v>11</v>
      </c>
      <c r="D233">
        <f t="shared" si="11"/>
        <v>106</v>
      </c>
      <c r="E233" t="str">
        <f>+'Raw data'!A496</f>
        <v>Fighting Thaddeus</v>
      </c>
      <c r="F233" t="str">
        <f>VLOOKUP(E233,Data!$E$2626:$F$2645,2,FALSE)</f>
        <v>Stavros</v>
      </c>
      <c r="H233">
        <f>+'Raw data'!A517</f>
        <v>9</v>
      </c>
      <c r="I233">
        <f>+'Raw data'!B517</f>
        <v>3</v>
      </c>
      <c r="J233">
        <f>+'Raw data'!C517</f>
        <v>1</v>
      </c>
      <c r="M233">
        <f>+'Raw data'!E517</f>
        <v>202</v>
      </c>
      <c r="N233">
        <f>+'Raw data'!F517</f>
        <v>0.45700000000000002</v>
      </c>
      <c r="O233">
        <f>+'Raw data'!G517</f>
        <v>57</v>
      </c>
      <c r="P233">
        <f>+'Raw data'!H517</f>
        <v>0.308</v>
      </c>
      <c r="Q233">
        <f>+'Raw data'!I517</f>
        <v>0.90300000000000002</v>
      </c>
      <c r="R233">
        <f>+'Raw data'!J517</f>
        <v>545</v>
      </c>
      <c r="S233">
        <f>+'Raw data'!K517</f>
        <v>53</v>
      </c>
      <c r="T233">
        <f>+'Raw data'!L517</f>
        <v>137</v>
      </c>
      <c r="U233">
        <f>+'Raw data'!M517</f>
        <v>132</v>
      </c>
      <c r="V233">
        <f>+'Raw data'!N517</f>
        <v>30</v>
      </c>
      <c r="W233">
        <f>+'Raw data'!O517</f>
        <v>27</v>
      </c>
      <c r="X233">
        <f>+'Raw data'!P517</f>
        <v>64</v>
      </c>
      <c r="Y233">
        <f>+'Raw data'!Q517</f>
        <v>2.06</v>
      </c>
    </row>
    <row r="234" spans="1:25" x14ac:dyDescent="0.25">
      <c r="A234">
        <v>2025</v>
      </c>
      <c r="B234" t="s">
        <v>57</v>
      </c>
      <c r="C234">
        <f t="shared" si="13"/>
        <v>11</v>
      </c>
      <c r="D234">
        <f t="shared" si="11"/>
        <v>107</v>
      </c>
      <c r="E234" t="str">
        <f>+'Raw data'!A497</f>
        <v>Guruuu 🐐🐐🐐</v>
      </c>
      <c r="F234" t="str">
        <f>VLOOKUP(E234,Data!$E$2626:$F$2645,2,FALSE)</f>
        <v>Guru</v>
      </c>
      <c r="H234">
        <f>+'Raw data'!A518</f>
        <v>7</v>
      </c>
      <c r="I234">
        <f>+'Raw data'!B518</f>
        <v>6</v>
      </c>
      <c r="J234">
        <f>+'Raw data'!C518</f>
        <v>0</v>
      </c>
      <c r="M234">
        <f>+'Raw data'!E518</f>
        <v>161</v>
      </c>
      <c r="N234">
        <f>+'Raw data'!F518</f>
        <v>0.44700000000000001</v>
      </c>
      <c r="O234">
        <f>+'Raw data'!G518</f>
        <v>52</v>
      </c>
      <c r="P234">
        <f>+'Raw data'!H518</f>
        <v>0.33100000000000002</v>
      </c>
      <c r="Q234">
        <f>+'Raw data'!I518</f>
        <v>0.77800000000000002</v>
      </c>
      <c r="R234">
        <f>+'Raw data'!J518</f>
        <v>444</v>
      </c>
      <c r="S234">
        <f>+'Raw data'!K518</f>
        <v>42</v>
      </c>
      <c r="T234">
        <f>+'Raw data'!L518</f>
        <v>126</v>
      </c>
      <c r="U234">
        <f>+'Raw data'!M518</f>
        <v>108</v>
      </c>
      <c r="V234">
        <f>+'Raw data'!N518</f>
        <v>28</v>
      </c>
      <c r="W234">
        <f>+'Raw data'!O518</f>
        <v>11</v>
      </c>
      <c r="X234">
        <f>+'Raw data'!P518</f>
        <v>54</v>
      </c>
      <c r="Y234">
        <f>+'Raw data'!Q518</f>
        <v>2</v>
      </c>
    </row>
    <row r="235" spans="1:25" x14ac:dyDescent="0.25">
      <c r="A235">
        <v>2025</v>
      </c>
      <c r="B235" t="s">
        <v>57</v>
      </c>
      <c r="C235">
        <f t="shared" si="13"/>
        <v>11</v>
      </c>
      <c r="D235">
        <f t="shared" si="11"/>
        <v>107</v>
      </c>
      <c r="E235" t="str">
        <f>+'Raw data'!A498</f>
        <v>Hércules Pals</v>
      </c>
      <c r="F235" t="e">
        <f>VLOOKUP(E235,Data!$E$2626:$F$2645,2,FALSE)</f>
        <v>#N/A</v>
      </c>
      <c r="H235">
        <f>+'Raw data'!A519</f>
        <v>6</v>
      </c>
      <c r="I235">
        <f>+'Raw data'!B519</f>
        <v>7</v>
      </c>
      <c r="J235">
        <f>+'Raw data'!C519</f>
        <v>0</v>
      </c>
      <c r="M235">
        <f>+'Raw data'!E519</f>
        <v>137</v>
      </c>
      <c r="N235">
        <f>+'Raw data'!F519</f>
        <v>0.502</v>
      </c>
      <c r="O235">
        <f>+'Raw data'!G519</f>
        <v>41</v>
      </c>
      <c r="P235">
        <f>+'Raw data'!H519</f>
        <v>0.318</v>
      </c>
      <c r="Q235">
        <f>+'Raw data'!I519</f>
        <v>0.879</v>
      </c>
      <c r="R235">
        <f>+'Raw data'!J519</f>
        <v>366</v>
      </c>
      <c r="S235">
        <f>+'Raw data'!K519</f>
        <v>64</v>
      </c>
      <c r="T235">
        <f>+'Raw data'!L519</f>
        <v>132</v>
      </c>
      <c r="U235">
        <f>+'Raw data'!M519</f>
        <v>90</v>
      </c>
      <c r="V235">
        <f>+'Raw data'!N519</f>
        <v>32</v>
      </c>
      <c r="W235">
        <f>+'Raw data'!O519</f>
        <v>22</v>
      </c>
      <c r="X235">
        <f>+'Raw data'!P519</f>
        <v>59</v>
      </c>
      <c r="Y235">
        <f>+'Raw data'!Q519</f>
        <v>1.53</v>
      </c>
    </row>
    <row r="236" spans="1:25" x14ac:dyDescent="0.25">
      <c r="A236">
        <v>2025</v>
      </c>
      <c r="B236" t="s">
        <v>57</v>
      </c>
      <c r="C236">
        <f t="shared" si="13"/>
        <v>11</v>
      </c>
      <c r="D236">
        <f t="shared" si="11"/>
        <v>108</v>
      </c>
      <c r="E236" t="str">
        <f>+'Raw data'!A499</f>
        <v>Heraklion Snakes</v>
      </c>
      <c r="F236" t="str">
        <f>VLOOKUP(E236,Data!$E$2626:$F$2645,2,FALSE)</f>
        <v>Dimitris</v>
      </c>
      <c r="H236">
        <f>+'Raw data'!A520</f>
        <v>6</v>
      </c>
      <c r="I236">
        <f>+'Raw data'!B520</f>
        <v>6</v>
      </c>
      <c r="J236">
        <f>+'Raw data'!C520</f>
        <v>1</v>
      </c>
      <c r="M236">
        <f>+'Raw data'!E520</f>
        <v>84</v>
      </c>
      <c r="N236">
        <f>+'Raw data'!F520</f>
        <v>0.44700000000000001</v>
      </c>
      <c r="O236">
        <f>+'Raw data'!G520</f>
        <v>35</v>
      </c>
      <c r="P236">
        <f>+'Raw data'!H520</f>
        <v>0.36799999999999999</v>
      </c>
      <c r="Q236">
        <f>+'Raw data'!I520</f>
        <v>0.86399999999999999</v>
      </c>
      <c r="R236">
        <f>+'Raw data'!J520</f>
        <v>222</v>
      </c>
      <c r="S236">
        <f>+'Raw data'!K520</f>
        <v>20</v>
      </c>
      <c r="T236">
        <f>+'Raw data'!L520</f>
        <v>77</v>
      </c>
      <c r="U236">
        <f>+'Raw data'!M520</f>
        <v>59</v>
      </c>
      <c r="V236">
        <f>+'Raw data'!N520</f>
        <v>22</v>
      </c>
      <c r="W236">
        <f>+'Raw data'!O520</f>
        <v>10</v>
      </c>
      <c r="X236">
        <f>+'Raw data'!P520</f>
        <v>31</v>
      </c>
      <c r="Y236">
        <f>+'Raw data'!Q520</f>
        <v>1.9</v>
      </c>
    </row>
    <row r="237" spans="1:25" x14ac:dyDescent="0.25">
      <c r="A237">
        <v>2025</v>
      </c>
      <c r="B237" t="s">
        <v>57</v>
      </c>
      <c r="C237">
        <f t="shared" si="13"/>
        <v>11</v>
      </c>
      <c r="D237">
        <f t="shared" si="11"/>
        <v>108</v>
      </c>
      <c r="E237" t="str">
        <f>+'Raw data'!A500</f>
        <v>Tsarlatans</v>
      </c>
      <c r="F237" t="str">
        <f>VLOOKUP(E237,Data!$E$2626:$F$2645,2,FALSE)</f>
        <v>Tzokos</v>
      </c>
      <c r="H237">
        <f>+'Raw data'!A521</f>
        <v>6</v>
      </c>
      <c r="I237">
        <f>+'Raw data'!B521</f>
        <v>6</v>
      </c>
      <c r="J237">
        <f>+'Raw data'!C521</f>
        <v>1</v>
      </c>
      <c r="M237">
        <f>+'Raw data'!E521</f>
        <v>122</v>
      </c>
      <c r="N237">
        <f>+'Raw data'!F521</f>
        <v>0.46899999999999997</v>
      </c>
      <c r="O237">
        <f>+'Raw data'!G521</f>
        <v>32</v>
      </c>
      <c r="P237">
        <f>+'Raw data'!H521</f>
        <v>0.34399999999999997</v>
      </c>
      <c r="Q237">
        <f>+'Raw data'!I521</f>
        <v>0.745</v>
      </c>
      <c r="R237">
        <f>+'Raw data'!J521</f>
        <v>314</v>
      </c>
      <c r="S237">
        <f>+'Raw data'!K521</f>
        <v>30</v>
      </c>
      <c r="T237">
        <f>+'Raw data'!L521</f>
        <v>113</v>
      </c>
      <c r="U237">
        <f>+'Raw data'!M521</f>
        <v>68</v>
      </c>
      <c r="V237">
        <f>+'Raw data'!N521</f>
        <v>17</v>
      </c>
      <c r="W237">
        <f>+'Raw data'!O521</f>
        <v>10</v>
      </c>
      <c r="X237">
        <f>+'Raw data'!P521</f>
        <v>41</v>
      </c>
      <c r="Y237">
        <f>+'Raw data'!Q521</f>
        <v>1.66</v>
      </c>
    </row>
    <row r="238" spans="1:25" x14ac:dyDescent="0.25">
      <c r="A238">
        <v>2025</v>
      </c>
      <c r="B238" t="s">
        <v>57</v>
      </c>
      <c r="C238">
        <f t="shared" si="13"/>
        <v>11</v>
      </c>
      <c r="D238">
        <f t="shared" si="11"/>
        <v>109</v>
      </c>
      <c r="E238" t="str">
        <f>+'Raw data'!A501</f>
        <v>The Bridgeburners</v>
      </c>
      <c r="F238" t="str">
        <f>VLOOKUP(E238,Data!$E$2626:$F$2645,2,FALSE)</f>
        <v>Fanis</v>
      </c>
      <c r="H238">
        <f>+'Raw data'!A522</f>
        <v>6</v>
      </c>
      <c r="I238">
        <f>+'Raw data'!B522</f>
        <v>6</v>
      </c>
      <c r="J238">
        <f>+'Raw data'!C522</f>
        <v>1</v>
      </c>
      <c r="M238">
        <f>+'Raw data'!E522</f>
        <v>216</v>
      </c>
      <c r="N238">
        <f>+'Raw data'!F522</f>
        <v>0.52900000000000003</v>
      </c>
      <c r="O238">
        <f>+'Raw data'!G522</f>
        <v>56</v>
      </c>
      <c r="P238">
        <f>+'Raw data'!H522</f>
        <v>0.40899999999999997</v>
      </c>
      <c r="Q238">
        <f>+'Raw data'!I522</f>
        <v>0.76800000000000002</v>
      </c>
      <c r="R238">
        <f>+'Raw data'!J522</f>
        <v>551</v>
      </c>
      <c r="S238">
        <f>+'Raw data'!K522</f>
        <v>65</v>
      </c>
      <c r="T238">
        <f>+'Raw data'!L522</f>
        <v>145</v>
      </c>
      <c r="U238">
        <f>+'Raw data'!M522</f>
        <v>135</v>
      </c>
      <c r="V238">
        <f>+'Raw data'!N522</f>
        <v>36</v>
      </c>
      <c r="W238">
        <f>+'Raw data'!O522</f>
        <v>19</v>
      </c>
      <c r="X238">
        <f>+'Raw data'!P522</f>
        <v>68</v>
      </c>
      <c r="Y238">
        <f>+'Raw data'!Q522</f>
        <v>1.99</v>
      </c>
    </row>
    <row r="239" spans="1:25" x14ac:dyDescent="0.25">
      <c r="A239">
        <v>2025</v>
      </c>
      <c r="B239" t="s">
        <v>57</v>
      </c>
      <c r="C239">
        <f t="shared" si="13"/>
        <v>11</v>
      </c>
      <c r="D239">
        <f t="shared" si="11"/>
        <v>109</v>
      </c>
      <c r="E239" t="str">
        <f>+'Raw data'!A502</f>
        <v>The Guns</v>
      </c>
      <c r="F239" t="str">
        <f>VLOOKUP(E239,Data!$E$2626:$F$2645,2,FALSE)</f>
        <v>Vasilis</v>
      </c>
      <c r="H239">
        <f>+'Raw data'!A523</f>
        <v>6</v>
      </c>
      <c r="I239">
        <f>+'Raw data'!B523</f>
        <v>6</v>
      </c>
      <c r="J239">
        <f>+'Raw data'!C523</f>
        <v>1</v>
      </c>
      <c r="M239">
        <f>+'Raw data'!E523</f>
        <v>217</v>
      </c>
      <c r="N239">
        <f>+'Raw data'!F523</f>
        <v>0.441</v>
      </c>
      <c r="O239">
        <f>+'Raw data'!G523</f>
        <v>62</v>
      </c>
      <c r="P239">
        <f>+'Raw data'!H523</f>
        <v>0.29799999999999999</v>
      </c>
      <c r="Q239">
        <f>+'Raw data'!I523</f>
        <v>0.85199999999999998</v>
      </c>
      <c r="R239">
        <f>+'Raw data'!J523</f>
        <v>594</v>
      </c>
      <c r="S239">
        <f>+'Raw data'!K523</f>
        <v>20</v>
      </c>
      <c r="T239">
        <f>+'Raw data'!L523</f>
        <v>142</v>
      </c>
      <c r="U239">
        <f>+'Raw data'!M523</f>
        <v>130</v>
      </c>
      <c r="V239">
        <f>+'Raw data'!N523</f>
        <v>36</v>
      </c>
      <c r="W239">
        <f>+'Raw data'!O523</f>
        <v>18</v>
      </c>
      <c r="X239">
        <f>+'Raw data'!P523</f>
        <v>47</v>
      </c>
      <c r="Y239">
        <f>+'Raw data'!Q523</f>
        <v>2.77</v>
      </c>
    </row>
    <row r="240" spans="1:25" x14ac:dyDescent="0.25">
      <c r="A240">
        <v>2025</v>
      </c>
      <c r="B240" t="s">
        <v>57</v>
      </c>
      <c r="C240">
        <f t="shared" si="13"/>
        <v>11</v>
      </c>
      <c r="D240">
        <f t="shared" si="11"/>
        <v>110</v>
      </c>
      <c r="E240" t="str">
        <f>+'Raw data'!A503</f>
        <v>Kourayo Vallecano</v>
      </c>
      <c r="F240" t="str">
        <f>VLOOKUP(E240,Data!$E$2626:$F$2645,2,FALSE)</f>
        <v>Ziogas/Christof</v>
      </c>
      <c r="H240">
        <f>+'Raw data'!A524</f>
        <v>10</v>
      </c>
      <c r="I240">
        <f>+'Raw data'!B524</f>
        <v>3</v>
      </c>
      <c r="J240">
        <f>+'Raw data'!C524</f>
        <v>0</v>
      </c>
      <c r="M240">
        <f>+'Raw data'!E524</f>
        <v>196</v>
      </c>
      <c r="N240">
        <f>+'Raw data'!F524</f>
        <v>0.51300000000000001</v>
      </c>
      <c r="O240">
        <f>+'Raw data'!G524</f>
        <v>53</v>
      </c>
      <c r="P240">
        <f>+'Raw data'!H524</f>
        <v>0.42099999999999999</v>
      </c>
      <c r="Q240">
        <f>+'Raw data'!I524</f>
        <v>0.72299999999999998</v>
      </c>
      <c r="R240">
        <f>+'Raw data'!J524</f>
        <v>518</v>
      </c>
      <c r="S240">
        <f>+'Raw data'!K524</f>
        <v>68</v>
      </c>
      <c r="T240">
        <f>+'Raw data'!L524</f>
        <v>171</v>
      </c>
      <c r="U240">
        <f>+'Raw data'!M524</f>
        <v>121</v>
      </c>
      <c r="V240">
        <f>+'Raw data'!N524</f>
        <v>32</v>
      </c>
      <c r="W240">
        <f>+'Raw data'!O524</f>
        <v>25</v>
      </c>
      <c r="X240">
        <f>+'Raw data'!P524</f>
        <v>56</v>
      </c>
      <c r="Y240">
        <f>+'Raw data'!Q524</f>
        <v>2.16</v>
      </c>
    </row>
    <row r="241" spans="1:25" x14ac:dyDescent="0.25">
      <c r="A241">
        <v>2025</v>
      </c>
      <c r="B241" t="s">
        <v>57</v>
      </c>
      <c r="C241">
        <f t="shared" si="13"/>
        <v>11</v>
      </c>
      <c r="D241">
        <f t="shared" si="11"/>
        <v>110</v>
      </c>
      <c r="E241" t="str">
        <f>+'Raw data'!A504</f>
        <v>Xanthi Ducks 🦆</v>
      </c>
      <c r="F241" t="str">
        <f>VLOOKUP(E241,Data!$E$2626:$F$2645,2,FALSE)</f>
        <v>Kotakis</v>
      </c>
      <c r="H241">
        <f>+'Raw data'!A525</f>
        <v>3</v>
      </c>
      <c r="I241">
        <f>+'Raw data'!B525</f>
        <v>10</v>
      </c>
      <c r="J241">
        <f>+'Raw data'!C525</f>
        <v>0</v>
      </c>
      <c r="M241">
        <f>+'Raw data'!E525</f>
        <v>117</v>
      </c>
      <c r="N241">
        <f>+'Raw data'!F525</f>
        <v>0.44800000000000001</v>
      </c>
      <c r="O241">
        <f>+'Raw data'!G525</f>
        <v>43</v>
      </c>
      <c r="P241">
        <f>+'Raw data'!H525</f>
        <v>0.314</v>
      </c>
      <c r="Q241">
        <f>+'Raw data'!I525</f>
        <v>0.78</v>
      </c>
      <c r="R241">
        <f>+'Raw data'!J525</f>
        <v>309</v>
      </c>
      <c r="S241">
        <f>+'Raw data'!K525</f>
        <v>19</v>
      </c>
      <c r="T241">
        <f>+'Raw data'!L525</f>
        <v>74</v>
      </c>
      <c r="U241">
        <f>+'Raw data'!M525</f>
        <v>60</v>
      </c>
      <c r="V241">
        <f>+'Raw data'!N525</f>
        <v>28</v>
      </c>
      <c r="W241">
        <f>+'Raw data'!O525</f>
        <v>19</v>
      </c>
      <c r="X241">
        <f>+'Raw data'!P525</f>
        <v>24</v>
      </c>
      <c r="Y241">
        <f>+'Raw data'!Q525</f>
        <v>2.5</v>
      </c>
    </row>
    <row r="242" spans="1:25" x14ac:dyDescent="0.25">
      <c r="A242">
        <v>2025</v>
      </c>
      <c r="B242" t="s">
        <v>57</v>
      </c>
      <c r="C242">
        <f>+C241+1</f>
        <v>12</v>
      </c>
      <c r="D242">
        <f t="shared" si="11"/>
        <v>111</v>
      </c>
      <c r="E242" t="str">
        <f>+'Raw data'!A529</f>
        <v>LRBP PR3DATORS</v>
      </c>
      <c r="F242" t="str">
        <f>VLOOKUP(E242,Data!$E$2626:$F$2645,2,FALSE)</f>
        <v>Lafa</v>
      </c>
      <c r="H242">
        <f>+'Raw data'!A550</f>
        <v>9</v>
      </c>
      <c r="I242">
        <f>+'Raw data'!B550</f>
        <v>4</v>
      </c>
      <c r="J242">
        <f>+'Raw data'!C550</f>
        <v>0</v>
      </c>
      <c r="M242">
        <f>+'Raw data'!E550</f>
        <v>211</v>
      </c>
      <c r="N242">
        <f>+'Raw data'!F550</f>
        <v>0.52200000000000002</v>
      </c>
      <c r="O242">
        <f>+'Raw data'!G550</f>
        <v>45</v>
      </c>
      <c r="P242">
        <f>+'Raw data'!H550</f>
        <v>0.40200000000000002</v>
      </c>
      <c r="Q242">
        <f>+'Raw data'!I550</f>
        <v>0.73099999999999998</v>
      </c>
      <c r="R242">
        <f>+'Raw data'!J550</f>
        <v>546</v>
      </c>
      <c r="S242">
        <f>+'Raw data'!K550</f>
        <v>35</v>
      </c>
      <c r="T242">
        <f>+'Raw data'!L550</f>
        <v>125</v>
      </c>
      <c r="U242">
        <f>+'Raw data'!M550</f>
        <v>144</v>
      </c>
      <c r="V242">
        <f>+'Raw data'!N550</f>
        <v>30</v>
      </c>
      <c r="W242">
        <f>+'Raw data'!O550</f>
        <v>16</v>
      </c>
      <c r="X242">
        <f>+'Raw data'!P550</f>
        <v>73</v>
      </c>
      <c r="Y242">
        <f>+'Raw data'!Q550</f>
        <v>1.97</v>
      </c>
    </row>
    <row r="243" spans="1:25" x14ac:dyDescent="0.25">
      <c r="A243">
        <v>2025</v>
      </c>
      <c r="B243" t="s">
        <v>57</v>
      </c>
      <c r="C243">
        <f>+C242</f>
        <v>12</v>
      </c>
      <c r="D243">
        <f t="shared" si="11"/>
        <v>111</v>
      </c>
      <c r="E243" t="str">
        <f>+'Raw data'!A530</f>
        <v>Salonika Devils</v>
      </c>
      <c r="F243" t="str">
        <f>VLOOKUP(E243,Data!$E$2626:$F$2645,2,FALSE)</f>
        <v>Fountos</v>
      </c>
      <c r="H243">
        <f>+'Raw data'!A551</f>
        <v>4</v>
      </c>
      <c r="I243">
        <f>+'Raw data'!B551</f>
        <v>9</v>
      </c>
      <c r="J243">
        <f>+'Raw data'!C551</f>
        <v>0</v>
      </c>
      <c r="M243">
        <f>+'Raw data'!E551</f>
        <v>117</v>
      </c>
      <c r="N243">
        <f>+'Raw data'!F551</f>
        <v>0.44</v>
      </c>
      <c r="O243">
        <f>+'Raw data'!G551</f>
        <v>42</v>
      </c>
      <c r="P243">
        <f>+'Raw data'!H551</f>
        <v>0.35</v>
      </c>
      <c r="Q243">
        <f>+'Raw data'!I551</f>
        <v>0.86699999999999999</v>
      </c>
      <c r="R243">
        <f>+'Raw data'!J551</f>
        <v>341</v>
      </c>
      <c r="S243">
        <f>+'Raw data'!K551</f>
        <v>32</v>
      </c>
      <c r="T243">
        <f>+'Raw data'!L551</f>
        <v>53</v>
      </c>
      <c r="U243">
        <f>+'Raw data'!M551</f>
        <v>94</v>
      </c>
      <c r="V243">
        <f>+'Raw data'!N551</f>
        <v>33</v>
      </c>
      <c r="W243">
        <f>+'Raw data'!O551</f>
        <v>12</v>
      </c>
      <c r="X243">
        <f>+'Raw data'!P551</f>
        <v>45</v>
      </c>
      <c r="Y243">
        <f>+'Raw data'!Q551</f>
        <v>2.09</v>
      </c>
    </row>
    <row r="244" spans="1:25" x14ac:dyDescent="0.25">
      <c r="A244">
        <v>2025</v>
      </c>
      <c r="B244" t="s">
        <v>57</v>
      </c>
      <c r="C244">
        <f>+C243</f>
        <v>12</v>
      </c>
      <c r="D244">
        <f t="shared" si="11"/>
        <v>112</v>
      </c>
      <c r="E244" t="str">
        <f>+'Raw data'!A531</f>
        <v>Steven Adams' Moustache</v>
      </c>
      <c r="F244" t="str">
        <f>VLOOKUP(E244,Data!$E$2626:$F$2645,2,FALSE)</f>
        <v>Johnny</v>
      </c>
      <c r="H244">
        <f>+'Raw data'!A552</f>
        <v>3</v>
      </c>
      <c r="I244">
        <f>+'Raw data'!B552</f>
        <v>10</v>
      </c>
      <c r="J244">
        <f>+'Raw data'!C552</f>
        <v>0</v>
      </c>
      <c r="M244">
        <f>+'Raw data'!E552</f>
        <v>105</v>
      </c>
      <c r="N244">
        <f>+'Raw data'!F552</f>
        <v>0.51200000000000001</v>
      </c>
      <c r="O244">
        <f>+'Raw data'!G552</f>
        <v>33</v>
      </c>
      <c r="P244">
        <f>+'Raw data'!H552</f>
        <v>0.35899999999999999</v>
      </c>
      <c r="Q244">
        <f>+'Raw data'!I552</f>
        <v>0.85099999999999998</v>
      </c>
      <c r="R244">
        <f>+'Raw data'!J552</f>
        <v>283</v>
      </c>
      <c r="S244">
        <f>+'Raw data'!K552</f>
        <v>28</v>
      </c>
      <c r="T244">
        <f>+'Raw data'!L552</f>
        <v>66</v>
      </c>
      <c r="U244">
        <f>+'Raw data'!M552</f>
        <v>63</v>
      </c>
      <c r="V244">
        <f>+'Raw data'!N552</f>
        <v>9</v>
      </c>
      <c r="W244">
        <f>+'Raw data'!O552</f>
        <v>11</v>
      </c>
      <c r="X244">
        <f>+'Raw data'!P552</f>
        <v>26</v>
      </c>
      <c r="Y244">
        <f>+'Raw data'!Q552</f>
        <v>2.42</v>
      </c>
    </row>
    <row r="245" spans="1:25" x14ac:dyDescent="0.25">
      <c r="A245">
        <v>2025</v>
      </c>
      <c r="B245" t="s">
        <v>57</v>
      </c>
      <c r="C245">
        <f>+C244</f>
        <v>12</v>
      </c>
      <c r="D245">
        <f t="shared" si="11"/>
        <v>112</v>
      </c>
      <c r="E245" t="str">
        <f>+'Raw data'!A532</f>
        <v>Samarina Dudenbros</v>
      </c>
      <c r="F245" t="str">
        <f>VLOOKUP(E245,Data!$E$2626:$F$2645,2,FALSE)</f>
        <v>Sakellariou</v>
      </c>
      <c r="H245">
        <f>+'Raw data'!A553</f>
        <v>10</v>
      </c>
      <c r="I245">
        <f>+'Raw data'!B553</f>
        <v>3</v>
      </c>
      <c r="J245">
        <f>+'Raw data'!C553</f>
        <v>0</v>
      </c>
      <c r="M245">
        <f>+'Raw data'!E553</f>
        <v>225</v>
      </c>
      <c r="N245">
        <f>+'Raw data'!F553</f>
        <v>0.45800000000000002</v>
      </c>
      <c r="O245">
        <f>+'Raw data'!G553</f>
        <v>71</v>
      </c>
      <c r="P245">
        <f>+'Raw data'!H553</f>
        <v>0.378</v>
      </c>
      <c r="Q245">
        <f>+'Raw data'!I553</f>
        <v>0.83499999999999996</v>
      </c>
      <c r="R245">
        <f>+'Raw data'!J553</f>
        <v>663</v>
      </c>
      <c r="S245">
        <f>+'Raw data'!K553</f>
        <v>45</v>
      </c>
      <c r="T245">
        <f>+'Raw data'!L553</f>
        <v>130</v>
      </c>
      <c r="U245">
        <f>+'Raw data'!M553</f>
        <v>158</v>
      </c>
      <c r="V245">
        <f>+'Raw data'!N553</f>
        <v>37</v>
      </c>
      <c r="W245">
        <f>+'Raw data'!O553</f>
        <v>15</v>
      </c>
      <c r="X245">
        <f>+'Raw data'!P553</f>
        <v>60</v>
      </c>
      <c r="Y245">
        <f>+'Raw data'!Q553</f>
        <v>2.63</v>
      </c>
    </row>
    <row r="246" spans="1:25" x14ac:dyDescent="0.25">
      <c r="A246">
        <v>2025</v>
      </c>
      <c r="B246" t="s">
        <v>57</v>
      </c>
      <c r="C246">
        <f t="shared" ref="C246:C261" si="14">+C245</f>
        <v>12</v>
      </c>
      <c r="D246">
        <f t="shared" si="11"/>
        <v>113</v>
      </c>
      <c r="E246" t="str">
        <f>+'Raw data'!A533</f>
        <v>Paralouistas</v>
      </c>
      <c r="F246" t="str">
        <f>VLOOKUP(E246,Data!$E$2626:$F$2645,2,FALSE)</f>
        <v>Panos</v>
      </c>
      <c r="H246">
        <f>+'Raw data'!A554</f>
        <v>6</v>
      </c>
      <c r="I246">
        <f>+'Raw data'!B554</f>
        <v>6</v>
      </c>
      <c r="J246">
        <f>+'Raw data'!C554</f>
        <v>1</v>
      </c>
      <c r="M246">
        <f>+'Raw data'!E554</f>
        <v>189</v>
      </c>
      <c r="N246">
        <f>+'Raw data'!F554</f>
        <v>0.49099999999999999</v>
      </c>
      <c r="O246">
        <f>+'Raw data'!G554</f>
        <v>56</v>
      </c>
      <c r="P246">
        <f>+'Raw data'!H554</f>
        <v>0.36399999999999999</v>
      </c>
      <c r="Q246">
        <f>+'Raw data'!I554</f>
        <v>0.67</v>
      </c>
      <c r="R246">
        <f>+'Raw data'!J554</f>
        <v>495</v>
      </c>
      <c r="S246">
        <f>+'Raw data'!K554</f>
        <v>35</v>
      </c>
      <c r="T246">
        <f>+'Raw data'!L554</f>
        <v>120</v>
      </c>
      <c r="U246">
        <f>+'Raw data'!M554</f>
        <v>126</v>
      </c>
      <c r="V246">
        <f>+'Raw data'!N554</f>
        <v>28</v>
      </c>
      <c r="W246">
        <f>+'Raw data'!O554</f>
        <v>16</v>
      </c>
      <c r="X246">
        <f>+'Raw data'!P554</f>
        <v>60</v>
      </c>
      <c r="Y246">
        <f>+'Raw data'!Q554</f>
        <v>2.1</v>
      </c>
    </row>
    <row r="247" spans="1:25" x14ac:dyDescent="0.25">
      <c r="A247">
        <v>2025</v>
      </c>
      <c r="B247" t="s">
        <v>57</v>
      </c>
      <c r="C247">
        <f t="shared" si="14"/>
        <v>12</v>
      </c>
      <c r="D247">
        <f t="shared" si="11"/>
        <v>113</v>
      </c>
      <c r="E247" t="str">
        <f>+'Raw data'!A534</f>
        <v>The Bad Boys</v>
      </c>
      <c r="F247" t="str">
        <f>VLOOKUP(E247,Data!$E$2626:$F$2645,2,FALSE)</f>
        <v>Arvanitis</v>
      </c>
      <c r="H247">
        <f>+'Raw data'!A555</f>
        <v>6</v>
      </c>
      <c r="I247">
        <f>+'Raw data'!B555</f>
        <v>6</v>
      </c>
      <c r="J247">
        <f>+'Raw data'!C555</f>
        <v>1</v>
      </c>
      <c r="M247">
        <f>+'Raw data'!E555</f>
        <v>159</v>
      </c>
      <c r="N247">
        <f>+'Raw data'!F555</f>
        <v>0.49399999999999999</v>
      </c>
      <c r="O247">
        <f>+'Raw data'!G555</f>
        <v>41</v>
      </c>
      <c r="P247">
        <f>+'Raw data'!H555</f>
        <v>0.41399999999999998</v>
      </c>
      <c r="Q247">
        <f>+'Raw data'!I555</f>
        <v>0.72399999999999998</v>
      </c>
      <c r="R247">
        <f>+'Raw data'!J555</f>
        <v>430</v>
      </c>
      <c r="S247">
        <f>+'Raw data'!K555</f>
        <v>35</v>
      </c>
      <c r="T247">
        <f>+'Raw data'!L555</f>
        <v>116</v>
      </c>
      <c r="U247">
        <f>+'Raw data'!M555</f>
        <v>101</v>
      </c>
      <c r="V247">
        <f>+'Raw data'!N555</f>
        <v>29</v>
      </c>
      <c r="W247">
        <f>+'Raw data'!O555</f>
        <v>15</v>
      </c>
      <c r="X247">
        <f>+'Raw data'!P555</f>
        <v>43</v>
      </c>
      <c r="Y247">
        <f>+'Raw data'!Q555</f>
        <v>2.35</v>
      </c>
    </row>
    <row r="248" spans="1:25" x14ac:dyDescent="0.25">
      <c r="A248">
        <v>2025</v>
      </c>
      <c r="B248" t="s">
        <v>57</v>
      </c>
      <c r="C248">
        <f t="shared" si="14"/>
        <v>12</v>
      </c>
      <c r="D248">
        <f t="shared" si="11"/>
        <v>114</v>
      </c>
      <c r="E248" t="str">
        <f>+'Raw data'!A535</f>
        <v>st.Helens Eruptions</v>
      </c>
      <c r="F248" t="str">
        <f>VLOOKUP(E248,Data!$E$2626:$F$2645,2,FALSE)</f>
        <v>Aris</v>
      </c>
      <c r="H248">
        <f>+'Raw data'!A556</f>
        <v>10</v>
      </c>
      <c r="I248">
        <f>+'Raw data'!B556</f>
        <v>3</v>
      </c>
      <c r="J248">
        <f>+'Raw data'!C556</f>
        <v>0</v>
      </c>
      <c r="M248">
        <f>+'Raw data'!E556</f>
        <v>167</v>
      </c>
      <c r="N248">
        <f>+'Raw data'!F556</f>
        <v>0.50800000000000001</v>
      </c>
      <c r="O248">
        <f>+'Raw data'!G556</f>
        <v>36</v>
      </c>
      <c r="P248">
        <f>+'Raw data'!H556</f>
        <v>0.39100000000000001</v>
      </c>
      <c r="Q248">
        <f>+'Raw data'!I556</f>
        <v>0.78</v>
      </c>
      <c r="R248">
        <f>+'Raw data'!J556</f>
        <v>434</v>
      </c>
      <c r="S248">
        <f>+'Raw data'!K556</f>
        <v>41</v>
      </c>
      <c r="T248">
        <f>+'Raw data'!L556</f>
        <v>148</v>
      </c>
      <c r="U248">
        <f>+'Raw data'!M556</f>
        <v>85</v>
      </c>
      <c r="V248">
        <f>+'Raw data'!N556</f>
        <v>20</v>
      </c>
      <c r="W248">
        <f>+'Raw data'!O556</f>
        <v>14</v>
      </c>
      <c r="X248">
        <f>+'Raw data'!P556</f>
        <v>47</v>
      </c>
      <c r="Y248">
        <f>+'Raw data'!Q556</f>
        <v>1.81</v>
      </c>
    </row>
    <row r="249" spans="1:25" x14ac:dyDescent="0.25">
      <c r="A249">
        <v>2025</v>
      </c>
      <c r="B249" t="s">
        <v>57</v>
      </c>
      <c r="C249">
        <f t="shared" si="14"/>
        <v>12</v>
      </c>
      <c r="D249">
        <f t="shared" si="11"/>
        <v>114</v>
      </c>
      <c r="E249" t="str">
        <f>+'Raw data'!A536</f>
        <v>purple fuzzy apache pirates</v>
      </c>
      <c r="F249" t="str">
        <f>VLOOKUP(E249,Data!$E$2626:$F$2645,2,FALSE)</f>
        <v>pi/Sotiris</v>
      </c>
      <c r="H249">
        <f>+'Raw data'!A557</f>
        <v>3</v>
      </c>
      <c r="I249">
        <f>+'Raw data'!B557</f>
        <v>10</v>
      </c>
      <c r="J249">
        <f>+'Raw data'!C557</f>
        <v>0</v>
      </c>
      <c r="M249">
        <f>+'Raw data'!E557</f>
        <v>112</v>
      </c>
      <c r="N249">
        <f>+'Raw data'!F557</f>
        <v>0.47899999999999998</v>
      </c>
      <c r="O249">
        <f>+'Raw data'!G557</f>
        <v>34</v>
      </c>
      <c r="P249">
        <f>+'Raw data'!H557</f>
        <v>0.36199999999999999</v>
      </c>
      <c r="Q249">
        <f>+'Raw data'!I557</f>
        <v>0.70299999999999996</v>
      </c>
      <c r="R249">
        <f>+'Raw data'!J557</f>
        <v>303</v>
      </c>
      <c r="S249">
        <f>+'Raw data'!K557</f>
        <v>27</v>
      </c>
      <c r="T249">
        <f>+'Raw data'!L557</f>
        <v>93</v>
      </c>
      <c r="U249">
        <f>+'Raw data'!M557</f>
        <v>76</v>
      </c>
      <c r="V249">
        <f>+'Raw data'!N557</f>
        <v>22</v>
      </c>
      <c r="W249">
        <f>+'Raw data'!O557</f>
        <v>8</v>
      </c>
      <c r="X249">
        <f>+'Raw data'!P557</f>
        <v>38</v>
      </c>
      <c r="Y249">
        <f>+'Raw data'!Q557</f>
        <v>2</v>
      </c>
    </row>
    <row r="250" spans="1:25" x14ac:dyDescent="0.25">
      <c r="A250">
        <v>2025</v>
      </c>
      <c r="B250" t="s">
        <v>57</v>
      </c>
      <c r="C250">
        <f t="shared" si="14"/>
        <v>12</v>
      </c>
      <c r="D250">
        <f t="shared" si="11"/>
        <v>115</v>
      </c>
      <c r="E250" t="str">
        <f>+'Raw data'!A537</f>
        <v>Pachiana NinjaBees</v>
      </c>
      <c r="F250" t="str">
        <f>VLOOKUP(E250,Data!$E$2626:$F$2645,2,FALSE)</f>
        <v>Spiridaus/Oladipas</v>
      </c>
      <c r="H250">
        <f>+'Raw data'!A558</f>
        <v>11</v>
      </c>
      <c r="I250">
        <f>+'Raw data'!B558</f>
        <v>2</v>
      </c>
      <c r="J250">
        <f>+'Raw data'!C558</f>
        <v>0</v>
      </c>
      <c r="M250">
        <f>+'Raw data'!E558</f>
        <v>198</v>
      </c>
      <c r="N250">
        <f>+'Raw data'!F558</f>
        <v>0.51300000000000001</v>
      </c>
      <c r="O250">
        <f>+'Raw data'!G558</f>
        <v>59</v>
      </c>
      <c r="P250">
        <f>+'Raw data'!H558</f>
        <v>0.41299999999999998</v>
      </c>
      <c r="Q250">
        <f>+'Raw data'!I558</f>
        <v>0.80200000000000005</v>
      </c>
      <c r="R250">
        <f>+'Raw data'!J558</f>
        <v>532</v>
      </c>
      <c r="S250">
        <f>+'Raw data'!K558</f>
        <v>40</v>
      </c>
      <c r="T250">
        <f>+'Raw data'!L558</f>
        <v>131</v>
      </c>
      <c r="U250">
        <f>+'Raw data'!M558</f>
        <v>130</v>
      </c>
      <c r="V250">
        <f>+'Raw data'!N558</f>
        <v>30</v>
      </c>
      <c r="W250">
        <f>+'Raw data'!O558</f>
        <v>20</v>
      </c>
      <c r="X250">
        <f>+'Raw data'!P558</f>
        <v>59</v>
      </c>
      <c r="Y250">
        <f>+'Raw data'!Q558</f>
        <v>2.2000000000000002</v>
      </c>
    </row>
    <row r="251" spans="1:25" x14ac:dyDescent="0.25">
      <c r="A251">
        <v>2025</v>
      </c>
      <c r="B251" t="s">
        <v>57</v>
      </c>
      <c r="C251">
        <f t="shared" si="14"/>
        <v>12</v>
      </c>
      <c r="D251">
        <f t="shared" si="11"/>
        <v>115</v>
      </c>
      <c r="E251" t="str">
        <f>+'Raw data'!A538</f>
        <v>Knights of Ni</v>
      </c>
      <c r="F251" t="str">
        <f>VLOOKUP(E251,Data!$E$2626:$F$2645,2,FALSE)</f>
        <v>Tolios</v>
      </c>
      <c r="H251">
        <f>+'Raw data'!A559</f>
        <v>2</v>
      </c>
      <c r="I251">
        <f>+'Raw data'!B559</f>
        <v>11</v>
      </c>
      <c r="J251">
        <f>+'Raw data'!C559</f>
        <v>0</v>
      </c>
      <c r="M251">
        <f>+'Raw data'!E559</f>
        <v>89</v>
      </c>
      <c r="N251">
        <f>+'Raw data'!F559</f>
        <v>0.39200000000000002</v>
      </c>
      <c r="O251">
        <f>+'Raw data'!G559</f>
        <v>23</v>
      </c>
      <c r="P251">
        <f>+'Raw data'!H559</f>
        <v>0.26700000000000002</v>
      </c>
      <c r="Q251">
        <f>+'Raw data'!I559</f>
        <v>0.91700000000000004</v>
      </c>
      <c r="R251">
        <f>+'Raw data'!J559</f>
        <v>267</v>
      </c>
      <c r="S251">
        <f>+'Raw data'!K559</f>
        <v>29</v>
      </c>
      <c r="T251">
        <f>+'Raw data'!L559</f>
        <v>89</v>
      </c>
      <c r="U251">
        <f>+'Raw data'!M559</f>
        <v>71</v>
      </c>
      <c r="V251">
        <f>+'Raw data'!N559</f>
        <v>17</v>
      </c>
      <c r="W251">
        <f>+'Raw data'!O559</f>
        <v>6</v>
      </c>
      <c r="X251">
        <f>+'Raw data'!P559</f>
        <v>35</v>
      </c>
      <c r="Y251">
        <f>+'Raw data'!Q559</f>
        <v>2.0299999999999998</v>
      </c>
    </row>
    <row r="252" spans="1:25" x14ac:dyDescent="0.25">
      <c r="A252">
        <v>2025</v>
      </c>
      <c r="B252" t="s">
        <v>57</v>
      </c>
      <c r="C252">
        <f t="shared" si="14"/>
        <v>12</v>
      </c>
      <c r="D252">
        <f t="shared" si="11"/>
        <v>116</v>
      </c>
      <c r="E252" t="str">
        <f>+'Raw data'!A539</f>
        <v>Karafli Saita</v>
      </c>
      <c r="F252" t="str">
        <f>VLOOKUP(E252,Data!$E$2626:$F$2645,2,FALSE)</f>
        <v>Tassos</v>
      </c>
      <c r="H252">
        <f>+'Raw data'!A560</f>
        <v>9</v>
      </c>
      <c r="I252">
        <f>+'Raw data'!B560</f>
        <v>3</v>
      </c>
      <c r="J252">
        <f>+'Raw data'!C560</f>
        <v>1</v>
      </c>
      <c r="M252">
        <f>+'Raw data'!E560</f>
        <v>192</v>
      </c>
      <c r="N252">
        <f>+'Raw data'!F560</f>
        <v>0.496</v>
      </c>
      <c r="O252">
        <f>+'Raw data'!G560</f>
        <v>50</v>
      </c>
      <c r="P252">
        <f>+'Raw data'!H560</f>
        <v>0.39700000000000002</v>
      </c>
      <c r="Q252">
        <f>+'Raw data'!I560</f>
        <v>0.86699999999999999</v>
      </c>
      <c r="R252">
        <f>+'Raw data'!J560</f>
        <v>519</v>
      </c>
      <c r="S252">
        <f>+'Raw data'!K560</f>
        <v>22</v>
      </c>
      <c r="T252">
        <f>+'Raw data'!L560</f>
        <v>105</v>
      </c>
      <c r="U252">
        <f>+'Raw data'!M560</f>
        <v>123</v>
      </c>
      <c r="V252">
        <f>+'Raw data'!N560</f>
        <v>24</v>
      </c>
      <c r="W252">
        <f>+'Raw data'!O560</f>
        <v>28</v>
      </c>
      <c r="X252">
        <f>+'Raw data'!P560</f>
        <v>53</v>
      </c>
      <c r="Y252">
        <f>+'Raw data'!Q560</f>
        <v>2.3199999999999998</v>
      </c>
    </row>
    <row r="253" spans="1:25" x14ac:dyDescent="0.25">
      <c r="A253">
        <v>2025</v>
      </c>
      <c r="B253" t="s">
        <v>57</v>
      </c>
      <c r="C253">
        <f t="shared" si="14"/>
        <v>12</v>
      </c>
      <c r="D253">
        <f t="shared" si="11"/>
        <v>116</v>
      </c>
      <c r="E253" t="str">
        <f>+'Raw data'!A540</f>
        <v>Guruuu 🐐🐐🐐</v>
      </c>
      <c r="F253" t="str">
        <f>VLOOKUP(E253,Data!$E$2626:$F$2645,2,FALSE)</f>
        <v>Guru</v>
      </c>
      <c r="H253">
        <f>+'Raw data'!A561</f>
        <v>3</v>
      </c>
      <c r="I253">
        <f>+'Raw data'!B561</f>
        <v>9</v>
      </c>
      <c r="J253">
        <f>+'Raw data'!C561</f>
        <v>1</v>
      </c>
      <c r="M253">
        <f>+'Raw data'!E561</f>
        <v>173</v>
      </c>
      <c r="N253">
        <f>+'Raw data'!F561</f>
        <v>0.46500000000000002</v>
      </c>
      <c r="O253">
        <f>+'Raw data'!G561</f>
        <v>59</v>
      </c>
      <c r="P253">
        <f>+'Raw data'!H561</f>
        <v>0.34300000000000003</v>
      </c>
      <c r="Q253">
        <f>+'Raw data'!I561</f>
        <v>0.73099999999999998</v>
      </c>
      <c r="R253">
        <f>+'Raw data'!J561</f>
        <v>481</v>
      </c>
      <c r="S253">
        <f>+'Raw data'!K561</f>
        <v>25</v>
      </c>
      <c r="T253">
        <f>+'Raw data'!L561</f>
        <v>100</v>
      </c>
      <c r="U253">
        <f>+'Raw data'!M561</f>
        <v>100</v>
      </c>
      <c r="V253">
        <f>+'Raw data'!N561</f>
        <v>24</v>
      </c>
      <c r="W253">
        <f>+'Raw data'!O561</f>
        <v>12</v>
      </c>
      <c r="X253">
        <f>+'Raw data'!P561</f>
        <v>48</v>
      </c>
      <c r="Y253">
        <f>+'Raw data'!Q561</f>
        <v>2.08</v>
      </c>
    </row>
    <row r="254" spans="1:25" x14ac:dyDescent="0.25">
      <c r="A254">
        <v>2025</v>
      </c>
      <c r="B254" t="s">
        <v>57</v>
      </c>
      <c r="C254">
        <f t="shared" si="14"/>
        <v>12</v>
      </c>
      <c r="D254">
        <f t="shared" si="11"/>
        <v>117</v>
      </c>
      <c r="E254" t="str">
        <f>+'Raw data'!A541</f>
        <v>Fighting Thaddeus</v>
      </c>
      <c r="F254" t="str">
        <f>VLOOKUP(E254,Data!$E$2626:$F$2645,2,FALSE)</f>
        <v>Stavros</v>
      </c>
      <c r="H254">
        <f>+'Raw data'!A562</f>
        <v>10</v>
      </c>
      <c r="I254">
        <f>+'Raw data'!B562</f>
        <v>3</v>
      </c>
      <c r="J254">
        <f>+'Raw data'!C562</f>
        <v>0</v>
      </c>
      <c r="M254">
        <f>+'Raw data'!E562</f>
        <v>198</v>
      </c>
      <c r="N254">
        <f>+'Raw data'!F562</f>
        <v>0.45100000000000001</v>
      </c>
      <c r="O254">
        <f>+'Raw data'!G562</f>
        <v>54</v>
      </c>
      <c r="P254">
        <f>+'Raw data'!H562</f>
        <v>0.316</v>
      </c>
      <c r="Q254">
        <f>+'Raw data'!I562</f>
        <v>0.80300000000000005</v>
      </c>
      <c r="R254">
        <f>+'Raw data'!J562</f>
        <v>552</v>
      </c>
      <c r="S254">
        <f>+'Raw data'!K562</f>
        <v>46</v>
      </c>
      <c r="T254">
        <f>+'Raw data'!L562</f>
        <v>122</v>
      </c>
      <c r="U254">
        <f>+'Raw data'!M562</f>
        <v>115</v>
      </c>
      <c r="V254">
        <f>+'Raw data'!N562</f>
        <v>23</v>
      </c>
      <c r="W254">
        <f>+'Raw data'!O562</f>
        <v>23</v>
      </c>
      <c r="X254">
        <f>+'Raw data'!P562</f>
        <v>53</v>
      </c>
      <c r="Y254">
        <f>+'Raw data'!Q562</f>
        <v>2.17</v>
      </c>
    </row>
    <row r="255" spans="1:25" x14ac:dyDescent="0.25">
      <c r="A255">
        <v>2025</v>
      </c>
      <c r="B255" t="s">
        <v>57</v>
      </c>
      <c r="C255">
        <f t="shared" si="14"/>
        <v>12</v>
      </c>
      <c r="D255">
        <f t="shared" si="11"/>
        <v>117</v>
      </c>
      <c r="E255" t="str">
        <f>+'Raw data'!A542</f>
        <v>Heraklion Snakes</v>
      </c>
      <c r="F255" t="str">
        <f>VLOOKUP(E255,Data!$E$2626:$F$2645,2,FALSE)</f>
        <v>Dimitris</v>
      </c>
      <c r="H255">
        <f>+'Raw data'!A563</f>
        <v>3</v>
      </c>
      <c r="I255">
        <f>+'Raw data'!B563</f>
        <v>10</v>
      </c>
      <c r="J255">
        <f>+'Raw data'!C563</f>
        <v>0</v>
      </c>
      <c r="M255">
        <f>+'Raw data'!E563</f>
        <v>87</v>
      </c>
      <c r="N255">
        <f>+'Raw data'!F563</f>
        <v>0.46800000000000003</v>
      </c>
      <c r="O255">
        <f>+'Raw data'!G563</f>
        <v>40</v>
      </c>
      <c r="P255">
        <f>+'Raw data'!H563</f>
        <v>0.42099999999999999</v>
      </c>
      <c r="Q255">
        <f>+'Raw data'!I563</f>
        <v>0.51600000000000001</v>
      </c>
      <c r="R255">
        <f>+'Raw data'!J563</f>
        <v>230</v>
      </c>
      <c r="S255">
        <f>+'Raw data'!K563</f>
        <v>19</v>
      </c>
      <c r="T255">
        <f>+'Raw data'!L563</f>
        <v>76</v>
      </c>
      <c r="U255">
        <f>+'Raw data'!M563</f>
        <v>62</v>
      </c>
      <c r="V255">
        <f>+'Raw data'!N563</f>
        <v>21</v>
      </c>
      <c r="W255">
        <f>+'Raw data'!O563</f>
        <v>13</v>
      </c>
      <c r="X255">
        <f>+'Raw data'!P563</f>
        <v>36</v>
      </c>
      <c r="Y255">
        <f>+'Raw data'!Q563</f>
        <v>1.72</v>
      </c>
    </row>
    <row r="256" spans="1:25" x14ac:dyDescent="0.25">
      <c r="A256">
        <v>2025</v>
      </c>
      <c r="B256" t="s">
        <v>57</v>
      </c>
      <c r="C256">
        <f t="shared" si="14"/>
        <v>12</v>
      </c>
      <c r="D256">
        <f t="shared" si="11"/>
        <v>118</v>
      </c>
      <c r="E256" t="str">
        <f>+'Raw data'!A543</f>
        <v>Hércules Pals</v>
      </c>
      <c r="F256" t="e">
        <f>VLOOKUP(E256,Data!$E$2626:$F$2645,2,FALSE)</f>
        <v>#N/A</v>
      </c>
      <c r="H256">
        <f>+'Raw data'!A564</f>
        <v>9</v>
      </c>
      <c r="I256">
        <f>+'Raw data'!B564</f>
        <v>4</v>
      </c>
      <c r="J256">
        <f>+'Raw data'!C564</f>
        <v>0</v>
      </c>
      <c r="M256">
        <f>+'Raw data'!E564</f>
        <v>162</v>
      </c>
      <c r="N256">
        <f>+'Raw data'!F564</f>
        <v>0.53500000000000003</v>
      </c>
      <c r="O256">
        <f>+'Raw data'!G564</f>
        <v>47</v>
      </c>
      <c r="P256">
        <f>+'Raw data'!H564</f>
        <v>0.379</v>
      </c>
      <c r="Q256">
        <f>+'Raw data'!I564</f>
        <v>0.81599999999999995</v>
      </c>
      <c r="R256">
        <f>+'Raw data'!J564</f>
        <v>442</v>
      </c>
      <c r="S256">
        <f>+'Raw data'!K564</f>
        <v>62</v>
      </c>
      <c r="T256">
        <f>+'Raw data'!L564</f>
        <v>131</v>
      </c>
      <c r="U256">
        <f>+'Raw data'!M564</f>
        <v>82</v>
      </c>
      <c r="V256">
        <f>+'Raw data'!N564</f>
        <v>14</v>
      </c>
      <c r="W256">
        <f>+'Raw data'!O564</f>
        <v>14</v>
      </c>
      <c r="X256">
        <f>+'Raw data'!P564</f>
        <v>44</v>
      </c>
      <c r="Y256">
        <f>+'Raw data'!Q564</f>
        <v>1.86</v>
      </c>
    </row>
    <row r="257" spans="1:25" x14ac:dyDescent="0.25">
      <c r="A257">
        <v>2025</v>
      </c>
      <c r="B257" t="s">
        <v>57</v>
      </c>
      <c r="C257">
        <f t="shared" si="14"/>
        <v>12</v>
      </c>
      <c r="D257">
        <f t="shared" si="11"/>
        <v>118</v>
      </c>
      <c r="E257" t="str">
        <f>+'Raw data'!A544</f>
        <v>The Bridgeburners</v>
      </c>
      <c r="F257" t="str">
        <f>VLOOKUP(E257,Data!$E$2626:$F$2645,2,FALSE)</f>
        <v>Fanis</v>
      </c>
      <c r="H257">
        <f>+'Raw data'!A565</f>
        <v>4</v>
      </c>
      <c r="I257">
        <f>+'Raw data'!B565</f>
        <v>9</v>
      </c>
      <c r="J257">
        <f>+'Raw data'!C565</f>
        <v>0</v>
      </c>
      <c r="M257">
        <f>+'Raw data'!E565</f>
        <v>110</v>
      </c>
      <c r="N257">
        <f>+'Raw data'!F565</f>
        <v>0.45500000000000002</v>
      </c>
      <c r="O257">
        <f>+'Raw data'!G565</f>
        <v>32</v>
      </c>
      <c r="P257">
        <f>+'Raw data'!H565</f>
        <v>0.30199999999999999</v>
      </c>
      <c r="Q257">
        <f>+'Raw data'!I565</f>
        <v>0.68300000000000005</v>
      </c>
      <c r="R257">
        <f>+'Raw data'!J565</f>
        <v>280</v>
      </c>
      <c r="S257">
        <f>+'Raw data'!K565</f>
        <v>42</v>
      </c>
      <c r="T257">
        <f>+'Raw data'!L565</f>
        <v>124</v>
      </c>
      <c r="U257">
        <f>+'Raw data'!M565</f>
        <v>78</v>
      </c>
      <c r="V257">
        <f>+'Raw data'!N565</f>
        <v>19</v>
      </c>
      <c r="W257">
        <f>+'Raw data'!O565</f>
        <v>19</v>
      </c>
      <c r="X257">
        <f>+'Raw data'!P565</f>
        <v>41</v>
      </c>
      <c r="Y257">
        <f>+'Raw data'!Q565</f>
        <v>1.9</v>
      </c>
    </row>
    <row r="258" spans="1:25" x14ac:dyDescent="0.25">
      <c r="A258">
        <v>2025</v>
      </c>
      <c r="B258" t="s">
        <v>57</v>
      </c>
      <c r="C258">
        <f t="shared" si="14"/>
        <v>12</v>
      </c>
      <c r="D258">
        <f t="shared" si="11"/>
        <v>119</v>
      </c>
      <c r="E258" t="str">
        <f>+'Raw data'!A545</f>
        <v>Tsarlatans</v>
      </c>
      <c r="F258" t="str">
        <f>VLOOKUP(E258,Data!$E$2626:$F$2645,2,FALSE)</f>
        <v>Tzokos</v>
      </c>
      <c r="H258">
        <f>+'Raw data'!A566</f>
        <v>2</v>
      </c>
      <c r="I258">
        <f>+'Raw data'!B566</f>
        <v>11</v>
      </c>
      <c r="J258">
        <f>+'Raw data'!C566</f>
        <v>0</v>
      </c>
      <c r="M258">
        <f>+'Raw data'!E566</f>
        <v>111</v>
      </c>
      <c r="N258">
        <f>+'Raw data'!F566</f>
        <v>0.46800000000000003</v>
      </c>
      <c r="O258">
        <f>+'Raw data'!G566</f>
        <v>28</v>
      </c>
      <c r="P258">
        <f>+'Raw data'!H566</f>
        <v>0.318</v>
      </c>
      <c r="Q258">
        <f>+'Raw data'!I566</f>
        <v>0.66700000000000004</v>
      </c>
      <c r="R258">
        <f>+'Raw data'!J566</f>
        <v>276</v>
      </c>
      <c r="S258">
        <f>+'Raw data'!K566</f>
        <v>49</v>
      </c>
      <c r="T258">
        <f>+'Raw data'!L566</f>
        <v>90</v>
      </c>
      <c r="U258">
        <f>+'Raw data'!M566</f>
        <v>60</v>
      </c>
      <c r="V258">
        <f>+'Raw data'!N566</f>
        <v>17</v>
      </c>
      <c r="W258">
        <f>+'Raw data'!O566</f>
        <v>13</v>
      </c>
      <c r="X258">
        <f>+'Raw data'!P566</f>
        <v>29</v>
      </c>
      <c r="Y258">
        <f>+'Raw data'!Q566</f>
        <v>2.0699999999999998</v>
      </c>
    </row>
    <row r="259" spans="1:25" x14ac:dyDescent="0.25">
      <c r="A259">
        <v>2025</v>
      </c>
      <c r="B259" t="s">
        <v>57</v>
      </c>
      <c r="C259">
        <f t="shared" si="14"/>
        <v>12</v>
      </c>
      <c r="D259">
        <f t="shared" si="11"/>
        <v>119</v>
      </c>
      <c r="E259" t="str">
        <f>+'Raw data'!A546</f>
        <v>Kourayo Vallecano</v>
      </c>
      <c r="F259" t="str">
        <f>VLOOKUP(E259,Data!$E$2626:$F$2645,2,FALSE)</f>
        <v>Ziogas/Christof</v>
      </c>
      <c r="H259">
        <f>+'Raw data'!A567</f>
        <v>11</v>
      </c>
      <c r="I259">
        <f>+'Raw data'!B567</f>
        <v>2</v>
      </c>
      <c r="J259">
        <f>+'Raw data'!C567</f>
        <v>0</v>
      </c>
      <c r="M259">
        <f>+'Raw data'!E567</f>
        <v>134</v>
      </c>
      <c r="N259">
        <f>+'Raw data'!F567</f>
        <v>0.48199999999999998</v>
      </c>
      <c r="O259">
        <f>+'Raw data'!G567</f>
        <v>39</v>
      </c>
      <c r="P259">
        <f>+'Raw data'!H567</f>
        <v>0.38200000000000001</v>
      </c>
      <c r="Q259">
        <f>+'Raw data'!I567</f>
        <v>0.80500000000000005</v>
      </c>
      <c r="R259">
        <f>+'Raw data'!J567</f>
        <v>373</v>
      </c>
      <c r="S259">
        <f>+'Raw data'!K567</f>
        <v>39</v>
      </c>
      <c r="T259">
        <f>+'Raw data'!L567</f>
        <v>119</v>
      </c>
      <c r="U259">
        <f>+'Raw data'!M567</f>
        <v>107</v>
      </c>
      <c r="V259">
        <f>+'Raw data'!N567</f>
        <v>23</v>
      </c>
      <c r="W259">
        <f>+'Raw data'!O567</f>
        <v>14</v>
      </c>
      <c r="X259">
        <f>+'Raw data'!P567</f>
        <v>38</v>
      </c>
      <c r="Y259">
        <f>+'Raw data'!Q567</f>
        <v>2.82</v>
      </c>
    </row>
    <row r="260" spans="1:25" x14ac:dyDescent="0.25">
      <c r="A260">
        <v>2025</v>
      </c>
      <c r="B260" t="s">
        <v>57</v>
      </c>
      <c r="C260">
        <f t="shared" si="14"/>
        <v>12</v>
      </c>
      <c r="D260">
        <f t="shared" si="11"/>
        <v>120</v>
      </c>
      <c r="E260" t="str">
        <f>+'Raw data'!A547</f>
        <v>The Guns</v>
      </c>
      <c r="F260" t="str">
        <f>VLOOKUP(E260,Data!$E$2626:$F$2645,2,FALSE)</f>
        <v>Vasilis</v>
      </c>
      <c r="H260">
        <f>+'Raw data'!A568</f>
        <v>10</v>
      </c>
      <c r="I260">
        <f>+'Raw data'!B568</f>
        <v>3</v>
      </c>
      <c r="J260">
        <f>+'Raw data'!C568</f>
        <v>0</v>
      </c>
      <c r="M260">
        <f>+'Raw data'!E568</f>
        <v>203</v>
      </c>
      <c r="N260">
        <f>+'Raw data'!F568</f>
        <v>0.48899999999999999</v>
      </c>
      <c r="O260">
        <f>+'Raw data'!G568</f>
        <v>84</v>
      </c>
      <c r="P260">
        <f>+'Raw data'!H568</f>
        <v>0.41399999999999998</v>
      </c>
      <c r="Q260">
        <f>+'Raw data'!I568</f>
        <v>0.85099999999999998</v>
      </c>
      <c r="R260">
        <f>+'Raw data'!J568</f>
        <v>593</v>
      </c>
      <c r="S260">
        <f>+'Raw data'!K568</f>
        <v>22</v>
      </c>
      <c r="T260">
        <f>+'Raw data'!L568</f>
        <v>113</v>
      </c>
      <c r="U260">
        <f>+'Raw data'!M568</f>
        <v>114</v>
      </c>
      <c r="V260">
        <f>+'Raw data'!N568</f>
        <v>30</v>
      </c>
      <c r="W260">
        <f>+'Raw data'!O568</f>
        <v>18</v>
      </c>
      <c r="X260">
        <f>+'Raw data'!P568</f>
        <v>62</v>
      </c>
      <c r="Y260">
        <f>+'Raw data'!Q568</f>
        <v>1.84</v>
      </c>
    </row>
    <row r="261" spans="1:25" x14ac:dyDescent="0.25">
      <c r="A261">
        <v>2025</v>
      </c>
      <c r="B261" t="s">
        <v>57</v>
      </c>
      <c r="C261">
        <f t="shared" si="14"/>
        <v>12</v>
      </c>
      <c r="D261">
        <f t="shared" ref="D261:D324" si="15">+D259+1</f>
        <v>120</v>
      </c>
      <c r="E261" t="str">
        <f>+'Raw data'!A548</f>
        <v>Xanthi Ducks 🦆</v>
      </c>
      <c r="F261" t="str">
        <f>VLOOKUP(E261,Data!$E$2626:$F$2645,2,FALSE)</f>
        <v>Kotakis</v>
      </c>
      <c r="H261">
        <f>+'Raw data'!A569</f>
        <v>3</v>
      </c>
      <c r="I261">
        <f>+'Raw data'!B569</f>
        <v>10</v>
      </c>
      <c r="J261">
        <f>+'Raw data'!C569</f>
        <v>0</v>
      </c>
      <c r="M261">
        <f>+'Raw data'!E569</f>
        <v>113</v>
      </c>
      <c r="N261">
        <f>+'Raw data'!F569</f>
        <v>0.47899999999999998</v>
      </c>
      <c r="O261">
        <f>+'Raw data'!G569</f>
        <v>59</v>
      </c>
      <c r="P261">
        <f>+'Raw data'!H569</f>
        <v>0.43099999999999999</v>
      </c>
      <c r="Q261">
        <f>+'Raw data'!I569</f>
        <v>0.82899999999999996</v>
      </c>
      <c r="R261">
        <f>+'Raw data'!J569</f>
        <v>319</v>
      </c>
      <c r="S261">
        <f>+'Raw data'!K569</f>
        <v>17</v>
      </c>
      <c r="T261">
        <f>+'Raw data'!L569</f>
        <v>57</v>
      </c>
      <c r="U261">
        <f>+'Raw data'!M569</f>
        <v>67</v>
      </c>
      <c r="V261">
        <f>+'Raw data'!N569</f>
        <v>20</v>
      </c>
      <c r="W261">
        <f>+'Raw data'!O569</f>
        <v>14</v>
      </c>
      <c r="X261">
        <f>+'Raw data'!P569</f>
        <v>17</v>
      </c>
      <c r="Y261">
        <f>+'Raw data'!Q569</f>
        <v>3.94</v>
      </c>
    </row>
    <row r="262" spans="1:25" x14ac:dyDescent="0.25">
      <c r="A262">
        <v>2025</v>
      </c>
      <c r="B262" t="s">
        <v>57</v>
      </c>
      <c r="C262">
        <f>+C261+1</f>
        <v>13</v>
      </c>
      <c r="D262">
        <f t="shared" si="15"/>
        <v>121</v>
      </c>
      <c r="E262" t="str">
        <f>+'Raw data'!A573</f>
        <v>Samarina Dudenbros</v>
      </c>
      <c r="F262" t="str">
        <f>VLOOKUP(E262,Data!$E$2626:$F$2645,2,FALSE)</f>
        <v>Sakellariou</v>
      </c>
      <c r="H262">
        <f>+'Raw data'!A594</f>
        <v>8</v>
      </c>
      <c r="I262">
        <f>+'Raw data'!B594</f>
        <v>5</v>
      </c>
      <c r="J262">
        <f>+'Raw data'!C594</f>
        <v>0</v>
      </c>
      <c r="M262">
        <f>+'Raw data'!E594</f>
        <v>220</v>
      </c>
      <c r="N262">
        <f>+'Raw data'!F594</f>
        <v>0.45700000000000002</v>
      </c>
      <c r="O262">
        <f>+'Raw data'!G594</f>
        <v>48</v>
      </c>
      <c r="P262">
        <f>+'Raw data'!H594</f>
        <v>0.316</v>
      </c>
      <c r="Q262">
        <f>+'Raw data'!I594</f>
        <v>0.82399999999999995</v>
      </c>
      <c r="R262">
        <f>+'Raw data'!J594</f>
        <v>643</v>
      </c>
      <c r="S262">
        <f>+'Raw data'!K594</f>
        <v>61</v>
      </c>
      <c r="T262">
        <f>+'Raw data'!L594</f>
        <v>149</v>
      </c>
      <c r="U262">
        <f>+'Raw data'!M594</f>
        <v>132</v>
      </c>
      <c r="V262">
        <f>+'Raw data'!N594</f>
        <v>44</v>
      </c>
      <c r="W262">
        <f>+'Raw data'!O594</f>
        <v>17</v>
      </c>
      <c r="X262">
        <f>+'Raw data'!P594</f>
        <v>86</v>
      </c>
      <c r="Y262">
        <f>+'Raw data'!Q594</f>
        <v>1.53</v>
      </c>
    </row>
    <row r="263" spans="1:25" x14ac:dyDescent="0.25">
      <c r="A263">
        <v>2025</v>
      </c>
      <c r="B263" t="s">
        <v>57</v>
      </c>
      <c r="C263">
        <f>+C262</f>
        <v>13</v>
      </c>
      <c r="D263">
        <f t="shared" si="15"/>
        <v>121</v>
      </c>
      <c r="E263" t="str">
        <f>+'Raw data'!A574</f>
        <v>LRBP PR3DATORS</v>
      </c>
      <c r="F263" t="str">
        <f>VLOOKUP(E263,Data!$E$2626:$F$2645,2,FALSE)</f>
        <v>Lafa</v>
      </c>
      <c r="H263">
        <f>+'Raw data'!A595</f>
        <v>5</v>
      </c>
      <c r="I263">
        <f>+'Raw data'!B595</f>
        <v>8</v>
      </c>
      <c r="J263">
        <f>+'Raw data'!C595</f>
        <v>0</v>
      </c>
      <c r="M263">
        <f>+'Raw data'!E595</f>
        <v>157</v>
      </c>
      <c r="N263">
        <f>+'Raw data'!F595</f>
        <v>0.495</v>
      </c>
      <c r="O263">
        <f>+'Raw data'!G595</f>
        <v>43</v>
      </c>
      <c r="P263">
        <f>+'Raw data'!H595</f>
        <v>0.371</v>
      </c>
      <c r="Q263">
        <f>+'Raw data'!I595</f>
        <v>0.81699999999999995</v>
      </c>
      <c r="R263">
        <f>+'Raw data'!J595</f>
        <v>491</v>
      </c>
      <c r="S263">
        <f>+'Raw data'!K595</f>
        <v>29</v>
      </c>
      <c r="T263">
        <f>+'Raw data'!L595</f>
        <v>146</v>
      </c>
      <c r="U263">
        <f>+'Raw data'!M595</f>
        <v>119</v>
      </c>
      <c r="V263">
        <f>+'Raw data'!N595</f>
        <v>29</v>
      </c>
      <c r="W263">
        <f>+'Raw data'!O595</f>
        <v>24</v>
      </c>
      <c r="X263">
        <f>+'Raw data'!P595</f>
        <v>65</v>
      </c>
      <c r="Y263">
        <f>+'Raw data'!Q595</f>
        <v>1.83</v>
      </c>
    </row>
    <row r="264" spans="1:25" x14ac:dyDescent="0.25">
      <c r="A264">
        <v>2025</v>
      </c>
      <c r="B264" t="s">
        <v>57</v>
      </c>
      <c r="C264">
        <f>+C263</f>
        <v>13</v>
      </c>
      <c r="D264">
        <f t="shared" si="15"/>
        <v>122</v>
      </c>
      <c r="E264" t="str">
        <f>+'Raw data'!A575</f>
        <v>The Bad Boys</v>
      </c>
      <c r="F264" t="str">
        <f>VLOOKUP(E264,Data!$E$2626:$F$2645,2,FALSE)</f>
        <v>Arvanitis</v>
      </c>
      <c r="H264">
        <f>+'Raw data'!A596</f>
        <v>8</v>
      </c>
      <c r="I264">
        <f>+'Raw data'!B596</f>
        <v>5</v>
      </c>
      <c r="J264">
        <f>+'Raw data'!C596</f>
        <v>0</v>
      </c>
      <c r="M264">
        <f>+'Raw data'!E596</f>
        <v>196</v>
      </c>
      <c r="N264">
        <f>+'Raw data'!F596</f>
        <v>0.46700000000000003</v>
      </c>
      <c r="O264">
        <f>+'Raw data'!G596</f>
        <v>54</v>
      </c>
      <c r="P264">
        <f>+'Raw data'!H596</f>
        <v>0.38800000000000001</v>
      </c>
      <c r="Q264">
        <f>+'Raw data'!I596</f>
        <v>0.72199999999999998</v>
      </c>
      <c r="R264">
        <f>+'Raw data'!J596</f>
        <v>550</v>
      </c>
      <c r="S264">
        <f>+'Raw data'!K596</f>
        <v>43</v>
      </c>
      <c r="T264">
        <f>+'Raw data'!L596</f>
        <v>141</v>
      </c>
      <c r="U264">
        <f>+'Raw data'!M596</f>
        <v>129</v>
      </c>
      <c r="V264">
        <f>+'Raw data'!N596</f>
        <v>35</v>
      </c>
      <c r="W264">
        <f>+'Raw data'!O596</f>
        <v>22</v>
      </c>
      <c r="X264">
        <f>+'Raw data'!P596</f>
        <v>66</v>
      </c>
      <c r="Y264">
        <f>+'Raw data'!Q596</f>
        <v>1.95</v>
      </c>
    </row>
    <row r="265" spans="1:25" x14ac:dyDescent="0.25">
      <c r="A265">
        <v>2025</v>
      </c>
      <c r="B265" t="s">
        <v>57</v>
      </c>
      <c r="C265">
        <f>+C264</f>
        <v>13</v>
      </c>
      <c r="D265">
        <f t="shared" si="15"/>
        <v>122</v>
      </c>
      <c r="E265" t="str">
        <f>+'Raw data'!A576</f>
        <v>Salonika Devils</v>
      </c>
      <c r="F265" t="str">
        <f>VLOOKUP(E265,Data!$E$2626:$F$2645,2,FALSE)</f>
        <v>Fountos</v>
      </c>
      <c r="H265">
        <f>+'Raw data'!A597</f>
        <v>5</v>
      </c>
      <c r="I265">
        <f>+'Raw data'!B597</f>
        <v>8</v>
      </c>
      <c r="J265">
        <f>+'Raw data'!C597</f>
        <v>0</v>
      </c>
      <c r="M265">
        <f>+'Raw data'!E597</f>
        <v>153</v>
      </c>
      <c r="N265">
        <f>+'Raw data'!F597</f>
        <v>0.46800000000000003</v>
      </c>
      <c r="O265">
        <f>+'Raw data'!G597</f>
        <v>47</v>
      </c>
      <c r="P265">
        <f>+'Raw data'!H597</f>
        <v>0.379</v>
      </c>
      <c r="Q265">
        <f>+'Raw data'!I597</f>
        <v>0.79</v>
      </c>
      <c r="R265">
        <f>+'Raw data'!J597</f>
        <v>417</v>
      </c>
      <c r="S265">
        <f>+'Raw data'!K597</f>
        <v>44</v>
      </c>
      <c r="T265">
        <f>+'Raw data'!L597</f>
        <v>102</v>
      </c>
      <c r="U265">
        <f>+'Raw data'!M597</f>
        <v>89</v>
      </c>
      <c r="V265">
        <f>+'Raw data'!N597</f>
        <v>30</v>
      </c>
      <c r="W265">
        <f>+'Raw data'!O597</f>
        <v>17</v>
      </c>
      <c r="X265">
        <f>+'Raw data'!P597</f>
        <v>41</v>
      </c>
      <c r="Y265">
        <f>+'Raw data'!Q597</f>
        <v>2.17</v>
      </c>
    </row>
    <row r="266" spans="1:25" x14ac:dyDescent="0.25">
      <c r="A266">
        <v>2025</v>
      </c>
      <c r="B266" t="s">
        <v>57</v>
      </c>
      <c r="C266">
        <f t="shared" ref="C266:C281" si="16">+C265</f>
        <v>13</v>
      </c>
      <c r="D266">
        <f t="shared" si="15"/>
        <v>123</v>
      </c>
      <c r="E266" t="str">
        <f>+'Raw data'!A577</f>
        <v>purple fuzzy apache pirates</v>
      </c>
      <c r="F266" t="str">
        <f>VLOOKUP(E266,Data!$E$2626:$F$2645,2,FALSE)</f>
        <v>pi/Sotiris</v>
      </c>
      <c r="H266">
        <f>+'Raw data'!A598</f>
        <v>8</v>
      </c>
      <c r="I266">
        <f>+'Raw data'!B598</f>
        <v>5</v>
      </c>
      <c r="J266">
        <f>+'Raw data'!C598</f>
        <v>0</v>
      </c>
      <c r="M266">
        <f>+'Raw data'!E598</f>
        <v>183</v>
      </c>
      <c r="N266">
        <f>+'Raw data'!F598</f>
        <v>0.46100000000000002</v>
      </c>
      <c r="O266">
        <f>+'Raw data'!G598</f>
        <v>44</v>
      </c>
      <c r="P266">
        <f>+'Raw data'!H598</f>
        <v>0.31900000000000001</v>
      </c>
      <c r="Q266">
        <f>+'Raw data'!I598</f>
        <v>0.77400000000000002</v>
      </c>
      <c r="R266">
        <f>+'Raw data'!J598</f>
        <v>506</v>
      </c>
      <c r="S266">
        <f>+'Raw data'!K598</f>
        <v>49</v>
      </c>
      <c r="T266">
        <f>+'Raw data'!L598</f>
        <v>181</v>
      </c>
      <c r="U266">
        <f>+'Raw data'!M598</f>
        <v>173</v>
      </c>
      <c r="V266">
        <f>+'Raw data'!N598</f>
        <v>28</v>
      </c>
      <c r="W266">
        <f>+'Raw data'!O598</f>
        <v>12</v>
      </c>
      <c r="X266">
        <f>+'Raw data'!P598</f>
        <v>66</v>
      </c>
      <c r="Y266">
        <f>+'Raw data'!Q598</f>
        <v>2.62</v>
      </c>
    </row>
    <row r="267" spans="1:25" x14ac:dyDescent="0.25">
      <c r="A267">
        <v>2025</v>
      </c>
      <c r="B267" t="s">
        <v>57</v>
      </c>
      <c r="C267">
        <f t="shared" si="16"/>
        <v>13</v>
      </c>
      <c r="D267">
        <f t="shared" si="15"/>
        <v>123</v>
      </c>
      <c r="E267" t="str">
        <f>+'Raw data'!A578</f>
        <v>Steven Adams' Moustache</v>
      </c>
      <c r="F267" t="str">
        <f>VLOOKUP(E267,Data!$E$2626:$F$2645,2,FALSE)</f>
        <v>Johnny</v>
      </c>
      <c r="H267">
        <f>+'Raw data'!A599</f>
        <v>5</v>
      </c>
      <c r="I267">
        <f>+'Raw data'!B599</f>
        <v>8</v>
      </c>
      <c r="J267">
        <f>+'Raw data'!C599</f>
        <v>0</v>
      </c>
      <c r="M267">
        <f>+'Raw data'!E599</f>
        <v>118</v>
      </c>
      <c r="N267">
        <f>+'Raw data'!F599</f>
        <v>0.46500000000000002</v>
      </c>
      <c r="O267">
        <f>+'Raw data'!G599</f>
        <v>45</v>
      </c>
      <c r="P267">
        <f>+'Raw data'!H599</f>
        <v>0.39100000000000001</v>
      </c>
      <c r="Q267">
        <f>+'Raw data'!I599</f>
        <v>0.84399999999999997</v>
      </c>
      <c r="R267">
        <f>+'Raw data'!J599</f>
        <v>335</v>
      </c>
      <c r="S267">
        <f>+'Raw data'!K599</f>
        <v>28</v>
      </c>
      <c r="T267">
        <f>+'Raw data'!L599</f>
        <v>100</v>
      </c>
      <c r="U267">
        <f>+'Raw data'!M599</f>
        <v>70</v>
      </c>
      <c r="V267">
        <f>+'Raw data'!N599</f>
        <v>21</v>
      </c>
      <c r="W267">
        <f>+'Raw data'!O599</f>
        <v>11</v>
      </c>
      <c r="X267">
        <f>+'Raw data'!P599</f>
        <v>38</v>
      </c>
      <c r="Y267">
        <f>+'Raw data'!Q599</f>
        <v>1.84</v>
      </c>
    </row>
    <row r="268" spans="1:25" x14ac:dyDescent="0.25">
      <c r="A268">
        <v>2025</v>
      </c>
      <c r="B268" t="s">
        <v>57</v>
      </c>
      <c r="C268">
        <f t="shared" si="16"/>
        <v>13</v>
      </c>
      <c r="D268">
        <f t="shared" si="15"/>
        <v>124</v>
      </c>
      <c r="E268" t="str">
        <f>+'Raw data'!A579</f>
        <v>Knights of Ni</v>
      </c>
      <c r="F268" t="str">
        <f>VLOOKUP(E268,Data!$E$2626:$F$2645,2,FALSE)</f>
        <v>Tolios</v>
      </c>
      <c r="H268">
        <f>+'Raw data'!A600</f>
        <v>4</v>
      </c>
      <c r="I268">
        <f>+'Raw data'!B600</f>
        <v>8</v>
      </c>
      <c r="J268">
        <f>+'Raw data'!C600</f>
        <v>1</v>
      </c>
      <c r="M268">
        <f>+'Raw data'!E600</f>
        <v>124</v>
      </c>
      <c r="N268">
        <f>+'Raw data'!F600</f>
        <v>0.52300000000000002</v>
      </c>
      <c r="O268">
        <f>+'Raw data'!G600</f>
        <v>40</v>
      </c>
      <c r="P268">
        <f>+'Raw data'!H600</f>
        <v>0.40400000000000003</v>
      </c>
      <c r="Q268">
        <f>+'Raw data'!I600</f>
        <v>0.9</v>
      </c>
      <c r="R268">
        <f>+'Raw data'!J600</f>
        <v>333</v>
      </c>
      <c r="S268">
        <f>+'Raw data'!K600</f>
        <v>26</v>
      </c>
      <c r="T268">
        <f>+'Raw data'!L600</f>
        <v>92</v>
      </c>
      <c r="U268">
        <f>+'Raw data'!M600</f>
        <v>47</v>
      </c>
      <c r="V268">
        <f>+'Raw data'!N600</f>
        <v>24</v>
      </c>
      <c r="W268">
        <f>+'Raw data'!O600</f>
        <v>10</v>
      </c>
      <c r="X268">
        <f>+'Raw data'!P600</f>
        <v>36</v>
      </c>
      <c r="Y268">
        <f>+'Raw data'!Q600</f>
        <v>1.31</v>
      </c>
    </row>
    <row r="269" spans="1:25" x14ac:dyDescent="0.25">
      <c r="A269">
        <v>2025</v>
      </c>
      <c r="B269" t="s">
        <v>57</v>
      </c>
      <c r="C269">
        <f t="shared" si="16"/>
        <v>13</v>
      </c>
      <c r="D269">
        <f t="shared" si="15"/>
        <v>124</v>
      </c>
      <c r="E269" t="str">
        <f>+'Raw data'!A580</f>
        <v>Paralouistas</v>
      </c>
      <c r="F269" t="str">
        <f>VLOOKUP(E269,Data!$E$2626:$F$2645,2,FALSE)</f>
        <v>Panos</v>
      </c>
      <c r="H269">
        <f>+'Raw data'!A601</f>
        <v>8</v>
      </c>
      <c r="I269">
        <f>+'Raw data'!B601</f>
        <v>4</v>
      </c>
      <c r="J269">
        <f>+'Raw data'!C601</f>
        <v>1</v>
      </c>
      <c r="M269">
        <f>+'Raw data'!E601</f>
        <v>174</v>
      </c>
      <c r="N269">
        <f>+'Raw data'!F601</f>
        <v>0.435</v>
      </c>
      <c r="O269">
        <f>+'Raw data'!G601</f>
        <v>40</v>
      </c>
      <c r="P269">
        <f>+'Raw data'!H601</f>
        <v>0.28399999999999997</v>
      </c>
      <c r="Q269">
        <f>+'Raw data'!I601</f>
        <v>0.70599999999999996</v>
      </c>
      <c r="R269">
        <f>+'Raw data'!J601</f>
        <v>448</v>
      </c>
      <c r="S269">
        <f>+'Raw data'!K601</f>
        <v>30</v>
      </c>
      <c r="T269">
        <f>+'Raw data'!L601</f>
        <v>140</v>
      </c>
      <c r="U269">
        <f>+'Raw data'!M601</f>
        <v>147</v>
      </c>
      <c r="V269">
        <f>+'Raw data'!N601</f>
        <v>37</v>
      </c>
      <c r="W269">
        <f>+'Raw data'!O601</f>
        <v>20</v>
      </c>
      <c r="X269">
        <f>+'Raw data'!P601</f>
        <v>60</v>
      </c>
      <c r="Y269">
        <f>+'Raw data'!Q601</f>
        <v>2.4500000000000002</v>
      </c>
    </row>
    <row r="270" spans="1:25" x14ac:dyDescent="0.25">
      <c r="A270">
        <v>2025</v>
      </c>
      <c r="B270" t="s">
        <v>57</v>
      </c>
      <c r="C270">
        <f t="shared" si="16"/>
        <v>13</v>
      </c>
      <c r="D270">
        <f t="shared" si="15"/>
        <v>125</v>
      </c>
      <c r="E270" t="str">
        <f>+'Raw data'!A581</f>
        <v>Guruuu 🐐🐐🐐</v>
      </c>
      <c r="F270" t="str">
        <f>VLOOKUP(E270,Data!$E$2626:$F$2645,2,FALSE)</f>
        <v>Guru</v>
      </c>
      <c r="H270">
        <f>+'Raw data'!A602</f>
        <v>6</v>
      </c>
      <c r="I270">
        <f>+'Raw data'!B602</f>
        <v>7</v>
      </c>
      <c r="J270">
        <f>+'Raw data'!C602</f>
        <v>0</v>
      </c>
      <c r="M270">
        <f>+'Raw data'!E602</f>
        <v>164</v>
      </c>
      <c r="N270">
        <f>+'Raw data'!F602</f>
        <v>0.41799999999999998</v>
      </c>
      <c r="O270">
        <f>+'Raw data'!G602</f>
        <v>54</v>
      </c>
      <c r="P270">
        <f>+'Raw data'!H602</f>
        <v>0.32500000000000001</v>
      </c>
      <c r="Q270">
        <f>+'Raw data'!I602</f>
        <v>0.85799999999999998</v>
      </c>
      <c r="R270">
        <f>+'Raw data'!J602</f>
        <v>485</v>
      </c>
      <c r="S270">
        <f>+'Raw data'!K602</f>
        <v>32</v>
      </c>
      <c r="T270">
        <f>+'Raw data'!L602</f>
        <v>106</v>
      </c>
      <c r="U270">
        <f>+'Raw data'!M602</f>
        <v>77</v>
      </c>
      <c r="V270">
        <f>+'Raw data'!N602</f>
        <v>29</v>
      </c>
      <c r="W270">
        <f>+'Raw data'!O602</f>
        <v>18</v>
      </c>
      <c r="X270">
        <f>+'Raw data'!P602</f>
        <v>46</v>
      </c>
      <c r="Y270">
        <f>+'Raw data'!Q602</f>
        <v>1.67</v>
      </c>
    </row>
    <row r="271" spans="1:25" x14ac:dyDescent="0.25">
      <c r="A271">
        <v>2025</v>
      </c>
      <c r="B271" t="s">
        <v>57</v>
      </c>
      <c r="C271">
        <f t="shared" si="16"/>
        <v>13</v>
      </c>
      <c r="D271">
        <f t="shared" si="15"/>
        <v>125</v>
      </c>
      <c r="E271" t="str">
        <f>+'Raw data'!A582</f>
        <v>st.Helens Eruptions</v>
      </c>
      <c r="F271" t="str">
        <f>VLOOKUP(E271,Data!$E$2626:$F$2645,2,FALSE)</f>
        <v>Aris</v>
      </c>
      <c r="H271">
        <f>+'Raw data'!A603</f>
        <v>7</v>
      </c>
      <c r="I271">
        <f>+'Raw data'!B603</f>
        <v>6</v>
      </c>
      <c r="J271">
        <f>+'Raw data'!C603</f>
        <v>0</v>
      </c>
      <c r="M271">
        <f>+'Raw data'!E603</f>
        <v>152</v>
      </c>
      <c r="N271">
        <f>+'Raw data'!F603</f>
        <v>0.438</v>
      </c>
      <c r="O271">
        <f>+'Raw data'!G603</f>
        <v>49</v>
      </c>
      <c r="P271">
        <f>+'Raw data'!H603</f>
        <v>0.38300000000000001</v>
      </c>
      <c r="Q271">
        <f>+'Raw data'!I603</f>
        <v>0.747</v>
      </c>
      <c r="R271">
        <f>+'Raw data'!J603</f>
        <v>415</v>
      </c>
      <c r="S271">
        <f>+'Raw data'!K603</f>
        <v>44</v>
      </c>
      <c r="T271">
        <f>+'Raw data'!L603</f>
        <v>108</v>
      </c>
      <c r="U271">
        <f>+'Raw data'!M603</f>
        <v>93</v>
      </c>
      <c r="V271">
        <f>+'Raw data'!N603</f>
        <v>24</v>
      </c>
      <c r="W271">
        <f>+'Raw data'!O603</f>
        <v>12</v>
      </c>
      <c r="X271">
        <f>+'Raw data'!P603</f>
        <v>40</v>
      </c>
      <c r="Y271">
        <f>+'Raw data'!Q603</f>
        <v>2.33</v>
      </c>
    </row>
    <row r="272" spans="1:25" x14ac:dyDescent="0.25">
      <c r="A272">
        <v>2025</v>
      </c>
      <c r="B272" t="s">
        <v>57</v>
      </c>
      <c r="C272">
        <f t="shared" si="16"/>
        <v>13</v>
      </c>
      <c r="D272">
        <f t="shared" si="15"/>
        <v>126</v>
      </c>
      <c r="E272" t="str">
        <f>+'Raw data'!A583</f>
        <v>Heraklion Snakes</v>
      </c>
      <c r="F272" t="str">
        <f>VLOOKUP(E272,Data!$E$2626:$F$2645,2,FALSE)</f>
        <v>Dimitris</v>
      </c>
      <c r="H272">
        <f>+'Raw data'!A604</f>
        <v>1</v>
      </c>
      <c r="I272">
        <f>+'Raw data'!B604</f>
        <v>12</v>
      </c>
      <c r="J272">
        <f>+'Raw data'!C604</f>
        <v>0</v>
      </c>
      <c r="M272">
        <f>+'Raw data'!E604</f>
        <v>90</v>
      </c>
      <c r="N272">
        <f>+'Raw data'!F604</f>
        <v>0.41899999999999998</v>
      </c>
      <c r="O272">
        <f>+'Raw data'!G604</f>
        <v>38</v>
      </c>
      <c r="P272">
        <f>+'Raw data'!H604</f>
        <v>0.36499999999999999</v>
      </c>
      <c r="Q272">
        <f>+'Raw data'!I604</f>
        <v>0.73699999999999999</v>
      </c>
      <c r="R272">
        <f>+'Raw data'!J604</f>
        <v>260</v>
      </c>
      <c r="S272">
        <f>+'Raw data'!K604</f>
        <v>28</v>
      </c>
      <c r="T272">
        <f>+'Raw data'!L604</f>
        <v>76</v>
      </c>
      <c r="U272">
        <f>+'Raw data'!M604</f>
        <v>60</v>
      </c>
      <c r="V272">
        <f>+'Raw data'!N604</f>
        <v>12</v>
      </c>
      <c r="W272">
        <f>+'Raw data'!O604</f>
        <v>11</v>
      </c>
      <c r="X272">
        <f>+'Raw data'!P604</f>
        <v>38</v>
      </c>
      <c r="Y272">
        <f>+'Raw data'!Q604</f>
        <v>1.58</v>
      </c>
    </row>
    <row r="273" spans="1:25" x14ac:dyDescent="0.25">
      <c r="A273">
        <v>2025</v>
      </c>
      <c r="B273" t="s">
        <v>57</v>
      </c>
      <c r="C273">
        <f t="shared" si="16"/>
        <v>13</v>
      </c>
      <c r="D273">
        <f t="shared" si="15"/>
        <v>126</v>
      </c>
      <c r="E273" t="str">
        <f>+'Raw data'!A584</f>
        <v>Pachiana NinjaBees</v>
      </c>
      <c r="F273" t="str">
        <f>VLOOKUP(E273,Data!$E$2626:$F$2645,2,FALSE)</f>
        <v>Spiridaus/Oladipas</v>
      </c>
      <c r="H273">
        <f>+'Raw data'!A605</f>
        <v>12</v>
      </c>
      <c r="I273">
        <f>+'Raw data'!B605</f>
        <v>1</v>
      </c>
      <c r="J273">
        <f>+'Raw data'!C605</f>
        <v>0</v>
      </c>
      <c r="M273">
        <f>+'Raw data'!E605</f>
        <v>194</v>
      </c>
      <c r="N273">
        <f>+'Raw data'!F605</f>
        <v>0.504</v>
      </c>
      <c r="O273">
        <f>+'Raw data'!G605</f>
        <v>71</v>
      </c>
      <c r="P273">
        <f>+'Raw data'!H605</f>
        <v>0.41799999999999998</v>
      </c>
      <c r="Q273">
        <f>+'Raw data'!I605</f>
        <v>0.86699999999999999</v>
      </c>
      <c r="R273">
        <f>+'Raw data'!J605</f>
        <v>524</v>
      </c>
      <c r="S273">
        <f>+'Raw data'!K605</f>
        <v>48</v>
      </c>
      <c r="T273">
        <f>+'Raw data'!L605</f>
        <v>151</v>
      </c>
      <c r="U273">
        <f>+'Raw data'!M605</f>
        <v>127</v>
      </c>
      <c r="V273">
        <f>+'Raw data'!N605</f>
        <v>37</v>
      </c>
      <c r="W273">
        <f>+'Raw data'!O605</f>
        <v>32</v>
      </c>
      <c r="X273">
        <f>+'Raw data'!P605</f>
        <v>62</v>
      </c>
      <c r="Y273">
        <f>+'Raw data'!Q605</f>
        <v>2.0499999999999998</v>
      </c>
    </row>
    <row r="274" spans="1:25" x14ac:dyDescent="0.25">
      <c r="A274">
        <v>2025</v>
      </c>
      <c r="B274" t="s">
        <v>57</v>
      </c>
      <c r="C274">
        <f t="shared" si="16"/>
        <v>13</v>
      </c>
      <c r="D274">
        <f t="shared" si="15"/>
        <v>127</v>
      </c>
      <c r="E274" t="str">
        <f>+'Raw data'!A585</f>
        <v>The Bridgeburners</v>
      </c>
      <c r="F274" t="str">
        <f>VLOOKUP(E274,Data!$E$2626:$F$2645,2,FALSE)</f>
        <v>Fanis</v>
      </c>
      <c r="H274">
        <f>+'Raw data'!A606</f>
        <v>4</v>
      </c>
      <c r="I274">
        <f>+'Raw data'!B606</f>
        <v>9</v>
      </c>
      <c r="J274">
        <f>+'Raw data'!C606</f>
        <v>0</v>
      </c>
      <c r="M274">
        <f>+'Raw data'!E606</f>
        <v>130</v>
      </c>
      <c r="N274">
        <f>+'Raw data'!F606</f>
        <v>0.439</v>
      </c>
      <c r="O274">
        <f>+'Raw data'!G606</f>
        <v>32</v>
      </c>
      <c r="P274">
        <f>+'Raw data'!H606</f>
        <v>0.29599999999999999</v>
      </c>
      <c r="Q274">
        <f>+'Raw data'!I606</f>
        <v>0.82499999999999996</v>
      </c>
      <c r="R274">
        <f>+'Raw data'!J606</f>
        <v>344</v>
      </c>
      <c r="S274">
        <f>+'Raw data'!K606</f>
        <v>43</v>
      </c>
      <c r="T274">
        <f>+'Raw data'!L606</f>
        <v>139</v>
      </c>
      <c r="U274">
        <f>+'Raw data'!M606</f>
        <v>70</v>
      </c>
      <c r="V274">
        <f>+'Raw data'!N606</f>
        <v>17</v>
      </c>
      <c r="W274">
        <f>+'Raw data'!O606</f>
        <v>19</v>
      </c>
      <c r="X274">
        <f>+'Raw data'!P606</f>
        <v>50</v>
      </c>
      <c r="Y274">
        <f>+'Raw data'!Q606</f>
        <v>1.4</v>
      </c>
    </row>
    <row r="275" spans="1:25" x14ac:dyDescent="0.25">
      <c r="A275">
        <v>2025</v>
      </c>
      <c r="B275" t="s">
        <v>57</v>
      </c>
      <c r="C275">
        <f t="shared" si="16"/>
        <v>13</v>
      </c>
      <c r="D275">
        <f t="shared" si="15"/>
        <v>127</v>
      </c>
      <c r="E275" t="str">
        <f>+'Raw data'!A586</f>
        <v>Karafli Saita</v>
      </c>
      <c r="F275" t="str">
        <f>VLOOKUP(E275,Data!$E$2626:$F$2645,2,FALSE)</f>
        <v>Tassos</v>
      </c>
      <c r="H275">
        <f>+'Raw data'!A607</f>
        <v>9</v>
      </c>
      <c r="I275">
        <f>+'Raw data'!B607</f>
        <v>4</v>
      </c>
      <c r="J275">
        <f>+'Raw data'!C607</f>
        <v>0</v>
      </c>
      <c r="M275">
        <f>+'Raw data'!E607</f>
        <v>195</v>
      </c>
      <c r="N275">
        <f>+'Raw data'!F607</f>
        <v>0.46500000000000002</v>
      </c>
      <c r="O275">
        <f>+'Raw data'!G607</f>
        <v>36</v>
      </c>
      <c r="P275">
        <f>+'Raw data'!H607</f>
        <v>0.31900000000000001</v>
      </c>
      <c r="Q275">
        <f>+'Raw data'!I607</f>
        <v>0.77900000000000003</v>
      </c>
      <c r="R275">
        <f>+'Raw data'!J607</f>
        <v>532</v>
      </c>
      <c r="S275">
        <f>+'Raw data'!K607</f>
        <v>32</v>
      </c>
      <c r="T275">
        <f>+'Raw data'!L607</f>
        <v>128</v>
      </c>
      <c r="U275">
        <f>+'Raw data'!M607</f>
        <v>134</v>
      </c>
      <c r="V275">
        <f>+'Raw data'!N607</f>
        <v>39</v>
      </c>
      <c r="W275">
        <f>+'Raw data'!O607</f>
        <v>28</v>
      </c>
      <c r="X275">
        <f>+'Raw data'!P607</f>
        <v>62</v>
      </c>
      <c r="Y275">
        <f>+'Raw data'!Q607</f>
        <v>2.16</v>
      </c>
    </row>
    <row r="276" spans="1:25" x14ac:dyDescent="0.25">
      <c r="A276">
        <v>2025</v>
      </c>
      <c r="B276" t="s">
        <v>57</v>
      </c>
      <c r="C276">
        <f t="shared" si="16"/>
        <v>13</v>
      </c>
      <c r="D276">
        <f t="shared" si="15"/>
        <v>128</v>
      </c>
      <c r="E276" t="str">
        <f>+'Raw data'!A587</f>
        <v>Kourayo Vallecano</v>
      </c>
      <c r="F276" t="str">
        <f>VLOOKUP(E276,Data!$E$2626:$F$2645,2,FALSE)</f>
        <v>Ziogas/Christof</v>
      </c>
      <c r="H276">
        <f>+'Raw data'!A608</f>
        <v>3</v>
      </c>
      <c r="I276">
        <f>+'Raw data'!B608</f>
        <v>9</v>
      </c>
      <c r="J276">
        <f>+'Raw data'!C608</f>
        <v>1</v>
      </c>
      <c r="M276">
        <f>+'Raw data'!E608</f>
        <v>140</v>
      </c>
      <c r="N276">
        <f>+'Raw data'!F608</f>
        <v>0.49299999999999999</v>
      </c>
      <c r="O276">
        <f>+'Raw data'!G608</f>
        <v>42</v>
      </c>
      <c r="P276">
        <f>+'Raw data'!H608</f>
        <v>0.375</v>
      </c>
      <c r="Q276">
        <f>+'Raw data'!I608</f>
        <v>0.69399999999999995</v>
      </c>
      <c r="R276">
        <f>+'Raw data'!J608</f>
        <v>381</v>
      </c>
      <c r="S276">
        <f>+'Raw data'!K608</f>
        <v>51</v>
      </c>
      <c r="T276">
        <f>+'Raw data'!L608</f>
        <v>120</v>
      </c>
      <c r="U276">
        <f>+'Raw data'!M608</f>
        <v>111</v>
      </c>
      <c r="V276">
        <f>+'Raw data'!N608</f>
        <v>28</v>
      </c>
      <c r="W276">
        <f>+'Raw data'!O608</f>
        <v>18</v>
      </c>
      <c r="X276">
        <f>+'Raw data'!P608</f>
        <v>58</v>
      </c>
      <c r="Y276">
        <f>+'Raw data'!Q608</f>
        <v>1.91</v>
      </c>
    </row>
    <row r="277" spans="1:25" x14ac:dyDescent="0.25">
      <c r="A277">
        <v>2025</v>
      </c>
      <c r="B277" t="s">
        <v>57</v>
      </c>
      <c r="C277">
        <f t="shared" si="16"/>
        <v>13</v>
      </c>
      <c r="D277">
        <f t="shared" si="15"/>
        <v>128</v>
      </c>
      <c r="E277" t="str">
        <f>+'Raw data'!A588</f>
        <v>Fighting Thaddeus</v>
      </c>
      <c r="F277" t="str">
        <f>VLOOKUP(E277,Data!$E$2626:$F$2645,2,FALSE)</f>
        <v>Stavros</v>
      </c>
      <c r="H277">
        <f>+'Raw data'!A609</f>
        <v>9</v>
      </c>
      <c r="I277">
        <f>+'Raw data'!B609</f>
        <v>3</v>
      </c>
      <c r="J277">
        <f>+'Raw data'!C609</f>
        <v>1</v>
      </c>
      <c r="M277">
        <f>+'Raw data'!E609</f>
        <v>197</v>
      </c>
      <c r="N277">
        <f>+'Raw data'!F609</f>
        <v>0.49099999999999999</v>
      </c>
      <c r="O277">
        <f>+'Raw data'!G609</f>
        <v>67</v>
      </c>
      <c r="P277">
        <f>+'Raw data'!H609</f>
        <v>0.38300000000000001</v>
      </c>
      <c r="Q277">
        <f>+'Raw data'!I609</f>
        <v>0.81499999999999995</v>
      </c>
      <c r="R277">
        <f>+'Raw data'!J609</f>
        <v>549</v>
      </c>
      <c r="S277">
        <f>+'Raw data'!K609</f>
        <v>47</v>
      </c>
      <c r="T277">
        <f>+'Raw data'!L609</f>
        <v>134</v>
      </c>
      <c r="U277">
        <f>+'Raw data'!M609</f>
        <v>142</v>
      </c>
      <c r="V277">
        <f>+'Raw data'!N609</f>
        <v>18</v>
      </c>
      <c r="W277">
        <f>+'Raw data'!O609</f>
        <v>21</v>
      </c>
      <c r="X277">
        <f>+'Raw data'!P609</f>
        <v>58</v>
      </c>
      <c r="Y277">
        <f>+'Raw data'!Q609</f>
        <v>2.4500000000000002</v>
      </c>
    </row>
    <row r="278" spans="1:25" x14ac:dyDescent="0.25">
      <c r="A278">
        <v>2025</v>
      </c>
      <c r="B278" t="s">
        <v>57</v>
      </c>
      <c r="C278">
        <f t="shared" si="16"/>
        <v>13</v>
      </c>
      <c r="D278">
        <f t="shared" si="15"/>
        <v>129</v>
      </c>
      <c r="E278" t="str">
        <f>+'Raw data'!A589</f>
        <v>Xanthi Ducks 🦆</v>
      </c>
      <c r="F278" t="str">
        <f>VLOOKUP(E278,Data!$E$2626:$F$2645,2,FALSE)</f>
        <v>Kotakis</v>
      </c>
      <c r="H278">
        <f>+'Raw data'!A610</f>
        <v>6</v>
      </c>
      <c r="I278">
        <f>+'Raw data'!B610</f>
        <v>7</v>
      </c>
      <c r="J278">
        <f>+'Raw data'!C610</f>
        <v>0</v>
      </c>
      <c r="M278">
        <f>+'Raw data'!E610</f>
        <v>106</v>
      </c>
      <c r="N278">
        <f>+'Raw data'!F610</f>
        <v>0.43099999999999999</v>
      </c>
      <c r="O278">
        <f>+'Raw data'!G610</f>
        <v>45</v>
      </c>
      <c r="P278">
        <f>+'Raw data'!H610</f>
        <v>0.36899999999999999</v>
      </c>
      <c r="Q278">
        <f>+'Raw data'!I610</f>
        <v>0.79100000000000004</v>
      </c>
      <c r="R278">
        <f>+'Raw data'!J610</f>
        <v>291</v>
      </c>
      <c r="S278">
        <f>+'Raw data'!K610</f>
        <v>25</v>
      </c>
      <c r="T278">
        <f>+'Raw data'!L610</f>
        <v>86</v>
      </c>
      <c r="U278">
        <f>+'Raw data'!M610</f>
        <v>80</v>
      </c>
      <c r="V278">
        <f>+'Raw data'!N610</f>
        <v>24</v>
      </c>
      <c r="W278">
        <f>+'Raw data'!O610</f>
        <v>9</v>
      </c>
      <c r="X278">
        <f>+'Raw data'!P610</f>
        <v>30</v>
      </c>
      <c r="Y278">
        <f>+'Raw data'!Q610</f>
        <v>2.67</v>
      </c>
    </row>
    <row r="279" spans="1:25" x14ac:dyDescent="0.25">
      <c r="A279">
        <v>2025</v>
      </c>
      <c r="B279" t="s">
        <v>57</v>
      </c>
      <c r="C279">
        <f t="shared" si="16"/>
        <v>13</v>
      </c>
      <c r="D279">
        <f t="shared" si="15"/>
        <v>129</v>
      </c>
      <c r="E279" t="str">
        <f>+'Raw data'!A590</f>
        <v>Hércules Pals</v>
      </c>
      <c r="F279" t="e">
        <f>VLOOKUP(E279,Data!$E$2626:$F$2645,2,FALSE)</f>
        <v>#N/A</v>
      </c>
      <c r="H279">
        <f>+'Raw data'!A611</f>
        <v>7</v>
      </c>
      <c r="I279">
        <f>+'Raw data'!B611</f>
        <v>6</v>
      </c>
      <c r="J279">
        <f>+'Raw data'!C611</f>
        <v>0</v>
      </c>
      <c r="M279">
        <f>+'Raw data'!E611</f>
        <v>101</v>
      </c>
      <c r="N279">
        <f>+'Raw data'!F611</f>
        <v>0.45500000000000002</v>
      </c>
      <c r="O279">
        <f>+'Raw data'!G611</f>
        <v>50</v>
      </c>
      <c r="P279">
        <f>+'Raw data'!H611</f>
        <v>0.38500000000000001</v>
      </c>
      <c r="Q279">
        <f>+'Raw data'!I611</f>
        <v>0.80400000000000005</v>
      </c>
      <c r="R279">
        <f>+'Raw data'!J611</f>
        <v>289</v>
      </c>
      <c r="S279">
        <f>+'Raw data'!K611</f>
        <v>43</v>
      </c>
      <c r="T279">
        <f>+'Raw data'!L611</f>
        <v>88</v>
      </c>
      <c r="U279">
        <f>+'Raw data'!M611</f>
        <v>73</v>
      </c>
      <c r="V279">
        <f>+'Raw data'!N611</f>
        <v>25</v>
      </c>
      <c r="W279">
        <f>+'Raw data'!O611</f>
        <v>7</v>
      </c>
      <c r="X279">
        <f>+'Raw data'!P611</f>
        <v>44</v>
      </c>
      <c r="Y279">
        <f>+'Raw data'!Q611</f>
        <v>1.66</v>
      </c>
    </row>
    <row r="280" spans="1:25" x14ac:dyDescent="0.25">
      <c r="A280">
        <v>2025</v>
      </c>
      <c r="B280" t="s">
        <v>57</v>
      </c>
      <c r="C280">
        <f t="shared" si="16"/>
        <v>13</v>
      </c>
      <c r="D280">
        <f t="shared" si="15"/>
        <v>130</v>
      </c>
      <c r="E280" t="str">
        <f>+'Raw data'!A591</f>
        <v>The Guns</v>
      </c>
      <c r="F280" t="str">
        <f>VLOOKUP(E280,Data!$E$2626:$F$2645,2,FALSE)</f>
        <v>Vasilis</v>
      </c>
      <c r="H280">
        <f>+'Raw data'!A612</f>
        <v>8</v>
      </c>
      <c r="I280">
        <f>+'Raw data'!B612</f>
        <v>5</v>
      </c>
      <c r="J280">
        <f>+'Raw data'!C612</f>
        <v>0</v>
      </c>
      <c r="M280">
        <f>+'Raw data'!E612</f>
        <v>172</v>
      </c>
      <c r="N280">
        <f>+'Raw data'!F612</f>
        <v>0.47399999999999998</v>
      </c>
      <c r="O280">
        <f>+'Raw data'!G612</f>
        <v>58</v>
      </c>
      <c r="P280">
        <f>+'Raw data'!H612</f>
        <v>0.34300000000000003</v>
      </c>
      <c r="Q280">
        <f>+'Raw data'!I612</f>
        <v>0.85899999999999999</v>
      </c>
      <c r="R280">
        <f>+'Raw data'!J612</f>
        <v>487</v>
      </c>
      <c r="S280">
        <f>+'Raw data'!K612</f>
        <v>19</v>
      </c>
      <c r="T280">
        <f>+'Raw data'!L612</f>
        <v>93</v>
      </c>
      <c r="U280">
        <f>+'Raw data'!M612</f>
        <v>125</v>
      </c>
      <c r="V280">
        <f>+'Raw data'!N612</f>
        <v>38</v>
      </c>
      <c r="W280">
        <f>+'Raw data'!O612</f>
        <v>16</v>
      </c>
      <c r="X280">
        <f>+'Raw data'!P612</f>
        <v>53</v>
      </c>
      <c r="Y280">
        <f>+'Raw data'!Q612</f>
        <v>2.36</v>
      </c>
    </row>
    <row r="281" spans="1:25" x14ac:dyDescent="0.25">
      <c r="A281">
        <v>2025</v>
      </c>
      <c r="B281" t="s">
        <v>57</v>
      </c>
      <c r="C281">
        <f t="shared" si="16"/>
        <v>13</v>
      </c>
      <c r="D281">
        <f t="shared" si="15"/>
        <v>130</v>
      </c>
      <c r="E281" t="str">
        <f>+'Raw data'!A592</f>
        <v>Tsarlatans</v>
      </c>
      <c r="F281" t="str">
        <f>VLOOKUP(E281,Data!$E$2626:$F$2645,2,FALSE)</f>
        <v>Tzokos</v>
      </c>
      <c r="H281">
        <f>+'Raw data'!A613</f>
        <v>5</v>
      </c>
      <c r="I281">
        <f>+'Raw data'!B613</f>
        <v>8</v>
      </c>
      <c r="J281">
        <f>+'Raw data'!C613</f>
        <v>0</v>
      </c>
      <c r="M281">
        <f>+'Raw data'!E613</f>
        <v>161</v>
      </c>
      <c r="N281">
        <f>+'Raw data'!F613</f>
        <v>0.51100000000000001</v>
      </c>
      <c r="O281">
        <f>+'Raw data'!G613</f>
        <v>49</v>
      </c>
      <c r="P281">
        <f>+'Raw data'!H613</f>
        <v>0.40500000000000003</v>
      </c>
      <c r="Q281">
        <f>+'Raw data'!I613</f>
        <v>0.747</v>
      </c>
      <c r="R281">
        <f>+'Raw data'!J613</f>
        <v>427</v>
      </c>
      <c r="S281">
        <f>+'Raw data'!K613</f>
        <v>46</v>
      </c>
      <c r="T281">
        <f>+'Raw data'!L613</f>
        <v>131</v>
      </c>
      <c r="U281">
        <f>+'Raw data'!M613</f>
        <v>98</v>
      </c>
      <c r="V281">
        <f>+'Raw data'!N613</f>
        <v>17</v>
      </c>
      <c r="W281">
        <f>+'Raw data'!O613</f>
        <v>11</v>
      </c>
      <c r="X281">
        <f>+'Raw data'!P613</f>
        <v>46</v>
      </c>
      <c r="Y281">
        <f>+'Raw data'!Q613</f>
        <v>2.13</v>
      </c>
    </row>
    <row r="282" spans="1:25" x14ac:dyDescent="0.25">
      <c r="A282">
        <v>2025</v>
      </c>
      <c r="B282" t="s">
        <v>57</v>
      </c>
      <c r="C282">
        <f>+C281+1</f>
        <v>14</v>
      </c>
      <c r="D282">
        <f t="shared" si="15"/>
        <v>131</v>
      </c>
      <c r="E282" t="str">
        <f>+'Raw data'!A617</f>
        <v>LRBP PR3DATORS</v>
      </c>
      <c r="F282" t="str">
        <f>VLOOKUP(E282,Data!$E$2626:$F$2645,2,FALSE)</f>
        <v>Lafa</v>
      </c>
      <c r="H282">
        <f>+'Raw data'!A638</f>
        <v>9</v>
      </c>
      <c r="I282">
        <f>+'Raw data'!B638</f>
        <v>4</v>
      </c>
      <c r="J282">
        <f>+'Raw data'!C638</f>
        <v>0</v>
      </c>
      <c r="M282">
        <f>+'Raw data'!E638</f>
        <v>221</v>
      </c>
      <c r="N282">
        <f>+'Raw data'!F638</f>
        <v>0.47799999999999998</v>
      </c>
      <c r="O282">
        <f>+'Raw data'!G638</f>
        <v>52</v>
      </c>
      <c r="P282">
        <f>+'Raw data'!H638</f>
        <v>0.377</v>
      </c>
      <c r="Q282">
        <f>+'Raw data'!I638</f>
        <v>0.70299999999999996</v>
      </c>
      <c r="R282">
        <f>+'Raw data'!J638</f>
        <v>596</v>
      </c>
      <c r="S282">
        <f>+'Raw data'!K638</f>
        <v>57</v>
      </c>
      <c r="T282">
        <f>+'Raw data'!L638</f>
        <v>185</v>
      </c>
      <c r="U282">
        <f>+'Raw data'!M638</f>
        <v>144</v>
      </c>
      <c r="V282">
        <f>+'Raw data'!N638</f>
        <v>34</v>
      </c>
      <c r="W282">
        <f>+'Raw data'!O638</f>
        <v>24</v>
      </c>
      <c r="X282">
        <f>+'Raw data'!P638</f>
        <v>77</v>
      </c>
      <c r="Y282">
        <f>+'Raw data'!Q638</f>
        <v>1.87</v>
      </c>
    </row>
    <row r="283" spans="1:25" x14ac:dyDescent="0.25">
      <c r="A283">
        <v>2025</v>
      </c>
      <c r="B283" t="s">
        <v>57</v>
      </c>
      <c r="C283">
        <f>+C282</f>
        <v>14</v>
      </c>
      <c r="D283">
        <f t="shared" si="15"/>
        <v>131</v>
      </c>
      <c r="E283" t="str">
        <f>+'Raw data'!A618</f>
        <v>The Bad Boys</v>
      </c>
      <c r="F283" t="str">
        <f>VLOOKUP(E283,Data!$E$2626:$F$2645,2,FALSE)</f>
        <v>Arvanitis</v>
      </c>
      <c r="H283">
        <f>+'Raw data'!A639</f>
        <v>4</v>
      </c>
      <c r="I283">
        <f>+'Raw data'!B639</f>
        <v>9</v>
      </c>
      <c r="J283">
        <f>+'Raw data'!C639</f>
        <v>0</v>
      </c>
      <c r="M283">
        <f>+'Raw data'!E639</f>
        <v>194</v>
      </c>
      <c r="N283">
        <f>+'Raw data'!F639</f>
        <v>0.46400000000000002</v>
      </c>
      <c r="O283">
        <f>+'Raw data'!G639</f>
        <v>32</v>
      </c>
      <c r="P283">
        <f>+'Raw data'!H639</f>
        <v>0.28299999999999997</v>
      </c>
      <c r="Q283">
        <f>+'Raw data'!I639</f>
        <v>0.75</v>
      </c>
      <c r="R283">
        <f>+'Raw data'!J639</f>
        <v>504</v>
      </c>
      <c r="S283">
        <f>+'Raw data'!K639</f>
        <v>49</v>
      </c>
      <c r="T283">
        <f>+'Raw data'!L639</f>
        <v>117</v>
      </c>
      <c r="U283">
        <f>+'Raw data'!M639</f>
        <v>111</v>
      </c>
      <c r="V283">
        <f>+'Raw data'!N639</f>
        <v>30</v>
      </c>
      <c r="W283">
        <f>+'Raw data'!O639</f>
        <v>29</v>
      </c>
      <c r="X283">
        <f>+'Raw data'!P639</f>
        <v>52</v>
      </c>
      <c r="Y283">
        <f>+'Raw data'!Q639</f>
        <v>2.13</v>
      </c>
    </row>
    <row r="284" spans="1:25" x14ac:dyDescent="0.25">
      <c r="A284">
        <v>2025</v>
      </c>
      <c r="B284" t="s">
        <v>57</v>
      </c>
      <c r="C284">
        <f>+C283</f>
        <v>14</v>
      </c>
      <c r="D284">
        <f t="shared" si="15"/>
        <v>132</v>
      </c>
      <c r="E284" t="str">
        <f>+'Raw data'!A619</f>
        <v>Samarina Dudenbros</v>
      </c>
      <c r="F284" t="str">
        <f>VLOOKUP(E284,Data!$E$2626:$F$2645,2,FALSE)</f>
        <v>Sakellariou</v>
      </c>
      <c r="H284">
        <f>+'Raw data'!A640</f>
        <v>9</v>
      </c>
      <c r="I284">
        <f>+'Raw data'!B640</f>
        <v>4</v>
      </c>
      <c r="J284">
        <f>+'Raw data'!C640</f>
        <v>0</v>
      </c>
      <c r="M284">
        <f>+'Raw data'!E640</f>
        <v>230</v>
      </c>
      <c r="N284">
        <f>+'Raw data'!F640</f>
        <v>0.48699999999999999</v>
      </c>
      <c r="O284">
        <f>+'Raw data'!G640</f>
        <v>64</v>
      </c>
      <c r="P284">
        <f>+'Raw data'!H640</f>
        <v>0.379</v>
      </c>
      <c r="Q284">
        <f>+'Raw data'!I640</f>
        <v>0.76700000000000002</v>
      </c>
      <c r="R284">
        <f>+'Raw data'!J640</f>
        <v>626</v>
      </c>
      <c r="S284">
        <f>+'Raw data'!K640</f>
        <v>49</v>
      </c>
      <c r="T284">
        <f>+'Raw data'!L640</f>
        <v>136</v>
      </c>
      <c r="U284">
        <f>+'Raw data'!M640</f>
        <v>139</v>
      </c>
      <c r="V284">
        <f>+'Raw data'!N640</f>
        <v>42</v>
      </c>
      <c r="W284">
        <f>+'Raw data'!O640</f>
        <v>9</v>
      </c>
      <c r="X284">
        <f>+'Raw data'!P640</f>
        <v>78</v>
      </c>
      <c r="Y284">
        <f>+'Raw data'!Q640</f>
        <v>1.78</v>
      </c>
    </row>
    <row r="285" spans="1:25" x14ac:dyDescent="0.25">
      <c r="A285">
        <v>2025</v>
      </c>
      <c r="B285" t="s">
        <v>57</v>
      </c>
      <c r="C285">
        <f>+C284</f>
        <v>14</v>
      </c>
      <c r="D285">
        <f t="shared" si="15"/>
        <v>132</v>
      </c>
      <c r="E285" t="str">
        <f>+'Raw data'!A620</f>
        <v>purple fuzzy apache pirates</v>
      </c>
      <c r="F285" t="str">
        <f>VLOOKUP(E285,Data!$E$2626:$F$2645,2,FALSE)</f>
        <v>pi/Sotiris</v>
      </c>
      <c r="H285">
        <f>+'Raw data'!A641</f>
        <v>4</v>
      </c>
      <c r="I285">
        <f>+'Raw data'!B641</f>
        <v>9</v>
      </c>
      <c r="J285">
        <f>+'Raw data'!C641</f>
        <v>0</v>
      </c>
      <c r="M285">
        <f>+'Raw data'!E641</f>
        <v>115</v>
      </c>
      <c r="N285">
        <f>+'Raw data'!F641</f>
        <v>0.47899999999999998</v>
      </c>
      <c r="O285">
        <f>+'Raw data'!G641</f>
        <v>44</v>
      </c>
      <c r="P285">
        <f>+'Raw data'!H641</f>
        <v>0.41499999999999998</v>
      </c>
      <c r="Q285">
        <f>+'Raw data'!I641</f>
        <v>0.82799999999999996</v>
      </c>
      <c r="R285">
        <f>+'Raw data'!J641</f>
        <v>322</v>
      </c>
      <c r="S285">
        <f>+'Raw data'!K641</f>
        <v>36</v>
      </c>
      <c r="T285">
        <f>+'Raw data'!L641</f>
        <v>90</v>
      </c>
      <c r="U285">
        <f>+'Raw data'!M641</f>
        <v>64</v>
      </c>
      <c r="V285">
        <f>+'Raw data'!N641</f>
        <v>27</v>
      </c>
      <c r="W285">
        <f>+'Raw data'!O641</f>
        <v>11</v>
      </c>
      <c r="X285">
        <f>+'Raw data'!P641</f>
        <v>50</v>
      </c>
      <c r="Y285">
        <f>+'Raw data'!Q641</f>
        <v>1.28</v>
      </c>
    </row>
    <row r="286" spans="1:25" x14ac:dyDescent="0.25">
      <c r="A286">
        <v>2025</v>
      </c>
      <c r="B286" t="s">
        <v>57</v>
      </c>
      <c r="C286">
        <f t="shared" ref="C286:C301" si="17">+C285</f>
        <v>14</v>
      </c>
      <c r="D286">
        <f t="shared" si="15"/>
        <v>133</v>
      </c>
      <c r="E286" t="str">
        <f>+'Raw data'!A621</f>
        <v>Salonika Devils</v>
      </c>
      <c r="F286" t="str">
        <f>VLOOKUP(E286,Data!$E$2626:$F$2645,2,FALSE)</f>
        <v>Fountos</v>
      </c>
      <c r="H286">
        <f>+'Raw data'!A642</f>
        <v>7</v>
      </c>
      <c r="I286">
        <f>+'Raw data'!B642</f>
        <v>6</v>
      </c>
      <c r="J286">
        <f>+'Raw data'!C642</f>
        <v>0</v>
      </c>
      <c r="M286">
        <f>+'Raw data'!E642</f>
        <v>132</v>
      </c>
      <c r="N286">
        <f>+'Raw data'!F642</f>
        <v>0.46200000000000002</v>
      </c>
      <c r="O286">
        <f>+'Raw data'!G642</f>
        <v>34</v>
      </c>
      <c r="P286">
        <f>+'Raw data'!H642</f>
        <v>0.32400000000000001</v>
      </c>
      <c r="Q286">
        <f>+'Raw data'!I642</f>
        <v>0.67600000000000005</v>
      </c>
      <c r="R286">
        <f>+'Raw data'!J642</f>
        <v>344</v>
      </c>
      <c r="S286">
        <f>+'Raw data'!K642</f>
        <v>42</v>
      </c>
      <c r="T286">
        <f>+'Raw data'!L642</f>
        <v>101</v>
      </c>
      <c r="U286">
        <f>+'Raw data'!M642</f>
        <v>79</v>
      </c>
      <c r="V286">
        <f>+'Raw data'!N642</f>
        <v>28</v>
      </c>
      <c r="W286">
        <f>+'Raw data'!O642</f>
        <v>12</v>
      </c>
      <c r="X286">
        <f>+'Raw data'!P642</f>
        <v>34</v>
      </c>
      <c r="Y286">
        <f>+'Raw data'!Q642</f>
        <v>2.3199999999999998</v>
      </c>
    </row>
    <row r="287" spans="1:25" x14ac:dyDescent="0.25">
      <c r="A287">
        <v>2025</v>
      </c>
      <c r="B287" t="s">
        <v>57</v>
      </c>
      <c r="C287">
        <f t="shared" si="17"/>
        <v>14</v>
      </c>
      <c r="D287">
        <f t="shared" si="15"/>
        <v>133</v>
      </c>
      <c r="E287" t="str">
        <f>+'Raw data'!A622</f>
        <v>Knights of Ni</v>
      </c>
      <c r="F287" t="str">
        <f>VLOOKUP(E287,Data!$E$2626:$F$2645,2,FALSE)</f>
        <v>Tolios</v>
      </c>
      <c r="H287">
        <f>+'Raw data'!A643</f>
        <v>6</v>
      </c>
      <c r="I287">
        <f>+'Raw data'!B643</f>
        <v>7</v>
      </c>
      <c r="J287">
        <f>+'Raw data'!C643</f>
        <v>0</v>
      </c>
      <c r="M287">
        <f>+'Raw data'!E643</f>
        <v>114</v>
      </c>
      <c r="N287">
        <f>+'Raw data'!F643</f>
        <v>0.41</v>
      </c>
      <c r="O287">
        <f>+'Raw data'!G643</f>
        <v>38</v>
      </c>
      <c r="P287">
        <f>+'Raw data'!H643</f>
        <v>0.33600000000000002</v>
      </c>
      <c r="Q287">
        <f>+'Raw data'!I643</f>
        <v>0.79600000000000004</v>
      </c>
      <c r="R287">
        <f>+'Raw data'!J643</f>
        <v>309</v>
      </c>
      <c r="S287">
        <f>+'Raw data'!K643</f>
        <v>44</v>
      </c>
      <c r="T287">
        <f>+'Raw data'!L643</f>
        <v>117</v>
      </c>
      <c r="U287">
        <f>+'Raw data'!M643</f>
        <v>77</v>
      </c>
      <c r="V287">
        <f>+'Raw data'!N643</f>
        <v>27</v>
      </c>
      <c r="W287">
        <f>+'Raw data'!O643</f>
        <v>18</v>
      </c>
      <c r="X287">
        <f>+'Raw data'!P643</f>
        <v>49</v>
      </c>
      <c r="Y287">
        <f>+'Raw data'!Q643</f>
        <v>1.57</v>
      </c>
    </row>
    <row r="288" spans="1:25" x14ac:dyDescent="0.25">
      <c r="A288">
        <v>2025</v>
      </c>
      <c r="B288" t="s">
        <v>57</v>
      </c>
      <c r="C288">
        <f t="shared" si="17"/>
        <v>14</v>
      </c>
      <c r="D288">
        <f t="shared" si="15"/>
        <v>134</v>
      </c>
      <c r="E288" t="str">
        <f>+'Raw data'!A623</f>
        <v>Steven Adams' Moustache</v>
      </c>
      <c r="F288" t="str">
        <f>VLOOKUP(E288,Data!$E$2626:$F$2645,2,FALSE)</f>
        <v>Johnny</v>
      </c>
      <c r="H288">
        <f>+'Raw data'!A644</f>
        <v>3</v>
      </c>
      <c r="I288">
        <f>+'Raw data'!B644</f>
        <v>10</v>
      </c>
      <c r="J288">
        <f>+'Raw data'!C644</f>
        <v>0</v>
      </c>
      <c r="M288">
        <f>+'Raw data'!E644</f>
        <v>106</v>
      </c>
      <c r="N288">
        <f>+'Raw data'!F644</f>
        <v>0.42899999999999999</v>
      </c>
      <c r="O288">
        <f>+'Raw data'!G644</f>
        <v>47</v>
      </c>
      <c r="P288">
        <f>+'Raw data'!H644</f>
        <v>0.41199999999999998</v>
      </c>
      <c r="Q288">
        <f>+'Raw data'!I644</f>
        <v>0.81399999999999995</v>
      </c>
      <c r="R288">
        <f>+'Raw data'!J644</f>
        <v>307</v>
      </c>
      <c r="S288">
        <f>+'Raw data'!K644</f>
        <v>22</v>
      </c>
      <c r="T288">
        <f>+'Raw data'!L644</f>
        <v>83</v>
      </c>
      <c r="U288">
        <f>+'Raw data'!M644</f>
        <v>84</v>
      </c>
      <c r="V288">
        <f>+'Raw data'!N644</f>
        <v>26</v>
      </c>
      <c r="W288">
        <f>+'Raw data'!O644</f>
        <v>11</v>
      </c>
      <c r="X288">
        <f>+'Raw data'!P644</f>
        <v>54</v>
      </c>
      <c r="Y288">
        <f>+'Raw data'!Q644</f>
        <v>1.56</v>
      </c>
    </row>
    <row r="289" spans="1:25" x14ac:dyDescent="0.25">
      <c r="A289">
        <v>2025</v>
      </c>
      <c r="B289" t="s">
        <v>57</v>
      </c>
      <c r="C289">
        <f t="shared" si="17"/>
        <v>14</v>
      </c>
      <c r="D289">
        <f t="shared" si="15"/>
        <v>134</v>
      </c>
      <c r="E289" t="str">
        <f>+'Raw data'!A624</f>
        <v>Guruuu 🐐🐐🐐</v>
      </c>
      <c r="F289" t="str">
        <f>VLOOKUP(E289,Data!$E$2626:$F$2645,2,FALSE)</f>
        <v>Guru</v>
      </c>
      <c r="H289">
        <f>+'Raw data'!A645</f>
        <v>10</v>
      </c>
      <c r="I289">
        <f>+'Raw data'!B645</f>
        <v>3</v>
      </c>
      <c r="J289">
        <f>+'Raw data'!C645</f>
        <v>0</v>
      </c>
      <c r="M289">
        <f>+'Raw data'!E645</f>
        <v>194</v>
      </c>
      <c r="N289">
        <f>+'Raw data'!F645</f>
        <v>0.48099999999999998</v>
      </c>
      <c r="O289">
        <f>+'Raw data'!G645</f>
        <v>64</v>
      </c>
      <c r="P289">
        <f>+'Raw data'!H645</f>
        <v>0.432</v>
      </c>
      <c r="Q289">
        <f>+'Raw data'!I645</f>
        <v>0.752</v>
      </c>
      <c r="R289">
        <f>+'Raw data'!J645</f>
        <v>549</v>
      </c>
      <c r="S289">
        <f>+'Raw data'!K645</f>
        <v>47</v>
      </c>
      <c r="T289">
        <f>+'Raw data'!L645</f>
        <v>139</v>
      </c>
      <c r="U289">
        <f>+'Raw data'!M645</f>
        <v>74</v>
      </c>
      <c r="V289">
        <f>+'Raw data'!N645</f>
        <v>30</v>
      </c>
      <c r="W289">
        <f>+'Raw data'!O645</f>
        <v>18</v>
      </c>
      <c r="X289">
        <f>+'Raw data'!P645</f>
        <v>53</v>
      </c>
      <c r="Y289">
        <f>+'Raw data'!Q645</f>
        <v>1.4</v>
      </c>
    </row>
    <row r="290" spans="1:25" x14ac:dyDescent="0.25">
      <c r="A290">
        <v>2025</v>
      </c>
      <c r="B290" t="s">
        <v>57</v>
      </c>
      <c r="C290">
        <f t="shared" si="17"/>
        <v>14</v>
      </c>
      <c r="D290">
        <f t="shared" si="15"/>
        <v>135</v>
      </c>
      <c r="E290" t="str">
        <f>+'Raw data'!A625</f>
        <v>Paralouistas</v>
      </c>
      <c r="F290" t="str">
        <f>VLOOKUP(E290,Data!$E$2626:$F$2645,2,FALSE)</f>
        <v>Panos</v>
      </c>
      <c r="H290">
        <f>+'Raw data'!A646</f>
        <v>11</v>
      </c>
      <c r="I290">
        <f>+'Raw data'!B646</f>
        <v>2</v>
      </c>
      <c r="J290">
        <f>+'Raw data'!C646</f>
        <v>0</v>
      </c>
      <c r="M290">
        <f>+'Raw data'!E646</f>
        <v>181</v>
      </c>
      <c r="N290">
        <f>+'Raw data'!F646</f>
        <v>0.45300000000000001</v>
      </c>
      <c r="O290">
        <f>+'Raw data'!G646</f>
        <v>49</v>
      </c>
      <c r="P290">
        <f>+'Raw data'!H646</f>
        <v>0.33300000000000002</v>
      </c>
      <c r="Q290">
        <f>+'Raw data'!I646</f>
        <v>0.76100000000000001</v>
      </c>
      <c r="R290">
        <f>+'Raw data'!J646</f>
        <v>481</v>
      </c>
      <c r="S290">
        <f>+'Raw data'!K646</f>
        <v>40</v>
      </c>
      <c r="T290">
        <f>+'Raw data'!L646</f>
        <v>120</v>
      </c>
      <c r="U290">
        <f>+'Raw data'!M646</f>
        <v>150</v>
      </c>
      <c r="V290">
        <f>+'Raw data'!N646</f>
        <v>36</v>
      </c>
      <c r="W290">
        <f>+'Raw data'!O646</f>
        <v>27</v>
      </c>
      <c r="X290">
        <f>+'Raw data'!P646</f>
        <v>73</v>
      </c>
      <c r="Y290">
        <f>+'Raw data'!Q646</f>
        <v>2.0499999999999998</v>
      </c>
    </row>
    <row r="291" spans="1:25" x14ac:dyDescent="0.25">
      <c r="A291">
        <v>2025</v>
      </c>
      <c r="B291" t="s">
        <v>57</v>
      </c>
      <c r="C291">
        <f t="shared" si="17"/>
        <v>14</v>
      </c>
      <c r="D291">
        <f t="shared" si="15"/>
        <v>135</v>
      </c>
      <c r="E291" t="str">
        <f>+'Raw data'!A626</f>
        <v>Heraklion Snakes</v>
      </c>
      <c r="F291" t="str">
        <f>VLOOKUP(E291,Data!$E$2626:$F$2645,2,FALSE)</f>
        <v>Dimitris</v>
      </c>
      <c r="H291">
        <f>+'Raw data'!A647</f>
        <v>2</v>
      </c>
      <c r="I291">
        <f>+'Raw data'!B647</f>
        <v>11</v>
      </c>
      <c r="J291">
        <f>+'Raw data'!C647</f>
        <v>0</v>
      </c>
      <c r="M291">
        <f>+'Raw data'!E647</f>
        <v>114</v>
      </c>
      <c r="N291">
        <f>+'Raw data'!F647</f>
        <v>0.42899999999999999</v>
      </c>
      <c r="O291">
        <f>+'Raw data'!G647</f>
        <v>37</v>
      </c>
      <c r="P291">
        <f>+'Raw data'!H647</f>
        <v>0.31900000000000001</v>
      </c>
      <c r="Q291">
        <f>+'Raw data'!I647</f>
        <v>0.877</v>
      </c>
      <c r="R291">
        <f>+'Raw data'!J647</f>
        <v>336</v>
      </c>
      <c r="S291">
        <f>+'Raw data'!K647</f>
        <v>32</v>
      </c>
      <c r="T291">
        <f>+'Raw data'!L647</f>
        <v>113</v>
      </c>
      <c r="U291">
        <f>+'Raw data'!M647</f>
        <v>86</v>
      </c>
      <c r="V291">
        <f>+'Raw data'!N647</f>
        <v>23</v>
      </c>
      <c r="W291">
        <f>+'Raw data'!O647</f>
        <v>9</v>
      </c>
      <c r="X291">
        <f>+'Raw data'!P647</f>
        <v>54</v>
      </c>
      <c r="Y291">
        <f>+'Raw data'!Q647</f>
        <v>1.59</v>
      </c>
    </row>
    <row r="292" spans="1:25" x14ac:dyDescent="0.25">
      <c r="A292">
        <v>2025</v>
      </c>
      <c r="B292" t="s">
        <v>57</v>
      </c>
      <c r="C292">
        <f t="shared" si="17"/>
        <v>14</v>
      </c>
      <c r="D292">
        <f t="shared" si="15"/>
        <v>136</v>
      </c>
      <c r="E292" t="str">
        <f>+'Raw data'!A627</f>
        <v>st.Helens Eruptions</v>
      </c>
      <c r="F292" t="str">
        <f>VLOOKUP(E292,Data!$E$2626:$F$2645,2,FALSE)</f>
        <v>Aris</v>
      </c>
      <c r="H292">
        <f>+'Raw data'!A648</f>
        <v>9</v>
      </c>
      <c r="I292">
        <f>+'Raw data'!B648</f>
        <v>4</v>
      </c>
      <c r="J292">
        <f>+'Raw data'!C648</f>
        <v>0</v>
      </c>
      <c r="M292">
        <f>+'Raw data'!E648</f>
        <v>170</v>
      </c>
      <c r="N292">
        <f>+'Raw data'!F648</f>
        <v>0.52600000000000002</v>
      </c>
      <c r="O292">
        <f>+'Raw data'!G648</f>
        <v>36</v>
      </c>
      <c r="P292">
        <f>+'Raw data'!H648</f>
        <v>0.379</v>
      </c>
      <c r="Q292">
        <f>+'Raw data'!I648</f>
        <v>0.9</v>
      </c>
      <c r="R292">
        <f>+'Raw data'!J648</f>
        <v>439</v>
      </c>
      <c r="S292">
        <f>+'Raw data'!K648</f>
        <v>56</v>
      </c>
      <c r="T292">
        <f>+'Raw data'!L648</f>
        <v>107</v>
      </c>
      <c r="U292">
        <f>+'Raw data'!M648</f>
        <v>79</v>
      </c>
      <c r="V292">
        <f>+'Raw data'!N648</f>
        <v>28</v>
      </c>
      <c r="W292">
        <f>+'Raw data'!O648</f>
        <v>25</v>
      </c>
      <c r="X292">
        <f>+'Raw data'!P648</f>
        <v>36</v>
      </c>
      <c r="Y292">
        <f>+'Raw data'!Q648</f>
        <v>2.19</v>
      </c>
    </row>
    <row r="293" spans="1:25" x14ac:dyDescent="0.25">
      <c r="A293">
        <v>2025</v>
      </c>
      <c r="B293" t="s">
        <v>57</v>
      </c>
      <c r="C293">
        <f t="shared" si="17"/>
        <v>14</v>
      </c>
      <c r="D293">
        <f t="shared" si="15"/>
        <v>136</v>
      </c>
      <c r="E293" t="str">
        <f>+'Raw data'!A628</f>
        <v>The Bridgeburners</v>
      </c>
      <c r="F293" t="str">
        <f>VLOOKUP(E293,Data!$E$2626:$F$2645,2,FALSE)</f>
        <v>Fanis</v>
      </c>
      <c r="H293">
        <f>+'Raw data'!A649</f>
        <v>4</v>
      </c>
      <c r="I293">
        <f>+'Raw data'!B649</f>
        <v>9</v>
      </c>
      <c r="J293">
        <f>+'Raw data'!C649</f>
        <v>0</v>
      </c>
      <c r="M293">
        <f>+'Raw data'!E649</f>
        <v>133</v>
      </c>
      <c r="N293">
        <f>+'Raw data'!F649</f>
        <v>0.49099999999999999</v>
      </c>
      <c r="O293">
        <f>+'Raw data'!G649</f>
        <v>49</v>
      </c>
      <c r="P293">
        <f>+'Raw data'!H649</f>
        <v>0.40799999999999997</v>
      </c>
      <c r="Q293">
        <f>+'Raw data'!I649</f>
        <v>0.75</v>
      </c>
      <c r="R293">
        <f>+'Raw data'!J649</f>
        <v>363</v>
      </c>
      <c r="S293">
        <f>+'Raw data'!K649</f>
        <v>35</v>
      </c>
      <c r="T293">
        <f>+'Raw data'!L649</f>
        <v>113</v>
      </c>
      <c r="U293">
        <f>+'Raw data'!M649</f>
        <v>78</v>
      </c>
      <c r="V293">
        <f>+'Raw data'!N649</f>
        <v>29</v>
      </c>
      <c r="W293">
        <f>+'Raw data'!O649</f>
        <v>17</v>
      </c>
      <c r="X293">
        <f>+'Raw data'!P649</f>
        <v>52</v>
      </c>
      <c r="Y293">
        <f>+'Raw data'!Q649</f>
        <v>1.5</v>
      </c>
    </row>
    <row r="294" spans="1:25" x14ac:dyDescent="0.25">
      <c r="A294">
        <v>2025</v>
      </c>
      <c r="B294" t="s">
        <v>57</v>
      </c>
      <c r="C294">
        <f t="shared" si="17"/>
        <v>14</v>
      </c>
      <c r="D294">
        <f t="shared" si="15"/>
        <v>137</v>
      </c>
      <c r="E294" t="str">
        <f>+'Raw data'!A629</f>
        <v>Pachiana NinjaBees</v>
      </c>
      <c r="F294" t="str">
        <f>VLOOKUP(E294,Data!$E$2626:$F$2645,2,FALSE)</f>
        <v>Spiridaus/Oladipas</v>
      </c>
      <c r="H294">
        <f>+'Raw data'!A650</f>
        <v>2</v>
      </c>
      <c r="I294">
        <f>+'Raw data'!B650</f>
        <v>11</v>
      </c>
      <c r="J294">
        <f>+'Raw data'!C650</f>
        <v>0</v>
      </c>
      <c r="M294">
        <f>+'Raw data'!E650</f>
        <v>166</v>
      </c>
      <c r="N294">
        <f>+'Raw data'!F650</f>
        <v>0.46100000000000002</v>
      </c>
      <c r="O294">
        <f>+'Raw data'!G650</f>
        <v>56</v>
      </c>
      <c r="P294">
        <f>+'Raw data'!H650</f>
        <v>0.378</v>
      </c>
      <c r="Q294">
        <f>+'Raw data'!I650</f>
        <v>0.77600000000000002</v>
      </c>
      <c r="R294">
        <f>+'Raw data'!J650</f>
        <v>478</v>
      </c>
      <c r="S294">
        <f>+'Raw data'!K650</f>
        <v>44</v>
      </c>
      <c r="T294">
        <f>+'Raw data'!L650</f>
        <v>136</v>
      </c>
      <c r="U294">
        <f>+'Raw data'!M650</f>
        <v>89</v>
      </c>
      <c r="V294">
        <f>+'Raw data'!N650</f>
        <v>30</v>
      </c>
      <c r="W294">
        <f>+'Raw data'!O650</f>
        <v>30</v>
      </c>
      <c r="X294">
        <f>+'Raw data'!P650</f>
        <v>51</v>
      </c>
      <c r="Y294">
        <f>+'Raw data'!Q650</f>
        <v>1.75</v>
      </c>
    </row>
    <row r="295" spans="1:25" x14ac:dyDescent="0.25">
      <c r="A295">
        <v>2025</v>
      </c>
      <c r="B295" t="s">
        <v>57</v>
      </c>
      <c r="C295">
        <f t="shared" si="17"/>
        <v>14</v>
      </c>
      <c r="D295">
        <f t="shared" si="15"/>
        <v>137</v>
      </c>
      <c r="E295" t="str">
        <f>+'Raw data'!A630</f>
        <v>Kourayo Vallecano</v>
      </c>
      <c r="F295" t="str">
        <f>VLOOKUP(E295,Data!$E$2626:$F$2645,2,FALSE)</f>
        <v>Ziogas/Christof</v>
      </c>
      <c r="H295">
        <f>+'Raw data'!A651</f>
        <v>11</v>
      </c>
      <c r="I295">
        <f>+'Raw data'!B651</f>
        <v>2</v>
      </c>
      <c r="J295">
        <f>+'Raw data'!C651</f>
        <v>0</v>
      </c>
      <c r="M295">
        <f>+'Raw data'!E651</f>
        <v>226</v>
      </c>
      <c r="N295">
        <f>+'Raw data'!F651</f>
        <v>0.50900000000000001</v>
      </c>
      <c r="O295">
        <f>+'Raw data'!G651</f>
        <v>67</v>
      </c>
      <c r="P295">
        <f>+'Raw data'!H651</f>
        <v>0.38300000000000001</v>
      </c>
      <c r="Q295">
        <f>+'Raw data'!I651</f>
        <v>0.80700000000000005</v>
      </c>
      <c r="R295">
        <f>+'Raw data'!J651</f>
        <v>590</v>
      </c>
      <c r="S295">
        <f>+'Raw data'!K651</f>
        <v>47</v>
      </c>
      <c r="T295">
        <f>+'Raw data'!L651</f>
        <v>180</v>
      </c>
      <c r="U295">
        <f>+'Raw data'!M651</f>
        <v>152</v>
      </c>
      <c r="V295">
        <f>+'Raw data'!N651</f>
        <v>58</v>
      </c>
      <c r="W295">
        <f>+'Raw data'!O651</f>
        <v>25</v>
      </c>
      <c r="X295">
        <f>+'Raw data'!P651</f>
        <v>61</v>
      </c>
      <c r="Y295">
        <f>+'Raw data'!Q651</f>
        <v>2.4900000000000002</v>
      </c>
    </row>
    <row r="296" spans="1:25" x14ac:dyDescent="0.25">
      <c r="A296">
        <v>2025</v>
      </c>
      <c r="B296" t="s">
        <v>57</v>
      </c>
      <c r="C296">
        <f t="shared" si="17"/>
        <v>14</v>
      </c>
      <c r="D296">
        <f t="shared" si="15"/>
        <v>138</v>
      </c>
      <c r="E296" t="str">
        <f>+'Raw data'!A631</f>
        <v>Karafli Saita</v>
      </c>
      <c r="F296" t="str">
        <f>VLOOKUP(E296,Data!$E$2626:$F$2645,2,FALSE)</f>
        <v>Tassos</v>
      </c>
      <c r="H296">
        <f>+'Raw data'!A652</f>
        <v>9</v>
      </c>
      <c r="I296">
        <f>+'Raw data'!B652</f>
        <v>4</v>
      </c>
      <c r="J296">
        <f>+'Raw data'!C652</f>
        <v>0</v>
      </c>
      <c r="M296">
        <f>+'Raw data'!E652</f>
        <v>209</v>
      </c>
      <c r="N296">
        <f>+'Raw data'!F652</f>
        <v>0.51100000000000001</v>
      </c>
      <c r="O296">
        <f>+'Raw data'!G652</f>
        <v>40</v>
      </c>
      <c r="P296">
        <f>+'Raw data'!H652</f>
        <v>0.32</v>
      </c>
      <c r="Q296">
        <f>+'Raw data'!I652</f>
        <v>0.754</v>
      </c>
      <c r="R296">
        <f>+'Raw data'!J652</f>
        <v>559</v>
      </c>
      <c r="S296">
        <f>+'Raw data'!K652</f>
        <v>31</v>
      </c>
      <c r="T296">
        <f>+'Raw data'!L652</f>
        <v>133</v>
      </c>
      <c r="U296">
        <f>+'Raw data'!M652</f>
        <v>158</v>
      </c>
      <c r="V296">
        <f>+'Raw data'!N652</f>
        <v>29</v>
      </c>
      <c r="W296">
        <f>+'Raw data'!O652</f>
        <v>28</v>
      </c>
      <c r="X296">
        <f>+'Raw data'!P652</f>
        <v>47</v>
      </c>
      <c r="Y296">
        <f>+'Raw data'!Q652</f>
        <v>3.36</v>
      </c>
    </row>
    <row r="297" spans="1:25" x14ac:dyDescent="0.25">
      <c r="A297">
        <v>2025</v>
      </c>
      <c r="B297" t="s">
        <v>57</v>
      </c>
      <c r="C297">
        <f t="shared" si="17"/>
        <v>14</v>
      </c>
      <c r="D297">
        <f t="shared" si="15"/>
        <v>138</v>
      </c>
      <c r="E297" t="str">
        <f>+'Raw data'!A632</f>
        <v>Xanthi Ducks 🦆</v>
      </c>
      <c r="F297" t="str">
        <f>VLOOKUP(E297,Data!$E$2626:$F$2645,2,FALSE)</f>
        <v>Kotakis</v>
      </c>
      <c r="H297">
        <f>+'Raw data'!A653</f>
        <v>4</v>
      </c>
      <c r="I297">
        <f>+'Raw data'!B653</f>
        <v>9</v>
      </c>
      <c r="J297">
        <f>+'Raw data'!C653</f>
        <v>0</v>
      </c>
      <c r="M297">
        <f>+'Raw data'!E653</f>
        <v>132</v>
      </c>
      <c r="N297">
        <f>+'Raw data'!F653</f>
        <v>0.44700000000000001</v>
      </c>
      <c r="O297">
        <f>+'Raw data'!G653</f>
        <v>46</v>
      </c>
      <c r="P297">
        <f>+'Raw data'!H653</f>
        <v>0.35099999999999998</v>
      </c>
      <c r="Q297">
        <f>+'Raw data'!I653</f>
        <v>0.76200000000000001</v>
      </c>
      <c r="R297">
        <f>+'Raw data'!J653</f>
        <v>342</v>
      </c>
      <c r="S297">
        <f>+'Raw data'!K653</f>
        <v>27</v>
      </c>
      <c r="T297">
        <f>+'Raw data'!L653</f>
        <v>83</v>
      </c>
      <c r="U297">
        <f>+'Raw data'!M653</f>
        <v>79</v>
      </c>
      <c r="V297">
        <f>+'Raw data'!N653</f>
        <v>22</v>
      </c>
      <c r="W297">
        <f>+'Raw data'!O653</f>
        <v>14</v>
      </c>
      <c r="X297">
        <f>+'Raw data'!P653</f>
        <v>40</v>
      </c>
      <c r="Y297">
        <f>+'Raw data'!Q653</f>
        <v>1.98</v>
      </c>
    </row>
    <row r="298" spans="1:25" x14ac:dyDescent="0.25">
      <c r="A298">
        <v>2025</v>
      </c>
      <c r="B298" t="s">
        <v>57</v>
      </c>
      <c r="C298">
        <f t="shared" si="17"/>
        <v>14</v>
      </c>
      <c r="D298">
        <f t="shared" si="15"/>
        <v>139</v>
      </c>
      <c r="E298" t="str">
        <f>+'Raw data'!A633</f>
        <v>Fighting Thaddeus</v>
      </c>
      <c r="F298" t="str">
        <f>VLOOKUP(E298,Data!$E$2626:$F$2645,2,FALSE)</f>
        <v>Stavros</v>
      </c>
      <c r="H298">
        <f>+'Raw data'!A654</f>
        <v>12</v>
      </c>
      <c r="I298">
        <f>+'Raw data'!B654</f>
        <v>1</v>
      </c>
      <c r="J298">
        <f>+'Raw data'!C654</f>
        <v>0</v>
      </c>
      <c r="M298">
        <f>+'Raw data'!E654</f>
        <v>223</v>
      </c>
      <c r="N298">
        <f>+'Raw data'!F654</f>
        <v>0.46800000000000003</v>
      </c>
      <c r="O298">
        <f>+'Raw data'!G654</f>
        <v>68</v>
      </c>
      <c r="P298">
        <f>+'Raw data'!H654</f>
        <v>0.38200000000000001</v>
      </c>
      <c r="Q298">
        <f>+'Raw data'!I654</f>
        <v>0.89200000000000002</v>
      </c>
      <c r="R298">
        <f>+'Raw data'!J654</f>
        <v>638</v>
      </c>
      <c r="S298">
        <f>+'Raw data'!K654</f>
        <v>49</v>
      </c>
      <c r="T298">
        <f>+'Raw data'!L654</f>
        <v>157</v>
      </c>
      <c r="U298">
        <f>+'Raw data'!M654</f>
        <v>162</v>
      </c>
      <c r="V298">
        <f>+'Raw data'!N654</f>
        <v>44</v>
      </c>
      <c r="W298">
        <f>+'Raw data'!O654</f>
        <v>22</v>
      </c>
      <c r="X298">
        <f>+'Raw data'!P654</f>
        <v>68</v>
      </c>
      <c r="Y298">
        <f>+'Raw data'!Q654</f>
        <v>2.38</v>
      </c>
    </row>
    <row r="299" spans="1:25" x14ac:dyDescent="0.25">
      <c r="A299">
        <v>2025</v>
      </c>
      <c r="B299" t="s">
        <v>57</v>
      </c>
      <c r="C299">
        <f t="shared" si="17"/>
        <v>14</v>
      </c>
      <c r="D299">
        <f t="shared" si="15"/>
        <v>139</v>
      </c>
      <c r="E299" t="str">
        <f>+'Raw data'!A634</f>
        <v>The Guns</v>
      </c>
      <c r="F299" t="str">
        <f>VLOOKUP(E299,Data!$E$2626:$F$2645,2,FALSE)</f>
        <v>Vasilis</v>
      </c>
      <c r="H299">
        <f>+'Raw data'!A655</f>
        <v>1</v>
      </c>
      <c r="I299">
        <f>+'Raw data'!B655</f>
        <v>12</v>
      </c>
      <c r="J299">
        <f>+'Raw data'!C655</f>
        <v>0</v>
      </c>
      <c r="M299">
        <f>+'Raw data'!E655</f>
        <v>143</v>
      </c>
      <c r="N299">
        <f>+'Raw data'!F655</f>
        <v>0.40100000000000002</v>
      </c>
      <c r="O299">
        <f>+'Raw data'!G655</f>
        <v>62</v>
      </c>
      <c r="P299">
        <f>+'Raw data'!H655</f>
        <v>0.34399999999999997</v>
      </c>
      <c r="Q299">
        <f>+'Raw data'!I655</f>
        <v>0.871</v>
      </c>
      <c r="R299">
        <f>+'Raw data'!J655</f>
        <v>429</v>
      </c>
      <c r="S299">
        <f>+'Raw data'!K655</f>
        <v>15</v>
      </c>
      <c r="T299">
        <f>+'Raw data'!L655</f>
        <v>90</v>
      </c>
      <c r="U299">
        <f>+'Raw data'!M655</f>
        <v>100</v>
      </c>
      <c r="V299">
        <f>+'Raw data'!N655</f>
        <v>32</v>
      </c>
      <c r="W299">
        <f>+'Raw data'!O655</f>
        <v>9</v>
      </c>
      <c r="X299">
        <f>+'Raw data'!P655</f>
        <v>48</v>
      </c>
      <c r="Y299">
        <f>+'Raw data'!Q655</f>
        <v>2.08</v>
      </c>
    </row>
    <row r="300" spans="1:25" x14ac:dyDescent="0.25">
      <c r="A300">
        <v>2025</v>
      </c>
      <c r="B300" t="s">
        <v>57</v>
      </c>
      <c r="C300">
        <f t="shared" si="17"/>
        <v>14</v>
      </c>
      <c r="D300">
        <f t="shared" si="15"/>
        <v>140</v>
      </c>
      <c r="E300" t="str">
        <f>+'Raw data'!A635</f>
        <v>Hércules Pals</v>
      </c>
      <c r="F300" t="e">
        <f>VLOOKUP(E300,Data!$E$2626:$F$2645,2,FALSE)</f>
        <v>#N/A</v>
      </c>
      <c r="H300">
        <f>+'Raw data'!A656</f>
        <v>5</v>
      </c>
      <c r="I300">
        <f>+'Raw data'!B656</f>
        <v>8</v>
      </c>
      <c r="J300">
        <f>+'Raw data'!C656</f>
        <v>0</v>
      </c>
      <c r="M300">
        <f>+'Raw data'!E656</f>
        <v>141</v>
      </c>
      <c r="N300">
        <f>+'Raw data'!F656</f>
        <v>0.443</v>
      </c>
      <c r="O300">
        <f>+'Raw data'!G656</f>
        <v>54</v>
      </c>
      <c r="P300">
        <f>+'Raw data'!H656</f>
        <v>0.36499999999999999</v>
      </c>
      <c r="Q300">
        <f>+'Raw data'!I656</f>
        <v>0.76800000000000002</v>
      </c>
      <c r="R300">
        <f>+'Raw data'!J656</f>
        <v>389</v>
      </c>
      <c r="S300">
        <f>+'Raw data'!K656</f>
        <v>65</v>
      </c>
      <c r="T300">
        <f>+'Raw data'!L656</f>
        <v>140</v>
      </c>
      <c r="U300">
        <f>+'Raw data'!M656</f>
        <v>93</v>
      </c>
      <c r="V300">
        <f>+'Raw data'!N656</f>
        <v>33</v>
      </c>
      <c r="W300">
        <f>+'Raw data'!O656</f>
        <v>21</v>
      </c>
      <c r="X300">
        <f>+'Raw data'!P656</f>
        <v>58</v>
      </c>
      <c r="Y300">
        <f>+'Raw data'!Q656</f>
        <v>1.6</v>
      </c>
    </row>
    <row r="301" spans="1:25" x14ac:dyDescent="0.25">
      <c r="A301">
        <v>2025</v>
      </c>
      <c r="B301" t="s">
        <v>57</v>
      </c>
      <c r="C301">
        <f t="shared" si="17"/>
        <v>14</v>
      </c>
      <c r="D301">
        <f t="shared" si="15"/>
        <v>140</v>
      </c>
      <c r="E301" t="str">
        <f>+'Raw data'!A636</f>
        <v>Tsarlatans</v>
      </c>
      <c r="F301" t="str">
        <f>VLOOKUP(E301,Data!$E$2626:$F$2645,2,FALSE)</f>
        <v>Tzokos</v>
      </c>
      <c r="H301">
        <f>+'Raw data'!A657</f>
        <v>8</v>
      </c>
      <c r="I301">
        <f>+'Raw data'!B657</f>
        <v>5</v>
      </c>
      <c r="J301">
        <f>+'Raw data'!C657</f>
        <v>0</v>
      </c>
      <c r="M301">
        <f>+'Raw data'!E657</f>
        <v>191</v>
      </c>
      <c r="N301">
        <f>+'Raw data'!F657</f>
        <v>0.48799999999999999</v>
      </c>
      <c r="O301">
        <f>+'Raw data'!G657</f>
        <v>55</v>
      </c>
      <c r="P301">
        <f>+'Raw data'!H657</f>
        <v>0.39</v>
      </c>
      <c r="Q301">
        <f>+'Raw data'!I657</f>
        <v>0.72199999999999998</v>
      </c>
      <c r="R301">
        <f>+'Raw data'!J657</f>
        <v>494</v>
      </c>
      <c r="S301">
        <f>+'Raw data'!K657</f>
        <v>56</v>
      </c>
      <c r="T301">
        <f>+'Raw data'!L657</f>
        <v>153</v>
      </c>
      <c r="U301">
        <f>+'Raw data'!M657</f>
        <v>88</v>
      </c>
      <c r="V301">
        <f>+'Raw data'!N657</f>
        <v>29</v>
      </c>
      <c r="W301">
        <f>+'Raw data'!O657</f>
        <v>22</v>
      </c>
      <c r="X301">
        <f>+'Raw data'!P657</f>
        <v>57</v>
      </c>
      <c r="Y301">
        <f>+'Raw data'!Q657</f>
        <v>1.54</v>
      </c>
    </row>
    <row r="302" spans="1:25" x14ac:dyDescent="0.25">
      <c r="A302">
        <v>2025</v>
      </c>
      <c r="B302" t="s">
        <v>57</v>
      </c>
      <c r="C302">
        <f>+C301+1</f>
        <v>15</v>
      </c>
      <c r="D302">
        <f t="shared" si="15"/>
        <v>141</v>
      </c>
      <c r="E302" t="str">
        <f>+'Raw data'!A661</f>
        <v>purple fuzzy apache pirates</v>
      </c>
      <c r="F302" t="str">
        <f>VLOOKUP(E302,Data!$E$2626:$F$2645,2,FALSE)</f>
        <v>pi/Sotiris</v>
      </c>
      <c r="H302">
        <f>+'Raw data'!A682</f>
        <v>3</v>
      </c>
      <c r="I302">
        <f>+'Raw data'!B682</f>
        <v>9</v>
      </c>
      <c r="J302">
        <f>+'Raw data'!C682</f>
        <v>1</v>
      </c>
      <c r="M302">
        <f>+'Raw data'!E682</f>
        <v>133</v>
      </c>
      <c r="N302">
        <f>+'Raw data'!F682</f>
        <v>0.44</v>
      </c>
      <c r="O302">
        <f>+'Raw data'!G682</f>
        <v>31</v>
      </c>
      <c r="P302">
        <f>+'Raw data'!H682</f>
        <v>0.26500000000000001</v>
      </c>
      <c r="Q302">
        <f>+'Raw data'!I682</f>
        <v>0.79400000000000004</v>
      </c>
      <c r="R302">
        <f>+'Raw data'!J682</f>
        <v>374</v>
      </c>
      <c r="S302">
        <f>+'Raw data'!K682</f>
        <v>42</v>
      </c>
      <c r="T302">
        <f>+'Raw data'!L682</f>
        <v>133</v>
      </c>
      <c r="U302">
        <f>+'Raw data'!M682</f>
        <v>104</v>
      </c>
      <c r="V302">
        <f>+'Raw data'!N682</f>
        <v>27</v>
      </c>
      <c r="W302">
        <f>+'Raw data'!O682</f>
        <v>7</v>
      </c>
      <c r="X302">
        <f>+'Raw data'!P682</f>
        <v>48</v>
      </c>
      <c r="Y302">
        <f>+'Raw data'!Q682</f>
        <v>2.17</v>
      </c>
    </row>
    <row r="303" spans="1:25" x14ac:dyDescent="0.25">
      <c r="A303">
        <v>2025</v>
      </c>
      <c r="B303" t="s">
        <v>57</v>
      </c>
      <c r="C303">
        <f>+C302</f>
        <v>15</v>
      </c>
      <c r="D303">
        <f t="shared" si="15"/>
        <v>141</v>
      </c>
      <c r="E303" t="str">
        <f>+'Raw data'!A662</f>
        <v>LRBP PR3DATORS</v>
      </c>
      <c r="F303" t="str">
        <f>VLOOKUP(E303,Data!$E$2626:$F$2645,2,FALSE)</f>
        <v>Lafa</v>
      </c>
      <c r="H303">
        <f>+'Raw data'!A683</f>
        <v>9</v>
      </c>
      <c r="I303">
        <f>+'Raw data'!B683</f>
        <v>3</v>
      </c>
      <c r="J303">
        <f>+'Raw data'!C683</f>
        <v>1</v>
      </c>
      <c r="M303">
        <f>+'Raw data'!E683</f>
        <v>150</v>
      </c>
      <c r="N303">
        <f>+'Raw data'!F683</f>
        <v>0.44600000000000001</v>
      </c>
      <c r="O303">
        <f>+'Raw data'!G683</f>
        <v>30</v>
      </c>
      <c r="P303">
        <f>+'Raw data'!H683</f>
        <v>0.28799999999999998</v>
      </c>
      <c r="Q303">
        <f>+'Raw data'!I683</f>
        <v>0.84</v>
      </c>
      <c r="R303">
        <f>+'Raw data'!J683</f>
        <v>414</v>
      </c>
      <c r="S303">
        <f>+'Raw data'!K683</f>
        <v>45</v>
      </c>
      <c r="T303">
        <f>+'Raw data'!L683</f>
        <v>136</v>
      </c>
      <c r="U303">
        <f>+'Raw data'!M683</f>
        <v>104</v>
      </c>
      <c r="V303">
        <f>+'Raw data'!N683</f>
        <v>32</v>
      </c>
      <c r="W303">
        <f>+'Raw data'!O683</f>
        <v>19</v>
      </c>
      <c r="X303">
        <f>+'Raw data'!P683</f>
        <v>64</v>
      </c>
      <c r="Y303">
        <f>+'Raw data'!Q683</f>
        <v>1.63</v>
      </c>
    </row>
    <row r="304" spans="1:25" x14ac:dyDescent="0.25">
      <c r="A304">
        <v>2025</v>
      </c>
      <c r="B304" t="s">
        <v>57</v>
      </c>
      <c r="C304">
        <f>+C303</f>
        <v>15</v>
      </c>
      <c r="D304">
        <f t="shared" si="15"/>
        <v>142</v>
      </c>
      <c r="E304" t="str">
        <f>+'Raw data'!A663</f>
        <v>Knights of Ni</v>
      </c>
      <c r="F304" t="str">
        <f>VLOOKUP(E304,Data!$E$2626:$F$2645,2,FALSE)</f>
        <v>Tolios</v>
      </c>
      <c r="H304">
        <f>+'Raw data'!A684</f>
        <v>4</v>
      </c>
      <c r="I304">
        <f>+'Raw data'!B684</f>
        <v>9</v>
      </c>
      <c r="J304">
        <f>+'Raw data'!C684</f>
        <v>0</v>
      </c>
      <c r="M304">
        <f>+'Raw data'!E684</f>
        <v>90</v>
      </c>
      <c r="N304">
        <f>+'Raw data'!F684</f>
        <v>0.48399999999999999</v>
      </c>
      <c r="O304">
        <f>+'Raw data'!G684</f>
        <v>36</v>
      </c>
      <c r="P304">
        <f>+'Raw data'!H684</f>
        <v>0.44400000000000001</v>
      </c>
      <c r="Q304">
        <f>+'Raw data'!I684</f>
        <v>0.75800000000000001</v>
      </c>
      <c r="R304">
        <f>+'Raw data'!J684</f>
        <v>241</v>
      </c>
      <c r="S304">
        <f>+'Raw data'!K684</f>
        <v>23</v>
      </c>
      <c r="T304">
        <f>+'Raw data'!L684</f>
        <v>80</v>
      </c>
      <c r="U304">
        <f>+'Raw data'!M684</f>
        <v>41</v>
      </c>
      <c r="V304">
        <f>+'Raw data'!N684</f>
        <v>22</v>
      </c>
      <c r="W304">
        <f>+'Raw data'!O684</f>
        <v>11</v>
      </c>
      <c r="X304">
        <f>+'Raw data'!P684</f>
        <v>32</v>
      </c>
      <c r="Y304">
        <f>+'Raw data'!Q684</f>
        <v>1.28</v>
      </c>
    </row>
    <row r="305" spans="1:25" x14ac:dyDescent="0.25">
      <c r="A305">
        <v>2025</v>
      </c>
      <c r="B305" t="s">
        <v>57</v>
      </c>
      <c r="C305">
        <f>+C304</f>
        <v>15</v>
      </c>
      <c r="D305">
        <f t="shared" si="15"/>
        <v>142</v>
      </c>
      <c r="E305" t="str">
        <f>+'Raw data'!A664</f>
        <v>The Bad Boys</v>
      </c>
      <c r="F305" t="str">
        <f>VLOOKUP(E305,Data!$E$2626:$F$2645,2,FALSE)</f>
        <v>Arvanitis</v>
      </c>
      <c r="H305">
        <f>+'Raw data'!A685</f>
        <v>9</v>
      </c>
      <c r="I305">
        <f>+'Raw data'!B685</f>
        <v>4</v>
      </c>
      <c r="J305">
        <f>+'Raw data'!C685</f>
        <v>0</v>
      </c>
      <c r="M305">
        <f>+'Raw data'!E685</f>
        <v>188</v>
      </c>
      <c r="N305">
        <f>+'Raw data'!F685</f>
        <v>0.47199999999999998</v>
      </c>
      <c r="O305">
        <f>+'Raw data'!G685</f>
        <v>48</v>
      </c>
      <c r="P305">
        <f>+'Raw data'!H685</f>
        <v>0.375</v>
      </c>
      <c r="Q305">
        <f>+'Raw data'!I685</f>
        <v>0.72199999999999998</v>
      </c>
      <c r="R305">
        <f>+'Raw data'!J685</f>
        <v>507</v>
      </c>
      <c r="S305">
        <f>+'Raw data'!K685</f>
        <v>44</v>
      </c>
      <c r="T305">
        <f>+'Raw data'!L685</f>
        <v>120</v>
      </c>
      <c r="U305">
        <f>+'Raw data'!M685</f>
        <v>106</v>
      </c>
      <c r="V305">
        <f>+'Raw data'!N685</f>
        <v>40</v>
      </c>
      <c r="W305">
        <f>+'Raw data'!O685</f>
        <v>23</v>
      </c>
      <c r="X305">
        <f>+'Raw data'!P685</f>
        <v>67</v>
      </c>
      <c r="Y305">
        <f>+'Raw data'!Q685</f>
        <v>1.58</v>
      </c>
    </row>
    <row r="306" spans="1:25" x14ac:dyDescent="0.25">
      <c r="A306">
        <v>2025</v>
      </c>
      <c r="B306" t="s">
        <v>57</v>
      </c>
      <c r="C306">
        <f t="shared" ref="C306:C321" si="18">+C305</f>
        <v>15</v>
      </c>
      <c r="D306">
        <f t="shared" si="15"/>
        <v>143</v>
      </c>
      <c r="E306" t="str">
        <f>+'Raw data'!A665</f>
        <v>Guruuu 🐐🐐🐐</v>
      </c>
      <c r="F306" t="str">
        <f>VLOOKUP(E306,Data!$E$2626:$F$2645,2,FALSE)</f>
        <v>Guru</v>
      </c>
      <c r="H306">
        <f>+'Raw data'!A686</f>
        <v>6</v>
      </c>
      <c r="I306">
        <f>+'Raw data'!B686</f>
        <v>7</v>
      </c>
      <c r="J306">
        <f>+'Raw data'!C686</f>
        <v>0</v>
      </c>
      <c r="M306">
        <f>+'Raw data'!E686</f>
        <v>159</v>
      </c>
      <c r="N306">
        <f>+'Raw data'!F686</f>
        <v>0.46500000000000002</v>
      </c>
      <c r="O306">
        <f>+'Raw data'!G686</f>
        <v>56</v>
      </c>
      <c r="P306">
        <f>+'Raw data'!H686</f>
        <v>0.36599999999999999</v>
      </c>
      <c r="Q306">
        <f>+'Raw data'!I686</f>
        <v>0.69499999999999995</v>
      </c>
      <c r="R306">
        <f>+'Raw data'!J686</f>
        <v>440</v>
      </c>
      <c r="S306">
        <f>+'Raw data'!K686</f>
        <v>33</v>
      </c>
      <c r="T306">
        <f>+'Raw data'!L686</f>
        <v>106</v>
      </c>
      <c r="U306">
        <f>+'Raw data'!M686</f>
        <v>88</v>
      </c>
      <c r="V306">
        <f>+'Raw data'!N686</f>
        <v>17</v>
      </c>
      <c r="W306">
        <f>+'Raw data'!O686</f>
        <v>16</v>
      </c>
      <c r="X306">
        <f>+'Raw data'!P686</f>
        <v>50</v>
      </c>
      <c r="Y306">
        <f>+'Raw data'!Q686</f>
        <v>1.76</v>
      </c>
    </row>
    <row r="307" spans="1:25" x14ac:dyDescent="0.25">
      <c r="A307">
        <v>2025</v>
      </c>
      <c r="B307" t="s">
        <v>57</v>
      </c>
      <c r="C307">
        <f t="shared" si="18"/>
        <v>15</v>
      </c>
      <c r="D307">
        <f t="shared" si="15"/>
        <v>143</v>
      </c>
      <c r="E307" t="str">
        <f>+'Raw data'!A666</f>
        <v>Samarina Dudenbros</v>
      </c>
      <c r="F307" t="str">
        <f>VLOOKUP(E307,Data!$E$2626:$F$2645,2,FALSE)</f>
        <v>Sakellariou</v>
      </c>
      <c r="H307">
        <f>+'Raw data'!A687</f>
        <v>7</v>
      </c>
      <c r="I307">
        <f>+'Raw data'!B687</f>
        <v>6</v>
      </c>
      <c r="J307">
        <f>+'Raw data'!C687</f>
        <v>0</v>
      </c>
      <c r="M307">
        <f>+'Raw data'!E687</f>
        <v>191</v>
      </c>
      <c r="N307">
        <f>+'Raw data'!F687</f>
        <v>0.46800000000000003</v>
      </c>
      <c r="O307">
        <f>+'Raw data'!G687</f>
        <v>48</v>
      </c>
      <c r="P307">
        <f>+'Raw data'!H687</f>
        <v>0.33100000000000002</v>
      </c>
      <c r="Q307">
        <f>+'Raw data'!I687</f>
        <v>0.86399999999999999</v>
      </c>
      <c r="R307">
        <f>+'Raw data'!J687</f>
        <v>538</v>
      </c>
      <c r="S307">
        <f>+'Raw data'!K687</f>
        <v>21</v>
      </c>
      <c r="T307">
        <f>+'Raw data'!L687</f>
        <v>122</v>
      </c>
      <c r="U307">
        <f>+'Raw data'!M687</f>
        <v>115</v>
      </c>
      <c r="V307">
        <f>+'Raw data'!N687</f>
        <v>47</v>
      </c>
      <c r="W307">
        <f>+'Raw data'!O687</f>
        <v>13</v>
      </c>
      <c r="X307">
        <f>+'Raw data'!P687</f>
        <v>67</v>
      </c>
      <c r="Y307">
        <f>+'Raw data'!Q687</f>
        <v>1.72</v>
      </c>
    </row>
    <row r="308" spans="1:25" x14ac:dyDescent="0.25">
      <c r="A308">
        <v>2025</v>
      </c>
      <c r="B308" t="s">
        <v>57</v>
      </c>
      <c r="C308">
        <f t="shared" si="18"/>
        <v>15</v>
      </c>
      <c r="D308">
        <f t="shared" si="15"/>
        <v>144</v>
      </c>
      <c r="E308" t="str">
        <f>+'Raw data'!A667</f>
        <v>Heraklion Snakes</v>
      </c>
      <c r="F308" t="str">
        <f>VLOOKUP(E308,Data!$E$2626:$F$2645,2,FALSE)</f>
        <v>Dimitris</v>
      </c>
      <c r="H308">
        <f>+'Raw data'!A688</f>
        <v>7</v>
      </c>
      <c r="I308">
        <f>+'Raw data'!B688</f>
        <v>6</v>
      </c>
      <c r="J308">
        <f>+'Raw data'!C688</f>
        <v>0</v>
      </c>
      <c r="M308">
        <f>+'Raw data'!E688</f>
        <v>102</v>
      </c>
      <c r="N308">
        <f>+'Raw data'!F688</f>
        <v>0.48099999999999998</v>
      </c>
      <c r="O308">
        <f>+'Raw data'!G688</f>
        <v>30</v>
      </c>
      <c r="P308">
        <f>+'Raw data'!H688</f>
        <v>0.34100000000000003</v>
      </c>
      <c r="Q308">
        <f>+'Raw data'!I688</f>
        <v>0.71399999999999997</v>
      </c>
      <c r="R308">
        <f>+'Raw data'!J688</f>
        <v>269</v>
      </c>
      <c r="S308">
        <f>+'Raw data'!K688</f>
        <v>18</v>
      </c>
      <c r="T308">
        <f>+'Raw data'!L688</f>
        <v>91</v>
      </c>
      <c r="U308">
        <f>+'Raw data'!M688</f>
        <v>76</v>
      </c>
      <c r="V308">
        <f>+'Raw data'!N688</f>
        <v>22</v>
      </c>
      <c r="W308">
        <f>+'Raw data'!O688</f>
        <v>7</v>
      </c>
      <c r="X308">
        <f>+'Raw data'!P688</f>
        <v>27</v>
      </c>
      <c r="Y308">
        <f>+'Raw data'!Q688</f>
        <v>2.81</v>
      </c>
    </row>
    <row r="309" spans="1:25" x14ac:dyDescent="0.25">
      <c r="A309">
        <v>2025</v>
      </c>
      <c r="B309" t="s">
        <v>57</v>
      </c>
      <c r="C309">
        <f t="shared" si="18"/>
        <v>15</v>
      </c>
      <c r="D309">
        <f t="shared" si="15"/>
        <v>144</v>
      </c>
      <c r="E309" t="str">
        <f>+'Raw data'!A668</f>
        <v>Salonika Devils</v>
      </c>
      <c r="F309" t="str">
        <f>VLOOKUP(E309,Data!$E$2626:$F$2645,2,FALSE)</f>
        <v>Fountos</v>
      </c>
      <c r="H309">
        <f>+'Raw data'!A689</f>
        <v>6</v>
      </c>
      <c r="I309">
        <f>+'Raw data'!B689</f>
        <v>7</v>
      </c>
      <c r="J309">
        <f>+'Raw data'!C689</f>
        <v>0</v>
      </c>
      <c r="M309">
        <f>+'Raw data'!E689</f>
        <v>99</v>
      </c>
      <c r="N309">
        <f>+'Raw data'!F689</f>
        <v>0.48099999999999998</v>
      </c>
      <c r="O309">
        <f>+'Raw data'!G689</f>
        <v>39</v>
      </c>
      <c r="P309">
        <f>+'Raw data'!H689</f>
        <v>0.41899999999999998</v>
      </c>
      <c r="Q309">
        <f>+'Raw data'!I689</f>
        <v>0.83699999999999997</v>
      </c>
      <c r="R309">
        <f>+'Raw data'!J689</f>
        <v>273</v>
      </c>
      <c r="S309">
        <f>+'Raw data'!K689</f>
        <v>26</v>
      </c>
      <c r="T309">
        <f>+'Raw data'!L689</f>
        <v>77</v>
      </c>
      <c r="U309">
        <f>+'Raw data'!M689</f>
        <v>53</v>
      </c>
      <c r="V309">
        <f>+'Raw data'!N689</f>
        <v>14</v>
      </c>
      <c r="W309">
        <f>+'Raw data'!O689</f>
        <v>11</v>
      </c>
      <c r="X309">
        <f>+'Raw data'!P689</f>
        <v>31</v>
      </c>
      <c r="Y309">
        <f>+'Raw data'!Q689</f>
        <v>1.71</v>
      </c>
    </row>
    <row r="310" spans="1:25" x14ac:dyDescent="0.25">
      <c r="A310">
        <v>2025</v>
      </c>
      <c r="B310" t="s">
        <v>57</v>
      </c>
      <c r="C310">
        <f t="shared" si="18"/>
        <v>15</v>
      </c>
      <c r="D310">
        <f t="shared" si="15"/>
        <v>145</v>
      </c>
      <c r="E310" t="str">
        <f>+'Raw data'!A669</f>
        <v>The Bridgeburners</v>
      </c>
      <c r="F310" t="str">
        <f>VLOOKUP(E310,Data!$E$2626:$F$2645,2,FALSE)</f>
        <v>Fanis</v>
      </c>
      <c r="H310">
        <f>+'Raw data'!A690</f>
        <v>11</v>
      </c>
      <c r="I310">
        <f>+'Raw data'!B690</f>
        <v>2</v>
      </c>
      <c r="J310">
        <f>+'Raw data'!C690</f>
        <v>0</v>
      </c>
      <c r="M310">
        <f>+'Raw data'!E690</f>
        <v>128</v>
      </c>
      <c r="N310">
        <f>+'Raw data'!F690</f>
        <v>0.53100000000000003</v>
      </c>
      <c r="O310">
        <f>+'Raw data'!G690</f>
        <v>51</v>
      </c>
      <c r="P310">
        <f>+'Raw data'!H690</f>
        <v>0.44</v>
      </c>
      <c r="Q310">
        <f>+'Raw data'!I690</f>
        <v>0.74199999999999999</v>
      </c>
      <c r="R310">
        <f>+'Raw data'!J690</f>
        <v>379</v>
      </c>
      <c r="S310">
        <f>+'Raw data'!K690</f>
        <v>26</v>
      </c>
      <c r="T310">
        <f>+'Raw data'!L690</f>
        <v>105</v>
      </c>
      <c r="U310">
        <f>+'Raw data'!M690</f>
        <v>78</v>
      </c>
      <c r="V310">
        <f>+'Raw data'!N690</f>
        <v>31</v>
      </c>
      <c r="W310">
        <f>+'Raw data'!O690</f>
        <v>17</v>
      </c>
      <c r="X310">
        <f>+'Raw data'!P690</f>
        <v>42</v>
      </c>
      <c r="Y310">
        <f>+'Raw data'!Q690</f>
        <v>1.86</v>
      </c>
    </row>
    <row r="311" spans="1:25" x14ac:dyDescent="0.25">
      <c r="A311">
        <v>2025</v>
      </c>
      <c r="B311" t="s">
        <v>57</v>
      </c>
      <c r="C311">
        <f t="shared" si="18"/>
        <v>15</v>
      </c>
      <c r="D311">
        <f t="shared" si="15"/>
        <v>145</v>
      </c>
      <c r="E311" t="str">
        <f>+'Raw data'!A670</f>
        <v>Steven Adams' Moustache</v>
      </c>
      <c r="F311" t="str">
        <f>VLOOKUP(E311,Data!$E$2626:$F$2645,2,FALSE)</f>
        <v>Johnny</v>
      </c>
      <c r="H311">
        <f>+'Raw data'!A691</f>
        <v>2</v>
      </c>
      <c r="I311">
        <f>+'Raw data'!B691</f>
        <v>11</v>
      </c>
      <c r="J311">
        <f>+'Raw data'!C691</f>
        <v>0</v>
      </c>
      <c r="M311">
        <f>+'Raw data'!E691</f>
        <v>123</v>
      </c>
      <c r="N311">
        <f>+'Raw data'!F691</f>
        <v>0.48799999999999999</v>
      </c>
      <c r="O311">
        <f>+'Raw data'!G691</f>
        <v>48</v>
      </c>
      <c r="P311">
        <f>+'Raw data'!H691</f>
        <v>0.372</v>
      </c>
      <c r="Q311">
        <f>+'Raw data'!I691</f>
        <v>0.8</v>
      </c>
      <c r="R311">
        <f>+'Raw data'!J691</f>
        <v>354</v>
      </c>
      <c r="S311">
        <f>+'Raw data'!K691</f>
        <v>14</v>
      </c>
      <c r="T311">
        <f>+'Raw data'!L691</f>
        <v>74</v>
      </c>
      <c r="U311">
        <f>+'Raw data'!M691</f>
        <v>64</v>
      </c>
      <c r="V311">
        <f>+'Raw data'!N691</f>
        <v>17</v>
      </c>
      <c r="W311">
        <f>+'Raw data'!O691</f>
        <v>11</v>
      </c>
      <c r="X311">
        <f>+'Raw data'!P691</f>
        <v>40</v>
      </c>
      <c r="Y311">
        <f>+'Raw data'!Q691</f>
        <v>1.6</v>
      </c>
    </row>
    <row r="312" spans="1:25" x14ac:dyDescent="0.25">
      <c r="A312">
        <v>2025</v>
      </c>
      <c r="B312" t="s">
        <v>57</v>
      </c>
      <c r="C312">
        <f t="shared" si="18"/>
        <v>15</v>
      </c>
      <c r="D312">
        <f t="shared" si="15"/>
        <v>146</v>
      </c>
      <c r="E312" t="str">
        <f>+'Raw data'!A671</f>
        <v>Kourayo Vallecano</v>
      </c>
      <c r="F312" t="str">
        <f>VLOOKUP(E312,Data!$E$2626:$F$2645,2,FALSE)</f>
        <v>Ziogas/Christof</v>
      </c>
      <c r="H312">
        <f>+'Raw data'!A692</f>
        <v>11</v>
      </c>
      <c r="I312">
        <f>+'Raw data'!B692</f>
        <v>2</v>
      </c>
      <c r="J312">
        <f>+'Raw data'!C692</f>
        <v>0</v>
      </c>
      <c r="M312">
        <f>+'Raw data'!E692</f>
        <v>178</v>
      </c>
      <c r="N312">
        <f>+'Raw data'!F692</f>
        <v>0.46100000000000002</v>
      </c>
      <c r="O312">
        <f>+'Raw data'!G692</f>
        <v>42</v>
      </c>
      <c r="P312">
        <f>+'Raw data'!H692</f>
        <v>0.311</v>
      </c>
      <c r="Q312">
        <f>+'Raw data'!I692</f>
        <v>0.83699999999999997</v>
      </c>
      <c r="R312">
        <f>+'Raw data'!J692</f>
        <v>470</v>
      </c>
      <c r="S312">
        <f>+'Raw data'!K692</f>
        <v>66</v>
      </c>
      <c r="T312">
        <f>+'Raw data'!L692</f>
        <v>144</v>
      </c>
      <c r="U312">
        <f>+'Raw data'!M692</f>
        <v>118</v>
      </c>
      <c r="V312">
        <f>+'Raw data'!N692</f>
        <v>25</v>
      </c>
      <c r="W312">
        <f>+'Raw data'!O692</f>
        <v>20</v>
      </c>
      <c r="X312">
        <f>+'Raw data'!P692</f>
        <v>46</v>
      </c>
      <c r="Y312">
        <f>+'Raw data'!Q692</f>
        <v>2.57</v>
      </c>
    </row>
    <row r="313" spans="1:25" x14ac:dyDescent="0.25">
      <c r="A313">
        <v>2025</v>
      </c>
      <c r="B313" t="s">
        <v>57</v>
      </c>
      <c r="C313">
        <f t="shared" si="18"/>
        <v>15</v>
      </c>
      <c r="D313">
        <f t="shared" si="15"/>
        <v>146</v>
      </c>
      <c r="E313" t="str">
        <f>+'Raw data'!A672</f>
        <v>Paralouistas</v>
      </c>
      <c r="F313" t="str">
        <f>VLOOKUP(E313,Data!$E$2626:$F$2645,2,FALSE)</f>
        <v>Panos</v>
      </c>
      <c r="H313">
        <f>+'Raw data'!A693</f>
        <v>2</v>
      </c>
      <c r="I313">
        <f>+'Raw data'!B693</f>
        <v>11</v>
      </c>
      <c r="J313">
        <f>+'Raw data'!C693</f>
        <v>0</v>
      </c>
      <c r="M313">
        <f>+'Raw data'!E693</f>
        <v>148</v>
      </c>
      <c r="N313">
        <f>+'Raw data'!F693</f>
        <v>0.45100000000000001</v>
      </c>
      <c r="O313">
        <f>+'Raw data'!G693</f>
        <v>29</v>
      </c>
      <c r="P313">
        <f>+'Raw data'!H693</f>
        <v>0.26600000000000001</v>
      </c>
      <c r="Q313">
        <f>+'Raw data'!I693</f>
        <v>0.68</v>
      </c>
      <c r="R313">
        <f>+'Raw data'!J693</f>
        <v>376</v>
      </c>
      <c r="S313">
        <f>+'Raw data'!K693</f>
        <v>43</v>
      </c>
      <c r="T313">
        <f>+'Raw data'!L693</f>
        <v>102</v>
      </c>
      <c r="U313">
        <f>+'Raw data'!M693</f>
        <v>117</v>
      </c>
      <c r="V313">
        <f>+'Raw data'!N693</f>
        <v>24</v>
      </c>
      <c r="W313">
        <f>+'Raw data'!O693</f>
        <v>10</v>
      </c>
      <c r="X313">
        <f>+'Raw data'!P693</f>
        <v>38</v>
      </c>
      <c r="Y313">
        <f>+'Raw data'!Q693</f>
        <v>3.08</v>
      </c>
    </row>
    <row r="314" spans="1:25" x14ac:dyDescent="0.25">
      <c r="A314">
        <v>2025</v>
      </c>
      <c r="B314" t="s">
        <v>57</v>
      </c>
      <c r="C314">
        <f t="shared" si="18"/>
        <v>15</v>
      </c>
      <c r="D314">
        <f t="shared" si="15"/>
        <v>147</v>
      </c>
      <c r="E314" t="str">
        <f>+'Raw data'!A673</f>
        <v>Xanthi Ducks 🦆</v>
      </c>
      <c r="F314" t="str">
        <f>VLOOKUP(E314,Data!$E$2626:$F$2645,2,FALSE)</f>
        <v>Kotakis</v>
      </c>
      <c r="H314">
        <f>+'Raw data'!A694</f>
        <v>6</v>
      </c>
      <c r="I314">
        <f>+'Raw data'!B694</f>
        <v>7</v>
      </c>
      <c r="J314">
        <f>+'Raw data'!C694</f>
        <v>0</v>
      </c>
      <c r="M314">
        <f>+'Raw data'!E694</f>
        <v>124</v>
      </c>
      <c r="N314">
        <f>+'Raw data'!F694</f>
        <v>0.49199999999999999</v>
      </c>
      <c r="O314">
        <f>+'Raw data'!G694</f>
        <v>50</v>
      </c>
      <c r="P314">
        <f>+'Raw data'!H694</f>
        <v>0.37</v>
      </c>
      <c r="Q314">
        <f>+'Raw data'!I694</f>
        <v>0.88</v>
      </c>
      <c r="R314">
        <f>+'Raw data'!J694</f>
        <v>342</v>
      </c>
      <c r="S314">
        <f>+'Raw data'!K694</f>
        <v>24</v>
      </c>
      <c r="T314">
        <f>+'Raw data'!L694</f>
        <v>81</v>
      </c>
      <c r="U314">
        <f>+'Raw data'!M694</f>
        <v>74</v>
      </c>
      <c r="V314">
        <f>+'Raw data'!N694</f>
        <v>29</v>
      </c>
      <c r="W314">
        <f>+'Raw data'!O694</f>
        <v>19</v>
      </c>
      <c r="X314">
        <f>+'Raw data'!P694</f>
        <v>27</v>
      </c>
      <c r="Y314">
        <f>+'Raw data'!Q694</f>
        <v>2.74</v>
      </c>
    </row>
    <row r="315" spans="1:25" x14ac:dyDescent="0.25">
      <c r="A315">
        <v>2025</v>
      </c>
      <c r="B315" t="s">
        <v>57</v>
      </c>
      <c r="C315">
        <f t="shared" si="18"/>
        <v>15</v>
      </c>
      <c r="D315">
        <f t="shared" si="15"/>
        <v>147</v>
      </c>
      <c r="E315" t="str">
        <f>+'Raw data'!A674</f>
        <v>st.Helens Eruptions</v>
      </c>
      <c r="F315" t="str">
        <f>VLOOKUP(E315,Data!$E$2626:$F$2645,2,FALSE)</f>
        <v>Aris</v>
      </c>
      <c r="H315">
        <f>+'Raw data'!A695</f>
        <v>7</v>
      </c>
      <c r="I315">
        <f>+'Raw data'!B695</f>
        <v>6</v>
      </c>
      <c r="J315">
        <f>+'Raw data'!C695</f>
        <v>0</v>
      </c>
      <c r="M315">
        <f>+'Raw data'!E695</f>
        <v>109</v>
      </c>
      <c r="N315">
        <f>+'Raw data'!F695</f>
        <v>0.49299999999999999</v>
      </c>
      <c r="O315">
        <f>+'Raw data'!G695</f>
        <v>32</v>
      </c>
      <c r="P315">
        <f>+'Raw data'!H695</f>
        <v>0.42099999999999999</v>
      </c>
      <c r="Q315">
        <f>+'Raw data'!I695</f>
        <v>0.69599999999999995</v>
      </c>
      <c r="R315">
        <f>+'Raw data'!J695</f>
        <v>298</v>
      </c>
      <c r="S315">
        <f>+'Raw data'!K695</f>
        <v>25</v>
      </c>
      <c r="T315">
        <f>+'Raw data'!L695</f>
        <v>90</v>
      </c>
      <c r="U315">
        <f>+'Raw data'!M695</f>
        <v>75</v>
      </c>
      <c r="V315">
        <f>+'Raw data'!N695</f>
        <v>18</v>
      </c>
      <c r="W315">
        <f>+'Raw data'!O695</f>
        <v>11</v>
      </c>
      <c r="X315">
        <f>+'Raw data'!P695</f>
        <v>23</v>
      </c>
      <c r="Y315">
        <f>+'Raw data'!Q695</f>
        <v>3.26</v>
      </c>
    </row>
    <row r="316" spans="1:25" x14ac:dyDescent="0.25">
      <c r="A316">
        <v>2025</v>
      </c>
      <c r="B316" t="s">
        <v>57</v>
      </c>
      <c r="C316">
        <f t="shared" si="18"/>
        <v>15</v>
      </c>
      <c r="D316">
        <f t="shared" si="15"/>
        <v>148</v>
      </c>
      <c r="E316" t="str">
        <f>+'Raw data'!A675</f>
        <v>The Guns</v>
      </c>
      <c r="F316" t="str">
        <f>VLOOKUP(E316,Data!$E$2626:$F$2645,2,FALSE)</f>
        <v>Vasilis</v>
      </c>
      <c r="H316">
        <f>+'Raw data'!A696</f>
        <v>3</v>
      </c>
      <c r="I316">
        <f>+'Raw data'!B696</f>
        <v>10</v>
      </c>
      <c r="J316">
        <f>+'Raw data'!C696</f>
        <v>0</v>
      </c>
      <c r="M316">
        <f>+'Raw data'!E696</f>
        <v>115</v>
      </c>
      <c r="N316">
        <f>+'Raw data'!F696</f>
        <v>0.45800000000000002</v>
      </c>
      <c r="O316">
        <f>+'Raw data'!G696</f>
        <v>48</v>
      </c>
      <c r="P316">
        <f>+'Raw data'!H696</f>
        <v>0.38700000000000001</v>
      </c>
      <c r="Q316">
        <f>+'Raw data'!I696</f>
        <v>0.81799999999999995</v>
      </c>
      <c r="R316">
        <f>+'Raw data'!J696</f>
        <v>323</v>
      </c>
      <c r="S316">
        <f>+'Raw data'!K696</f>
        <v>22</v>
      </c>
      <c r="T316">
        <f>+'Raw data'!L696</f>
        <v>77</v>
      </c>
      <c r="U316">
        <f>+'Raw data'!M696</f>
        <v>84</v>
      </c>
      <c r="V316">
        <f>+'Raw data'!N696</f>
        <v>24</v>
      </c>
      <c r="W316">
        <f>+'Raw data'!O696</f>
        <v>5</v>
      </c>
      <c r="X316">
        <f>+'Raw data'!P696</f>
        <v>29</v>
      </c>
      <c r="Y316">
        <f>+'Raw data'!Q696</f>
        <v>2.9</v>
      </c>
    </row>
    <row r="317" spans="1:25" x14ac:dyDescent="0.25">
      <c r="A317">
        <v>2025</v>
      </c>
      <c r="B317" t="s">
        <v>57</v>
      </c>
      <c r="C317">
        <f t="shared" si="18"/>
        <v>15</v>
      </c>
      <c r="D317">
        <f t="shared" si="15"/>
        <v>148</v>
      </c>
      <c r="E317" t="str">
        <f>+'Raw data'!A676</f>
        <v>Pachiana NinjaBees</v>
      </c>
      <c r="F317" t="str">
        <f>VLOOKUP(E317,Data!$E$2626:$F$2645,2,FALSE)</f>
        <v>Spiridaus/Oladipas</v>
      </c>
      <c r="H317">
        <f>+'Raw data'!A697</f>
        <v>10</v>
      </c>
      <c r="I317">
        <f>+'Raw data'!B697</f>
        <v>3</v>
      </c>
      <c r="J317">
        <f>+'Raw data'!C697</f>
        <v>0</v>
      </c>
      <c r="M317">
        <f>+'Raw data'!E697</f>
        <v>157</v>
      </c>
      <c r="N317">
        <f>+'Raw data'!F697</f>
        <v>0.46</v>
      </c>
      <c r="O317">
        <f>+'Raw data'!G697</f>
        <v>60</v>
      </c>
      <c r="P317">
        <f>+'Raw data'!H697</f>
        <v>0.39200000000000002</v>
      </c>
      <c r="Q317">
        <f>+'Raw data'!I697</f>
        <v>0.81399999999999995</v>
      </c>
      <c r="R317">
        <f>+'Raw data'!J697</f>
        <v>431</v>
      </c>
      <c r="S317">
        <f>+'Raw data'!K697</f>
        <v>45</v>
      </c>
      <c r="T317">
        <f>+'Raw data'!L697</f>
        <v>121</v>
      </c>
      <c r="U317">
        <f>+'Raw data'!M697</f>
        <v>94</v>
      </c>
      <c r="V317">
        <f>+'Raw data'!N697</f>
        <v>26</v>
      </c>
      <c r="W317">
        <f>+'Raw data'!O697</f>
        <v>22</v>
      </c>
      <c r="X317">
        <f>+'Raw data'!P697</f>
        <v>50</v>
      </c>
      <c r="Y317">
        <f>+'Raw data'!Q697</f>
        <v>1.88</v>
      </c>
    </row>
    <row r="318" spans="1:25" x14ac:dyDescent="0.25">
      <c r="A318">
        <v>2025</v>
      </c>
      <c r="B318" t="s">
        <v>57</v>
      </c>
      <c r="C318">
        <f t="shared" si="18"/>
        <v>15</v>
      </c>
      <c r="D318">
        <f t="shared" si="15"/>
        <v>149</v>
      </c>
      <c r="E318" t="str">
        <f>+'Raw data'!A677</f>
        <v>Tsarlatans</v>
      </c>
      <c r="F318" t="str">
        <f>VLOOKUP(E318,Data!$E$2626:$F$2645,2,FALSE)</f>
        <v>Tzokos</v>
      </c>
      <c r="H318">
        <f>+'Raw data'!A698</f>
        <v>6</v>
      </c>
      <c r="I318">
        <f>+'Raw data'!B698</f>
        <v>6</v>
      </c>
      <c r="J318">
        <f>+'Raw data'!C698</f>
        <v>1</v>
      </c>
      <c r="M318">
        <f>+'Raw data'!E698</f>
        <v>142</v>
      </c>
      <c r="N318">
        <f>+'Raw data'!F698</f>
        <v>0.48599999999999999</v>
      </c>
      <c r="O318">
        <f>+'Raw data'!G698</f>
        <v>43</v>
      </c>
      <c r="P318">
        <f>+'Raw data'!H698</f>
        <v>0.377</v>
      </c>
      <c r="Q318">
        <f>+'Raw data'!I698</f>
        <v>0.74399999999999999</v>
      </c>
      <c r="R318">
        <f>+'Raw data'!J698</f>
        <v>391</v>
      </c>
      <c r="S318">
        <f>+'Raw data'!K698</f>
        <v>45</v>
      </c>
      <c r="T318">
        <f>+'Raw data'!L698</f>
        <v>125</v>
      </c>
      <c r="U318">
        <f>+'Raw data'!M698</f>
        <v>70</v>
      </c>
      <c r="V318">
        <f>+'Raw data'!N698</f>
        <v>30</v>
      </c>
      <c r="W318">
        <f>+'Raw data'!O698</f>
        <v>18</v>
      </c>
      <c r="X318">
        <f>+'Raw data'!P698</f>
        <v>45</v>
      </c>
      <c r="Y318">
        <f>+'Raw data'!Q698</f>
        <v>1.56</v>
      </c>
    </row>
    <row r="319" spans="1:25" x14ac:dyDescent="0.25">
      <c r="A319">
        <v>2025</v>
      </c>
      <c r="B319" t="s">
        <v>57</v>
      </c>
      <c r="C319">
        <f t="shared" si="18"/>
        <v>15</v>
      </c>
      <c r="D319">
        <f t="shared" si="15"/>
        <v>149</v>
      </c>
      <c r="E319" t="str">
        <f>+'Raw data'!A678</f>
        <v>Karafli Saita</v>
      </c>
      <c r="F319" t="str">
        <f>VLOOKUP(E319,Data!$E$2626:$F$2645,2,FALSE)</f>
        <v>Tassos</v>
      </c>
      <c r="H319">
        <f>+'Raw data'!A699</f>
        <v>6</v>
      </c>
      <c r="I319">
        <f>+'Raw data'!B699</f>
        <v>6</v>
      </c>
      <c r="J319">
        <f>+'Raw data'!C699</f>
        <v>1</v>
      </c>
      <c r="M319">
        <f>+'Raw data'!E699</f>
        <v>192</v>
      </c>
      <c r="N319">
        <f>+'Raw data'!F699</f>
        <v>0.46800000000000003</v>
      </c>
      <c r="O319">
        <f>+'Raw data'!G699</f>
        <v>44</v>
      </c>
      <c r="P319">
        <f>+'Raw data'!H699</f>
        <v>0.29099999999999998</v>
      </c>
      <c r="Q319">
        <f>+'Raw data'!I699</f>
        <v>0.80900000000000005</v>
      </c>
      <c r="R319">
        <f>+'Raw data'!J699</f>
        <v>534</v>
      </c>
      <c r="S319">
        <f>+'Raw data'!K699</f>
        <v>24</v>
      </c>
      <c r="T319">
        <f>+'Raw data'!L699</f>
        <v>122</v>
      </c>
      <c r="U319">
        <f>+'Raw data'!M699</f>
        <v>121</v>
      </c>
      <c r="V319">
        <f>+'Raw data'!N699</f>
        <v>27</v>
      </c>
      <c r="W319">
        <f>+'Raw data'!O699</f>
        <v>18</v>
      </c>
      <c r="X319">
        <f>+'Raw data'!P699</f>
        <v>50</v>
      </c>
      <c r="Y319">
        <f>+'Raw data'!Q699</f>
        <v>2.42</v>
      </c>
    </row>
    <row r="320" spans="1:25" x14ac:dyDescent="0.25">
      <c r="A320">
        <v>2025</v>
      </c>
      <c r="B320" t="s">
        <v>57</v>
      </c>
      <c r="C320">
        <f t="shared" si="18"/>
        <v>15</v>
      </c>
      <c r="D320">
        <f t="shared" si="15"/>
        <v>150</v>
      </c>
      <c r="E320" t="str">
        <f>+'Raw data'!A679</f>
        <v>Hércules Pals</v>
      </c>
      <c r="F320" t="e">
        <f>VLOOKUP(E320,Data!$E$2626:$F$2645,2,FALSE)</f>
        <v>#N/A</v>
      </c>
      <c r="H320">
        <f>+'Raw data'!A700</f>
        <v>5</v>
      </c>
      <c r="I320">
        <f>+'Raw data'!B700</f>
        <v>8</v>
      </c>
      <c r="J320">
        <f>+'Raw data'!C700</f>
        <v>0</v>
      </c>
      <c r="M320">
        <f>+'Raw data'!E700</f>
        <v>147</v>
      </c>
      <c r="N320">
        <f>+'Raw data'!F700</f>
        <v>0.52500000000000002</v>
      </c>
      <c r="O320">
        <f>+'Raw data'!G700</f>
        <v>46</v>
      </c>
      <c r="P320">
        <f>+'Raw data'!H700</f>
        <v>0.377</v>
      </c>
      <c r="Q320">
        <f>+'Raw data'!I700</f>
        <v>0.71699999999999997</v>
      </c>
      <c r="R320">
        <f>+'Raw data'!J700</f>
        <v>378</v>
      </c>
      <c r="S320">
        <f>+'Raw data'!K700</f>
        <v>58</v>
      </c>
      <c r="T320">
        <f>+'Raw data'!L700</f>
        <v>121</v>
      </c>
      <c r="U320">
        <f>+'Raw data'!M700</f>
        <v>75</v>
      </c>
      <c r="V320">
        <f>+'Raw data'!N700</f>
        <v>25</v>
      </c>
      <c r="W320">
        <f>+'Raw data'!O700</f>
        <v>17</v>
      </c>
      <c r="X320">
        <f>+'Raw data'!P700</f>
        <v>39</v>
      </c>
      <c r="Y320">
        <f>+'Raw data'!Q700</f>
        <v>1.92</v>
      </c>
    </row>
    <row r="321" spans="1:25" x14ac:dyDescent="0.25">
      <c r="A321">
        <v>2025</v>
      </c>
      <c r="B321" t="s">
        <v>57</v>
      </c>
      <c r="C321">
        <f t="shared" si="18"/>
        <v>15</v>
      </c>
      <c r="D321">
        <f t="shared" si="15"/>
        <v>150</v>
      </c>
      <c r="E321" t="str">
        <f>+'Raw data'!A680</f>
        <v>Fighting Thaddeus</v>
      </c>
      <c r="F321" t="str">
        <f>VLOOKUP(E321,Data!$E$2626:$F$2645,2,FALSE)</f>
        <v>Stavros</v>
      </c>
      <c r="H321">
        <f>+'Raw data'!A701</f>
        <v>8</v>
      </c>
      <c r="I321">
        <f>+'Raw data'!B701</f>
        <v>5</v>
      </c>
      <c r="J321">
        <f>+'Raw data'!C701</f>
        <v>0</v>
      </c>
      <c r="M321">
        <f>+'Raw data'!E701</f>
        <v>174</v>
      </c>
      <c r="N321">
        <f>+'Raw data'!F701</f>
        <v>0.47699999999999998</v>
      </c>
      <c r="O321">
        <f>+'Raw data'!G701</f>
        <v>62</v>
      </c>
      <c r="P321">
        <f>+'Raw data'!H701</f>
        <v>0.41599999999999998</v>
      </c>
      <c r="Q321">
        <f>+'Raw data'!I701</f>
        <v>0.85599999999999998</v>
      </c>
      <c r="R321">
        <f>+'Raw data'!J701</f>
        <v>505</v>
      </c>
      <c r="S321">
        <f>+'Raw data'!K701</f>
        <v>33</v>
      </c>
      <c r="T321">
        <f>+'Raw data'!L701</f>
        <v>95</v>
      </c>
      <c r="U321">
        <f>+'Raw data'!M701</f>
        <v>99</v>
      </c>
      <c r="V321">
        <f>+'Raw data'!N701</f>
        <v>23</v>
      </c>
      <c r="W321">
        <f>+'Raw data'!O701</f>
        <v>21</v>
      </c>
      <c r="X321">
        <f>+'Raw data'!P701</f>
        <v>50</v>
      </c>
      <c r="Y321">
        <f>+'Raw data'!Q701</f>
        <v>1.98</v>
      </c>
    </row>
    <row r="322" spans="1:25" x14ac:dyDescent="0.25">
      <c r="A322">
        <v>2025</v>
      </c>
      <c r="B322" t="s">
        <v>57</v>
      </c>
      <c r="C322">
        <f>+C321+1</f>
        <v>16</v>
      </c>
      <c r="D322">
        <f t="shared" si="15"/>
        <v>151</v>
      </c>
      <c r="E322" t="str">
        <f>+'Raw data'!A705</f>
        <v>LRBP PR3DATORS</v>
      </c>
      <c r="F322" t="str">
        <f>VLOOKUP(E322,Data!$E$2626:$F$2645,2,FALSE)</f>
        <v>Lafa</v>
      </c>
      <c r="H322">
        <f>+'Raw data'!A746</f>
        <v>11</v>
      </c>
      <c r="I322">
        <f>+'Raw data'!B746</f>
        <v>2</v>
      </c>
      <c r="J322">
        <f>+'Raw data'!C746</f>
        <v>0</v>
      </c>
      <c r="M322">
        <f>+'Raw data'!E746</f>
        <v>229</v>
      </c>
      <c r="N322">
        <f>+'Raw data'!F746</f>
        <v>0.46500000000000002</v>
      </c>
      <c r="O322">
        <f>+'Raw data'!G746</f>
        <v>57</v>
      </c>
      <c r="P322">
        <f>+'Raw data'!H746</f>
        <v>0.34100000000000003</v>
      </c>
      <c r="Q322">
        <f>+'Raw data'!I746</f>
        <v>0.74199999999999999</v>
      </c>
      <c r="R322">
        <f>+'Raw data'!J746</f>
        <v>633</v>
      </c>
      <c r="S322">
        <f>+'Raw data'!K746</f>
        <v>30</v>
      </c>
      <c r="T322">
        <f>+'Raw data'!L746</f>
        <v>143</v>
      </c>
      <c r="U322">
        <f>+'Raw data'!M746</f>
        <v>159</v>
      </c>
      <c r="V322">
        <f>+'Raw data'!N746</f>
        <v>36</v>
      </c>
      <c r="W322">
        <f>+'Raw data'!O746</f>
        <v>33</v>
      </c>
      <c r="X322">
        <f>+'Raw data'!P746</f>
        <v>77</v>
      </c>
      <c r="Y322">
        <f>+'Raw data'!Q746</f>
        <v>2.06</v>
      </c>
    </row>
    <row r="323" spans="1:25" x14ac:dyDescent="0.25">
      <c r="A323">
        <v>2025</v>
      </c>
      <c r="B323" t="s">
        <v>57</v>
      </c>
      <c r="C323">
        <f>+C322</f>
        <v>16</v>
      </c>
      <c r="D323">
        <f t="shared" si="15"/>
        <v>151</v>
      </c>
      <c r="E323" t="str">
        <f>+'Raw data'!A706</f>
        <v>Knights of Ni</v>
      </c>
      <c r="F323" t="str">
        <f>VLOOKUP(E323,Data!$E$2626:$F$2645,2,FALSE)</f>
        <v>Tolios</v>
      </c>
      <c r="H323">
        <f>+'Raw data'!A747</f>
        <v>2</v>
      </c>
      <c r="I323">
        <f>+'Raw data'!B747</f>
        <v>11</v>
      </c>
      <c r="J323">
        <f>+'Raw data'!C747</f>
        <v>0</v>
      </c>
      <c r="M323">
        <f>+'Raw data'!E747</f>
        <v>131</v>
      </c>
      <c r="N323">
        <f>+'Raw data'!F747</f>
        <v>0.46100000000000002</v>
      </c>
      <c r="O323">
        <f>+'Raw data'!G747</f>
        <v>41</v>
      </c>
      <c r="P323">
        <f>+'Raw data'!H747</f>
        <v>0.33100000000000002</v>
      </c>
      <c r="Q323">
        <f>+'Raw data'!I747</f>
        <v>0.63500000000000001</v>
      </c>
      <c r="R323">
        <f>+'Raw data'!J747</f>
        <v>343</v>
      </c>
      <c r="S323">
        <f>+'Raw data'!K747</f>
        <v>34</v>
      </c>
      <c r="T323">
        <f>+'Raw data'!L747</f>
        <v>121</v>
      </c>
      <c r="U323">
        <f>+'Raw data'!M747</f>
        <v>76</v>
      </c>
      <c r="V323">
        <f>+'Raw data'!N747</f>
        <v>26</v>
      </c>
      <c r="W323">
        <f>+'Raw data'!O747</f>
        <v>14</v>
      </c>
      <c r="X323">
        <f>+'Raw data'!P747</f>
        <v>50</v>
      </c>
      <c r="Y323">
        <f>+'Raw data'!Q747</f>
        <v>1.52</v>
      </c>
    </row>
    <row r="324" spans="1:25" x14ac:dyDescent="0.25">
      <c r="A324">
        <v>2025</v>
      </c>
      <c r="B324" t="s">
        <v>57</v>
      </c>
      <c r="C324">
        <f>+C323</f>
        <v>16</v>
      </c>
      <c r="D324">
        <f t="shared" si="15"/>
        <v>152</v>
      </c>
      <c r="E324" t="str">
        <f>+'Raw data'!A707</f>
        <v>purple fuzzy apache pirates</v>
      </c>
      <c r="F324" t="str">
        <f>VLOOKUP(E324,Data!$E$2626:$F$2645,2,FALSE)</f>
        <v>pi/Sotiris</v>
      </c>
      <c r="H324">
        <f>+'Raw data'!A748</f>
        <v>9</v>
      </c>
      <c r="I324">
        <f>+'Raw data'!B748</f>
        <v>3</v>
      </c>
      <c r="J324">
        <f>+'Raw data'!C748</f>
        <v>1</v>
      </c>
      <c r="M324">
        <f>+'Raw data'!E748</f>
        <v>225</v>
      </c>
      <c r="N324">
        <f>+'Raw data'!F748</f>
        <v>0.48699999999999999</v>
      </c>
      <c r="O324">
        <f>+'Raw data'!G748</f>
        <v>49</v>
      </c>
      <c r="P324">
        <f>+'Raw data'!H748</f>
        <v>0.32</v>
      </c>
      <c r="Q324">
        <f>+'Raw data'!I748</f>
        <v>0.79400000000000004</v>
      </c>
      <c r="R324">
        <f>+'Raw data'!J748</f>
        <v>622</v>
      </c>
      <c r="S324">
        <f>+'Raw data'!K748</f>
        <v>74</v>
      </c>
      <c r="T324">
        <f>+'Raw data'!L748</f>
        <v>200</v>
      </c>
      <c r="U324">
        <f>+'Raw data'!M748</f>
        <v>170</v>
      </c>
      <c r="V324">
        <f>+'Raw data'!N748</f>
        <v>39</v>
      </c>
      <c r="W324">
        <f>+'Raw data'!O748</f>
        <v>17</v>
      </c>
      <c r="X324">
        <f>+'Raw data'!P748</f>
        <v>88</v>
      </c>
      <c r="Y324">
        <f>+'Raw data'!Q748</f>
        <v>1.93</v>
      </c>
    </row>
    <row r="325" spans="1:25" x14ac:dyDescent="0.25">
      <c r="A325">
        <v>2025</v>
      </c>
      <c r="B325" t="s">
        <v>57</v>
      </c>
      <c r="C325">
        <f>+C324</f>
        <v>16</v>
      </c>
      <c r="D325">
        <f t="shared" ref="D325:D383" si="19">+D323+1</f>
        <v>152</v>
      </c>
      <c r="E325" t="str">
        <f>+'Raw data'!A708</f>
        <v>Guruuu 🐐🐐🐐</v>
      </c>
      <c r="F325" t="str">
        <f>VLOOKUP(E325,Data!$E$2626:$F$2645,2,FALSE)</f>
        <v>Guru</v>
      </c>
      <c r="H325">
        <f>+'Raw data'!A749</f>
        <v>3</v>
      </c>
      <c r="I325">
        <f>+'Raw data'!B749</f>
        <v>9</v>
      </c>
      <c r="J325">
        <f>+'Raw data'!C749</f>
        <v>1</v>
      </c>
      <c r="M325">
        <f>+'Raw data'!E749</f>
        <v>202</v>
      </c>
      <c r="N325">
        <f>+'Raw data'!F749</f>
        <v>0.44800000000000001</v>
      </c>
      <c r="O325">
        <f>+'Raw data'!G749</f>
        <v>83</v>
      </c>
      <c r="P325">
        <f>+'Raw data'!H749</f>
        <v>0.34599999999999997</v>
      </c>
      <c r="Q325">
        <f>+'Raw data'!I749</f>
        <v>0.76</v>
      </c>
      <c r="R325">
        <f>+'Raw data'!J749</f>
        <v>563</v>
      </c>
      <c r="S325">
        <f>+'Raw data'!K749</f>
        <v>24</v>
      </c>
      <c r="T325">
        <f>+'Raw data'!L749</f>
        <v>102</v>
      </c>
      <c r="U325">
        <f>+'Raw data'!M749</f>
        <v>97</v>
      </c>
      <c r="V325">
        <f>+'Raw data'!N749</f>
        <v>39</v>
      </c>
      <c r="W325">
        <f>+'Raw data'!O749</f>
        <v>13</v>
      </c>
      <c r="X325">
        <f>+'Raw data'!P749</f>
        <v>65</v>
      </c>
      <c r="Y325">
        <f>+'Raw data'!Q749</f>
        <v>1.49</v>
      </c>
    </row>
    <row r="326" spans="1:25" x14ac:dyDescent="0.25">
      <c r="A326">
        <v>2025</v>
      </c>
      <c r="B326" t="s">
        <v>57</v>
      </c>
      <c r="C326">
        <f t="shared" ref="C326:C341" si="20">+C325</f>
        <v>16</v>
      </c>
      <c r="D326">
        <f t="shared" si="19"/>
        <v>153</v>
      </c>
      <c r="E326" t="str">
        <f>+'Raw data'!A709</f>
        <v>The Bad Boys</v>
      </c>
      <c r="F326" t="str">
        <f>VLOOKUP(E326,Data!$E$2626:$F$2645,2,FALSE)</f>
        <v>Arvanitis</v>
      </c>
      <c r="H326">
        <f>+'Raw data'!A750</f>
        <v>11</v>
      </c>
      <c r="I326">
        <f>+'Raw data'!B750</f>
        <v>2</v>
      </c>
      <c r="J326">
        <f>+'Raw data'!C750</f>
        <v>0</v>
      </c>
      <c r="M326">
        <f>+'Raw data'!E750</f>
        <v>175</v>
      </c>
      <c r="N326">
        <f>+'Raw data'!F750</f>
        <v>0.46500000000000002</v>
      </c>
      <c r="O326">
        <f>+'Raw data'!G750</f>
        <v>43</v>
      </c>
      <c r="P326">
        <f>+'Raw data'!H750</f>
        <v>0.35799999999999998</v>
      </c>
      <c r="Q326">
        <f>+'Raw data'!I750</f>
        <v>0.79600000000000004</v>
      </c>
      <c r="R326">
        <f>+'Raw data'!J750</f>
        <v>510</v>
      </c>
      <c r="S326">
        <f>+'Raw data'!K750</f>
        <v>45</v>
      </c>
      <c r="T326">
        <f>+'Raw data'!L750</f>
        <v>126</v>
      </c>
      <c r="U326">
        <f>+'Raw data'!M750</f>
        <v>103</v>
      </c>
      <c r="V326">
        <f>+'Raw data'!N750</f>
        <v>48</v>
      </c>
      <c r="W326">
        <f>+'Raw data'!O750</f>
        <v>19</v>
      </c>
      <c r="X326">
        <f>+'Raw data'!P750</f>
        <v>60</v>
      </c>
      <c r="Y326">
        <f>+'Raw data'!Q750</f>
        <v>1.72</v>
      </c>
    </row>
    <row r="327" spans="1:25" x14ac:dyDescent="0.25">
      <c r="A327">
        <v>2025</v>
      </c>
      <c r="B327" t="s">
        <v>57</v>
      </c>
      <c r="C327">
        <f t="shared" si="20"/>
        <v>16</v>
      </c>
      <c r="D327">
        <f t="shared" si="19"/>
        <v>153</v>
      </c>
      <c r="E327" t="str">
        <f>+'Raw data'!A710</f>
        <v>Heraklion Snakes</v>
      </c>
      <c r="F327" t="str">
        <f>VLOOKUP(E327,Data!$E$2626:$F$2645,2,FALSE)</f>
        <v>Dimitris</v>
      </c>
      <c r="H327">
        <f>+'Raw data'!A751</f>
        <v>2</v>
      </c>
      <c r="I327">
        <f>+'Raw data'!B751</f>
        <v>11</v>
      </c>
      <c r="J327">
        <f>+'Raw data'!C751</f>
        <v>0</v>
      </c>
      <c r="M327">
        <f>+'Raw data'!E751</f>
        <v>117</v>
      </c>
      <c r="N327">
        <f>+'Raw data'!F751</f>
        <v>0.39700000000000002</v>
      </c>
      <c r="O327">
        <f>+'Raw data'!G751</f>
        <v>30</v>
      </c>
      <c r="P327">
        <f>+'Raw data'!H751</f>
        <v>0.28299999999999997</v>
      </c>
      <c r="Q327">
        <f>+'Raw data'!I751</f>
        <v>0.83</v>
      </c>
      <c r="R327">
        <f>+'Raw data'!J751</f>
        <v>337</v>
      </c>
      <c r="S327">
        <f>+'Raw data'!K751</f>
        <v>26</v>
      </c>
      <c r="T327">
        <f>+'Raw data'!L751</f>
        <v>100</v>
      </c>
      <c r="U327">
        <f>+'Raw data'!M751</f>
        <v>74</v>
      </c>
      <c r="V327">
        <f>+'Raw data'!N751</f>
        <v>25</v>
      </c>
      <c r="W327">
        <f>+'Raw data'!O751</f>
        <v>14</v>
      </c>
      <c r="X327">
        <f>+'Raw data'!P751</f>
        <v>45</v>
      </c>
      <c r="Y327">
        <f>+'Raw data'!Q751</f>
        <v>1.64</v>
      </c>
    </row>
    <row r="328" spans="1:25" x14ac:dyDescent="0.25">
      <c r="A328">
        <v>2025</v>
      </c>
      <c r="B328" t="s">
        <v>57</v>
      </c>
      <c r="C328">
        <f t="shared" si="20"/>
        <v>16</v>
      </c>
      <c r="D328">
        <f t="shared" si="19"/>
        <v>154</v>
      </c>
      <c r="E328" t="str">
        <f>+'Raw data'!A711</f>
        <v>Samarina Dudenbros</v>
      </c>
      <c r="F328" t="str">
        <f>VLOOKUP(E328,Data!$E$2626:$F$2645,2,FALSE)</f>
        <v>Sakellariou</v>
      </c>
      <c r="H328">
        <f>+'Raw data'!A752</f>
        <v>8</v>
      </c>
      <c r="I328">
        <f>+'Raw data'!B752</f>
        <v>5</v>
      </c>
      <c r="J328">
        <f>+'Raw data'!C752</f>
        <v>0</v>
      </c>
      <c r="M328">
        <f>+'Raw data'!E752</f>
        <v>292</v>
      </c>
      <c r="N328">
        <f>+'Raw data'!F752</f>
        <v>0.44700000000000001</v>
      </c>
      <c r="O328">
        <f>+'Raw data'!G752</f>
        <v>72</v>
      </c>
      <c r="P328">
        <f>+'Raw data'!H752</f>
        <v>0.29499999999999998</v>
      </c>
      <c r="Q328">
        <f>+'Raw data'!I752</f>
        <v>0.80900000000000005</v>
      </c>
      <c r="R328">
        <f>+'Raw data'!J752</f>
        <v>834</v>
      </c>
      <c r="S328">
        <f>+'Raw data'!K752</f>
        <v>55</v>
      </c>
      <c r="T328">
        <f>+'Raw data'!L752</f>
        <v>193</v>
      </c>
      <c r="U328">
        <f>+'Raw data'!M752</f>
        <v>243</v>
      </c>
      <c r="V328">
        <f>+'Raw data'!N752</f>
        <v>52</v>
      </c>
      <c r="W328">
        <f>+'Raw data'!O752</f>
        <v>25</v>
      </c>
      <c r="X328">
        <f>+'Raw data'!P752</f>
        <v>110</v>
      </c>
      <c r="Y328">
        <f>+'Raw data'!Q752</f>
        <v>2.21</v>
      </c>
    </row>
    <row r="329" spans="1:25" x14ac:dyDescent="0.25">
      <c r="A329">
        <v>2025</v>
      </c>
      <c r="B329" t="s">
        <v>57</v>
      </c>
      <c r="C329">
        <f t="shared" si="20"/>
        <v>16</v>
      </c>
      <c r="D329">
        <f t="shared" si="19"/>
        <v>154</v>
      </c>
      <c r="E329" t="str">
        <f>+'Raw data'!A712</f>
        <v>The Bridgeburners</v>
      </c>
      <c r="F329" t="str">
        <f>VLOOKUP(E329,Data!$E$2626:$F$2645,2,FALSE)</f>
        <v>Fanis</v>
      </c>
      <c r="H329">
        <f>+'Raw data'!A753</f>
        <v>5</v>
      </c>
      <c r="I329">
        <f>+'Raw data'!B753</f>
        <v>8</v>
      </c>
      <c r="J329">
        <f>+'Raw data'!C753</f>
        <v>0</v>
      </c>
      <c r="M329">
        <f>+'Raw data'!E753</f>
        <v>158</v>
      </c>
      <c r="N329">
        <f>+'Raw data'!F753</f>
        <v>0.49399999999999999</v>
      </c>
      <c r="O329">
        <f>+'Raw data'!G753</f>
        <v>48</v>
      </c>
      <c r="P329">
        <f>+'Raw data'!H753</f>
        <v>0.4</v>
      </c>
      <c r="Q329">
        <f>+'Raw data'!I753</f>
        <v>0.81599999999999995</v>
      </c>
      <c r="R329">
        <f>+'Raw data'!J753</f>
        <v>448</v>
      </c>
      <c r="S329">
        <f>+'Raw data'!K753</f>
        <v>36</v>
      </c>
      <c r="T329">
        <f>+'Raw data'!L753</f>
        <v>117</v>
      </c>
      <c r="U329">
        <f>+'Raw data'!M753</f>
        <v>133</v>
      </c>
      <c r="V329">
        <f>+'Raw data'!N753</f>
        <v>40</v>
      </c>
      <c r="W329">
        <f>+'Raw data'!O753</f>
        <v>19</v>
      </c>
      <c r="X329">
        <f>+'Raw data'!P753</f>
        <v>56</v>
      </c>
      <c r="Y329">
        <f>+'Raw data'!Q753</f>
        <v>2.38</v>
      </c>
    </row>
    <row r="330" spans="1:25" x14ac:dyDescent="0.25">
      <c r="A330">
        <v>2025</v>
      </c>
      <c r="B330" t="s">
        <v>57</v>
      </c>
      <c r="C330">
        <f t="shared" si="20"/>
        <v>16</v>
      </c>
      <c r="D330">
        <f t="shared" si="19"/>
        <v>155</v>
      </c>
      <c r="E330" t="str">
        <f>+'Raw data'!A713</f>
        <v>Salonika Devils</v>
      </c>
      <c r="F330" t="str">
        <f>VLOOKUP(E330,Data!$E$2626:$F$2645,2,FALSE)</f>
        <v>Fountos</v>
      </c>
      <c r="H330">
        <f>+'Raw data'!A754</f>
        <v>2</v>
      </c>
      <c r="I330">
        <f>+'Raw data'!B754</f>
        <v>11</v>
      </c>
      <c r="J330">
        <f>+'Raw data'!C754</f>
        <v>0</v>
      </c>
      <c r="M330">
        <f>+'Raw data'!E754</f>
        <v>128</v>
      </c>
      <c r="N330">
        <f>+'Raw data'!F754</f>
        <v>0.48099999999999998</v>
      </c>
      <c r="O330">
        <f>+'Raw data'!G754</f>
        <v>41</v>
      </c>
      <c r="P330">
        <f>+'Raw data'!H754</f>
        <v>0.35</v>
      </c>
      <c r="Q330">
        <f>+'Raw data'!I754</f>
        <v>0.79200000000000004</v>
      </c>
      <c r="R330">
        <f>+'Raw data'!J754</f>
        <v>335</v>
      </c>
      <c r="S330">
        <f>+'Raw data'!K754</f>
        <v>35</v>
      </c>
      <c r="T330">
        <f>+'Raw data'!L754</f>
        <v>88</v>
      </c>
      <c r="U330">
        <f>+'Raw data'!M754</f>
        <v>67</v>
      </c>
      <c r="V330">
        <f>+'Raw data'!N754</f>
        <v>22</v>
      </c>
      <c r="W330">
        <f>+'Raw data'!O754</f>
        <v>2</v>
      </c>
      <c r="X330">
        <f>+'Raw data'!P754</f>
        <v>33</v>
      </c>
      <c r="Y330">
        <f>+'Raw data'!Q754</f>
        <v>2.0299999999999998</v>
      </c>
    </row>
    <row r="331" spans="1:25" x14ac:dyDescent="0.25">
      <c r="A331">
        <v>2025</v>
      </c>
      <c r="B331" t="s">
        <v>57</v>
      </c>
      <c r="C331">
        <f t="shared" si="20"/>
        <v>16</v>
      </c>
      <c r="D331">
        <f t="shared" si="19"/>
        <v>155</v>
      </c>
      <c r="E331" t="str">
        <f>+'Raw data'!A714</f>
        <v>Kourayo Vallecano</v>
      </c>
      <c r="F331" t="str">
        <f>VLOOKUP(E331,Data!$E$2626:$F$2645,2,FALSE)</f>
        <v>Ziogas/Christof</v>
      </c>
      <c r="H331">
        <f>+'Raw data'!A755</f>
        <v>11</v>
      </c>
      <c r="I331">
        <f>+'Raw data'!B755</f>
        <v>2</v>
      </c>
      <c r="J331">
        <f>+'Raw data'!C755</f>
        <v>0</v>
      </c>
      <c r="M331">
        <f>+'Raw data'!E755</f>
        <v>143</v>
      </c>
      <c r="N331">
        <f>+'Raw data'!F755</f>
        <v>0.48799999999999999</v>
      </c>
      <c r="O331">
        <f>+'Raw data'!G755</f>
        <v>44</v>
      </c>
      <c r="P331">
        <f>+'Raw data'!H755</f>
        <v>0.4</v>
      </c>
      <c r="Q331">
        <f>+'Raw data'!I755</f>
        <v>0.80800000000000005</v>
      </c>
      <c r="R331">
        <f>+'Raw data'!J755</f>
        <v>389</v>
      </c>
      <c r="S331">
        <f>+'Raw data'!K755</f>
        <v>41</v>
      </c>
      <c r="T331">
        <f>+'Raw data'!L755</f>
        <v>130</v>
      </c>
      <c r="U331">
        <f>+'Raw data'!M755</f>
        <v>135</v>
      </c>
      <c r="V331">
        <f>+'Raw data'!N755</f>
        <v>29</v>
      </c>
      <c r="W331">
        <f>+'Raw data'!O755</f>
        <v>11</v>
      </c>
      <c r="X331">
        <f>+'Raw data'!P755</f>
        <v>67</v>
      </c>
      <c r="Y331">
        <f>+'Raw data'!Q755</f>
        <v>2.0099999999999998</v>
      </c>
    </row>
    <row r="332" spans="1:25" x14ac:dyDescent="0.25">
      <c r="A332">
        <v>2025</v>
      </c>
      <c r="B332" t="s">
        <v>57</v>
      </c>
      <c r="C332">
        <f t="shared" si="20"/>
        <v>16</v>
      </c>
      <c r="D332">
        <f t="shared" si="19"/>
        <v>156</v>
      </c>
      <c r="E332" t="str">
        <f>+'Raw data'!A715</f>
        <v>Steven Adams' Moustache</v>
      </c>
      <c r="F332" t="str">
        <f>VLOOKUP(E332,Data!$E$2626:$F$2645,2,FALSE)</f>
        <v>Johnny</v>
      </c>
      <c r="H332">
        <f>+'Raw data'!A756</f>
        <v>2</v>
      </c>
      <c r="I332">
        <f>+'Raw data'!B756</f>
        <v>11</v>
      </c>
      <c r="J332">
        <f>+'Raw data'!C756</f>
        <v>0</v>
      </c>
      <c r="M332">
        <f>+'Raw data'!E756</f>
        <v>145</v>
      </c>
      <c r="N332">
        <f>+'Raw data'!F756</f>
        <v>0.47099999999999997</v>
      </c>
      <c r="O332">
        <f>+'Raw data'!G756</f>
        <v>67</v>
      </c>
      <c r="P332">
        <f>+'Raw data'!H756</f>
        <v>0.38700000000000001</v>
      </c>
      <c r="Q332">
        <f>+'Raw data'!I756</f>
        <v>0.77800000000000002</v>
      </c>
      <c r="R332">
        <f>+'Raw data'!J756</f>
        <v>413</v>
      </c>
      <c r="S332">
        <f>+'Raw data'!K756</f>
        <v>24</v>
      </c>
      <c r="T332">
        <f>+'Raw data'!L756</f>
        <v>85</v>
      </c>
      <c r="U332">
        <f>+'Raw data'!M756</f>
        <v>63</v>
      </c>
      <c r="V332">
        <f>+'Raw data'!N756</f>
        <v>22</v>
      </c>
      <c r="W332">
        <f>+'Raw data'!O756</f>
        <v>22</v>
      </c>
      <c r="X332">
        <f>+'Raw data'!P756</f>
        <v>58</v>
      </c>
      <c r="Y332">
        <f>+'Raw data'!Q756</f>
        <v>1.0900000000000001</v>
      </c>
    </row>
    <row r="333" spans="1:25" x14ac:dyDescent="0.25">
      <c r="A333">
        <v>2025</v>
      </c>
      <c r="B333" t="s">
        <v>57</v>
      </c>
      <c r="C333">
        <f t="shared" si="20"/>
        <v>16</v>
      </c>
      <c r="D333">
        <f t="shared" si="19"/>
        <v>156</v>
      </c>
      <c r="E333" t="str">
        <f>+'Raw data'!A716</f>
        <v>Xanthi Ducks 🦆</v>
      </c>
      <c r="F333" t="str">
        <f>VLOOKUP(E333,Data!$E$2626:$F$2645,2,FALSE)</f>
        <v>Kotakis</v>
      </c>
      <c r="H333">
        <f>+'Raw data'!A757</f>
        <v>11</v>
      </c>
      <c r="I333">
        <f>+'Raw data'!B757</f>
        <v>2</v>
      </c>
      <c r="J333">
        <f>+'Raw data'!C757</f>
        <v>0</v>
      </c>
      <c r="M333">
        <f>+'Raw data'!E757</f>
        <v>156</v>
      </c>
      <c r="N333">
        <f>+'Raw data'!F757</f>
        <v>0.47399999999999998</v>
      </c>
      <c r="O333">
        <f>+'Raw data'!G757</f>
        <v>48</v>
      </c>
      <c r="P333">
        <f>+'Raw data'!H757</f>
        <v>0.33600000000000002</v>
      </c>
      <c r="Q333">
        <f>+'Raw data'!I757</f>
        <v>0.81499999999999995</v>
      </c>
      <c r="R333">
        <f>+'Raw data'!J757</f>
        <v>435</v>
      </c>
      <c r="S333">
        <f>+'Raw data'!K757</f>
        <v>40</v>
      </c>
      <c r="T333">
        <f>+'Raw data'!L757</f>
        <v>142</v>
      </c>
      <c r="U333">
        <f>+'Raw data'!M757</f>
        <v>130</v>
      </c>
      <c r="V333">
        <f>+'Raw data'!N757</f>
        <v>44</v>
      </c>
      <c r="W333">
        <f>+'Raw data'!O757</f>
        <v>23</v>
      </c>
      <c r="X333">
        <f>+'Raw data'!P757</f>
        <v>52</v>
      </c>
      <c r="Y333">
        <f>+'Raw data'!Q757</f>
        <v>2.5</v>
      </c>
    </row>
    <row r="334" spans="1:25" x14ac:dyDescent="0.25">
      <c r="A334">
        <v>2025</v>
      </c>
      <c r="B334" t="s">
        <v>57</v>
      </c>
      <c r="C334">
        <f t="shared" si="20"/>
        <v>16</v>
      </c>
      <c r="D334">
        <f t="shared" si="19"/>
        <v>157</v>
      </c>
      <c r="E334" t="str">
        <f>+'Raw data'!A717</f>
        <v>Paralouistas</v>
      </c>
      <c r="F334" t="str">
        <f>VLOOKUP(E334,Data!$E$2626:$F$2645,2,FALSE)</f>
        <v>Panos</v>
      </c>
      <c r="H334">
        <f>+'Raw data'!A758</f>
        <v>8</v>
      </c>
      <c r="I334">
        <f>+'Raw data'!B758</f>
        <v>5</v>
      </c>
      <c r="J334">
        <f>+'Raw data'!C758</f>
        <v>0</v>
      </c>
      <c r="M334">
        <f>+'Raw data'!E758</f>
        <v>172</v>
      </c>
      <c r="N334">
        <f>+'Raw data'!F758</f>
        <v>0.46400000000000002</v>
      </c>
      <c r="O334">
        <f>+'Raw data'!G758</f>
        <v>50</v>
      </c>
      <c r="P334">
        <f>+'Raw data'!H758</f>
        <v>0.35199999999999998</v>
      </c>
      <c r="Q334">
        <f>+'Raw data'!I758</f>
        <v>0.80600000000000005</v>
      </c>
      <c r="R334">
        <f>+'Raw data'!J758</f>
        <v>473</v>
      </c>
      <c r="S334">
        <f>+'Raw data'!K758</f>
        <v>30</v>
      </c>
      <c r="T334">
        <f>+'Raw data'!L758</f>
        <v>113</v>
      </c>
      <c r="U334">
        <f>+'Raw data'!M758</f>
        <v>143</v>
      </c>
      <c r="V334">
        <f>+'Raw data'!N758</f>
        <v>32</v>
      </c>
      <c r="W334">
        <f>+'Raw data'!O758</f>
        <v>13</v>
      </c>
      <c r="X334">
        <f>+'Raw data'!P758</f>
        <v>50</v>
      </c>
      <c r="Y334">
        <f>+'Raw data'!Q758</f>
        <v>2.86</v>
      </c>
    </row>
    <row r="335" spans="1:25" x14ac:dyDescent="0.25">
      <c r="A335">
        <v>2025</v>
      </c>
      <c r="B335" t="s">
        <v>57</v>
      </c>
      <c r="C335">
        <f t="shared" si="20"/>
        <v>16</v>
      </c>
      <c r="D335">
        <f t="shared" si="19"/>
        <v>157</v>
      </c>
      <c r="E335" t="str">
        <f>+'Raw data'!A718</f>
        <v>The Guns</v>
      </c>
      <c r="F335" t="str">
        <f>VLOOKUP(E335,Data!$E$2626:$F$2645,2,FALSE)</f>
        <v>Vasilis</v>
      </c>
      <c r="H335">
        <f>+'Raw data'!A759</f>
        <v>5</v>
      </c>
      <c r="I335">
        <f>+'Raw data'!B759</f>
        <v>8</v>
      </c>
      <c r="J335">
        <f>+'Raw data'!C759</f>
        <v>0</v>
      </c>
      <c r="M335">
        <f>+'Raw data'!E759</f>
        <v>146</v>
      </c>
      <c r="N335">
        <f>+'Raw data'!F759</f>
        <v>0.42</v>
      </c>
      <c r="O335">
        <f>+'Raw data'!G759</f>
        <v>59</v>
      </c>
      <c r="P335">
        <f>+'Raw data'!H759</f>
        <v>0.31900000000000001</v>
      </c>
      <c r="Q335">
        <f>+'Raw data'!I759</f>
        <v>0.80400000000000005</v>
      </c>
      <c r="R335">
        <f>+'Raw data'!J759</f>
        <v>392</v>
      </c>
      <c r="S335">
        <f>+'Raw data'!K759</f>
        <v>39</v>
      </c>
      <c r="T335">
        <f>+'Raw data'!L759</f>
        <v>128</v>
      </c>
      <c r="U335">
        <f>+'Raw data'!M759</f>
        <v>93</v>
      </c>
      <c r="V335">
        <f>+'Raw data'!N759</f>
        <v>34</v>
      </c>
      <c r="W335">
        <f>+'Raw data'!O759</f>
        <v>19</v>
      </c>
      <c r="X335">
        <f>+'Raw data'!P759</f>
        <v>51</v>
      </c>
      <c r="Y335">
        <f>+'Raw data'!Q759</f>
        <v>1.82</v>
      </c>
    </row>
    <row r="336" spans="1:25" x14ac:dyDescent="0.25">
      <c r="A336">
        <v>2025</v>
      </c>
      <c r="B336" t="s">
        <v>57</v>
      </c>
      <c r="C336">
        <f t="shared" si="20"/>
        <v>16</v>
      </c>
      <c r="D336">
        <f t="shared" si="19"/>
        <v>158</v>
      </c>
      <c r="E336" t="str">
        <f>+'Raw data'!A719</f>
        <v>st.Helens Eruptions</v>
      </c>
      <c r="F336" t="str">
        <f>VLOOKUP(E336,Data!$E$2626:$F$2645,2,FALSE)</f>
        <v>Aris</v>
      </c>
      <c r="H336">
        <f>+'Raw data'!A760</f>
        <v>3</v>
      </c>
      <c r="I336">
        <f>+'Raw data'!B760</f>
        <v>10</v>
      </c>
      <c r="J336">
        <f>+'Raw data'!C760</f>
        <v>0</v>
      </c>
      <c r="M336">
        <f>+'Raw data'!E760</f>
        <v>191</v>
      </c>
      <c r="N336">
        <f>+'Raw data'!F760</f>
        <v>0.50900000000000001</v>
      </c>
      <c r="O336">
        <f>+'Raw data'!G760</f>
        <v>26</v>
      </c>
      <c r="P336">
        <f>+'Raw data'!H760</f>
        <v>0.26300000000000001</v>
      </c>
      <c r="Q336">
        <f>+'Raw data'!I760</f>
        <v>0.747</v>
      </c>
      <c r="R336">
        <f>+'Raw data'!J760</f>
        <v>473</v>
      </c>
      <c r="S336">
        <f>+'Raw data'!K760</f>
        <v>42</v>
      </c>
      <c r="T336">
        <f>+'Raw data'!L760</f>
        <v>137</v>
      </c>
      <c r="U336">
        <f>+'Raw data'!M760</f>
        <v>95</v>
      </c>
      <c r="V336">
        <f>+'Raw data'!N760</f>
        <v>40</v>
      </c>
      <c r="W336">
        <f>+'Raw data'!O760</f>
        <v>23</v>
      </c>
      <c r="X336">
        <f>+'Raw data'!P760</f>
        <v>56</v>
      </c>
      <c r="Y336">
        <f>+'Raw data'!Q760</f>
        <v>1.7</v>
      </c>
    </row>
    <row r="337" spans="1:25" x14ac:dyDescent="0.25">
      <c r="A337">
        <v>2025</v>
      </c>
      <c r="B337" t="s">
        <v>57</v>
      </c>
      <c r="C337">
        <f t="shared" si="20"/>
        <v>16</v>
      </c>
      <c r="D337">
        <f t="shared" si="19"/>
        <v>158</v>
      </c>
      <c r="E337" t="str">
        <f>+'Raw data'!A720</f>
        <v>Tsarlatans</v>
      </c>
      <c r="F337" t="str">
        <f>VLOOKUP(E337,Data!$E$2626:$F$2645,2,FALSE)</f>
        <v>Tzokos</v>
      </c>
      <c r="H337">
        <f>+'Raw data'!A761</f>
        <v>10</v>
      </c>
      <c r="I337">
        <f>+'Raw data'!B761</f>
        <v>3</v>
      </c>
      <c r="J337">
        <f>+'Raw data'!C761</f>
        <v>0</v>
      </c>
      <c r="M337">
        <f>+'Raw data'!E761</f>
        <v>241</v>
      </c>
      <c r="N337">
        <f>+'Raw data'!F761</f>
        <v>0.52700000000000002</v>
      </c>
      <c r="O337">
        <f>+'Raw data'!G761</f>
        <v>61</v>
      </c>
      <c r="P337">
        <f>+'Raw data'!H761</f>
        <v>0.379</v>
      </c>
      <c r="Q337">
        <f>+'Raw data'!I761</f>
        <v>0.81499999999999995</v>
      </c>
      <c r="R337">
        <f>+'Raw data'!J761</f>
        <v>640</v>
      </c>
      <c r="S337">
        <f>+'Raw data'!K761</f>
        <v>86</v>
      </c>
      <c r="T337">
        <f>+'Raw data'!L761</f>
        <v>208</v>
      </c>
      <c r="U337">
        <f>+'Raw data'!M761</f>
        <v>99</v>
      </c>
      <c r="V337">
        <f>+'Raw data'!N761</f>
        <v>43</v>
      </c>
      <c r="W337">
        <f>+'Raw data'!O761</f>
        <v>21</v>
      </c>
      <c r="X337">
        <f>+'Raw data'!P761</f>
        <v>59</v>
      </c>
      <c r="Y337">
        <f>+'Raw data'!Q761</f>
        <v>1.68</v>
      </c>
    </row>
    <row r="338" spans="1:25" x14ac:dyDescent="0.25">
      <c r="A338">
        <v>2025</v>
      </c>
      <c r="B338" t="s">
        <v>57</v>
      </c>
      <c r="C338">
        <f t="shared" si="20"/>
        <v>16</v>
      </c>
      <c r="D338">
        <f t="shared" si="19"/>
        <v>159</v>
      </c>
      <c r="E338" t="str">
        <f>+'Raw data'!A721</f>
        <v>Pachiana NinjaBees</v>
      </c>
      <c r="F338" t="str">
        <f>VLOOKUP(E338,Data!$E$2626:$F$2645,2,FALSE)</f>
        <v>Spiridaus/Oladipas</v>
      </c>
      <c r="H338">
        <f>+'Raw data'!A762</f>
        <v>5</v>
      </c>
      <c r="I338">
        <f>+'Raw data'!B762</f>
        <v>8</v>
      </c>
      <c r="J338">
        <f>+'Raw data'!C762</f>
        <v>0</v>
      </c>
      <c r="M338">
        <f>+'Raw data'!E762</f>
        <v>186</v>
      </c>
      <c r="N338">
        <f>+'Raw data'!F762</f>
        <v>0.442</v>
      </c>
      <c r="O338">
        <f>+'Raw data'!G762</f>
        <v>66</v>
      </c>
      <c r="P338">
        <f>+'Raw data'!H762</f>
        <v>0.36499999999999999</v>
      </c>
      <c r="Q338">
        <f>+'Raw data'!I762</f>
        <v>0.81799999999999995</v>
      </c>
      <c r="R338">
        <f>+'Raw data'!J762</f>
        <v>519</v>
      </c>
      <c r="S338">
        <f>+'Raw data'!K762</f>
        <v>42</v>
      </c>
      <c r="T338">
        <f>+'Raw data'!L762</f>
        <v>135</v>
      </c>
      <c r="U338">
        <f>+'Raw data'!M762</f>
        <v>137</v>
      </c>
      <c r="V338">
        <f>+'Raw data'!N762</f>
        <v>41</v>
      </c>
      <c r="W338">
        <f>+'Raw data'!O762</f>
        <v>30</v>
      </c>
      <c r="X338">
        <f>+'Raw data'!P762</f>
        <v>82</v>
      </c>
      <c r="Y338">
        <f>+'Raw data'!Q762</f>
        <v>1.67</v>
      </c>
    </row>
    <row r="339" spans="1:25" x14ac:dyDescent="0.25">
      <c r="A339">
        <v>2025</v>
      </c>
      <c r="B339" t="s">
        <v>57</v>
      </c>
      <c r="C339">
        <f t="shared" si="20"/>
        <v>16</v>
      </c>
      <c r="D339">
        <f t="shared" si="19"/>
        <v>159</v>
      </c>
      <c r="E339" t="str">
        <f>+'Raw data'!A722</f>
        <v>Hércules Pals</v>
      </c>
      <c r="F339" t="e">
        <f>VLOOKUP(E339,Data!$E$2626:$F$2645,2,FALSE)</f>
        <v>#N/A</v>
      </c>
      <c r="H339">
        <f>+'Raw data'!A763</f>
        <v>8</v>
      </c>
      <c r="I339">
        <f>+'Raw data'!B763</f>
        <v>5</v>
      </c>
      <c r="J339">
        <f>+'Raw data'!C763</f>
        <v>0</v>
      </c>
      <c r="M339">
        <f>+'Raw data'!E763</f>
        <v>194</v>
      </c>
      <c r="N339">
        <f>+'Raw data'!F763</f>
        <v>0.505</v>
      </c>
      <c r="O339">
        <f>+'Raw data'!G763</f>
        <v>77</v>
      </c>
      <c r="P339">
        <f>+'Raw data'!H763</f>
        <v>0.42099999999999999</v>
      </c>
      <c r="Q339">
        <f>+'Raw data'!I763</f>
        <v>0.65400000000000003</v>
      </c>
      <c r="R339">
        <f>+'Raw data'!J763</f>
        <v>533</v>
      </c>
      <c r="S339">
        <f>+'Raw data'!K763</f>
        <v>71</v>
      </c>
      <c r="T339">
        <f>+'Raw data'!L763</f>
        <v>148</v>
      </c>
      <c r="U339">
        <f>+'Raw data'!M763</f>
        <v>91</v>
      </c>
      <c r="V339">
        <f>+'Raw data'!N763</f>
        <v>27</v>
      </c>
      <c r="W339">
        <f>+'Raw data'!O763</f>
        <v>27</v>
      </c>
      <c r="X339">
        <f>+'Raw data'!P763</f>
        <v>64</v>
      </c>
      <c r="Y339">
        <f>+'Raw data'!Q763</f>
        <v>1.42</v>
      </c>
    </row>
    <row r="340" spans="1:25" x14ac:dyDescent="0.25">
      <c r="A340">
        <v>2025</v>
      </c>
      <c r="B340" t="s">
        <v>57</v>
      </c>
      <c r="C340">
        <f t="shared" si="20"/>
        <v>16</v>
      </c>
      <c r="D340">
        <f t="shared" si="19"/>
        <v>160</v>
      </c>
      <c r="E340" t="str">
        <f>+'Raw data'!A723</f>
        <v>Karafli Saita</v>
      </c>
      <c r="F340" t="str">
        <f>VLOOKUP(E340,Data!$E$2626:$F$2645,2,FALSE)</f>
        <v>Tassos</v>
      </c>
      <c r="H340">
        <f>+'Raw data'!A764</f>
        <v>10</v>
      </c>
      <c r="I340">
        <f>+'Raw data'!B764</f>
        <v>3</v>
      </c>
      <c r="J340">
        <f>+'Raw data'!C764</f>
        <v>0</v>
      </c>
      <c r="M340">
        <f>+'Raw data'!E764</f>
        <v>305</v>
      </c>
      <c r="N340">
        <f>+'Raw data'!F764</f>
        <v>0.49</v>
      </c>
      <c r="O340">
        <f>+'Raw data'!G764</f>
        <v>72</v>
      </c>
      <c r="P340">
        <f>+'Raw data'!H764</f>
        <v>0.33200000000000002</v>
      </c>
      <c r="Q340">
        <f>+'Raw data'!I764</f>
        <v>0.82399999999999995</v>
      </c>
      <c r="R340">
        <f>+'Raw data'!J764</f>
        <v>879</v>
      </c>
      <c r="S340">
        <f>+'Raw data'!K764</f>
        <v>44</v>
      </c>
      <c r="T340">
        <f>+'Raw data'!L764</f>
        <v>215</v>
      </c>
      <c r="U340">
        <f>+'Raw data'!M764</f>
        <v>192</v>
      </c>
      <c r="V340">
        <f>+'Raw data'!N764</f>
        <v>46</v>
      </c>
      <c r="W340">
        <f>+'Raw data'!O764</f>
        <v>34</v>
      </c>
      <c r="X340">
        <f>+'Raw data'!P764</f>
        <v>88</v>
      </c>
      <c r="Y340">
        <f>+'Raw data'!Q764</f>
        <v>2.1800000000000002</v>
      </c>
    </row>
    <row r="341" spans="1:25" x14ac:dyDescent="0.25">
      <c r="A341">
        <v>2025</v>
      </c>
      <c r="B341" t="s">
        <v>57</v>
      </c>
      <c r="C341">
        <f t="shared" si="20"/>
        <v>16</v>
      </c>
      <c r="D341">
        <f t="shared" si="19"/>
        <v>160</v>
      </c>
      <c r="E341" t="str">
        <f>+'Raw data'!A724</f>
        <v>Fighting Thaddeus</v>
      </c>
      <c r="F341" t="str">
        <f>VLOOKUP(E341,Data!$E$2626:$F$2645,2,FALSE)</f>
        <v>Stavros</v>
      </c>
      <c r="H341">
        <f>+'Raw data'!A765</f>
        <v>3</v>
      </c>
      <c r="I341">
        <f>+'Raw data'!B765</f>
        <v>10</v>
      </c>
      <c r="J341">
        <f>+'Raw data'!C765</f>
        <v>0</v>
      </c>
      <c r="M341">
        <f>+'Raw data'!E765</f>
        <v>165</v>
      </c>
      <c r="N341">
        <f>+'Raw data'!F765</f>
        <v>0.47299999999999998</v>
      </c>
      <c r="O341">
        <f>+'Raw data'!G765</f>
        <v>62</v>
      </c>
      <c r="P341">
        <f>+'Raw data'!H765</f>
        <v>0.40799999999999997</v>
      </c>
      <c r="Q341">
        <f>+'Raw data'!I765</f>
        <v>0.78700000000000003</v>
      </c>
      <c r="R341">
        <f>+'Raw data'!J765</f>
        <v>451</v>
      </c>
      <c r="S341">
        <f>+'Raw data'!K765</f>
        <v>42</v>
      </c>
      <c r="T341">
        <f>+'Raw data'!L765</f>
        <v>161</v>
      </c>
      <c r="U341">
        <f>+'Raw data'!M765</f>
        <v>101</v>
      </c>
      <c r="V341">
        <f>+'Raw data'!N765</f>
        <v>28</v>
      </c>
      <c r="W341">
        <f>+'Raw data'!O765</f>
        <v>25</v>
      </c>
      <c r="X341">
        <f>+'Raw data'!P765</f>
        <v>41</v>
      </c>
      <c r="Y341">
        <f>+'Raw data'!Q765</f>
        <v>2.46</v>
      </c>
    </row>
    <row r="342" spans="1:25" x14ac:dyDescent="0.25">
      <c r="A342">
        <v>2025</v>
      </c>
      <c r="B342" t="s">
        <v>57</v>
      </c>
      <c r="C342">
        <f>+C341</f>
        <v>16</v>
      </c>
      <c r="D342">
        <f t="shared" si="19"/>
        <v>161</v>
      </c>
      <c r="E342" t="str">
        <f>+'Raw data'!A725</f>
        <v>Fighting Thaddeus</v>
      </c>
      <c r="F342" t="str">
        <f>VLOOKUP(E342,Data!$E$2626:$F$2645,2,FALSE)</f>
        <v>Stavros</v>
      </c>
      <c r="H342">
        <f>+'Raw data'!A766</f>
        <v>12</v>
      </c>
      <c r="I342">
        <f>+'Raw data'!B766</f>
        <v>1</v>
      </c>
      <c r="J342">
        <f>+'Raw data'!C766</f>
        <v>0</v>
      </c>
      <c r="M342">
        <f>+'Raw data'!E766</f>
        <v>165</v>
      </c>
      <c r="N342">
        <f>+'Raw data'!F766</f>
        <v>0.47299999999999998</v>
      </c>
      <c r="O342">
        <f>+'Raw data'!G766</f>
        <v>62</v>
      </c>
      <c r="P342">
        <f>+'Raw data'!H766</f>
        <v>0.40799999999999997</v>
      </c>
      <c r="Q342">
        <f>+'Raw data'!I766</f>
        <v>0.78700000000000003</v>
      </c>
      <c r="R342">
        <f>+'Raw data'!J766</f>
        <v>451</v>
      </c>
      <c r="S342">
        <f>+'Raw data'!K766</f>
        <v>42</v>
      </c>
      <c r="T342">
        <f>+'Raw data'!L766</f>
        <v>161</v>
      </c>
      <c r="U342">
        <f>+'Raw data'!M766</f>
        <v>101</v>
      </c>
      <c r="V342">
        <f>+'Raw data'!N766</f>
        <v>28</v>
      </c>
      <c r="W342">
        <f>+'Raw data'!O766</f>
        <v>25</v>
      </c>
      <c r="X342">
        <f>+'Raw data'!P766</f>
        <v>41</v>
      </c>
      <c r="Y342">
        <f>+'Raw data'!Q766</f>
        <v>2.46</v>
      </c>
    </row>
    <row r="343" spans="1:25" x14ac:dyDescent="0.25">
      <c r="A343">
        <v>2025</v>
      </c>
      <c r="B343" t="s">
        <v>57</v>
      </c>
      <c r="C343">
        <f>+C342</f>
        <v>16</v>
      </c>
      <c r="D343">
        <f t="shared" si="19"/>
        <v>161</v>
      </c>
      <c r="E343" t="str">
        <f>+'Raw data'!A726</f>
        <v>Steven Adams' Moustache</v>
      </c>
      <c r="F343" t="str">
        <f>VLOOKUP(E343,Data!$E$2626:$F$2645,2,FALSE)</f>
        <v>Johnny</v>
      </c>
      <c r="H343">
        <f>+'Raw data'!A767</f>
        <v>1</v>
      </c>
      <c r="I343">
        <f>+'Raw data'!B767</f>
        <v>12</v>
      </c>
      <c r="J343">
        <f>+'Raw data'!C767</f>
        <v>0</v>
      </c>
      <c r="M343">
        <f>+'Raw data'!E767</f>
        <v>145</v>
      </c>
      <c r="N343">
        <f>+'Raw data'!F767</f>
        <v>0.47099999999999997</v>
      </c>
      <c r="O343">
        <f>+'Raw data'!G767</f>
        <v>67</v>
      </c>
      <c r="P343">
        <f>+'Raw data'!H767</f>
        <v>0.38700000000000001</v>
      </c>
      <c r="Q343">
        <f>+'Raw data'!I767</f>
        <v>0.77800000000000002</v>
      </c>
      <c r="R343">
        <f>+'Raw data'!J767</f>
        <v>413</v>
      </c>
      <c r="S343">
        <f>+'Raw data'!K767</f>
        <v>24</v>
      </c>
      <c r="T343">
        <f>+'Raw data'!L767</f>
        <v>85</v>
      </c>
      <c r="U343">
        <f>+'Raw data'!M767</f>
        <v>63</v>
      </c>
      <c r="V343">
        <f>+'Raw data'!N767</f>
        <v>22</v>
      </c>
      <c r="W343">
        <f>+'Raw data'!O767</f>
        <v>22</v>
      </c>
      <c r="X343">
        <f>+'Raw data'!P767</f>
        <v>58</v>
      </c>
      <c r="Y343">
        <f>+'Raw data'!Q767</f>
        <v>1.0900000000000001</v>
      </c>
    </row>
    <row r="344" spans="1:25" x14ac:dyDescent="0.25">
      <c r="A344">
        <v>2025</v>
      </c>
      <c r="B344" t="s">
        <v>57</v>
      </c>
      <c r="C344">
        <f>+C343</f>
        <v>16</v>
      </c>
      <c r="D344">
        <f t="shared" si="19"/>
        <v>162</v>
      </c>
      <c r="E344" t="str">
        <f>+'Raw data'!A727</f>
        <v>Guruuu 🐐🐐🐐</v>
      </c>
      <c r="F344" t="str">
        <f>VLOOKUP(E344,Data!$E$2626:$F$2645,2,FALSE)</f>
        <v>Guru</v>
      </c>
      <c r="H344">
        <f>+'Raw data'!A768</f>
        <v>3</v>
      </c>
      <c r="I344">
        <f>+'Raw data'!B768</f>
        <v>10</v>
      </c>
      <c r="J344">
        <f>+'Raw data'!C768</f>
        <v>0</v>
      </c>
      <c r="M344">
        <f>+'Raw data'!E768</f>
        <v>202</v>
      </c>
      <c r="N344">
        <f>+'Raw data'!F768</f>
        <v>0.44800000000000001</v>
      </c>
      <c r="O344">
        <f>+'Raw data'!G768</f>
        <v>83</v>
      </c>
      <c r="P344">
        <f>+'Raw data'!H768</f>
        <v>0.34599999999999997</v>
      </c>
      <c r="Q344">
        <f>+'Raw data'!I768</f>
        <v>0.76</v>
      </c>
      <c r="R344">
        <f>+'Raw data'!J768</f>
        <v>563</v>
      </c>
      <c r="S344">
        <f>+'Raw data'!K768</f>
        <v>24</v>
      </c>
      <c r="T344">
        <f>+'Raw data'!L768</f>
        <v>102</v>
      </c>
      <c r="U344">
        <f>+'Raw data'!M768</f>
        <v>97</v>
      </c>
      <c r="V344">
        <f>+'Raw data'!N768</f>
        <v>39</v>
      </c>
      <c r="W344">
        <f>+'Raw data'!O768</f>
        <v>13</v>
      </c>
      <c r="X344">
        <f>+'Raw data'!P768</f>
        <v>65</v>
      </c>
      <c r="Y344">
        <f>+'Raw data'!Q768</f>
        <v>1.49</v>
      </c>
    </row>
    <row r="345" spans="1:25" x14ac:dyDescent="0.25">
      <c r="A345">
        <v>2025</v>
      </c>
      <c r="B345" t="s">
        <v>57</v>
      </c>
      <c r="C345">
        <f>+C344</f>
        <v>16</v>
      </c>
      <c r="D345">
        <f t="shared" si="19"/>
        <v>162</v>
      </c>
      <c r="E345" t="str">
        <f>+'Raw data'!A728</f>
        <v>The Bridgeburners</v>
      </c>
      <c r="F345" t="str">
        <f>VLOOKUP(E345,Data!$E$2626:$F$2645,2,FALSE)</f>
        <v>Fanis</v>
      </c>
      <c r="H345">
        <f>+'Raw data'!A769</f>
        <v>10</v>
      </c>
      <c r="I345">
        <f>+'Raw data'!B769</f>
        <v>3</v>
      </c>
      <c r="J345">
        <f>+'Raw data'!C769</f>
        <v>0</v>
      </c>
      <c r="M345">
        <f>+'Raw data'!E769</f>
        <v>158</v>
      </c>
      <c r="N345">
        <f>+'Raw data'!F769</f>
        <v>0.49399999999999999</v>
      </c>
      <c r="O345">
        <f>+'Raw data'!G769</f>
        <v>48</v>
      </c>
      <c r="P345">
        <f>+'Raw data'!H769</f>
        <v>0.4</v>
      </c>
      <c r="Q345">
        <f>+'Raw data'!I769</f>
        <v>0.81599999999999995</v>
      </c>
      <c r="R345">
        <f>+'Raw data'!J769</f>
        <v>448</v>
      </c>
      <c r="S345">
        <f>+'Raw data'!K769</f>
        <v>36</v>
      </c>
      <c r="T345">
        <f>+'Raw data'!L769</f>
        <v>117</v>
      </c>
      <c r="U345">
        <f>+'Raw data'!M769</f>
        <v>133</v>
      </c>
      <c r="V345">
        <f>+'Raw data'!N769</f>
        <v>40</v>
      </c>
      <c r="W345">
        <f>+'Raw data'!O769</f>
        <v>19</v>
      </c>
      <c r="X345">
        <f>+'Raw data'!P769</f>
        <v>56</v>
      </c>
      <c r="Y345">
        <f>+'Raw data'!Q769</f>
        <v>2.38</v>
      </c>
    </row>
    <row r="346" spans="1:25" x14ac:dyDescent="0.25">
      <c r="A346">
        <v>2025</v>
      </c>
      <c r="B346" t="s">
        <v>57</v>
      </c>
      <c r="C346">
        <f t="shared" ref="C346:C361" si="21">+C345</f>
        <v>16</v>
      </c>
      <c r="D346">
        <f t="shared" si="19"/>
        <v>163</v>
      </c>
      <c r="E346" t="str">
        <f>+'Raw data'!A729</f>
        <v>Heraklion Snakes</v>
      </c>
      <c r="F346" t="str">
        <f>VLOOKUP(E346,Data!$E$2626:$F$2645,2,FALSE)</f>
        <v>Dimitris</v>
      </c>
      <c r="H346">
        <f>+'Raw data'!A770</f>
        <v>2</v>
      </c>
      <c r="I346">
        <f>+'Raw data'!B770</f>
        <v>11</v>
      </c>
      <c r="J346">
        <f>+'Raw data'!C770</f>
        <v>0</v>
      </c>
      <c r="M346">
        <f>+'Raw data'!E770</f>
        <v>117</v>
      </c>
      <c r="N346">
        <f>+'Raw data'!F770</f>
        <v>0.39700000000000002</v>
      </c>
      <c r="O346">
        <f>+'Raw data'!G770</f>
        <v>30</v>
      </c>
      <c r="P346">
        <f>+'Raw data'!H770</f>
        <v>0.28299999999999997</v>
      </c>
      <c r="Q346">
        <f>+'Raw data'!I770</f>
        <v>0.83</v>
      </c>
      <c r="R346">
        <f>+'Raw data'!J770</f>
        <v>337</v>
      </c>
      <c r="S346">
        <f>+'Raw data'!K770</f>
        <v>26</v>
      </c>
      <c r="T346">
        <f>+'Raw data'!L770</f>
        <v>100</v>
      </c>
      <c r="U346">
        <f>+'Raw data'!M770</f>
        <v>74</v>
      </c>
      <c r="V346">
        <f>+'Raw data'!N770</f>
        <v>25</v>
      </c>
      <c r="W346">
        <f>+'Raw data'!O770</f>
        <v>14</v>
      </c>
      <c r="X346">
        <f>+'Raw data'!P770</f>
        <v>45</v>
      </c>
      <c r="Y346">
        <f>+'Raw data'!Q770</f>
        <v>1.64</v>
      </c>
    </row>
    <row r="347" spans="1:25" x14ac:dyDescent="0.25">
      <c r="A347">
        <v>2025</v>
      </c>
      <c r="B347" t="s">
        <v>57</v>
      </c>
      <c r="C347">
        <f t="shared" si="21"/>
        <v>16</v>
      </c>
      <c r="D347">
        <f t="shared" si="19"/>
        <v>163</v>
      </c>
      <c r="E347" t="str">
        <f>+'Raw data'!A730</f>
        <v>LRBP PR3DATORS</v>
      </c>
      <c r="F347" t="str">
        <f>VLOOKUP(E347,Data!$E$2626:$F$2645,2,FALSE)</f>
        <v>Lafa</v>
      </c>
      <c r="H347">
        <f>+'Raw data'!A771</f>
        <v>11</v>
      </c>
      <c r="I347">
        <f>+'Raw data'!B771</f>
        <v>2</v>
      </c>
      <c r="J347">
        <f>+'Raw data'!C771</f>
        <v>0</v>
      </c>
      <c r="M347">
        <f>+'Raw data'!E771</f>
        <v>229</v>
      </c>
      <c r="N347">
        <f>+'Raw data'!F771</f>
        <v>0.46500000000000002</v>
      </c>
      <c r="O347">
        <f>+'Raw data'!G771</f>
        <v>57</v>
      </c>
      <c r="P347">
        <f>+'Raw data'!H771</f>
        <v>0.34100000000000003</v>
      </c>
      <c r="Q347">
        <f>+'Raw data'!I771</f>
        <v>0.74199999999999999</v>
      </c>
      <c r="R347">
        <f>+'Raw data'!J771</f>
        <v>633</v>
      </c>
      <c r="S347">
        <f>+'Raw data'!K771</f>
        <v>30</v>
      </c>
      <c r="T347">
        <f>+'Raw data'!L771</f>
        <v>143</v>
      </c>
      <c r="U347">
        <f>+'Raw data'!M771</f>
        <v>159</v>
      </c>
      <c r="V347">
        <f>+'Raw data'!N771</f>
        <v>36</v>
      </c>
      <c r="W347">
        <f>+'Raw data'!O771</f>
        <v>33</v>
      </c>
      <c r="X347">
        <f>+'Raw data'!P771</f>
        <v>77</v>
      </c>
      <c r="Y347">
        <f>+'Raw data'!Q771</f>
        <v>2.06</v>
      </c>
    </row>
    <row r="348" spans="1:25" x14ac:dyDescent="0.25">
      <c r="A348">
        <v>2025</v>
      </c>
      <c r="B348" t="s">
        <v>57</v>
      </c>
      <c r="C348">
        <f t="shared" si="21"/>
        <v>16</v>
      </c>
      <c r="D348">
        <f t="shared" si="19"/>
        <v>164</v>
      </c>
      <c r="E348" t="str">
        <f>+'Raw data'!A731</f>
        <v>Hércules Pals</v>
      </c>
      <c r="F348" t="e">
        <f>VLOOKUP(E348,Data!$E$2626:$F$2645,2,FALSE)</f>
        <v>#N/A</v>
      </c>
      <c r="H348">
        <f>+'Raw data'!A772</f>
        <v>10</v>
      </c>
      <c r="I348">
        <f>+'Raw data'!B772</f>
        <v>3</v>
      </c>
      <c r="J348">
        <f>+'Raw data'!C772</f>
        <v>0</v>
      </c>
      <c r="M348">
        <f>+'Raw data'!E772</f>
        <v>194</v>
      </c>
      <c r="N348">
        <f>+'Raw data'!F772</f>
        <v>0.505</v>
      </c>
      <c r="O348">
        <f>+'Raw data'!G772</f>
        <v>77</v>
      </c>
      <c r="P348">
        <f>+'Raw data'!H772</f>
        <v>0.42099999999999999</v>
      </c>
      <c r="Q348">
        <f>+'Raw data'!I772</f>
        <v>0.65400000000000003</v>
      </c>
      <c r="R348">
        <f>+'Raw data'!J772</f>
        <v>533</v>
      </c>
      <c r="S348">
        <f>+'Raw data'!K772</f>
        <v>71</v>
      </c>
      <c r="T348">
        <f>+'Raw data'!L772</f>
        <v>148</v>
      </c>
      <c r="U348">
        <f>+'Raw data'!M772</f>
        <v>91</v>
      </c>
      <c r="V348">
        <f>+'Raw data'!N772</f>
        <v>27</v>
      </c>
      <c r="W348">
        <f>+'Raw data'!O772</f>
        <v>27</v>
      </c>
      <c r="X348">
        <f>+'Raw data'!P772</f>
        <v>64</v>
      </c>
      <c r="Y348">
        <f>+'Raw data'!Q772</f>
        <v>1.42</v>
      </c>
    </row>
    <row r="349" spans="1:25" x14ac:dyDescent="0.25">
      <c r="A349">
        <v>2025</v>
      </c>
      <c r="B349" t="s">
        <v>57</v>
      </c>
      <c r="C349">
        <f t="shared" si="21"/>
        <v>16</v>
      </c>
      <c r="D349">
        <f t="shared" si="19"/>
        <v>164</v>
      </c>
      <c r="E349" t="str">
        <f>+'Raw data'!A732</f>
        <v>Salonika Devils</v>
      </c>
      <c r="F349" t="str">
        <f>VLOOKUP(E349,Data!$E$2626:$F$2645,2,FALSE)</f>
        <v>Fountos</v>
      </c>
      <c r="H349">
        <f>+'Raw data'!A773</f>
        <v>3</v>
      </c>
      <c r="I349">
        <f>+'Raw data'!B773</f>
        <v>10</v>
      </c>
      <c r="J349">
        <f>+'Raw data'!C773</f>
        <v>0</v>
      </c>
      <c r="M349">
        <f>+'Raw data'!E773</f>
        <v>128</v>
      </c>
      <c r="N349">
        <f>+'Raw data'!F773</f>
        <v>0.48099999999999998</v>
      </c>
      <c r="O349">
        <f>+'Raw data'!G773</f>
        <v>41</v>
      </c>
      <c r="P349">
        <f>+'Raw data'!H773</f>
        <v>0.35</v>
      </c>
      <c r="Q349">
        <f>+'Raw data'!I773</f>
        <v>0.79200000000000004</v>
      </c>
      <c r="R349">
        <f>+'Raw data'!J773</f>
        <v>335</v>
      </c>
      <c r="S349">
        <f>+'Raw data'!K773</f>
        <v>35</v>
      </c>
      <c r="T349">
        <f>+'Raw data'!L773</f>
        <v>88</v>
      </c>
      <c r="U349">
        <f>+'Raw data'!M773</f>
        <v>67</v>
      </c>
      <c r="V349">
        <f>+'Raw data'!N773</f>
        <v>22</v>
      </c>
      <c r="W349">
        <f>+'Raw data'!O773</f>
        <v>2</v>
      </c>
      <c r="X349">
        <f>+'Raw data'!P773</f>
        <v>33</v>
      </c>
      <c r="Y349">
        <f>+'Raw data'!Q773</f>
        <v>2.0299999999999998</v>
      </c>
    </row>
    <row r="350" spans="1:25" x14ac:dyDescent="0.25">
      <c r="A350">
        <v>2025</v>
      </c>
      <c r="B350" t="s">
        <v>57</v>
      </c>
      <c r="C350">
        <f t="shared" si="21"/>
        <v>16</v>
      </c>
      <c r="D350">
        <f t="shared" si="19"/>
        <v>165</v>
      </c>
      <c r="E350" t="str">
        <f>+'Raw data'!A733</f>
        <v>Karafli Saita</v>
      </c>
      <c r="F350" t="str">
        <f>VLOOKUP(E350,Data!$E$2626:$F$2645,2,FALSE)</f>
        <v>Tassos</v>
      </c>
      <c r="H350">
        <f>+'Raw data'!A774</f>
        <v>10</v>
      </c>
      <c r="I350">
        <f>+'Raw data'!B774</f>
        <v>3</v>
      </c>
      <c r="J350">
        <f>+'Raw data'!C774</f>
        <v>0</v>
      </c>
      <c r="M350">
        <f>+'Raw data'!E774</f>
        <v>305</v>
      </c>
      <c r="N350">
        <f>+'Raw data'!F774</f>
        <v>0.49</v>
      </c>
      <c r="O350">
        <f>+'Raw data'!G774</f>
        <v>72</v>
      </c>
      <c r="P350">
        <f>+'Raw data'!H774</f>
        <v>0.33200000000000002</v>
      </c>
      <c r="Q350">
        <f>+'Raw data'!I774</f>
        <v>0.82399999999999995</v>
      </c>
      <c r="R350">
        <f>+'Raw data'!J774</f>
        <v>879</v>
      </c>
      <c r="S350">
        <f>+'Raw data'!K774</f>
        <v>44</v>
      </c>
      <c r="T350">
        <f>+'Raw data'!L774</f>
        <v>215</v>
      </c>
      <c r="U350">
        <f>+'Raw data'!M774</f>
        <v>192</v>
      </c>
      <c r="V350">
        <f>+'Raw data'!N774</f>
        <v>46</v>
      </c>
      <c r="W350">
        <f>+'Raw data'!O774</f>
        <v>34</v>
      </c>
      <c r="X350">
        <f>+'Raw data'!P774</f>
        <v>88</v>
      </c>
      <c r="Y350">
        <f>+'Raw data'!Q774</f>
        <v>2.1800000000000002</v>
      </c>
    </row>
    <row r="351" spans="1:25" x14ac:dyDescent="0.25">
      <c r="A351">
        <v>2025</v>
      </c>
      <c r="B351" t="s">
        <v>57</v>
      </c>
      <c r="C351">
        <f t="shared" si="21"/>
        <v>16</v>
      </c>
      <c r="D351">
        <f t="shared" si="19"/>
        <v>165</v>
      </c>
      <c r="E351" t="str">
        <f>+'Raw data'!A734</f>
        <v>Paralouistas</v>
      </c>
      <c r="F351" t="str">
        <f>VLOOKUP(E351,Data!$E$2626:$F$2645,2,FALSE)</f>
        <v>Panos</v>
      </c>
      <c r="H351">
        <f>+'Raw data'!A775</f>
        <v>3</v>
      </c>
      <c r="I351">
        <f>+'Raw data'!B775</f>
        <v>10</v>
      </c>
      <c r="J351">
        <f>+'Raw data'!C775</f>
        <v>0</v>
      </c>
      <c r="M351">
        <f>+'Raw data'!E775</f>
        <v>172</v>
      </c>
      <c r="N351">
        <f>+'Raw data'!F775</f>
        <v>0.46400000000000002</v>
      </c>
      <c r="O351">
        <f>+'Raw data'!G775</f>
        <v>50</v>
      </c>
      <c r="P351">
        <f>+'Raw data'!H775</f>
        <v>0.35199999999999998</v>
      </c>
      <c r="Q351">
        <f>+'Raw data'!I775</f>
        <v>0.80600000000000005</v>
      </c>
      <c r="R351">
        <f>+'Raw data'!J775</f>
        <v>473</v>
      </c>
      <c r="S351">
        <f>+'Raw data'!K775</f>
        <v>30</v>
      </c>
      <c r="T351">
        <f>+'Raw data'!L775</f>
        <v>113</v>
      </c>
      <c r="U351">
        <f>+'Raw data'!M775</f>
        <v>143</v>
      </c>
      <c r="V351">
        <f>+'Raw data'!N775</f>
        <v>32</v>
      </c>
      <c r="W351">
        <f>+'Raw data'!O775</f>
        <v>13</v>
      </c>
      <c r="X351">
        <f>+'Raw data'!P775</f>
        <v>50</v>
      </c>
      <c r="Y351">
        <f>+'Raw data'!Q775</f>
        <v>2.86</v>
      </c>
    </row>
    <row r="352" spans="1:25" x14ac:dyDescent="0.25">
      <c r="A352">
        <v>2025</v>
      </c>
      <c r="B352" t="s">
        <v>57</v>
      </c>
      <c r="C352">
        <f t="shared" si="21"/>
        <v>16</v>
      </c>
      <c r="D352">
        <f t="shared" si="19"/>
        <v>166</v>
      </c>
      <c r="E352" t="str">
        <f>+'Raw data'!A735</f>
        <v>Knights of Ni</v>
      </c>
      <c r="F352" t="str">
        <f>VLOOKUP(E352,Data!$E$2626:$F$2645,2,FALSE)</f>
        <v>Tolios</v>
      </c>
      <c r="H352">
        <f>+'Raw data'!A776</f>
        <v>2</v>
      </c>
      <c r="I352">
        <f>+'Raw data'!B776</f>
        <v>11</v>
      </c>
      <c r="J352">
        <f>+'Raw data'!C776</f>
        <v>0</v>
      </c>
      <c r="M352">
        <f>+'Raw data'!E776</f>
        <v>131</v>
      </c>
      <c r="N352">
        <f>+'Raw data'!F776</f>
        <v>0.46100000000000002</v>
      </c>
      <c r="O352">
        <f>+'Raw data'!G776</f>
        <v>41</v>
      </c>
      <c r="P352">
        <f>+'Raw data'!H776</f>
        <v>0.33100000000000002</v>
      </c>
      <c r="Q352">
        <f>+'Raw data'!I776</f>
        <v>0.63500000000000001</v>
      </c>
      <c r="R352">
        <f>+'Raw data'!J776</f>
        <v>343</v>
      </c>
      <c r="S352">
        <f>+'Raw data'!K776</f>
        <v>34</v>
      </c>
      <c r="T352">
        <f>+'Raw data'!L776</f>
        <v>121</v>
      </c>
      <c r="U352">
        <f>+'Raw data'!M776</f>
        <v>76</v>
      </c>
      <c r="V352">
        <f>+'Raw data'!N776</f>
        <v>26</v>
      </c>
      <c r="W352">
        <f>+'Raw data'!O776</f>
        <v>14</v>
      </c>
      <c r="X352">
        <f>+'Raw data'!P776</f>
        <v>50</v>
      </c>
      <c r="Y352">
        <f>+'Raw data'!Q776</f>
        <v>1.52</v>
      </c>
    </row>
    <row r="353" spans="1:25" x14ac:dyDescent="0.25">
      <c r="A353">
        <v>2025</v>
      </c>
      <c r="B353" t="s">
        <v>57</v>
      </c>
      <c r="C353">
        <f t="shared" si="21"/>
        <v>16</v>
      </c>
      <c r="D353">
        <f t="shared" si="19"/>
        <v>166</v>
      </c>
      <c r="E353" t="str">
        <f>+'Raw data'!A736</f>
        <v>Kourayo Vallecano</v>
      </c>
      <c r="F353" t="str">
        <f>VLOOKUP(E353,Data!$E$2626:$F$2645,2,FALSE)</f>
        <v>Ziogas/Christof</v>
      </c>
      <c r="H353">
        <f>+'Raw data'!A777</f>
        <v>11</v>
      </c>
      <c r="I353">
        <f>+'Raw data'!B777</f>
        <v>2</v>
      </c>
      <c r="J353">
        <f>+'Raw data'!C777</f>
        <v>0</v>
      </c>
      <c r="M353">
        <f>+'Raw data'!E777</f>
        <v>143</v>
      </c>
      <c r="N353">
        <f>+'Raw data'!F777</f>
        <v>0.48799999999999999</v>
      </c>
      <c r="O353">
        <f>+'Raw data'!G777</f>
        <v>44</v>
      </c>
      <c r="P353">
        <f>+'Raw data'!H777</f>
        <v>0.4</v>
      </c>
      <c r="Q353">
        <f>+'Raw data'!I777</f>
        <v>0.80800000000000005</v>
      </c>
      <c r="R353">
        <f>+'Raw data'!J777</f>
        <v>389</v>
      </c>
      <c r="S353">
        <f>+'Raw data'!K777</f>
        <v>41</v>
      </c>
      <c r="T353">
        <f>+'Raw data'!L777</f>
        <v>130</v>
      </c>
      <c r="U353">
        <f>+'Raw data'!M777</f>
        <v>135</v>
      </c>
      <c r="V353">
        <f>+'Raw data'!N777</f>
        <v>29</v>
      </c>
      <c r="W353">
        <f>+'Raw data'!O777</f>
        <v>11</v>
      </c>
      <c r="X353">
        <f>+'Raw data'!P777</f>
        <v>67</v>
      </c>
      <c r="Y353">
        <f>+'Raw data'!Q777</f>
        <v>2.0099999999999998</v>
      </c>
    </row>
    <row r="354" spans="1:25" x14ac:dyDescent="0.25">
      <c r="A354">
        <v>2025</v>
      </c>
      <c r="B354" t="s">
        <v>57</v>
      </c>
      <c r="C354">
        <f t="shared" si="21"/>
        <v>16</v>
      </c>
      <c r="D354">
        <f t="shared" si="19"/>
        <v>167</v>
      </c>
      <c r="E354" t="str">
        <f>+'Raw data'!A737</f>
        <v>Pachiana NinjaBees</v>
      </c>
      <c r="F354" t="str">
        <f>VLOOKUP(E354,Data!$E$2626:$F$2645,2,FALSE)</f>
        <v>Spiridaus/Oladipas</v>
      </c>
      <c r="H354">
        <f>+'Raw data'!A778</f>
        <v>7</v>
      </c>
      <c r="I354">
        <f>+'Raw data'!B778</f>
        <v>5</v>
      </c>
      <c r="J354">
        <f>+'Raw data'!C778</f>
        <v>1</v>
      </c>
      <c r="M354">
        <f>+'Raw data'!E778</f>
        <v>186</v>
      </c>
      <c r="N354">
        <f>+'Raw data'!F778</f>
        <v>0.442</v>
      </c>
      <c r="O354">
        <f>+'Raw data'!G778</f>
        <v>66</v>
      </c>
      <c r="P354">
        <f>+'Raw data'!H778</f>
        <v>0.36499999999999999</v>
      </c>
      <c r="Q354">
        <f>+'Raw data'!I778</f>
        <v>0.81799999999999995</v>
      </c>
      <c r="R354">
        <f>+'Raw data'!J778</f>
        <v>519</v>
      </c>
      <c r="S354">
        <f>+'Raw data'!K778</f>
        <v>42</v>
      </c>
      <c r="T354">
        <f>+'Raw data'!L778</f>
        <v>135</v>
      </c>
      <c r="U354">
        <f>+'Raw data'!M778</f>
        <v>137</v>
      </c>
      <c r="V354">
        <f>+'Raw data'!N778</f>
        <v>41</v>
      </c>
      <c r="W354">
        <f>+'Raw data'!O778</f>
        <v>30</v>
      </c>
      <c r="X354">
        <f>+'Raw data'!P778</f>
        <v>82</v>
      </c>
      <c r="Y354">
        <f>+'Raw data'!Q778</f>
        <v>1.67</v>
      </c>
    </row>
    <row r="355" spans="1:25" x14ac:dyDescent="0.25">
      <c r="A355">
        <v>2025</v>
      </c>
      <c r="B355" t="s">
        <v>57</v>
      </c>
      <c r="C355">
        <f t="shared" si="21"/>
        <v>16</v>
      </c>
      <c r="D355">
        <f t="shared" si="19"/>
        <v>167</v>
      </c>
      <c r="E355" t="str">
        <f>+'Raw data'!A738</f>
        <v>st.Helens Eruptions</v>
      </c>
      <c r="F355" t="str">
        <f>VLOOKUP(E355,Data!$E$2626:$F$2645,2,FALSE)</f>
        <v>Aris</v>
      </c>
      <c r="H355">
        <f>+'Raw data'!A779</f>
        <v>5</v>
      </c>
      <c r="I355">
        <f>+'Raw data'!B779</f>
        <v>7</v>
      </c>
      <c r="J355">
        <f>+'Raw data'!C779</f>
        <v>1</v>
      </c>
      <c r="M355">
        <f>+'Raw data'!E779</f>
        <v>191</v>
      </c>
      <c r="N355">
        <f>+'Raw data'!F779</f>
        <v>0.50900000000000001</v>
      </c>
      <c r="O355">
        <f>+'Raw data'!G779</f>
        <v>26</v>
      </c>
      <c r="P355">
        <f>+'Raw data'!H779</f>
        <v>0.26300000000000001</v>
      </c>
      <c r="Q355">
        <f>+'Raw data'!I779</f>
        <v>0.747</v>
      </c>
      <c r="R355">
        <f>+'Raw data'!J779</f>
        <v>473</v>
      </c>
      <c r="S355">
        <f>+'Raw data'!K779</f>
        <v>42</v>
      </c>
      <c r="T355">
        <f>+'Raw data'!L779</f>
        <v>137</v>
      </c>
      <c r="U355">
        <f>+'Raw data'!M779</f>
        <v>95</v>
      </c>
      <c r="V355">
        <f>+'Raw data'!N779</f>
        <v>40</v>
      </c>
      <c r="W355">
        <f>+'Raw data'!O779</f>
        <v>23</v>
      </c>
      <c r="X355">
        <f>+'Raw data'!P779</f>
        <v>56</v>
      </c>
      <c r="Y355">
        <f>+'Raw data'!Q779</f>
        <v>1.7</v>
      </c>
    </row>
    <row r="356" spans="1:25" x14ac:dyDescent="0.25">
      <c r="A356">
        <v>2025</v>
      </c>
      <c r="B356" t="s">
        <v>57</v>
      </c>
      <c r="C356">
        <f t="shared" si="21"/>
        <v>16</v>
      </c>
      <c r="D356">
        <f t="shared" si="19"/>
        <v>168</v>
      </c>
      <c r="E356" t="str">
        <f>+'Raw data'!A739</f>
        <v>purple fuzzy apache pirates</v>
      </c>
      <c r="F356" t="str">
        <f>VLOOKUP(E356,Data!$E$2626:$F$2645,2,FALSE)</f>
        <v>pi/Sotiris</v>
      </c>
      <c r="H356">
        <f>+'Raw data'!A780</f>
        <v>7</v>
      </c>
      <c r="I356">
        <f>+'Raw data'!B780</f>
        <v>6</v>
      </c>
      <c r="J356">
        <f>+'Raw data'!C780</f>
        <v>0</v>
      </c>
      <c r="M356">
        <f>+'Raw data'!E780</f>
        <v>225</v>
      </c>
      <c r="N356">
        <f>+'Raw data'!F780</f>
        <v>0.48699999999999999</v>
      </c>
      <c r="O356">
        <f>+'Raw data'!G780</f>
        <v>49</v>
      </c>
      <c r="P356">
        <f>+'Raw data'!H780</f>
        <v>0.32</v>
      </c>
      <c r="Q356">
        <f>+'Raw data'!I780</f>
        <v>0.79400000000000004</v>
      </c>
      <c r="R356">
        <f>+'Raw data'!J780</f>
        <v>622</v>
      </c>
      <c r="S356">
        <f>+'Raw data'!K780</f>
        <v>74</v>
      </c>
      <c r="T356">
        <f>+'Raw data'!L780</f>
        <v>200</v>
      </c>
      <c r="U356">
        <f>+'Raw data'!M780</f>
        <v>170</v>
      </c>
      <c r="V356">
        <f>+'Raw data'!N780</f>
        <v>39</v>
      </c>
      <c r="W356">
        <f>+'Raw data'!O780</f>
        <v>17</v>
      </c>
      <c r="X356">
        <f>+'Raw data'!P780</f>
        <v>88</v>
      </c>
      <c r="Y356">
        <f>+'Raw data'!Q780</f>
        <v>1.93</v>
      </c>
    </row>
    <row r="357" spans="1:25" x14ac:dyDescent="0.25">
      <c r="A357">
        <v>2025</v>
      </c>
      <c r="B357" t="s">
        <v>57</v>
      </c>
      <c r="C357">
        <f t="shared" si="21"/>
        <v>16</v>
      </c>
      <c r="D357">
        <f t="shared" si="19"/>
        <v>168</v>
      </c>
      <c r="E357" t="str">
        <f>+'Raw data'!A740</f>
        <v>Xanthi Ducks 🦆</v>
      </c>
      <c r="F357" t="str">
        <f>VLOOKUP(E357,Data!$E$2626:$F$2645,2,FALSE)</f>
        <v>Kotakis</v>
      </c>
      <c r="H357">
        <f>+'Raw data'!A781</f>
        <v>6</v>
      </c>
      <c r="I357">
        <f>+'Raw data'!B781</f>
        <v>7</v>
      </c>
      <c r="J357">
        <f>+'Raw data'!C781</f>
        <v>0</v>
      </c>
      <c r="M357">
        <f>+'Raw data'!E781</f>
        <v>156</v>
      </c>
      <c r="N357">
        <f>+'Raw data'!F781</f>
        <v>0.47399999999999998</v>
      </c>
      <c r="O357">
        <f>+'Raw data'!G781</f>
        <v>48</v>
      </c>
      <c r="P357">
        <f>+'Raw data'!H781</f>
        <v>0.33600000000000002</v>
      </c>
      <c r="Q357">
        <f>+'Raw data'!I781</f>
        <v>0.81499999999999995</v>
      </c>
      <c r="R357">
        <f>+'Raw data'!J781</f>
        <v>435</v>
      </c>
      <c r="S357">
        <f>+'Raw data'!K781</f>
        <v>40</v>
      </c>
      <c r="T357">
        <f>+'Raw data'!L781</f>
        <v>142</v>
      </c>
      <c r="U357">
        <f>+'Raw data'!M781</f>
        <v>130</v>
      </c>
      <c r="V357">
        <f>+'Raw data'!N781</f>
        <v>44</v>
      </c>
      <c r="W357">
        <f>+'Raw data'!O781</f>
        <v>23</v>
      </c>
      <c r="X357">
        <f>+'Raw data'!P781</f>
        <v>52</v>
      </c>
      <c r="Y357">
        <f>+'Raw data'!Q781</f>
        <v>2.5</v>
      </c>
    </row>
    <row r="358" spans="1:25" x14ac:dyDescent="0.25">
      <c r="A358">
        <v>2025</v>
      </c>
      <c r="B358" t="s">
        <v>57</v>
      </c>
      <c r="C358">
        <f t="shared" si="21"/>
        <v>16</v>
      </c>
      <c r="D358">
        <f t="shared" si="19"/>
        <v>169</v>
      </c>
      <c r="E358" t="str">
        <f>+'Raw data'!A741</f>
        <v>Samarina Dudenbros</v>
      </c>
      <c r="F358" t="str">
        <f>VLOOKUP(E358,Data!$E$2626:$F$2645,2,FALSE)</f>
        <v>Sakellariou</v>
      </c>
      <c r="H358">
        <f>+'Raw data'!A782</f>
        <v>7</v>
      </c>
      <c r="I358">
        <f>+'Raw data'!B782</f>
        <v>6</v>
      </c>
      <c r="J358">
        <f>+'Raw data'!C782</f>
        <v>0</v>
      </c>
      <c r="M358">
        <f>+'Raw data'!E782</f>
        <v>292</v>
      </c>
      <c r="N358">
        <f>+'Raw data'!F782</f>
        <v>0.44700000000000001</v>
      </c>
      <c r="O358">
        <f>+'Raw data'!G782</f>
        <v>72</v>
      </c>
      <c r="P358">
        <f>+'Raw data'!H782</f>
        <v>0.29499999999999998</v>
      </c>
      <c r="Q358">
        <f>+'Raw data'!I782</f>
        <v>0.80900000000000005</v>
      </c>
      <c r="R358">
        <f>+'Raw data'!J782</f>
        <v>834</v>
      </c>
      <c r="S358">
        <f>+'Raw data'!K782</f>
        <v>55</v>
      </c>
      <c r="T358">
        <f>+'Raw data'!L782</f>
        <v>193</v>
      </c>
      <c r="U358">
        <f>+'Raw data'!M782</f>
        <v>243</v>
      </c>
      <c r="V358">
        <f>+'Raw data'!N782</f>
        <v>52</v>
      </c>
      <c r="W358">
        <f>+'Raw data'!O782</f>
        <v>25</v>
      </c>
      <c r="X358">
        <f>+'Raw data'!P782</f>
        <v>110</v>
      </c>
      <c r="Y358">
        <f>+'Raw data'!Q782</f>
        <v>2.21</v>
      </c>
    </row>
    <row r="359" spans="1:25" x14ac:dyDescent="0.25">
      <c r="A359">
        <v>2025</v>
      </c>
      <c r="B359" t="s">
        <v>57</v>
      </c>
      <c r="C359">
        <f t="shared" si="21"/>
        <v>16</v>
      </c>
      <c r="D359">
        <f t="shared" si="19"/>
        <v>169</v>
      </c>
      <c r="E359" t="str">
        <f>+'Raw data'!A742</f>
        <v>Tsarlatans</v>
      </c>
      <c r="F359" t="str">
        <f>VLOOKUP(E359,Data!$E$2626:$F$2645,2,FALSE)</f>
        <v>Tzokos</v>
      </c>
      <c r="H359">
        <f>+'Raw data'!A783</f>
        <v>6</v>
      </c>
      <c r="I359">
        <f>+'Raw data'!B783</f>
        <v>7</v>
      </c>
      <c r="J359">
        <f>+'Raw data'!C783</f>
        <v>0</v>
      </c>
      <c r="M359">
        <f>+'Raw data'!E783</f>
        <v>241</v>
      </c>
      <c r="N359">
        <f>+'Raw data'!F783</f>
        <v>0.52700000000000002</v>
      </c>
      <c r="O359">
        <f>+'Raw data'!G783</f>
        <v>61</v>
      </c>
      <c r="P359">
        <f>+'Raw data'!H783</f>
        <v>0.379</v>
      </c>
      <c r="Q359">
        <f>+'Raw data'!I783</f>
        <v>0.81499999999999995</v>
      </c>
      <c r="R359">
        <f>+'Raw data'!J783</f>
        <v>640</v>
      </c>
      <c r="S359">
        <f>+'Raw data'!K783</f>
        <v>86</v>
      </c>
      <c r="T359">
        <f>+'Raw data'!L783</f>
        <v>208</v>
      </c>
      <c r="U359">
        <f>+'Raw data'!M783</f>
        <v>99</v>
      </c>
      <c r="V359">
        <f>+'Raw data'!N783</f>
        <v>43</v>
      </c>
      <c r="W359">
        <f>+'Raw data'!O783</f>
        <v>21</v>
      </c>
      <c r="X359">
        <f>+'Raw data'!P783</f>
        <v>59</v>
      </c>
      <c r="Y359">
        <f>+'Raw data'!Q783</f>
        <v>1.68</v>
      </c>
    </row>
    <row r="360" spans="1:25" x14ac:dyDescent="0.25">
      <c r="A360">
        <v>2025</v>
      </c>
      <c r="B360" t="s">
        <v>57</v>
      </c>
      <c r="C360">
        <f t="shared" si="21"/>
        <v>16</v>
      </c>
      <c r="D360">
        <f t="shared" si="19"/>
        <v>170</v>
      </c>
      <c r="E360" t="str">
        <f>+'Raw data'!A743</f>
        <v>The Bad Boys</v>
      </c>
      <c r="F360" t="str">
        <f>VLOOKUP(E360,Data!$E$2626:$F$2645,2,FALSE)</f>
        <v>Arvanitis</v>
      </c>
      <c r="H360">
        <f>+'Raw data'!A784</f>
        <v>7</v>
      </c>
      <c r="I360">
        <f>+'Raw data'!B784</f>
        <v>5</v>
      </c>
      <c r="J360">
        <f>+'Raw data'!C784</f>
        <v>1</v>
      </c>
      <c r="M360">
        <f>+'Raw data'!E784</f>
        <v>175</v>
      </c>
      <c r="N360">
        <f>+'Raw data'!F784</f>
        <v>0.46500000000000002</v>
      </c>
      <c r="O360">
        <f>+'Raw data'!G784</f>
        <v>43</v>
      </c>
      <c r="P360">
        <f>+'Raw data'!H784</f>
        <v>0.35799999999999998</v>
      </c>
      <c r="Q360">
        <f>+'Raw data'!I784</f>
        <v>0.79600000000000004</v>
      </c>
      <c r="R360">
        <f>+'Raw data'!J784</f>
        <v>510</v>
      </c>
      <c r="S360">
        <f>+'Raw data'!K784</f>
        <v>45</v>
      </c>
      <c r="T360">
        <f>+'Raw data'!L784</f>
        <v>126</v>
      </c>
      <c r="U360">
        <f>+'Raw data'!M784</f>
        <v>103</v>
      </c>
      <c r="V360">
        <f>+'Raw data'!N784</f>
        <v>48</v>
      </c>
      <c r="W360">
        <f>+'Raw data'!O784</f>
        <v>19</v>
      </c>
      <c r="X360">
        <f>+'Raw data'!P784</f>
        <v>60</v>
      </c>
      <c r="Y360">
        <f>+'Raw data'!Q784</f>
        <v>1.72</v>
      </c>
    </row>
    <row r="361" spans="1:25" x14ac:dyDescent="0.25">
      <c r="A361">
        <v>2025</v>
      </c>
      <c r="B361" t="s">
        <v>57</v>
      </c>
      <c r="C361">
        <f t="shared" si="21"/>
        <v>16</v>
      </c>
      <c r="D361">
        <f t="shared" si="19"/>
        <v>170</v>
      </c>
      <c r="E361" t="str">
        <f>+'Raw data'!A744</f>
        <v>The Guns</v>
      </c>
      <c r="F361" t="str">
        <f>VLOOKUP(E361,Data!$E$2626:$F$2645,2,FALSE)</f>
        <v>Vasilis</v>
      </c>
      <c r="H361">
        <f>+'Raw data'!A785</f>
        <v>5</v>
      </c>
      <c r="I361">
        <f>+'Raw data'!B785</f>
        <v>7</v>
      </c>
      <c r="J361">
        <f>+'Raw data'!C785</f>
        <v>1</v>
      </c>
      <c r="M361">
        <f>+'Raw data'!E785</f>
        <v>146</v>
      </c>
      <c r="N361">
        <f>+'Raw data'!F785</f>
        <v>0.42</v>
      </c>
      <c r="O361">
        <f>+'Raw data'!G785</f>
        <v>59</v>
      </c>
      <c r="P361">
        <f>+'Raw data'!H785</f>
        <v>0.31900000000000001</v>
      </c>
      <c r="Q361">
        <f>+'Raw data'!I785</f>
        <v>0.80400000000000005</v>
      </c>
      <c r="R361">
        <f>+'Raw data'!J785</f>
        <v>392</v>
      </c>
      <c r="S361">
        <f>+'Raw data'!K785</f>
        <v>39</v>
      </c>
      <c r="T361">
        <f>+'Raw data'!L785</f>
        <v>128</v>
      </c>
      <c r="U361">
        <f>+'Raw data'!M785</f>
        <v>93</v>
      </c>
      <c r="V361">
        <f>+'Raw data'!N785</f>
        <v>34</v>
      </c>
      <c r="W361">
        <f>+'Raw data'!O785</f>
        <v>19</v>
      </c>
      <c r="X361">
        <f>+'Raw data'!P785</f>
        <v>51</v>
      </c>
      <c r="Y361">
        <f>+'Raw data'!Q785</f>
        <v>1.82</v>
      </c>
    </row>
    <row r="362" spans="1:25" x14ac:dyDescent="0.25">
      <c r="A362">
        <v>2025</v>
      </c>
      <c r="B362" t="s">
        <v>142</v>
      </c>
      <c r="C362" t="s">
        <v>148</v>
      </c>
      <c r="D362">
        <f t="shared" si="19"/>
        <v>171</v>
      </c>
      <c r="E362" t="str">
        <f>+'Raw data'!A834</f>
        <v>The Guns</v>
      </c>
      <c r="F362" t="str">
        <f>VLOOKUP(E362,Data!$E$2626:$F$2645,2,FALSE)</f>
        <v>Vasilis</v>
      </c>
      <c r="H362">
        <f>+'Raw data'!A843</f>
        <v>8</v>
      </c>
      <c r="I362">
        <f>+'Raw data'!B843</f>
        <v>5</v>
      </c>
      <c r="J362">
        <f>+'Raw data'!C843</f>
        <v>0</v>
      </c>
      <c r="M362">
        <f>+'Raw data'!E843</f>
        <v>193</v>
      </c>
      <c r="N362">
        <f>+'Raw data'!F843</f>
        <v>0.52</v>
      </c>
      <c r="O362">
        <f>+'Raw data'!G843</f>
        <v>77</v>
      </c>
      <c r="P362">
        <f>+'Raw data'!H843</f>
        <v>0.45</v>
      </c>
      <c r="Q362">
        <f>+'Raw data'!I843</f>
        <v>0.89700000000000002</v>
      </c>
      <c r="R362">
        <f>+'Raw data'!J843</f>
        <v>541</v>
      </c>
      <c r="S362">
        <f>+'Raw data'!K843</f>
        <v>31</v>
      </c>
      <c r="T362">
        <f>+'Raw data'!L843</f>
        <v>129</v>
      </c>
      <c r="U362">
        <f>+'Raw data'!M843</f>
        <v>110</v>
      </c>
      <c r="V362">
        <f>+'Raw data'!N843</f>
        <v>32</v>
      </c>
      <c r="W362">
        <f>+'Raw data'!O843</f>
        <v>10</v>
      </c>
      <c r="X362">
        <f>+'Raw data'!P843</f>
        <v>54</v>
      </c>
      <c r="Y362">
        <f>+'Raw data'!Q843</f>
        <v>2.04</v>
      </c>
    </row>
    <row r="363" spans="1:25" x14ac:dyDescent="0.25">
      <c r="A363">
        <v>2025</v>
      </c>
      <c r="B363" t="s">
        <v>142</v>
      </c>
      <c r="C363" t="s">
        <v>148</v>
      </c>
      <c r="D363">
        <f t="shared" si="19"/>
        <v>171</v>
      </c>
      <c r="E363" t="str">
        <f>+'Raw data'!A835</f>
        <v>purple fuzzy apache pirates</v>
      </c>
      <c r="F363" t="str">
        <f>VLOOKUP(E363,Data!$E$2626:$F$2645,2,FALSE)</f>
        <v>pi/Sotiris</v>
      </c>
      <c r="H363">
        <f>+'Raw data'!A844</f>
        <v>5</v>
      </c>
      <c r="I363">
        <f>+'Raw data'!B844</f>
        <v>8</v>
      </c>
      <c r="J363">
        <f>+'Raw data'!C844</f>
        <v>0</v>
      </c>
      <c r="M363">
        <f>+'Raw data'!E844</f>
        <v>186</v>
      </c>
      <c r="N363">
        <f>+'Raw data'!F844</f>
        <v>0.45300000000000001</v>
      </c>
      <c r="O363">
        <f>+'Raw data'!G844</f>
        <v>46</v>
      </c>
      <c r="P363">
        <f>+'Raw data'!H844</f>
        <v>0.28699999999999998</v>
      </c>
      <c r="Q363">
        <f>+'Raw data'!I844</f>
        <v>0.81899999999999995</v>
      </c>
      <c r="R363">
        <f>+'Raw data'!J844</f>
        <v>513</v>
      </c>
      <c r="S363">
        <f>+'Raw data'!K844</f>
        <v>53</v>
      </c>
      <c r="T363">
        <f>+'Raw data'!L844</f>
        <v>179</v>
      </c>
      <c r="U363">
        <f>+'Raw data'!M844</f>
        <v>148</v>
      </c>
      <c r="V363">
        <f>+'Raw data'!N844</f>
        <v>21</v>
      </c>
      <c r="W363">
        <f>+'Raw data'!O844</f>
        <v>16</v>
      </c>
      <c r="X363">
        <f>+'Raw data'!P844</f>
        <v>65</v>
      </c>
      <c r="Y363">
        <f>+'Raw data'!Q844</f>
        <v>2.2799999999999998</v>
      </c>
    </row>
    <row r="364" spans="1:25" x14ac:dyDescent="0.25">
      <c r="A364">
        <v>2025</v>
      </c>
      <c r="B364" t="s">
        <v>142</v>
      </c>
      <c r="C364" t="s">
        <v>148</v>
      </c>
      <c r="D364">
        <f t="shared" si="19"/>
        <v>172</v>
      </c>
      <c r="E364" t="str">
        <f>+'Raw data'!A836</f>
        <v>Xanthi Ducks 🦆</v>
      </c>
      <c r="F364" t="str">
        <f>VLOOKUP(E364,Data!$E$2626:$F$2645,2,FALSE)</f>
        <v>Kotakis</v>
      </c>
      <c r="H364">
        <f>+'Raw data'!A845</f>
        <v>2</v>
      </c>
      <c r="I364">
        <f>+'Raw data'!B845</f>
        <v>11</v>
      </c>
      <c r="J364">
        <f>+'Raw data'!C845</f>
        <v>0</v>
      </c>
      <c r="M364">
        <f>+'Raw data'!E845</f>
        <v>99</v>
      </c>
      <c r="N364">
        <f>+'Raw data'!F845</f>
        <v>0.40899999999999997</v>
      </c>
      <c r="O364">
        <f>+'Raw data'!G845</f>
        <v>30</v>
      </c>
      <c r="P364">
        <f>+'Raw data'!H845</f>
        <v>0.26300000000000001</v>
      </c>
      <c r="Q364">
        <f>+'Raw data'!I845</f>
        <v>0.78</v>
      </c>
      <c r="R364">
        <f>+'Raw data'!J845</f>
        <v>267</v>
      </c>
      <c r="S364">
        <f>+'Raw data'!K845</f>
        <v>21</v>
      </c>
      <c r="T364">
        <f>+'Raw data'!L845</f>
        <v>81</v>
      </c>
      <c r="U364">
        <f>+'Raw data'!M845</f>
        <v>71</v>
      </c>
      <c r="V364">
        <f>+'Raw data'!N845</f>
        <v>27</v>
      </c>
      <c r="W364">
        <f>+'Raw data'!O845</f>
        <v>12</v>
      </c>
      <c r="X364">
        <f>+'Raw data'!P845</f>
        <v>39</v>
      </c>
      <c r="Y364">
        <f>+'Raw data'!Q845</f>
        <v>1.82</v>
      </c>
    </row>
    <row r="365" spans="1:25" x14ac:dyDescent="0.25">
      <c r="A365">
        <v>2025</v>
      </c>
      <c r="B365" t="s">
        <v>142</v>
      </c>
      <c r="C365" t="s">
        <v>148</v>
      </c>
      <c r="D365">
        <f t="shared" si="19"/>
        <v>172</v>
      </c>
      <c r="E365" t="str">
        <f>+'Raw data'!A837</f>
        <v>Fighting Thaddeus</v>
      </c>
      <c r="F365" t="str">
        <f>VLOOKUP(E365,Data!$E$2626:$F$2645,2,FALSE)</f>
        <v>Stavros</v>
      </c>
      <c r="H365">
        <f>+'Raw data'!A846</f>
        <v>11</v>
      </c>
      <c r="I365">
        <f>+'Raw data'!B846</f>
        <v>2</v>
      </c>
      <c r="J365">
        <f>+'Raw data'!C846</f>
        <v>0</v>
      </c>
      <c r="M365">
        <f>+'Raw data'!E846</f>
        <v>142</v>
      </c>
      <c r="N365">
        <f>+'Raw data'!F846</f>
        <v>0.436</v>
      </c>
      <c r="O365">
        <f>+'Raw data'!G846</f>
        <v>39</v>
      </c>
      <c r="P365">
        <f>+'Raw data'!H846</f>
        <v>0.32800000000000001</v>
      </c>
      <c r="Q365">
        <f>+'Raw data'!I846</f>
        <v>0.90400000000000003</v>
      </c>
      <c r="R365">
        <f>+'Raw data'!J846</f>
        <v>426</v>
      </c>
      <c r="S365">
        <f>+'Raw data'!K846</f>
        <v>31</v>
      </c>
      <c r="T365">
        <f>+'Raw data'!L846</f>
        <v>100</v>
      </c>
      <c r="U365">
        <f>+'Raw data'!M846</f>
        <v>106</v>
      </c>
      <c r="V365">
        <f>+'Raw data'!N846</f>
        <v>21</v>
      </c>
      <c r="W365">
        <f>+'Raw data'!O846</f>
        <v>18</v>
      </c>
      <c r="X365">
        <f>+'Raw data'!P846</f>
        <v>49</v>
      </c>
      <c r="Y365">
        <f>+'Raw data'!Q846</f>
        <v>2.16</v>
      </c>
    </row>
    <row r="366" spans="1:25" x14ac:dyDescent="0.25">
      <c r="A366">
        <v>2025</v>
      </c>
      <c r="B366" t="s">
        <v>142</v>
      </c>
      <c r="C366" t="s">
        <v>148</v>
      </c>
      <c r="D366">
        <f t="shared" si="19"/>
        <v>173</v>
      </c>
      <c r="E366" t="str">
        <f>+'Raw data'!A838</f>
        <v>Pachiana NinjaBees</v>
      </c>
      <c r="F366" t="str">
        <f>VLOOKUP(E366,Data!$E$2626:$F$2645,2,FALSE)</f>
        <v>Spiridaus/Oladipas</v>
      </c>
      <c r="H366">
        <f>+'Raw data'!A847</f>
        <v>8</v>
      </c>
      <c r="I366">
        <f>+'Raw data'!B847</f>
        <v>5</v>
      </c>
      <c r="J366">
        <f>+'Raw data'!C847</f>
        <v>0</v>
      </c>
      <c r="M366">
        <f>+'Raw data'!E847</f>
        <v>180</v>
      </c>
      <c r="N366">
        <f>+'Raw data'!F847</f>
        <v>0.50600000000000001</v>
      </c>
      <c r="O366">
        <f>+'Raw data'!G847</f>
        <v>64</v>
      </c>
      <c r="P366">
        <f>+'Raw data'!H847</f>
        <v>0.38100000000000001</v>
      </c>
      <c r="Q366">
        <f>+'Raw data'!I847</f>
        <v>0.85699999999999998</v>
      </c>
      <c r="R366">
        <f>+'Raw data'!J847</f>
        <v>502</v>
      </c>
      <c r="S366">
        <f>+'Raw data'!K847</f>
        <v>46</v>
      </c>
      <c r="T366">
        <f>+'Raw data'!L847</f>
        <v>146</v>
      </c>
      <c r="U366">
        <f>+'Raw data'!M847</f>
        <v>110</v>
      </c>
      <c r="V366">
        <f>+'Raw data'!N847</f>
        <v>39</v>
      </c>
      <c r="W366">
        <f>+'Raw data'!O847</f>
        <v>37</v>
      </c>
      <c r="X366">
        <f>+'Raw data'!P847</f>
        <v>46</v>
      </c>
      <c r="Y366">
        <f>+'Raw data'!Q847</f>
        <v>2.39</v>
      </c>
    </row>
    <row r="367" spans="1:25" x14ac:dyDescent="0.25">
      <c r="A367">
        <v>2025</v>
      </c>
      <c r="B367" t="s">
        <v>142</v>
      </c>
      <c r="C367" t="s">
        <v>148</v>
      </c>
      <c r="D367">
        <f t="shared" si="19"/>
        <v>173</v>
      </c>
      <c r="E367" t="str">
        <f>+'Raw data'!A839</f>
        <v>The Bad Boys</v>
      </c>
      <c r="F367" t="str">
        <f>VLOOKUP(E367,Data!$E$2626:$F$2645,2,FALSE)</f>
        <v>Arvanitis</v>
      </c>
      <c r="H367">
        <f>+'Raw data'!A848</f>
        <v>5</v>
      </c>
      <c r="I367">
        <f>+'Raw data'!B848</f>
        <v>8</v>
      </c>
      <c r="J367">
        <f>+'Raw data'!C848</f>
        <v>0</v>
      </c>
      <c r="M367">
        <f>+'Raw data'!E848</f>
        <v>205</v>
      </c>
      <c r="N367">
        <f>+'Raw data'!F848</f>
        <v>0.51</v>
      </c>
      <c r="O367">
        <f>+'Raw data'!G848</f>
        <v>51</v>
      </c>
      <c r="P367">
        <f>+'Raw data'!H848</f>
        <v>0.39200000000000002</v>
      </c>
      <c r="Q367">
        <f>+'Raw data'!I848</f>
        <v>0.70799999999999996</v>
      </c>
      <c r="R367">
        <f>+'Raw data'!J848</f>
        <v>546</v>
      </c>
      <c r="S367">
        <f>+'Raw data'!K848</f>
        <v>36</v>
      </c>
      <c r="T367">
        <f>+'Raw data'!L848</f>
        <v>117</v>
      </c>
      <c r="U367">
        <f>+'Raw data'!M848</f>
        <v>128</v>
      </c>
      <c r="V367">
        <f>+'Raw data'!N848</f>
        <v>37</v>
      </c>
      <c r="W367">
        <f>+'Raw data'!O848</f>
        <v>17</v>
      </c>
      <c r="X367">
        <f>+'Raw data'!P848</f>
        <v>59</v>
      </c>
      <c r="Y367">
        <f>+'Raw data'!Q848</f>
        <v>2.17</v>
      </c>
    </row>
    <row r="368" spans="1:25" x14ac:dyDescent="0.25">
      <c r="A368">
        <v>2025</v>
      </c>
      <c r="B368" t="s">
        <v>142</v>
      </c>
      <c r="C368" t="s">
        <v>148</v>
      </c>
      <c r="D368">
        <f t="shared" si="19"/>
        <v>174</v>
      </c>
      <c r="E368" t="str">
        <f>+'Raw data'!A840</f>
        <v>Guruuu 🐐🐐🐐</v>
      </c>
      <c r="F368" t="str">
        <f>VLOOKUP(E368,Data!$E$2626:$F$2645,2,FALSE)</f>
        <v>Guru</v>
      </c>
      <c r="H368">
        <f>+'Raw data'!A849</f>
        <v>5</v>
      </c>
      <c r="I368">
        <f>+'Raw data'!B849</f>
        <v>8</v>
      </c>
      <c r="J368">
        <f>+'Raw data'!C849</f>
        <v>0</v>
      </c>
      <c r="M368">
        <f>+'Raw data'!E849</f>
        <v>138</v>
      </c>
      <c r="N368">
        <f>+'Raw data'!F849</f>
        <v>0.45200000000000001</v>
      </c>
      <c r="O368">
        <f>+'Raw data'!G849</f>
        <v>50</v>
      </c>
      <c r="P368">
        <f>+'Raw data'!H849</f>
        <v>0.36</v>
      </c>
      <c r="Q368">
        <f>+'Raw data'!I849</f>
        <v>0.73499999999999999</v>
      </c>
      <c r="R368">
        <f>+'Raw data'!J849</f>
        <v>412</v>
      </c>
      <c r="S368">
        <f>+'Raw data'!K849</f>
        <v>28</v>
      </c>
      <c r="T368">
        <f>+'Raw data'!L849</f>
        <v>106</v>
      </c>
      <c r="U368">
        <f>+'Raw data'!M849</f>
        <v>99</v>
      </c>
      <c r="V368">
        <f>+'Raw data'!N849</f>
        <v>40</v>
      </c>
      <c r="W368">
        <f>+'Raw data'!O849</f>
        <v>13</v>
      </c>
      <c r="X368">
        <f>+'Raw data'!P849</f>
        <v>38</v>
      </c>
      <c r="Y368">
        <f>+'Raw data'!Q849</f>
        <v>2.61</v>
      </c>
    </row>
    <row r="369" spans="1:25" x14ac:dyDescent="0.25">
      <c r="A369">
        <v>2025</v>
      </c>
      <c r="B369" t="s">
        <v>142</v>
      </c>
      <c r="C369" t="s">
        <v>148</v>
      </c>
      <c r="D369">
        <f t="shared" si="19"/>
        <v>174</v>
      </c>
      <c r="E369" t="str">
        <f>+'Raw data'!A841</f>
        <v>LRBP PR3DATORS</v>
      </c>
      <c r="F369" t="str">
        <f>VLOOKUP(E369,Data!$E$2626:$F$2645,2,FALSE)</f>
        <v>Lafa</v>
      </c>
      <c r="H369">
        <f>+'Raw data'!A850</f>
        <v>8</v>
      </c>
      <c r="I369">
        <f>+'Raw data'!B850</f>
        <v>5</v>
      </c>
      <c r="J369">
        <f>+'Raw data'!C850</f>
        <v>0</v>
      </c>
      <c r="M369">
        <f>+'Raw data'!E850</f>
        <v>221</v>
      </c>
      <c r="N369">
        <f>+'Raw data'!F850</f>
        <v>0.496</v>
      </c>
      <c r="O369">
        <f>+'Raw data'!G850</f>
        <v>47</v>
      </c>
      <c r="P369">
        <f>+'Raw data'!H850</f>
        <v>0.28699999999999998</v>
      </c>
      <c r="Q369">
        <f>+'Raw data'!I850</f>
        <v>0.752</v>
      </c>
      <c r="R369">
        <f>+'Raw data'!J850</f>
        <v>574</v>
      </c>
      <c r="S369">
        <f>+'Raw data'!K850</f>
        <v>41</v>
      </c>
      <c r="T369">
        <f>+'Raw data'!L850</f>
        <v>127</v>
      </c>
      <c r="U369">
        <f>+'Raw data'!M850</f>
        <v>119</v>
      </c>
      <c r="V369">
        <f>+'Raw data'!N850</f>
        <v>30</v>
      </c>
      <c r="W369">
        <f>+'Raw data'!O850</f>
        <v>23</v>
      </c>
      <c r="X369">
        <f>+'Raw data'!P850</f>
        <v>78</v>
      </c>
      <c r="Y369">
        <f>+'Raw data'!Q850</f>
        <v>1.53</v>
      </c>
    </row>
    <row r="370" spans="1:25" x14ac:dyDescent="0.25">
      <c r="A370">
        <v>2025</v>
      </c>
      <c r="B370" t="s">
        <v>142</v>
      </c>
      <c r="C370" t="s">
        <v>146</v>
      </c>
      <c r="D370">
        <f t="shared" si="19"/>
        <v>175</v>
      </c>
      <c r="E370" t="str">
        <f>+'Raw data'!A854</f>
        <v>The Guns</v>
      </c>
      <c r="F370" t="str">
        <f>VLOOKUP(E370,Data!$E$2626:$F$2645,2,FALSE)</f>
        <v>Vasilis</v>
      </c>
      <c r="H370">
        <f>+'Raw data'!A863</f>
        <v>8</v>
      </c>
      <c r="I370">
        <f>+'Raw data'!B863</f>
        <v>4</v>
      </c>
      <c r="J370">
        <f>+'Raw data'!C863</f>
        <v>1</v>
      </c>
      <c r="M370">
        <f>+'Raw data'!E863</f>
        <v>156</v>
      </c>
      <c r="N370">
        <f>+'Raw data'!F863</f>
        <v>0.52</v>
      </c>
      <c r="O370">
        <f>+'Raw data'!G863</f>
        <v>47</v>
      </c>
      <c r="P370">
        <f>+'Raw data'!H863</f>
        <v>0.42</v>
      </c>
      <c r="Q370">
        <f>+'Raw data'!I863</f>
        <v>0.88400000000000001</v>
      </c>
      <c r="R370">
        <f>+'Raw data'!J863</f>
        <v>420</v>
      </c>
      <c r="S370">
        <f>+'Raw data'!K863</f>
        <v>24</v>
      </c>
      <c r="T370">
        <f>+'Raw data'!L863</f>
        <v>101</v>
      </c>
      <c r="U370">
        <f>+'Raw data'!M863</f>
        <v>102</v>
      </c>
      <c r="V370">
        <f>+'Raw data'!N863</f>
        <v>25</v>
      </c>
      <c r="W370">
        <f>+'Raw data'!O863</f>
        <v>29</v>
      </c>
      <c r="X370">
        <f>+'Raw data'!P863</f>
        <v>43</v>
      </c>
      <c r="Y370">
        <f>+'Raw data'!Q863</f>
        <v>2.37</v>
      </c>
    </row>
    <row r="371" spans="1:25" x14ac:dyDescent="0.25">
      <c r="A371">
        <v>2025</v>
      </c>
      <c r="B371" t="s">
        <v>142</v>
      </c>
      <c r="C371" t="s">
        <v>146</v>
      </c>
      <c r="D371">
        <f t="shared" si="19"/>
        <v>175</v>
      </c>
      <c r="E371" t="str">
        <f>+'Raw data'!A855</f>
        <v>Karafli Saita</v>
      </c>
      <c r="F371" t="str">
        <f>VLOOKUP(E371,Data!$E$2626:$F$2645,2,FALSE)</f>
        <v>Tassos</v>
      </c>
      <c r="H371">
        <f>+'Raw data'!A864</f>
        <v>4</v>
      </c>
      <c r="I371">
        <f>+'Raw data'!B864</f>
        <v>8</v>
      </c>
      <c r="J371">
        <f>+'Raw data'!C864</f>
        <v>1</v>
      </c>
      <c r="M371">
        <f>+'Raw data'!E864</f>
        <v>132</v>
      </c>
      <c r="N371">
        <f>+'Raw data'!F864</f>
        <v>0.47699999999999998</v>
      </c>
      <c r="O371">
        <f>+'Raw data'!G864</f>
        <v>29</v>
      </c>
      <c r="P371">
        <f>+'Raw data'!H864</f>
        <v>0.312</v>
      </c>
      <c r="Q371">
        <f>+'Raw data'!I864</f>
        <v>0.91400000000000003</v>
      </c>
      <c r="R371">
        <f>+'Raw data'!J864</f>
        <v>378</v>
      </c>
      <c r="S371">
        <f>+'Raw data'!K864</f>
        <v>19</v>
      </c>
      <c r="T371">
        <f>+'Raw data'!L864</f>
        <v>94</v>
      </c>
      <c r="U371">
        <f>+'Raw data'!M864</f>
        <v>119</v>
      </c>
      <c r="V371">
        <f>+'Raw data'!N864</f>
        <v>29</v>
      </c>
      <c r="W371">
        <f>+'Raw data'!O864</f>
        <v>13</v>
      </c>
      <c r="X371">
        <f>+'Raw data'!P864</f>
        <v>43</v>
      </c>
      <c r="Y371">
        <f>+'Raw data'!Q864</f>
        <v>2.77</v>
      </c>
    </row>
    <row r="372" spans="1:25" x14ac:dyDescent="0.25">
      <c r="A372">
        <v>2025</v>
      </c>
      <c r="B372" t="s">
        <v>142</v>
      </c>
      <c r="C372" t="s">
        <v>146</v>
      </c>
      <c r="D372">
        <f t="shared" si="19"/>
        <v>176</v>
      </c>
      <c r="E372" t="str">
        <f>+'Raw data'!A856</f>
        <v>Fighting Thaddeus</v>
      </c>
      <c r="F372" t="str">
        <f>VLOOKUP(E372,Data!$E$2626:$F$2645,2,FALSE)</f>
        <v>Stavros</v>
      </c>
      <c r="H372">
        <f>+'Raw data'!A865</f>
        <v>5</v>
      </c>
      <c r="I372">
        <f>+'Raw data'!B865</f>
        <v>8</v>
      </c>
      <c r="J372">
        <f>+'Raw data'!C865</f>
        <v>0</v>
      </c>
      <c r="M372">
        <f>+'Raw data'!E865</f>
        <v>143</v>
      </c>
      <c r="N372">
        <f>+'Raw data'!F865</f>
        <v>0.52600000000000002</v>
      </c>
      <c r="O372">
        <f>+'Raw data'!G865</f>
        <v>48</v>
      </c>
      <c r="P372">
        <f>+'Raw data'!H865</f>
        <v>0.39</v>
      </c>
      <c r="Q372">
        <f>+'Raw data'!I865</f>
        <v>0.85299999999999998</v>
      </c>
      <c r="R372">
        <f>+'Raw data'!J865</f>
        <v>398</v>
      </c>
      <c r="S372">
        <f>+'Raw data'!K865</f>
        <v>17</v>
      </c>
      <c r="T372">
        <f>+'Raw data'!L865</f>
        <v>81</v>
      </c>
      <c r="U372">
        <f>+'Raw data'!M865</f>
        <v>93</v>
      </c>
      <c r="V372">
        <f>+'Raw data'!N865</f>
        <v>25</v>
      </c>
      <c r="W372">
        <f>+'Raw data'!O865</f>
        <v>11</v>
      </c>
      <c r="X372">
        <f>+'Raw data'!P865</f>
        <v>33</v>
      </c>
      <c r="Y372">
        <f>+'Raw data'!Q865</f>
        <v>2.82</v>
      </c>
    </row>
    <row r="373" spans="1:25" x14ac:dyDescent="0.25">
      <c r="A373">
        <v>2025</v>
      </c>
      <c r="B373" t="s">
        <v>142</v>
      </c>
      <c r="C373" t="s">
        <v>146</v>
      </c>
      <c r="D373">
        <f t="shared" si="19"/>
        <v>176</v>
      </c>
      <c r="E373" t="str">
        <f>+'Raw data'!A857</f>
        <v>Samarina Dudenbros</v>
      </c>
      <c r="F373" t="str">
        <f>VLOOKUP(E373,Data!$E$2626:$F$2645,2,FALSE)</f>
        <v>Sakellariou</v>
      </c>
      <c r="H373">
        <f>+'Raw data'!A866</f>
        <v>8</v>
      </c>
      <c r="I373">
        <f>+'Raw data'!B866</f>
        <v>5</v>
      </c>
      <c r="J373">
        <f>+'Raw data'!C866</f>
        <v>0</v>
      </c>
      <c r="M373">
        <f>+'Raw data'!E866</f>
        <v>247</v>
      </c>
      <c r="N373">
        <f>+'Raw data'!F866</f>
        <v>0.501</v>
      </c>
      <c r="O373">
        <f>+'Raw data'!G866</f>
        <v>59</v>
      </c>
      <c r="P373">
        <f>+'Raw data'!H866</f>
        <v>0.34100000000000003</v>
      </c>
      <c r="Q373">
        <f>+'Raw data'!I866</f>
        <v>0.83499999999999996</v>
      </c>
      <c r="R373">
        <f>+'Raw data'!J866</f>
        <v>725</v>
      </c>
      <c r="S373">
        <f>+'Raw data'!K866</f>
        <v>40</v>
      </c>
      <c r="T373">
        <f>+'Raw data'!L866</f>
        <v>127</v>
      </c>
      <c r="U373">
        <f>+'Raw data'!M866</f>
        <v>151</v>
      </c>
      <c r="V373">
        <f>+'Raw data'!N866</f>
        <v>45</v>
      </c>
      <c r="W373">
        <f>+'Raw data'!O866</f>
        <v>21</v>
      </c>
      <c r="X373">
        <f>+'Raw data'!P866</f>
        <v>79</v>
      </c>
      <c r="Y373">
        <f>+'Raw data'!Q866</f>
        <v>1.91</v>
      </c>
    </row>
    <row r="374" spans="1:25" x14ac:dyDescent="0.25">
      <c r="A374">
        <v>2025</v>
      </c>
      <c r="B374" t="s">
        <v>142</v>
      </c>
      <c r="C374" t="s">
        <v>146</v>
      </c>
      <c r="D374">
        <f t="shared" si="19"/>
        <v>177</v>
      </c>
      <c r="E374" t="str">
        <f>+'Raw data'!A858</f>
        <v>Pachiana NinjaBees</v>
      </c>
      <c r="F374" t="str">
        <f>VLOOKUP(E374,Data!$E$2626:$F$2645,2,FALSE)</f>
        <v>Spiridaus/Oladipas</v>
      </c>
      <c r="H374">
        <f>+'Raw data'!A867</f>
        <v>10</v>
      </c>
      <c r="I374">
        <f>+'Raw data'!B867</f>
        <v>3</v>
      </c>
      <c r="J374">
        <f>+'Raw data'!C867</f>
        <v>0</v>
      </c>
      <c r="M374">
        <f>+'Raw data'!E867</f>
        <v>157</v>
      </c>
      <c r="N374">
        <f>+'Raw data'!F867</f>
        <v>0.51600000000000001</v>
      </c>
      <c r="O374">
        <f>+'Raw data'!G867</f>
        <v>44</v>
      </c>
      <c r="P374">
        <f>+'Raw data'!H867</f>
        <v>0.39300000000000002</v>
      </c>
      <c r="Q374">
        <f>+'Raw data'!I867</f>
        <v>0.85899999999999999</v>
      </c>
      <c r="R374">
        <f>+'Raw data'!J867</f>
        <v>413</v>
      </c>
      <c r="S374">
        <f>+'Raw data'!K867</f>
        <v>42</v>
      </c>
      <c r="T374">
        <f>+'Raw data'!L867</f>
        <v>114</v>
      </c>
      <c r="U374">
        <f>+'Raw data'!M867</f>
        <v>115</v>
      </c>
      <c r="V374">
        <f>+'Raw data'!N867</f>
        <v>30</v>
      </c>
      <c r="W374">
        <f>+'Raw data'!O867</f>
        <v>20</v>
      </c>
      <c r="X374">
        <f>+'Raw data'!P867</f>
        <v>53</v>
      </c>
      <c r="Y374">
        <f>+'Raw data'!Q867</f>
        <v>2.17</v>
      </c>
    </row>
    <row r="375" spans="1:25" x14ac:dyDescent="0.25">
      <c r="A375">
        <v>2025</v>
      </c>
      <c r="B375" t="s">
        <v>142</v>
      </c>
      <c r="C375" t="s">
        <v>146</v>
      </c>
      <c r="D375">
        <f t="shared" si="19"/>
        <v>177</v>
      </c>
      <c r="E375" t="str">
        <f>+'Raw data'!A859</f>
        <v>Kourayo Vallecano</v>
      </c>
      <c r="F375" t="str">
        <f>VLOOKUP(E375,Data!$E$2626:$F$2645,2,FALSE)</f>
        <v>Ziogas/Christof</v>
      </c>
      <c r="H375">
        <f>+'Raw data'!A868</f>
        <v>3</v>
      </c>
      <c r="I375">
        <f>+'Raw data'!B868</f>
        <v>10</v>
      </c>
      <c r="J375">
        <f>+'Raw data'!C868</f>
        <v>0</v>
      </c>
      <c r="M375">
        <f>+'Raw data'!E868</f>
        <v>128</v>
      </c>
      <c r="N375">
        <f>+'Raw data'!F868</f>
        <v>0.45700000000000002</v>
      </c>
      <c r="O375">
        <f>+'Raw data'!G868</f>
        <v>38</v>
      </c>
      <c r="P375">
        <f>+'Raw data'!H868</f>
        <v>0.36899999999999999</v>
      </c>
      <c r="Q375">
        <f>+'Raw data'!I868</f>
        <v>0.873</v>
      </c>
      <c r="R375">
        <f>+'Raw data'!J868</f>
        <v>349</v>
      </c>
      <c r="S375">
        <f>+'Raw data'!K868</f>
        <v>51</v>
      </c>
      <c r="T375">
        <f>+'Raw data'!L868</f>
        <v>102</v>
      </c>
      <c r="U375">
        <f>+'Raw data'!M868</f>
        <v>74</v>
      </c>
      <c r="V375">
        <f>+'Raw data'!N868</f>
        <v>18</v>
      </c>
      <c r="W375">
        <f>+'Raw data'!O868</f>
        <v>9</v>
      </c>
      <c r="X375">
        <f>+'Raw data'!P868</f>
        <v>42</v>
      </c>
      <c r="Y375">
        <f>+'Raw data'!Q868</f>
        <v>1.76</v>
      </c>
    </row>
    <row r="376" spans="1:25" x14ac:dyDescent="0.25">
      <c r="A376">
        <v>2025</v>
      </c>
      <c r="B376" t="s">
        <v>142</v>
      </c>
      <c r="C376" t="s">
        <v>146</v>
      </c>
      <c r="D376">
        <f t="shared" si="19"/>
        <v>178</v>
      </c>
      <c r="E376" t="str">
        <f>+'Raw data'!A860</f>
        <v>LRBP PR3DATORS</v>
      </c>
      <c r="F376" t="str">
        <f>VLOOKUP(E376,Data!$E$2626:$F$2645,2,FALSE)</f>
        <v>Lafa</v>
      </c>
      <c r="H376">
        <f>+'Raw data'!A869</f>
        <v>8</v>
      </c>
      <c r="I376">
        <f>+'Raw data'!B869</f>
        <v>5</v>
      </c>
      <c r="J376">
        <f>+'Raw data'!C869</f>
        <v>0</v>
      </c>
      <c r="M376">
        <f>+'Raw data'!E869</f>
        <v>207</v>
      </c>
      <c r="N376">
        <f>+'Raw data'!F869</f>
        <v>0.48399999999999999</v>
      </c>
      <c r="O376">
        <f>+'Raw data'!G869</f>
        <v>71</v>
      </c>
      <c r="P376">
        <f>+'Raw data'!H869</f>
        <v>0.39700000000000002</v>
      </c>
      <c r="Q376">
        <f>+'Raw data'!I869</f>
        <v>0.78800000000000003</v>
      </c>
      <c r="R376">
        <f>+'Raw data'!J869</f>
        <v>600</v>
      </c>
      <c r="S376">
        <f>+'Raw data'!K869</f>
        <v>38</v>
      </c>
      <c r="T376">
        <f>+'Raw data'!L869</f>
        <v>149</v>
      </c>
      <c r="U376">
        <f>+'Raw data'!M869</f>
        <v>160</v>
      </c>
      <c r="V376">
        <f>+'Raw data'!N869</f>
        <v>39</v>
      </c>
      <c r="W376">
        <f>+'Raw data'!O869</f>
        <v>24</v>
      </c>
      <c r="X376">
        <f>+'Raw data'!P869</f>
        <v>76</v>
      </c>
      <c r="Y376">
        <f>+'Raw data'!Q869</f>
        <v>2.11</v>
      </c>
    </row>
    <row r="377" spans="1:25" x14ac:dyDescent="0.25">
      <c r="A377">
        <v>2025</v>
      </c>
      <c r="B377" t="s">
        <v>142</v>
      </c>
      <c r="C377" t="s">
        <v>146</v>
      </c>
      <c r="D377">
        <f t="shared" si="19"/>
        <v>178</v>
      </c>
      <c r="E377" t="str">
        <f>+'Raw data'!A861</f>
        <v>The Bridgeburners</v>
      </c>
      <c r="F377" t="str">
        <f>VLOOKUP(E377,Data!$E$2626:$F$2645,2,FALSE)</f>
        <v>Fanis</v>
      </c>
      <c r="H377">
        <f>+'Raw data'!A870</f>
        <v>5</v>
      </c>
      <c r="I377">
        <f>+'Raw data'!B870</f>
        <v>8</v>
      </c>
      <c r="J377">
        <f>+'Raw data'!C870</f>
        <v>0</v>
      </c>
      <c r="M377">
        <f>+'Raw data'!E870</f>
        <v>203</v>
      </c>
      <c r="N377">
        <f>+'Raw data'!F870</f>
        <v>0.51800000000000002</v>
      </c>
      <c r="O377">
        <f>+'Raw data'!G870</f>
        <v>49</v>
      </c>
      <c r="P377">
        <f>+'Raw data'!H870</f>
        <v>0.34</v>
      </c>
      <c r="Q377">
        <f>+'Raw data'!I870</f>
        <v>0.68600000000000005</v>
      </c>
      <c r="R377">
        <f>+'Raw data'!J870</f>
        <v>525</v>
      </c>
      <c r="S377">
        <f>+'Raw data'!K870</f>
        <v>58</v>
      </c>
      <c r="T377">
        <f>+'Raw data'!L870</f>
        <v>154</v>
      </c>
      <c r="U377">
        <f>+'Raw data'!M870</f>
        <v>103</v>
      </c>
      <c r="V377">
        <f>+'Raw data'!N870</f>
        <v>28</v>
      </c>
      <c r="W377">
        <f>+'Raw data'!O870</f>
        <v>28</v>
      </c>
      <c r="X377">
        <f>+'Raw data'!P870</f>
        <v>58</v>
      </c>
      <c r="Y377">
        <f>+'Raw data'!Q870</f>
        <v>1.78</v>
      </c>
    </row>
    <row r="378" spans="1:25" x14ac:dyDescent="0.25">
      <c r="A378">
        <v>2025</v>
      </c>
      <c r="B378" t="s">
        <v>142</v>
      </c>
      <c r="C378" t="s">
        <v>147</v>
      </c>
      <c r="D378">
        <f t="shared" si="19"/>
        <v>179</v>
      </c>
      <c r="E378" t="str">
        <f>+'Raw data'!A874</f>
        <v>The Guns</v>
      </c>
      <c r="F378" t="str">
        <f>VLOOKUP(E378,Data!$E$2626:$F$2645,2,FALSE)</f>
        <v>Vasilis</v>
      </c>
      <c r="H378">
        <f>+'Raw data'!A879</f>
        <v>6</v>
      </c>
      <c r="I378">
        <f>+'Raw data'!B879</f>
        <v>7</v>
      </c>
      <c r="J378">
        <f>+'Raw data'!C879</f>
        <v>0</v>
      </c>
      <c r="M378">
        <f>+'Raw data'!E879</f>
        <v>209</v>
      </c>
      <c r="N378">
        <f>+'Raw data'!F879</f>
        <v>0.499</v>
      </c>
      <c r="O378">
        <f>+'Raw data'!G879</f>
        <v>66</v>
      </c>
      <c r="P378">
        <f>+'Raw data'!H879</f>
        <v>0.38400000000000001</v>
      </c>
      <c r="Q378">
        <f>+'Raw data'!I879</f>
        <v>0.81499999999999995</v>
      </c>
      <c r="R378">
        <f>+'Raw data'!J879</f>
        <v>590</v>
      </c>
      <c r="S378">
        <f>+'Raw data'!K879</f>
        <v>30</v>
      </c>
      <c r="T378">
        <f>+'Raw data'!L879</f>
        <v>134</v>
      </c>
      <c r="U378">
        <f>+'Raw data'!M879</f>
        <v>112</v>
      </c>
      <c r="V378">
        <f>+'Raw data'!N879</f>
        <v>39</v>
      </c>
      <c r="W378">
        <f>+'Raw data'!O879</f>
        <v>23</v>
      </c>
      <c r="X378">
        <f>+'Raw data'!P879</f>
        <v>61</v>
      </c>
      <c r="Y378">
        <f>+'Raw data'!Q879</f>
        <v>1.84</v>
      </c>
    </row>
    <row r="379" spans="1:25" x14ac:dyDescent="0.25">
      <c r="A379">
        <v>2025</v>
      </c>
      <c r="B379" t="s">
        <v>142</v>
      </c>
      <c r="C379" t="s">
        <v>147</v>
      </c>
      <c r="D379">
        <f t="shared" si="19"/>
        <v>179</v>
      </c>
      <c r="E379" t="str">
        <f>+'Raw data'!A875</f>
        <v>Samarina Dudenbros</v>
      </c>
      <c r="F379" t="str">
        <f>VLOOKUP(E379,Data!$E$2626:$F$2645,2,FALSE)</f>
        <v>Sakellariou</v>
      </c>
      <c r="H379">
        <f>+'Raw data'!A880</f>
        <v>7</v>
      </c>
      <c r="I379">
        <f>+'Raw data'!B880</f>
        <v>6</v>
      </c>
      <c r="J379">
        <f>+'Raw data'!C880</f>
        <v>0</v>
      </c>
      <c r="M379">
        <f>+'Raw data'!E880</f>
        <v>186</v>
      </c>
      <c r="N379">
        <f>+'Raw data'!F880</f>
        <v>0.52</v>
      </c>
      <c r="O379">
        <f>+'Raw data'!G880</f>
        <v>55</v>
      </c>
      <c r="P379">
        <f>+'Raw data'!H880</f>
        <v>0.42599999999999999</v>
      </c>
      <c r="Q379">
        <f>+'Raw data'!I880</f>
        <v>0.76600000000000001</v>
      </c>
      <c r="R379">
        <f>+'Raw data'!J880</f>
        <v>509</v>
      </c>
      <c r="S379">
        <f>+'Raw data'!K880</f>
        <v>37</v>
      </c>
      <c r="T379">
        <f>+'Raw data'!L880</f>
        <v>147</v>
      </c>
      <c r="U379">
        <f>+'Raw data'!M880</f>
        <v>122</v>
      </c>
      <c r="V379">
        <f>+'Raw data'!N880</f>
        <v>30</v>
      </c>
      <c r="W379">
        <f>+'Raw data'!O880</f>
        <v>13</v>
      </c>
      <c r="X379">
        <f>+'Raw data'!P880</f>
        <v>51</v>
      </c>
      <c r="Y379">
        <f>+'Raw data'!Q880</f>
        <v>2.39</v>
      </c>
    </row>
    <row r="380" spans="1:25" x14ac:dyDescent="0.25">
      <c r="A380">
        <v>2025</v>
      </c>
      <c r="B380" t="s">
        <v>142</v>
      </c>
      <c r="C380" t="s">
        <v>147</v>
      </c>
      <c r="D380">
        <f t="shared" si="19"/>
        <v>180</v>
      </c>
      <c r="E380" t="str">
        <f>+'Raw data'!A876</f>
        <v>Pachiana NinjaBees</v>
      </c>
      <c r="F380" t="str">
        <f>VLOOKUP(E380,Data!$E$2626:$F$2645,2,FALSE)</f>
        <v>Spiridaus/Oladipas</v>
      </c>
      <c r="H380">
        <f>+'Raw data'!A881</f>
        <v>7</v>
      </c>
      <c r="I380">
        <f>+'Raw data'!B881</f>
        <v>6</v>
      </c>
      <c r="J380">
        <f>+'Raw data'!C881</f>
        <v>0</v>
      </c>
      <c r="M380">
        <f>+'Raw data'!E881</f>
        <v>196</v>
      </c>
      <c r="N380">
        <f>+'Raw data'!F881</f>
        <v>0.5</v>
      </c>
      <c r="O380">
        <f>+'Raw data'!G881</f>
        <v>71</v>
      </c>
      <c r="P380">
        <f>+'Raw data'!H881</f>
        <v>0.40799999999999997</v>
      </c>
      <c r="Q380">
        <f>+'Raw data'!I881</f>
        <v>0.83899999999999997</v>
      </c>
      <c r="R380">
        <f>+'Raw data'!J881</f>
        <v>541</v>
      </c>
      <c r="S380">
        <f>+'Raw data'!K881</f>
        <v>31</v>
      </c>
      <c r="T380">
        <f>+'Raw data'!L881</f>
        <v>129</v>
      </c>
      <c r="U380">
        <f>+'Raw data'!M881</f>
        <v>116</v>
      </c>
      <c r="V380">
        <f>+'Raw data'!N881</f>
        <v>41</v>
      </c>
      <c r="W380">
        <f>+'Raw data'!O881</f>
        <v>22</v>
      </c>
      <c r="X380">
        <f>+'Raw data'!P881</f>
        <v>49</v>
      </c>
      <c r="Y380">
        <f>+'Raw data'!Q881</f>
        <v>2.37</v>
      </c>
    </row>
    <row r="381" spans="1:25" x14ac:dyDescent="0.25">
      <c r="A381">
        <v>2025</v>
      </c>
      <c r="B381" t="s">
        <v>142</v>
      </c>
      <c r="C381" t="s">
        <v>147</v>
      </c>
      <c r="D381">
        <f t="shared" si="19"/>
        <v>180</v>
      </c>
      <c r="E381" t="str">
        <f>+'Raw data'!A877</f>
        <v>LRBP PR3DATORS</v>
      </c>
      <c r="F381" t="str">
        <f>VLOOKUP(E381,Data!$E$2626:$F$2645,2,FALSE)</f>
        <v>Lafa</v>
      </c>
      <c r="H381">
        <f>+'Raw data'!A882</f>
        <v>6</v>
      </c>
      <c r="I381">
        <f>+'Raw data'!B882</f>
        <v>7</v>
      </c>
      <c r="J381">
        <f>+'Raw data'!C882</f>
        <v>0</v>
      </c>
      <c r="M381">
        <f>+'Raw data'!E882</f>
        <v>239</v>
      </c>
      <c r="N381">
        <f>+'Raw data'!F882</f>
        <v>0.46</v>
      </c>
      <c r="O381">
        <f>+'Raw data'!G882</f>
        <v>61</v>
      </c>
      <c r="P381">
        <f>+'Raw data'!H882</f>
        <v>0.32600000000000001</v>
      </c>
      <c r="Q381">
        <f>+'Raw data'!I882</f>
        <v>0.78</v>
      </c>
      <c r="R381">
        <f>+'Raw data'!J882</f>
        <v>699</v>
      </c>
      <c r="S381">
        <f>+'Raw data'!K882</f>
        <v>38</v>
      </c>
      <c r="T381">
        <f>+'Raw data'!L882</f>
        <v>145</v>
      </c>
      <c r="U381">
        <f>+'Raw data'!M882</f>
        <v>167</v>
      </c>
      <c r="V381">
        <f>+'Raw data'!N882</f>
        <v>42</v>
      </c>
      <c r="W381">
        <f>+'Raw data'!O882</f>
        <v>17</v>
      </c>
      <c r="X381">
        <f>+'Raw data'!P882</f>
        <v>87</v>
      </c>
      <c r="Y381">
        <f>+'Raw data'!Q882</f>
        <v>1.92</v>
      </c>
    </row>
    <row r="382" spans="1:25" x14ac:dyDescent="0.25">
      <c r="A382">
        <v>2025</v>
      </c>
      <c r="B382" t="s">
        <v>142</v>
      </c>
      <c r="C382" t="s">
        <v>30</v>
      </c>
      <c r="D382">
        <f t="shared" si="19"/>
        <v>181</v>
      </c>
      <c r="E382" t="str">
        <f>+'Raw data'!A886</f>
        <v>Pachiana NinjaBees</v>
      </c>
      <c r="F382" t="str">
        <f>VLOOKUP(E382,Data!$E$2626:$F$2645,2,FALSE)</f>
        <v>Spiridaus/Oladipas</v>
      </c>
      <c r="H382">
        <f>+'Raw data'!A889</f>
        <v>7</v>
      </c>
      <c r="I382">
        <f>+'Raw data'!B889</f>
        <v>6</v>
      </c>
      <c r="J382">
        <f>+'Raw data'!C889</f>
        <v>0</v>
      </c>
      <c r="M382">
        <f>+'Raw data'!E889</f>
        <v>216</v>
      </c>
      <c r="N382">
        <f>+'Raw data'!F889</f>
        <v>0.52600000000000002</v>
      </c>
      <c r="O382">
        <f>+'Raw data'!G889</f>
        <v>41</v>
      </c>
      <c r="P382">
        <f>+'Raw data'!H889</f>
        <v>0.32800000000000001</v>
      </c>
      <c r="Q382">
        <f>+'Raw data'!I889</f>
        <v>0.77</v>
      </c>
      <c r="R382">
        <f>+'Raw data'!J889</f>
        <v>550</v>
      </c>
      <c r="S382">
        <f>+'Raw data'!K889</f>
        <v>41</v>
      </c>
      <c r="T382">
        <f>+'Raw data'!L889</f>
        <v>149</v>
      </c>
      <c r="U382">
        <f>+'Raw data'!M889</f>
        <v>167</v>
      </c>
      <c r="V382">
        <f>+'Raw data'!N889</f>
        <v>46</v>
      </c>
      <c r="W382">
        <f>+'Raw data'!O889</f>
        <v>24</v>
      </c>
      <c r="X382">
        <f>+'Raw data'!P889</f>
        <v>61</v>
      </c>
      <c r="Y382">
        <f>+'Raw data'!Q889</f>
        <v>2.74</v>
      </c>
    </row>
    <row r="383" spans="1:25" x14ac:dyDescent="0.25">
      <c r="A383">
        <v>2025</v>
      </c>
      <c r="B383" t="s">
        <v>142</v>
      </c>
      <c r="C383" t="s">
        <v>30</v>
      </c>
      <c r="D383">
        <f t="shared" si="19"/>
        <v>181</v>
      </c>
      <c r="E383" t="str">
        <f>+'Raw data'!A887</f>
        <v>Samarina Dudenbros</v>
      </c>
      <c r="F383" t="str">
        <f>VLOOKUP(E383,Data!$E$2626:$F$2645,2,FALSE)</f>
        <v>Sakellariou</v>
      </c>
      <c r="H383">
        <f>+'Raw data'!A890</f>
        <v>6</v>
      </c>
      <c r="I383">
        <f>+'Raw data'!B890</f>
        <v>7</v>
      </c>
      <c r="J383">
        <f>+'Raw data'!C890</f>
        <v>0</v>
      </c>
      <c r="M383">
        <f>+'Raw data'!E890</f>
        <v>193</v>
      </c>
      <c r="N383">
        <f>+'Raw data'!F890</f>
        <v>0.45100000000000001</v>
      </c>
      <c r="O383">
        <f>+'Raw data'!G890</f>
        <v>58</v>
      </c>
      <c r="P383">
        <f>+'Raw data'!H890</f>
        <v>0.34300000000000003</v>
      </c>
      <c r="Q383">
        <f>+'Raw data'!I890</f>
        <v>0.89800000000000002</v>
      </c>
      <c r="R383">
        <f>+'Raw data'!J890</f>
        <v>558</v>
      </c>
      <c r="S383">
        <f>+'Raw data'!K890</f>
        <v>32</v>
      </c>
      <c r="T383">
        <f>+'Raw data'!L890</f>
        <v>156</v>
      </c>
      <c r="U383">
        <f>+'Raw data'!M890</f>
        <v>155</v>
      </c>
      <c r="V383">
        <f>+'Raw data'!N890</f>
        <v>35</v>
      </c>
      <c r="W383">
        <f>+'Raw data'!O890</f>
        <v>15</v>
      </c>
      <c r="X383">
        <f>+'Raw data'!P890</f>
        <v>59</v>
      </c>
      <c r="Y383">
        <f>+'Raw data'!Q890</f>
        <v>2.63</v>
      </c>
    </row>
  </sheetData>
  <autoFilter ref="A1:Y383" xr:uid="{C9D956F3-825E-44B6-8C8B-CAF92CB5BAC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D3E5-9DCB-435E-BB1C-8CBB0B0A8FB1}">
  <dimension ref="A1:Q890"/>
  <sheetViews>
    <sheetView topLeftCell="A826" workbookViewId="0">
      <selection activeCell="A826" sqref="A1:A1048576"/>
    </sheetView>
  </sheetViews>
  <sheetFormatPr defaultRowHeight="15" x14ac:dyDescent="0.25"/>
  <cols>
    <col min="1" max="1" width="63" bestFit="1" customWidth="1"/>
  </cols>
  <sheetData>
    <row r="1" spans="1:2" x14ac:dyDescent="0.25">
      <c r="B1" t="s">
        <v>178</v>
      </c>
    </row>
    <row r="2" spans="1:2" x14ac:dyDescent="0.25">
      <c r="A2" t="s">
        <v>200</v>
      </c>
    </row>
    <row r="3" spans="1:2" x14ac:dyDescent="0.25">
      <c r="A3" t="s">
        <v>206</v>
      </c>
    </row>
    <row r="4" spans="1:2" x14ac:dyDescent="0.25">
      <c r="A4" t="s">
        <v>176</v>
      </c>
    </row>
    <row r="5" spans="1:2" x14ac:dyDescent="0.25">
      <c r="A5" t="s">
        <v>26</v>
      </c>
    </row>
    <row r="6" spans="1:2" x14ac:dyDescent="0.25">
      <c r="A6" t="s">
        <v>158</v>
      </c>
    </row>
    <row r="7" spans="1:2" x14ac:dyDescent="0.25">
      <c r="A7" t="s">
        <v>98</v>
      </c>
    </row>
    <row r="8" spans="1:2" x14ac:dyDescent="0.25">
      <c r="A8" t="s">
        <v>16</v>
      </c>
    </row>
    <row r="9" spans="1:2" x14ac:dyDescent="0.25">
      <c r="A9" t="s">
        <v>33</v>
      </c>
    </row>
    <row r="10" spans="1:2" x14ac:dyDescent="0.25">
      <c r="A10" t="s">
        <v>184</v>
      </c>
    </row>
    <row r="11" spans="1:2" x14ac:dyDescent="0.25">
      <c r="A11" t="s">
        <v>99</v>
      </c>
    </row>
    <row r="12" spans="1:2" x14ac:dyDescent="0.25">
      <c r="A12" t="s">
        <v>93</v>
      </c>
    </row>
    <row r="13" spans="1:2" x14ac:dyDescent="0.25">
      <c r="A13" t="s">
        <v>201</v>
      </c>
    </row>
    <row r="14" spans="1:2" x14ac:dyDescent="0.25">
      <c r="A14" t="s">
        <v>96</v>
      </c>
    </row>
    <row r="15" spans="1:2" x14ac:dyDescent="0.25">
      <c r="A15" t="s">
        <v>94</v>
      </c>
    </row>
    <row r="16" spans="1:2" x14ac:dyDescent="0.25">
      <c r="A16" t="s">
        <v>159</v>
      </c>
    </row>
    <row r="17" spans="1:17" x14ac:dyDescent="0.25">
      <c r="A17" t="s">
        <v>186</v>
      </c>
    </row>
    <row r="18" spans="1:17" x14ac:dyDescent="0.25">
      <c r="A18" t="s">
        <v>154</v>
      </c>
    </row>
    <row r="19" spans="1:17" x14ac:dyDescent="0.25">
      <c r="A19" t="s">
        <v>23</v>
      </c>
    </row>
    <row r="20" spans="1:17" x14ac:dyDescent="0.25">
      <c r="A20" t="s">
        <v>181</v>
      </c>
    </row>
    <row r="21" spans="1:17" x14ac:dyDescent="0.25">
      <c r="A21" t="s">
        <v>21</v>
      </c>
    </row>
    <row r="22" spans="1:17" x14ac:dyDescent="0.25">
      <c r="A22" t="s">
        <v>15</v>
      </c>
    </row>
    <row r="23" spans="1:17" x14ac:dyDescent="0.25">
      <c r="A23" t="s">
        <v>185</v>
      </c>
    </row>
    <row r="24" spans="1:17" x14ac:dyDescent="0.25">
      <c r="A24" t="s">
        <v>28</v>
      </c>
    </row>
    <row r="26" spans="1:17" x14ac:dyDescent="0.25">
      <c r="A26">
        <v>6</v>
      </c>
      <c r="B26">
        <v>7</v>
      </c>
      <c r="C26">
        <v>0</v>
      </c>
      <c r="D26">
        <v>6</v>
      </c>
      <c r="E26">
        <v>127</v>
      </c>
      <c r="F26">
        <v>0.46400000000000002</v>
      </c>
      <c r="G26">
        <v>30</v>
      </c>
      <c r="H26">
        <v>0.29099999999999998</v>
      </c>
      <c r="I26">
        <v>0.74299999999999999</v>
      </c>
      <c r="J26">
        <v>359</v>
      </c>
      <c r="K26">
        <v>46</v>
      </c>
      <c r="L26">
        <v>113</v>
      </c>
      <c r="M26">
        <v>82</v>
      </c>
      <c r="N26">
        <v>19</v>
      </c>
      <c r="O26">
        <v>12</v>
      </c>
      <c r="P26">
        <v>31</v>
      </c>
      <c r="Q26">
        <v>2.65</v>
      </c>
    </row>
    <row r="27" spans="1:17" x14ac:dyDescent="0.25">
      <c r="A27">
        <v>7</v>
      </c>
      <c r="B27">
        <v>6</v>
      </c>
      <c r="C27">
        <v>0</v>
      </c>
      <c r="D27">
        <v>7</v>
      </c>
      <c r="E27">
        <v>171</v>
      </c>
      <c r="F27">
        <v>0.46</v>
      </c>
      <c r="G27">
        <v>37</v>
      </c>
      <c r="H27">
        <v>0.29099999999999998</v>
      </c>
      <c r="I27">
        <v>0.81599999999999995</v>
      </c>
      <c r="J27">
        <v>508</v>
      </c>
      <c r="K27">
        <v>25</v>
      </c>
      <c r="L27">
        <v>132</v>
      </c>
      <c r="M27">
        <v>77</v>
      </c>
      <c r="N27">
        <v>17</v>
      </c>
      <c r="O27">
        <v>25</v>
      </c>
      <c r="P27">
        <v>66</v>
      </c>
      <c r="Q27">
        <v>1.17</v>
      </c>
    </row>
    <row r="28" spans="1:17" x14ac:dyDescent="0.25">
      <c r="A28">
        <v>3</v>
      </c>
      <c r="B28">
        <v>10</v>
      </c>
      <c r="C28">
        <v>0</v>
      </c>
      <c r="D28">
        <v>3</v>
      </c>
      <c r="E28">
        <v>85</v>
      </c>
      <c r="F28">
        <v>0.436</v>
      </c>
      <c r="G28">
        <v>31</v>
      </c>
      <c r="H28">
        <v>0.36499999999999999</v>
      </c>
      <c r="I28">
        <v>0.76600000000000001</v>
      </c>
      <c r="J28">
        <v>250</v>
      </c>
      <c r="K28">
        <v>38</v>
      </c>
      <c r="L28">
        <v>85</v>
      </c>
      <c r="M28">
        <v>50</v>
      </c>
      <c r="N28">
        <v>23</v>
      </c>
      <c r="O28">
        <v>13</v>
      </c>
      <c r="P28">
        <v>29</v>
      </c>
      <c r="Q28">
        <v>1.72</v>
      </c>
    </row>
    <row r="29" spans="1:17" x14ac:dyDescent="0.25">
      <c r="A29">
        <v>10</v>
      </c>
      <c r="B29">
        <v>3</v>
      </c>
      <c r="C29">
        <v>0</v>
      </c>
      <c r="D29">
        <v>10</v>
      </c>
      <c r="E29">
        <v>165</v>
      </c>
      <c r="F29">
        <v>0.49299999999999999</v>
      </c>
      <c r="G29">
        <v>54</v>
      </c>
      <c r="H29">
        <v>0.39400000000000002</v>
      </c>
      <c r="I29">
        <v>0.81699999999999995</v>
      </c>
      <c r="J29">
        <v>473</v>
      </c>
      <c r="K29">
        <v>24</v>
      </c>
      <c r="L29">
        <v>109</v>
      </c>
      <c r="M29">
        <v>82</v>
      </c>
      <c r="N29">
        <v>29</v>
      </c>
      <c r="O29">
        <v>17</v>
      </c>
      <c r="P29">
        <v>50</v>
      </c>
      <c r="Q29">
        <v>1.64</v>
      </c>
    </row>
    <row r="30" spans="1:17" x14ac:dyDescent="0.25">
      <c r="A30">
        <v>10</v>
      </c>
      <c r="B30">
        <v>3</v>
      </c>
      <c r="C30">
        <v>0</v>
      </c>
      <c r="D30">
        <v>10</v>
      </c>
      <c r="E30">
        <v>165</v>
      </c>
      <c r="F30">
        <v>0.47299999999999998</v>
      </c>
      <c r="G30">
        <v>38</v>
      </c>
      <c r="H30">
        <v>0.28799999999999998</v>
      </c>
      <c r="I30">
        <v>0.82599999999999996</v>
      </c>
      <c r="J30">
        <v>477</v>
      </c>
      <c r="K30">
        <v>41</v>
      </c>
      <c r="L30">
        <v>122</v>
      </c>
      <c r="M30">
        <v>89</v>
      </c>
      <c r="N30">
        <v>29</v>
      </c>
      <c r="O30">
        <v>20</v>
      </c>
      <c r="P30">
        <v>46</v>
      </c>
      <c r="Q30">
        <v>1.93</v>
      </c>
    </row>
    <row r="31" spans="1:17" x14ac:dyDescent="0.25">
      <c r="A31">
        <v>3</v>
      </c>
      <c r="B31">
        <v>10</v>
      </c>
      <c r="C31">
        <v>0</v>
      </c>
      <c r="D31">
        <v>3</v>
      </c>
      <c r="E31">
        <v>68</v>
      </c>
      <c r="F31">
        <v>0.45600000000000002</v>
      </c>
      <c r="G31">
        <v>19</v>
      </c>
      <c r="H31">
        <v>0.34499999999999997</v>
      </c>
      <c r="I31">
        <v>0.87</v>
      </c>
      <c r="J31">
        <v>195</v>
      </c>
      <c r="K31">
        <v>19</v>
      </c>
      <c r="L31">
        <v>54</v>
      </c>
      <c r="M31">
        <v>29</v>
      </c>
      <c r="N31">
        <v>9</v>
      </c>
      <c r="O31">
        <v>4</v>
      </c>
      <c r="P31">
        <v>24</v>
      </c>
      <c r="Q31">
        <v>1.21</v>
      </c>
    </row>
    <row r="32" spans="1:17" x14ac:dyDescent="0.25">
      <c r="A32">
        <v>5</v>
      </c>
      <c r="B32">
        <v>8</v>
      </c>
      <c r="C32">
        <v>0</v>
      </c>
      <c r="D32">
        <v>5</v>
      </c>
      <c r="E32">
        <v>130</v>
      </c>
      <c r="F32">
        <v>0.45500000000000002</v>
      </c>
      <c r="G32">
        <v>24</v>
      </c>
      <c r="H32">
        <v>0.29299999999999998</v>
      </c>
      <c r="I32">
        <v>0.83899999999999997</v>
      </c>
      <c r="J32">
        <v>357</v>
      </c>
      <c r="K32">
        <v>33</v>
      </c>
      <c r="L32">
        <v>107</v>
      </c>
      <c r="M32">
        <v>89</v>
      </c>
      <c r="N32">
        <v>17</v>
      </c>
      <c r="O32">
        <v>12</v>
      </c>
      <c r="P32">
        <v>58</v>
      </c>
      <c r="Q32">
        <v>1.53</v>
      </c>
    </row>
    <row r="33" spans="1:17" x14ac:dyDescent="0.25">
      <c r="A33">
        <v>8</v>
      </c>
      <c r="B33">
        <v>5</v>
      </c>
      <c r="C33">
        <v>0</v>
      </c>
      <c r="D33">
        <v>8</v>
      </c>
      <c r="E33">
        <v>125</v>
      </c>
      <c r="F33">
        <v>0.44800000000000001</v>
      </c>
      <c r="G33">
        <v>44</v>
      </c>
      <c r="H33">
        <v>0.36099999999999999</v>
      </c>
      <c r="I33">
        <v>0.76500000000000001</v>
      </c>
      <c r="J33">
        <v>398</v>
      </c>
      <c r="K33">
        <v>36</v>
      </c>
      <c r="L33">
        <v>83</v>
      </c>
      <c r="M33">
        <v>102</v>
      </c>
      <c r="N33">
        <v>28</v>
      </c>
      <c r="O33">
        <v>7</v>
      </c>
      <c r="P33">
        <v>32</v>
      </c>
      <c r="Q33">
        <v>3.19</v>
      </c>
    </row>
    <row r="34" spans="1:17" x14ac:dyDescent="0.25">
      <c r="A34">
        <v>3</v>
      </c>
      <c r="B34">
        <v>10</v>
      </c>
      <c r="C34">
        <v>0</v>
      </c>
      <c r="D34">
        <v>3</v>
      </c>
      <c r="E34">
        <v>66</v>
      </c>
      <c r="F34">
        <v>0.379</v>
      </c>
      <c r="G34">
        <v>32</v>
      </c>
      <c r="H34">
        <v>0.39</v>
      </c>
      <c r="I34">
        <v>0.82199999999999995</v>
      </c>
      <c r="J34">
        <v>201</v>
      </c>
      <c r="K34">
        <v>30</v>
      </c>
      <c r="L34">
        <v>78</v>
      </c>
      <c r="M34">
        <v>54</v>
      </c>
      <c r="N34">
        <v>19</v>
      </c>
      <c r="O34">
        <v>5</v>
      </c>
      <c r="P34">
        <v>27</v>
      </c>
      <c r="Q34">
        <v>2</v>
      </c>
    </row>
    <row r="35" spans="1:17" x14ac:dyDescent="0.25">
      <c r="A35">
        <v>10</v>
      </c>
      <c r="B35">
        <v>3</v>
      </c>
      <c r="C35">
        <v>0</v>
      </c>
      <c r="D35">
        <v>10</v>
      </c>
      <c r="E35">
        <v>129</v>
      </c>
      <c r="F35">
        <v>0.52</v>
      </c>
      <c r="G35">
        <v>36</v>
      </c>
      <c r="H35">
        <v>0.41899999999999998</v>
      </c>
      <c r="I35">
        <v>0.80200000000000005</v>
      </c>
      <c r="J35">
        <v>387</v>
      </c>
      <c r="K35">
        <v>35</v>
      </c>
      <c r="L35">
        <v>105</v>
      </c>
      <c r="M35">
        <v>63</v>
      </c>
      <c r="N35">
        <v>25</v>
      </c>
      <c r="O35">
        <v>13</v>
      </c>
      <c r="P35">
        <v>53</v>
      </c>
      <c r="Q35">
        <v>1.19</v>
      </c>
    </row>
    <row r="36" spans="1:17" x14ac:dyDescent="0.25">
      <c r="A36">
        <v>3</v>
      </c>
      <c r="B36">
        <v>10</v>
      </c>
      <c r="C36">
        <v>0</v>
      </c>
      <c r="D36">
        <v>3</v>
      </c>
      <c r="E36">
        <v>123</v>
      </c>
      <c r="F36">
        <v>0.42399999999999999</v>
      </c>
      <c r="G36">
        <v>54</v>
      </c>
      <c r="H36">
        <v>0.35299999999999998</v>
      </c>
      <c r="I36">
        <v>0.88300000000000001</v>
      </c>
      <c r="J36">
        <v>368</v>
      </c>
      <c r="K36">
        <v>21</v>
      </c>
      <c r="L36">
        <v>106</v>
      </c>
      <c r="M36">
        <v>91</v>
      </c>
      <c r="N36">
        <v>27</v>
      </c>
      <c r="O36">
        <v>13</v>
      </c>
      <c r="P36">
        <v>43</v>
      </c>
      <c r="Q36">
        <v>2.12</v>
      </c>
    </row>
    <row r="37" spans="1:17" x14ac:dyDescent="0.25">
      <c r="A37">
        <v>10</v>
      </c>
      <c r="B37">
        <v>3</v>
      </c>
      <c r="C37">
        <v>0</v>
      </c>
      <c r="D37">
        <v>10</v>
      </c>
      <c r="E37">
        <v>207</v>
      </c>
      <c r="F37">
        <v>0.55200000000000005</v>
      </c>
      <c r="G37">
        <v>56</v>
      </c>
      <c r="H37">
        <v>0.41799999999999998</v>
      </c>
      <c r="I37">
        <v>0.78200000000000003</v>
      </c>
      <c r="J37">
        <v>585</v>
      </c>
      <c r="K37">
        <v>29</v>
      </c>
      <c r="L37">
        <v>156</v>
      </c>
      <c r="M37">
        <v>135</v>
      </c>
      <c r="N37">
        <v>29</v>
      </c>
      <c r="O37">
        <v>11</v>
      </c>
      <c r="P37">
        <v>55</v>
      </c>
      <c r="Q37">
        <v>2.4500000000000002</v>
      </c>
    </row>
    <row r="38" spans="1:17" x14ac:dyDescent="0.25">
      <c r="A38">
        <v>10</v>
      </c>
      <c r="B38">
        <v>2</v>
      </c>
      <c r="C38">
        <v>1</v>
      </c>
      <c r="D38">
        <v>10.5</v>
      </c>
      <c r="E38">
        <v>161</v>
      </c>
      <c r="F38">
        <v>0.47799999999999998</v>
      </c>
      <c r="G38">
        <v>49</v>
      </c>
      <c r="H38">
        <v>0.40799999999999997</v>
      </c>
      <c r="I38">
        <v>0.78300000000000003</v>
      </c>
      <c r="J38">
        <v>472</v>
      </c>
      <c r="K38">
        <v>30</v>
      </c>
      <c r="L38">
        <v>118</v>
      </c>
      <c r="M38">
        <v>96</v>
      </c>
      <c r="N38">
        <v>22</v>
      </c>
      <c r="O38">
        <v>15</v>
      </c>
      <c r="P38">
        <v>67</v>
      </c>
      <c r="Q38">
        <v>1.43</v>
      </c>
    </row>
    <row r="39" spans="1:17" x14ac:dyDescent="0.25">
      <c r="A39">
        <v>2</v>
      </c>
      <c r="B39">
        <v>10</v>
      </c>
      <c r="C39">
        <v>1</v>
      </c>
      <c r="D39">
        <v>2.5</v>
      </c>
      <c r="E39">
        <v>135</v>
      </c>
      <c r="F39">
        <v>0.47199999999999998</v>
      </c>
      <c r="G39">
        <v>43</v>
      </c>
      <c r="H39">
        <v>0.35799999999999998</v>
      </c>
      <c r="I39">
        <v>0.63</v>
      </c>
      <c r="J39">
        <v>376</v>
      </c>
      <c r="K39">
        <v>25</v>
      </c>
      <c r="L39">
        <v>117</v>
      </c>
      <c r="M39">
        <v>78</v>
      </c>
      <c r="N39">
        <v>26</v>
      </c>
      <c r="O39">
        <v>17</v>
      </c>
      <c r="P39">
        <v>67</v>
      </c>
      <c r="Q39">
        <v>1.1599999999999999</v>
      </c>
    </row>
    <row r="40" spans="1:17" x14ac:dyDescent="0.25">
      <c r="A40">
        <v>6</v>
      </c>
      <c r="B40">
        <v>7</v>
      </c>
      <c r="C40">
        <v>0</v>
      </c>
      <c r="D40">
        <v>6</v>
      </c>
      <c r="E40">
        <v>157</v>
      </c>
      <c r="F40">
        <v>0.52300000000000002</v>
      </c>
      <c r="G40">
        <v>37</v>
      </c>
      <c r="H40">
        <v>0.41099999999999998</v>
      </c>
      <c r="I40">
        <v>0.70299999999999996</v>
      </c>
      <c r="J40">
        <v>415</v>
      </c>
      <c r="K40">
        <v>37</v>
      </c>
      <c r="L40">
        <v>108</v>
      </c>
      <c r="M40">
        <v>84</v>
      </c>
      <c r="N40">
        <v>32</v>
      </c>
      <c r="O40">
        <v>34</v>
      </c>
      <c r="P40">
        <v>35</v>
      </c>
      <c r="Q40">
        <v>2.4</v>
      </c>
    </row>
    <row r="41" spans="1:17" x14ac:dyDescent="0.25">
      <c r="A41">
        <v>7</v>
      </c>
      <c r="B41">
        <v>6</v>
      </c>
      <c r="C41">
        <v>0</v>
      </c>
      <c r="D41">
        <v>7</v>
      </c>
      <c r="E41">
        <v>166</v>
      </c>
      <c r="F41">
        <v>0.44700000000000001</v>
      </c>
      <c r="G41">
        <v>58</v>
      </c>
      <c r="H41">
        <v>0.34899999999999998</v>
      </c>
      <c r="I41">
        <v>0.82099999999999995</v>
      </c>
      <c r="J41">
        <v>482</v>
      </c>
      <c r="K41">
        <v>25</v>
      </c>
      <c r="L41">
        <v>123</v>
      </c>
      <c r="M41">
        <v>131</v>
      </c>
      <c r="N41">
        <v>44</v>
      </c>
      <c r="O41">
        <v>8</v>
      </c>
      <c r="P41">
        <v>70</v>
      </c>
      <c r="Q41">
        <v>1.87</v>
      </c>
    </row>
    <row r="42" spans="1:17" x14ac:dyDescent="0.25">
      <c r="A42">
        <v>6</v>
      </c>
      <c r="B42">
        <v>7</v>
      </c>
      <c r="C42">
        <v>0</v>
      </c>
      <c r="D42">
        <v>6</v>
      </c>
      <c r="E42">
        <v>146</v>
      </c>
      <c r="F42">
        <v>0.49199999999999999</v>
      </c>
      <c r="G42">
        <v>33</v>
      </c>
      <c r="H42">
        <v>0.371</v>
      </c>
      <c r="I42">
        <v>0.67100000000000004</v>
      </c>
      <c r="J42">
        <v>382</v>
      </c>
      <c r="K42">
        <v>40</v>
      </c>
      <c r="L42">
        <v>112</v>
      </c>
      <c r="M42">
        <v>60</v>
      </c>
      <c r="N42">
        <v>34</v>
      </c>
      <c r="O42">
        <v>14</v>
      </c>
      <c r="P42">
        <v>57</v>
      </c>
      <c r="Q42">
        <v>1.05</v>
      </c>
    </row>
    <row r="43" spans="1:17" x14ac:dyDescent="0.25">
      <c r="A43">
        <v>7</v>
      </c>
      <c r="B43">
        <v>6</v>
      </c>
      <c r="C43">
        <v>0</v>
      </c>
      <c r="D43">
        <v>7</v>
      </c>
      <c r="E43">
        <v>108</v>
      </c>
      <c r="F43">
        <v>0.51200000000000001</v>
      </c>
      <c r="G43">
        <v>22</v>
      </c>
      <c r="H43">
        <v>0.314</v>
      </c>
      <c r="I43">
        <v>0.86899999999999999</v>
      </c>
      <c r="J43">
        <v>291</v>
      </c>
      <c r="K43">
        <v>44</v>
      </c>
      <c r="L43">
        <v>70</v>
      </c>
      <c r="M43">
        <v>63</v>
      </c>
      <c r="N43">
        <v>18</v>
      </c>
      <c r="O43">
        <v>15</v>
      </c>
      <c r="P43">
        <v>38</v>
      </c>
      <c r="Q43">
        <v>1.66</v>
      </c>
    </row>
    <row r="44" spans="1:17" x14ac:dyDescent="0.25">
      <c r="A44">
        <v>9</v>
      </c>
      <c r="B44">
        <v>4</v>
      </c>
      <c r="C44">
        <v>0</v>
      </c>
      <c r="D44">
        <v>9</v>
      </c>
      <c r="E44">
        <v>149</v>
      </c>
      <c r="F44">
        <v>0.442</v>
      </c>
      <c r="G44">
        <v>53</v>
      </c>
      <c r="H44">
        <v>0.373</v>
      </c>
      <c r="I44">
        <v>0.79500000000000004</v>
      </c>
      <c r="J44">
        <v>413</v>
      </c>
      <c r="K44">
        <v>36</v>
      </c>
      <c r="L44">
        <v>100</v>
      </c>
      <c r="M44">
        <v>86</v>
      </c>
      <c r="N44">
        <v>29</v>
      </c>
      <c r="O44">
        <v>8</v>
      </c>
      <c r="P44">
        <v>58</v>
      </c>
      <c r="Q44">
        <v>1.48</v>
      </c>
    </row>
    <row r="45" spans="1:17" x14ac:dyDescent="0.25">
      <c r="A45">
        <v>4</v>
      </c>
      <c r="B45">
        <v>9</v>
      </c>
      <c r="C45">
        <v>0</v>
      </c>
      <c r="D45">
        <v>4</v>
      </c>
      <c r="E45">
        <v>94</v>
      </c>
      <c r="F45">
        <v>0.46300000000000002</v>
      </c>
      <c r="G45">
        <v>29</v>
      </c>
      <c r="H45">
        <v>0.33300000000000002</v>
      </c>
      <c r="I45">
        <v>0.75</v>
      </c>
      <c r="J45">
        <v>259</v>
      </c>
      <c r="K45">
        <v>30</v>
      </c>
      <c r="L45">
        <v>67</v>
      </c>
      <c r="M45">
        <v>52</v>
      </c>
      <c r="N45">
        <v>12</v>
      </c>
      <c r="O45">
        <v>10</v>
      </c>
      <c r="P45">
        <v>34</v>
      </c>
      <c r="Q45">
        <v>1.53</v>
      </c>
    </row>
    <row r="46" spans="1:17" x14ac:dyDescent="0.25">
      <c r="A46" t="s">
        <v>160</v>
      </c>
    </row>
    <row r="47" spans="1:17" x14ac:dyDescent="0.25">
      <c r="A47" t="s">
        <v>207</v>
      </c>
    </row>
    <row r="48" spans="1:17" x14ac:dyDescent="0.25">
      <c r="A48" t="s">
        <v>176</v>
      </c>
    </row>
    <row r="49" spans="1:1" x14ac:dyDescent="0.25">
      <c r="A49" t="s">
        <v>158</v>
      </c>
    </row>
    <row r="50" spans="1:1" x14ac:dyDescent="0.25">
      <c r="A50" t="s">
        <v>98</v>
      </c>
    </row>
    <row r="51" spans="1:1" x14ac:dyDescent="0.25">
      <c r="A51" t="s">
        <v>26</v>
      </c>
    </row>
    <row r="52" spans="1:1" x14ac:dyDescent="0.25">
      <c r="A52" t="s">
        <v>33</v>
      </c>
    </row>
    <row r="53" spans="1:1" x14ac:dyDescent="0.25">
      <c r="A53" t="s">
        <v>16</v>
      </c>
    </row>
    <row r="54" spans="1:1" x14ac:dyDescent="0.25">
      <c r="A54" t="s">
        <v>99</v>
      </c>
    </row>
    <row r="55" spans="1:1" x14ac:dyDescent="0.25">
      <c r="A55" t="s">
        <v>184</v>
      </c>
    </row>
    <row r="56" spans="1:1" x14ac:dyDescent="0.25">
      <c r="A56" t="s">
        <v>201</v>
      </c>
    </row>
    <row r="57" spans="1:1" x14ac:dyDescent="0.25">
      <c r="A57" t="s">
        <v>93</v>
      </c>
    </row>
    <row r="58" spans="1:1" x14ac:dyDescent="0.25">
      <c r="A58" t="s">
        <v>94</v>
      </c>
    </row>
    <row r="59" spans="1:1" x14ac:dyDescent="0.25">
      <c r="A59" t="s">
        <v>96</v>
      </c>
    </row>
    <row r="60" spans="1:1" x14ac:dyDescent="0.25">
      <c r="A60" t="s">
        <v>186</v>
      </c>
    </row>
    <row r="61" spans="1:1" x14ac:dyDescent="0.25">
      <c r="A61" t="s">
        <v>159</v>
      </c>
    </row>
    <row r="62" spans="1:1" x14ac:dyDescent="0.25">
      <c r="A62" t="s">
        <v>23</v>
      </c>
    </row>
    <row r="63" spans="1:1" x14ac:dyDescent="0.25">
      <c r="A63" t="s">
        <v>154</v>
      </c>
    </row>
    <row r="64" spans="1:1" x14ac:dyDescent="0.25">
      <c r="A64" t="s">
        <v>21</v>
      </c>
    </row>
    <row r="65" spans="1:17" x14ac:dyDescent="0.25">
      <c r="A65" t="s">
        <v>181</v>
      </c>
    </row>
    <row r="66" spans="1:17" x14ac:dyDescent="0.25">
      <c r="A66" t="s">
        <v>185</v>
      </c>
    </row>
    <row r="67" spans="1:17" x14ac:dyDescent="0.25">
      <c r="A67" t="s">
        <v>15</v>
      </c>
    </row>
    <row r="68" spans="1:17" x14ac:dyDescent="0.25">
      <c r="A68" t="s">
        <v>28</v>
      </c>
    </row>
    <row r="70" spans="1:17" x14ac:dyDescent="0.25">
      <c r="A70">
        <v>7</v>
      </c>
      <c r="B70">
        <v>6</v>
      </c>
      <c r="C70">
        <v>0</v>
      </c>
      <c r="D70">
        <v>7</v>
      </c>
      <c r="E70">
        <v>161</v>
      </c>
      <c r="F70">
        <v>0.503</v>
      </c>
      <c r="G70">
        <v>45</v>
      </c>
      <c r="H70">
        <v>0.42899999999999999</v>
      </c>
      <c r="I70">
        <v>0.72899999999999998</v>
      </c>
      <c r="J70">
        <v>464</v>
      </c>
      <c r="K70">
        <v>47</v>
      </c>
      <c r="L70">
        <v>136</v>
      </c>
      <c r="M70">
        <v>93</v>
      </c>
      <c r="N70">
        <v>29</v>
      </c>
      <c r="O70">
        <v>27</v>
      </c>
      <c r="P70">
        <v>54</v>
      </c>
      <c r="Q70">
        <v>1.72</v>
      </c>
    </row>
    <row r="71" spans="1:17" x14ac:dyDescent="0.25">
      <c r="A71">
        <v>6</v>
      </c>
      <c r="B71">
        <v>7</v>
      </c>
      <c r="C71">
        <v>0</v>
      </c>
      <c r="D71">
        <v>6</v>
      </c>
      <c r="E71">
        <v>149</v>
      </c>
      <c r="F71">
        <v>0.52700000000000002</v>
      </c>
      <c r="G71">
        <v>43</v>
      </c>
      <c r="H71">
        <v>0.40600000000000003</v>
      </c>
      <c r="I71">
        <v>0.81200000000000006</v>
      </c>
      <c r="J71">
        <v>397</v>
      </c>
      <c r="K71">
        <v>55</v>
      </c>
      <c r="L71">
        <v>146</v>
      </c>
      <c r="M71">
        <v>115</v>
      </c>
      <c r="N71">
        <v>19</v>
      </c>
      <c r="O71">
        <v>17</v>
      </c>
      <c r="P71">
        <v>56</v>
      </c>
      <c r="Q71">
        <v>2.0499999999999998</v>
      </c>
    </row>
    <row r="72" spans="1:17" x14ac:dyDescent="0.25">
      <c r="A72">
        <v>3</v>
      </c>
      <c r="B72">
        <v>10</v>
      </c>
      <c r="C72">
        <v>0</v>
      </c>
      <c r="D72">
        <v>3</v>
      </c>
      <c r="E72">
        <v>181</v>
      </c>
      <c r="F72">
        <v>0.46899999999999997</v>
      </c>
      <c r="G72">
        <v>53</v>
      </c>
      <c r="H72">
        <v>0.34599999999999997</v>
      </c>
      <c r="I72">
        <v>0.82799999999999996</v>
      </c>
      <c r="J72">
        <v>521</v>
      </c>
      <c r="K72">
        <v>49</v>
      </c>
      <c r="L72">
        <v>110</v>
      </c>
      <c r="M72">
        <v>80</v>
      </c>
      <c r="N72">
        <v>22</v>
      </c>
      <c r="O72">
        <v>14</v>
      </c>
      <c r="P72">
        <v>39</v>
      </c>
      <c r="Q72">
        <v>2.0499999999999998</v>
      </c>
    </row>
    <row r="73" spans="1:17" x14ac:dyDescent="0.25">
      <c r="A73">
        <v>10</v>
      </c>
      <c r="B73">
        <v>3</v>
      </c>
      <c r="C73">
        <v>0</v>
      </c>
      <c r="D73">
        <v>10</v>
      </c>
      <c r="E73">
        <v>212</v>
      </c>
      <c r="F73">
        <v>0.47</v>
      </c>
      <c r="G73">
        <v>75</v>
      </c>
      <c r="H73">
        <v>0.35899999999999999</v>
      </c>
      <c r="I73">
        <v>0.89500000000000002</v>
      </c>
      <c r="J73">
        <v>601</v>
      </c>
      <c r="K73">
        <v>36</v>
      </c>
      <c r="L73">
        <v>151</v>
      </c>
      <c r="M73">
        <v>133</v>
      </c>
      <c r="N73">
        <v>40</v>
      </c>
      <c r="O73">
        <v>13</v>
      </c>
      <c r="P73">
        <v>60</v>
      </c>
      <c r="Q73">
        <v>2.2200000000000002</v>
      </c>
    </row>
    <row r="74" spans="1:17" x14ac:dyDescent="0.25">
      <c r="A74">
        <v>8</v>
      </c>
      <c r="B74">
        <v>5</v>
      </c>
      <c r="C74">
        <v>0</v>
      </c>
      <c r="D74">
        <v>8</v>
      </c>
      <c r="E74">
        <v>170</v>
      </c>
      <c r="F74">
        <v>0.44900000000000001</v>
      </c>
      <c r="G74">
        <v>54</v>
      </c>
      <c r="H74">
        <v>0.33800000000000002</v>
      </c>
      <c r="I74">
        <v>0.72399999999999998</v>
      </c>
      <c r="J74">
        <v>486</v>
      </c>
      <c r="K74">
        <v>50</v>
      </c>
      <c r="L74">
        <v>140</v>
      </c>
      <c r="M74">
        <v>83</v>
      </c>
      <c r="N74">
        <v>28</v>
      </c>
      <c r="O74">
        <v>18</v>
      </c>
      <c r="P74">
        <v>45</v>
      </c>
      <c r="Q74">
        <v>1.84</v>
      </c>
    </row>
    <row r="75" spans="1:17" x14ac:dyDescent="0.25">
      <c r="A75">
        <v>5</v>
      </c>
      <c r="B75">
        <v>8</v>
      </c>
      <c r="C75">
        <v>0</v>
      </c>
      <c r="D75">
        <v>5</v>
      </c>
      <c r="E75">
        <v>144</v>
      </c>
      <c r="F75">
        <v>0.45100000000000001</v>
      </c>
      <c r="G75">
        <v>22</v>
      </c>
      <c r="H75">
        <v>0.22</v>
      </c>
      <c r="I75">
        <v>0.77600000000000002</v>
      </c>
      <c r="J75">
        <v>369</v>
      </c>
      <c r="K75">
        <v>36</v>
      </c>
      <c r="L75">
        <v>125</v>
      </c>
      <c r="M75">
        <v>102</v>
      </c>
      <c r="N75">
        <v>26</v>
      </c>
      <c r="O75">
        <v>23</v>
      </c>
      <c r="P75">
        <v>47</v>
      </c>
      <c r="Q75">
        <v>2.17</v>
      </c>
    </row>
    <row r="76" spans="1:17" x14ac:dyDescent="0.25">
      <c r="A76">
        <v>5</v>
      </c>
      <c r="B76">
        <v>8</v>
      </c>
      <c r="C76">
        <v>0</v>
      </c>
      <c r="D76">
        <v>5</v>
      </c>
      <c r="E76">
        <v>71</v>
      </c>
      <c r="F76">
        <v>0.52200000000000002</v>
      </c>
      <c r="G76">
        <v>21</v>
      </c>
      <c r="H76">
        <v>0.38200000000000001</v>
      </c>
      <c r="I76">
        <v>0.88600000000000001</v>
      </c>
      <c r="J76">
        <v>194</v>
      </c>
      <c r="K76">
        <v>18</v>
      </c>
      <c r="L76">
        <v>40</v>
      </c>
      <c r="M76">
        <v>37</v>
      </c>
      <c r="N76">
        <v>12</v>
      </c>
      <c r="O76">
        <v>6</v>
      </c>
      <c r="P76">
        <v>16</v>
      </c>
      <c r="Q76">
        <v>2.31</v>
      </c>
    </row>
    <row r="77" spans="1:17" x14ac:dyDescent="0.25">
      <c r="A77">
        <v>8</v>
      </c>
      <c r="B77">
        <v>5</v>
      </c>
      <c r="C77">
        <v>0</v>
      </c>
      <c r="D77">
        <v>8</v>
      </c>
      <c r="E77">
        <v>102</v>
      </c>
      <c r="F77">
        <v>0.40600000000000003</v>
      </c>
      <c r="G77">
        <v>38</v>
      </c>
      <c r="H77">
        <v>0.32500000000000001</v>
      </c>
      <c r="I77">
        <v>0.75</v>
      </c>
      <c r="J77">
        <v>290</v>
      </c>
      <c r="K77">
        <v>41</v>
      </c>
      <c r="L77">
        <v>86</v>
      </c>
      <c r="M77">
        <v>74</v>
      </c>
      <c r="N77">
        <v>26</v>
      </c>
      <c r="O77">
        <v>15</v>
      </c>
      <c r="P77">
        <v>40</v>
      </c>
      <c r="Q77">
        <v>1.85</v>
      </c>
    </row>
    <row r="78" spans="1:17" x14ac:dyDescent="0.25">
      <c r="A78">
        <v>6</v>
      </c>
      <c r="B78">
        <v>7</v>
      </c>
      <c r="C78">
        <v>0</v>
      </c>
      <c r="D78">
        <v>6</v>
      </c>
      <c r="E78">
        <v>135</v>
      </c>
      <c r="F78">
        <v>0.44700000000000001</v>
      </c>
      <c r="G78">
        <v>55</v>
      </c>
      <c r="H78">
        <v>0.39</v>
      </c>
      <c r="I78">
        <v>0.85699999999999998</v>
      </c>
      <c r="J78">
        <v>415</v>
      </c>
      <c r="K78">
        <v>27</v>
      </c>
      <c r="L78">
        <v>89</v>
      </c>
      <c r="M78">
        <v>101</v>
      </c>
      <c r="N78">
        <v>29</v>
      </c>
      <c r="O78">
        <v>13</v>
      </c>
      <c r="P78">
        <v>50</v>
      </c>
      <c r="Q78">
        <v>2.02</v>
      </c>
    </row>
    <row r="79" spans="1:17" x14ac:dyDescent="0.25">
      <c r="A79">
        <v>7</v>
      </c>
      <c r="B79">
        <v>6</v>
      </c>
      <c r="C79">
        <v>0</v>
      </c>
      <c r="D79">
        <v>7</v>
      </c>
      <c r="E79">
        <v>160</v>
      </c>
      <c r="F79">
        <v>0.42799999999999999</v>
      </c>
      <c r="G79">
        <v>70</v>
      </c>
      <c r="H79">
        <v>0.36499999999999999</v>
      </c>
      <c r="I79">
        <v>0.84599999999999997</v>
      </c>
      <c r="J79">
        <v>467</v>
      </c>
      <c r="K79">
        <v>31</v>
      </c>
      <c r="L79">
        <v>124</v>
      </c>
      <c r="M79">
        <v>113</v>
      </c>
      <c r="N79">
        <v>25</v>
      </c>
      <c r="O79">
        <v>14</v>
      </c>
      <c r="P79">
        <v>56</v>
      </c>
      <c r="Q79">
        <v>2.02</v>
      </c>
    </row>
    <row r="80" spans="1:17" x14ac:dyDescent="0.25">
      <c r="A80">
        <v>3</v>
      </c>
      <c r="B80">
        <v>10</v>
      </c>
      <c r="C80">
        <v>0</v>
      </c>
      <c r="D80">
        <v>3</v>
      </c>
      <c r="E80">
        <v>173</v>
      </c>
      <c r="F80">
        <v>0.45100000000000001</v>
      </c>
      <c r="G80">
        <v>56</v>
      </c>
      <c r="H80">
        <v>0.38400000000000001</v>
      </c>
      <c r="I80">
        <v>0.83</v>
      </c>
      <c r="J80">
        <v>490</v>
      </c>
      <c r="K80">
        <v>44</v>
      </c>
      <c r="L80">
        <v>107</v>
      </c>
      <c r="M80">
        <v>122</v>
      </c>
      <c r="N80">
        <v>28</v>
      </c>
      <c r="O80">
        <v>14</v>
      </c>
      <c r="P80">
        <v>73</v>
      </c>
      <c r="Q80">
        <v>1.67</v>
      </c>
    </row>
    <row r="81" spans="1:17" x14ac:dyDescent="0.25">
      <c r="A81">
        <v>10</v>
      </c>
      <c r="B81">
        <v>3</v>
      </c>
      <c r="C81">
        <v>0</v>
      </c>
      <c r="D81">
        <v>10</v>
      </c>
      <c r="E81">
        <v>200</v>
      </c>
      <c r="F81">
        <v>0.47599999999999998</v>
      </c>
      <c r="G81">
        <v>60</v>
      </c>
      <c r="H81">
        <v>0.35299999999999998</v>
      </c>
      <c r="I81">
        <v>0.82099999999999995</v>
      </c>
      <c r="J81">
        <v>570</v>
      </c>
      <c r="K81">
        <v>27</v>
      </c>
      <c r="L81">
        <v>121</v>
      </c>
      <c r="M81">
        <v>151</v>
      </c>
      <c r="N81">
        <v>35</v>
      </c>
      <c r="O81">
        <v>24</v>
      </c>
      <c r="P81">
        <v>66</v>
      </c>
      <c r="Q81">
        <v>2.29</v>
      </c>
    </row>
    <row r="82" spans="1:17" x14ac:dyDescent="0.25">
      <c r="A82">
        <v>7</v>
      </c>
      <c r="B82">
        <v>6</v>
      </c>
      <c r="C82">
        <v>0</v>
      </c>
      <c r="D82">
        <v>7</v>
      </c>
      <c r="E82">
        <v>226</v>
      </c>
      <c r="F82">
        <v>0.50600000000000001</v>
      </c>
      <c r="G82">
        <v>50</v>
      </c>
      <c r="H82">
        <v>0.318</v>
      </c>
      <c r="I82">
        <v>0.82599999999999996</v>
      </c>
      <c r="J82">
        <v>635</v>
      </c>
      <c r="K82">
        <v>42</v>
      </c>
      <c r="L82">
        <v>199</v>
      </c>
      <c r="M82">
        <v>179</v>
      </c>
      <c r="N82">
        <v>31</v>
      </c>
      <c r="O82">
        <v>11</v>
      </c>
      <c r="P82">
        <v>102</v>
      </c>
      <c r="Q82">
        <v>1.75</v>
      </c>
    </row>
    <row r="83" spans="1:17" x14ac:dyDescent="0.25">
      <c r="A83">
        <v>6</v>
      </c>
      <c r="B83">
        <v>7</v>
      </c>
      <c r="C83">
        <v>0</v>
      </c>
      <c r="D83">
        <v>6</v>
      </c>
      <c r="E83">
        <v>161</v>
      </c>
      <c r="F83">
        <v>0.51400000000000001</v>
      </c>
      <c r="G83">
        <v>51</v>
      </c>
      <c r="H83">
        <v>0.432</v>
      </c>
      <c r="I83">
        <v>0.82499999999999996</v>
      </c>
      <c r="J83">
        <v>439</v>
      </c>
      <c r="K83">
        <v>31</v>
      </c>
      <c r="L83">
        <v>126</v>
      </c>
      <c r="M83">
        <v>106</v>
      </c>
      <c r="N83">
        <v>29</v>
      </c>
      <c r="O83">
        <v>28</v>
      </c>
      <c r="P83">
        <v>60</v>
      </c>
      <c r="Q83">
        <v>1.77</v>
      </c>
    </row>
    <row r="84" spans="1:17" x14ac:dyDescent="0.25">
      <c r="A84">
        <v>11</v>
      </c>
      <c r="B84">
        <v>2</v>
      </c>
      <c r="C84">
        <v>0</v>
      </c>
      <c r="D84">
        <v>11</v>
      </c>
      <c r="E84">
        <v>204</v>
      </c>
      <c r="F84">
        <v>0.48299999999999998</v>
      </c>
      <c r="G84">
        <v>59</v>
      </c>
      <c r="H84">
        <v>0.38800000000000001</v>
      </c>
      <c r="I84">
        <v>0.73599999999999999</v>
      </c>
      <c r="J84">
        <v>562</v>
      </c>
      <c r="K84">
        <v>57</v>
      </c>
      <c r="L84">
        <v>149</v>
      </c>
      <c r="M84">
        <v>113</v>
      </c>
      <c r="N84">
        <v>36</v>
      </c>
      <c r="O84">
        <v>16</v>
      </c>
      <c r="P84">
        <v>61</v>
      </c>
      <c r="Q84">
        <v>1.85</v>
      </c>
    </row>
    <row r="85" spans="1:17" x14ac:dyDescent="0.25">
      <c r="A85">
        <v>2</v>
      </c>
      <c r="B85">
        <v>11</v>
      </c>
      <c r="C85">
        <v>0</v>
      </c>
      <c r="D85">
        <v>2</v>
      </c>
      <c r="E85">
        <v>176</v>
      </c>
      <c r="F85">
        <v>0.47199999999999998</v>
      </c>
      <c r="G85">
        <v>38</v>
      </c>
      <c r="H85">
        <v>0.35199999999999998</v>
      </c>
      <c r="I85">
        <v>0.79600000000000004</v>
      </c>
      <c r="J85">
        <v>472</v>
      </c>
      <c r="K85">
        <v>37</v>
      </c>
      <c r="L85">
        <v>117</v>
      </c>
      <c r="M85">
        <v>77</v>
      </c>
      <c r="N85">
        <v>30</v>
      </c>
      <c r="O85">
        <v>15</v>
      </c>
      <c r="P85">
        <v>57</v>
      </c>
      <c r="Q85">
        <v>1.35</v>
      </c>
    </row>
    <row r="86" spans="1:17" x14ac:dyDescent="0.25">
      <c r="A86">
        <v>10</v>
      </c>
      <c r="B86">
        <v>3</v>
      </c>
      <c r="C86">
        <v>0</v>
      </c>
      <c r="D86">
        <v>10</v>
      </c>
      <c r="E86">
        <v>192</v>
      </c>
      <c r="F86">
        <v>0.497</v>
      </c>
      <c r="G86">
        <v>70</v>
      </c>
      <c r="H86">
        <v>0.39800000000000002</v>
      </c>
      <c r="I86">
        <v>0.85599999999999998</v>
      </c>
      <c r="J86">
        <v>543</v>
      </c>
      <c r="K86">
        <v>16</v>
      </c>
      <c r="L86">
        <v>100</v>
      </c>
      <c r="M86">
        <v>130</v>
      </c>
      <c r="N86">
        <v>43</v>
      </c>
      <c r="O86">
        <v>14</v>
      </c>
      <c r="P86">
        <v>52</v>
      </c>
      <c r="Q86">
        <v>2.5</v>
      </c>
    </row>
    <row r="87" spans="1:17" x14ac:dyDescent="0.25">
      <c r="A87">
        <v>3</v>
      </c>
      <c r="B87">
        <v>10</v>
      </c>
      <c r="C87">
        <v>0</v>
      </c>
      <c r="D87">
        <v>3</v>
      </c>
      <c r="E87">
        <v>176</v>
      </c>
      <c r="F87">
        <v>0.46200000000000002</v>
      </c>
      <c r="G87">
        <v>60</v>
      </c>
      <c r="H87">
        <v>0.35299999999999998</v>
      </c>
      <c r="I87">
        <v>0.78600000000000003</v>
      </c>
      <c r="J87">
        <v>478</v>
      </c>
      <c r="K87">
        <v>37</v>
      </c>
      <c r="L87">
        <v>132</v>
      </c>
      <c r="M87">
        <v>111</v>
      </c>
      <c r="N87">
        <v>26</v>
      </c>
      <c r="O87">
        <v>20</v>
      </c>
      <c r="P87">
        <v>64</v>
      </c>
      <c r="Q87">
        <v>1.73</v>
      </c>
    </row>
    <row r="88" spans="1:17" x14ac:dyDescent="0.25">
      <c r="A88">
        <v>7</v>
      </c>
      <c r="B88">
        <v>6</v>
      </c>
      <c r="C88">
        <v>0</v>
      </c>
      <c r="D88">
        <v>7</v>
      </c>
      <c r="E88">
        <v>169</v>
      </c>
      <c r="F88">
        <v>0.53800000000000003</v>
      </c>
      <c r="G88">
        <v>36</v>
      </c>
      <c r="H88">
        <v>0.39600000000000002</v>
      </c>
      <c r="I88">
        <v>0.79300000000000004</v>
      </c>
      <c r="J88">
        <v>485</v>
      </c>
      <c r="K88">
        <v>60</v>
      </c>
      <c r="L88">
        <v>127</v>
      </c>
      <c r="M88">
        <v>95</v>
      </c>
      <c r="N88">
        <v>26</v>
      </c>
      <c r="O88">
        <v>27</v>
      </c>
      <c r="P88">
        <v>59</v>
      </c>
      <c r="Q88">
        <v>1.61</v>
      </c>
    </row>
    <row r="89" spans="1:17" x14ac:dyDescent="0.25">
      <c r="A89">
        <v>6</v>
      </c>
      <c r="B89">
        <v>7</v>
      </c>
      <c r="C89">
        <v>0</v>
      </c>
      <c r="D89">
        <v>6</v>
      </c>
      <c r="E89">
        <v>135</v>
      </c>
      <c r="F89">
        <v>0.46700000000000003</v>
      </c>
      <c r="G89">
        <v>69</v>
      </c>
      <c r="H89">
        <v>0.41799999999999998</v>
      </c>
      <c r="I89">
        <v>0.83099999999999996</v>
      </c>
      <c r="J89">
        <v>388</v>
      </c>
      <c r="K89">
        <v>33</v>
      </c>
      <c r="L89">
        <v>96</v>
      </c>
      <c r="M89">
        <v>93</v>
      </c>
      <c r="N89">
        <v>29</v>
      </c>
      <c r="O89">
        <v>15</v>
      </c>
      <c r="P89">
        <v>35</v>
      </c>
      <c r="Q89">
        <v>2.66</v>
      </c>
    </row>
    <row r="90" spans="1:17" x14ac:dyDescent="0.25">
      <c r="A90" t="s">
        <v>161</v>
      </c>
    </row>
    <row r="91" spans="1:17" x14ac:dyDescent="0.25">
      <c r="A91" t="s">
        <v>208</v>
      </c>
    </row>
    <row r="92" spans="1:17" x14ac:dyDescent="0.25">
      <c r="A92" t="s">
        <v>176</v>
      </c>
    </row>
    <row r="93" spans="1:17" x14ac:dyDescent="0.25">
      <c r="A93" t="s">
        <v>33</v>
      </c>
    </row>
    <row r="94" spans="1:17" x14ac:dyDescent="0.25">
      <c r="A94" t="s">
        <v>158</v>
      </c>
    </row>
    <row r="95" spans="1:17" x14ac:dyDescent="0.25">
      <c r="A95" t="s">
        <v>99</v>
      </c>
    </row>
    <row r="96" spans="1:17" x14ac:dyDescent="0.25">
      <c r="A96" t="s">
        <v>98</v>
      </c>
    </row>
    <row r="97" spans="1:1" x14ac:dyDescent="0.25">
      <c r="A97" t="s">
        <v>201</v>
      </c>
    </row>
    <row r="98" spans="1:1" x14ac:dyDescent="0.25">
      <c r="A98" t="s">
        <v>26</v>
      </c>
    </row>
    <row r="99" spans="1:1" x14ac:dyDescent="0.25">
      <c r="A99" t="s">
        <v>94</v>
      </c>
    </row>
    <row r="100" spans="1:1" x14ac:dyDescent="0.25">
      <c r="A100" t="s">
        <v>16</v>
      </c>
    </row>
    <row r="101" spans="1:1" x14ac:dyDescent="0.25">
      <c r="A101" t="s">
        <v>186</v>
      </c>
    </row>
    <row r="102" spans="1:1" x14ac:dyDescent="0.25">
      <c r="A102" t="s">
        <v>184</v>
      </c>
    </row>
    <row r="103" spans="1:1" x14ac:dyDescent="0.25">
      <c r="A103" t="s">
        <v>23</v>
      </c>
    </row>
    <row r="104" spans="1:1" x14ac:dyDescent="0.25">
      <c r="A104" t="s">
        <v>93</v>
      </c>
    </row>
    <row r="105" spans="1:1" x14ac:dyDescent="0.25">
      <c r="A105" t="s">
        <v>21</v>
      </c>
    </row>
    <row r="106" spans="1:1" x14ac:dyDescent="0.25">
      <c r="A106" t="s">
        <v>96</v>
      </c>
    </row>
    <row r="107" spans="1:1" x14ac:dyDescent="0.25">
      <c r="A107" t="s">
        <v>185</v>
      </c>
    </row>
    <row r="108" spans="1:1" x14ac:dyDescent="0.25">
      <c r="A108" t="s">
        <v>159</v>
      </c>
    </row>
    <row r="109" spans="1:1" x14ac:dyDescent="0.25">
      <c r="A109" t="s">
        <v>28</v>
      </c>
    </row>
    <row r="110" spans="1:1" x14ac:dyDescent="0.25">
      <c r="A110" t="s">
        <v>154</v>
      </c>
    </row>
    <row r="111" spans="1:1" x14ac:dyDescent="0.25">
      <c r="A111" t="s">
        <v>15</v>
      </c>
    </row>
    <row r="112" spans="1:1" x14ac:dyDescent="0.25">
      <c r="A112" t="s">
        <v>181</v>
      </c>
    </row>
    <row r="114" spans="1:17" x14ac:dyDescent="0.25">
      <c r="A114">
        <v>6</v>
      </c>
      <c r="B114">
        <v>7</v>
      </c>
      <c r="C114">
        <v>0</v>
      </c>
      <c r="D114">
        <v>6</v>
      </c>
      <c r="E114">
        <v>133</v>
      </c>
      <c r="F114">
        <v>0.48199999999999998</v>
      </c>
      <c r="G114">
        <v>56</v>
      </c>
      <c r="H114">
        <v>0.44400000000000001</v>
      </c>
      <c r="I114">
        <v>0.85399999999999998</v>
      </c>
      <c r="J114">
        <v>410</v>
      </c>
      <c r="K114">
        <v>29</v>
      </c>
      <c r="L114">
        <v>91</v>
      </c>
      <c r="M114">
        <v>87</v>
      </c>
      <c r="N114">
        <v>21</v>
      </c>
      <c r="O114">
        <v>15</v>
      </c>
      <c r="P114">
        <v>44</v>
      </c>
      <c r="Q114">
        <v>1.98</v>
      </c>
    </row>
    <row r="115" spans="1:17" x14ac:dyDescent="0.25">
      <c r="A115">
        <v>7</v>
      </c>
      <c r="B115">
        <v>6</v>
      </c>
      <c r="C115">
        <v>0</v>
      </c>
      <c r="D115">
        <v>7</v>
      </c>
      <c r="E115">
        <v>184</v>
      </c>
      <c r="F115">
        <v>0.47099999999999997</v>
      </c>
      <c r="G115">
        <v>43</v>
      </c>
      <c r="H115">
        <v>0.35</v>
      </c>
      <c r="I115">
        <v>0.77700000000000002</v>
      </c>
      <c r="J115">
        <v>540</v>
      </c>
      <c r="K115">
        <v>52</v>
      </c>
      <c r="L115">
        <v>187</v>
      </c>
      <c r="M115">
        <v>120</v>
      </c>
      <c r="N115">
        <v>35</v>
      </c>
      <c r="O115">
        <v>33</v>
      </c>
      <c r="P115">
        <v>71</v>
      </c>
      <c r="Q115">
        <v>1.69</v>
      </c>
    </row>
    <row r="116" spans="1:17" x14ac:dyDescent="0.25">
      <c r="A116">
        <v>4</v>
      </c>
      <c r="B116">
        <v>9</v>
      </c>
      <c r="C116">
        <v>0</v>
      </c>
      <c r="D116">
        <v>4</v>
      </c>
      <c r="E116">
        <v>137</v>
      </c>
      <c r="F116">
        <v>0.43099999999999999</v>
      </c>
      <c r="G116">
        <v>32</v>
      </c>
      <c r="H116">
        <v>0.28799999999999998</v>
      </c>
      <c r="I116">
        <v>0.76500000000000001</v>
      </c>
      <c r="J116">
        <v>381</v>
      </c>
      <c r="K116">
        <v>51</v>
      </c>
      <c r="L116">
        <v>147</v>
      </c>
      <c r="M116">
        <v>109</v>
      </c>
      <c r="N116">
        <v>33</v>
      </c>
      <c r="O116">
        <v>29</v>
      </c>
      <c r="P116">
        <v>77</v>
      </c>
      <c r="Q116">
        <v>1.42</v>
      </c>
    </row>
    <row r="117" spans="1:17" x14ac:dyDescent="0.25">
      <c r="A117">
        <v>9</v>
      </c>
      <c r="B117">
        <v>4</v>
      </c>
      <c r="C117">
        <v>0</v>
      </c>
      <c r="D117">
        <v>9</v>
      </c>
      <c r="E117">
        <v>159</v>
      </c>
      <c r="F117">
        <v>0.51</v>
      </c>
      <c r="G117">
        <v>49</v>
      </c>
      <c r="H117">
        <v>0.40799999999999997</v>
      </c>
      <c r="I117">
        <v>0.80800000000000005</v>
      </c>
      <c r="J117">
        <v>430</v>
      </c>
      <c r="K117">
        <v>42</v>
      </c>
      <c r="L117">
        <v>121</v>
      </c>
      <c r="M117">
        <v>91</v>
      </c>
      <c r="N117">
        <v>41</v>
      </c>
      <c r="O117">
        <v>16</v>
      </c>
      <c r="P117">
        <v>46</v>
      </c>
      <c r="Q117">
        <v>1.98</v>
      </c>
    </row>
    <row r="118" spans="1:17" x14ac:dyDescent="0.25">
      <c r="A118">
        <v>4</v>
      </c>
      <c r="B118">
        <v>9</v>
      </c>
      <c r="C118">
        <v>0</v>
      </c>
      <c r="D118">
        <v>4</v>
      </c>
      <c r="E118">
        <v>108</v>
      </c>
      <c r="F118">
        <v>0.42699999999999999</v>
      </c>
      <c r="G118">
        <v>49</v>
      </c>
      <c r="H118">
        <v>0.374</v>
      </c>
      <c r="I118">
        <v>0.78900000000000003</v>
      </c>
      <c r="J118">
        <v>310</v>
      </c>
      <c r="K118">
        <v>40</v>
      </c>
      <c r="L118">
        <v>101</v>
      </c>
      <c r="M118">
        <v>72</v>
      </c>
      <c r="N118">
        <v>24</v>
      </c>
      <c r="O118">
        <v>18</v>
      </c>
      <c r="P118">
        <v>57</v>
      </c>
      <c r="Q118">
        <v>1.26</v>
      </c>
    </row>
    <row r="119" spans="1:17" x14ac:dyDescent="0.25">
      <c r="A119">
        <v>9</v>
      </c>
      <c r="B119">
        <v>4</v>
      </c>
      <c r="C119">
        <v>0</v>
      </c>
      <c r="D119">
        <v>9</v>
      </c>
      <c r="E119">
        <v>174</v>
      </c>
      <c r="F119">
        <v>0.47399999999999998</v>
      </c>
      <c r="G119">
        <v>50</v>
      </c>
      <c r="H119">
        <v>0.34</v>
      </c>
      <c r="I119">
        <v>0.77</v>
      </c>
      <c r="J119">
        <v>475</v>
      </c>
      <c r="K119">
        <v>47</v>
      </c>
      <c r="L119">
        <v>134</v>
      </c>
      <c r="M119">
        <v>110</v>
      </c>
      <c r="N119">
        <v>37</v>
      </c>
      <c r="O119">
        <v>15</v>
      </c>
      <c r="P119">
        <v>60</v>
      </c>
      <c r="Q119">
        <v>1.83</v>
      </c>
    </row>
    <row r="120" spans="1:17" x14ac:dyDescent="0.25">
      <c r="A120">
        <v>5</v>
      </c>
      <c r="B120">
        <v>8</v>
      </c>
      <c r="C120">
        <v>0</v>
      </c>
      <c r="D120">
        <v>5</v>
      </c>
      <c r="E120">
        <v>148</v>
      </c>
      <c r="F120">
        <v>0.42499999999999999</v>
      </c>
      <c r="G120">
        <v>55</v>
      </c>
      <c r="H120">
        <v>0.34599999999999997</v>
      </c>
      <c r="I120">
        <v>0.79700000000000004</v>
      </c>
      <c r="J120">
        <v>410</v>
      </c>
      <c r="K120">
        <v>25</v>
      </c>
      <c r="L120">
        <v>91</v>
      </c>
      <c r="M120">
        <v>99</v>
      </c>
      <c r="N120">
        <v>38</v>
      </c>
      <c r="O120">
        <v>22</v>
      </c>
      <c r="P120">
        <v>50</v>
      </c>
      <c r="Q120">
        <v>1.98</v>
      </c>
    </row>
    <row r="121" spans="1:17" x14ac:dyDescent="0.25">
      <c r="A121">
        <v>8</v>
      </c>
      <c r="B121">
        <v>5</v>
      </c>
      <c r="C121">
        <v>0</v>
      </c>
      <c r="D121">
        <v>8</v>
      </c>
      <c r="E121">
        <v>167</v>
      </c>
      <c r="F121">
        <v>0.46100000000000002</v>
      </c>
      <c r="G121">
        <v>43</v>
      </c>
      <c r="H121">
        <v>0.33300000000000002</v>
      </c>
      <c r="I121">
        <v>0.84</v>
      </c>
      <c r="J121">
        <v>466</v>
      </c>
      <c r="K121">
        <v>73</v>
      </c>
      <c r="L121">
        <v>125</v>
      </c>
      <c r="M121">
        <v>102</v>
      </c>
      <c r="N121">
        <v>32</v>
      </c>
      <c r="O121">
        <v>24</v>
      </c>
      <c r="P121">
        <v>58</v>
      </c>
      <c r="Q121">
        <v>1.76</v>
      </c>
    </row>
    <row r="122" spans="1:17" x14ac:dyDescent="0.25">
      <c r="A122">
        <v>11</v>
      </c>
      <c r="B122">
        <v>2</v>
      </c>
      <c r="C122">
        <v>0</v>
      </c>
      <c r="D122">
        <v>11</v>
      </c>
      <c r="E122">
        <v>242</v>
      </c>
      <c r="F122">
        <v>0.48699999999999999</v>
      </c>
      <c r="G122">
        <v>50</v>
      </c>
      <c r="H122">
        <v>0.29799999999999999</v>
      </c>
      <c r="I122">
        <v>0.79700000000000004</v>
      </c>
      <c r="J122">
        <v>648</v>
      </c>
      <c r="K122">
        <v>40</v>
      </c>
      <c r="L122">
        <v>146</v>
      </c>
      <c r="M122">
        <v>130</v>
      </c>
      <c r="N122">
        <v>38</v>
      </c>
      <c r="O122">
        <v>41</v>
      </c>
      <c r="P122">
        <v>73</v>
      </c>
      <c r="Q122">
        <v>1.78</v>
      </c>
    </row>
    <row r="123" spans="1:17" x14ac:dyDescent="0.25">
      <c r="A123">
        <v>2</v>
      </c>
      <c r="B123">
        <v>11</v>
      </c>
      <c r="C123">
        <v>0</v>
      </c>
      <c r="D123">
        <v>2</v>
      </c>
      <c r="E123">
        <v>76</v>
      </c>
      <c r="F123">
        <v>0.434</v>
      </c>
      <c r="G123">
        <v>19</v>
      </c>
      <c r="H123">
        <v>0.32800000000000001</v>
      </c>
      <c r="I123">
        <v>0.69399999999999995</v>
      </c>
      <c r="J123">
        <v>196</v>
      </c>
      <c r="K123">
        <v>29</v>
      </c>
      <c r="L123">
        <v>60</v>
      </c>
      <c r="M123">
        <v>44</v>
      </c>
      <c r="N123">
        <v>18</v>
      </c>
      <c r="O123">
        <v>4</v>
      </c>
      <c r="P123">
        <v>27</v>
      </c>
      <c r="Q123">
        <v>1.63</v>
      </c>
    </row>
    <row r="124" spans="1:17" x14ac:dyDescent="0.25">
      <c r="A124">
        <v>6</v>
      </c>
      <c r="B124">
        <v>7</v>
      </c>
      <c r="C124">
        <v>0</v>
      </c>
      <c r="D124">
        <v>6</v>
      </c>
      <c r="E124">
        <v>147</v>
      </c>
      <c r="F124">
        <v>0.46800000000000003</v>
      </c>
      <c r="G124">
        <v>43</v>
      </c>
      <c r="H124">
        <v>0.36799999999999999</v>
      </c>
      <c r="I124">
        <v>0.83499999999999996</v>
      </c>
      <c r="J124">
        <v>403</v>
      </c>
      <c r="K124">
        <v>38</v>
      </c>
      <c r="L124">
        <v>99</v>
      </c>
      <c r="M124">
        <v>94</v>
      </c>
      <c r="N124">
        <v>37</v>
      </c>
      <c r="O124">
        <v>23</v>
      </c>
      <c r="P124">
        <v>57</v>
      </c>
      <c r="Q124">
        <v>1.65</v>
      </c>
    </row>
    <row r="125" spans="1:17" x14ac:dyDescent="0.25">
      <c r="A125">
        <v>7</v>
      </c>
      <c r="B125">
        <v>6</v>
      </c>
      <c r="C125">
        <v>0</v>
      </c>
      <c r="D125">
        <v>7</v>
      </c>
      <c r="E125">
        <v>183</v>
      </c>
      <c r="F125">
        <v>0.48499999999999999</v>
      </c>
      <c r="G125">
        <v>55</v>
      </c>
      <c r="H125">
        <v>0.36699999999999999</v>
      </c>
      <c r="I125">
        <v>0.78400000000000003</v>
      </c>
      <c r="J125">
        <v>512</v>
      </c>
      <c r="K125">
        <v>33</v>
      </c>
      <c r="L125">
        <v>133</v>
      </c>
      <c r="M125">
        <v>137</v>
      </c>
      <c r="N125">
        <v>34</v>
      </c>
      <c r="O125">
        <v>16</v>
      </c>
      <c r="P125">
        <v>73</v>
      </c>
      <c r="Q125">
        <v>1.88</v>
      </c>
    </row>
    <row r="126" spans="1:17" x14ac:dyDescent="0.25">
      <c r="A126">
        <v>5</v>
      </c>
      <c r="B126">
        <v>8</v>
      </c>
      <c r="C126">
        <v>0</v>
      </c>
      <c r="D126">
        <v>5</v>
      </c>
      <c r="E126">
        <v>146</v>
      </c>
      <c r="F126">
        <v>0.46500000000000002</v>
      </c>
      <c r="G126">
        <v>39</v>
      </c>
      <c r="H126">
        <v>0.33900000000000002</v>
      </c>
      <c r="I126">
        <v>0.82799999999999996</v>
      </c>
      <c r="J126">
        <v>384</v>
      </c>
      <c r="K126">
        <v>37</v>
      </c>
      <c r="L126">
        <v>119</v>
      </c>
      <c r="M126">
        <v>94</v>
      </c>
      <c r="N126">
        <v>21</v>
      </c>
      <c r="O126">
        <v>15</v>
      </c>
      <c r="P126">
        <v>59</v>
      </c>
      <c r="Q126">
        <v>1.59</v>
      </c>
    </row>
    <row r="127" spans="1:17" x14ac:dyDescent="0.25">
      <c r="A127">
        <v>8</v>
      </c>
      <c r="B127">
        <v>5</v>
      </c>
      <c r="C127">
        <v>0</v>
      </c>
      <c r="D127">
        <v>8</v>
      </c>
      <c r="E127">
        <v>178</v>
      </c>
      <c r="F127">
        <v>0.48199999999999998</v>
      </c>
      <c r="G127">
        <v>51</v>
      </c>
      <c r="H127">
        <v>0.38100000000000001</v>
      </c>
      <c r="I127">
        <v>0.85399999999999998</v>
      </c>
      <c r="J127">
        <v>483</v>
      </c>
      <c r="K127">
        <v>38</v>
      </c>
      <c r="L127">
        <v>118</v>
      </c>
      <c r="M127">
        <v>87</v>
      </c>
      <c r="N127">
        <v>33</v>
      </c>
      <c r="O127">
        <v>9</v>
      </c>
      <c r="P127">
        <v>67</v>
      </c>
      <c r="Q127">
        <v>1.3</v>
      </c>
    </row>
    <row r="128" spans="1:17" x14ac:dyDescent="0.25">
      <c r="A128">
        <v>3</v>
      </c>
      <c r="B128">
        <v>9</v>
      </c>
      <c r="C128">
        <v>1</v>
      </c>
      <c r="D128">
        <v>3.5</v>
      </c>
      <c r="E128">
        <v>159</v>
      </c>
      <c r="F128">
        <v>0.47899999999999998</v>
      </c>
      <c r="G128">
        <v>42</v>
      </c>
      <c r="H128">
        <v>0.32600000000000001</v>
      </c>
      <c r="I128">
        <v>0.79300000000000004</v>
      </c>
      <c r="J128">
        <v>448</v>
      </c>
      <c r="K128">
        <v>46</v>
      </c>
      <c r="L128">
        <v>102</v>
      </c>
      <c r="M128">
        <v>98</v>
      </c>
      <c r="N128">
        <v>33</v>
      </c>
      <c r="O128">
        <v>24</v>
      </c>
      <c r="P128">
        <v>61</v>
      </c>
      <c r="Q128">
        <v>1.61</v>
      </c>
    </row>
    <row r="129" spans="1:17" x14ac:dyDescent="0.25">
      <c r="A129">
        <v>9</v>
      </c>
      <c r="B129">
        <v>3</v>
      </c>
      <c r="C129">
        <v>1</v>
      </c>
      <c r="D129">
        <v>9.5</v>
      </c>
      <c r="E129">
        <v>238</v>
      </c>
      <c r="F129">
        <v>0.52500000000000002</v>
      </c>
      <c r="G129">
        <v>65</v>
      </c>
      <c r="H129">
        <v>0.42799999999999999</v>
      </c>
      <c r="I129">
        <v>0.76600000000000001</v>
      </c>
      <c r="J129">
        <v>649</v>
      </c>
      <c r="K129">
        <v>52</v>
      </c>
      <c r="L129">
        <v>152</v>
      </c>
      <c r="M129">
        <v>146</v>
      </c>
      <c r="N129">
        <v>30</v>
      </c>
      <c r="O129">
        <v>12</v>
      </c>
      <c r="P129">
        <v>61</v>
      </c>
      <c r="Q129">
        <v>2.39</v>
      </c>
    </row>
    <row r="130" spans="1:17" x14ac:dyDescent="0.25">
      <c r="A130">
        <v>4</v>
      </c>
      <c r="B130">
        <v>9</v>
      </c>
      <c r="C130">
        <v>0</v>
      </c>
      <c r="D130">
        <v>4</v>
      </c>
      <c r="E130">
        <v>103</v>
      </c>
      <c r="F130">
        <v>0.438</v>
      </c>
      <c r="G130">
        <v>47</v>
      </c>
      <c r="H130">
        <v>0.373</v>
      </c>
      <c r="I130">
        <v>0.83299999999999996</v>
      </c>
      <c r="J130">
        <v>303</v>
      </c>
      <c r="K130">
        <v>29</v>
      </c>
      <c r="L130">
        <v>111</v>
      </c>
      <c r="M130">
        <v>79</v>
      </c>
      <c r="N130">
        <v>24</v>
      </c>
      <c r="O130">
        <v>11</v>
      </c>
      <c r="P130">
        <v>42</v>
      </c>
      <c r="Q130">
        <v>1.88</v>
      </c>
    </row>
    <row r="131" spans="1:17" x14ac:dyDescent="0.25">
      <c r="A131">
        <v>9</v>
      </c>
      <c r="B131">
        <v>4</v>
      </c>
      <c r="C131">
        <v>0</v>
      </c>
      <c r="D131">
        <v>9</v>
      </c>
      <c r="E131">
        <v>207</v>
      </c>
      <c r="F131">
        <v>0.46600000000000003</v>
      </c>
      <c r="G131">
        <v>57</v>
      </c>
      <c r="H131">
        <v>0.34100000000000003</v>
      </c>
      <c r="I131">
        <v>0.73099999999999998</v>
      </c>
      <c r="J131">
        <v>547</v>
      </c>
      <c r="K131">
        <v>46</v>
      </c>
      <c r="L131">
        <v>120</v>
      </c>
      <c r="M131">
        <v>134</v>
      </c>
      <c r="N131">
        <v>43</v>
      </c>
      <c r="O131">
        <v>20</v>
      </c>
      <c r="P131">
        <v>76</v>
      </c>
      <c r="Q131">
        <v>1.76</v>
      </c>
    </row>
    <row r="132" spans="1:17" x14ac:dyDescent="0.25">
      <c r="A132">
        <v>6</v>
      </c>
      <c r="B132">
        <v>7</v>
      </c>
      <c r="C132">
        <v>0</v>
      </c>
      <c r="D132">
        <v>6</v>
      </c>
      <c r="E132">
        <v>176</v>
      </c>
      <c r="F132">
        <v>0.48899999999999999</v>
      </c>
      <c r="G132">
        <v>33</v>
      </c>
      <c r="H132">
        <v>0.30599999999999999</v>
      </c>
      <c r="I132">
        <v>0.82799999999999996</v>
      </c>
      <c r="J132">
        <v>491</v>
      </c>
      <c r="K132">
        <v>58</v>
      </c>
      <c r="L132">
        <v>158</v>
      </c>
      <c r="M132">
        <v>97</v>
      </c>
      <c r="N132">
        <v>36</v>
      </c>
      <c r="O132">
        <v>17</v>
      </c>
      <c r="P132">
        <v>44</v>
      </c>
      <c r="Q132">
        <v>2.2000000000000002</v>
      </c>
    </row>
    <row r="133" spans="1:17" x14ac:dyDescent="0.25">
      <c r="A133">
        <v>7</v>
      </c>
      <c r="B133">
        <v>6</v>
      </c>
      <c r="C133">
        <v>0</v>
      </c>
      <c r="D133">
        <v>7</v>
      </c>
      <c r="E133">
        <v>175</v>
      </c>
      <c r="F133">
        <v>0.46800000000000003</v>
      </c>
      <c r="G133">
        <v>74</v>
      </c>
      <c r="H133">
        <v>0.435</v>
      </c>
      <c r="I133">
        <v>0.92900000000000005</v>
      </c>
      <c r="J133">
        <v>503</v>
      </c>
      <c r="K133">
        <v>31</v>
      </c>
      <c r="L133">
        <v>94</v>
      </c>
      <c r="M133">
        <v>134</v>
      </c>
      <c r="N133">
        <v>42</v>
      </c>
      <c r="O133">
        <v>5</v>
      </c>
      <c r="P133">
        <v>50</v>
      </c>
      <c r="Q133">
        <v>2.68</v>
      </c>
    </row>
    <row r="134" spans="1:17" x14ac:dyDescent="0.25">
      <c r="A134" t="s">
        <v>162</v>
      </c>
    </row>
    <row r="135" spans="1:17" x14ac:dyDescent="0.25">
      <c r="A135" t="s">
        <v>209</v>
      </c>
    </row>
    <row r="136" spans="1:17" x14ac:dyDescent="0.25">
      <c r="A136" t="s">
        <v>176</v>
      </c>
    </row>
    <row r="137" spans="1:17" x14ac:dyDescent="0.25">
      <c r="A137" t="s">
        <v>158</v>
      </c>
    </row>
    <row r="138" spans="1:17" x14ac:dyDescent="0.25">
      <c r="A138" t="s">
        <v>99</v>
      </c>
    </row>
    <row r="139" spans="1:17" x14ac:dyDescent="0.25">
      <c r="A139" t="s">
        <v>33</v>
      </c>
    </row>
    <row r="140" spans="1:17" x14ac:dyDescent="0.25">
      <c r="A140" t="s">
        <v>201</v>
      </c>
    </row>
    <row r="141" spans="1:17" x14ac:dyDescent="0.25">
      <c r="A141" t="s">
        <v>98</v>
      </c>
    </row>
    <row r="142" spans="1:17" x14ac:dyDescent="0.25">
      <c r="A142" t="s">
        <v>94</v>
      </c>
    </row>
    <row r="143" spans="1:17" x14ac:dyDescent="0.25">
      <c r="A143" t="s">
        <v>26</v>
      </c>
    </row>
    <row r="144" spans="1:17" x14ac:dyDescent="0.25">
      <c r="A144" t="s">
        <v>186</v>
      </c>
    </row>
    <row r="145" spans="1:17" x14ac:dyDescent="0.25">
      <c r="A145" t="s">
        <v>16</v>
      </c>
    </row>
    <row r="146" spans="1:17" x14ac:dyDescent="0.25">
      <c r="A146" t="s">
        <v>23</v>
      </c>
    </row>
    <row r="147" spans="1:17" x14ac:dyDescent="0.25">
      <c r="A147" t="s">
        <v>184</v>
      </c>
    </row>
    <row r="148" spans="1:17" x14ac:dyDescent="0.25">
      <c r="A148" t="s">
        <v>21</v>
      </c>
    </row>
    <row r="149" spans="1:17" x14ac:dyDescent="0.25">
      <c r="A149" t="s">
        <v>93</v>
      </c>
    </row>
    <row r="150" spans="1:17" x14ac:dyDescent="0.25">
      <c r="A150" t="s">
        <v>185</v>
      </c>
    </row>
    <row r="151" spans="1:17" x14ac:dyDescent="0.25">
      <c r="A151" t="s">
        <v>96</v>
      </c>
    </row>
    <row r="152" spans="1:17" x14ac:dyDescent="0.25">
      <c r="A152" t="s">
        <v>28</v>
      </c>
    </row>
    <row r="153" spans="1:17" x14ac:dyDescent="0.25">
      <c r="A153" t="s">
        <v>159</v>
      </c>
    </row>
    <row r="154" spans="1:17" x14ac:dyDescent="0.25">
      <c r="A154" t="s">
        <v>15</v>
      </c>
    </row>
    <row r="155" spans="1:17" x14ac:dyDescent="0.25">
      <c r="A155" t="s">
        <v>154</v>
      </c>
    </row>
    <row r="156" spans="1:17" x14ac:dyDescent="0.25">
      <c r="A156" t="s">
        <v>181</v>
      </c>
    </row>
    <row r="158" spans="1:17" x14ac:dyDescent="0.25">
      <c r="A158">
        <v>7</v>
      </c>
      <c r="B158">
        <v>6</v>
      </c>
      <c r="C158">
        <v>0</v>
      </c>
      <c r="D158">
        <v>7</v>
      </c>
      <c r="E158">
        <v>219</v>
      </c>
      <c r="F158">
        <v>0.46500000000000002</v>
      </c>
      <c r="G158">
        <v>67</v>
      </c>
      <c r="H158">
        <v>0.39600000000000002</v>
      </c>
      <c r="I158">
        <v>0.81100000000000005</v>
      </c>
      <c r="J158">
        <v>642</v>
      </c>
      <c r="K158">
        <v>58</v>
      </c>
      <c r="L158">
        <v>156</v>
      </c>
      <c r="M158">
        <v>143</v>
      </c>
      <c r="N158">
        <v>29</v>
      </c>
      <c r="O158">
        <v>23</v>
      </c>
      <c r="P158">
        <v>80</v>
      </c>
      <c r="Q158">
        <v>1.79</v>
      </c>
    </row>
    <row r="159" spans="1:17" x14ac:dyDescent="0.25">
      <c r="A159">
        <v>6</v>
      </c>
      <c r="B159">
        <v>7</v>
      </c>
      <c r="C159">
        <v>0</v>
      </c>
      <c r="D159">
        <v>6</v>
      </c>
      <c r="E159">
        <v>182</v>
      </c>
      <c r="F159">
        <v>0.51900000000000002</v>
      </c>
      <c r="G159">
        <v>52</v>
      </c>
      <c r="H159">
        <v>0.41899999999999998</v>
      </c>
      <c r="I159">
        <v>0.83199999999999996</v>
      </c>
      <c r="J159">
        <v>505</v>
      </c>
      <c r="K159">
        <v>60</v>
      </c>
      <c r="L159">
        <v>165</v>
      </c>
      <c r="M159">
        <v>106</v>
      </c>
      <c r="N159">
        <v>27</v>
      </c>
      <c r="O159">
        <v>18</v>
      </c>
      <c r="P159">
        <v>66</v>
      </c>
      <c r="Q159">
        <v>1.61</v>
      </c>
    </row>
    <row r="160" spans="1:17" x14ac:dyDescent="0.25">
      <c r="A160">
        <v>10</v>
      </c>
      <c r="B160">
        <v>3</v>
      </c>
      <c r="C160">
        <v>0</v>
      </c>
      <c r="D160">
        <v>10</v>
      </c>
      <c r="E160">
        <v>157</v>
      </c>
      <c r="F160">
        <v>0.44</v>
      </c>
      <c r="G160">
        <v>58</v>
      </c>
      <c r="H160">
        <v>0.34499999999999997</v>
      </c>
      <c r="I160">
        <v>0.878</v>
      </c>
      <c r="J160">
        <v>458</v>
      </c>
      <c r="K160">
        <v>26</v>
      </c>
      <c r="L160">
        <v>114</v>
      </c>
      <c r="M160">
        <v>114</v>
      </c>
      <c r="N160">
        <v>35</v>
      </c>
      <c r="O160">
        <v>19</v>
      </c>
      <c r="P160">
        <v>71</v>
      </c>
      <c r="Q160">
        <v>1.61</v>
      </c>
    </row>
    <row r="161" spans="1:17" x14ac:dyDescent="0.25">
      <c r="A161">
        <v>3</v>
      </c>
      <c r="B161">
        <v>10</v>
      </c>
      <c r="C161">
        <v>0</v>
      </c>
      <c r="D161">
        <v>3</v>
      </c>
      <c r="E161">
        <v>89</v>
      </c>
      <c r="F161">
        <v>0.42599999999999999</v>
      </c>
      <c r="G161">
        <v>38</v>
      </c>
      <c r="H161">
        <v>0.32500000000000001</v>
      </c>
      <c r="I161">
        <v>0.89600000000000002</v>
      </c>
      <c r="J161">
        <v>259</v>
      </c>
      <c r="K161">
        <v>42</v>
      </c>
      <c r="L161">
        <v>90</v>
      </c>
      <c r="M161">
        <v>49</v>
      </c>
      <c r="N161">
        <v>17</v>
      </c>
      <c r="O161">
        <v>15</v>
      </c>
      <c r="P161">
        <v>44</v>
      </c>
      <c r="Q161">
        <v>1.1100000000000001</v>
      </c>
    </row>
    <row r="162" spans="1:17" x14ac:dyDescent="0.25">
      <c r="A162">
        <v>5</v>
      </c>
      <c r="B162">
        <v>8</v>
      </c>
      <c r="C162">
        <v>0</v>
      </c>
      <c r="D162">
        <v>5</v>
      </c>
      <c r="E162">
        <v>144</v>
      </c>
      <c r="F162">
        <v>0.49099999999999999</v>
      </c>
      <c r="G162">
        <v>37</v>
      </c>
      <c r="H162">
        <v>0.33600000000000002</v>
      </c>
      <c r="I162">
        <v>0.74199999999999999</v>
      </c>
      <c r="J162">
        <v>371</v>
      </c>
      <c r="K162">
        <v>44</v>
      </c>
      <c r="L162">
        <v>128</v>
      </c>
      <c r="M162">
        <v>88</v>
      </c>
      <c r="N162">
        <v>36</v>
      </c>
      <c r="O162">
        <v>19</v>
      </c>
      <c r="P162">
        <v>53</v>
      </c>
      <c r="Q162">
        <v>1.66</v>
      </c>
    </row>
    <row r="163" spans="1:17" x14ac:dyDescent="0.25">
      <c r="A163">
        <v>8</v>
      </c>
      <c r="B163">
        <v>5</v>
      </c>
      <c r="C163">
        <v>0</v>
      </c>
      <c r="D163">
        <v>8</v>
      </c>
      <c r="E163">
        <v>155</v>
      </c>
      <c r="F163">
        <v>0.45600000000000002</v>
      </c>
      <c r="G163">
        <v>72</v>
      </c>
      <c r="H163">
        <v>0.39600000000000002</v>
      </c>
      <c r="I163">
        <v>0.81399999999999995</v>
      </c>
      <c r="J163">
        <v>452</v>
      </c>
      <c r="K163">
        <v>18</v>
      </c>
      <c r="L163">
        <v>103</v>
      </c>
      <c r="M163">
        <v>94</v>
      </c>
      <c r="N163">
        <v>24</v>
      </c>
      <c r="O163">
        <v>14</v>
      </c>
      <c r="P163">
        <v>33</v>
      </c>
      <c r="Q163">
        <v>2.85</v>
      </c>
    </row>
    <row r="164" spans="1:17" x14ac:dyDescent="0.25">
      <c r="A164">
        <v>10</v>
      </c>
      <c r="B164">
        <v>2</v>
      </c>
      <c r="C164">
        <v>1</v>
      </c>
      <c r="D164">
        <v>10.5</v>
      </c>
      <c r="E164">
        <v>200</v>
      </c>
      <c r="F164">
        <v>0.48899999999999999</v>
      </c>
      <c r="G164">
        <v>76</v>
      </c>
      <c r="H164">
        <v>0.40899999999999997</v>
      </c>
      <c r="I164">
        <v>0.876</v>
      </c>
      <c r="J164">
        <v>582</v>
      </c>
      <c r="K164">
        <v>53</v>
      </c>
      <c r="L164">
        <v>132</v>
      </c>
      <c r="M164">
        <v>124</v>
      </c>
      <c r="N164">
        <v>32</v>
      </c>
      <c r="O164">
        <v>17</v>
      </c>
      <c r="P164">
        <v>43</v>
      </c>
      <c r="Q164">
        <v>2.88</v>
      </c>
    </row>
    <row r="165" spans="1:17" x14ac:dyDescent="0.25">
      <c r="A165">
        <v>2</v>
      </c>
      <c r="B165">
        <v>10</v>
      </c>
      <c r="C165">
        <v>1</v>
      </c>
      <c r="D165">
        <v>2.5</v>
      </c>
      <c r="E165">
        <v>189</v>
      </c>
      <c r="F165">
        <v>0.45100000000000001</v>
      </c>
      <c r="G165">
        <v>36</v>
      </c>
      <c r="H165">
        <v>0.29299999999999998</v>
      </c>
      <c r="I165">
        <v>0.79400000000000004</v>
      </c>
      <c r="J165">
        <v>522</v>
      </c>
      <c r="K165">
        <v>37</v>
      </c>
      <c r="L165">
        <v>135</v>
      </c>
      <c r="M165">
        <v>116</v>
      </c>
      <c r="N165">
        <v>32</v>
      </c>
      <c r="O165">
        <v>18</v>
      </c>
      <c r="P165">
        <v>50</v>
      </c>
      <c r="Q165">
        <v>2.3199999999999998</v>
      </c>
    </row>
    <row r="166" spans="1:17" x14ac:dyDescent="0.25">
      <c r="A166">
        <v>8</v>
      </c>
      <c r="B166">
        <v>5</v>
      </c>
      <c r="C166">
        <v>0</v>
      </c>
      <c r="D166">
        <v>8</v>
      </c>
      <c r="E166">
        <v>180</v>
      </c>
      <c r="F166">
        <v>0.497</v>
      </c>
      <c r="G166">
        <v>45</v>
      </c>
      <c r="H166">
        <v>0.38100000000000001</v>
      </c>
      <c r="I166">
        <v>0.79400000000000004</v>
      </c>
      <c r="J166">
        <v>536</v>
      </c>
      <c r="K166">
        <v>63</v>
      </c>
      <c r="L166">
        <v>154</v>
      </c>
      <c r="M166">
        <v>87</v>
      </c>
      <c r="N166">
        <v>31</v>
      </c>
      <c r="O166">
        <v>33</v>
      </c>
      <c r="P166">
        <v>63</v>
      </c>
      <c r="Q166">
        <v>1.38</v>
      </c>
    </row>
    <row r="167" spans="1:17" x14ac:dyDescent="0.25">
      <c r="A167">
        <v>5</v>
      </c>
      <c r="B167">
        <v>8</v>
      </c>
      <c r="C167">
        <v>0</v>
      </c>
      <c r="D167">
        <v>5</v>
      </c>
      <c r="E167">
        <v>172</v>
      </c>
      <c r="F167">
        <v>0.499</v>
      </c>
      <c r="G167">
        <v>42</v>
      </c>
      <c r="H167">
        <v>0.372</v>
      </c>
      <c r="I167">
        <v>0.79</v>
      </c>
      <c r="J167">
        <v>469</v>
      </c>
      <c r="K167">
        <v>49</v>
      </c>
      <c r="L167">
        <v>138</v>
      </c>
      <c r="M167">
        <v>122</v>
      </c>
      <c r="N167">
        <v>37</v>
      </c>
      <c r="O167">
        <v>24</v>
      </c>
      <c r="P167">
        <v>55</v>
      </c>
      <c r="Q167">
        <v>2.2200000000000002</v>
      </c>
    </row>
    <row r="168" spans="1:17" x14ac:dyDescent="0.25">
      <c r="A168">
        <v>4</v>
      </c>
      <c r="B168">
        <v>9</v>
      </c>
      <c r="C168">
        <v>0</v>
      </c>
      <c r="D168">
        <v>4</v>
      </c>
      <c r="E168">
        <v>54</v>
      </c>
      <c r="F168">
        <v>0.432</v>
      </c>
      <c r="G168">
        <v>22</v>
      </c>
      <c r="H168">
        <v>0.41499999999999998</v>
      </c>
      <c r="I168">
        <v>0.84599999999999997</v>
      </c>
      <c r="J168">
        <v>163</v>
      </c>
      <c r="K168">
        <v>17</v>
      </c>
      <c r="L168">
        <v>48</v>
      </c>
      <c r="M168">
        <v>30</v>
      </c>
      <c r="N168">
        <v>12</v>
      </c>
      <c r="O168">
        <v>8</v>
      </c>
      <c r="P168">
        <v>17</v>
      </c>
      <c r="Q168">
        <v>1.76</v>
      </c>
    </row>
    <row r="169" spans="1:17" x14ac:dyDescent="0.25">
      <c r="A169">
        <v>9</v>
      </c>
      <c r="B169">
        <v>4</v>
      </c>
      <c r="C169">
        <v>0</v>
      </c>
      <c r="D169">
        <v>9</v>
      </c>
      <c r="E169">
        <v>137</v>
      </c>
      <c r="F169">
        <v>0.46899999999999997</v>
      </c>
      <c r="G169">
        <v>38</v>
      </c>
      <c r="H169">
        <v>0.32500000000000001</v>
      </c>
      <c r="I169">
        <v>0.79200000000000004</v>
      </c>
      <c r="J169">
        <v>350</v>
      </c>
      <c r="K169">
        <v>31</v>
      </c>
      <c r="L169">
        <v>101</v>
      </c>
      <c r="M169">
        <v>91</v>
      </c>
      <c r="N169">
        <v>28</v>
      </c>
      <c r="O169">
        <v>14</v>
      </c>
      <c r="P169">
        <v>59</v>
      </c>
      <c r="Q169">
        <v>1.54</v>
      </c>
    </row>
    <row r="170" spans="1:17" x14ac:dyDescent="0.25">
      <c r="A170">
        <v>8</v>
      </c>
      <c r="B170">
        <v>5</v>
      </c>
      <c r="C170">
        <v>0</v>
      </c>
      <c r="D170">
        <v>8</v>
      </c>
      <c r="E170">
        <v>193</v>
      </c>
      <c r="F170">
        <v>0.46500000000000002</v>
      </c>
      <c r="G170">
        <v>65</v>
      </c>
      <c r="H170">
        <v>0.35899999999999999</v>
      </c>
      <c r="I170">
        <v>0.79400000000000004</v>
      </c>
      <c r="J170">
        <v>578</v>
      </c>
      <c r="K170">
        <v>35</v>
      </c>
      <c r="L170">
        <v>114</v>
      </c>
      <c r="M170">
        <v>152</v>
      </c>
      <c r="N170">
        <v>39</v>
      </c>
      <c r="O170">
        <v>9</v>
      </c>
      <c r="P170">
        <v>73</v>
      </c>
      <c r="Q170">
        <v>2.08</v>
      </c>
    </row>
    <row r="171" spans="1:17" x14ac:dyDescent="0.25">
      <c r="A171">
        <v>5</v>
      </c>
      <c r="B171">
        <v>8</v>
      </c>
      <c r="C171">
        <v>0</v>
      </c>
      <c r="D171">
        <v>5</v>
      </c>
      <c r="E171">
        <v>179</v>
      </c>
      <c r="F171">
        <v>0.48399999999999999</v>
      </c>
      <c r="G171">
        <v>48</v>
      </c>
      <c r="H171">
        <v>0.34</v>
      </c>
      <c r="I171">
        <v>0.72399999999999998</v>
      </c>
      <c r="J171">
        <v>490</v>
      </c>
      <c r="K171">
        <v>25</v>
      </c>
      <c r="L171">
        <v>150</v>
      </c>
      <c r="M171">
        <v>135</v>
      </c>
      <c r="N171">
        <v>26</v>
      </c>
      <c r="O171">
        <v>23</v>
      </c>
      <c r="P171">
        <v>53</v>
      </c>
      <c r="Q171">
        <v>2.5499999999999998</v>
      </c>
    </row>
    <row r="172" spans="1:17" x14ac:dyDescent="0.25">
      <c r="A172">
        <v>8</v>
      </c>
      <c r="B172">
        <v>5</v>
      </c>
      <c r="C172">
        <v>0</v>
      </c>
      <c r="D172">
        <v>8</v>
      </c>
      <c r="E172">
        <v>185</v>
      </c>
      <c r="F172">
        <v>0.437</v>
      </c>
      <c r="G172">
        <v>47</v>
      </c>
      <c r="H172">
        <v>0.29199999999999998</v>
      </c>
      <c r="I172">
        <v>0.84</v>
      </c>
      <c r="J172">
        <v>517</v>
      </c>
      <c r="K172">
        <v>34</v>
      </c>
      <c r="L172">
        <v>115</v>
      </c>
      <c r="M172">
        <v>107</v>
      </c>
      <c r="N172">
        <v>39</v>
      </c>
      <c r="O172">
        <v>19</v>
      </c>
      <c r="P172">
        <v>78</v>
      </c>
      <c r="Q172">
        <v>1.37</v>
      </c>
    </row>
    <row r="173" spans="1:17" x14ac:dyDescent="0.25">
      <c r="A173">
        <v>5</v>
      </c>
      <c r="B173">
        <v>8</v>
      </c>
      <c r="C173">
        <v>0</v>
      </c>
      <c r="D173">
        <v>5</v>
      </c>
      <c r="E173">
        <v>127</v>
      </c>
      <c r="F173">
        <v>0.496</v>
      </c>
      <c r="G173">
        <v>43</v>
      </c>
      <c r="H173">
        <v>0.377</v>
      </c>
      <c r="I173">
        <v>0.86199999999999999</v>
      </c>
      <c r="J173">
        <v>353</v>
      </c>
      <c r="K173">
        <v>24</v>
      </c>
      <c r="L173">
        <v>96</v>
      </c>
      <c r="M173">
        <v>68</v>
      </c>
      <c r="N173">
        <v>16</v>
      </c>
      <c r="O173">
        <v>16</v>
      </c>
      <c r="P173">
        <v>40</v>
      </c>
      <c r="Q173">
        <v>1.7</v>
      </c>
    </row>
    <row r="174" spans="1:17" x14ac:dyDescent="0.25">
      <c r="A174">
        <v>10</v>
      </c>
      <c r="B174">
        <v>3</v>
      </c>
      <c r="C174">
        <v>0</v>
      </c>
      <c r="D174">
        <v>10</v>
      </c>
      <c r="E174">
        <v>227</v>
      </c>
      <c r="F174">
        <v>0.50600000000000001</v>
      </c>
      <c r="G174">
        <v>60</v>
      </c>
      <c r="H174">
        <v>0.36399999999999999</v>
      </c>
      <c r="I174">
        <v>0.79400000000000004</v>
      </c>
      <c r="J174">
        <v>676</v>
      </c>
      <c r="K174">
        <v>53</v>
      </c>
      <c r="L174">
        <v>189</v>
      </c>
      <c r="M174">
        <v>162</v>
      </c>
      <c r="N174">
        <v>35</v>
      </c>
      <c r="O174">
        <v>19</v>
      </c>
      <c r="P174">
        <v>82</v>
      </c>
      <c r="Q174">
        <v>1.98</v>
      </c>
    </row>
    <row r="175" spans="1:17" x14ac:dyDescent="0.25">
      <c r="A175">
        <v>3</v>
      </c>
      <c r="B175">
        <v>10</v>
      </c>
      <c r="C175">
        <v>0</v>
      </c>
      <c r="D175">
        <v>3</v>
      </c>
      <c r="E175">
        <v>131</v>
      </c>
      <c r="F175">
        <v>0.47599999999999998</v>
      </c>
      <c r="G175">
        <v>40</v>
      </c>
      <c r="H175">
        <v>0.37</v>
      </c>
      <c r="I175">
        <v>0.73299999999999998</v>
      </c>
      <c r="J175">
        <v>346</v>
      </c>
      <c r="K175">
        <v>41</v>
      </c>
      <c r="L175">
        <v>99</v>
      </c>
      <c r="M175">
        <v>74</v>
      </c>
      <c r="N175">
        <v>29</v>
      </c>
      <c r="O175">
        <v>12</v>
      </c>
      <c r="P175">
        <v>37</v>
      </c>
      <c r="Q175">
        <v>2</v>
      </c>
    </row>
    <row r="176" spans="1:17" x14ac:dyDescent="0.25">
      <c r="A176">
        <v>8</v>
      </c>
      <c r="B176">
        <v>4</v>
      </c>
      <c r="C176">
        <v>1</v>
      </c>
      <c r="D176">
        <v>8.5</v>
      </c>
      <c r="E176">
        <v>174</v>
      </c>
      <c r="F176">
        <v>0.47199999999999998</v>
      </c>
      <c r="G176">
        <v>51</v>
      </c>
      <c r="H176">
        <v>0.35399999999999998</v>
      </c>
      <c r="I176">
        <v>0.75800000000000001</v>
      </c>
      <c r="J176">
        <v>474</v>
      </c>
      <c r="K176">
        <v>41</v>
      </c>
      <c r="L176">
        <v>103</v>
      </c>
      <c r="M176">
        <v>116</v>
      </c>
      <c r="N176">
        <v>36</v>
      </c>
      <c r="O176">
        <v>13</v>
      </c>
      <c r="P176">
        <v>49</v>
      </c>
      <c r="Q176">
        <v>2.37</v>
      </c>
    </row>
    <row r="177" spans="1:17" x14ac:dyDescent="0.25">
      <c r="A177">
        <v>4</v>
      </c>
      <c r="B177">
        <v>8</v>
      </c>
      <c r="C177">
        <v>1</v>
      </c>
      <c r="D177">
        <v>4.5</v>
      </c>
      <c r="E177">
        <v>147</v>
      </c>
      <c r="F177">
        <v>0.432</v>
      </c>
      <c r="G177">
        <v>52</v>
      </c>
      <c r="H177">
        <v>0.33300000000000002</v>
      </c>
      <c r="I177">
        <v>0.86099999999999999</v>
      </c>
      <c r="J177">
        <v>433</v>
      </c>
      <c r="K177">
        <v>40</v>
      </c>
      <c r="L177">
        <v>106</v>
      </c>
      <c r="M177">
        <v>129</v>
      </c>
      <c r="N177">
        <v>35</v>
      </c>
      <c r="O177">
        <v>13</v>
      </c>
      <c r="P177">
        <v>65</v>
      </c>
      <c r="Q177">
        <v>1.98</v>
      </c>
    </row>
    <row r="178" spans="1:17" x14ac:dyDescent="0.25">
      <c r="A178" t="s">
        <v>163</v>
      </c>
    </row>
    <row r="179" spans="1:17" x14ac:dyDescent="0.25">
      <c r="A179" t="s">
        <v>210</v>
      </c>
    </row>
    <row r="180" spans="1:17" x14ac:dyDescent="0.25">
      <c r="A180" t="s">
        <v>176</v>
      </c>
    </row>
    <row r="181" spans="1:17" x14ac:dyDescent="0.25">
      <c r="A181" t="s">
        <v>201</v>
      </c>
    </row>
    <row r="182" spans="1:17" x14ac:dyDescent="0.25">
      <c r="A182" t="s">
        <v>158</v>
      </c>
    </row>
    <row r="183" spans="1:17" x14ac:dyDescent="0.25">
      <c r="A183" t="s">
        <v>94</v>
      </c>
    </row>
    <row r="184" spans="1:17" x14ac:dyDescent="0.25">
      <c r="A184" t="s">
        <v>99</v>
      </c>
    </row>
    <row r="185" spans="1:17" x14ac:dyDescent="0.25">
      <c r="A185" t="s">
        <v>186</v>
      </c>
    </row>
    <row r="186" spans="1:17" x14ac:dyDescent="0.25">
      <c r="A186" t="s">
        <v>33</v>
      </c>
    </row>
    <row r="187" spans="1:17" x14ac:dyDescent="0.25">
      <c r="A187" t="s">
        <v>23</v>
      </c>
    </row>
    <row r="188" spans="1:17" x14ac:dyDescent="0.25">
      <c r="A188" t="s">
        <v>98</v>
      </c>
    </row>
    <row r="189" spans="1:17" x14ac:dyDescent="0.25">
      <c r="A189" t="s">
        <v>21</v>
      </c>
    </row>
    <row r="190" spans="1:17" x14ac:dyDescent="0.25">
      <c r="A190" t="s">
        <v>26</v>
      </c>
    </row>
    <row r="191" spans="1:17" x14ac:dyDescent="0.25">
      <c r="A191" t="s">
        <v>185</v>
      </c>
    </row>
    <row r="192" spans="1:17" x14ac:dyDescent="0.25">
      <c r="A192" t="s">
        <v>16</v>
      </c>
    </row>
    <row r="193" spans="1:17" x14ac:dyDescent="0.25">
      <c r="A193" t="s">
        <v>28</v>
      </c>
    </row>
    <row r="194" spans="1:17" x14ac:dyDescent="0.25">
      <c r="A194" t="s">
        <v>184</v>
      </c>
    </row>
    <row r="195" spans="1:17" x14ac:dyDescent="0.25">
      <c r="A195" t="s">
        <v>15</v>
      </c>
    </row>
    <row r="196" spans="1:17" x14ac:dyDescent="0.25">
      <c r="A196" t="s">
        <v>93</v>
      </c>
    </row>
    <row r="197" spans="1:17" x14ac:dyDescent="0.25">
      <c r="A197" t="s">
        <v>181</v>
      </c>
    </row>
    <row r="198" spans="1:17" x14ac:dyDescent="0.25">
      <c r="A198" t="s">
        <v>96</v>
      </c>
    </row>
    <row r="199" spans="1:17" x14ac:dyDescent="0.25">
      <c r="A199" t="s">
        <v>154</v>
      </c>
    </row>
    <row r="200" spans="1:17" x14ac:dyDescent="0.25">
      <c r="A200" t="s">
        <v>159</v>
      </c>
    </row>
    <row r="202" spans="1:17" x14ac:dyDescent="0.25">
      <c r="A202">
        <v>6</v>
      </c>
      <c r="B202">
        <v>7</v>
      </c>
      <c r="C202">
        <v>0</v>
      </c>
      <c r="D202">
        <v>6</v>
      </c>
      <c r="E202">
        <v>101</v>
      </c>
      <c r="F202">
        <v>0.46300000000000002</v>
      </c>
      <c r="G202">
        <v>43</v>
      </c>
      <c r="H202">
        <v>0.39100000000000001</v>
      </c>
      <c r="I202">
        <v>0.78600000000000003</v>
      </c>
      <c r="J202">
        <v>278</v>
      </c>
      <c r="K202">
        <v>49</v>
      </c>
      <c r="L202">
        <v>80</v>
      </c>
      <c r="M202">
        <v>53</v>
      </c>
      <c r="N202">
        <v>15</v>
      </c>
      <c r="O202">
        <v>16</v>
      </c>
      <c r="P202">
        <v>33</v>
      </c>
      <c r="Q202">
        <v>1.61</v>
      </c>
    </row>
    <row r="203" spans="1:17" x14ac:dyDescent="0.25">
      <c r="A203">
        <v>7</v>
      </c>
      <c r="B203">
        <v>6</v>
      </c>
      <c r="C203">
        <v>0</v>
      </c>
      <c r="D203">
        <v>7</v>
      </c>
      <c r="E203">
        <v>157</v>
      </c>
      <c r="F203">
        <v>0.48599999999999999</v>
      </c>
      <c r="G203">
        <v>40</v>
      </c>
      <c r="H203">
        <v>0.33600000000000002</v>
      </c>
      <c r="I203">
        <v>0.77400000000000002</v>
      </c>
      <c r="J203">
        <v>460</v>
      </c>
      <c r="K203">
        <v>27</v>
      </c>
      <c r="L203">
        <v>126</v>
      </c>
      <c r="M203">
        <v>103</v>
      </c>
      <c r="N203">
        <v>23</v>
      </c>
      <c r="O203">
        <v>13</v>
      </c>
      <c r="P203">
        <v>58</v>
      </c>
      <c r="Q203">
        <v>1.78</v>
      </c>
    </row>
    <row r="204" spans="1:17" x14ac:dyDescent="0.25">
      <c r="A204">
        <v>3</v>
      </c>
      <c r="B204">
        <v>10</v>
      </c>
      <c r="C204">
        <v>0</v>
      </c>
      <c r="D204">
        <v>3</v>
      </c>
      <c r="E204">
        <v>109</v>
      </c>
      <c r="F204">
        <v>0.42399999999999999</v>
      </c>
      <c r="G204">
        <v>47</v>
      </c>
      <c r="H204">
        <v>0.36399999999999999</v>
      </c>
      <c r="I204">
        <v>0.82099999999999995</v>
      </c>
      <c r="J204">
        <v>297</v>
      </c>
      <c r="K204">
        <v>23</v>
      </c>
      <c r="L204">
        <v>85</v>
      </c>
      <c r="M204">
        <v>67</v>
      </c>
      <c r="N204">
        <v>17</v>
      </c>
      <c r="O204">
        <v>10</v>
      </c>
      <c r="P204">
        <v>30</v>
      </c>
      <c r="Q204">
        <v>2.23</v>
      </c>
    </row>
    <row r="205" spans="1:17" x14ac:dyDescent="0.25">
      <c r="A205">
        <v>10</v>
      </c>
      <c r="B205">
        <v>3</v>
      </c>
      <c r="C205">
        <v>0</v>
      </c>
      <c r="D205">
        <v>10</v>
      </c>
      <c r="E205">
        <v>170</v>
      </c>
      <c r="F205">
        <v>0.48299999999999998</v>
      </c>
      <c r="G205">
        <v>50</v>
      </c>
      <c r="H205">
        <v>0.43099999999999999</v>
      </c>
      <c r="I205">
        <v>0.81499999999999995</v>
      </c>
      <c r="J205">
        <v>465</v>
      </c>
      <c r="K205">
        <v>62</v>
      </c>
      <c r="L205">
        <v>177</v>
      </c>
      <c r="M205">
        <v>99</v>
      </c>
      <c r="N205">
        <v>34</v>
      </c>
      <c r="O205">
        <v>20</v>
      </c>
      <c r="P205">
        <v>50</v>
      </c>
      <c r="Q205">
        <v>1.98</v>
      </c>
    </row>
    <row r="206" spans="1:17" x14ac:dyDescent="0.25">
      <c r="A206">
        <v>7</v>
      </c>
      <c r="B206">
        <v>6</v>
      </c>
      <c r="C206">
        <v>0</v>
      </c>
      <c r="D206">
        <v>7</v>
      </c>
      <c r="E206">
        <v>246</v>
      </c>
      <c r="F206">
        <v>0.49</v>
      </c>
      <c r="G206">
        <v>65</v>
      </c>
      <c r="H206">
        <v>0.35099999999999998</v>
      </c>
      <c r="I206">
        <v>0.81899999999999995</v>
      </c>
      <c r="J206">
        <v>675</v>
      </c>
      <c r="K206">
        <v>47</v>
      </c>
      <c r="L206">
        <v>160</v>
      </c>
      <c r="M206">
        <v>157</v>
      </c>
      <c r="N206">
        <v>43</v>
      </c>
      <c r="O206">
        <v>28</v>
      </c>
      <c r="P206">
        <v>86</v>
      </c>
      <c r="Q206">
        <v>1.83</v>
      </c>
    </row>
    <row r="207" spans="1:17" x14ac:dyDescent="0.25">
      <c r="A207">
        <v>6</v>
      </c>
      <c r="B207">
        <v>7</v>
      </c>
      <c r="C207">
        <v>0</v>
      </c>
      <c r="D207">
        <v>6</v>
      </c>
      <c r="E207">
        <v>197</v>
      </c>
      <c r="F207">
        <v>0.52100000000000002</v>
      </c>
      <c r="G207">
        <v>71</v>
      </c>
      <c r="H207">
        <v>0.41799999999999998</v>
      </c>
      <c r="I207">
        <v>0.85399999999999998</v>
      </c>
      <c r="J207">
        <v>576</v>
      </c>
      <c r="K207">
        <v>20</v>
      </c>
      <c r="L207">
        <v>103</v>
      </c>
      <c r="M207">
        <v>105</v>
      </c>
      <c r="N207">
        <v>42</v>
      </c>
      <c r="O207">
        <v>24</v>
      </c>
      <c r="P207">
        <v>57</v>
      </c>
      <c r="Q207">
        <v>1.84</v>
      </c>
    </row>
    <row r="208" spans="1:17" x14ac:dyDescent="0.25">
      <c r="A208">
        <v>5</v>
      </c>
      <c r="B208">
        <v>8</v>
      </c>
      <c r="C208">
        <v>0</v>
      </c>
      <c r="D208">
        <v>5</v>
      </c>
      <c r="E208">
        <v>161</v>
      </c>
      <c r="F208">
        <v>0.503</v>
      </c>
      <c r="G208">
        <v>42</v>
      </c>
      <c r="H208">
        <v>0.38500000000000001</v>
      </c>
      <c r="I208">
        <v>0.77600000000000002</v>
      </c>
      <c r="J208">
        <v>402</v>
      </c>
      <c r="K208">
        <v>38</v>
      </c>
      <c r="L208">
        <v>92</v>
      </c>
      <c r="M208">
        <v>99</v>
      </c>
      <c r="N208">
        <v>28</v>
      </c>
      <c r="O208">
        <v>18</v>
      </c>
      <c r="P208">
        <v>43</v>
      </c>
      <c r="Q208">
        <v>2.2999999999999998</v>
      </c>
    </row>
    <row r="209" spans="1:17" x14ac:dyDescent="0.25">
      <c r="A209">
        <v>8</v>
      </c>
      <c r="B209">
        <v>5</v>
      </c>
      <c r="C209">
        <v>0</v>
      </c>
      <c r="D209">
        <v>8</v>
      </c>
      <c r="E209">
        <v>120</v>
      </c>
      <c r="F209">
        <v>0.51500000000000001</v>
      </c>
      <c r="G209">
        <v>46</v>
      </c>
      <c r="H209">
        <v>0.40699999999999997</v>
      </c>
      <c r="I209">
        <v>0.79</v>
      </c>
      <c r="J209">
        <v>350</v>
      </c>
      <c r="K209">
        <v>33</v>
      </c>
      <c r="L209">
        <v>103</v>
      </c>
      <c r="M209">
        <v>106</v>
      </c>
      <c r="N209">
        <v>35</v>
      </c>
      <c r="O209">
        <v>22</v>
      </c>
      <c r="P209">
        <v>55</v>
      </c>
      <c r="Q209">
        <v>1.93</v>
      </c>
    </row>
    <row r="210" spans="1:17" x14ac:dyDescent="0.25">
      <c r="A210">
        <v>4</v>
      </c>
      <c r="B210">
        <v>9</v>
      </c>
      <c r="C210">
        <v>0</v>
      </c>
      <c r="D210">
        <v>4</v>
      </c>
      <c r="E210">
        <v>144</v>
      </c>
      <c r="F210">
        <v>0.503</v>
      </c>
      <c r="G210">
        <v>44</v>
      </c>
      <c r="H210">
        <v>0.379</v>
      </c>
      <c r="I210">
        <v>0.76400000000000001</v>
      </c>
      <c r="J210">
        <v>387</v>
      </c>
      <c r="K210">
        <v>38</v>
      </c>
      <c r="L210">
        <v>90</v>
      </c>
      <c r="M210">
        <v>70</v>
      </c>
      <c r="N210">
        <v>30</v>
      </c>
      <c r="O210">
        <v>12</v>
      </c>
      <c r="P210">
        <v>51</v>
      </c>
      <c r="Q210">
        <v>1.37</v>
      </c>
    </row>
    <row r="211" spans="1:17" x14ac:dyDescent="0.25">
      <c r="A211">
        <v>9</v>
      </c>
      <c r="B211">
        <v>4</v>
      </c>
      <c r="C211">
        <v>0</v>
      </c>
      <c r="D211">
        <v>9</v>
      </c>
      <c r="E211">
        <v>187</v>
      </c>
      <c r="F211">
        <v>0.45600000000000002</v>
      </c>
      <c r="G211">
        <v>52</v>
      </c>
      <c r="H211">
        <v>0.317</v>
      </c>
      <c r="I211">
        <v>0.82899999999999996</v>
      </c>
      <c r="J211">
        <v>523</v>
      </c>
      <c r="K211">
        <v>52</v>
      </c>
      <c r="L211">
        <v>121</v>
      </c>
      <c r="M211">
        <v>102</v>
      </c>
      <c r="N211">
        <v>27</v>
      </c>
      <c r="O211">
        <v>18</v>
      </c>
      <c r="P211">
        <v>54</v>
      </c>
      <c r="Q211">
        <v>1.89</v>
      </c>
    </row>
    <row r="212" spans="1:17" x14ac:dyDescent="0.25">
      <c r="A212">
        <v>1</v>
      </c>
      <c r="B212">
        <v>11</v>
      </c>
      <c r="C212">
        <v>1</v>
      </c>
      <c r="D212">
        <v>1.5</v>
      </c>
      <c r="E212">
        <v>120</v>
      </c>
      <c r="F212">
        <v>0.39900000000000002</v>
      </c>
      <c r="G212">
        <v>34</v>
      </c>
      <c r="H212">
        <v>0.318</v>
      </c>
      <c r="I212">
        <v>0.8</v>
      </c>
      <c r="J212">
        <v>342</v>
      </c>
      <c r="K212">
        <v>33</v>
      </c>
      <c r="L212">
        <v>98</v>
      </c>
      <c r="M212">
        <v>104</v>
      </c>
      <c r="N212">
        <v>20</v>
      </c>
      <c r="O212">
        <v>14</v>
      </c>
      <c r="P212">
        <v>58</v>
      </c>
      <c r="Q212">
        <v>1.79</v>
      </c>
    </row>
    <row r="213" spans="1:17" x14ac:dyDescent="0.25">
      <c r="A213">
        <v>11</v>
      </c>
      <c r="B213">
        <v>1</v>
      </c>
      <c r="C213">
        <v>1</v>
      </c>
      <c r="D213">
        <v>11.5</v>
      </c>
      <c r="E213">
        <v>177</v>
      </c>
      <c r="F213">
        <v>0.51800000000000002</v>
      </c>
      <c r="G213">
        <v>35</v>
      </c>
      <c r="H213">
        <v>0.39800000000000002</v>
      </c>
      <c r="I213">
        <v>0.72499999999999998</v>
      </c>
      <c r="J213">
        <v>468</v>
      </c>
      <c r="K213">
        <v>55</v>
      </c>
      <c r="L213">
        <v>157</v>
      </c>
      <c r="M213">
        <v>115</v>
      </c>
      <c r="N213">
        <v>25</v>
      </c>
      <c r="O213">
        <v>20</v>
      </c>
      <c r="P213">
        <v>58</v>
      </c>
      <c r="Q213">
        <v>1.98</v>
      </c>
    </row>
    <row r="214" spans="1:17" x14ac:dyDescent="0.25">
      <c r="A214">
        <v>9</v>
      </c>
      <c r="B214">
        <v>3</v>
      </c>
      <c r="C214">
        <v>1</v>
      </c>
      <c r="D214">
        <v>9.5</v>
      </c>
      <c r="E214">
        <v>125</v>
      </c>
      <c r="F214">
        <v>0.47899999999999998</v>
      </c>
      <c r="G214">
        <v>56</v>
      </c>
      <c r="H214">
        <v>0.41199999999999998</v>
      </c>
      <c r="I214">
        <v>0.86299999999999999</v>
      </c>
      <c r="J214">
        <v>350</v>
      </c>
      <c r="K214">
        <v>32</v>
      </c>
      <c r="L214">
        <v>90</v>
      </c>
      <c r="M214">
        <v>67</v>
      </c>
      <c r="N214">
        <v>22</v>
      </c>
      <c r="O214">
        <v>17</v>
      </c>
      <c r="P214">
        <v>38</v>
      </c>
      <c r="Q214">
        <v>1.76</v>
      </c>
    </row>
    <row r="215" spans="1:17" x14ac:dyDescent="0.25">
      <c r="A215">
        <v>3</v>
      </c>
      <c r="B215">
        <v>9</v>
      </c>
      <c r="C215">
        <v>1</v>
      </c>
      <c r="D215">
        <v>3.5</v>
      </c>
      <c r="E215">
        <v>103</v>
      </c>
      <c r="F215">
        <v>0.51200000000000001</v>
      </c>
      <c r="G215">
        <v>30</v>
      </c>
      <c r="H215">
        <v>0.4</v>
      </c>
      <c r="I215">
        <v>0.72799999999999998</v>
      </c>
      <c r="J215">
        <v>295</v>
      </c>
      <c r="K215">
        <v>43</v>
      </c>
      <c r="L215">
        <v>70</v>
      </c>
      <c r="M215">
        <v>56</v>
      </c>
      <c r="N215">
        <v>17</v>
      </c>
      <c r="O215">
        <v>18</v>
      </c>
      <c r="P215">
        <v>38</v>
      </c>
      <c r="Q215">
        <v>1.47</v>
      </c>
    </row>
    <row r="216" spans="1:17" x14ac:dyDescent="0.25">
      <c r="A216">
        <v>5</v>
      </c>
      <c r="B216">
        <v>8</v>
      </c>
      <c r="C216">
        <v>0</v>
      </c>
      <c r="D216">
        <v>5</v>
      </c>
      <c r="E216">
        <v>134</v>
      </c>
      <c r="F216">
        <v>0.53600000000000003</v>
      </c>
      <c r="G216">
        <v>42</v>
      </c>
      <c r="H216">
        <v>0.40799999999999997</v>
      </c>
      <c r="I216">
        <v>0.75</v>
      </c>
      <c r="J216">
        <v>370</v>
      </c>
      <c r="K216">
        <v>29</v>
      </c>
      <c r="L216">
        <v>91</v>
      </c>
      <c r="M216">
        <v>87</v>
      </c>
      <c r="N216">
        <v>19</v>
      </c>
      <c r="O216">
        <v>6</v>
      </c>
      <c r="P216">
        <v>40</v>
      </c>
      <c r="Q216">
        <v>2.17</v>
      </c>
    </row>
    <row r="217" spans="1:17" x14ac:dyDescent="0.25">
      <c r="A217">
        <v>8</v>
      </c>
      <c r="B217">
        <v>5</v>
      </c>
      <c r="C217">
        <v>0</v>
      </c>
      <c r="D217">
        <v>8</v>
      </c>
      <c r="E217">
        <v>202</v>
      </c>
      <c r="F217">
        <v>0.501</v>
      </c>
      <c r="G217">
        <v>63</v>
      </c>
      <c r="H217">
        <v>0.38900000000000001</v>
      </c>
      <c r="I217">
        <v>0.746</v>
      </c>
      <c r="J217">
        <v>567</v>
      </c>
      <c r="K217">
        <v>48</v>
      </c>
      <c r="L217">
        <v>113</v>
      </c>
      <c r="M217">
        <v>113</v>
      </c>
      <c r="N217">
        <v>35</v>
      </c>
      <c r="O217">
        <v>14</v>
      </c>
      <c r="P217">
        <v>61</v>
      </c>
      <c r="Q217">
        <v>1.85</v>
      </c>
    </row>
    <row r="218" spans="1:17" x14ac:dyDescent="0.25">
      <c r="A218">
        <v>11</v>
      </c>
      <c r="B218">
        <v>2</v>
      </c>
      <c r="C218">
        <v>0</v>
      </c>
      <c r="D218">
        <v>11</v>
      </c>
      <c r="E218">
        <v>160</v>
      </c>
      <c r="F218">
        <v>0.48299999999999998</v>
      </c>
      <c r="G218">
        <v>54</v>
      </c>
      <c r="H218">
        <v>0.37</v>
      </c>
      <c r="I218">
        <v>0.78100000000000003</v>
      </c>
      <c r="J218">
        <v>481</v>
      </c>
      <c r="K218">
        <v>35</v>
      </c>
      <c r="L218">
        <v>108</v>
      </c>
      <c r="M218">
        <v>92</v>
      </c>
      <c r="N218">
        <v>32</v>
      </c>
      <c r="O218">
        <v>18</v>
      </c>
      <c r="P218">
        <v>50</v>
      </c>
      <c r="Q218">
        <v>1.84</v>
      </c>
    </row>
    <row r="219" spans="1:17" x14ac:dyDescent="0.25">
      <c r="A219">
        <v>2</v>
      </c>
      <c r="B219">
        <v>11</v>
      </c>
      <c r="C219">
        <v>0</v>
      </c>
      <c r="D219">
        <v>2</v>
      </c>
      <c r="E219">
        <v>142</v>
      </c>
      <c r="F219">
        <v>0.39200000000000002</v>
      </c>
      <c r="G219">
        <v>32</v>
      </c>
      <c r="H219">
        <v>0.26700000000000002</v>
      </c>
      <c r="I219">
        <v>0.78600000000000003</v>
      </c>
      <c r="J219">
        <v>404</v>
      </c>
      <c r="K219">
        <v>29</v>
      </c>
      <c r="L219">
        <v>111</v>
      </c>
      <c r="M219">
        <v>81</v>
      </c>
      <c r="N219">
        <v>23</v>
      </c>
      <c r="O219">
        <v>13</v>
      </c>
      <c r="P219">
        <v>54</v>
      </c>
      <c r="Q219">
        <v>1.5</v>
      </c>
    </row>
    <row r="220" spans="1:17" x14ac:dyDescent="0.25">
      <c r="A220">
        <v>6</v>
      </c>
      <c r="B220">
        <v>7</v>
      </c>
      <c r="C220">
        <v>0</v>
      </c>
      <c r="D220">
        <v>6</v>
      </c>
      <c r="E220">
        <v>181</v>
      </c>
      <c r="F220">
        <v>0.55000000000000004</v>
      </c>
      <c r="G220">
        <v>43</v>
      </c>
      <c r="H220">
        <v>0.41699999999999998</v>
      </c>
      <c r="I220">
        <v>0.79400000000000004</v>
      </c>
      <c r="J220">
        <v>490</v>
      </c>
      <c r="K220">
        <v>42</v>
      </c>
      <c r="L220">
        <v>122</v>
      </c>
      <c r="M220">
        <v>86</v>
      </c>
      <c r="N220">
        <v>30</v>
      </c>
      <c r="O220">
        <v>22</v>
      </c>
      <c r="P220">
        <v>50</v>
      </c>
      <c r="Q220">
        <v>1.72</v>
      </c>
    </row>
    <row r="221" spans="1:17" x14ac:dyDescent="0.25">
      <c r="A221">
        <v>7</v>
      </c>
      <c r="B221">
        <v>6</v>
      </c>
      <c r="C221">
        <v>0</v>
      </c>
      <c r="D221">
        <v>7</v>
      </c>
      <c r="E221">
        <v>207</v>
      </c>
      <c r="F221">
        <v>0.52900000000000003</v>
      </c>
      <c r="G221">
        <v>59</v>
      </c>
      <c r="H221">
        <v>0.41499999999999998</v>
      </c>
      <c r="I221">
        <v>0.78800000000000003</v>
      </c>
      <c r="J221">
        <v>581</v>
      </c>
      <c r="K221">
        <v>57</v>
      </c>
      <c r="L221">
        <v>146</v>
      </c>
      <c r="M221">
        <v>155</v>
      </c>
      <c r="N221">
        <v>28</v>
      </c>
      <c r="O221">
        <v>9</v>
      </c>
      <c r="P221">
        <v>79</v>
      </c>
      <c r="Q221">
        <v>1.96</v>
      </c>
    </row>
    <row r="222" spans="1:17" x14ac:dyDescent="0.25">
      <c r="A222" t="s">
        <v>164</v>
      </c>
    </row>
    <row r="223" spans="1:17" x14ac:dyDescent="0.25">
      <c r="A223" t="s">
        <v>211</v>
      </c>
    </row>
    <row r="224" spans="1:17" x14ac:dyDescent="0.25">
      <c r="A224" t="s">
        <v>176</v>
      </c>
    </row>
    <row r="225" spans="1:1" x14ac:dyDescent="0.25">
      <c r="A225" t="s">
        <v>158</v>
      </c>
    </row>
    <row r="226" spans="1:1" x14ac:dyDescent="0.25">
      <c r="A226" t="s">
        <v>94</v>
      </c>
    </row>
    <row r="227" spans="1:1" x14ac:dyDescent="0.25">
      <c r="A227" t="s">
        <v>201</v>
      </c>
    </row>
    <row r="228" spans="1:1" x14ac:dyDescent="0.25">
      <c r="A228" t="s">
        <v>186</v>
      </c>
    </row>
    <row r="229" spans="1:1" x14ac:dyDescent="0.25">
      <c r="A229" t="s">
        <v>99</v>
      </c>
    </row>
    <row r="230" spans="1:1" x14ac:dyDescent="0.25">
      <c r="A230" t="s">
        <v>23</v>
      </c>
    </row>
    <row r="231" spans="1:1" x14ac:dyDescent="0.25">
      <c r="A231" t="s">
        <v>33</v>
      </c>
    </row>
    <row r="232" spans="1:1" x14ac:dyDescent="0.25">
      <c r="A232" t="s">
        <v>21</v>
      </c>
    </row>
    <row r="233" spans="1:1" x14ac:dyDescent="0.25">
      <c r="A233" t="s">
        <v>98</v>
      </c>
    </row>
    <row r="234" spans="1:1" x14ac:dyDescent="0.25">
      <c r="A234" t="s">
        <v>185</v>
      </c>
    </row>
    <row r="235" spans="1:1" x14ac:dyDescent="0.25">
      <c r="A235" t="s">
        <v>26</v>
      </c>
    </row>
    <row r="236" spans="1:1" x14ac:dyDescent="0.25">
      <c r="A236" t="s">
        <v>28</v>
      </c>
    </row>
    <row r="237" spans="1:1" x14ac:dyDescent="0.25">
      <c r="A237" t="s">
        <v>16</v>
      </c>
    </row>
    <row r="238" spans="1:1" x14ac:dyDescent="0.25">
      <c r="A238" t="s">
        <v>15</v>
      </c>
    </row>
    <row r="239" spans="1:1" x14ac:dyDescent="0.25">
      <c r="A239" t="s">
        <v>184</v>
      </c>
    </row>
    <row r="240" spans="1:1" x14ac:dyDescent="0.25">
      <c r="A240" t="s">
        <v>181</v>
      </c>
    </row>
    <row r="241" spans="1:17" x14ac:dyDescent="0.25">
      <c r="A241" t="s">
        <v>93</v>
      </c>
    </row>
    <row r="242" spans="1:17" x14ac:dyDescent="0.25">
      <c r="A242" t="s">
        <v>154</v>
      </c>
    </row>
    <row r="243" spans="1:17" x14ac:dyDescent="0.25">
      <c r="A243" t="s">
        <v>96</v>
      </c>
    </row>
    <row r="244" spans="1:17" x14ac:dyDescent="0.25">
      <c r="A244" t="s">
        <v>159</v>
      </c>
    </row>
    <row r="246" spans="1:17" x14ac:dyDescent="0.25">
      <c r="A246">
        <v>7</v>
      </c>
      <c r="B246">
        <v>6</v>
      </c>
      <c r="C246">
        <v>0</v>
      </c>
      <c r="D246">
        <v>7</v>
      </c>
      <c r="E246">
        <v>184</v>
      </c>
      <c r="F246">
        <v>0.48199999999999998</v>
      </c>
      <c r="G246">
        <v>57</v>
      </c>
      <c r="H246">
        <v>0.36299999999999999</v>
      </c>
      <c r="I246">
        <v>0.80100000000000005</v>
      </c>
      <c r="J246">
        <v>546</v>
      </c>
      <c r="K246">
        <v>36</v>
      </c>
      <c r="L246">
        <v>115</v>
      </c>
      <c r="M246">
        <v>122</v>
      </c>
      <c r="N246">
        <v>22</v>
      </c>
      <c r="O246">
        <v>19</v>
      </c>
      <c r="P246">
        <v>53</v>
      </c>
      <c r="Q246">
        <v>2.2999999999999998</v>
      </c>
    </row>
    <row r="247" spans="1:17" x14ac:dyDescent="0.25">
      <c r="A247">
        <v>6</v>
      </c>
      <c r="B247">
        <v>7</v>
      </c>
      <c r="C247">
        <v>0</v>
      </c>
      <c r="D247">
        <v>6</v>
      </c>
      <c r="E247">
        <v>121</v>
      </c>
      <c r="F247">
        <v>0.5</v>
      </c>
      <c r="G247">
        <v>60</v>
      </c>
      <c r="H247">
        <v>0.49199999999999999</v>
      </c>
      <c r="I247">
        <v>0.84899999999999998</v>
      </c>
      <c r="J247">
        <v>347</v>
      </c>
      <c r="K247">
        <v>24</v>
      </c>
      <c r="L247">
        <v>83</v>
      </c>
      <c r="M247">
        <v>80</v>
      </c>
      <c r="N247">
        <v>25</v>
      </c>
      <c r="O247">
        <v>6</v>
      </c>
      <c r="P247">
        <v>43</v>
      </c>
      <c r="Q247">
        <v>1.86</v>
      </c>
    </row>
    <row r="248" spans="1:17" x14ac:dyDescent="0.25">
      <c r="A248">
        <v>3</v>
      </c>
      <c r="B248">
        <v>10</v>
      </c>
      <c r="C248">
        <v>0</v>
      </c>
      <c r="D248">
        <v>3</v>
      </c>
      <c r="E248">
        <v>131</v>
      </c>
      <c r="F248">
        <v>0.44700000000000001</v>
      </c>
      <c r="G248">
        <v>48</v>
      </c>
      <c r="H248">
        <v>0.34300000000000003</v>
      </c>
      <c r="I248">
        <v>0.78300000000000003</v>
      </c>
      <c r="J248">
        <v>375</v>
      </c>
      <c r="K248">
        <v>51</v>
      </c>
      <c r="L248">
        <v>111</v>
      </c>
      <c r="M248">
        <v>67</v>
      </c>
      <c r="N248">
        <v>34</v>
      </c>
      <c r="O248">
        <v>20</v>
      </c>
      <c r="P248">
        <v>41</v>
      </c>
      <c r="Q248">
        <v>1.63</v>
      </c>
    </row>
    <row r="249" spans="1:17" x14ac:dyDescent="0.25">
      <c r="A249">
        <v>10</v>
      </c>
      <c r="B249">
        <v>3</v>
      </c>
      <c r="C249">
        <v>0</v>
      </c>
      <c r="D249">
        <v>10</v>
      </c>
      <c r="E249">
        <v>211</v>
      </c>
      <c r="F249">
        <v>0.46700000000000003</v>
      </c>
      <c r="G249">
        <v>59</v>
      </c>
      <c r="H249">
        <v>0.38800000000000001</v>
      </c>
      <c r="I249">
        <v>0.79700000000000004</v>
      </c>
      <c r="J249">
        <v>607</v>
      </c>
      <c r="K249">
        <v>43</v>
      </c>
      <c r="L249">
        <v>151</v>
      </c>
      <c r="M249">
        <v>139</v>
      </c>
      <c r="N249">
        <v>25</v>
      </c>
      <c r="O249">
        <v>34</v>
      </c>
      <c r="P249">
        <v>73</v>
      </c>
      <c r="Q249">
        <v>1.9</v>
      </c>
    </row>
    <row r="250" spans="1:17" x14ac:dyDescent="0.25">
      <c r="A250">
        <v>3</v>
      </c>
      <c r="B250">
        <v>9</v>
      </c>
      <c r="C250">
        <v>1</v>
      </c>
      <c r="D250">
        <v>3.5</v>
      </c>
      <c r="E250">
        <v>150</v>
      </c>
      <c r="F250">
        <v>0.46600000000000003</v>
      </c>
      <c r="G250">
        <v>43</v>
      </c>
      <c r="H250">
        <v>0.34100000000000003</v>
      </c>
      <c r="I250">
        <v>0.79800000000000004</v>
      </c>
      <c r="J250">
        <v>410</v>
      </c>
      <c r="K250">
        <v>49</v>
      </c>
      <c r="L250">
        <v>141</v>
      </c>
      <c r="M250">
        <v>74</v>
      </c>
      <c r="N250">
        <v>22</v>
      </c>
      <c r="O250">
        <v>22</v>
      </c>
      <c r="P250">
        <v>48</v>
      </c>
      <c r="Q250">
        <v>1.54</v>
      </c>
    </row>
    <row r="251" spans="1:17" x14ac:dyDescent="0.25">
      <c r="A251">
        <v>9</v>
      </c>
      <c r="B251">
        <v>3</v>
      </c>
      <c r="C251">
        <v>1</v>
      </c>
      <c r="D251">
        <v>9.5</v>
      </c>
      <c r="E251">
        <v>172</v>
      </c>
      <c r="F251">
        <v>0.46400000000000002</v>
      </c>
      <c r="G251">
        <v>51</v>
      </c>
      <c r="H251">
        <v>0.34899999999999998</v>
      </c>
      <c r="I251">
        <v>0.86699999999999999</v>
      </c>
      <c r="J251">
        <v>473</v>
      </c>
      <c r="K251">
        <v>49</v>
      </c>
      <c r="L251">
        <v>120</v>
      </c>
      <c r="M251">
        <v>159</v>
      </c>
      <c r="N251">
        <v>43</v>
      </c>
      <c r="O251">
        <v>26</v>
      </c>
      <c r="P251">
        <v>79</v>
      </c>
      <c r="Q251">
        <v>2.0099999999999998</v>
      </c>
    </row>
    <row r="252" spans="1:17" x14ac:dyDescent="0.25">
      <c r="A252">
        <v>9</v>
      </c>
      <c r="B252">
        <v>4</v>
      </c>
      <c r="C252">
        <v>0</v>
      </c>
      <c r="D252">
        <v>9</v>
      </c>
      <c r="E252">
        <v>178</v>
      </c>
      <c r="F252">
        <v>0.46100000000000002</v>
      </c>
      <c r="G252">
        <v>69</v>
      </c>
      <c r="H252">
        <v>0.36899999999999999</v>
      </c>
      <c r="I252">
        <v>0.85</v>
      </c>
      <c r="J252">
        <v>521</v>
      </c>
      <c r="K252">
        <v>15</v>
      </c>
      <c r="L252">
        <v>97</v>
      </c>
      <c r="M252">
        <v>92</v>
      </c>
      <c r="N252">
        <v>36</v>
      </c>
      <c r="O252">
        <v>7</v>
      </c>
      <c r="P252">
        <v>42</v>
      </c>
      <c r="Q252">
        <v>2.19</v>
      </c>
    </row>
    <row r="253" spans="1:17" x14ac:dyDescent="0.25">
      <c r="A253">
        <v>4</v>
      </c>
      <c r="B253">
        <v>9</v>
      </c>
      <c r="C253">
        <v>0</v>
      </c>
      <c r="D253">
        <v>4</v>
      </c>
      <c r="E253">
        <v>152</v>
      </c>
      <c r="F253">
        <v>0.48099999999999998</v>
      </c>
      <c r="G253">
        <v>35</v>
      </c>
      <c r="H253">
        <v>0.35399999999999998</v>
      </c>
      <c r="I253">
        <v>0.73699999999999999</v>
      </c>
      <c r="J253">
        <v>409</v>
      </c>
      <c r="K253">
        <v>31</v>
      </c>
      <c r="L253">
        <v>104</v>
      </c>
      <c r="M253">
        <v>80</v>
      </c>
      <c r="N253">
        <v>22</v>
      </c>
      <c r="O253">
        <v>20</v>
      </c>
      <c r="P253">
        <v>48</v>
      </c>
      <c r="Q253">
        <v>1.67</v>
      </c>
    </row>
    <row r="254" spans="1:17" x14ac:dyDescent="0.25">
      <c r="A254">
        <v>9</v>
      </c>
      <c r="B254">
        <v>1</v>
      </c>
      <c r="C254">
        <v>3</v>
      </c>
      <c r="D254">
        <v>10.5</v>
      </c>
      <c r="E254">
        <v>133</v>
      </c>
      <c r="F254">
        <v>0.46200000000000002</v>
      </c>
      <c r="G254">
        <v>61</v>
      </c>
      <c r="H254">
        <v>0.39900000000000002</v>
      </c>
      <c r="I254">
        <v>0.91300000000000003</v>
      </c>
      <c r="J254">
        <v>369</v>
      </c>
      <c r="K254">
        <v>37</v>
      </c>
      <c r="L254">
        <v>96</v>
      </c>
      <c r="M254">
        <v>68</v>
      </c>
      <c r="N254">
        <v>36</v>
      </c>
      <c r="O254">
        <v>19</v>
      </c>
      <c r="P254">
        <v>40</v>
      </c>
      <c r="Q254">
        <v>1.7</v>
      </c>
    </row>
    <row r="255" spans="1:17" x14ac:dyDescent="0.25">
      <c r="A255">
        <v>1</v>
      </c>
      <c r="B255">
        <v>9</v>
      </c>
      <c r="C255">
        <v>3</v>
      </c>
      <c r="D255">
        <v>2.5</v>
      </c>
      <c r="E255">
        <v>114</v>
      </c>
      <c r="F255">
        <v>0.46300000000000002</v>
      </c>
      <c r="G255">
        <v>31</v>
      </c>
      <c r="H255">
        <v>0.33700000000000002</v>
      </c>
      <c r="I255">
        <v>0.66700000000000004</v>
      </c>
      <c r="J255">
        <v>309</v>
      </c>
      <c r="K255">
        <v>28</v>
      </c>
      <c r="L255">
        <v>86</v>
      </c>
      <c r="M255">
        <v>68</v>
      </c>
      <c r="N255">
        <v>26</v>
      </c>
      <c r="O255">
        <v>11</v>
      </c>
      <c r="P255">
        <v>40</v>
      </c>
      <c r="Q255">
        <v>1.7</v>
      </c>
    </row>
    <row r="256" spans="1:17" x14ac:dyDescent="0.25">
      <c r="A256">
        <v>10</v>
      </c>
      <c r="B256">
        <v>3</v>
      </c>
      <c r="C256">
        <v>0</v>
      </c>
      <c r="D256">
        <v>10</v>
      </c>
      <c r="E256">
        <v>177</v>
      </c>
      <c r="F256">
        <v>0.45700000000000002</v>
      </c>
      <c r="G256">
        <v>55</v>
      </c>
      <c r="H256">
        <v>0.33700000000000002</v>
      </c>
      <c r="I256">
        <v>0.8</v>
      </c>
      <c r="J256">
        <v>497</v>
      </c>
      <c r="K256">
        <v>57</v>
      </c>
      <c r="L256">
        <v>158</v>
      </c>
      <c r="M256">
        <v>119</v>
      </c>
      <c r="N256">
        <v>33</v>
      </c>
      <c r="O256">
        <v>14</v>
      </c>
      <c r="P256">
        <v>63</v>
      </c>
      <c r="Q256">
        <v>1.89</v>
      </c>
    </row>
    <row r="257" spans="1:17" x14ac:dyDescent="0.25">
      <c r="A257">
        <v>3</v>
      </c>
      <c r="B257">
        <v>10</v>
      </c>
      <c r="C257">
        <v>0</v>
      </c>
      <c r="D257">
        <v>3</v>
      </c>
      <c r="E257">
        <v>123</v>
      </c>
      <c r="F257">
        <v>0.44400000000000001</v>
      </c>
      <c r="G257">
        <v>46</v>
      </c>
      <c r="H257">
        <v>0.34100000000000003</v>
      </c>
      <c r="I257">
        <v>0.72499999999999998</v>
      </c>
      <c r="J257">
        <v>350</v>
      </c>
      <c r="K257">
        <v>20</v>
      </c>
      <c r="L257">
        <v>80</v>
      </c>
      <c r="M257">
        <v>86</v>
      </c>
      <c r="N257">
        <v>18</v>
      </c>
      <c r="O257">
        <v>11</v>
      </c>
      <c r="P257">
        <v>40</v>
      </c>
      <c r="Q257">
        <v>2.15</v>
      </c>
    </row>
    <row r="258" spans="1:17" x14ac:dyDescent="0.25">
      <c r="A258">
        <v>10</v>
      </c>
      <c r="B258">
        <v>1</v>
      </c>
      <c r="C258">
        <v>2</v>
      </c>
      <c r="D258">
        <v>11</v>
      </c>
      <c r="E258">
        <v>184</v>
      </c>
      <c r="F258">
        <v>0.497</v>
      </c>
      <c r="G258">
        <v>48</v>
      </c>
      <c r="H258">
        <v>0.372</v>
      </c>
      <c r="I258">
        <v>0.79500000000000004</v>
      </c>
      <c r="J258">
        <v>474</v>
      </c>
      <c r="K258">
        <v>51</v>
      </c>
      <c r="L258">
        <v>130</v>
      </c>
      <c r="M258">
        <v>93</v>
      </c>
      <c r="N258">
        <v>35</v>
      </c>
      <c r="O258">
        <v>17</v>
      </c>
      <c r="P258">
        <v>46</v>
      </c>
      <c r="Q258">
        <v>2.02</v>
      </c>
    </row>
    <row r="259" spans="1:17" x14ac:dyDescent="0.25">
      <c r="A259">
        <v>1</v>
      </c>
      <c r="B259">
        <v>10</v>
      </c>
      <c r="C259">
        <v>2</v>
      </c>
      <c r="D259">
        <v>2</v>
      </c>
      <c r="E259">
        <v>129</v>
      </c>
      <c r="F259">
        <v>0.45600000000000002</v>
      </c>
      <c r="G259">
        <v>39</v>
      </c>
      <c r="H259">
        <v>0.33100000000000002</v>
      </c>
      <c r="I259">
        <v>0.73799999999999999</v>
      </c>
      <c r="J259">
        <v>345</v>
      </c>
      <c r="K259">
        <v>54</v>
      </c>
      <c r="L259">
        <v>109</v>
      </c>
      <c r="M259">
        <v>65</v>
      </c>
      <c r="N259">
        <v>18</v>
      </c>
      <c r="O259">
        <v>17</v>
      </c>
      <c r="P259">
        <v>46</v>
      </c>
      <c r="Q259">
        <v>1.41</v>
      </c>
    </row>
    <row r="260" spans="1:17" x14ac:dyDescent="0.25">
      <c r="A260">
        <v>5</v>
      </c>
      <c r="B260">
        <v>8</v>
      </c>
      <c r="C260">
        <v>0</v>
      </c>
      <c r="D260">
        <v>5</v>
      </c>
      <c r="E260">
        <v>119</v>
      </c>
      <c r="F260">
        <v>0.52200000000000002</v>
      </c>
      <c r="G260">
        <v>29</v>
      </c>
      <c r="H260">
        <v>0.38200000000000001</v>
      </c>
      <c r="I260">
        <v>0.75</v>
      </c>
      <c r="J260">
        <v>312</v>
      </c>
      <c r="K260">
        <v>30</v>
      </c>
      <c r="L260">
        <v>93</v>
      </c>
      <c r="M260">
        <v>45</v>
      </c>
      <c r="N260">
        <v>11</v>
      </c>
      <c r="O260">
        <v>17</v>
      </c>
      <c r="P260">
        <v>40</v>
      </c>
      <c r="Q260">
        <v>1.1299999999999999</v>
      </c>
    </row>
    <row r="261" spans="1:17" x14ac:dyDescent="0.25">
      <c r="A261">
        <v>8</v>
      </c>
      <c r="B261">
        <v>5</v>
      </c>
      <c r="C261">
        <v>0</v>
      </c>
      <c r="D261">
        <v>8</v>
      </c>
      <c r="E261">
        <v>185</v>
      </c>
      <c r="F261">
        <v>0.44400000000000001</v>
      </c>
      <c r="G261">
        <v>52</v>
      </c>
      <c r="H261">
        <v>0.315</v>
      </c>
      <c r="I261">
        <v>0.88700000000000001</v>
      </c>
      <c r="J261">
        <v>532</v>
      </c>
      <c r="K261">
        <v>27</v>
      </c>
      <c r="L261">
        <v>105</v>
      </c>
      <c r="M261">
        <v>116</v>
      </c>
      <c r="N261">
        <v>36</v>
      </c>
      <c r="O261">
        <v>8</v>
      </c>
      <c r="P261">
        <v>70</v>
      </c>
      <c r="Q261">
        <v>1.66</v>
      </c>
    </row>
    <row r="262" spans="1:17" x14ac:dyDescent="0.25">
      <c r="A262">
        <v>6</v>
      </c>
      <c r="B262">
        <v>7</v>
      </c>
      <c r="C262">
        <v>0</v>
      </c>
      <c r="D262">
        <v>6</v>
      </c>
      <c r="E262">
        <v>178</v>
      </c>
      <c r="F262">
        <v>0.46500000000000002</v>
      </c>
      <c r="G262">
        <v>56</v>
      </c>
      <c r="H262">
        <v>0.36799999999999999</v>
      </c>
      <c r="I262">
        <v>0.75800000000000001</v>
      </c>
      <c r="J262">
        <v>506</v>
      </c>
      <c r="K262">
        <v>45</v>
      </c>
      <c r="L262">
        <v>139</v>
      </c>
      <c r="M262">
        <v>123</v>
      </c>
      <c r="N262">
        <v>34</v>
      </c>
      <c r="O262">
        <v>13</v>
      </c>
      <c r="P262">
        <v>57</v>
      </c>
      <c r="Q262">
        <v>2.16</v>
      </c>
    </row>
    <row r="263" spans="1:17" x14ac:dyDescent="0.25">
      <c r="A263">
        <v>7</v>
      </c>
      <c r="B263">
        <v>6</v>
      </c>
      <c r="C263">
        <v>0</v>
      </c>
      <c r="D263">
        <v>7</v>
      </c>
      <c r="E263">
        <v>176</v>
      </c>
      <c r="F263">
        <v>0.501</v>
      </c>
      <c r="G263">
        <v>37</v>
      </c>
      <c r="H263">
        <v>0.34899999999999998</v>
      </c>
      <c r="I263">
        <v>0.77700000000000002</v>
      </c>
      <c r="J263">
        <v>469</v>
      </c>
      <c r="K263">
        <v>61</v>
      </c>
      <c r="L263">
        <v>153</v>
      </c>
      <c r="M263">
        <v>97</v>
      </c>
      <c r="N263">
        <v>38</v>
      </c>
      <c r="O263">
        <v>18</v>
      </c>
      <c r="P263">
        <v>55</v>
      </c>
      <c r="Q263">
        <v>1.76</v>
      </c>
    </row>
    <row r="264" spans="1:17" x14ac:dyDescent="0.25">
      <c r="A264">
        <v>4</v>
      </c>
      <c r="B264">
        <v>7</v>
      </c>
      <c r="C264">
        <v>2</v>
      </c>
      <c r="D264">
        <v>5</v>
      </c>
      <c r="E264">
        <v>153</v>
      </c>
      <c r="F264">
        <v>0.47699999999999998</v>
      </c>
      <c r="G264">
        <v>38</v>
      </c>
      <c r="H264">
        <v>0.31900000000000001</v>
      </c>
      <c r="I264">
        <v>0.85199999999999998</v>
      </c>
      <c r="J264">
        <v>453</v>
      </c>
      <c r="K264">
        <v>32</v>
      </c>
      <c r="L264">
        <v>107</v>
      </c>
      <c r="M264">
        <v>76</v>
      </c>
      <c r="N264">
        <v>18</v>
      </c>
      <c r="O264">
        <v>19</v>
      </c>
      <c r="P264">
        <v>47</v>
      </c>
      <c r="Q264">
        <v>1.62</v>
      </c>
    </row>
    <row r="265" spans="1:17" x14ac:dyDescent="0.25">
      <c r="A265">
        <v>7</v>
      </c>
      <c r="B265">
        <v>4</v>
      </c>
      <c r="C265">
        <v>2</v>
      </c>
      <c r="D265">
        <v>8</v>
      </c>
      <c r="E265">
        <v>153</v>
      </c>
      <c r="F265">
        <v>0.53700000000000003</v>
      </c>
      <c r="G265">
        <v>54</v>
      </c>
      <c r="H265">
        <v>0.40600000000000003</v>
      </c>
      <c r="I265">
        <v>0.82199999999999995</v>
      </c>
      <c r="J265">
        <v>443</v>
      </c>
      <c r="K265">
        <v>32</v>
      </c>
      <c r="L265">
        <v>125</v>
      </c>
      <c r="M265">
        <v>122</v>
      </c>
      <c r="N265">
        <v>22</v>
      </c>
      <c r="O265">
        <v>11</v>
      </c>
      <c r="P265">
        <v>55</v>
      </c>
      <c r="Q265">
        <v>2.2200000000000002</v>
      </c>
    </row>
    <row r="266" spans="1:17" x14ac:dyDescent="0.25">
      <c r="A266" t="s">
        <v>165</v>
      </c>
    </row>
    <row r="267" spans="1:17" x14ac:dyDescent="0.25">
      <c r="A267" t="s">
        <v>212</v>
      </c>
    </row>
    <row r="268" spans="1:17" x14ac:dyDescent="0.25">
      <c r="A268" t="s">
        <v>176</v>
      </c>
    </row>
    <row r="269" spans="1:17" x14ac:dyDescent="0.25">
      <c r="A269" t="s">
        <v>186</v>
      </c>
    </row>
    <row r="270" spans="1:17" x14ac:dyDescent="0.25">
      <c r="A270" t="s">
        <v>158</v>
      </c>
    </row>
    <row r="271" spans="1:17" x14ac:dyDescent="0.25">
      <c r="A271" t="s">
        <v>23</v>
      </c>
    </row>
    <row r="272" spans="1:17" x14ac:dyDescent="0.25">
      <c r="A272" t="s">
        <v>94</v>
      </c>
    </row>
    <row r="273" spans="1:1" x14ac:dyDescent="0.25">
      <c r="A273" t="s">
        <v>21</v>
      </c>
    </row>
    <row r="274" spans="1:1" x14ac:dyDescent="0.25">
      <c r="A274" t="s">
        <v>201</v>
      </c>
    </row>
    <row r="275" spans="1:1" x14ac:dyDescent="0.25">
      <c r="A275" t="s">
        <v>185</v>
      </c>
    </row>
    <row r="276" spans="1:1" x14ac:dyDescent="0.25">
      <c r="A276" t="s">
        <v>99</v>
      </c>
    </row>
    <row r="277" spans="1:1" x14ac:dyDescent="0.25">
      <c r="A277" t="s">
        <v>28</v>
      </c>
    </row>
    <row r="278" spans="1:1" x14ac:dyDescent="0.25">
      <c r="A278" t="s">
        <v>33</v>
      </c>
    </row>
    <row r="279" spans="1:1" x14ac:dyDescent="0.25">
      <c r="A279" t="s">
        <v>15</v>
      </c>
    </row>
    <row r="280" spans="1:1" x14ac:dyDescent="0.25">
      <c r="A280" t="s">
        <v>98</v>
      </c>
    </row>
    <row r="281" spans="1:1" x14ac:dyDescent="0.25">
      <c r="A281" t="s">
        <v>181</v>
      </c>
    </row>
    <row r="282" spans="1:1" x14ac:dyDescent="0.25">
      <c r="A282" t="s">
        <v>26</v>
      </c>
    </row>
    <row r="283" spans="1:1" x14ac:dyDescent="0.25">
      <c r="A283" t="s">
        <v>154</v>
      </c>
    </row>
    <row r="284" spans="1:1" x14ac:dyDescent="0.25">
      <c r="A284" t="s">
        <v>16</v>
      </c>
    </row>
    <row r="285" spans="1:1" x14ac:dyDescent="0.25">
      <c r="A285" t="s">
        <v>159</v>
      </c>
    </row>
    <row r="286" spans="1:1" x14ac:dyDescent="0.25">
      <c r="A286" t="s">
        <v>184</v>
      </c>
    </row>
    <row r="287" spans="1:1" x14ac:dyDescent="0.25">
      <c r="A287" t="s">
        <v>96</v>
      </c>
    </row>
    <row r="288" spans="1:1" x14ac:dyDescent="0.25">
      <c r="A288" t="s">
        <v>93</v>
      </c>
    </row>
    <row r="290" spans="1:17" x14ac:dyDescent="0.25">
      <c r="A290">
        <v>11</v>
      </c>
      <c r="B290">
        <v>2</v>
      </c>
      <c r="C290">
        <v>0</v>
      </c>
      <c r="D290">
        <v>11</v>
      </c>
      <c r="E290">
        <v>254</v>
      </c>
      <c r="F290">
        <v>0.502</v>
      </c>
      <c r="G290">
        <v>64</v>
      </c>
      <c r="H290">
        <v>0.38100000000000001</v>
      </c>
      <c r="I290">
        <v>0.86199999999999999</v>
      </c>
      <c r="J290">
        <v>697</v>
      </c>
      <c r="K290">
        <v>35</v>
      </c>
      <c r="L290">
        <v>151</v>
      </c>
      <c r="M290">
        <v>182</v>
      </c>
      <c r="N290">
        <v>44</v>
      </c>
      <c r="O290">
        <v>31</v>
      </c>
      <c r="P290">
        <v>65</v>
      </c>
      <c r="Q290">
        <v>2.8</v>
      </c>
    </row>
    <row r="291" spans="1:17" x14ac:dyDescent="0.25">
      <c r="A291">
        <v>2</v>
      </c>
      <c r="B291">
        <v>11</v>
      </c>
      <c r="C291">
        <v>0</v>
      </c>
      <c r="D291">
        <v>2</v>
      </c>
      <c r="E291">
        <v>184</v>
      </c>
      <c r="F291">
        <v>0.504</v>
      </c>
      <c r="G291">
        <v>39</v>
      </c>
      <c r="H291">
        <v>0.315</v>
      </c>
      <c r="I291">
        <v>0.77900000000000003</v>
      </c>
      <c r="J291">
        <v>523</v>
      </c>
      <c r="K291">
        <v>36</v>
      </c>
      <c r="L291">
        <v>127</v>
      </c>
      <c r="M291">
        <v>124</v>
      </c>
      <c r="N291">
        <v>34</v>
      </c>
      <c r="O291">
        <v>25</v>
      </c>
      <c r="P291">
        <v>68</v>
      </c>
      <c r="Q291">
        <v>1.82</v>
      </c>
    </row>
    <row r="292" spans="1:17" x14ac:dyDescent="0.25">
      <c r="A292">
        <v>4</v>
      </c>
      <c r="B292">
        <v>9</v>
      </c>
      <c r="C292">
        <v>0</v>
      </c>
      <c r="D292">
        <v>4</v>
      </c>
      <c r="E292">
        <v>124</v>
      </c>
      <c r="F292">
        <v>0.45900000000000002</v>
      </c>
      <c r="G292">
        <v>36</v>
      </c>
      <c r="H292">
        <v>0.35599999999999998</v>
      </c>
      <c r="I292">
        <v>0.76800000000000002</v>
      </c>
      <c r="J292">
        <v>327</v>
      </c>
      <c r="K292">
        <v>26</v>
      </c>
      <c r="L292">
        <v>87</v>
      </c>
      <c r="M292">
        <v>99</v>
      </c>
      <c r="N292">
        <v>19</v>
      </c>
      <c r="O292">
        <v>17</v>
      </c>
      <c r="P292">
        <v>53</v>
      </c>
      <c r="Q292">
        <v>1.87</v>
      </c>
    </row>
    <row r="293" spans="1:17" x14ac:dyDescent="0.25">
      <c r="A293">
        <v>9</v>
      </c>
      <c r="B293">
        <v>4</v>
      </c>
      <c r="C293">
        <v>0</v>
      </c>
      <c r="D293">
        <v>9</v>
      </c>
      <c r="E293">
        <v>183</v>
      </c>
      <c r="F293">
        <v>0.45900000000000002</v>
      </c>
      <c r="G293">
        <v>61</v>
      </c>
      <c r="H293">
        <v>0.37</v>
      </c>
      <c r="I293">
        <v>0.83699999999999997</v>
      </c>
      <c r="J293">
        <v>499</v>
      </c>
      <c r="K293">
        <v>39</v>
      </c>
      <c r="L293">
        <v>120</v>
      </c>
      <c r="M293">
        <v>115</v>
      </c>
      <c r="N293">
        <v>23</v>
      </c>
      <c r="O293">
        <v>15</v>
      </c>
      <c r="P293">
        <v>67</v>
      </c>
      <c r="Q293">
        <v>1.72</v>
      </c>
    </row>
    <row r="294" spans="1:17" x14ac:dyDescent="0.25">
      <c r="A294">
        <v>6</v>
      </c>
      <c r="B294">
        <v>7</v>
      </c>
      <c r="C294">
        <v>0</v>
      </c>
      <c r="D294">
        <v>6</v>
      </c>
      <c r="E294">
        <v>140</v>
      </c>
      <c r="F294">
        <v>0.42</v>
      </c>
      <c r="G294">
        <v>35</v>
      </c>
      <c r="H294">
        <v>0.32700000000000001</v>
      </c>
      <c r="I294">
        <v>0.76400000000000001</v>
      </c>
      <c r="J294">
        <v>357</v>
      </c>
      <c r="K294">
        <v>37</v>
      </c>
      <c r="L294">
        <v>125</v>
      </c>
      <c r="M294">
        <v>73</v>
      </c>
      <c r="N294">
        <v>20</v>
      </c>
      <c r="O294">
        <v>12</v>
      </c>
      <c r="P294">
        <v>43</v>
      </c>
      <c r="Q294">
        <v>1.7</v>
      </c>
    </row>
    <row r="295" spans="1:17" x14ac:dyDescent="0.25">
      <c r="A295">
        <v>7</v>
      </c>
      <c r="B295">
        <v>6</v>
      </c>
      <c r="C295">
        <v>0</v>
      </c>
      <c r="D295">
        <v>7</v>
      </c>
      <c r="E295">
        <v>128</v>
      </c>
      <c r="F295">
        <v>0.49</v>
      </c>
      <c r="G295">
        <v>47</v>
      </c>
      <c r="H295">
        <v>0.38500000000000001</v>
      </c>
      <c r="I295">
        <v>0.69199999999999995</v>
      </c>
      <c r="J295">
        <v>348</v>
      </c>
      <c r="K295">
        <v>56</v>
      </c>
      <c r="L295">
        <v>112</v>
      </c>
      <c r="M295">
        <v>83</v>
      </c>
      <c r="N295">
        <v>22</v>
      </c>
      <c r="O295">
        <v>15</v>
      </c>
      <c r="P295">
        <v>54</v>
      </c>
      <c r="Q295">
        <v>1.54</v>
      </c>
    </row>
    <row r="296" spans="1:17" x14ac:dyDescent="0.25">
      <c r="A296">
        <v>4</v>
      </c>
      <c r="B296">
        <v>9</v>
      </c>
      <c r="C296">
        <v>0</v>
      </c>
      <c r="D296">
        <v>4</v>
      </c>
      <c r="E296">
        <v>149</v>
      </c>
      <c r="F296">
        <v>0.42899999999999999</v>
      </c>
      <c r="G296">
        <v>54</v>
      </c>
      <c r="H296">
        <v>0.38800000000000001</v>
      </c>
      <c r="I296">
        <v>0.80200000000000005</v>
      </c>
      <c r="J296">
        <v>425</v>
      </c>
      <c r="K296">
        <v>36</v>
      </c>
      <c r="L296">
        <v>119</v>
      </c>
      <c r="M296">
        <v>139</v>
      </c>
      <c r="N296">
        <v>30</v>
      </c>
      <c r="O296">
        <v>17</v>
      </c>
      <c r="P296">
        <v>68</v>
      </c>
      <c r="Q296">
        <v>2.04</v>
      </c>
    </row>
    <row r="297" spans="1:17" x14ac:dyDescent="0.25">
      <c r="A297">
        <v>9</v>
      </c>
      <c r="B297">
        <v>4</v>
      </c>
      <c r="C297">
        <v>0</v>
      </c>
      <c r="D297">
        <v>9</v>
      </c>
      <c r="E297">
        <v>156</v>
      </c>
      <c r="F297">
        <v>0.47399999999999998</v>
      </c>
      <c r="G297">
        <v>51</v>
      </c>
      <c r="H297">
        <v>0.38300000000000001</v>
      </c>
      <c r="I297">
        <v>0.81499999999999995</v>
      </c>
      <c r="J297">
        <v>416</v>
      </c>
      <c r="K297">
        <v>46</v>
      </c>
      <c r="L297">
        <v>153</v>
      </c>
      <c r="M297">
        <v>107</v>
      </c>
      <c r="N297">
        <v>32</v>
      </c>
      <c r="O297">
        <v>26</v>
      </c>
      <c r="P297">
        <v>48</v>
      </c>
      <c r="Q297">
        <v>2.23</v>
      </c>
    </row>
    <row r="298" spans="1:17" x14ac:dyDescent="0.25">
      <c r="A298">
        <v>2</v>
      </c>
      <c r="B298">
        <v>11</v>
      </c>
      <c r="C298">
        <v>0</v>
      </c>
      <c r="D298">
        <v>2</v>
      </c>
      <c r="E298">
        <v>155</v>
      </c>
      <c r="F298">
        <v>0.48299999999999998</v>
      </c>
      <c r="G298">
        <v>51</v>
      </c>
      <c r="H298">
        <v>0.35899999999999999</v>
      </c>
      <c r="I298">
        <v>0.86699999999999999</v>
      </c>
      <c r="J298">
        <v>439</v>
      </c>
      <c r="K298">
        <v>27</v>
      </c>
      <c r="L298">
        <v>110</v>
      </c>
      <c r="M298">
        <v>97</v>
      </c>
      <c r="N298">
        <v>19</v>
      </c>
      <c r="O298">
        <v>19</v>
      </c>
      <c r="P298">
        <v>64</v>
      </c>
      <c r="Q298">
        <v>1.52</v>
      </c>
    </row>
    <row r="299" spans="1:17" x14ac:dyDescent="0.25">
      <c r="A299">
        <v>11</v>
      </c>
      <c r="B299">
        <v>2</v>
      </c>
      <c r="C299">
        <v>0</v>
      </c>
      <c r="D299">
        <v>11</v>
      </c>
      <c r="E299">
        <v>181</v>
      </c>
      <c r="F299">
        <v>0.50600000000000001</v>
      </c>
      <c r="G299">
        <v>61</v>
      </c>
      <c r="H299">
        <v>0.44900000000000001</v>
      </c>
      <c r="I299">
        <v>0.83199999999999996</v>
      </c>
      <c r="J299">
        <v>502</v>
      </c>
      <c r="K299">
        <v>34</v>
      </c>
      <c r="L299">
        <v>124</v>
      </c>
      <c r="M299">
        <v>85</v>
      </c>
      <c r="N299">
        <v>25</v>
      </c>
      <c r="O299">
        <v>21</v>
      </c>
      <c r="P299">
        <v>36</v>
      </c>
      <c r="Q299">
        <v>2.36</v>
      </c>
    </row>
    <row r="300" spans="1:17" x14ac:dyDescent="0.25">
      <c r="A300">
        <v>2</v>
      </c>
      <c r="B300">
        <v>11</v>
      </c>
      <c r="C300">
        <v>0</v>
      </c>
      <c r="D300">
        <v>2</v>
      </c>
      <c r="E300">
        <v>104</v>
      </c>
      <c r="F300">
        <v>0.45400000000000001</v>
      </c>
      <c r="G300">
        <v>25</v>
      </c>
      <c r="H300">
        <v>0.30099999999999999</v>
      </c>
      <c r="I300">
        <v>0.8</v>
      </c>
      <c r="J300">
        <v>297</v>
      </c>
      <c r="K300">
        <v>35</v>
      </c>
      <c r="L300">
        <v>95</v>
      </c>
      <c r="M300">
        <v>64</v>
      </c>
      <c r="N300">
        <v>18</v>
      </c>
      <c r="O300">
        <v>5</v>
      </c>
      <c r="P300">
        <v>42</v>
      </c>
      <c r="Q300">
        <v>1.52</v>
      </c>
    </row>
    <row r="301" spans="1:17" x14ac:dyDescent="0.25">
      <c r="A301">
        <v>11</v>
      </c>
      <c r="B301">
        <v>2</v>
      </c>
      <c r="C301">
        <v>0</v>
      </c>
      <c r="D301">
        <v>11</v>
      </c>
      <c r="E301">
        <v>159</v>
      </c>
      <c r="F301">
        <v>0.47199999999999998</v>
      </c>
      <c r="G301">
        <v>75</v>
      </c>
      <c r="H301">
        <v>0.40799999999999997</v>
      </c>
      <c r="I301">
        <v>0.77600000000000002</v>
      </c>
      <c r="J301">
        <v>445</v>
      </c>
      <c r="K301">
        <v>32</v>
      </c>
      <c r="L301">
        <v>96</v>
      </c>
      <c r="M301">
        <v>85</v>
      </c>
      <c r="N301">
        <v>37</v>
      </c>
      <c r="O301">
        <v>17</v>
      </c>
      <c r="P301">
        <v>36</v>
      </c>
      <c r="Q301">
        <v>2.36</v>
      </c>
    </row>
    <row r="302" spans="1:17" x14ac:dyDescent="0.25">
      <c r="A302">
        <v>6</v>
      </c>
      <c r="B302">
        <v>7</v>
      </c>
      <c r="C302">
        <v>0</v>
      </c>
      <c r="D302">
        <v>6</v>
      </c>
      <c r="E302">
        <v>210</v>
      </c>
      <c r="F302">
        <v>0.46899999999999997</v>
      </c>
      <c r="G302">
        <v>56</v>
      </c>
      <c r="H302">
        <v>0.33100000000000002</v>
      </c>
      <c r="I302">
        <v>0.79600000000000004</v>
      </c>
      <c r="J302">
        <v>566</v>
      </c>
      <c r="K302">
        <v>51</v>
      </c>
      <c r="L302">
        <v>139</v>
      </c>
      <c r="M302">
        <v>117</v>
      </c>
      <c r="N302">
        <v>45</v>
      </c>
      <c r="O302">
        <v>16</v>
      </c>
      <c r="P302">
        <v>59</v>
      </c>
      <c r="Q302">
        <v>1.98</v>
      </c>
    </row>
    <row r="303" spans="1:17" x14ac:dyDescent="0.25">
      <c r="A303">
        <v>7</v>
      </c>
      <c r="B303">
        <v>6</v>
      </c>
      <c r="C303">
        <v>0</v>
      </c>
      <c r="D303">
        <v>7</v>
      </c>
      <c r="E303">
        <v>190</v>
      </c>
      <c r="F303">
        <v>0.47599999999999998</v>
      </c>
      <c r="G303">
        <v>53</v>
      </c>
      <c r="H303">
        <v>0.34399999999999997</v>
      </c>
      <c r="I303">
        <v>0.83099999999999996</v>
      </c>
      <c r="J303">
        <v>531</v>
      </c>
      <c r="K303">
        <v>45</v>
      </c>
      <c r="L303">
        <v>154</v>
      </c>
      <c r="M303">
        <v>133</v>
      </c>
      <c r="N303">
        <v>29</v>
      </c>
      <c r="O303">
        <v>10</v>
      </c>
      <c r="P303">
        <v>50</v>
      </c>
      <c r="Q303">
        <v>2.66</v>
      </c>
    </row>
    <row r="304" spans="1:17" x14ac:dyDescent="0.25">
      <c r="A304">
        <v>3</v>
      </c>
      <c r="B304">
        <v>9</v>
      </c>
      <c r="C304">
        <v>1</v>
      </c>
      <c r="D304">
        <v>3.5</v>
      </c>
      <c r="E304">
        <v>174</v>
      </c>
      <c r="F304">
        <v>0.50900000000000001</v>
      </c>
      <c r="G304">
        <v>38</v>
      </c>
      <c r="H304">
        <v>0.39200000000000002</v>
      </c>
      <c r="I304">
        <v>0.77500000000000002</v>
      </c>
      <c r="J304">
        <v>465</v>
      </c>
      <c r="K304">
        <v>34</v>
      </c>
      <c r="L304">
        <v>119</v>
      </c>
      <c r="M304">
        <v>65</v>
      </c>
      <c r="N304">
        <v>29</v>
      </c>
      <c r="O304">
        <v>32</v>
      </c>
      <c r="P304">
        <v>49</v>
      </c>
      <c r="Q304">
        <v>1.33</v>
      </c>
    </row>
    <row r="305" spans="1:17" x14ac:dyDescent="0.25">
      <c r="A305">
        <v>9</v>
      </c>
      <c r="B305">
        <v>3</v>
      </c>
      <c r="C305">
        <v>1</v>
      </c>
      <c r="D305">
        <v>9.5</v>
      </c>
      <c r="E305">
        <v>225</v>
      </c>
      <c r="F305">
        <v>0.48699999999999999</v>
      </c>
      <c r="G305">
        <v>56</v>
      </c>
      <c r="H305">
        <v>0.33700000000000002</v>
      </c>
      <c r="I305">
        <v>0.78900000000000003</v>
      </c>
      <c r="J305">
        <v>603</v>
      </c>
      <c r="K305">
        <v>48</v>
      </c>
      <c r="L305">
        <v>162</v>
      </c>
      <c r="M305">
        <v>133</v>
      </c>
      <c r="N305">
        <v>39</v>
      </c>
      <c r="O305">
        <v>32</v>
      </c>
      <c r="P305">
        <v>60</v>
      </c>
      <c r="Q305">
        <v>2.2200000000000002</v>
      </c>
    </row>
    <row r="306" spans="1:17" x14ac:dyDescent="0.25">
      <c r="A306">
        <v>10</v>
      </c>
      <c r="B306">
        <v>3</v>
      </c>
      <c r="C306">
        <v>0</v>
      </c>
      <c r="D306">
        <v>10</v>
      </c>
      <c r="E306">
        <v>198</v>
      </c>
      <c r="F306">
        <v>0.501</v>
      </c>
      <c r="G306">
        <v>66</v>
      </c>
      <c r="H306">
        <v>0.40500000000000003</v>
      </c>
      <c r="I306">
        <v>0.74099999999999999</v>
      </c>
      <c r="J306">
        <v>562</v>
      </c>
      <c r="K306">
        <v>34</v>
      </c>
      <c r="L306">
        <v>153</v>
      </c>
      <c r="M306">
        <v>145</v>
      </c>
      <c r="N306">
        <v>24</v>
      </c>
      <c r="O306">
        <v>16</v>
      </c>
      <c r="P306">
        <v>80</v>
      </c>
      <c r="Q306">
        <v>1.81</v>
      </c>
    </row>
    <row r="307" spans="1:17" x14ac:dyDescent="0.25">
      <c r="A307">
        <v>3</v>
      </c>
      <c r="B307">
        <v>10</v>
      </c>
      <c r="C307">
        <v>0</v>
      </c>
      <c r="D307">
        <v>3</v>
      </c>
      <c r="E307">
        <v>111</v>
      </c>
      <c r="F307">
        <v>0.46800000000000003</v>
      </c>
      <c r="G307">
        <v>36</v>
      </c>
      <c r="H307">
        <v>0.40899999999999997</v>
      </c>
      <c r="I307">
        <v>0.82399999999999995</v>
      </c>
      <c r="J307">
        <v>314</v>
      </c>
      <c r="K307">
        <v>32</v>
      </c>
      <c r="L307">
        <v>101</v>
      </c>
      <c r="M307">
        <v>60</v>
      </c>
      <c r="N307">
        <v>18</v>
      </c>
      <c r="O307">
        <v>11</v>
      </c>
      <c r="P307">
        <v>56</v>
      </c>
      <c r="Q307">
        <v>1.07</v>
      </c>
    </row>
    <row r="308" spans="1:17" x14ac:dyDescent="0.25">
      <c r="A308">
        <v>4</v>
      </c>
      <c r="B308">
        <v>9</v>
      </c>
      <c r="C308">
        <v>0</v>
      </c>
      <c r="D308">
        <v>4</v>
      </c>
      <c r="E308">
        <v>142</v>
      </c>
      <c r="F308">
        <v>0.46100000000000002</v>
      </c>
      <c r="G308">
        <v>27</v>
      </c>
      <c r="H308">
        <v>0.3</v>
      </c>
      <c r="I308">
        <v>0.81499999999999995</v>
      </c>
      <c r="J308">
        <v>364</v>
      </c>
      <c r="K308">
        <v>36</v>
      </c>
      <c r="L308">
        <v>110</v>
      </c>
      <c r="M308">
        <v>71</v>
      </c>
      <c r="N308">
        <v>25</v>
      </c>
      <c r="O308">
        <v>14</v>
      </c>
      <c r="P308">
        <v>43</v>
      </c>
      <c r="Q308">
        <v>1.65</v>
      </c>
    </row>
    <row r="309" spans="1:17" x14ac:dyDescent="0.25">
      <c r="A309">
        <v>9</v>
      </c>
      <c r="B309">
        <v>4</v>
      </c>
      <c r="C309">
        <v>0</v>
      </c>
      <c r="D309">
        <v>9</v>
      </c>
      <c r="E309">
        <v>206</v>
      </c>
      <c r="F309">
        <v>0.49</v>
      </c>
      <c r="G309">
        <v>62</v>
      </c>
      <c r="H309">
        <v>0.36</v>
      </c>
      <c r="I309">
        <v>0.79900000000000004</v>
      </c>
      <c r="J309">
        <v>581</v>
      </c>
      <c r="K309">
        <v>39</v>
      </c>
      <c r="L309">
        <v>97</v>
      </c>
      <c r="M309">
        <v>121</v>
      </c>
      <c r="N309">
        <v>22</v>
      </c>
      <c r="O309">
        <v>16</v>
      </c>
      <c r="P309">
        <v>55</v>
      </c>
      <c r="Q309">
        <v>2.2000000000000002</v>
      </c>
    </row>
    <row r="310" spans="1:17" x14ac:dyDescent="0.25">
      <c r="A310" t="s">
        <v>166</v>
      </c>
    </row>
    <row r="311" spans="1:17" x14ac:dyDescent="0.25">
      <c r="A311" t="s">
        <v>213</v>
      </c>
    </row>
    <row r="312" spans="1:17" x14ac:dyDescent="0.25">
      <c r="A312" t="s">
        <v>176</v>
      </c>
    </row>
    <row r="313" spans="1:17" x14ac:dyDescent="0.25">
      <c r="A313" t="s">
        <v>158</v>
      </c>
    </row>
    <row r="314" spans="1:17" x14ac:dyDescent="0.25">
      <c r="A314" t="s">
        <v>23</v>
      </c>
    </row>
    <row r="315" spans="1:17" x14ac:dyDescent="0.25">
      <c r="A315" t="s">
        <v>186</v>
      </c>
    </row>
    <row r="316" spans="1:17" x14ac:dyDescent="0.25">
      <c r="A316" t="s">
        <v>21</v>
      </c>
    </row>
    <row r="317" spans="1:17" x14ac:dyDescent="0.25">
      <c r="A317" t="s">
        <v>94</v>
      </c>
    </row>
    <row r="318" spans="1:17" x14ac:dyDescent="0.25">
      <c r="A318" t="s">
        <v>185</v>
      </c>
    </row>
    <row r="319" spans="1:17" x14ac:dyDescent="0.25">
      <c r="A319" t="s">
        <v>201</v>
      </c>
    </row>
    <row r="320" spans="1:17" x14ac:dyDescent="0.25">
      <c r="A320" t="s">
        <v>28</v>
      </c>
    </row>
    <row r="321" spans="1:1" x14ac:dyDescent="0.25">
      <c r="A321" t="s">
        <v>99</v>
      </c>
    </row>
    <row r="322" spans="1:1" x14ac:dyDescent="0.25">
      <c r="A322" t="s">
        <v>15</v>
      </c>
    </row>
    <row r="323" spans="1:1" x14ac:dyDescent="0.25">
      <c r="A323" t="s">
        <v>33</v>
      </c>
    </row>
    <row r="324" spans="1:1" x14ac:dyDescent="0.25">
      <c r="A324" t="s">
        <v>181</v>
      </c>
    </row>
    <row r="325" spans="1:1" x14ac:dyDescent="0.25">
      <c r="A325" t="s">
        <v>98</v>
      </c>
    </row>
    <row r="326" spans="1:1" x14ac:dyDescent="0.25">
      <c r="A326" t="s">
        <v>154</v>
      </c>
    </row>
    <row r="327" spans="1:1" x14ac:dyDescent="0.25">
      <c r="A327" t="s">
        <v>26</v>
      </c>
    </row>
    <row r="328" spans="1:1" x14ac:dyDescent="0.25">
      <c r="A328" t="s">
        <v>159</v>
      </c>
    </row>
    <row r="329" spans="1:1" x14ac:dyDescent="0.25">
      <c r="A329" t="s">
        <v>16</v>
      </c>
    </row>
    <row r="330" spans="1:1" x14ac:dyDescent="0.25">
      <c r="A330" t="s">
        <v>96</v>
      </c>
    </row>
    <row r="331" spans="1:1" x14ac:dyDescent="0.25">
      <c r="A331" t="s">
        <v>184</v>
      </c>
    </row>
    <row r="332" spans="1:1" x14ac:dyDescent="0.25">
      <c r="A332" t="s">
        <v>93</v>
      </c>
    </row>
    <row r="333" spans="1:1" x14ac:dyDescent="0.25">
      <c r="A333" t="s">
        <v>94</v>
      </c>
    </row>
    <row r="334" spans="1:1" x14ac:dyDescent="0.25">
      <c r="A334" t="s">
        <v>181</v>
      </c>
    </row>
    <row r="335" spans="1:1" x14ac:dyDescent="0.25">
      <c r="A335" t="s">
        <v>93</v>
      </c>
    </row>
    <row r="336" spans="1:1" x14ac:dyDescent="0.25">
      <c r="A336" t="s">
        <v>98</v>
      </c>
    </row>
    <row r="337" spans="1:1" x14ac:dyDescent="0.25">
      <c r="A337" t="s">
        <v>184</v>
      </c>
    </row>
    <row r="338" spans="1:1" x14ac:dyDescent="0.25">
      <c r="A338" t="s">
        <v>26</v>
      </c>
    </row>
    <row r="339" spans="1:1" x14ac:dyDescent="0.25">
      <c r="A339" t="s">
        <v>201</v>
      </c>
    </row>
    <row r="340" spans="1:1" x14ac:dyDescent="0.25">
      <c r="A340" t="s">
        <v>154</v>
      </c>
    </row>
    <row r="341" spans="1:1" x14ac:dyDescent="0.25">
      <c r="A341" t="s">
        <v>186</v>
      </c>
    </row>
    <row r="342" spans="1:1" x14ac:dyDescent="0.25">
      <c r="A342" t="s">
        <v>15</v>
      </c>
    </row>
    <row r="343" spans="1:1" x14ac:dyDescent="0.25">
      <c r="A343" t="s">
        <v>96</v>
      </c>
    </row>
    <row r="344" spans="1:1" x14ac:dyDescent="0.25">
      <c r="A344" t="s">
        <v>33</v>
      </c>
    </row>
    <row r="345" spans="1:1" x14ac:dyDescent="0.25">
      <c r="A345" t="s">
        <v>23</v>
      </c>
    </row>
    <row r="346" spans="1:1" x14ac:dyDescent="0.25">
      <c r="A346" t="s">
        <v>28</v>
      </c>
    </row>
    <row r="347" spans="1:1" x14ac:dyDescent="0.25">
      <c r="A347" t="s">
        <v>159</v>
      </c>
    </row>
    <row r="348" spans="1:1" x14ac:dyDescent="0.25">
      <c r="A348" t="s">
        <v>99</v>
      </c>
    </row>
    <row r="349" spans="1:1" x14ac:dyDescent="0.25">
      <c r="A349" t="s">
        <v>158</v>
      </c>
    </row>
    <row r="350" spans="1:1" x14ac:dyDescent="0.25">
      <c r="A350" t="s">
        <v>16</v>
      </c>
    </row>
    <row r="351" spans="1:1" x14ac:dyDescent="0.25">
      <c r="A351" t="s">
        <v>185</v>
      </c>
    </row>
    <row r="352" spans="1:1" x14ac:dyDescent="0.25">
      <c r="A352" t="s">
        <v>21</v>
      </c>
    </row>
    <row r="354" spans="1:17" x14ac:dyDescent="0.25">
      <c r="A354">
        <v>8</v>
      </c>
      <c r="B354">
        <v>5</v>
      </c>
      <c r="C354">
        <v>0</v>
      </c>
      <c r="D354">
        <v>8</v>
      </c>
      <c r="E354">
        <v>273</v>
      </c>
      <c r="F354">
        <v>0.46899999999999997</v>
      </c>
      <c r="G354">
        <v>53</v>
      </c>
      <c r="H354">
        <v>0.29599999999999999</v>
      </c>
      <c r="I354">
        <v>0.76600000000000001</v>
      </c>
      <c r="J354">
        <v>779</v>
      </c>
      <c r="K354">
        <v>52</v>
      </c>
      <c r="L354">
        <v>197</v>
      </c>
      <c r="M354">
        <v>181</v>
      </c>
      <c r="N354">
        <v>46</v>
      </c>
      <c r="O354">
        <v>26</v>
      </c>
      <c r="P354">
        <v>93</v>
      </c>
      <c r="Q354">
        <v>1.95</v>
      </c>
    </row>
    <row r="355" spans="1:17" x14ac:dyDescent="0.25">
      <c r="A355">
        <v>5</v>
      </c>
      <c r="B355">
        <v>8</v>
      </c>
      <c r="C355">
        <v>0</v>
      </c>
      <c r="D355">
        <v>5</v>
      </c>
      <c r="E355">
        <v>145</v>
      </c>
      <c r="F355">
        <v>0.39600000000000002</v>
      </c>
      <c r="G355">
        <v>49</v>
      </c>
      <c r="H355">
        <v>0.34300000000000003</v>
      </c>
      <c r="I355">
        <v>0.79700000000000004</v>
      </c>
      <c r="J355">
        <v>394</v>
      </c>
      <c r="K355">
        <v>63</v>
      </c>
      <c r="L355">
        <v>151</v>
      </c>
      <c r="M355">
        <v>127</v>
      </c>
      <c r="N355">
        <v>37</v>
      </c>
      <c r="O355">
        <v>30</v>
      </c>
      <c r="P355">
        <v>79</v>
      </c>
      <c r="Q355">
        <v>1.61</v>
      </c>
    </row>
    <row r="356" spans="1:17" x14ac:dyDescent="0.25">
      <c r="A356">
        <v>8</v>
      </c>
      <c r="B356">
        <v>5</v>
      </c>
      <c r="C356">
        <v>0</v>
      </c>
      <c r="D356">
        <v>8</v>
      </c>
      <c r="E356">
        <v>250</v>
      </c>
      <c r="F356">
        <v>0.46500000000000002</v>
      </c>
      <c r="G356">
        <v>79</v>
      </c>
      <c r="H356">
        <v>0.39300000000000002</v>
      </c>
      <c r="I356">
        <v>0.80400000000000005</v>
      </c>
      <c r="J356">
        <v>710</v>
      </c>
      <c r="K356">
        <v>34</v>
      </c>
      <c r="L356">
        <v>161</v>
      </c>
      <c r="M356">
        <v>172</v>
      </c>
      <c r="N356">
        <v>35</v>
      </c>
      <c r="O356">
        <v>34</v>
      </c>
      <c r="P356">
        <v>75</v>
      </c>
      <c r="Q356">
        <v>2.29</v>
      </c>
    </row>
    <row r="357" spans="1:17" x14ac:dyDescent="0.25">
      <c r="A357">
        <v>5</v>
      </c>
      <c r="B357">
        <v>8</v>
      </c>
      <c r="C357">
        <v>0</v>
      </c>
      <c r="D357">
        <v>5</v>
      </c>
      <c r="E357">
        <v>196</v>
      </c>
      <c r="F357">
        <v>0.46800000000000003</v>
      </c>
      <c r="G357">
        <v>58</v>
      </c>
      <c r="H357">
        <v>0.32800000000000001</v>
      </c>
      <c r="I357">
        <v>0.73699999999999999</v>
      </c>
      <c r="J357">
        <v>520</v>
      </c>
      <c r="K357">
        <v>41</v>
      </c>
      <c r="L357">
        <v>166</v>
      </c>
      <c r="M357">
        <v>125</v>
      </c>
      <c r="N357">
        <v>36</v>
      </c>
      <c r="O357">
        <v>20</v>
      </c>
      <c r="P357">
        <v>65</v>
      </c>
      <c r="Q357">
        <v>1.92</v>
      </c>
    </row>
    <row r="358" spans="1:17" x14ac:dyDescent="0.25">
      <c r="A358">
        <v>10</v>
      </c>
      <c r="B358">
        <v>3</v>
      </c>
      <c r="C358">
        <v>0</v>
      </c>
      <c r="D358">
        <v>10</v>
      </c>
      <c r="E358">
        <v>246</v>
      </c>
      <c r="F358">
        <v>0.50900000000000001</v>
      </c>
      <c r="G358">
        <v>74</v>
      </c>
      <c r="H358">
        <v>0.41299999999999998</v>
      </c>
      <c r="I358">
        <v>0.79400000000000004</v>
      </c>
      <c r="J358">
        <v>670</v>
      </c>
      <c r="K358">
        <v>57</v>
      </c>
      <c r="L358">
        <v>163</v>
      </c>
      <c r="M358">
        <v>157</v>
      </c>
      <c r="N358">
        <v>28</v>
      </c>
      <c r="O358">
        <v>26</v>
      </c>
      <c r="P358">
        <v>78</v>
      </c>
      <c r="Q358">
        <v>2.0099999999999998</v>
      </c>
    </row>
    <row r="359" spans="1:17" x14ac:dyDescent="0.25">
      <c r="A359">
        <v>3</v>
      </c>
      <c r="B359">
        <v>10</v>
      </c>
      <c r="C359">
        <v>0</v>
      </c>
      <c r="D359">
        <v>3</v>
      </c>
      <c r="E359">
        <v>215</v>
      </c>
      <c r="F359">
        <v>0.498</v>
      </c>
      <c r="G359">
        <v>72</v>
      </c>
      <c r="H359">
        <v>0.42899999999999999</v>
      </c>
      <c r="I359">
        <v>0.753</v>
      </c>
      <c r="J359">
        <v>560</v>
      </c>
      <c r="K359">
        <v>46</v>
      </c>
      <c r="L359">
        <v>142</v>
      </c>
      <c r="M359">
        <v>146</v>
      </c>
      <c r="N359">
        <v>36</v>
      </c>
      <c r="O359">
        <v>23</v>
      </c>
      <c r="P359">
        <v>75</v>
      </c>
      <c r="Q359">
        <v>1.95</v>
      </c>
    </row>
    <row r="360" spans="1:17" x14ac:dyDescent="0.25">
      <c r="A360">
        <v>7</v>
      </c>
      <c r="B360">
        <v>6</v>
      </c>
      <c r="C360">
        <v>0</v>
      </c>
      <c r="D360">
        <v>7</v>
      </c>
      <c r="E360">
        <v>183</v>
      </c>
      <c r="F360">
        <v>0.46100000000000002</v>
      </c>
      <c r="G360">
        <v>62</v>
      </c>
      <c r="H360">
        <v>0.33700000000000002</v>
      </c>
      <c r="I360">
        <v>0.73799999999999999</v>
      </c>
      <c r="J360">
        <v>504</v>
      </c>
      <c r="K360">
        <v>54</v>
      </c>
      <c r="L360">
        <v>181</v>
      </c>
      <c r="M360">
        <v>119</v>
      </c>
      <c r="N360">
        <v>35</v>
      </c>
      <c r="O360">
        <v>30</v>
      </c>
      <c r="P360">
        <v>64</v>
      </c>
      <c r="Q360">
        <v>1.86</v>
      </c>
    </row>
    <row r="361" spans="1:17" x14ac:dyDescent="0.25">
      <c r="A361">
        <v>6</v>
      </c>
      <c r="B361">
        <v>7</v>
      </c>
      <c r="C361">
        <v>0</v>
      </c>
      <c r="D361">
        <v>6</v>
      </c>
      <c r="E361">
        <v>170</v>
      </c>
      <c r="F361">
        <v>0.48</v>
      </c>
      <c r="G361">
        <v>66</v>
      </c>
      <c r="H361">
        <v>0.36299999999999999</v>
      </c>
      <c r="I361">
        <v>0.77800000000000002</v>
      </c>
      <c r="J361">
        <v>476</v>
      </c>
      <c r="K361">
        <v>37</v>
      </c>
      <c r="L361">
        <v>133</v>
      </c>
      <c r="M361">
        <v>97</v>
      </c>
      <c r="N361">
        <v>25</v>
      </c>
      <c r="O361">
        <v>18</v>
      </c>
      <c r="P361">
        <v>50</v>
      </c>
      <c r="Q361">
        <v>1.94</v>
      </c>
    </row>
    <row r="362" spans="1:17" x14ac:dyDescent="0.25">
      <c r="A362">
        <v>9</v>
      </c>
      <c r="B362">
        <v>4</v>
      </c>
      <c r="C362">
        <v>0</v>
      </c>
      <c r="D362">
        <v>9</v>
      </c>
      <c r="E362">
        <v>242</v>
      </c>
      <c r="F362">
        <v>0.51100000000000001</v>
      </c>
      <c r="G362">
        <v>65</v>
      </c>
      <c r="H362">
        <v>0.41399999999999998</v>
      </c>
      <c r="I362">
        <v>0.75700000000000001</v>
      </c>
      <c r="J362">
        <v>627</v>
      </c>
      <c r="K362">
        <v>82</v>
      </c>
      <c r="L362">
        <v>228</v>
      </c>
      <c r="M362">
        <v>109</v>
      </c>
      <c r="N362">
        <v>29</v>
      </c>
      <c r="O362">
        <v>33</v>
      </c>
      <c r="P362">
        <v>69</v>
      </c>
      <c r="Q362">
        <v>1.58</v>
      </c>
    </row>
    <row r="363" spans="1:17" x14ac:dyDescent="0.25">
      <c r="A363">
        <v>4</v>
      </c>
      <c r="B363">
        <v>9</v>
      </c>
      <c r="C363">
        <v>0</v>
      </c>
      <c r="D363">
        <v>4</v>
      </c>
      <c r="E363">
        <v>158</v>
      </c>
      <c r="F363">
        <v>0.49199999999999999</v>
      </c>
      <c r="G363">
        <v>60</v>
      </c>
      <c r="H363">
        <v>0.432</v>
      </c>
      <c r="I363">
        <v>0.79100000000000004</v>
      </c>
      <c r="J363">
        <v>444</v>
      </c>
      <c r="K363">
        <v>61</v>
      </c>
      <c r="L363">
        <v>108</v>
      </c>
      <c r="M363">
        <v>80</v>
      </c>
      <c r="N363">
        <v>24</v>
      </c>
      <c r="O363">
        <v>18</v>
      </c>
      <c r="P363">
        <v>40</v>
      </c>
      <c r="Q363">
        <v>2</v>
      </c>
    </row>
    <row r="364" spans="1:17" x14ac:dyDescent="0.25">
      <c r="A364">
        <v>4</v>
      </c>
      <c r="B364">
        <v>9</v>
      </c>
      <c r="C364">
        <v>0</v>
      </c>
      <c r="D364">
        <v>4</v>
      </c>
      <c r="E364">
        <v>214</v>
      </c>
      <c r="F364">
        <v>0.48899999999999999</v>
      </c>
      <c r="G364">
        <v>60</v>
      </c>
      <c r="H364">
        <v>0.36099999999999999</v>
      </c>
      <c r="I364">
        <v>0.89100000000000001</v>
      </c>
      <c r="J364">
        <v>578</v>
      </c>
      <c r="K364">
        <v>32</v>
      </c>
      <c r="L364">
        <v>145</v>
      </c>
      <c r="M364">
        <v>105</v>
      </c>
      <c r="N364">
        <v>35</v>
      </c>
      <c r="O364">
        <v>22</v>
      </c>
      <c r="P364">
        <v>79</v>
      </c>
      <c r="Q364">
        <v>1.33</v>
      </c>
    </row>
    <row r="365" spans="1:17" x14ac:dyDescent="0.25">
      <c r="A365">
        <v>9</v>
      </c>
      <c r="B365">
        <v>4</v>
      </c>
      <c r="C365">
        <v>0</v>
      </c>
      <c r="D365">
        <v>9</v>
      </c>
      <c r="E365">
        <v>265</v>
      </c>
      <c r="F365">
        <v>0.45100000000000001</v>
      </c>
      <c r="G365">
        <v>69</v>
      </c>
      <c r="H365">
        <v>0.308</v>
      </c>
      <c r="I365">
        <v>0.79600000000000004</v>
      </c>
      <c r="J365">
        <v>767</v>
      </c>
      <c r="K365">
        <v>60</v>
      </c>
      <c r="L365">
        <v>187</v>
      </c>
      <c r="M365">
        <v>161</v>
      </c>
      <c r="N365">
        <v>63</v>
      </c>
      <c r="O365">
        <v>36</v>
      </c>
      <c r="P365">
        <v>87</v>
      </c>
      <c r="Q365">
        <v>1.85</v>
      </c>
    </row>
    <row r="366" spans="1:17" x14ac:dyDescent="0.25">
      <c r="A366">
        <v>5</v>
      </c>
      <c r="B366">
        <v>8</v>
      </c>
      <c r="C366">
        <v>0</v>
      </c>
      <c r="D366">
        <v>5</v>
      </c>
      <c r="E366">
        <v>179</v>
      </c>
      <c r="F366">
        <v>0.48399999999999999</v>
      </c>
      <c r="G366">
        <v>70</v>
      </c>
      <c r="H366">
        <v>0.38500000000000001</v>
      </c>
      <c r="I366">
        <v>0.80300000000000005</v>
      </c>
      <c r="J366">
        <v>489</v>
      </c>
      <c r="K366">
        <v>48</v>
      </c>
      <c r="L366">
        <v>133</v>
      </c>
      <c r="M366">
        <v>96</v>
      </c>
      <c r="N366">
        <v>30</v>
      </c>
      <c r="O366">
        <v>16</v>
      </c>
      <c r="P366">
        <v>35</v>
      </c>
      <c r="Q366">
        <v>2.74</v>
      </c>
    </row>
    <row r="367" spans="1:17" x14ac:dyDescent="0.25">
      <c r="A367">
        <v>8</v>
      </c>
      <c r="B367">
        <v>5</v>
      </c>
      <c r="C367">
        <v>0</v>
      </c>
      <c r="D367">
        <v>8</v>
      </c>
      <c r="E367">
        <v>266</v>
      </c>
      <c r="F367">
        <v>0.48699999999999999</v>
      </c>
      <c r="G367">
        <v>56</v>
      </c>
      <c r="H367">
        <v>0.33100000000000002</v>
      </c>
      <c r="I367">
        <v>0.79200000000000004</v>
      </c>
      <c r="J367">
        <v>740</v>
      </c>
      <c r="K367">
        <v>69</v>
      </c>
      <c r="L367">
        <v>162</v>
      </c>
      <c r="M367">
        <v>158</v>
      </c>
      <c r="N367">
        <v>51</v>
      </c>
      <c r="O367">
        <v>31</v>
      </c>
      <c r="P367">
        <v>76</v>
      </c>
      <c r="Q367">
        <v>2.08</v>
      </c>
    </row>
    <row r="368" spans="1:17" x14ac:dyDescent="0.25">
      <c r="A368">
        <v>4</v>
      </c>
      <c r="B368">
        <v>9</v>
      </c>
      <c r="C368">
        <v>0</v>
      </c>
      <c r="D368">
        <v>4</v>
      </c>
      <c r="E368">
        <v>228</v>
      </c>
      <c r="F368">
        <v>0.44500000000000001</v>
      </c>
      <c r="G368">
        <v>69</v>
      </c>
      <c r="H368">
        <v>0.33700000000000002</v>
      </c>
      <c r="I368">
        <v>0.74299999999999999</v>
      </c>
      <c r="J368">
        <v>635</v>
      </c>
      <c r="K368">
        <v>50</v>
      </c>
      <c r="L368">
        <v>189</v>
      </c>
      <c r="M368">
        <v>158</v>
      </c>
      <c r="N368">
        <v>51</v>
      </c>
      <c r="O368">
        <v>19</v>
      </c>
      <c r="P368">
        <v>70</v>
      </c>
      <c r="Q368">
        <v>2.2599999999999998</v>
      </c>
    </row>
    <row r="369" spans="1:17" x14ac:dyDescent="0.25">
      <c r="A369">
        <v>9</v>
      </c>
      <c r="B369">
        <v>4</v>
      </c>
      <c r="C369">
        <v>0</v>
      </c>
      <c r="D369">
        <v>9</v>
      </c>
      <c r="E369">
        <v>244</v>
      </c>
      <c r="F369">
        <v>0.48399999999999999</v>
      </c>
      <c r="G369">
        <v>80</v>
      </c>
      <c r="H369">
        <v>0.39</v>
      </c>
      <c r="I369">
        <v>0.748</v>
      </c>
      <c r="J369">
        <v>654</v>
      </c>
      <c r="K369">
        <v>61</v>
      </c>
      <c r="L369">
        <v>204</v>
      </c>
      <c r="M369">
        <v>182</v>
      </c>
      <c r="N369">
        <v>35</v>
      </c>
      <c r="O369">
        <v>9</v>
      </c>
      <c r="P369">
        <v>90</v>
      </c>
      <c r="Q369">
        <v>2.02</v>
      </c>
    </row>
    <row r="370" spans="1:17" x14ac:dyDescent="0.25">
      <c r="A370">
        <v>10</v>
      </c>
      <c r="B370">
        <v>3</v>
      </c>
      <c r="C370">
        <v>0</v>
      </c>
      <c r="D370">
        <v>10</v>
      </c>
      <c r="E370">
        <v>270</v>
      </c>
      <c r="F370">
        <v>0.47099999999999997</v>
      </c>
      <c r="G370">
        <v>72</v>
      </c>
      <c r="H370">
        <v>0.34300000000000003</v>
      </c>
      <c r="I370">
        <v>0.77800000000000002</v>
      </c>
      <c r="J370">
        <v>745</v>
      </c>
      <c r="K370">
        <v>77</v>
      </c>
      <c r="L370">
        <v>199</v>
      </c>
      <c r="M370">
        <v>183</v>
      </c>
      <c r="N370">
        <v>48</v>
      </c>
      <c r="O370">
        <v>27</v>
      </c>
      <c r="P370">
        <v>91</v>
      </c>
      <c r="Q370">
        <v>2.0099999999999998</v>
      </c>
    </row>
    <row r="371" spans="1:17" x14ac:dyDescent="0.25">
      <c r="A371">
        <v>3</v>
      </c>
      <c r="B371">
        <v>10</v>
      </c>
      <c r="C371">
        <v>0</v>
      </c>
      <c r="D371">
        <v>3</v>
      </c>
      <c r="E371">
        <v>171</v>
      </c>
      <c r="F371">
        <v>0.46700000000000003</v>
      </c>
      <c r="G371">
        <v>44</v>
      </c>
      <c r="H371">
        <v>0.34399999999999997</v>
      </c>
      <c r="I371">
        <v>0.79</v>
      </c>
      <c r="J371">
        <v>469</v>
      </c>
      <c r="K371">
        <v>40</v>
      </c>
      <c r="L371">
        <v>124</v>
      </c>
      <c r="M371">
        <v>83</v>
      </c>
      <c r="N371">
        <v>34</v>
      </c>
      <c r="O371">
        <v>18</v>
      </c>
      <c r="P371">
        <v>62</v>
      </c>
      <c r="Q371">
        <v>1.34</v>
      </c>
    </row>
    <row r="372" spans="1:17" x14ac:dyDescent="0.25">
      <c r="A372">
        <v>2</v>
      </c>
      <c r="B372">
        <v>11</v>
      </c>
      <c r="C372">
        <v>0</v>
      </c>
      <c r="D372">
        <v>2</v>
      </c>
      <c r="E372">
        <v>148</v>
      </c>
      <c r="F372">
        <v>0.433</v>
      </c>
      <c r="G372">
        <v>44</v>
      </c>
      <c r="H372">
        <v>0.29499999999999998</v>
      </c>
      <c r="I372">
        <v>0.78700000000000003</v>
      </c>
      <c r="J372">
        <v>410</v>
      </c>
      <c r="K372">
        <v>44</v>
      </c>
      <c r="L372">
        <v>121</v>
      </c>
      <c r="M372">
        <v>69</v>
      </c>
      <c r="N372">
        <v>26</v>
      </c>
      <c r="O372">
        <v>12</v>
      </c>
      <c r="P372">
        <v>48</v>
      </c>
      <c r="Q372">
        <v>1.44</v>
      </c>
    </row>
    <row r="373" spans="1:17" x14ac:dyDescent="0.25">
      <c r="A373">
        <v>11</v>
      </c>
      <c r="B373">
        <v>2</v>
      </c>
      <c r="C373">
        <v>0</v>
      </c>
      <c r="D373">
        <v>11</v>
      </c>
      <c r="E373">
        <v>302</v>
      </c>
      <c r="F373">
        <v>0.46300000000000002</v>
      </c>
      <c r="G373">
        <v>85</v>
      </c>
      <c r="H373">
        <v>0.35299999999999998</v>
      </c>
      <c r="I373">
        <v>0.755</v>
      </c>
      <c r="J373">
        <v>828</v>
      </c>
      <c r="K373">
        <v>76</v>
      </c>
      <c r="L373">
        <v>215</v>
      </c>
      <c r="M373">
        <v>179</v>
      </c>
      <c r="N373">
        <v>50</v>
      </c>
      <c r="O373">
        <v>18</v>
      </c>
      <c r="P373">
        <v>87</v>
      </c>
      <c r="Q373">
        <v>2.06</v>
      </c>
    </row>
    <row r="374" spans="1:17" x14ac:dyDescent="0.25">
      <c r="A374">
        <v>5</v>
      </c>
      <c r="B374">
        <v>8</v>
      </c>
      <c r="C374">
        <v>0</v>
      </c>
      <c r="D374">
        <v>5</v>
      </c>
      <c r="E374">
        <v>246</v>
      </c>
      <c r="F374">
        <v>0.50900000000000001</v>
      </c>
      <c r="G374">
        <v>74</v>
      </c>
      <c r="H374">
        <v>0.41299999999999998</v>
      </c>
      <c r="I374">
        <v>0.79400000000000004</v>
      </c>
      <c r="J374">
        <v>670</v>
      </c>
      <c r="K374">
        <v>57</v>
      </c>
      <c r="L374">
        <v>163</v>
      </c>
      <c r="M374">
        <v>157</v>
      </c>
      <c r="N374">
        <v>28</v>
      </c>
      <c r="O374">
        <v>26</v>
      </c>
      <c r="P374">
        <v>78</v>
      </c>
      <c r="Q374">
        <v>2.0099999999999998</v>
      </c>
    </row>
    <row r="375" spans="1:17" x14ac:dyDescent="0.25">
      <c r="A375">
        <v>8</v>
      </c>
      <c r="B375">
        <v>5</v>
      </c>
      <c r="C375">
        <v>0</v>
      </c>
      <c r="D375">
        <v>8</v>
      </c>
      <c r="E375">
        <v>265</v>
      </c>
      <c r="F375">
        <v>0.45100000000000001</v>
      </c>
      <c r="G375">
        <v>69</v>
      </c>
      <c r="H375">
        <v>0.308</v>
      </c>
      <c r="I375">
        <v>0.79600000000000004</v>
      </c>
      <c r="J375">
        <v>767</v>
      </c>
      <c r="K375">
        <v>60</v>
      </c>
      <c r="L375">
        <v>187</v>
      </c>
      <c r="M375">
        <v>161</v>
      </c>
      <c r="N375">
        <v>63</v>
      </c>
      <c r="O375">
        <v>36</v>
      </c>
      <c r="P375">
        <v>87</v>
      </c>
      <c r="Q375">
        <v>1.85</v>
      </c>
    </row>
    <row r="376" spans="1:17" x14ac:dyDescent="0.25">
      <c r="A376">
        <v>8</v>
      </c>
      <c r="B376">
        <v>5</v>
      </c>
      <c r="C376">
        <v>0</v>
      </c>
      <c r="D376">
        <v>8</v>
      </c>
      <c r="E376">
        <v>302</v>
      </c>
      <c r="F376">
        <v>0.46300000000000002</v>
      </c>
      <c r="G376">
        <v>85</v>
      </c>
      <c r="H376">
        <v>0.35299999999999998</v>
      </c>
      <c r="I376">
        <v>0.755</v>
      </c>
      <c r="J376">
        <v>828</v>
      </c>
      <c r="K376">
        <v>76</v>
      </c>
      <c r="L376">
        <v>215</v>
      </c>
      <c r="M376">
        <v>179</v>
      </c>
      <c r="N376">
        <v>50</v>
      </c>
      <c r="O376">
        <v>18</v>
      </c>
      <c r="P376">
        <v>87</v>
      </c>
      <c r="Q376">
        <v>2.06</v>
      </c>
    </row>
    <row r="377" spans="1:17" x14ac:dyDescent="0.25">
      <c r="A377">
        <v>5</v>
      </c>
      <c r="B377">
        <v>8</v>
      </c>
      <c r="C377">
        <v>0</v>
      </c>
      <c r="D377">
        <v>5</v>
      </c>
      <c r="E377">
        <v>179</v>
      </c>
      <c r="F377">
        <v>0.48399999999999999</v>
      </c>
      <c r="G377">
        <v>70</v>
      </c>
      <c r="H377">
        <v>0.38500000000000001</v>
      </c>
      <c r="I377">
        <v>0.80300000000000005</v>
      </c>
      <c r="J377">
        <v>489</v>
      </c>
      <c r="K377">
        <v>48</v>
      </c>
      <c r="L377">
        <v>133</v>
      </c>
      <c r="M377">
        <v>96</v>
      </c>
      <c r="N377">
        <v>30</v>
      </c>
      <c r="O377">
        <v>16</v>
      </c>
      <c r="P377">
        <v>35</v>
      </c>
      <c r="Q377">
        <v>2.74</v>
      </c>
    </row>
    <row r="378" spans="1:17" x14ac:dyDescent="0.25">
      <c r="A378">
        <v>2</v>
      </c>
      <c r="B378">
        <v>11</v>
      </c>
      <c r="C378">
        <v>0</v>
      </c>
      <c r="D378">
        <v>2</v>
      </c>
      <c r="E378">
        <v>148</v>
      </c>
      <c r="F378">
        <v>0.433</v>
      </c>
      <c r="G378">
        <v>44</v>
      </c>
      <c r="H378">
        <v>0.29499999999999998</v>
      </c>
      <c r="I378">
        <v>0.78700000000000003</v>
      </c>
      <c r="J378">
        <v>410</v>
      </c>
      <c r="K378">
        <v>44</v>
      </c>
      <c r="L378">
        <v>121</v>
      </c>
      <c r="M378">
        <v>69</v>
      </c>
      <c r="N378">
        <v>26</v>
      </c>
      <c r="O378">
        <v>12</v>
      </c>
      <c r="P378">
        <v>48</v>
      </c>
      <c r="Q378">
        <v>1.44</v>
      </c>
    </row>
    <row r="379" spans="1:17" x14ac:dyDescent="0.25">
      <c r="A379">
        <v>11</v>
      </c>
      <c r="B379">
        <v>2</v>
      </c>
      <c r="C379">
        <v>0</v>
      </c>
      <c r="D379">
        <v>11</v>
      </c>
      <c r="E379">
        <v>228</v>
      </c>
      <c r="F379">
        <v>0.44500000000000001</v>
      </c>
      <c r="G379">
        <v>69</v>
      </c>
      <c r="H379">
        <v>0.33700000000000002</v>
      </c>
      <c r="I379">
        <v>0.74299999999999999</v>
      </c>
      <c r="J379">
        <v>635</v>
      </c>
      <c r="K379">
        <v>50</v>
      </c>
      <c r="L379">
        <v>189</v>
      </c>
      <c r="M379">
        <v>158</v>
      </c>
      <c r="N379">
        <v>51</v>
      </c>
      <c r="O379">
        <v>19</v>
      </c>
      <c r="P379">
        <v>70</v>
      </c>
      <c r="Q379">
        <v>2.2599999999999998</v>
      </c>
    </row>
    <row r="380" spans="1:17" x14ac:dyDescent="0.25">
      <c r="A380">
        <v>4</v>
      </c>
      <c r="B380">
        <v>9</v>
      </c>
      <c r="C380">
        <v>0</v>
      </c>
      <c r="D380">
        <v>4</v>
      </c>
      <c r="E380">
        <v>183</v>
      </c>
      <c r="F380">
        <v>0.46100000000000002</v>
      </c>
      <c r="G380">
        <v>62</v>
      </c>
      <c r="H380">
        <v>0.33700000000000002</v>
      </c>
      <c r="I380">
        <v>0.73799999999999999</v>
      </c>
      <c r="J380">
        <v>504</v>
      </c>
      <c r="K380">
        <v>54</v>
      </c>
      <c r="L380">
        <v>181</v>
      </c>
      <c r="M380">
        <v>119</v>
      </c>
      <c r="N380">
        <v>35</v>
      </c>
      <c r="O380">
        <v>30</v>
      </c>
      <c r="P380">
        <v>64</v>
      </c>
      <c r="Q380">
        <v>1.86</v>
      </c>
    </row>
    <row r="381" spans="1:17" x14ac:dyDescent="0.25">
      <c r="A381">
        <v>9</v>
      </c>
      <c r="B381">
        <v>4</v>
      </c>
      <c r="C381">
        <v>0</v>
      </c>
      <c r="D381">
        <v>9</v>
      </c>
      <c r="E381">
        <v>266</v>
      </c>
      <c r="F381">
        <v>0.48699999999999999</v>
      </c>
      <c r="G381">
        <v>56</v>
      </c>
      <c r="H381">
        <v>0.33100000000000002</v>
      </c>
      <c r="I381">
        <v>0.79200000000000004</v>
      </c>
      <c r="J381">
        <v>740</v>
      </c>
      <c r="K381">
        <v>69</v>
      </c>
      <c r="L381">
        <v>162</v>
      </c>
      <c r="M381">
        <v>158</v>
      </c>
      <c r="N381">
        <v>51</v>
      </c>
      <c r="O381">
        <v>31</v>
      </c>
      <c r="P381">
        <v>76</v>
      </c>
      <c r="Q381">
        <v>2.08</v>
      </c>
    </row>
    <row r="382" spans="1:17" x14ac:dyDescent="0.25">
      <c r="A382">
        <v>9</v>
      </c>
      <c r="B382">
        <v>4</v>
      </c>
      <c r="C382">
        <v>0</v>
      </c>
      <c r="D382">
        <v>9</v>
      </c>
      <c r="E382">
        <v>250</v>
      </c>
      <c r="F382">
        <v>0.46500000000000002</v>
      </c>
      <c r="G382">
        <v>79</v>
      </c>
      <c r="H382">
        <v>0.39300000000000002</v>
      </c>
      <c r="I382">
        <v>0.80400000000000005</v>
      </c>
      <c r="J382">
        <v>710</v>
      </c>
      <c r="K382">
        <v>34</v>
      </c>
      <c r="L382">
        <v>161</v>
      </c>
      <c r="M382">
        <v>172</v>
      </c>
      <c r="N382">
        <v>35</v>
      </c>
      <c r="O382">
        <v>34</v>
      </c>
      <c r="P382">
        <v>75</v>
      </c>
      <c r="Q382">
        <v>2.29</v>
      </c>
    </row>
    <row r="383" spans="1:17" x14ac:dyDescent="0.25">
      <c r="A383">
        <v>4</v>
      </c>
      <c r="B383">
        <v>9</v>
      </c>
      <c r="C383">
        <v>0</v>
      </c>
      <c r="D383">
        <v>4</v>
      </c>
      <c r="E383">
        <v>158</v>
      </c>
      <c r="F383">
        <v>0.49199999999999999</v>
      </c>
      <c r="G383">
        <v>60</v>
      </c>
      <c r="H383">
        <v>0.432</v>
      </c>
      <c r="I383">
        <v>0.79100000000000004</v>
      </c>
      <c r="J383">
        <v>444</v>
      </c>
      <c r="K383">
        <v>61</v>
      </c>
      <c r="L383">
        <v>108</v>
      </c>
      <c r="M383">
        <v>80</v>
      </c>
      <c r="N383">
        <v>24</v>
      </c>
      <c r="O383">
        <v>18</v>
      </c>
      <c r="P383">
        <v>40</v>
      </c>
      <c r="Q383">
        <v>2</v>
      </c>
    </row>
    <row r="384" spans="1:17" x14ac:dyDescent="0.25">
      <c r="A384">
        <v>3</v>
      </c>
      <c r="B384">
        <v>10</v>
      </c>
      <c r="C384">
        <v>0</v>
      </c>
      <c r="D384">
        <v>3</v>
      </c>
      <c r="E384">
        <v>171</v>
      </c>
      <c r="F384">
        <v>0.46700000000000003</v>
      </c>
      <c r="G384">
        <v>44</v>
      </c>
      <c r="H384">
        <v>0.34399999999999997</v>
      </c>
      <c r="I384">
        <v>0.79</v>
      </c>
      <c r="J384">
        <v>469</v>
      </c>
      <c r="K384">
        <v>40</v>
      </c>
      <c r="L384">
        <v>124</v>
      </c>
      <c r="M384">
        <v>83</v>
      </c>
      <c r="N384">
        <v>34</v>
      </c>
      <c r="O384">
        <v>18</v>
      </c>
      <c r="P384">
        <v>62</v>
      </c>
      <c r="Q384">
        <v>1.34</v>
      </c>
    </row>
    <row r="385" spans="1:17" x14ac:dyDescent="0.25">
      <c r="A385">
        <v>10</v>
      </c>
      <c r="B385">
        <v>3</v>
      </c>
      <c r="C385">
        <v>0</v>
      </c>
      <c r="D385">
        <v>10</v>
      </c>
      <c r="E385">
        <v>214</v>
      </c>
      <c r="F385">
        <v>0.48899999999999999</v>
      </c>
      <c r="G385">
        <v>60</v>
      </c>
      <c r="H385">
        <v>0.36099999999999999</v>
      </c>
      <c r="I385">
        <v>0.89100000000000001</v>
      </c>
      <c r="J385">
        <v>578</v>
      </c>
      <c r="K385">
        <v>32</v>
      </c>
      <c r="L385">
        <v>145</v>
      </c>
      <c r="M385">
        <v>105</v>
      </c>
      <c r="N385">
        <v>35</v>
      </c>
      <c r="O385">
        <v>22</v>
      </c>
      <c r="P385">
        <v>79</v>
      </c>
      <c r="Q385">
        <v>1.33</v>
      </c>
    </row>
    <row r="386" spans="1:17" x14ac:dyDescent="0.25">
      <c r="A386">
        <v>6</v>
      </c>
      <c r="B386">
        <v>7</v>
      </c>
      <c r="C386">
        <v>0</v>
      </c>
      <c r="D386">
        <v>6</v>
      </c>
      <c r="E386">
        <v>145</v>
      </c>
      <c r="F386">
        <v>0.39600000000000002</v>
      </c>
      <c r="G386">
        <v>49</v>
      </c>
      <c r="H386">
        <v>0.34300000000000003</v>
      </c>
      <c r="I386">
        <v>0.79700000000000004</v>
      </c>
      <c r="J386">
        <v>394</v>
      </c>
      <c r="K386">
        <v>63</v>
      </c>
      <c r="L386">
        <v>151</v>
      </c>
      <c r="M386">
        <v>127</v>
      </c>
      <c r="N386">
        <v>37</v>
      </c>
      <c r="O386">
        <v>30</v>
      </c>
      <c r="P386">
        <v>79</v>
      </c>
      <c r="Q386">
        <v>1.61</v>
      </c>
    </row>
    <row r="387" spans="1:17" x14ac:dyDescent="0.25">
      <c r="A387">
        <v>7</v>
      </c>
      <c r="B387">
        <v>6</v>
      </c>
      <c r="C387">
        <v>0</v>
      </c>
      <c r="D387">
        <v>7</v>
      </c>
      <c r="E387">
        <v>170</v>
      </c>
      <c r="F387">
        <v>0.48</v>
      </c>
      <c r="G387">
        <v>66</v>
      </c>
      <c r="H387">
        <v>0.36299999999999999</v>
      </c>
      <c r="I387">
        <v>0.77800000000000002</v>
      </c>
      <c r="J387">
        <v>476</v>
      </c>
      <c r="K387">
        <v>37</v>
      </c>
      <c r="L387">
        <v>133</v>
      </c>
      <c r="M387">
        <v>97</v>
      </c>
      <c r="N387">
        <v>25</v>
      </c>
      <c r="O387">
        <v>18</v>
      </c>
      <c r="P387">
        <v>50</v>
      </c>
      <c r="Q387">
        <v>1.94</v>
      </c>
    </row>
    <row r="388" spans="1:17" x14ac:dyDescent="0.25">
      <c r="A388">
        <v>6</v>
      </c>
      <c r="B388">
        <v>7</v>
      </c>
      <c r="C388">
        <v>0</v>
      </c>
      <c r="D388">
        <v>6</v>
      </c>
      <c r="E388">
        <v>244</v>
      </c>
      <c r="F388">
        <v>0.48399999999999999</v>
      </c>
      <c r="G388">
        <v>80</v>
      </c>
      <c r="H388">
        <v>0.39</v>
      </c>
      <c r="I388">
        <v>0.748</v>
      </c>
      <c r="J388">
        <v>654</v>
      </c>
      <c r="K388">
        <v>61</v>
      </c>
      <c r="L388">
        <v>204</v>
      </c>
      <c r="M388">
        <v>182</v>
      </c>
      <c r="N388">
        <v>35</v>
      </c>
      <c r="O388">
        <v>9</v>
      </c>
      <c r="P388">
        <v>90</v>
      </c>
      <c r="Q388">
        <v>2.02</v>
      </c>
    </row>
    <row r="389" spans="1:17" x14ac:dyDescent="0.25">
      <c r="A389">
        <v>7</v>
      </c>
      <c r="B389">
        <v>6</v>
      </c>
      <c r="C389">
        <v>0</v>
      </c>
      <c r="D389">
        <v>7</v>
      </c>
      <c r="E389">
        <v>242</v>
      </c>
      <c r="F389">
        <v>0.51100000000000001</v>
      </c>
      <c r="G389">
        <v>65</v>
      </c>
      <c r="H389">
        <v>0.41399999999999998</v>
      </c>
      <c r="I389">
        <v>0.75700000000000001</v>
      </c>
      <c r="J389">
        <v>627</v>
      </c>
      <c r="K389">
        <v>82</v>
      </c>
      <c r="L389">
        <v>228</v>
      </c>
      <c r="M389">
        <v>109</v>
      </c>
      <c r="N389">
        <v>29</v>
      </c>
      <c r="O389">
        <v>33</v>
      </c>
      <c r="P389">
        <v>69</v>
      </c>
      <c r="Q389">
        <v>1.58</v>
      </c>
    </row>
    <row r="390" spans="1:17" x14ac:dyDescent="0.25">
      <c r="A390">
        <v>2</v>
      </c>
      <c r="B390">
        <v>11</v>
      </c>
      <c r="C390">
        <v>0</v>
      </c>
      <c r="D390">
        <v>2</v>
      </c>
      <c r="E390">
        <v>273</v>
      </c>
      <c r="F390">
        <v>0.46899999999999997</v>
      </c>
      <c r="G390">
        <v>53</v>
      </c>
      <c r="H390">
        <v>0.29599999999999999</v>
      </c>
      <c r="I390">
        <v>0.76600000000000001</v>
      </c>
      <c r="J390">
        <v>779</v>
      </c>
      <c r="K390">
        <v>52</v>
      </c>
      <c r="L390">
        <v>197</v>
      </c>
      <c r="M390">
        <v>181</v>
      </c>
      <c r="N390">
        <v>46</v>
      </c>
      <c r="O390">
        <v>26</v>
      </c>
      <c r="P390">
        <v>93</v>
      </c>
      <c r="Q390">
        <v>1.95</v>
      </c>
    </row>
    <row r="391" spans="1:17" x14ac:dyDescent="0.25">
      <c r="A391">
        <v>11</v>
      </c>
      <c r="B391">
        <v>2</v>
      </c>
      <c r="C391">
        <v>0</v>
      </c>
      <c r="D391">
        <v>11</v>
      </c>
      <c r="E391">
        <v>270</v>
      </c>
      <c r="F391">
        <v>0.47099999999999997</v>
      </c>
      <c r="G391">
        <v>72</v>
      </c>
      <c r="H391">
        <v>0.34300000000000003</v>
      </c>
      <c r="I391">
        <v>0.77800000000000002</v>
      </c>
      <c r="J391">
        <v>745</v>
      </c>
      <c r="K391">
        <v>77</v>
      </c>
      <c r="L391">
        <v>199</v>
      </c>
      <c r="M391">
        <v>183</v>
      </c>
      <c r="N391">
        <v>48</v>
      </c>
      <c r="O391">
        <v>27</v>
      </c>
      <c r="P391">
        <v>91</v>
      </c>
      <c r="Q391">
        <v>2.0099999999999998</v>
      </c>
    </row>
    <row r="392" spans="1:17" x14ac:dyDescent="0.25">
      <c r="A392">
        <v>10</v>
      </c>
      <c r="B392">
        <v>2</v>
      </c>
      <c r="C392">
        <v>1</v>
      </c>
      <c r="D392">
        <v>10.5</v>
      </c>
      <c r="E392">
        <v>215</v>
      </c>
      <c r="F392">
        <v>0.498</v>
      </c>
      <c r="G392">
        <v>72</v>
      </c>
      <c r="H392">
        <v>0.42899999999999999</v>
      </c>
      <c r="I392">
        <v>0.753</v>
      </c>
      <c r="J392">
        <v>560</v>
      </c>
      <c r="K392">
        <v>46</v>
      </c>
      <c r="L392">
        <v>142</v>
      </c>
      <c r="M392">
        <v>146</v>
      </c>
      <c r="N392">
        <v>36</v>
      </c>
      <c r="O392">
        <v>23</v>
      </c>
      <c r="P392">
        <v>75</v>
      </c>
      <c r="Q392">
        <v>1.95</v>
      </c>
    </row>
    <row r="393" spans="1:17" x14ac:dyDescent="0.25">
      <c r="A393">
        <v>2</v>
      </c>
      <c r="B393">
        <v>10</v>
      </c>
      <c r="C393">
        <v>1</v>
      </c>
      <c r="D393">
        <v>2.5</v>
      </c>
      <c r="E393">
        <v>196</v>
      </c>
      <c r="F393">
        <v>0.46800000000000003</v>
      </c>
      <c r="G393">
        <v>58</v>
      </c>
      <c r="H393">
        <v>0.32800000000000001</v>
      </c>
      <c r="I393">
        <v>0.73699999999999999</v>
      </c>
      <c r="J393">
        <v>520</v>
      </c>
      <c r="K393">
        <v>41</v>
      </c>
      <c r="L393">
        <v>166</v>
      </c>
      <c r="M393">
        <v>125</v>
      </c>
      <c r="N393">
        <v>36</v>
      </c>
      <c r="O393">
        <v>20</v>
      </c>
      <c r="P393">
        <v>65</v>
      </c>
      <c r="Q393">
        <v>1.92</v>
      </c>
    </row>
    <row r="394" spans="1:17" x14ac:dyDescent="0.25">
      <c r="A394" t="s">
        <v>167</v>
      </c>
    </row>
    <row r="395" spans="1:17" x14ac:dyDescent="0.25">
      <c r="A395" t="s">
        <v>214</v>
      </c>
    </row>
    <row r="396" spans="1:17" x14ac:dyDescent="0.25">
      <c r="A396" t="s">
        <v>176</v>
      </c>
    </row>
    <row r="397" spans="1:17" x14ac:dyDescent="0.25">
      <c r="A397" t="s">
        <v>21</v>
      </c>
    </row>
    <row r="398" spans="1:17" x14ac:dyDescent="0.25">
      <c r="A398" t="s">
        <v>158</v>
      </c>
    </row>
    <row r="399" spans="1:17" x14ac:dyDescent="0.25">
      <c r="A399" t="s">
        <v>185</v>
      </c>
    </row>
    <row r="400" spans="1:17" x14ac:dyDescent="0.25">
      <c r="A400" t="s">
        <v>23</v>
      </c>
    </row>
    <row r="401" spans="1:1" x14ac:dyDescent="0.25">
      <c r="A401" t="s">
        <v>28</v>
      </c>
    </row>
    <row r="402" spans="1:1" x14ac:dyDescent="0.25">
      <c r="A402" t="s">
        <v>186</v>
      </c>
    </row>
    <row r="403" spans="1:1" x14ac:dyDescent="0.25">
      <c r="A403" t="s">
        <v>15</v>
      </c>
    </row>
    <row r="404" spans="1:1" x14ac:dyDescent="0.25">
      <c r="A404" t="s">
        <v>94</v>
      </c>
    </row>
    <row r="405" spans="1:1" x14ac:dyDescent="0.25">
      <c r="A405" t="s">
        <v>181</v>
      </c>
    </row>
    <row r="406" spans="1:1" x14ac:dyDescent="0.25">
      <c r="A406" t="s">
        <v>201</v>
      </c>
    </row>
    <row r="407" spans="1:1" x14ac:dyDescent="0.25">
      <c r="A407" t="s">
        <v>154</v>
      </c>
    </row>
    <row r="408" spans="1:1" x14ac:dyDescent="0.25">
      <c r="A408" t="s">
        <v>99</v>
      </c>
    </row>
    <row r="409" spans="1:1" x14ac:dyDescent="0.25">
      <c r="A409" t="s">
        <v>159</v>
      </c>
    </row>
    <row r="410" spans="1:1" x14ac:dyDescent="0.25">
      <c r="A410" t="s">
        <v>33</v>
      </c>
    </row>
    <row r="411" spans="1:1" x14ac:dyDescent="0.25">
      <c r="A411" t="s">
        <v>96</v>
      </c>
    </row>
    <row r="412" spans="1:1" x14ac:dyDescent="0.25">
      <c r="A412" t="s">
        <v>98</v>
      </c>
    </row>
    <row r="413" spans="1:1" x14ac:dyDescent="0.25">
      <c r="A413" t="s">
        <v>93</v>
      </c>
    </row>
    <row r="414" spans="1:1" x14ac:dyDescent="0.25">
      <c r="A414" t="s">
        <v>26</v>
      </c>
    </row>
    <row r="415" spans="1:1" x14ac:dyDescent="0.25">
      <c r="A415" t="s">
        <v>184</v>
      </c>
    </row>
    <row r="416" spans="1:1" x14ac:dyDescent="0.25">
      <c r="A416" t="s">
        <v>16</v>
      </c>
    </row>
    <row r="418" spans="1:17" x14ac:dyDescent="0.25">
      <c r="A418">
        <v>4</v>
      </c>
      <c r="B418">
        <v>9</v>
      </c>
      <c r="C418">
        <v>0</v>
      </c>
      <c r="D418">
        <v>4</v>
      </c>
      <c r="E418">
        <v>145</v>
      </c>
      <c r="F418">
        <v>0.48799999999999999</v>
      </c>
      <c r="G418">
        <v>22</v>
      </c>
      <c r="H418">
        <v>0.23899999999999999</v>
      </c>
      <c r="I418">
        <v>0.78700000000000003</v>
      </c>
      <c r="J418">
        <v>382</v>
      </c>
      <c r="K418">
        <v>41</v>
      </c>
      <c r="L418">
        <v>105</v>
      </c>
      <c r="M418">
        <v>64</v>
      </c>
      <c r="N418">
        <v>25</v>
      </c>
      <c r="O418">
        <v>15</v>
      </c>
      <c r="P418">
        <v>45</v>
      </c>
      <c r="Q418">
        <v>1.42</v>
      </c>
    </row>
    <row r="419" spans="1:17" x14ac:dyDescent="0.25">
      <c r="A419">
        <v>9</v>
      </c>
      <c r="B419">
        <v>4</v>
      </c>
      <c r="C419">
        <v>0</v>
      </c>
      <c r="D419">
        <v>9</v>
      </c>
      <c r="E419">
        <v>181</v>
      </c>
      <c r="F419">
        <v>0.45500000000000002</v>
      </c>
      <c r="G419">
        <v>37</v>
      </c>
      <c r="H419">
        <v>0.30599999999999999</v>
      </c>
      <c r="I419">
        <v>0.69899999999999995</v>
      </c>
      <c r="J419">
        <v>501</v>
      </c>
      <c r="K419">
        <v>36</v>
      </c>
      <c r="L419">
        <v>145</v>
      </c>
      <c r="M419">
        <v>118</v>
      </c>
      <c r="N419">
        <v>27</v>
      </c>
      <c r="O419">
        <v>30</v>
      </c>
      <c r="P419">
        <v>70</v>
      </c>
      <c r="Q419">
        <v>1.69</v>
      </c>
    </row>
    <row r="420" spans="1:17" x14ac:dyDescent="0.25">
      <c r="A420">
        <v>7</v>
      </c>
      <c r="B420">
        <v>6</v>
      </c>
      <c r="C420">
        <v>0</v>
      </c>
      <c r="D420">
        <v>7</v>
      </c>
      <c r="E420">
        <v>155</v>
      </c>
      <c r="F420">
        <v>0.46300000000000002</v>
      </c>
      <c r="G420">
        <v>47</v>
      </c>
      <c r="H420">
        <v>0.33100000000000002</v>
      </c>
      <c r="I420">
        <v>0.74299999999999999</v>
      </c>
      <c r="J420">
        <v>412</v>
      </c>
      <c r="K420">
        <v>30</v>
      </c>
      <c r="L420">
        <v>100</v>
      </c>
      <c r="M420">
        <v>130</v>
      </c>
      <c r="N420">
        <v>34</v>
      </c>
      <c r="O420">
        <v>20</v>
      </c>
      <c r="P420">
        <v>65</v>
      </c>
      <c r="Q420">
        <v>2</v>
      </c>
    </row>
    <row r="421" spans="1:17" x14ac:dyDescent="0.25">
      <c r="A421">
        <v>6</v>
      </c>
      <c r="B421">
        <v>7</v>
      </c>
      <c r="C421">
        <v>0</v>
      </c>
      <c r="D421">
        <v>6</v>
      </c>
      <c r="E421">
        <v>154</v>
      </c>
      <c r="F421">
        <v>0.51</v>
      </c>
      <c r="G421">
        <v>40</v>
      </c>
      <c r="H421">
        <v>0.377</v>
      </c>
      <c r="I421">
        <v>0.71099999999999997</v>
      </c>
      <c r="J421">
        <v>402</v>
      </c>
      <c r="K421">
        <v>57</v>
      </c>
      <c r="L421">
        <v>121</v>
      </c>
      <c r="M421">
        <v>95</v>
      </c>
      <c r="N421">
        <v>19</v>
      </c>
      <c r="O421">
        <v>18</v>
      </c>
      <c r="P421">
        <v>46</v>
      </c>
      <c r="Q421">
        <v>2.0699999999999998</v>
      </c>
    </row>
    <row r="422" spans="1:17" x14ac:dyDescent="0.25">
      <c r="A422">
        <v>4</v>
      </c>
      <c r="B422">
        <v>9</v>
      </c>
      <c r="C422">
        <v>0</v>
      </c>
      <c r="D422">
        <v>4</v>
      </c>
      <c r="E422">
        <v>125</v>
      </c>
      <c r="F422">
        <v>0.48799999999999999</v>
      </c>
      <c r="G422">
        <v>58</v>
      </c>
      <c r="H422">
        <v>0.42599999999999999</v>
      </c>
      <c r="I422">
        <v>0.85899999999999999</v>
      </c>
      <c r="J422">
        <v>381</v>
      </c>
      <c r="K422">
        <v>15</v>
      </c>
      <c r="L422">
        <v>72</v>
      </c>
      <c r="M422">
        <v>54</v>
      </c>
      <c r="N422">
        <v>21</v>
      </c>
      <c r="O422">
        <v>13</v>
      </c>
      <c r="P422">
        <v>34</v>
      </c>
      <c r="Q422">
        <v>1.59</v>
      </c>
    </row>
    <row r="423" spans="1:17" x14ac:dyDescent="0.25">
      <c r="A423">
        <v>9</v>
      </c>
      <c r="B423">
        <v>4</v>
      </c>
      <c r="C423">
        <v>0</v>
      </c>
      <c r="D423">
        <v>9</v>
      </c>
      <c r="E423">
        <v>270</v>
      </c>
      <c r="F423">
        <v>0.47399999999999998</v>
      </c>
      <c r="G423">
        <v>81</v>
      </c>
      <c r="H423">
        <v>0.38600000000000001</v>
      </c>
      <c r="I423">
        <v>0.76900000000000002</v>
      </c>
      <c r="J423">
        <v>724</v>
      </c>
      <c r="K423">
        <v>31</v>
      </c>
      <c r="L423">
        <v>161</v>
      </c>
      <c r="M423">
        <v>191</v>
      </c>
      <c r="N423">
        <v>44</v>
      </c>
      <c r="O423">
        <v>23</v>
      </c>
      <c r="P423">
        <v>100</v>
      </c>
      <c r="Q423">
        <v>1.91</v>
      </c>
    </row>
    <row r="424" spans="1:17" x14ac:dyDescent="0.25">
      <c r="A424">
        <v>5</v>
      </c>
      <c r="B424">
        <v>8</v>
      </c>
      <c r="C424">
        <v>0</v>
      </c>
      <c r="D424">
        <v>5</v>
      </c>
      <c r="E424">
        <v>139</v>
      </c>
      <c r="F424">
        <v>0.50900000000000001</v>
      </c>
      <c r="G424">
        <v>47</v>
      </c>
      <c r="H424">
        <v>0.39800000000000002</v>
      </c>
      <c r="I424">
        <v>0.72499999999999998</v>
      </c>
      <c r="J424">
        <v>375</v>
      </c>
      <c r="K424">
        <v>45</v>
      </c>
      <c r="L424">
        <v>99</v>
      </c>
      <c r="M424">
        <v>70</v>
      </c>
      <c r="N424">
        <v>26</v>
      </c>
      <c r="O424">
        <v>22</v>
      </c>
      <c r="P424">
        <v>30</v>
      </c>
      <c r="Q424">
        <v>2.33</v>
      </c>
    </row>
    <row r="425" spans="1:17" x14ac:dyDescent="0.25">
      <c r="A425">
        <v>8</v>
      </c>
      <c r="B425">
        <v>5</v>
      </c>
      <c r="C425">
        <v>0</v>
      </c>
      <c r="D425">
        <v>8</v>
      </c>
      <c r="E425">
        <v>175</v>
      </c>
      <c r="F425">
        <v>0.51500000000000001</v>
      </c>
      <c r="G425">
        <v>44</v>
      </c>
      <c r="H425">
        <v>0.38600000000000001</v>
      </c>
      <c r="I425">
        <v>0.89500000000000002</v>
      </c>
      <c r="J425">
        <v>488</v>
      </c>
      <c r="K425">
        <v>29</v>
      </c>
      <c r="L425">
        <v>104</v>
      </c>
      <c r="M425">
        <v>120</v>
      </c>
      <c r="N425">
        <v>22</v>
      </c>
      <c r="O425">
        <v>23</v>
      </c>
      <c r="P425">
        <v>50</v>
      </c>
      <c r="Q425">
        <v>2.4</v>
      </c>
    </row>
    <row r="426" spans="1:17" x14ac:dyDescent="0.25">
      <c r="A426">
        <v>11</v>
      </c>
      <c r="B426">
        <v>2</v>
      </c>
      <c r="C426">
        <v>0</v>
      </c>
      <c r="D426">
        <v>11</v>
      </c>
      <c r="E426">
        <v>192</v>
      </c>
      <c r="F426">
        <v>0.50900000000000001</v>
      </c>
      <c r="G426">
        <v>54</v>
      </c>
      <c r="H426">
        <v>0.39700000000000002</v>
      </c>
      <c r="I426">
        <v>0.87</v>
      </c>
      <c r="J426">
        <v>565</v>
      </c>
      <c r="K426">
        <v>41</v>
      </c>
      <c r="L426">
        <v>105</v>
      </c>
      <c r="M426">
        <v>118</v>
      </c>
      <c r="N426">
        <v>38</v>
      </c>
      <c r="O426">
        <v>16</v>
      </c>
      <c r="P426">
        <v>47</v>
      </c>
      <c r="Q426">
        <v>2.5099999999999998</v>
      </c>
    </row>
    <row r="427" spans="1:17" x14ac:dyDescent="0.25">
      <c r="A427">
        <v>2</v>
      </c>
      <c r="B427">
        <v>11</v>
      </c>
      <c r="C427">
        <v>0</v>
      </c>
      <c r="D427">
        <v>2</v>
      </c>
      <c r="E427">
        <v>118</v>
      </c>
      <c r="F427">
        <v>0.47</v>
      </c>
      <c r="G427">
        <v>48</v>
      </c>
      <c r="H427">
        <v>0.38400000000000001</v>
      </c>
      <c r="I427">
        <v>0.68</v>
      </c>
      <c r="J427">
        <v>318</v>
      </c>
      <c r="K427">
        <v>61</v>
      </c>
      <c r="L427">
        <v>101</v>
      </c>
      <c r="M427">
        <v>62</v>
      </c>
      <c r="N427">
        <v>22</v>
      </c>
      <c r="O427">
        <v>10</v>
      </c>
      <c r="P427">
        <v>45</v>
      </c>
      <c r="Q427">
        <v>1.38</v>
      </c>
    </row>
    <row r="428" spans="1:17" x14ac:dyDescent="0.25">
      <c r="A428">
        <v>9</v>
      </c>
      <c r="B428">
        <v>4</v>
      </c>
      <c r="C428">
        <v>0</v>
      </c>
      <c r="D428">
        <v>9</v>
      </c>
      <c r="E428">
        <v>205</v>
      </c>
      <c r="F428">
        <v>0.51</v>
      </c>
      <c r="G428">
        <v>51</v>
      </c>
      <c r="H428">
        <v>0.38900000000000001</v>
      </c>
      <c r="I428">
        <v>0.746</v>
      </c>
      <c r="J428">
        <v>549</v>
      </c>
      <c r="K428">
        <v>59</v>
      </c>
      <c r="L428">
        <v>116</v>
      </c>
      <c r="M428">
        <v>119</v>
      </c>
      <c r="N428">
        <v>38</v>
      </c>
      <c r="O428">
        <v>26</v>
      </c>
      <c r="P428">
        <v>62</v>
      </c>
      <c r="Q428">
        <v>1.92</v>
      </c>
    </row>
    <row r="429" spans="1:17" x14ac:dyDescent="0.25">
      <c r="A429">
        <v>4</v>
      </c>
      <c r="B429">
        <v>9</v>
      </c>
      <c r="C429">
        <v>0</v>
      </c>
      <c r="D429">
        <v>4</v>
      </c>
      <c r="E429">
        <v>173</v>
      </c>
      <c r="F429">
        <v>0.48199999999999998</v>
      </c>
      <c r="G429">
        <v>39</v>
      </c>
      <c r="H429">
        <v>0.34499999999999997</v>
      </c>
      <c r="I429">
        <v>0.80700000000000005</v>
      </c>
      <c r="J429">
        <v>452</v>
      </c>
      <c r="K429">
        <v>60</v>
      </c>
      <c r="L429">
        <v>148</v>
      </c>
      <c r="M429">
        <v>114</v>
      </c>
      <c r="N429">
        <v>35</v>
      </c>
      <c r="O429">
        <v>25</v>
      </c>
      <c r="P429">
        <v>60</v>
      </c>
      <c r="Q429">
        <v>1.9</v>
      </c>
    </row>
    <row r="430" spans="1:17" x14ac:dyDescent="0.25">
      <c r="A430">
        <v>8</v>
      </c>
      <c r="B430">
        <v>5</v>
      </c>
      <c r="C430">
        <v>0</v>
      </c>
      <c r="D430">
        <v>8</v>
      </c>
      <c r="E430">
        <v>186</v>
      </c>
      <c r="F430">
        <v>0.505</v>
      </c>
      <c r="G430">
        <v>49</v>
      </c>
      <c r="H430">
        <v>0.38300000000000001</v>
      </c>
      <c r="I430">
        <v>0.872</v>
      </c>
      <c r="J430">
        <v>530</v>
      </c>
      <c r="K430">
        <v>49</v>
      </c>
      <c r="L430">
        <v>155</v>
      </c>
      <c r="M430">
        <v>155</v>
      </c>
      <c r="N430">
        <v>24</v>
      </c>
      <c r="O430">
        <v>14</v>
      </c>
      <c r="P430">
        <v>76</v>
      </c>
      <c r="Q430">
        <v>2.04</v>
      </c>
    </row>
    <row r="431" spans="1:17" x14ac:dyDescent="0.25">
      <c r="A431">
        <v>5</v>
      </c>
      <c r="B431">
        <v>8</v>
      </c>
      <c r="C431">
        <v>0</v>
      </c>
      <c r="D431">
        <v>5</v>
      </c>
      <c r="E431">
        <v>176</v>
      </c>
      <c r="F431">
        <v>0.499</v>
      </c>
      <c r="G431">
        <v>58</v>
      </c>
      <c r="H431">
        <v>0.41099999999999998</v>
      </c>
      <c r="I431">
        <v>0.79300000000000004</v>
      </c>
      <c r="J431">
        <v>475</v>
      </c>
      <c r="K431">
        <v>25</v>
      </c>
      <c r="L431">
        <v>109</v>
      </c>
      <c r="M431">
        <v>91</v>
      </c>
      <c r="N431">
        <v>44</v>
      </c>
      <c r="O431">
        <v>13</v>
      </c>
      <c r="P431">
        <v>42</v>
      </c>
      <c r="Q431">
        <v>2.17</v>
      </c>
    </row>
    <row r="432" spans="1:17" x14ac:dyDescent="0.25">
      <c r="A432">
        <v>8</v>
      </c>
      <c r="B432">
        <v>5</v>
      </c>
      <c r="C432">
        <v>0</v>
      </c>
      <c r="D432">
        <v>8</v>
      </c>
      <c r="E432">
        <v>146</v>
      </c>
      <c r="F432">
        <v>0.47399999999999998</v>
      </c>
      <c r="G432">
        <v>36</v>
      </c>
      <c r="H432">
        <v>0.36699999999999999</v>
      </c>
      <c r="I432">
        <v>0.81599999999999995</v>
      </c>
      <c r="J432">
        <v>421</v>
      </c>
      <c r="K432">
        <v>56</v>
      </c>
      <c r="L432">
        <v>105</v>
      </c>
      <c r="M432">
        <v>76</v>
      </c>
      <c r="N432">
        <v>24</v>
      </c>
      <c r="O432">
        <v>14</v>
      </c>
      <c r="P432">
        <v>46</v>
      </c>
      <c r="Q432">
        <v>1.65</v>
      </c>
    </row>
    <row r="433" spans="1:17" x14ac:dyDescent="0.25">
      <c r="A433">
        <v>5</v>
      </c>
      <c r="B433">
        <v>8</v>
      </c>
      <c r="C433">
        <v>0</v>
      </c>
      <c r="D433">
        <v>5</v>
      </c>
      <c r="E433">
        <v>111</v>
      </c>
      <c r="F433">
        <v>0.49099999999999999</v>
      </c>
      <c r="G433">
        <v>39</v>
      </c>
      <c r="H433">
        <v>0.41499999999999998</v>
      </c>
      <c r="I433">
        <v>0.81299999999999994</v>
      </c>
      <c r="J433">
        <v>287</v>
      </c>
      <c r="K433">
        <v>27</v>
      </c>
      <c r="L433">
        <v>80</v>
      </c>
      <c r="M433">
        <v>60</v>
      </c>
      <c r="N433">
        <v>14</v>
      </c>
      <c r="O433">
        <v>12</v>
      </c>
      <c r="P433">
        <v>30</v>
      </c>
      <c r="Q433">
        <v>2</v>
      </c>
    </row>
    <row r="434" spans="1:17" x14ac:dyDescent="0.25">
      <c r="A434">
        <v>3</v>
      </c>
      <c r="B434">
        <v>10</v>
      </c>
      <c r="C434">
        <v>0</v>
      </c>
      <c r="D434">
        <v>3</v>
      </c>
      <c r="E434">
        <v>155</v>
      </c>
      <c r="F434">
        <v>0.42599999999999999</v>
      </c>
      <c r="G434">
        <v>35</v>
      </c>
      <c r="H434">
        <v>0.26500000000000001</v>
      </c>
      <c r="I434">
        <v>0.86</v>
      </c>
      <c r="J434">
        <v>431</v>
      </c>
      <c r="K434">
        <v>38</v>
      </c>
      <c r="L434">
        <v>104</v>
      </c>
      <c r="M434">
        <v>91</v>
      </c>
      <c r="N434">
        <v>29</v>
      </c>
      <c r="O434">
        <v>15</v>
      </c>
      <c r="P434">
        <v>45</v>
      </c>
      <c r="Q434">
        <v>2.02</v>
      </c>
    </row>
    <row r="435" spans="1:17" x14ac:dyDescent="0.25">
      <c r="A435">
        <v>10</v>
      </c>
      <c r="B435">
        <v>3</v>
      </c>
      <c r="C435">
        <v>0</v>
      </c>
      <c r="D435">
        <v>10</v>
      </c>
      <c r="E435">
        <v>173</v>
      </c>
      <c r="F435">
        <v>0.45500000000000002</v>
      </c>
      <c r="G435">
        <v>46</v>
      </c>
      <c r="H435">
        <v>0.32900000000000001</v>
      </c>
      <c r="I435">
        <v>0.78</v>
      </c>
      <c r="J435">
        <v>477</v>
      </c>
      <c r="K435">
        <v>70</v>
      </c>
      <c r="L435">
        <v>155</v>
      </c>
      <c r="M435">
        <v>131</v>
      </c>
      <c r="N435">
        <v>34</v>
      </c>
      <c r="O435">
        <v>13</v>
      </c>
      <c r="P435">
        <v>59</v>
      </c>
      <c r="Q435">
        <v>2.2200000000000002</v>
      </c>
    </row>
    <row r="436" spans="1:17" x14ac:dyDescent="0.25">
      <c r="A436">
        <v>2</v>
      </c>
      <c r="B436">
        <v>11</v>
      </c>
      <c r="C436">
        <v>0</v>
      </c>
      <c r="D436">
        <v>2</v>
      </c>
      <c r="E436">
        <v>88</v>
      </c>
      <c r="F436">
        <v>0.40200000000000002</v>
      </c>
      <c r="G436">
        <v>32</v>
      </c>
      <c r="H436">
        <v>0.314</v>
      </c>
      <c r="I436">
        <v>0.81299999999999994</v>
      </c>
      <c r="J436">
        <v>247</v>
      </c>
      <c r="K436">
        <v>25</v>
      </c>
      <c r="L436">
        <v>68</v>
      </c>
      <c r="M436">
        <v>40</v>
      </c>
      <c r="N436">
        <v>19</v>
      </c>
      <c r="O436">
        <v>3</v>
      </c>
      <c r="P436">
        <v>40</v>
      </c>
      <c r="Q436">
        <v>1</v>
      </c>
    </row>
    <row r="437" spans="1:17" x14ac:dyDescent="0.25">
      <c r="A437">
        <v>11</v>
      </c>
      <c r="B437">
        <v>2</v>
      </c>
      <c r="C437">
        <v>0</v>
      </c>
      <c r="D437">
        <v>11</v>
      </c>
      <c r="E437">
        <v>134</v>
      </c>
      <c r="F437">
        <v>0.48199999999999998</v>
      </c>
      <c r="G437">
        <v>41</v>
      </c>
      <c r="H437">
        <v>0.39400000000000002</v>
      </c>
      <c r="I437">
        <v>0.76900000000000002</v>
      </c>
      <c r="J437">
        <v>359</v>
      </c>
      <c r="K437">
        <v>33</v>
      </c>
      <c r="L437">
        <v>104</v>
      </c>
      <c r="M437">
        <v>100</v>
      </c>
      <c r="N437">
        <v>29</v>
      </c>
      <c r="O437">
        <v>11</v>
      </c>
      <c r="P437">
        <v>46</v>
      </c>
      <c r="Q437">
        <v>2.17</v>
      </c>
    </row>
    <row r="438" spans="1:17" x14ac:dyDescent="0.25">
      <c r="A438" t="s">
        <v>168</v>
      </c>
    </row>
    <row r="439" spans="1:17" x14ac:dyDescent="0.25">
      <c r="A439" t="s">
        <v>215</v>
      </c>
    </row>
    <row r="440" spans="1:17" x14ac:dyDescent="0.25">
      <c r="A440" t="s">
        <v>176</v>
      </c>
    </row>
    <row r="441" spans="1:17" x14ac:dyDescent="0.25">
      <c r="A441" t="s">
        <v>158</v>
      </c>
    </row>
    <row r="442" spans="1:17" x14ac:dyDescent="0.25">
      <c r="A442" t="s">
        <v>185</v>
      </c>
    </row>
    <row r="443" spans="1:17" x14ac:dyDescent="0.25">
      <c r="A443" t="s">
        <v>21</v>
      </c>
    </row>
    <row r="444" spans="1:17" x14ac:dyDescent="0.25">
      <c r="A444" t="s">
        <v>28</v>
      </c>
    </row>
    <row r="445" spans="1:17" x14ac:dyDescent="0.25">
      <c r="A445" t="s">
        <v>23</v>
      </c>
    </row>
    <row r="446" spans="1:17" x14ac:dyDescent="0.25">
      <c r="A446" t="s">
        <v>15</v>
      </c>
    </row>
    <row r="447" spans="1:17" x14ac:dyDescent="0.25">
      <c r="A447" t="s">
        <v>186</v>
      </c>
    </row>
    <row r="448" spans="1:17" x14ac:dyDescent="0.25">
      <c r="A448" t="s">
        <v>181</v>
      </c>
    </row>
    <row r="449" spans="1:17" x14ac:dyDescent="0.25">
      <c r="A449" t="s">
        <v>94</v>
      </c>
    </row>
    <row r="450" spans="1:17" x14ac:dyDescent="0.25">
      <c r="A450" t="s">
        <v>154</v>
      </c>
    </row>
    <row r="451" spans="1:17" x14ac:dyDescent="0.25">
      <c r="A451" t="s">
        <v>201</v>
      </c>
    </row>
    <row r="452" spans="1:17" x14ac:dyDescent="0.25">
      <c r="A452" t="s">
        <v>159</v>
      </c>
    </row>
    <row r="453" spans="1:17" x14ac:dyDescent="0.25">
      <c r="A453" t="s">
        <v>99</v>
      </c>
    </row>
    <row r="454" spans="1:17" x14ac:dyDescent="0.25">
      <c r="A454" t="s">
        <v>96</v>
      </c>
    </row>
    <row r="455" spans="1:17" x14ac:dyDescent="0.25">
      <c r="A455" t="s">
        <v>33</v>
      </c>
    </row>
    <row r="456" spans="1:17" x14ac:dyDescent="0.25">
      <c r="A456" t="s">
        <v>93</v>
      </c>
    </row>
    <row r="457" spans="1:17" x14ac:dyDescent="0.25">
      <c r="A457" t="s">
        <v>98</v>
      </c>
    </row>
    <row r="458" spans="1:17" x14ac:dyDescent="0.25">
      <c r="A458" t="s">
        <v>184</v>
      </c>
    </row>
    <row r="459" spans="1:17" x14ac:dyDescent="0.25">
      <c r="A459" t="s">
        <v>26</v>
      </c>
    </row>
    <row r="460" spans="1:17" x14ac:dyDescent="0.25">
      <c r="A460" t="s">
        <v>16</v>
      </c>
    </row>
    <row r="462" spans="1:17" x14ac:dyDescent="0.25">
      <c r="A462">
        <v>8</v>
      </c>
      <c r="B462">
        <v>4</v>
      </c>
      <c r="C462">
        <v>1</v>
      </c>
      <c r="D462">
        <v>8.5</v>
      </c>
      <c r="E462">
        <v>230</v>
      </c>
      <c r="F462">
        <v>0.501</v>
      </c>
      <c r="G462">
        <v>49</v>
      </c>
      <c r="H462">
        <v>0.33800000000000002</v>
      </c>
      <c r="I462">
        <v>0.73799999999999999</v>
      </c>
      <c r="J462">
        <v>647</v>
      </c>
      <c r="K462">
        <v>27</v>
      </c>
      <c r="L462">
        <v>162</v>
      </c>
      <c r="M462">
        <v>141</v>
      </c>
      <c r="N462">
        <v>28</v>
      </c>
      <c r="O462">
        <v>31</v>
      </c>
      <c r="P462">
        <v>71</v>
      </c>
      <c r="Q462">
        <v>1.99</v>
      </c>
    </row>
    <row r="463" spans="1:17" x14ac:dyDescent="0.25">
      <c r="A463">
        <v>4</v>
      </c>
      <c r="B463">
        <v>8</v>
      </c>
      <c r="C463">
        <v>1</v>
      </c>
      <c r="D463">
        <v>4.5</v>
      </c>
      <c r="E463">
        <v>151</v>
      </c>
      <c r="F463">
        <v>0.40799999999999997</v>
      </c>
      <c r="G463">
        <v>54</v>
      </c>
      <c r="H463">
        <v>0.375</v>
      </c>
      <c r="I463">
        <v>0.84099999999999997</v>
      </c>
      <c r="J463">
        <v>414</v>
      </c>
      <c r="K463">
        <v>27</v>
      </c>
      <c r="L463">
        <v>94</v>
      </c>
      <c r="M463">
        <v>101</v>
      </c>
      <c r="N463">
        <v>27</v>
      </c>
      <c r="O463">
        <v>20</v>
      </c>
      <c r="P463">
        <v>52</v>
      </c>
      <c r="Q463">
        <v>1.94</v>
      </c>
    </row>
    <row r="464" spans="1:17" x14ac:dyDescent="0.25">
      <c r="A464">
        <v>11</v>
      </c>
      <c r="B464">
        <v>2</v>
      </c>
      <c r="C464">
        <v>0</v>
      </c>
      <c r="D464">
        <v>11</v>
      </c>
      <c r="E464">
        <v>195</v>
      </c>
      <c r="F464">
        <v>0.51900000000000002</v>
      </c>
      <c r="G464">
        <v>55</v>
      </c>
      <c r="H464">
        <v>0.44700000000000001</v>
      </c>
      <c r="I464">
        <v>0.76900000000000002</v>
      </c>
      <c r="J464">
        <v>515</v>
      </c>
      <c r="K464">
        <v>38</v>
      </c>
      <c r="L464">
        <v>135</v>
      </c>
      <c r="M464">
        <v>93</v>
      </c>
      <c r="N464">
        <v>29</v>
      </c>
      <c r="O464">
        <v>28</v>
      </c>
      <c r="P464">
        <v>47</v>
      </c>
      <c r="Q464">
        <v>1.98</v>
      </c>
    </row>
    <row r="465" spans="1:17" x14ac:dyDescent="0.25">
      <c r="A465">
        <v>2</v>
      </c>
      <c r="B465">
        <v>11</v>
      </c>
      <c r="C465">
        <v>0</v>
      </c>
      <c r="D465">
        <v>2</v>
      </c>
      <c r="E465">
        <v>104</v>
      </c>
      <c r="F465">
        <v>0.43</v>
      </c>
      <c r="G465">
        <v>38</v>
      </c>
      <c r="H465">
        <v>0.30599999999999999</v>
      </c>
      <c r="I465">
        <v>0.76</v>
      </c>
      <c r="J465">
        <v>303</v>
      </c>
      <c r="K465">
        <v>21</v>
      </c>
      <c r="L465">
        <v>74</v>
      </c>
      <c r="M465">
        <v>56</v>
      </c>
      <c r="N465">
        <v>14</v>
      </c>
      <c r="O465">
        <v>16</v>
      </c>
      <c r="P465">
        <v>23</v>
      </c>
      <c r="Q465">
        <v>2.4300000000000002</v>
      </c>
    </row>
    <row r="466" spans="1:17" x14ac:dyDescent="0.25">
      <c r="A466">
        <v>12</v>
      </c>
      <c r="B466">
        <v>1</v>
      </c>
      <c r="C466">
        <v>0</v>
      </c>
      <c r="D466">
        <v>12</v>
      </c>
      <c r="E466">
        <v>170</v>
      </c>
      <c r="F466">
        <v>0.49299999999999999</v>
      </c>
      <c r="G466">
        <v>60</v>
      </c>
      <c r="H466">
        <v>0.41399999999999998</v>
      </c>
      <c r="I466">
        <v>0.83699999999999997</v>
      </c>
      <c r="J466">
        <v>472</v>
      </c>
      <c r="K466">
        <v>36</v>
      </c>
      <c r="L466">
        <v>142</v>
      </c>
      <c r="M466">
        <v>120</v>
      </c>
      <c r="N466">
        <v>29</v>
      </c>
      <c r="O466">
        <v>17</v>
      </c>
      <c r="P466">
        <v>50</v>
      </c>
      <c r="Q466">
        <v>2.4</v>
      </c>
    </row>
    <row r="467" spans="1:17" x14ac:dyDescent="0.25">
      <c r="A467">
        <v>1</v>
      </c>
      <c r="B467">
        <v>12</v>
      </c>
      <c r="C467">
        <v>0</v>
      </c>
      <c r="D467">
        <v>1</v>
      </c>
      <c r="E467">
        <v>105</v>
      </c>
      <c r="F467">
        <v>0.46500000000000002</v>
      </c>
      <c r="G467">
        <v>33</v>
      </c>
      <c r="H467">
        <v>0.39300000000000002</v>
      </c>
      <c r="I467">
        <v>0.76900000000000002</v>
      </c>
      <c r="J467">
        <v>283</v>
      </c>
      <c r="K467">
        <v>33</v>
      </c>
      <c r="L467">
        <v>87</v>
      </c>
      <c r="M467">
        <v>75</v>
      </c>
      <c r="N467">
        <v>28</v>
      </c>
      <c r="O467">
        <v>10</v>
      </c>
      <c r="P467">
        <v>40</v>
      </c>
      <c r="Q467">
        <v>1.88</v>
      </c>
    </row>
    <row r="468" spans="1:17" x14ac:dyDescent="0.25">
      <c r="A468">
        <v>11</v>
      </c>
      <c r="B468">
        <v>2</v>
      </c>
      <c r="C468">
        <v>0</v>
      </c>
      <c r="D468">
        <v>11</v>
      </c>
      <c r="E468">
        <v>272</v>
      </c>
      <c r="F468">
        <v>0.50700000000000001</v>
      </c>
      <c r="G468">
        <v>61</v>
      </c>
      <c r="H468">
        <v>0.36499999999999999</v>
      </c>
      <c r="I468">
        <v>0.86299999999999999</v>
      </c>
      <c r="J468">
        <v>731</v>
      </c>
      <c r="K468">
        <v>35</v>
      </c>
      <c r="L468">
        <v>195</v>
      </c>
      <c r="M468">
        <v>193</v>
      </c>
      <c r="N468">
        <v>37</v>
      </c>
      <c r="O468">
        <v>39</v>
      </c>
      <c r="P468">
        <v>84</v>
      </c>
      <c r="Q468">
        <v>2.2999999999999998</v>
      </c>
    </row>
    <row r="469" spans="1:17" x14ac:dyDescent="0.25">
      <c r="A469">
        <v>2</v>
      </c>
      <c r="B469">
        <v>11</v>
      </c>
      <c r="C469">
        <v>0</v>
      </c>
      <c r="D469">
        <v>2</v>
      </c>
      <c r="E469">
        <v>195</v>
      </c>
      <c r="F469">
        <v>0.44900000000000001</v>
      </c>
      <c r="G469">
        <v>57</v>
      </c>
      <c r="H469">
        <v>0.308</v>
      </c>
      <c r="I469">
        <v>0.81299999999999994</v>
      </c>
      <c r="J469">
        <v>577</v>
      </c>
      <c r="K469">
        <v>34</v>
      </c>
      <c r="L469">
        <v>157</v>
      </c>
      <c r="M469">
        <v>134</v>
      </c>
      <c r="N469">
        <v>45</v>
      </c>
      <c r="O469">
        <v>14</v>
      </c>
      <c r="P469">
        <v>65</v>
      </c>
      <c r="Q469">
        <v>2.06</v>
      </c>
    </row>
    <row r="470" spans="1:17" x14ac:dyDescent="0.25">
      <c r="A470">
        <v>8</v>
      </c>
      <c r="B470">
        <v>5</v>
      </c>
      <c r="C470">
        <v>0</v>
      </c>
      <c r="D470">
        <v>8</v>
      </c>
      <c r="E470">
        <v>168</v>
      </c>
      <c r="F470">
        <v>0.51900000000000002</v>
      </c>
      <c r="G470">
        <v>43</v>
      </c>
      <c r="H470">
        <v>0.33900000000000002</v>
      </c>
      <c r="I470">
        <v>0.84399999999999997</v>
      </c>
      <c r="J470">
        <v>433</v>
      </c>
      <c r="K470">
        <v>24</v>
      </c>
      <c r="L470">
        <v>106</v>
      </c>
      <c r="M470">
        <v>133</v>
      </c>
      <c r="N470">
        <v>18</v>
      </c>
      <c r="O470">
        <v>22</v>
      </c>
      <c r="P470">
        <v>55</v>
      </c>
      <c r="Q470">
        <v>2.42</v>
      </c>
    </row>
    <row r="471" spans="1:17" x14ac:dyDescent="0.25">
      <c r="A471">
        <v>5</v>
      </c>
      <c r="B471">
        <v>8</v>
      </c>
      <c r="C471">
        <v>0</v>
      </c>
      <c r="D471">
        <v>5</v>
      </c>
      <c r="E471">
        <v>185</v>
      </c>
      <c r="F471">
        <v>0.432</v>
      </c>
      <c r="G471">
        <v>38</v>
      </c>
      <c r="H471">
        <v>0.26200000000000001</v>
      </c>
      <c r="I471">
        <v>0.81499999999999995</v>
      </c>
      <c r="J471">
        <v>514</v>
      </c>
      <c r="K471">
        <v>34</v>
      </c>
      <c r="L471">
        <v>124</v>
      </c>
      <c r="M471">
        <v>126</v>
      </c>
      <c r="N471">
        <v>34</v>
      </c>
      <c r="O471">
        <v>15</v>
      </c>
      <c r="P471">
        <v>59</v>
      </c>
      <c r="Q471">
        <v>2.14</v>
      </c>
    </row>
    <row r="472" spans="1:17" x14ac:dyDescent="0.25">
      <c r="A472">
        <v>6</v>
      </c>
      <c r="B472">
        <v>7</v>
      </c>
      <c r="C472">
        <v>0</v>
      </c>
      <c r="D472">
        <v>6</v>
      </c>
      <c r="E472">
        <v>153</v>
      </c>
      <c r="F472">
        <v>0.45400000000000001</v>
      </c>
      <c r="G472">
        <v>59</v>
      </c>
      <c r="H472">
        <v>0.36899999999999999</v>
      </c>
      <c r="I472">
        <v>0.55700000000000005</v>
      </c>
      <c r="J472">
        <v>399</v>
      </c>
      <c r="K472">
        <v>69</v>
      </c>
      <c r="L472">
        <v>139</v>
      </c>
      <c r="M472">
        <v>92</v>
      </c>
      <c r="N472">
        <v>30</v>
      </c>
      <c r="O472">
        <v>24</v>
      </c>
      <c r="P472">
        <v>50</v>
      </c>
      <c r="Q472">
        <v>1.84</v>
      </c>
    </row>
    <row r="473" spans="1:17" x14ac:dyDescent="0.25">
      <c r="A473">
        <v>7</v>
      </c>
      <c r="B473">
        <v>6</v>
      </c>
      <c r="C473">
        <v>0</v>
      </c>
      <c r="D473">
        <v>7</v>
      </c>
      <c r="E473">
        <v>159</v>
      </c>
      <c r="F473">
        <v>0.57199999999999995</v>
      </c>
      <c r="G473">
        <v>38</v>
      </c>
      <c r="H473">
        <v>0.41299999999999998</v>
      </c>
      <c r="I473">
        <v>0.79</v>
      </c>
      <c r="J473">
        <v>439</v>
      </c>
      <c r="K473">
        <v>36</v>
      </c>
      <c r="L473">
        <v>99</v>
      </c>
      <c r="M473">
        <v>87</v>
      </c>
      <c r="N473">
        <v>17</v>
      </c>
      <c r="O473">
        <v>5</v>
      </c>
      <c r="P473">
        <v>47</v>
      </c>
      <c r="Q473">
        <v>1.85</v>
      </c>
    </row>
    <row r="474" spans="1:17" x14ac:dyDescent="0.25">
      <c r="A474">
        <v>6</v>
      </c>
      <c r="B474">
        <v>7</v>
      </c>
      <c r="C474">
        <v>0</v>
      </c>
      <c r="D474">
        <v>6</v>
      </c>
      <c r="E474">
        <v>162</v>
      </c>
      <c r="F474">
        <v>0.497</v>
      </c>
      <c r="G474">
        <v>48</v>
      </c>
      <c r="H474">
        <v>0.375</v>
      </c>
      <c r="I474">
        <v>0.79700000000000004</v>
      </c>
      <c r="J474">
        <v>435</v>
      </c>
      <c r="K474">
        <v>46</v>
      </c>
      <c r="L474">
        <v>126</v>
      </c>
      <c r="M474">
        <v>88</v>
      </c>
      <c r="N474">
        <v>23</v>
      </c>
      <c r="O474">
        <v>20</v>
      </c>
      <c r="P474">
        <v>37</v>
      </c>
      <c r="Q474">
        <v>2.38</v>
      </c>
    </row>
    <row r="475" spans="1:17" x14ac:dyDescent="0.25">
      <c r="A475">
        <v>7</v>
      </c>
      <c r="B475">
        <v>6</v>
      </c>
      <c r="C475">
        <v>0</v>
      </c>
      <c r="D475">
        <v>7</v>
      </c>
      <c r="E475">
        <v>174</v>
      </c>
      <c r="F475">
        <v>0.45300000000000001</v>
      </c>
      <c r="G475">
        <v>44</v>
      </c>
      <c r="H475">
        <v>0.32100000000000001</v>
      </c>
      <c r="I475">
        <v>0.83499999999999996</v>
      </c>
      <c r="J475">
        <v>503</v>
      </c>
      <c r="K475">
        <v>49</v>
      </c>
      <c r="L475">
        <v>125</v>
      </c>
      <c r="M475">
        <v>114</v>
      </c>
      <c r="N475">
        <v>35</v>
      </c>
      <c r="O475">
        <v>21</v>
      </c>
      <c r="P475">
        <v>62</v>
      </c>
      <c r="Q475">
        <v>1.84</v>
      </c>
    </row>
    <row r="476" spans="1:17" x14ac:dyDescent="0.25">
      <c r="A476">
        <v>6</v>
      </c>
      <c r="B476">
        <v>7</v>
      </c>
      <c r="C476">
        <v>0</v>
      </c>
      <c r="D476">
        <v>6</v>
      </c>
      <c r="E476">
        <v>187</v>
      </c>
      <c r="F476">
        <v>0.48199999999999998</v>
      </c>
      <c r="G476">
        <v>73</v>
      </c>
      <c r="H476">
        <v>0.38600000000000001</v>
      </c>
      <c r="I476">
        <v>0.89700000000000002</v>
      </c>
      <c r="J476">
        <v>525</v>
      </c>
      <c r="K476">
        <v>13</v>
      </c>
      <c r="L476">
        <v>129</v>
      </c>
      <c r="M476">
        <v>116</v>
      </c>
      <c r="N476">
        <v>30</v>
      </c>
      <c r="O476">
        <v>22</v>
      </c>
      <c r="P476">
        <v>66</v>
      </c>
      <c r="Q476">
        <v>1.76</v>
      </c>
    </row>
    <row r="477" spans="1:17" x14ac:dyDescent="0.25">
      <c r="A477">
        <v>7</v>
      </c>
      <c r="B477">
        <v>6</v>
      </c>
      <c r="C477">
        <v>0</v>
      </c>
      <c r="D477">
        <v>7</v>
      </c>
      <c r="E477">
        <v>216</v>
      </c>
      <c r="F477">
        <v>0.47699999999999998</v>
      </c>
      <c r="G477">
        <v>80</v>
      </c>
      <c r="H477">
        <v>0.40400000000000003</v>
      </c>
      <c r="I477">
        <v>0.83199999999999996</v>
      </c>
      <c r="J477">
        <v>636</v>
      </c>
      <c r="K477">
        <v>48</v>
      </c>
      <c r="L477">
        <v>114</v>
      </c>
      <c r="M477">
        <v>123</v>
      </c>
      <c r="N477">
        <v>36</v>
      </c>
      <c r="O477">
        <v>18</v>
      </c>
      <c r="P477">
        <v>75</v>
      </c>
      <c r="Q477">
        <v>1.64</v>
      </c>
    </row>
    <row r="478" spans="1:17" x14ac:dyDescent="0.25">
      <c r="A478">
        <v>11</v>
      </c>
      <c r="B478">
        <v>2</v>
      </c>
      <c r="C478">
        <v>0</v>
      </c>
      <c r="D478">
        <v>11</v>
      </c>
      <c r="E478">
        <v>118</v>
      </c>
      <c r="F478">
        <v>0.47399999999999998</v>
      </c>
      <c r="G478">
        <v>49</v>
      </c>
      <c r="H478">
        <v>0.38900000000000001</v>
      </c>
      <c r="I478">
        <v>0.75</v>
      </c>
      <c r="J478">
        <v>318</v>
      </c>
      <c r="K478">
        <v>23</v>
      </c>
      <c r="L478">
        <v>100</v>
      </c>
      <c r="M478">
        <v>83</v>
      </c>
      <c r="N478">
        <v>33</v>
      </c>
      <c r="O478">
        <v>10</v>
      </c>
      <c r="P478">
        <v>28</v>
      </c>
      <c r="Q478">
        <v>2.96</v>
      </c>
    </row>
    <row r="479" spans="1:17" x14ac:dyDescent="0.25">
      <c r="A479">
        <v>2</v>
      </c>
      <c r="B479">
        <v>11</v>
      </c>
      <c r="C479">
        <v>0</v>
      </c>
      <c r="D479">
        <v>2</v>
      </c>
      <c r="E479">
        <v>92</v>
      </c>
      <c r="F479">
        <v>0.47199999999999998</v>
      </c>
      <c r="G479">
        <v>33</v>
      </c>
      <c r="H479">
        <v>0.38400000000000001</v>
      </c>
      <c r="I479">
        <v>0.82099999999999995</v>
      </c>
      <c r="J479">
        <v>249</v>
      </c>
      <c r="K479">
        <v>20</v>
      </c>
      <c r="L479">
        <v>61</v>
      </c>
      <c r="M479">
        <v>64</v>
      </c>
      <c r="N479">
        <v>23</v>
      </c>
      <c r="O479">
        <v>6</v>
      </c>
      <c r="P479">
        <v>27</v>
      </c>
      <c r="Q479">
        <v>2.37</v>
      </c>
    </row>
    <row r="480" spans="1:17" x14ac:dyDescent="0.25">
      <c r="A480">
        <v>4</v>
      </c>
      <c r="B480">
        <v>9</v>
      </c>
      <c r="C480">
        <v>0</v>
      </c>
      <c r="D480">
        <v>4</v>
      </c>
      <c r="E480">
        <v>201</v>
      </c>
      <c r="F480">
        <v>0.52500000000000002</v>
      </c>
      <c r="G480">
        <v>55</v>
      </c>
      <c r="H480">
        <v>0.36899999999999999</v>
      </c>
      <c r="I480">
        <v>0.78700000000000003</v>
      </c>
      <c r="J480">
        <v>527</v>
      </c>
      <c r="K480">
        <v>47</v>
      </c>
      <c r="L480">
        <v>146</v>
      </c>
      <c r="M480">
        <v>110</v>
      </c>
      <c r="N480">
        <v>33</v>
      </c>
      <c r="O480">
        <v>22</v>
      </c>
      <c r="P480">
        <v>41</v>
      </c>
      <c r="Q480">
        <v>2.68</v>
      </c>
    </row>
    <row r="481" spans="1:17" x14ac:dyDescent="0.25">
      <c r="A481">
        <v>9</v>
      </c>
      <c r="B481">
        <v>4</v>
      </c>
      <c r="C481">
        <v>0</v>
      </c>
      <c r="D481">
        <v>9</v>
      </c>
      <c r="E481">
        <v>221</v>
      </c>
      <c r="F481">
        <v>0.49</v>
      </c>
      <c r="G481">
        <v>53</v>
      </c>
      <c r="H481">
        <v>0.32300000000000001</v>
      </c>
      <c r="I481">
        <v>0.80200000000000005</v>
      </c>
      <c r="J481">
        <v>584</v>
      </c>
      <c r="K481">
        <v>53</v>
      </c>
      <c r="L481">
        <v>182</v>
      </c>
      <c r="M481">
        <v>176</v>
      </c>
      <c r="N481">
        <v>34</v>
      </c>
      <c r="O481">
        <v>39</v>
      </c>
      <c r="P481">
        <v>59</v>
      </c>
      <c r="Q481">
        <v>2.98</v>
      </c>
    </row>
    <row r="482" spans="1:17" x14ac:dyDescent="0.25">
      <c r="A482" t="s">
        <v>169</v>
      </c>
    </row>
    <row r="483" spans="1:17" x14ac:dyDescent="0.25">
      <c r="A483" t="s">
        <v>216</v>
      </c>
    </row>
    <row r="484" spans="1:17" x14ac:dyDescent="0.25">
      <c r="A484" t="s">
        <v>176</v>
      </c>
    </row>
    <row r="485" spans="1:17" x14ac:dyDescent="0.25">
      <c r="A485" t="s">
        <v>28</v>
      </c>
    </row>
    <row r="486" spans="1:17" x14ac:dyDescent="0.25">
      <c r="A486" t="s">
        <v>158</v>
      </c>
    </row>
    <row r="487" spans="1:17" x14ac:dyDescent="0.25">
      <c r="A487" t="s">
        <v>15</v>
      </c>
    </row>
    <row r="488" spans="1:17" x14ac:dyDescent="0.25">
      <c r="A488" t="s">
        <v>185</v>
      </c>
    </row>
    <row r="489" spans="1:17" x14ac:dyDescent="0.25">
      <c r="A489" t="s">
        <v>181</v>
      </c>
    </row>
    <row r="490" spans="1:17" x14ac:dyDescent="0.25">
      <c r="A490" t="s">
        <v>21</v>
      </c>
    </row>
    <row r="491" spans="1:17" x14ac:dyDescent="0.25">
      <c r="A491" t="s">
        <v>154</v>
      </c>
    </row>
    <row r="492" spans="1:17" x14ac:dyDescent="0.25">
      <c r="A492" t="s">
        <v>23</v>
      </c>
    </row>
    <row r="493" spans="1:17" x14ac:dyDescent="0.25">
      <c r="A493" t="s">
        <v>159</v>
      </c>
    </row>
    <row r="494" spans="1:17" x14ac:dyDescent="0.25">
      <c r="A494" t="s">
        <v>186</v>
      </c>
    </row>
    <row r="495" spans="1:17" x14ac:dyDescent="0.25">
      <c r="A495" t="s">
        <v>96</v>
      </c>
    </row>
    <row r="496" spans="1:17" x14ac:dyDescent="0.25">
      <c r="A496" t="s">
        <v>94</v>
      </c>
    </row>
    <row r="497" spans="1:17" x14ac:dyDescent="0.25">
      <c r="A497" t="s">
        <v>93</v>
      </c>
    </row>
    <row r="498" spans="1:17" x14ac:dyDescent="0.25">
      <c r="A498" t="s">
        <v>201</v>
      </c>
    </row>
    <row r="499" spans="1:17" x14ac:dyDescent="0.25">
      <c r="A499" t="s">
        <v>184</v>
      </c>
    </row>
    <row r="500" spans="1:17" x14ac:dyDescent="0.25">
      <c r="A500" t="s">
        <v>99</v>
      </c>
    </row>
    <row r="501" spans="1:17" x14ac:dyDescent="0.25">
      <c r="A501" t="s">
        <v>16</v>
      </c>
    </row>
    <row r="502" spans="1:17" x14ac:dyDescent="0.25">
      <c r="A502" t="s">
        <v>33</v>
      </c>
    </row>
    <row r="503" spans="1:17" x14ac:dyDescent="0.25">
      <c r="A503" t="s">
        <v>26</v>
      </c>
    </row>
    <row r="504" spans="1:17" x14ac:dyDescent="0.25">
      <c r="A504" t="s">
        <v>98</v>
      </c>
    </row>
    <row r="506" spans="1:17" x14ac:dyDescent="0.25">
      <c r="A506">
        <v>5</v>
      </c>
      <c r="B506">
        <v>8</v>
      </c>
      <c r="C506">
        <v>0</v>
      </c>
      <c r="D506">
        <v>5</v>
      </c>
      <c r="E506">
        <v>163</v>
      </c>
      <c r="F506">
        <v>0.42099999999999999</v>
      </c>
      <c r="G506">
        <v>70</v>
      </c>
      <c r="H506">
        <v>0.38</v>
      </c>
      <c r="I506">
        <v>0.65300000000000002</v>
      </c>
      <c r="J506">
        <v>445</v>
      </c>
      <c r="K506">
        <v>32</v>
      </c>
      <c r="L506">
        <v>105</v>
      </c>
      <c r="M506">
        <v>93</v>
      </c>
      <c r="N506">
        <v>30</v>
      </c>
      <c r="O506">
        <v>26</v>
      </c>
      <c r="P506">
        <v>41</v>
      </c>
      <c r="Q506">
        <v>2.27</v>
      </c>
    </row>
    <row r="507" spans="1:17" x14ac:dyDescent="0.25">
      <c r="A507">
        <v>8</v>
      </c>
      <c r="B507">
        <v>5</v>
      </c>
      <c r="C507">
        <v>0</v>
      </c>
      <c r="D507">
        <v>8</v>
      </c>
      <c r="E507">
        <v>229</v>
      </c>
      <c r="F507">
        <v>0.46</v>
      </c>
      <c r="G507">
        <v>53</v>
      </c>
      <c r="H507">
        <v>0.312</v>
      </c>
      <c r="I507">
        <v>0.77800000000000002</v>
      </c>
      <c r="J507">
        <v>634</v>
      </c>
      <c r="K507">
        <v>52</v>
      </c>
      <c r="L507">
        <v>174</v>
      </c>
      <c r="M507">
        <v>131</v>
      </c>
      <c r="N507">
        <v>33</v>
      </c>
      <c r="O507">
        <v>20</v>
      </c>
      <c r="P507">
        <v>98</v>
      </c>
      <c r="Q507">
        <v>1.34</v>
      </c>
    </row>
    <row r="508" spans="1:17" x14ac:dyDescent="0.25">
      <c r="A508">
        <v>6</v>
      </c>
      <c r="B508">
        <v>6</v>
      </c>
      <c r="C508">
        <v>1</v>
      </c>
      <c r="D508">
        <v>6.5</v>
      </c>
      <c r="E508">
        <v>138</v>
      </c>
      <c r="F508">
        <v>0.46</v>
      </c>
      <c r="G508">
        <v>53</v>
      </c>
      <c r="H508">
        <v>0.376</v>
      </c>
      <c r="I508">
        <v>0.83299999999999996</v>
      </c>
      <c r="J508">
        <v>379</v>
      </c>
      <c r="K508">
        <v>31</v>
      </c>
      <c r="L508">
        <v>105</v>
      </c>
      <c r="M508">
        <v>101</v>
      </c>
      <c r="N508">
        <v>24</v>
      </c>
      <c r="O508">
        <v>12</v>
      </c>
      <c r="P508">
        <v>51</v>
      </c>
      <c r="Q508">
        <v>1.98</v>
      </c>
    </row>
    <row r="509" spans="1:17" x14ac:dyDescent="0.25">
      <c r="A509">
        <v>6</v>
      </c>
      <c r="B509">
        <v>6</v>
      </c>
      <c r="C509">
        <v>1</v>
      </c>
      <c r="D509">
        <v>6.5</v>
      </c>
      <c r="E509">
        <v>150</v>
      </c>
      <c r="F509">
        <v>0.44400000000000001</v>
      </c>
      <c r="G509">
        <v>60</v>
      </c>
      <c r="H509">
        <v>0.41399999999999998</v>
      </c>
      <c r="I509">
        <v>0.78800000000000003</v>
      </c>
      <c r="J509">
        <v>412</v>
      </c>
      <c r="K509">
        <v>31</v>
      </c>
      <c r="L509">
        <v>89</v>
      </c>
      <c r="M509">
        <v>89</v>
      </c>
      <c r="N509">
        <v>30</v>
      </c>
      <c r="O509">
        <v>18</v>
      </c>
      <c r="P509">
        <v>65</v>
      </c>
      <c r="Q509">
        <v>1.37</v>
      </c>
    </row>
    <row r="510" spans="1:17" x14ac:dyDescent="0.25">
      <c r="A510">
        <v>9</v>
      </c>
      <c r="B510">
        <v>4</v>
      </c>
      <c r="C510">
        <v>0</v>
      </c>
      <c r="D510">
        <v>9</v>
      </c>
      <c r="E510">
        <v>186</v>
      </c>
      <c r="F510">
        <v>0.45100000000000001</v>
      </c>
      <c r="G510">
        <v>54</v>
      </c>
      <c r="H510">
        <v>0.36499999999999999</v>
      </c>
      <c r="I510">
        <v>0.83199999999999996</v>
      </c>
      <c r="J510">
        <v>525</v>
      </c>
      <c r="K510">
        <v>53</v>
      </c>
      <c r="L510">
        <v>146</v>
      </c>
      <c r="M510">
        <v>132</v>
      </c>
      <c r="N510">
        <v>44</v>
      </c>
      <c r="O510">
        <v>16</v>
      </c>
      <c r="P510">
        <v>55</v>
      </c>
      <c r="Q510">
        <v>2.4</v>
      </c>
    </row>
    <row r="511" spans="1:17" x14ac:dyDescent="0.25">
      <c r="A511">
        <v>4</v>
      </c>
      <c r="B511">
        <v>9</v>
      </c>
      <c r="C511">
        <v>0</v>
      </c>
      <c r="D511">
        <v>4</v>
      </c>
      <c r="E511">
        <v>171</v>
      </c>
      <c r="F511">
        <v>0.51</v>
      </c>
      <c r="G511">
        <v>37</v>
      </c>
      <c r="H511">
        <v>0.36599999999999999</v>
      </c>
      <c r="I511">
        <v>0.66700000000000004</v>
      </c>
      <c r="J511">
        <v>427</v>
      </c>
      <c r="K511">
        <v>43</v>
      </c>
      <c r="L511">
        <v>150</v>
      </c>
      <c r="M511">
        <v>120</v>
      </c>
      <c r="N511">
        <v>34</v>
      </c>
      <c r="O511">
        <v>21</v>
      </c>
      <c r="P511">
        <v>56</v>
      </c>
      <c r="Q511">
        <v>2.14</v>
      </c>
    </row>
    <row r="512" spans="1:17" x14ac:dyDescent="0.25">
      <c r="A512">
        <v>9</v>
      </c>
      <c r="B512">
        <v>3</v>
      </c>
      <c r="C512">
        <v>1</v>
      </c>
      <c r="D512">
        <v>9.5</v>
      </c>
      <c r="E512">
        <v>216</v>
      </c>
      <c r="F512">
        <v>0.45</v>
      </c>
      <c r="G512">
        <v>46</v>
      </c>
      <c r="H512">
        <v>0.34100000000000003</v>
      </c>
      <c r="I512">
        <v>0.70199999999999996</v>
      </c>
      <c r="J512">
        <v>577</v>
      </c>
      <c r="K512">
        <v>59</v>
      </c>
      <c r="L512">
        <v>164</v>
      </c>
      <c r="M512">
        <v>115</v>
      </c>
      <c r="N512">
        <v>34</v>
      </c>
      <c r="O512">
        <v>25</v>
      </c>
      <c r="P512">
        <v>91</v>
      </c>
      <c r="Q512">
        <v>1.26</v>
      </c>
    </row>
    <row r="513" spans="1:17" x14ac:dyDescent="0.25">
      <c r="A513">
        <v>3</v>
      </c>
      <c r="B513">
        <v>9</v>
      </c>
      <c r="C513">
        <v>1</v>
      </c>
      <c r="D513">
        <v>3.5</v>
      </c>
      <c r="E513">
        <v>162</v>
      </c>
      <c r="F513">
        <v>0.45</v>
      </c>
      <c r="G513">
        <v>42</v>
      </c>
      <c r="H513">
        <v>0.28999999999999998</v>
      </c>
      <c r="I513">
        <v>0.84499999999999997</v>
      </c>
      <c r="J513">
        <v>437</v>
      </c>
      <c r="K513">
        <v>52</v>
      </c>
      <c r="L513">
        <v>150</v>
      </c>
      <c r="M513">
        <v>113</v>
      </c>
      <c r="N513">
        <v>32</v>
      </c>
      <c r="O513">
        <v>22</v>
      </c>
      <c r="P513">
        <v>50</v>
      </c>
      <c r="Q513">
        <v>2.2599999999999998</v>
      </c>
    </row>
    <row r="514" spans="1:17" x14ac:dyDescent="0.25">
      <c r="A514">
        <v>4</v>
      </c>
      <c r="B514">
        <v>9</v>
      </c>
      <c r="C514">
        <v>0</v>
      </c>
      <c r="D514">
        <v>4</v>
      </c>
      <c r="E514">
        <v>177</v>
      </c>
      <c r="F514">
        <v>0.50900000000000001</v>
      </c>
      <c r="G514">
        <v>48</v>
      </c>
      <c r="H514">
        <v>0.34300000000000003</v>
      </c>
      <c r="I514">
        <v>0.73899999999999999</v>
      </c>
      <c r="J514">
        <v>467</v>
      </c>
      <c r="K514">
        <v>35</v>
      </c>
      <c r="L514">
        <v>102</v>
      </c>
      <c r="M514">
        <v>108</v>
      </c>
      <c r="N514">
        <v>30</v>
      </c>
      <c r="O514">
        <v>14</v>
      </c>
      <c r="P514">
        <v>44</v>
      </c>
      <c r="Q514">
        <v>2.4500000000000002</v>
      </c>
    </row>
    <row r="515" spans="1:17" x14ac:dyDescent="0.25">
      <c r="A515">
        <v>9</v>
      </c>
      <c r="B515">
        <v>4</v>
      </c>
      <c r="C515">
        <v>0</v>
      </c>
      <c r="D515">
        <v>9</v>
      </c>
      <c r="E515">
        <v>223</v>
      </c>
      <c r="F515">
        <v>0.49399999999999999</v>
      </c>
      <c r="G515">
        <v>51</v>
      </c>
      <c r="H515">
        <v>0.35199999999999998</v>
      </c>
      <c r="I515">
        <v>0.73799999999999999</v>
      </c>
      <c r="J515">
        <v>587</v>
      </c>
      <c r="K515">
        <v>46</v>
      </c>
      <c r="L515">
        <v>138</v>
      </c>
      <c r="M515">
        <v>149</v>
      </c>
      <c r="N515">
        <v>35</v>
      </c>
      <c r="O515">
        <v>26</v>
      </c>
      <c r="P515">
        <v>73</v>
      </c>
      <c r="Q515">
        <v>2.04</v>
      </c>
    </row>
    <row r="516" spans="1:17" x14ac:dyDescent="0.25">
      <c r="A516">
        <v>3</v>
      </c>
      <c r="B516">
        <v>9</v>
      </c>
      <c r="C516">
        <v>1</v>
      </c>
      <c r="D516">
        <v>3.5</v>
      </c>
      <c r="E516">
        <v>158</v>
      </c>
      <c r="F516">
        <v>0.46100000000000002</v>
      </c>
      <c r="G516">
        <v>58</v>
      </c>
      <c r="H516">
        <v>0.44600000000000001</v>
      </c>
      <c r="I516">
        <v>0.82</v>
      </c>
      <c r="J516">
        <v>456</v>
      </c>
      <c r="K516">
        <v>30</v>
      </c>
      <c r="L516">
        <v>115</v>
      </c>
      <c r="M516">
        <v>107</v>
      </c>
      <c r="N516">
        <v>30</v>
      </c>
      <c r="O516">
        <v>14</v>
      </c>
      <c r="P516">
        <v>76</v>
      </c>
      <c r="Q516">
        <v>1.41</v>
      </c>
    </row>
    <row r="517" spans="1:17" x14ac:dyDescent="0.25">
      <c r="A517">
        <v>9</v>
      </c>
      <c r="B517">
        <v>3</v>
      </c>
      <c r="C517">
        <v>1</v>
      </c>
      <c r="D517">
        <v>9.5</v>
      </c>
      <c r="E517">
        <v>202</v>
      </c>
      <c r="F517">
        <v>0.45700000000000002</v>
      </c>
      <c r="G517">
        <v>57</v>
      </c>
      <c r="H517">
        <v>0.308</v>
      </c>
      <c r="I517">
        <v>0.90300000000000002</v>
      </c>
      <c r="J517">
        <v>545</v>
      </c>
      <c r="K517">
        <v>53</v>
      </c>
      <c r="L517">
        <v>137</v>
      </c>
      <c r="M517">
        <v>132</v>
      </c>
      <c r="N517">
        <v>30</v>
      </c>
      <c r="O517">
        <v>27</v>
      </c>
      <c r="P517">
        <v>64</v>
      </c>
      <c r="Q517">
        <v>2.06</v>
      </c>
    </row>
    <row r="518" spans="1:17" x14ac:dyDescent="0.25">
      <c r="A518">
        <v>7</v>
      </c>
      <c r="B518">
        <v>6</v>
      </c>
      <c r="C518">
        <v>0</v>
      </c>
      <c r="D518">
        <v>7</v>
      </c>
      <c r="E518">
        <v>161</v>
      </c>
      <c r="F518">
        <v>0.44700000000000001</v>
      </c>
      <c r="G518">
        <v>52</v>
      </c>
      <c r="H518">
        <v>0.33100000000000002</v>
      </c>
      <c r="I518">
        <v>0.77800000000000002</v>
      </c>
      <c r="J518">
        <v>444</v>
      </c>
      <c r="K518">
        <v>42</v>
      </c>
      <c r="L518">
        <v>126</v>
      </c>
      <c r="M518">
        <v>108</v>
      </c>
      <c r="N518">
        <v>28</v>
      </c>
      <c r="O518">
        <v>11</v>
      </c>
      <c r="P518">
        <v>54</v>
      </c>
      <c r="Q518">
        <v>2</v>
      </c>
    </row>
    <row r="519" spans="1:17" x14ac:dyDescent="0.25">
      <c r="A519">
        <v>6</v>
      </c>
      <c r="B519">
        <v>7</v>
      </c>
      <c r="C519">
        <v>0</v>
      </c>
      <c r="D519">
        <v>6</v>
      </c>
      <c r="E519">
        <v>137</v>
      </c>
      <c r="F519">
        <v>0.502</v>
      </c>
      <c r="G519">
        <v>41</v>
      </c>
      <c r="H519">
        <v>0.318</v>
      </c>
      <c r="I519">
        <v>0.879</v>
      </c>
      <c r="J519">
        <v>366</v>
      </c>
      <c r="K519">
        <v>64</v>
      </c>
      <c r="L519">
        <v>132</v>
      </c>
      <c r="M519">
        <v>90</v>
      </c>
      <c r="N519">
        <v>32</v>
      </c>
      <c r="O519">
        <v>22</v>
      </c>
      <c r="P519">
        <v>59</v>
      </c>
      <c r="Q519">
        <v>1.53</v>
      </c>
    </row>
    <row r="520" spans="1:17" x14ac:dyDescent="0.25">
      <c r="A520">
        <v>6</v>
      </c>
      <c r="B520">
        <v>6</v>
      </c>
      <c r="C520">
        <v>1</v>
      </c>
      <c r="D520">
        <v>6.5</v>
      </c>
      <c r="E520">
        <v>84</v>
      </c>
      <c r="F520">
        <v>0.44700000000000001</v>
      </c>
      <c r="G520">
        <v>35</v>
      </c>
      <c r="H520">
        <v>0.36799999999999999</v>
      </c>
      <c r="I520">
        <v>0.86399999999999999</v>
      </c>
      <c r="J520">
        <v>222</v>
      </c>
      <c r="K520">
        <v>20</v>
      </c>
      <c r="L520">
        <v>77</v>
      </c>
      <c r="M520">
        <v>59</v>
      </c>
      <c r="N520">
        <v>22</v>
      </c>
      <c r="O520">
        <v>10</v>
      </c>
      <c r="P520">
        <v>31</v>
      </c>
      <c r="Q520">
        <v>1.9</v>
      </c>
    </row>
    <row r="521" spans="1:17" x14ac:dyDescent="0.25">
      <c r="A521">
        <v>6</v>
      </c>
      <c r="B521">
        <v>6</v>
      </c>
      <c r="C521">
        <v>1</v>
      </c>
      <c r="D521">
        <v>6.5</v>
      </c>
      <c r="E521">
        <v>122</v>
      </c>
      <c r="F521">
        <v>0.46899999999999997</v>
      </c>
      <c r="G521">
        <v>32</v>
      </c>
      <c r="H521">
        <v>0.34399999999999997</v>
      </c>
      <c r="I521">
        <v>0.745</v>
      </c>
      <c r="J521">
        <v>314</v>
      </c>
      <c r="K521">
        <v>30</v>
      </c>
      <c r="L521">
        <v>113</v>
      </c>
      <c r="M521">
        <v>68</v>
      </c>
      <c r="N521">
        <v>17</v>
      </c>
      <c r="O521">
        <v>10</v>
      </c>
      <c r="P521">
        <v>41</v>
      </c>
      <c r="Q521">
        <v>1.66</v>
      </c>
    </row>
    <row r="522" spans="1:17" x14ac:dyDescent="0.25">
      <c r="A522">
        <v>6</v>
      </c>
      <c r="B522">
        <v>6</v>
      </c>
      <c r="C522">
        <v>1</v>
      </c>
      <c r="D522">
        <v>6.5</v>
      </c>
      <c r="E522">
        <v>216</v>
      </c>
      <c r="F522">
        <v>0.52900000000000003</v>
      </c>
      <c r="G522">
        <v>56</v>
      </c>
      <c r="H522">
        <v>0.40899999999999997</v>
      </c>
      <c r="I522">
        <v>0.76800000000000002</v>
      </c>
      <c r="J522">
        <v>551</v>
      </c>
      <c r="K522">
        <v>65</v>
      </c>
      <c r="L522">
        <v>145</v>
      </c>
      <c r="M522">
        <v>135</v>
      </c>
      <c r="N522">
        <v>36</v>
      </c>
      <c r="O522">
        <v>19</v>
      </c>
      <c r="P522">
        <v>68</v>
      </c>
      <c r="Q522">
        <v>1.99</v>
      </c>
    </row>
    <row r="523" spans="1:17" x14ac:dyDescent="0.25">
      <c r="A523">
        <v>6</v>
      </c>
      <c r="B523">
        <v>6</v>
      </c>
      <c r="C523">
        <v>1</v>
      </c>
      <c r="D523">
        <v>6.5</v>
      </c>
      <c r="E523">
        <v>217</v>
      </c>
      <c r="F523">
        <v>0.441</v>
      </c>
      <c r="G523">
        <v>62</v>
      </c>
      <c r="H523">
        <v>0.29799999999999999</v>
      </c>
      <c r="I523">
        <v>0.85199999999999998</v>
      </c>
      <c r="J523">
        <v>594</v>
      </c>
      <c r="K523">
        <v>20</v>
      </c>
      <c r="L523">
        <v>142</v>
      </c>
      <c r="M523">
        <v>130</v>
      </c>
      <c r="N523">
        <v>36</v>
      </c>
      <c r="O523">
        <v>18</v>
      </c>
      <c r="P523">
        <v>47</v>
      </c>
      <c r="Q523">
        <v>2.77</v>
      </c>
    </row>
    <row r="524" spans="1:17" x14ac:dyDescent="0.25">
      <c r="A524">
        <v>10</v>
      </c>
      <c r="B524">
        <v>3</v>
      </c>
      <c r="C524">
        <v>0</v>
      </c>
      <c r="D524">
        <v>10</v>
      </c>
      <c r="E524">
        <v>196</v>
      </c>
      <c r="F524">
        <v>0.51300000000000001</v>
      </c>
      <c r="G524">
        <v>53</v>
      </c>
      <c r="H524">
        <v>0.42099999999999999</v>
      </c>
      <c r="I524">
        <v>0.72299999999999998</v>
      </c>
      <c r="J524">
        <v>518</v>
      </c>
      <c r="K524">
        <v>68</v>
      </c>
      <c r="L524">
        <v>171</v>
      </c>
      <c r="M524">
        <v>121</v>
      </c>
      <c r="N524">
        <v>32</v>
      </c>
      <c r="O524">
        <v>25</v>
      </c>
      <c r="P524">
        <v>56</v>
      </c>
      <c r="Q524">
        <v>2.16</v>
      </c>
    </row>
    <row r="525" spans="1:17" x14ac:dyDescent="0.25">
      <c r="A525">
        <v>3</v>
      </c>
      <c r="B525">
        <v>10</v>
      </c>
      <c r="C525">
        <v>0</v>
      </c>
      <c r="D525">
        <v>3</v>
      </c>
      <c r="E525">
        <v>117</v>
      </c>
      <c r="F525">
        <v>0.44800000000000001</v>
      </c>
      <c r="G525">
        <v>43</v>
      </c>
      <c r="H525">
        <v>0.314</v>
      </c>
      <c r="I525">
        <v>0.78</v>
      </c>
      <c r="J525">
        <v>309</v>
      </c>
      <c r="K525">
        <v>19</v>
      </c>
      <c r="L525">
        <v>74</v>
      </c>
      <c r="M525">
        <v>60</v>
      </c>
      <c r="N525">
        <v>28</v>
      </c>
      <c r="O525">
        <v>19</v>
      </c>
      <c r="P525">
        <v>24</v>
      </c>
      <c r="Q525">
        <v>2.5</v>
      </c>
    </row>
    <row r="526" spans="1:17" x14ac:dyDescent="0.25">
      <c r="A526" t="s">
        <v>170</v>
      </c>
    </row>
    <row r="527" spans="1:17" x14ac:dyDescent="0.25">
      <c r="A527" t="s">
        <v>217</v>
      </c>
    </row>
    <row r="528" spans="1:17" x14ac:dyDescent="0.25">
      <c r="A528" t="s">
        <v>176</v>
      </c>
    </row>
    <row r="529" spans="1:1" x14ac:dyDescent="0.25">
      <c r="A529" t="s">
        <v>158</v>
      </c>
    </row>
    <row r="530" spans="1:1" x14ac:dyDescent="0.25">
      <c r="A530" t="s">
        <v>15</v>
      </c>
    </row>
    <row r="531" spans="1:1" x14ac:dyDescent="0.25">
      <c r="A531" t="s">
        <v>28</v>
      </c>
    </row>
    <row r="532" spans="1:1" x14ac:dyDescent="0.25">
      <c r="A532" t="s">
        <v>181</v>
      </c>
    </row>
    <row r="533" spans="1:1" x14ac:dyDescent="0.25">
      <c r="A533" t="s">
        <v>185</v>
      </c>
    </row>
    <row r="534" spans="1:1" x14ac:dyDescent="0.25">
      <c r="A534" t="s">
        <v>154</v>
      </c>
    </row>
    <row r="535" spans="1:1" x14ac:dyDescent="0.25">
      <c r="A535" t="s">
        <v>21</v>
      </c>
    </row>
    <row r="536" spans="1:1" x14ac:dyDescent="0.25">
      <c r="A536" t="s">
        <v>159</v>
      </c>
    </row>
    <row r="537" spans="1:1" x14ac:dyDescent="0.25">
      <c r="A537" t="s">
        <v>23</v>
      </c>
    </row>
    <row r="538" spans="1:1" x14ac:dyDescent="0.25">
      <c r="A538" t="s">
        <v>96</v>
      </c>
    </row>
    <row r="539" spans="1:1" x14ac:dyDescent="0.25">
      <c r="A539" t="s">
        <v>186</v>
      </c>
    </row>
    <row r="540" spans="1:1" x14ac:dyDescent="0.25">
      <c r="A540" t="s">
        <v>93</v>
      </c>
    </row>
    <row r="541" spans="1:1" x14ac:dyDescent="0.25">
      <c r="A541" t="s">
        <v>94</v>
      </c>
    </row>
    <row r="542" spans="1:1" x14ac:dyDescent="0.25">
      <c r="A542" t="s">
        <v>184</v>
      </c>
    </row>
    <row r="543" spans="1:1" x14ac:dyDescent="0.25">
      <c r="A543" t="s">
        <v>201</v>
      </c>
    </row>
    <row r="544" spans="1:1" x14ac:dyDescent="0.25">
      <c r="A544" t="s">
        <v>16</v>
      </c>
    </row>
    <row r="545" spans="1:17" x14ac:dyDescent="0.25">
      <c r="A545" t="s">
        <v>99</v>
      </c>
    </row>
    <row r="546" spans="1:17" x14ac:dyDescent="0.25">
      <c r="A546" t="s">
        <v>26</v>
      </c>
    </row>
    <row r="547" spans="1:17" x14ac:dyDescent="0.25">
      <c r="A547" t="s">
        <v>33</v>
      </c>
    </row>
    <row r="548" spans="1:17" x14ac:dyDescent="0.25">
      <c r="A548" t="s">
        <v>98</v>
      </c>
    </row>
    <row r="550" spans="1:17" x14ac:dyDescent="0.25">
      <c r="A550">
        <v>9</v>
      </c>
      <c r="B550">
        <v>4</v>
      </c>
      <c r="C550">
        <v>0</v>
      </c>
      <c r="D550">
        <v>9</v>
      </c>
      <c r="E550">
        <v>211</v>
      </c>
      <c r="F550">
        <v>0.52200000000000002</v>
      </c>
      <c r="G550">
        <v>45</v>
      </c>
      <c r="H550">
        <v>0.40200000000000002</v>
      </c>
      <c r="I550">
        <v>0.73099999999999998</v>
      </c>
      <c r="J550">
        <v>546</v>
      </c>
      <c r="K550">
        <v>35</v>
      </c>
      <c r="L550">
        <v>125</v>
      </c>
      <c r="M550">
        <v>144</v>
      </c>
      <c r="N550">
        <v>30</v>
      </c>
      <c r="O550">
        <v>16</v>
      </c>
      <c r="P550">
        <v>73</v>
      </c>
      <c r="Q550">
        <v>1.97</v>
      </c>
    </row>
    <row r="551" spans="1:17" x14ac:dyDescent="0.25">
      <c r="A551">
        <v>4</v>
      </c>
      <c r="B551">
        <v>9</v>
      </c>
      <c r="C551">
        <v>0</v>
      </c>
      <c r="D551">
        <v>4</v>
      </c>
      <c r="E551">
        <v>117</v>
      </c>
      <c r="F551">
        <v>0.44</v>
      </c>
      <c r="G551">
        <v>42</v>
      </c>
      <c r="H551">
        <v>0.35</v>
      </c>
      <c r="I551">
        <v>0.86699999999999999</v>
      </c>
      <c r="J551">
        <v>341</v>
      </c>
      <c r="K551">
        <v>32</v>
      </c>
      <c r="L551">
        <v>53</v>
      </c>
      <c r="M551">
        <v>94</v>
      </c>
      <c r="N551">
        <v>33</v>
      </c>
      <c r="O551">
        <v>12</v>
      </c>
      <c r="P551">
        <v>45</v>
      </c>
      <c r="Q551">
        <v>2.09</v>
      </c>
    </row>
    <row r="552" spans="1:17" x14ac:dyDescent="0.25">
      <c r="A552">
        <v>3</v>
      </c>
      <c r="B552">
        <v>10</v>
      </c>
      <c r="C552">
        <v>0</v>
      </c>
      <c r="D552">
        <v>3</v>
      </c>
      <c r="E552">
        <v>105</v>
      </c>
      <c r="F552">
        <v>0.51200000000000001</v>
      </c>
      <c r="G552">
        <v>33</v>
      </c>
      <c r="H552">
        <v>0.35899999999999999</v>
      </c>
      <c r="I552">
        <v>0.85099999999999998</v>
      </c>
      <c r="J552">
        <v>283</v>
      </c>
      <c r="K552">
        <v>28</v>
      </c>
      <c r="L552">
        <v>66</v>
      </c>
      <c r="M552">
        <v>63</v>
      </c>
      <c r="N552">
        <v>9</v>
      </c>
      <c r="O552">
        <v>11</v>
      </c>
      <c r="P552">
        <v>26</v>
      </c>
      <c r="Q552">
        <v>2.42</v>
      </c>
    </row>
    <row r="553" spans="1:17" x14ac:dyDescent="0.25">
      <c r="A553">
        <v>10</v>
      </c>
      <c r="B553">
        <v>3</v>
      </c>
      <c r="C553">
        <v>0</v>
      </c>
      <c r="D553">
        <v>10</v>
      </c>
      <c r="E553">
        <v>225</v>
      </c>
      <c r="F553">
        <v>0.45800000000000002</v>
      </c>
      <c r="G553">
        <v>71</v>
      </c>
      <c r="H553">
        <v>0.378</v>
      </c>
      <c r="I553">
        <v>0.83499999999999996</v>
      </c>
      <c r="J553">
        <v>663</v>
      </c>
      <c r="K553">
        <v>45</v>
      </c>
      <c r="L553">
        <v>130</v>
      </c>
      <c r="M553">
        <v>158</v>
      </c>
      <c r="N553">
        <v>37</v>
      </c>
      <c r="O553">
        <v>15</v>
      </c>
      <c r="P553">
        <v>60</v>
      </c>
      <c r="Q553">
        <v>2.63</v>
      </c>
    </row>
    <row r="554" spans="1:17" x14ac:dyDescent="0.25">
      <c r="A554">
        <v>6</v>
      </c>
      <c r="B554">
        <v>6</v>
      </c>
      <c r="C554">
        <v>1</v>
      </c>
      <c r="D554">
        <v>6.5</v>
      </c>
      <c r="E554">
        <v>189</v>
      </c>
      <c r="F554">
        <v>0.49099999999999999</v>
      </c>
      <c r="G554">
        <v>56</v>
      </c>
      <c r="H554">
        <v>0.36399999999999999</v>
      </c>
      <c r="I554">
        <v>0.67</v>
      </c>
      <c r="J554">
        <v>495</v>
      </c>
      <c r="K554">
        <v>35</v>
      </c>
      <c r="L554">
        <v>120</v>
      </c>
      <c r="M554">
        <v>126</v>
      </c>
      <c r="N554">
        <v>28</v>
      </c>
      <c r="O554">
        <v>16</v>
      </c>
      <c r="P554">
        <v>60</v>
      </c>
      <c r="Q554">
        <v>2.1</v>
      </c>
    </row>
    <row r="555" spans="1:17" x14ac:dyDescent="0.25">
      <c r="A555">
        <v>6</v>
      </c>
      <c r="B555">
        <v>6</v>
      </c>
      <c r="C555">
        <v>1</v>
      </c>
      <c r="D555">
        <v>6.5</v>
      </c>
      <c r="E555">
        <v>159</v>
      </c>
      <c r="F555">
        <v>0.49399999999999999</v>
      </c>
      <c r="G555">
        <v>41</v>
      </c>
      <c r="H555">
        <v>0.41399999999999998</v>
      </c>
      <c r="I555">
        <v>0.72399999999999998</v>
      </c>
      <c r="J555">
        <v>430</v>
      </c>
      <c r="K555">
        <v>35</v>
      </c>
      <c r="L555">
        <v>116</v>
      </c>
      <c r="M555">
        <v>101</v>
      </c>
      <c r="N555">
        <v>29</v>
      </c>
      <c r="O555">
        <v>15</v>
      </c>
      <c r="P555">
        <v>43</v>
      </c>
      <c r="Q555">
        <v>2.35</v>
      </c>
    </row>
    <row r="556" spans="1:17" x14ac:dyDescent="0.25">
      <c r="A556">
        <v>10</v>
      </c>
      <c r="B556">
        <v>3</v>
      </c>
      <c r="C556">
        <v>0</v>
      </c>
      <c r="D556">
        <v>10</v>
      </c>
      <c r="E556">
        <v>167</v>
      </c>
      <c r="F556">
        <v>0.50800000000000001</v>
      </c>
      <c r="G556">
        <v>36</v>
      </c>
      <c r="H556">
        <v>0.39100000000000001</v>
      </c>
      <c r="I556">
        <v>0.78</v>
      </c>
      <c r="J556">
        <v>434</v>
      </c>
      <c r="K556">
        <v>41</v>
      </c>
      <c r="L556">
        <v>148</v>
      </c>
      <c r="M556">
        <v>85</v>
      </c>
      <c r="N556">
        <v>20</v>
      </c>
      <c r="O556">
        <v>14</v>
      </c>
      <c r="P556">
        <v>47</v>
      </c>
      <c r="Q556">
        <v>1.81</v>
      </c>
    </row>
    <row r="557" spans="1:17" x14ac:dyDescent="0.25">
      <c r="A557">
        <v>3</v>
      </c>
      <c r="B557">
        <v>10</v>
      </c>
      <c r="C557">
        <v>0</v>
      </c>
      <c r="D557">
        <v>3</v>
      </c>
      <c r="E557">
        <v>112</v>
      </c>
      <c r="F557">
        <v>0.47899999999999998</v>
      </c>
      <c r="G557">
        <v>34</v>
      </c>
      <c r="H557">
        <v>0.36199999999999999</v>
      </c>
      <c r="I557">
        <v>0.70299999999999996</v>
      </c>
      <c r="J557">
        <v>303</v>
      </c>
      <c r="K557">
        <v>27</v>
      </c>
      <c r="L557">
        <v>93</v>
      </c>
      <c r="M557">
        <v>76</v>
      </c>
      <c r="N557">
        <v>22</v>
      </c>
      <c r="O557">
        <v>8</v>
      </c>
      <c r="P557">
        <v>38</v>
      </c>
      <c r="Q557">
        <v>2</v>
      </c>
    </row>
    <row r="558" spans="1:17" x14ac:dyDescent="0.25">
      <c r="A558">
        <v>11</v>
      </c>
      <c r="B558">
        <v>2</v>
      </c>
      <c r="C558">
        <v>0</v>
      </c>
      <c r="D558">
        <v>11</v>
      </c>
      <c r="E558">
        <v>198</v>
      </c>
      <c r="F558">
        <v>0.51300000000000001</v>
      </c>
      <c r="G558">
        <v>59</v>
      </c>
      <c r="H558">
        <v>0.41299999999999998</v>
      </c>
      <c r="I558">
        <v>0.80200000000000005</v>
      </c>
      <c r="J558">
        <v>532</v>
      </c>
      <c r="K558">
        <v>40</v>
      </c>
      <c r="L558">
        <v>131</v>
      </c>
      <c r="M558">
        <v>130</v>
      </c>
      <c r="N558">
        <v>30</v>
      </c>
      <c r="O558">
        <v>20</v>
      </c>
      <c r="P558">
        <v>59</v>
      </c>
      <c r="Q558">
        <v>2.2000000000000002</v>
      </c>
    </row>
    <row r="559" spans="1:17" x14ac:dyDescent="0.25">
      <c r="A559">
        <v>2</v>
      </c>
      <c r="B559">
        <v>11</v>
      </c>
      <c r="C559">
        <v>0</v>
      </c>
      <c r="D559">
        <v>2</v>
      </c>
      <c r="E559">
        <v>89</v>
      </c>
      <c r="F559">
        <v>0.39200000000000002</v>
      </c>
      <c r="G559">
        <v>23</v>
      </c>
      <c r="H559">
        <v>0.26700000000000002</v>
      </c>
      <c r="I559">
        <v>0.91700000000000004</v>
      </c>
      <c r="J559">
        <v>267</v>
      </c>
      <c r="K559">
        <v>29</v>
      </c>
      <c r="L559">
        <v>89</v>
      </c>
      <c r="M559">
        <v>71</v>
      </c>
      <c r="N559">
        <v>17</v>
      </c>
      <c r="O559">
        <v>6</v>
      </c>
      <c r="P559">
        <v>35</v>
      </c>
      <c r="Q559">
        <v>2.0299999999999998</v>
      </c>
    </row>
    <row r="560" spans="1:17" x14ac:dyDescent="0.25">
      <c r="A560">
        <v>9</v>
      </c>
      <c r="B560">
        <v>3</v>
      </c>
      <c r="C560">
        <v>1</v>
      </c>
      <c r="D560">
        <v>9.5</v>
      </c>
      <c r="E560">
        <v>192</v>
      </c>
      <c r="F560">
        <v>0.496</v>
      </c>
      <c r="G560">
        <v>50</v>
      </c>
      <c r="H560">
        <v>0.39700000000000002</v>
      </c>
      <c r="I560">
        <v>0.86699999999999999</v>
      </c>
      <c r="J560">
        <v>519</v>
      </c>
      <c r="K560">
        <v>22</v>
      </c>
      <c r="L560">
        <v>105</v>
      </c>
      <c r="M560">
        <v>123</v>
      </c>
      <c r="N560">
        <v>24</v>
      </c>
      <c r="O560">
        <v>28</v>
      </c>
      <c r="P560">
        <v>53</v>
      </c>
      <c r="Q560">
        <v>2.3199999999999998</v>
      </c>
    </row>
    <row r="561" spans="1:17" x14ac:dyDescent="0.25">
      <c r="A561">
        <v>3</v>
      </c>
      <c r="B561">
        <v>9</v>
      </c>
      <c r="C561">
        <v>1</v>
      </c>
      <c r="D561">
        <v>3.5</v>
      </c>
      <c r="E561">
        <v>173</v>
      </c>
      <c r="F561">
        <v>0.46500000000000002</v>
      </c>
      <c r="G561">
        <v>59</v>
      </c>
      <c r="H561">
        <v>0.34300000000000003</v>
      </c>
      <c r="I561">
        <v>0.73099999999999998</v>
      </c>
      <c r="J561">
        <v>481</v>
      </c>
      <c r="K561">
        <v>25</v>
      </c>
      <c r="L561">
        <v>100</v>
      </c>
      <c r="M561">
        <v>100</v>
      </c>
      <c r="N561">
        <v>24</v>
      </c>
      <c r="O561">
        <v>12</v>
      </c>
      <c r="P561">
        <v>48</v>
      </c>
      <c r="Q561">
        <v>2.08</v>
      </c>
    </row>
    <row r="562" spans="1:17" x14ac:dyDescent="0.25">
      <c r="A562">
        <v>10</v>
      </c>
      <c r="B562">
        <v>3</v>
      </c>
      <c r="C562">
        <v>0</v>
      </c>
      <c r="D562">
        <v>10</v>
      </c>
      <c r="E562">
        <v>198</v>
      </c>
      <c r="F562">
        <v>0.45100000000000001</v>
      </c>
      <c r="G562">
        <v>54</v>
      </c>
      <c r="H562">
        <v>0.316</v>
      </c>
      <c r="I562">
        <v>0.80300000000000005</v>
      </c>
      <c r="J562">
        <v>552</v>
      </c>
      <c r="K562">
        <v>46</v>
      </c>
      <c r="L562">
        <v>122</v>
      </c>
      <c r="M562">
        <v>115</v>
      </c>
      <c r="N562">
        <v>23</v>
      </c>
      <c r="O562">
        <v>23</v>
      </c>
      <c r="P562">
        <v>53</v>
      </c>
      <c r="Q562">
        <v>2.17</v>
      </c>
    </row>
    <row r="563" spans="1:17" x14ac:dyDescent="0.25">
      <c r="A563">
        <v>3</v>
      </c>
      <c r="B563">
        <v>10</v>
      </c>
      <c r="C563">
        <v>0</v>
      </c>
      <c r="D563">
        <v>3</v>
      </c>
      <c r="E563">
        <v>87</v>
      </c>
      <c r="F563">
        <v>0.46800000000000003</v>
      </c>
      <c r="G563">
        <v>40</v>
      </c>
      <c r="H563">
        <v>0.42099999999999999</v>
      </c>
      <c r="I563">
        <v>0.51600000000000001</v>
      </c>
      <c r="J563">
        <v>230</v>
      </c>
      <c r="K563">
        <v>19</v>
      </c>
      <c r="L563">
        <v>76</v>
      </c>
      <c r="M563">
        <v>62</v>
      </c>
      <c r="N563">
        <v>21</v>
      </c>
      <c r="O563">
        <v>13</v>
      </c>
      <c r="P563">
        <v>36</v>
      </c>
      <c r="Q563">
        <v>1.72</v>
      </c>
    </row>
    <row r="564" spans="1:17" x14ac:dyDescent="0.25">
      <c r="A564">
        <v>9</v>
      </c>
      <c r="B564">
        <v>4</v>
      </c>
      <c r="C564">
        <v>0</v>
      </c>
      <c r="D564">
        <v>9</v>
      </c>
      <c r="E564">
        <v>162</v>
      </c>
      <c r="F564">
        <v>0.53500000000000003</v>
      </c>
      <c r="G564">
        <v>47</v>
      </c>
      <c r="H564">
        <v>0.379</v>
      </c>
      <c r="I564">
        <v>0.81599999999999995</v>
      </c>
      <c r="J564">
        <v>442</v>
      </c>
      <c r="K564">
        <v>62</v>
      </c>
      <c r="L564">
        <v>131</v>
      </c>
      <c r="M564">
        <v>82</v>
      </c>
      <c r="N564">
        <v>14</v>
      </c>
      <c r="O564">
        <v>14</v>
      </c>
      <c r="P564">
        <v>44</v>
      </c>
      <c r="Q564">
        <v>1.86</v>
      </c>
    </row>
    <row r="565" spans="1:17" x14ac:dyDescent="0.25">
      <c r="A565">
        <v>4</v>
      </c>
      <c r="B565">
        <v>9</v>
      </c>
      <c r="C565">
        <v>0</v>
      </c>
      <c r="D565">
        <v>4</v>
      </c>
      <c r="E565">
        <v>110</v>
      </c>
      <c r="F565">
        <v>0.45500000000000002</v>
      </c>
      <c r="G565">
        <v>32</v>
      </c>
      <c r="H565">
        <v>0.30199999999999999</v>
      </c>
      <c r="I565">
        <v>0.68300000000000005</v>
      </c>
      <c r="J565">
        <v>280</v>
      </c>
      <c r="K565">
        <v>42</v>
      </c>
      <c r="L565">
        <v>124</v>
      </c>
      <c r="M565">
        <v>78</v>
      </c>
      <c r="N565">
        <v>19</v>
      </c>
      <c r="O565">
        <v>19</v>
      </c>
      <c r="P565">
        <v>41</v>
      </c>
      <c r="Q565">
        <v>1.9</v>
      </c>
    </row>
    <row r="566" spans="1:17" x14ac:dyDescent="0.25">
      <c r="A566">
        <v>2</v>
      </c>
      <c r="B566">
        <v>11</v>
      </c>
      <c r="C566">
        <v>0</v>
      </c>
      <c r="D566">
        <v>2</v>
      </c>
      <c r="E566">
        <v>111</v>
      </c>
      <c r="F566">
        <v>0.46800000000000003</v>
      </c>
      <c r="G566">
        <v>28</v>
      </c>
      <c r="H566">
        <v>0.318</v>
      </c>
      <c r="I566">
        <v>0.66700000000000004</v>
      </c>
      <c r="J566">
        <v>276</v>
      </c>
      <c r="K566">
        <v>49</v>
      </c>
      <c r="L566">
        <v>90</v>
      </c>
      <c r="M566">
        <v>60</v>
      </c>
      <c r="N566">
        <v>17</v>
      </c>
      <c r="O566">
        <v>13</v>
      </c>
      <c r="P566">
        <v>29</v>
      </c>
      <c r="Q566">
        <v>2.0699999999999998</v>
      </c>
    </row>
    <row r="567" spans="1:17" x14ac:dyDescent="0.25">
      <c r="A567">
        <v>11</v>
      </c>
      <c r="B567">
        <v>2</v>
      </c>
      <c r="C567">
        <v>0</v>
      </c>
      <c r="D567">
        <v>11</v>
      </c>
      <c r="E567">
        <v>134</v>
      </c>
      <c r="F567">
        <v>0.48199999999999998</v>
      </c>
      <c r="G567">
        <v>39</v>
      </c>
      <c r="H567">
        <v>0.38200000000000001</v>
      </c>
      <c r="I567">
        <v>0.80500000000000005</v>
      </c>
      <c r="J567">
        <v>373</v>
      </c>
      <c r="K567">
        <v>39</v>
      </c>
      <c r="L567">
        <v>119</v>
      </c>
      <c r="M567">
        <v>107</v>
      </c>
      <c r="N567">
        <v>23</v>
      </c>
      <c r="O567">
        <v>14</v>
      </c>
      <c r="P567">
        <v>38</v>
      </c>
      <c r="Q567">
        <v>2.82</v>
      </c>
    </row>
    <row r="568" spans="1:17" x14ac:dyDescent="0.25">
      <c r="A568">
        <v>10</v>
      </c>
      <c r="B568">
        <v>3</v>
      </c>
      <c r="C568">
        <v>0</v>
      </c>
      <c r="D568">
        <v>10</v>
      </c>
      <c r="E568">
        <v>203</v>
      </c>
      <c r="F568">
        <v>0.48899999999999999</v>
      </c>
      <c r="G568">
        <v>84</v>
      </c>
      <c r="H568">
        <v>0.41399999999999998</v>
      </c>
      <c r="I568">
        <v>0.85099999999999998</v>
      </c>
      <c r="J568">
        <v>593</v>
      </c>
      <c r="K568">
        <v>22</v>
      </c>
      <c r="L568">
        <v>113</v>
      </c>
      <c r="M568">
        <v>114</v>
      </c>
      <c r="N568">
        <v>30</v>
      </c>
      <c r="O568">
        <v>18</v>
      </c>
      <c r="P568">
        <v>62</v>
      </c>
      <c r="Q568">
        <v>1.84</v>
      </c>
    </row>
    <row r="569" spans="1:17" x14ac:dyDescent="0.25">
      <c r="A569">
        <v>3</v>
      </c>
      <c r="B569">
        <v>10</v>
      </c>
      <c r="C569">
        <v>0</v>
      </c>
      <c r="D569">
        <v>3</v>
      </c>
      <c r="E569">
        <v>113</v>
      </c>
      <c r="F569">
        <v>0.47899999999999998</v>
      </c>
      <c r="G569">
        <v>59</v>
      </c>
      <c r="H569">
        <v>0.43099999999999999</v>
      </c>
      <c r="I569">
        <v>0.82899999999999996</v>
      </c>
      <c r="J569">
        <v>319</v>
      </c>
      <c r="K569">
        <v>17</v>
      </c>
      <c r="L569">
        <v>57</v>
      </c>
      <c r="M569">
        <v>67</v>
      </c>
      <c r="N569">
        <v>20</v>
      </c>
      <c r="O569">
        <v>14</v>
      </c>
      <c r="P569">
        <v>17</v>
      </c>
      <c r="Q569">
        <v>3.94</v>
      </c>
    </row>
    <row r="570" spans="1:17" x14ac:dyDescent="0.25">
      <c r="A570" t="s">
        <v>171</v>
      </c>
    </row>
    <row r="571" spans="1:17" x14ac:dyDescent="0.25">
      <c r="A571" t="s">
        <v>218</v>
      </c>
    </row>
    <row r="572" spans="1:17" x14ac:dyDescent="0.25">
      <c r="A572" t="s">
        <v>176</v>
      </c>
    </row>
    <row r="573" spans="1:17" x14ac:dyDescent="0.25">
      <c r="A573" t="s">
        <v>181</v>
      </c>
    </row>
    <row r="574" spans="1:17" x14ac:dyDescent="0.25">
      <c r="A574" t="s">
        <v>158</v>
      </c>
    </row>
    <row r="575" spans="1:17" x14ac:dyDescent="0.25">
      <c r="A575" t="s">
        <v>154</v>
      </c>
    </row>
    <row r="576" spans="1:17" x14ac:dyDescent="0.25">
      <c r="A576" t="s">
        <v>15</v>
      </c>
    </row>
    <row r="577" spans="1:1" x14ac:dyDescent="0.25">
      <c r="A577" t="s">
        <v>159</v>
      </c>
    </row>
    <row r="578" spans="1:1" x14ac:dyDescent="0.25">
      <c r="A578" t="s">
        <v>28</v>
      </c>
    </row>
    <row r="579" spans="1:1" x14ac:dyDescent="0.25">
      <c r="A579" t="s">
        <v>96</v>
      </c>
    </row>
    <row r="580" spans="1:1" x14ac:dyDescent="0.25">
      <c r="A580" t="s">
        <v>185</v>
      </c>
    </row>
    <row r="581" spans="1:1" x14ac:dyDescent="0.25">
      <c r="A581" t="s">
        <v>93</v>
      </c>
    </row>
    <row r="582" spans="1:1" x14ac:dyDescent="0.25">
      <c r="A582" t="s">
        <v>21</v>
      </c>
    </row>
    <row r="583" spans="1:1" x14ac:dyDescent="0.25">
      <c r="A583" t="s">
        <v>184</v>
      </c>
    </row>
    <row r="584" spans="1:1" x14ac:dyDescent="0.25">
      <c r="A584" t="s">
        <v>23</v>
      </c>
    </row>
    <row r="585" spans="1:1" x14ac:dyDescent="0.25">
      <c r="A585" t="s">
        <v>16</v>
      </c>
    </row>
    <row r="586" spans="1:1" x14ac:dyDescent="0.25">
      <c r="A586" t="s">
        <v>186</v>
      </c>
    </row>
    <row r="587" spans="1:1" x14ac:dyDescent="0.25">
      <c r="A587" t="s">
        <v>26</v>
      </c>
    </row>
    <row r="588" spans="1:1" x14ac:dyDescent="0.25">
      <c r="A588" t="s">
        <v>94</v>
      </c>
    </row>
    <row r="589" spans="1:1" x14ac:dyDescent="0.25">
      <c r="A589" t="s">
        <v>98</v>
      </c>
    </row>
    <row r="590" spans="1:1" x14ac:dyDescent="0.25">
      <c r="A590" t="s">
        <v>201</v>
      </c>
    </row>
    <row r="591" spans="1:1" x14ac:dyDescent="0.25">
      <c r="A591" t="s">
        <v>33</v>
      </c>
    </row>
    <row r="592" spans="1:1" x14ac:dyDescent="0.25">
      <c r="A592" t="s">
        <v>99</v>
      </c>
    </row>
    <row r="594" spans="1:17" x14ac:dyDescent="0.25">
      <c r="A594">
        <v>8</v>
      </c>
      <c r="B594">
        <v>5</v>
      </c>
      <c r="C594">
        <v>0</v>
      </c>
      <c r="D594">
        <v>8</v>
      </c>
      <c r="E594">
        <v>220</v>
      </c>
      <c r="F594">
        <v>0.45700000000000002</v>
      </c>
      <c r="G594">
        <v>48</v>
      </c>
      <c r="H594">
        <v>0.316</v>
      </c>
      <c r="I594">
        <v>0.82399999999999995</v>
      </c>
      <c r="J594">
        <v>643</v>
      </c>
      <c r="K594">
        <v>61</v>
      </c>
      <c r="L594">
        <v>149</v>
      </c>
      <c r="M594">
        <v>132</v>
      </c>
      <c r="N594">
        <v>44</v>
      </c>
      <c r="O594">
        <v>17</v>
      </c>
      <c r="P594">
        <v>86</v>
      </c>
      <c r="Q594">
        <v>1.53</v>
      </c>
    </row>
    <row r="595" spans="1:17" x14ac:dyDescent="0.25">
      <c r="A595">
        <v>5</v>
      </c>
      <c r="B595">
        <v>8</v>
      </c>
      <c r="C595">
        <v>0</v>
      </c>
      <c r="D595">
        <v>5</v>
      </c>
      <c r="E595">
        <v>157</v>
      </c>
      <c r="F595">
        <v>0.495</v>
      </c>
      <c r="G595">
        <v>43</v>
      </c>
      <c r="H595">
        <v>0.371</v>
      </c>
      <c r="I595">
        <v>0.81699999999999995</v>
      </c>
      <c r="J595">
        <v>491</v>
      </c>
      <c r="K595">
        <v>29</v>
      </c>
      <c r="L595">
        <v>146</v>
      </c>
      <c r="M595">
        <v>119</v>
      </c>
      <c r="N595">
        <v>29</v>
      </c>
      <c r="O595">
        <v>24</v>
      </c>
      <c r="P595">
        <v>65</v>
      </c>
      <c r="Q595">
        <v>1.83</v>
      </c>
    </row>
    <row r="596" spans="1:17" x14ac:dyDescent="0.25">
      <c r="A596">
        <v>8</v>
      </c>
      <c r="B596">
        <v>5</v>
      </c>
      <c r="C596">
        <v>0</v>
      </c>
      <c r="D596">
        <v>8</v>
      </c>
      <c r="E596">
        <v>196</v>
      </c>
      <c r="F596">
        <v>0.46700000000000003</v>
      </c>
      <c r="G596">
        <v>54</v>
      </c>
      <c r="H596">
        <v>0.38800000000000001</v>
      </c>
      <c r="I596">
        <v>0.72199999999999998</v>
      </c>
      <c r="J596">
        <v>550</v>
      </c>
      <c r="K596">
        <v>43</v>
      </c>
      <c r="L596">
        <v>141</v>
      </c>
      <c r="M596">
        <v>129</v>
      </c>
      <c r="N596">
        <v>35</v>
      </c>
      <c r="O596">
        <v>22</v>
      </c>
      <c r="P596">
        <v>66</v>
      </c>
      <c r="Q596">
        <v>1.95</v>
      </c>
    </row>
    <row r="597" spans="1:17" x14ac:dyDescent="0.25">
      <c r="A597">
        <v>5</v>
      </c>
      <c r="B597">
        <v>8</v>
      </c>
      <c r="C597">
        <v>0</v>
      </c>
      <c r="D597">
        <v>5</v>
      </c>
      <c r="E597">
        <v>153</v>
      </c>
      <c r="F597">
        <v>0.46800000000000003</v>
      </c>
      <c r="G597">
        <v>47</v>
      </c>
      <c r="H597">
        <v>0.379</v>
      </c>
      <c r="I597">
        <v>0.79</v>
      </c>
      <c r="J597">
        <v>417</v>
      </c>
      <c r="K597">
        <v>44</v>
      </c>
      <c r="L597">
        <v>102</v>
      </c>
      <c r="M597">
        <v>89</v>
      </c>
      <c r="N597">
        <v>30</v>
      </c>
      <c r="O597">
        <v>17</v>
      </c>
      <c r="P597">
        <v>41</v>
      </c>
      <c r="Q597">
        <v>2.17</v>
      </c>
    </row>
    <row r="598" spans="1:17" x14ac:dyDescent="0.25">
      <c r="A598">
        <v>8</v>
      </c>
      <c r="B598">
        <v>5</v>
      </c>
      <c r="C598">
        <v>0</v>
      </c>
      <c r="D598">
        <v>8</v>
      </c>
      <c r="E598">
        <v>183</v>
      </c>
      <c r="F598">
        <v>0.46100000000000002</v>
      </c>
      <c r="G598">
        <v>44</v>
      </c>
      <c r="H598">
        <v>0.31900000000000001</v>
      </c>
      <c r="I598">
        <v>0.77400000000000002</v>
      </c>
      <c r="J598">
        <v>506</v>
      </c>
      <c r="K598">
        <v>49</v>
      </c>
      <c r="L598">
        <v>181</v>
      </c>
      <c r="M598">
        <v>173</v>
      </c>
      <c r="N598">
        <v>28</v>
      </c>
      <c r="O598">
        <v>12</v>
      </c>
      <c r="P598">
        <v>66</v>
      </c>
      <c r="Q598">
        <v>2.62</v>
      </c>
    </row>
    <row r="599" spans="1:17" x14ac:dyDescent="0.25">
      <c r="A599">
        <v>5</v>
      </c>
      <c r="B599">
        <v>8</v>
      </c>
      <c r="C599">
        <v>0</v>
      </c>
      <c r="D599">
        <v>5</v>
      </c>
      <c r="E599">
        <v>118</v>
      </c>
      <c r="F599">
        <v>0.46500000000000002</v>
      </c>
      <c r="G599">
        <v>45</v>
      </c>
      <c r="H599">
        <v>0.39100000000000001</v>
      </c>
      <c r="I599">
        <v>0.84399999999999997</v>
      </c>
      <c r="J599">
        <v>335</v>
      </c>
      <c r="K599">
        <v>28</v>
      </c>
      <c r="L599">
        <v>100</v>
      </c>
      <c r="M599">
        <v>70</v>
      </c>
      <c r="N599">
        <v>21</v>
      </c>
      <c r="O599">
        <v>11</v>
      </c>
      <c r="P599">
        <v>38</v>
      </c>
      <c r="Q599">
        <v>1.84</v>
      </c>
    </row>
    <row r="600" spans="1:17" x14ac:dyDescent="0.25">
      <c r="A600">
        <v>4</v>
      </c>
      <c r="B600">
        <v>8</v>
      </c>
      <c r="C600">
        <v>1</v>
      </c>
      <c r="D600">
        <v>4.5</v>
      </c>
      <c r="E600">
        <v>124</v>
      </c>
      <c r="F600">
        <v>0.52300000000000002</v>
      </c>
      <c r="G600">
        <v>40</v>
      </c>
      <c r="H600">
        <v>0.40400000000000003</v>
      </c>
      <c r="I600">
        <v>0.9</v>
      </c>
      <c r="J600">
        <v>333</v>
      </c>
      <c r="K600">
        <v>26</v>
      </c>
      <c r="L600">
        <v>92</v>
      </c>
      <c r="M600">
        <v>47</v>
      </c>
      <c r="N600">
        <v>24</v>
      </c>
      <c r="O600">
        <v>10</v>
      </c>
      <c r="P600">
        <v>36</v>
      </c>
      <c r="Q600">
        <v>1.31</v>
      </c>
    </row>
    <row r="601" spans="1:17" x14ac:dyDescent="0.25">
      <c r="A601">
        <v>8</v>
      </c>
      <c r="B601">
        <v>4</v>
      </c>
      <c r="C601">
        <v>1</v>
      </c>
      <c r="D601">
        <v>8.5</v>
      </c>
      <c r="E601">
        <v>174</v>
      </c>
      <c r="F601">
        <v>0.435</v>
      </c>
      <c r="G601">
        <v>40</v>
      </c>
      <c r="H601">
        <v>0.28399999999999997</v>
      </c>
      <c r="I601">
        <v>0.70599999999999996</v>
      </c>
      <c r="J601">
        <v>448</v>
      </c>
      <c r="K601">
        <v>30</v>
      </c>
      <c r="L601">
        <v>140</v>
      </c>
      <c r="M601">
        <v>147</v>
      </c>
      <c r="N601">
        <v>37</v>
      </c>
      <c r="O601">
        <v>20</v>
      </c>
      <c r="P601">
        <v>60</v>
      </c>
      <c r="Q601">
        <v>2.4500000000000002</v>
      </c>
    </row>
    <row r="602" spans="1:17" x14ac:dyDescent="0.25">
      <c r="A602">
        <v>6</v>
      </c>
      <c r="B602">
        <v>7</v>
      </c>
      <c r="C602">
        <v>0</v>
      </c>
      <c r="D602">
        <v>6</v>
      </c>
      <c r="E602">
        <v>164</v>
      </c>
      <c r="F602">
        <v>0.41799999999999998</v>
      </c>
      <c r="G602">
        <v>54</v>
      </c>
      <c r="H602">
        <v>0.32500000000000001</v>
      </c>
      <c r="I602">
        <v>0.85799999999999998</v>
      </c>
      <c r="J602">
        <v>485</v>
      </c>
      <c r="K602">
        <v>32</v>
      </c>
      <c r="L602">
        <v>106</v>
      </c>
      <c r="M602">
        <v>77</v>
      </c>
      <c r="N602">
        <v>29</v>
      </c>
      <c r="O602">
        <v>18</v>
      </c>
      <c r="P602">
        <v>46</v>
      </c>
      <c r="Q602">
        <v>1.67</v>
      </c>
    </row>
    <row r="603" spans="1:17" x14ac:dyDescent="0.25">
      <c r="A603">
        <v>7</v>
      </c>
      <c r="B603">
        <v>6</v>
      </c>
      <c r="C603">
        <v>0</v>
      </c>
      <c r="D603">
        <v>7</v>
      </c>
      <c r="E603">
        <v>152</v>
      </c>
      <c r="F603">
        <v>0.438</v>
      </c>
      <c r="G603">
        <v>49</v>
      </c>
      <c r="H603">
        <v>0.38300000000000001</v>
      </c>
      <c r="I603">
        <v>0.747</v>
      </c>
      <c r="J603">
        <v>415</v>
      </c>
      <c r="K603">
        <v>44</v>
      </c>
      <c r="L603">
        <v>108</v>
      </c>
      <c r="M603">
        <v>93</v>
      </c>
      <c r="N603">
        <v>24</v>
      </c>
      <c r="O603">
        <v>12</v>
      </c>
      <c r="P603">
        <v>40</v>
      </c>
      <c r="Q603">
        <v>2.33</v>
      </c>
    </row>
    <row r="604" spans="1:17" x14ac:dyDescent="0.25">
      <c r="A604">
        <v>1</v>
      </c>
      <c r="B604">
        <v>12</v>
      </c>
      <c r="C604">
        <v>0</v>
      </c>
      <c r="D604">
        <v>1</v>
      </c>
      <c r="E604">
        <v>90</v>
      </c>
      <c r="F604">
        <v>0.41899999999999998</v>
      </c>
      <c r="G604">
        <v>38</v>
      </c>
      <c r="H604">
        <v>0.36499999999999999</v>
      </c>
      <c r="I604">
        <v>0.73699999999999999</v>
      </c>
      <c r="J604">
        <v>260</v>
      </c>
      <c r="K604">
        <v>28</v>
      </c>
      <c r="L604">
        <v>76</v>
      </c>
      <c r="M604">
        <v>60</v>
      </c>
      <c r="N604">
        <v>12</v>
      </c>
      <c r="O604">
        <v>11</v>
      </c>
      <c r="P604">
        <v>38</v>
      </c>
      <c r="Q604">
        <v>1.58</v>
      </c>
    </row>
    <row r="605" spans="1:17" x14ac:dyDescent="0.25">
      <c r="A605">
        <v>12</v>
      </c>
      <c r="B605">
        <v>1</v>
      </c>
      <c r="C605">
        <v>0</v>
      </c>
      <c r="D605">
        <v>12</v>
      </c>
      <c r="E605">
        <v>194</v>
      </c>
      <c r="F605">
        <v>0.504</v>
      </c>
      <c r="G605">
        <v>71</v>
      </c>
      <c r="H605">
        <v>0.41799999999999998</v>
      </c>
      <c r="I605">
        <v>0.86699999999999999</v>
      </c>
      <c r="J605">
        <v>524</v>
      </c>
      <c r="K605">
        <v>48</v>
      </c>
      <c r="L605">
        <v>151</v>
      </c>
      <c r="M605">
        <v>127</v>
      </c>
      <c r="N605">
        <v>37</v>
      </c>
      <c r="O605">
        <v>32</v>
      </c>
      <c r="P605">
        <v>62</v>
      </c>
      <c r="Q605">
        <v>2.0499999999999998</v>
      </c>
    </row>
    <row r="606" spans="1:17" x14ac:dyDescent="0.25">
      <c r="A606">
        <v>4</v>
      </c>
      <c r="B606">
        <v>9</v>
      </c>
      <c r="C606">
        <v>0</v>
      </c>
      <c r="D606">
        <v>4</v>
      </c>
      <c r="E606">
        <v>130</v>
      </c>
      <c r="F606">
        <v>0.439</v>
      </c>
      <c r="G606">
        <v>32</v>
      </c>
      <c r="H606">
        <v>0.29599999999999999</v>
      </c>
      <c r="I606">
        <v>0.82499999999999996</v>
      </c>
      <c r="J606">
        <v>344</v>
      </c>
      <c r="K606">
        <v>43</v>
      </c>
      <c r="L606">
        <v>139</v>
      </c>
      <c r="M606">
        <v>70</v>
      </c>
      <c r="N606">
        <v>17</v>
      </c>
      <c r="O606">
        <v>19</v>
      </c>
      <c r="P606">
        <v>50</v>
      </c>
      <c r="Q606">
        <v>1.4</v>
      </c>
    </row>
    <row r="607" spans="1:17" x14ac:dyDescent="0.25">
      <c r="A607">
        <v>9</v>
      </c>
      <c r="B607">
        <v>4</v>
      </c>
      <c r="C607">
        <v>0</v>
      </c>
      <c r="D607">
        <v>9</v>
      </c>
      <c r="E607">
        <v>195</v>
      </c>
      <c r="F607">
        <v>0.46500000000000002</v>
      </c>
      <c r="G607">
        <v>36</v>
      </c>
      <c r="H607">
        <v>0.31900000000000001</v>
      </c>
      <c r="I607">
        <v>0.77900000000000003</v>
      </c>
      <c r="J607">
        <v>532</v>
      </c>
      <c r="K607">
        <v>32</v>
      </c>
      <c r="L607">
        <v>128</v>
      </c>
      <c r="M607">
        <v>134</v>
      </c>
      <c r="N607">
        <v>39</v>
      </c>
      <c r="O607">
        <v>28</v>
      </c>
      <c r="P607">
        <v>62</v>
      </c>
      <c r="Q607">
        <v>2.16</v>
      </c>
    </row>
    <row r="608" spans="1:17" x14ac:dyDescent="0.25">
      <c r="A608">
        <v>3</v>
      </c>
      <c r="B608">
        <v>9</v>
      </c>
      <c r="C608">
        <v>1</v>
      </c>
      <c r="D608">
        <v>3.5</v>
      </c>
      <c r="E608">
        <v>140</v>
      </c>
      <c r="F608">
        <v>0.49299999999999999</v>
      </c>
      <c r="G608">
        <v>42</v>
      </c>
      <c r="H608">
        <v>0.375</v>
      </c>
      <c r="I608">
        <v>0.69399999999999995</v>
      </c>
      <c r="J608">
        <v>381</v>
      </c>
      <c r="K608">
        <v>51</v>
      </c>
      <c r="L608">
        <v>120</v>
      </c>
      <c r="M608">
        <v>111</v>
      </c>
      <c r="N608">
        <v>28</v>
      </c>
      <c r="O608">
        <v>18</v>
      </c>
      <c r="P608">
        <v>58</v>
      </c>
      <c r="Q608">
        <v>1.91</v>
      </c>
    </row>
    <row r="609" spans="1:17" x14ac:dyDescent="0.25">
      <c r="A609">
        <v>9</v>
      </c>
      <c r="B609">
        <v>3</v>
      </c>
      <c r="C609">
        <v>1</v>
      </c>
      <c r="D609">
        <v>9.5</v>
      </c>
      <c r="E609">
        <v>197</v>
      </c>
      <c r="F609">
        <v>0.49099999999999999</v>
      </c>
      <c r="G609">
        <v>67</v>
      </c>
      <c r="H609">
        <v>0.38300000000000001</v>
      </c>
      <c r="I609">
        <v>0.81499999999999995</v>
      </c>
      <c r="J609">
        <v>549</v>
      </c>
      <c r="K609">
        <v>47</v>
      </c>
      <c r="L609">
        <v>134</v>
      </c>
      <c r="M609">
        <v>142</v>
      </c>
      <c r="N609">
        <v>18</v>
      </c>
      <c r="O609">
        <v>21</v>
      </c>
      <c r="P609">
        <v>58</v>
      </c>
      <c r="Q609">
        <v>2.4500000000000002</v>
      </c>
    </row>
    <row r="610" spans="1:17" x14ac:dyDescent="0.25">
      <c r="A610">
        <v>6</v>
      </c>
      <c r="B610">
        <v>7</v>
      </c>
      <c r="C610">
        <v>0</v>
      </c>
      <c r="D610">
        <v>6</v>
      </c>
      <c r="E610">
        <v>106</v>
      </c>
      <c r="F610">
        <v>0.43099999999999999</v>
      </c>
      <c r="G610">
        <v>45</v>
      </c>
      <c r="H610">
        <v>0.36899999999999999</v>
      </c>
      <c r="I610">
        <v>0.79100000000000004</v>
      </c>
      <c r="J610">
        <v>291</v>
      </c>
      <c r="K610">
        <v>25</v>
      </c>
      <c r="L610">
        <v>86</v>
      </c>
      <c r="M610">
        <v>80</v>
      </c>
      <c r="N610">
        <v>24</v>
      </c>
      <c r="O610">
        <v>9</v>
      </c>
      <c r="P610">
        <v>30</v>
      </c>
      <c r="Q610">
        <v>2.67</v>
      </c>
    </row>
    <row r="611" spans="1:17" x14ac:dyDescent="0.25">
      <c r="A611">
        <v>7</v>
      </c>
      <c r="B611">
        <v>6</v>
      </c>
      <c r="C611">
        <v>0</v>
      </c>
      <c r="D611">
        <v>7</v>
      </c>
      <c r="E611">
        <v>101</v>
      </c>
      <c r="F611">
        <v>0.45500000000000002</v>
      </c>
      <c r="G611">
        <v>50</v>
      </c>
      <c r="H611">
        <v>0.38500000000000001</v>
      </c>
      <c r="I611">
        <v>0.80400000000000005</v>
      </c>
      <c r="J611">
        <v>289</v>
      </c>
      <c r="K611">
        <v>43</v>
      </c>
      <c r="L611">
        <v>88</v>
      </c>
      <c r="M611">
        <v>73</v>
      </c>
      <c r="N611">
        <v>25</v>
      </c>
      <c r="O611">
        <v>7</v>
      </c>
      <c r="P611">
        <v>44</v>
      </c>
      <c r="Q611">
        <v>1.66</v>
      </c>
    </row>
    <row r="612" spans="1:17" x14ac:dyDescent="0.25">
      <c r="A612">
        <v>8</v>
      </c>
      <c r="B612">
        <v>5</v>
      </c>
      <c r="C612">
        <v>0</v>
      </c>
      <c r="D612">
        <v>8</v>
      </c>
      <c r="E612">
        <v>172</v>
      </c>
      <c r="F612">
        <v>0.47399999999999998</v>
      </c>
      <c r="G612">
        <v>58</v>
      </c>
      <c r="H612">
        <v>0.34300000000000003</v>
      </c>
      <c r="I612">
        <v>0.85899999999999999</v>
      </c>
      <c r="J612">
        <v>487</v>
      </c>
      <c r="K612">
        <v>19</v>
      </c>
      <c r="L612">
        <v>93</v>
      </c>
      <c r="M612">
        <v>125</v>
      </c>
      <c r="N612">
        <v>38</v>
      </c>
      <c r="O612">
        <v>16</v>
      </c>
      <c r="P612">
        <v>53</v>
      </c>
      <c r="Q612">
        <v>2.36</v>
      </c>
    </row>
    <row r="613" spans="1:17" x14ac:dyDescent="0.25">
      <c r="A613">
        <v>5</v>
      </c>
      <c r="B613">
        <v>8</v>
      </c>
      <c r="C613">
        <v>0</v>
      </c>
      <c r="D613">
        <v>5</v>
      </c>
      <c r="E613">
        <v>161</v>
      </c>
      <c r="F613">
        <v>0.51100000000000001</v>
      </c>
      <c r="G613">
        <v>49</v>
      </c>
      <c r="H613">
        <v>0.40500000000000003</v>
      </c>
      <c r="I613">
        <v>0.747</v>
      </c>
      <c r="J613">
        <v>427</v>
      </c>
      <c r="K613">
        <v>46</v>
      </c>
      <c r="L613">
        <v>131</v>
      </c>
      <c r="M613">
        <v>98</v>
      </c>
      <c r="N613">
        <v>17</v>
      </c>
      <c r="O613">
        <v>11</v>
      </c>
      <c r="P613">
        <v>46</v>
      </c>
      <c r="Q613">
        <v>2.13</v>
      </c>
    </row>
    <row r="614" spans="1:17" x14ac:dyDescent="0.25">
      <c r="A614" t="s">
        <v>172</v>
      </c>
    </row>
    <row r="615" spans="1:17" x14ac:dyDescent="0.25">
      <c r="A615" t="s">
        <v>219</v>
      </c>
    </row>
    <row r="616" spans="1:17" x14ac:dyDescent="0.25">
      <c r="A616" t="s">
        <v>176</v>
      </c>
    </row>
    <row r="617" spans="1:17" x14ac:dyDescent="0.25">
      <c r="A617" t="s">
        <v>158</v>
      </c>
    </row>
    <row r="618" spans="1:17" x14ac:dyDescent="0.25">
      <c r="A618" t="s">
        <v>154</v>
      </c>
    </row>
    <row r="619" spans="1:17" x14ac:dyDescent="0.25">
      <c r="A619" t="s">
        <v>181</v>
      </c>
    </row>
    <row r="620" spans="1:17" x14ac:dyDescent="0.25">
      <c r="A620" t="s">
        <v>159</v>
      </c>
    </row>
    <row r="621" spans="1:17" x14ac:dyDescent="0.25">
      <c r="A621" t="s">
        <v>15</v>
      </c>
    </row>
    <row r="622" spans="1:17" x14ac:dyDescent="0.25">
      <c r="A622" t="s">
        <v>96</v>
      </c>
    </row>
    <row r="623" spans="1:17" x14ac:dyDescent="0.25">
      <c r="A623" t="s">
        <v>28</v>
      </c>
    </row>
    <row r="624" spans="1:17" x14ac:dyDescent="0.25">
      <c r="A624" t="s">
        <v>93</v>
      </c>
    </row>
    <row r="625" spans="1:17" x14ac:dyDescent="0.25">
      <c r="A625" t="s">
        <v>185</v>
      </c>
    </row>
    <row r="626" spans="1:17" x14ac:dyDescent="0.25">
      <c r="A626" t="s">
        <v>184</v>
      </c>
    </row>
    <row r="627" spans="1:17" x14ac:dyDescent="0.25">
      <c r="A627" t="s">
        <v>21</v>
      </c>
    </row>
    <row r="628" spans="1:17" x14ac:dyDescent="0.25">
      <c r="A628" t="s">
        <v>16</v>
      </c>
    </row>
    <row r="629" spans="1:17" x14ac:dyDescent="0.25">
      <c r="A629" t="s">
        <v>23</v>
      </c>
    </row>
    <row r="630" spans="1:17" x14ac:dyDescent="0.25">
      <c r="A630" t="s">
        <v>26</v>
      </c>
    </row>
    <row r="631" spans="1:17" x14ac:dyDescent="0.25">
      <c r="A631" t="s">
        <v>186</v>
      </c>
    </row>
    <row r="632" spans="1:17" x14ac:dyDescent="0.25">
      <c r="A632" t="s">
        <v>98</v>
      </c>
    </row>
    <row r="633" spans="1:17" x14ac:dyDescent="0.25">
      <c r="A633" t="s">
        <v>94</v>
      </c>
    </row>
    <row r="634" spans="1:17" x14ac:dyDescent="0.25">
      <c r="A634" t="s">
        <v>33</v>
      </c>
    </row>
    <row r="635" spans="1:17" x14ac:dyDescent="0.25">
      <c r="A635" t="s">
        <v>201</v>
      </c>
    </row>
    <row r="636" spans="1:17" x14ac:dyDescent="0.25">
      <c r="A636" t="s">
        <v>99</v>
      </c>
    </row>
    <row r="638" spans="1:17" x14ac:dyDescent="0.25">
      <c r="A638">
        <v>9</v>
      </c>
      <c r="B638">
        <v>4</v>
      </c>
      <c r="C638">
        <v>0</v>
      </c>
      <c r="D638">
        <v>9</v>
      </c>
      <c r="E638">
        <v>221</v>
      </c>
      <c r="F638">
        <v>0.47799999999999998</v>
      </c>
      <c r="G638">
        <v>52</v>
      </c>
      <c r="H638">
        <v>0.377</v>
      </c>
      <c r="I638">
        <v>0.70299999999999996</v>
      </c>
      <c r="J638">
        <v>596</v>
      </c>
      <c r="K638">
        <v>57</v>
      </c>
      <c r="L638">
        <v>185</v>
      </c>
      <c r="M638">
        <v>144</v>
      </c>
      <c r="N638">
        <v>34</v>
      </c>
      <c r="O638">
        <v>24</v>
      </c>
      <c r="P638">
        <v>77</v>
      </c>
      <c r="Q638">
        <v>1.87</v>
      </c>
    </row>
    <row r="639" spans="1:17" x14ac:dyDescent="0.25">
      <c r="A639">
        <v>4</v>
      </c>
      <c r="B639">
        <v>9</v>
      </c>
      <c r="C639">
        <v>0</v>
      </c>
      <c r="D639">
        <v>4</v>
      </c>
      <c r="E639">
        <v>194</v>
      </c>
      <c r="F639">
        <v>0.46400000000000002</v>
      </c>
      <c r="G639">
        <v>32</v>
      </c>
      <c r="H639">
        <v>0.28299999999999997</v>
      </c>
      <c r="I639">
        <v>0.75</v>
      </c>
      <c r="J639">
        <v>504</v>
      </c>
      <c r="K639">
        <v>49</v>
      </c>
      <c r="L639">
        <v>117</v>
      </c>
      <c r="M639">
        <v>111</v>
      </c>
      <c r="N639">
        <v>30</v>
      </c>
      <c r="O639">
        <v>29</v>
      </c>
      <c r="P639">
        <v>52</v>
      </c>
      <c r="Q639">
        <v>2.13</v>
      </c>
    </row>
    <row r="640" spans="1:17" x14ac:dyDescent="0.25">
      <c r="A640">
        <v>9</v>
      </c>
      <c r="B640">
        <v>4</v>
      </c>
      <c r="C640">
        <v>0</v>
      </c>
      <c r="D640">
        <v>9</v>
      </c>
      <c r="E640">
        <v>230</v>
      </c>
      <c r="F640">
        <v>0.48699999999999999</v>
      </c>
      <c r="G640">
        <v>64</v>
      </c>
      <c r="H640">
        <v>0.379</v>
      </c>
      <c r="I640">
        <v>0.76700000000000002</v>
      </c>
      <c r="J640">
        <v>626</v>
      </c>
      <c r="K640">
        <v>49</v>
      </c>
      <c r="L640">
        <v>136</v>
      </c>
      <c r="M640">
        <v>139</v>
      </c>
      <c r="N640">
        <v>42</v>
      </c>
      <c r="O640">
        <v>9</v>
      </c>
      <c r="P640">
        <v>78</v>
      </c>
      <c r="Q640">
        <v>1.78</v>
      </c>
    </row>
    <row r="641" spans="1:17" x14ac:dyDescent="0.25">
      <c r="A641">
        <v>4</v>
      </c>
      <c r="B641">
        <v>9</v>
      </c>
      <c r="C641">
        <v>0</v>
      </c>
      <c r="D641">
        <v>4</v>
      </c>
      <c r="E641">
        <v>115</v>
      </c>
      <c r="F641">
        <v>0.47899999999999998</v>
      </c>
      <c r="G641">
        <v>44</v>
      </c>
      <c r="H641">
        <v>0.41499999999999998</v>
      </c>
      <c r="I641">
        <v>0.82799999999999996</v>
      </c>
      <c r="J641">
        <v>322</v>
      </c>
      <c r="K641">
        <v>36</v>
      </c>
      <c r="L641">
        <v>90</v>
      </c>
      <c r="M641">
        <v>64</v>
      </c>
      <c r="N641">
        <v>27</v>
      </c>
      <c r="O641">
        <v>11</v>
      </c>
      <c r="P641">
        <v>50</v>
      </c>
      <c r="Q641">
        <v>1.28</v>
      </c>
    </row>
    <row r="642" spans="1:17" x14ac:dyDescent="0.25">
      <c r="A642">
        <v>7</v>
      </c>
      <c r="B642">
        <v>6</v>
      </c>
      <c r="C642">
        <v>0</v>
      </c>
      <c r="D642">
        <v>7</v>
      </c>
      <c r="E642">
        <v>132</v>
      </c>
      <c r="F642">
        <v>0.46200000000000002</v>
      </c>
      <c r="G642">
        <v>34</v>
      </c>
      <c r="H642">
        <v>0.32400000000000001</v>
      </c>
      <c r="I642">
        <v>0.67600000000000005</v>
      </c>
      <c r="J642">
        <v>344</v>
      </c>
      <c r="K642">
        <v>42</v>
      </c>
      <c r="L642">
        <v>101</v>
      </c>
      <c r="M642">
        <v>79</v>
      </c>
      <c r="N642">
        <v>28</v>
      </c>
      <c r="O642">
        <v>12</v>
      </c>
      <c r="P642">
        <v>34</v>
      </c>
      <c r="Q642">
        <v>2.3199999999999998</v>
      </c>
    </row>
    <row r="643" spans="1:17" x14ac:dyDescent="0.25">
      <c r="A643">
        <v>6</v>
      </c>
      <c r="B643">
        <v>7</v>
      </c>
      <c r="C643">
        <v>0</v>
      </c>
      <c r="D643">
        <v>6</v>
      </c>
      <c r="E643">
        <v>114</v>
      </c>
      <c r="F643">
        <v>0.41</v>
      </c>
      <c r="G643">
        <v>38</v>
      </c>
      <c r="H643">
        <v>0.33600000000000002</v>
      </c>
      <c r="I643">
        <v>0.79600000000000004</v>
      </c>
      <c r="J643">
        <v>309</v>
      </c>
      <c r="K643">
        <v>44</v>
      </c>
      <c r="L643">
        <v>117</v>
      </c>
      <c r="M643">
        <v>77</v>
      </c>
      <c r="N643">
        <v>27</v>
      </c>
      <c r="O643">
        <v>18</v>
      </c>
      <c r="P643">
        <v>49</v>
      </c>
      <c r="Q643">
        <v>1.57</v>
      </c>
    </row>
    <row r="644" spans="1:17" x14ac:dyDescent="0.25">
      <c r="A644">
        <v>3</v>
      </c>
      <c r="B644">
        <v>10</v>
      </c>
      <c r="C644">
        <v>0</v>
      </c>
      <c r="D644">
        <v>3</v>
      </c>
      <c r="E644">
        <v>106</v>
      </c>
      <c r="F644">
        <v>0.42899999999999999</v>
      </c>
      <c r="G644">
        <v>47</v>
      </c>
      <c r="H644">
        <v>0.41199999999999998</v>
      </c>
      <c r="I644">
        <v>0.81399999999999995</v>
      </c>
      <c r="J644">
        <v>307</v>
      </c>
      <c r="K644">
        <v>22</v>
      </c>
      <c r="L644">
        <v>83</v>
      </c>
      <c r="M644">
        <v>84</v>
      </c>
      <c r="N644">
        <v>26</v>
      </c>
      <c r="O644">
        <v>11</v>
      </c>
      <c r="P644">
        <v>54</v>
      </c>
      <c r="Q644">
        <v>1.56</v>
      </c>
    </row>
    <row r="645" spans="1:17" x14ac:dyDescent="0.25">
      <c r="A645">
        <v>10</v>
      </c>
      <c r="B645">
        <v>3</v>
      </c>
      <c r="C645">
        <v>0</v>
      </c>
      <c r="D645">
        <v>10</v>
      </c>
      <c r="E645">
        <v>194</v>
      </c>
      <c r="F645">
        <v>0.48099999999999998</v>
      </c>
      <c r="G645">
        <v>64</v>
      </c>
      <c r="H645">
        <v>0.432</v>
      </c>
      <c r="I645">
        <v>0.752</v>
      </c>
      <c r="J645">
        <v>549</v>
      </c>
      <c r="K645">
        <v>47</v>
      </c>
      <c r="L645">
        <v>139</v>
      </c>
      <c r="M645">
        <v>74</v>
      </c>
      <c r="N645">
        <v>30</v>
      </c>
      <c r="O645">
        <v>18</v>
      </c>
      <c r="P645">
        <v>53</v>
      </c>
      <c r="Q645">
        <v>1.4</v>
      </c>
    </row>
    <row r="646" spans="1:17" x14ac:dyDescent="0.25">
      <c r="A646">
        <v>11</v>
      </c>
      <c r="B646">
        <v>2</v>
      </c>
      <c r="C646">
        <v>0</v>
      </c>
      <c r="D646">
        <v>11</v>
      </c>
      <c r="E646">
        <v>181</v>
      </c>
      <c r="F646">
        <v>0.45300000000000001</v>
      </c>
      <c r="G646">
        <v>49</v>
      </c>
      <c r="H646">
        <v>0.33300000000000002</v>
      </c>
      <c r="I646">
        <v>0.76100000000000001</v>
      </c>
      <c r="J646">
        <v>481</v>
      </c>
      <c r="K646">
        <v>40</v>
      </c>
      <c r="L646">
        <v>120</v>
      </c>
      <c r="M646">
        <v>150</v>
      </c>
      <c r="N646">
        <v>36</v>
      </c>
      <c r="O646">
        <v>27</v>
      </c>
      <c r="P646">
        <v>73</v>
      </c>
      <c r="Q646">
        <v>2.0499999999999998</v>
      </c>
    </row>
    <row r="647" spans="1:17" x14ac:dyDescent="0.25">
      <c r="A647">
        <v>2</v>
      </c>
      <c r="B647">
        <v>11</v>
      </c>
      <c r="C647">
        <v>0</v>
      </c>
      <c r="D647">
        <v>2</v>
      </c>
      <c r="E647">
        <v>114</v>
      </c>
      <c r="F647">
        <v>0.42899999999999999</v>
      </c>
      <c r="G647">
        <v>37</v>
      </c>
      <c r="H647">
        <v>0.31900000000000001</v>
      </c>
      <c r="I647">
        <v>0.877</v>
      </c>
      <c r="J647">
        <v>336</v>
      </c>
      <c r="K647">
        <v>32</v>
      </c>
      <c r="L647">
        <v>113</v>
      </c>
      <c r="M647">
        <v>86</v>
      </c>
      <c r="N647">
        <v>23</v>
      </c>
      <c r="O647">
        <v>9</v>
      </c>
      <c r="P647">
        <v>54</v>
      </c>
      <c r="Q647">
        <v>1.59</v>
      </c>
    </row>
    <row r="648" spans="1:17" x14ac:dyDescent="0.25">
      <c r="A648">
        <v>9</v>
      </c>
      <c r="B648">
        <v>4</v>
      </c>
      <c r="C648">
        <v>0</v>
      </c>
      <c r="D648">
        <v>9</v>
      </c>
      <c r="E648">
        <v>170</v>
      </c>
      <c r="F648">
        <v>0.52600000000000002</v>
      </c>
      <c r="G648">
        <v>36</v>
      </c>
      <c r="H648">
        <v>0.379</v>
      </c>
      <c r="I648">
        <v>0.9</v>
      </c>
      <c r="J648">
        <v>439</v>
      </c>
      <c r="K648">
        <v>56</v>
      </c>
      <c r="L648">
        <v>107</v>
      </c>
      <c r="M648">
        <v>79</v>
      </c>
      <c r="N648">
        <v>28</v>
      </c>
      <c r="O648">
        <v>25</v>
      </c>
      <c r="P648">
        <v>36</v>
      </c>
      <c r="Q648">
        <v>2.19</v>
      </c>
    </row>
    <row r="649" spans="1:17" x14ac:dyDescent="0.25">
      <c r="A649">
        <v>4</v>
      </c>
      <c r="B649">
        <v>9</v>
      </c>
      <c r="C649">
        <v>0</v>
      </c>
      <c r="D649">
        <v>4</v>
      </c>
      <c r="E649">
        <v>133</v>
      </c>
      <c r="F649">
        <v>0.49099999999999999</v>
      </c>
      <c r="G649">
        <v>49</v>
      </c>
      <c r="H649">
        <v>0.40799999999999997</v>
      </c>
      <c r="I649">
        <v>0.75</v>
      </c>
      <c r="J649">
        <v>363</v>
      </c>
      <c r="K649">
        <v>35</v>
      </c>
      <c r="L649">
        <v>113</v>
      </c>
      <c r="M649">
        <v>78</v>
      </c>
      <c r="N649">
        <v>29</v>
      </c>
      <c r="O649">
        <v>17</v>
      </c>
      <c r="P649">
        <v>52</v>
      </c>
      <c r="Q649">
        <v>1.5</v>
      </c>
    </row>
    <row r="650" spans="1:17" x14ac:dyDescent="0.25">
      <c r="A650">
        <v>2</v>
      </c>
      <c r="B650">
        <v>11</v>
      </c>
      <c r="C650">
        <v>0</v>
      </c>
      <c r="D650">
        <v>2</v>
      </c>
      <c r="E650">
        <v>166</v>
      </c>
      <c r="F650">
        <v>0.46100000000000002</v>
      </c>
      <c r="G650">
        <v>56</v>
      </c>
      <c r="H650">
        <v>0.378</v>
      </c>
      <c r="I650">
        <v>0.77600000000000002</v>
      </c>
      <c r="J650">
        <v>478</v>
      </c>
      <c r="K650">
        <v>44</v>
      </c>
      <c r="L650">
        <v>136</v>
      </c>
      <c r="M650">
        <v>89</v>
      </c>
      <c r="N650">
        <v>30</v>
      </c>
      <c r="O650">
        <v>30</v>
      </c>
      <c r="P650">
        <v>51</v>
      </c>
      <c r="Q650">
        <v>1.75</v>
      </c>
    </row>
    <row r="651" spans="1:17" x14ac:dyDescent="0.25">
      <c r="A651">
        <v>11</v>
      </c>
      <c r="B651">
        <v>2</v>
      </c>
      <c r="C651">
        <v>0</v>
      </c>
      <c r="D651">
        <v>11</v>
      </c>
      <c r="E651">
        <v>226</v>
      </c>
      <c r="F651">
        <v>0.50900000000000001</v>
      </c>
      <c r="G651">
        <v>67</v>
      </c>
      <c r="H651">
        <v>0.38300000000000001</v>
      </c>
      <c r="I651">
        <v>0.80700000000000005</v>
      </c>
      <c r="J651">
        <v>590</v>
      </c>
      <c r="K651">
        <v>47</v>
      </c>
      <c r="L651">
        <v>180</v>
      </c>
      <c r="M651">
        <v>152</v>
      </c>
      <c r="N651">
        <v>58</v>
      </c>
      <c r="O651">
        <v>25</v>
      </c>
      <c r="P651">
        <v>61</v>
      </c>
      <c r="Q651">
        <v>2.4900000000000002</v>
      </c>
    </row>
    <row r="652" spans="1:17" x14ac:dyDescent="0.25">
      <c r="A652">
        <v>9</v>
      </c>
      <c r="B652">
        <v>4</v>
      </c>
      <c r="C652">
        <v>0</v>
      </c>
      <c r="D652">
        <v>9</v>
      </c>
      <c r="E652">
        <v>209</v>
      </c>
      <c r="F652">
        <v>0.51100000000000001</v>
      </c>
      <c r="G652">
        <v>40</v>
      </c>
      <c r="H652">
        <v>0.32</v>
      </c>
      <c r="I652">
        <v>0.754</v>
      </c>
      <c r="J652">
        <v>559</v>
      </c>
      <c r="K652">
        <v>31</v>
      </c>
      <c r="L652">
        <v>133</v>
      </c>
      <c r="M652">
        <v>158</v>
      </c>
      <c r="N652">
        <v>29</v>
      </c>
      <c r="O652">
        <v>28</v>
      </c>
      <c r="P652">
        <v>47</v>
      </c>
      <c r="Q652">
        <v>3.36</v>
      </c>
    </row>
    <row r="653" spans="1:17" x14ac:dyDescent="0.25">
      <c r="A653">
        <v>4</v>
      </c>
      <c r="B653">
        <v>9</v>
      </c>
      <c r="C653">
        <v>0</v>
      </c>
      <c r="D653">
        <v>4</v>
      </c>
      <c r="E653">
        <v>132</v>
      </c>
      <c r="F653">
        <v>0.44700000000000001</v>
      </c>
      <c r="G653">
        <v>46</v>
      </c>
      <c r="H653">
        <v>0.35099999999999998</v>
      </c>
      <c r="I653">
        <v>0.76200000000000001</v>
      </c>
      <c r="J653">
        <v>342</v>
      </c>
      <c r="K653">
        <v>27</v>
      </c>
      <c r="L653">
        <v>83</v>
      </c>
      <c r="M653">
        <v>79</v>
      </c>
      <c r="N653">
        <v>22</v>
      </c>
      <c r="O653">
        <v>14</v>
      </c>
      <c r="P653">
        <v>40</v>
      </c>
      <c r="Q653">
        <v>1.98</v>
      </c>
    </row>
    <row r="654" spans="1:17" x14ac:dyDescent="0.25">
      <c r="A654">
        <v>12</v>
      </c>
      <c r="B654">
        <v>1</v>
      </c>
      <c r="C654">
        <v>0</v>
      </c>
      <c r="D654">
        <v>12</v>
      </c>
      <c r="E654">
        <v>223</v>
      </c>
      <c r="F654">
        <v>0.46800000000000003</v>
      </c>
      <c r="G654">
        <v>68</v>
      </c>
      <c r="H654">
        <v>0.38200000000000001</v>
      </c>
      <c r="I654">
        <v>0.89200000000000002</v>
      </c>
      <c r="J654">
        <v>638</v>
      </c>
      <c r="K654">
        <v>49</v>
      </c>
      <c r="L654">
        <v>157</v>
      </c>
      <c r="M654">
        <v>162</v>
      </c>
      <c r="N654">
        <v>44</v>
      </c>
      <c r="O654">
        <v>22</v>
      </c>
      <c r="P654">
        <v>68</v>
      </c>
      <c r="Q654">
        <v>2.38</v>
      </c>
    </row>
    <row r="655" spans="1:17" x14ac:dyDescent="0.25">
      <c r="A655">
        <v>1</v>
      </c>
      <c r="B655">
        <v>12</v>
      </c>
      <c r="C655">
        <v>0</v>
      </c>
      <c r="D655">
        <v>1</v>
      </c>
      <c r="E655">
        <v>143</v>
      </c>
      <c r="F655">
        <v>0.40100000000000002</v>
      </c>
      <c r="G655">
        <v>62</v>
      </c>
      <c r="H655">
        <v>0.34399999999999997</v>
      </c>
      <c r="I655">
        <v>0.871</v>
      </c>
      <c r="J655">
        <v>429</v>
      </c>
      <c r="K655">
        <v>15</v>
      </c>
      <c r="L655">
        <v>90</v>
      </c>
      <c r="M655">
        <v>100</v>
      </c>
      <c r="N655">
        <v>32</v>
      </c>
      <c r="O655">
        <v>9</v>
      </c>
      <c r="P655">
        <v>48</v>
      </c>
      <c r="Q655">
        <v>2.08</v>
      </c>
    </row>
    <row r="656" spans="1:17" x14ac:dyDescent="0.25">
      <c r="A656">
        <v>5</v>
      </c>
      <c r="B656">
        <v>8</v>
      </c>
      <c r="C656">
        <v>0</v>
      </c>
      <c r="D656">
        <v>5</v>
      </c>
      <c r="E656">
        <v>141</v>
      </c>
      <c r="F656">
        <v>0.443</v>
      </c>
      <c r="G656">
        <v>54</v>
      </c>
      <c r="H656">
        <v>0.36499999999999999</v>
      </c>
      <c r="I656">
        <v>0.76800000000000002</v>
      </c>
      <c r="J656">
        <v>389</v>
      </c>
      <c r="K656">
        <v>65</v>
      </c>
      <c r="L656">
        <v>140</v>
      </c>
      <c r="M656">
        <v>93</v>
      </c>
      <c r="N656">
        <v>33</v>
      </c>
      <c r="O656">
        <v>21</v>
      </c>
      <c r="P656">
        <v>58</v>
      </c>
      <c r="Q656">
        <v>1.6</v>
      </c>
    </row>
    <row r="657" spans="1:17" x14ac:dyDescent="0.25">
      <c r="A657">
        <v>8</v>
      </c>
      <c r="B657">
        <v>5</v>
      </c>
      <c r="C657">
        <v>0</v>
      </c>
      <c r="D657">
        <v>8</v>
      </c>
      <c r="E657">
        <v>191</v>
      </c>
      <c r="F657">
        <v>0.48799999999999999</v>
      </c>
      <c r="G657">
        <v>55</v>
      </c>
      <c r="H657">
        <v>0.39</v>
      </c>
      <c r="I657">
        <v>0.72199999999999998</v>
      </c>
      <c r="J657">
        <v>494</v>
      </c>
      <c r="K657">
        <v>56</v>
      </c>
      <c r="L657">
        <v>153</v>
      </c>
      <c r="M657">
        <v>88</v>
      </c>
      <c r="N657">
        <v>29</v>
      </c>
      <c r="O657">
        <v>22</v>
      </c>
      <c r="P657">
        <v>57</v>
      </c>
      <c r="Q657">
        <v>1.54</v>
      </c>
    </row>
    <row r="658" spans="1:17" x14ac:dyDescent="0.25">
      <c r="A658" t="s">
        <v>173</v>
      </c>
    </row>
    <row r="659" spans="1:17" x14ac:dyDescent="0.25">
      <c r="A659" t="s">
        <v>220</v>
      </c>
    </row>
    <row r="660" spans="1:17" x14ac:dyDescent="0.25">
      <c r="A660" t="s">
        <v>176</v>
      </c>
    </row>
    <row r="661" spans="1:17" x14ac:dyDescent="0.25">
      <c r="A661" t="s">
        <v>159</v>
      </c>
    </row>
    <row r="662" spans="1:17" x14ac:dyDescent="0.25">
      <c r="A662" t="s">
        <v>158</v>
      </c>
    </row>
    <row r="663" spans="1:17" x14ac:dyDescent="0.25">
      <c r="A663" t="s">
        <v>96</v>
      </c>
    </row>
    <row r="664" spans="1:17" x14ac:dyDescent="0.25">
      <c r="A664" t="s">
        <v>154</v>
      </c>
    </row>
    <row r="665" spans="1:17" x14ac:dyDescent="0.25">
      <c r="A665" t="s">
        <v>93</v>
      </c>
    </row>
    <row r="666" spans="1:17" x14ac:dyDescent="0.25">
      <c r="A666" t="s">
        <v>181</v>
      </c>
    </row>
    <row r="667" spans="1:17" x14ac:dyDescent="0.25">
      <c r="A667" t="s">
        <v>184</v>
      </c>
    </row>
    <row r="668" spans="1:17" x14ac:dyDescent="0.25">
      <c r="A668" t="s">
        <v>15</v>
      </c>
    </row>
    <row r="669" spans="1:17" x14ac:dyDescent="0.25">
      <c r="A669" t="s">
        <v>16</v>
      </c>
    </row>
    <row r="670" spans="1:17" x14ac:dyDescent="0.25">
      <c r="A670" t="s">
        <v>28</v>
      </c>
    </row>
    <row r="671" spans="1:17" x14ac:dyDescent="0.25">
      <c r="A671" t="s">
        <v>26</v>
      </c>
    </row>
    <row r="672" spans="1:17" x14ac:dyDescent="0.25">
      <c r="A672" t="s">
        <v>185</v>
      </c>
    </row>
    <row r="673" spans="1:17" x14ac:dyDescent="0.25">
      <c r="A673" t="s">
        <v>98</v>
      </c>
    </row>
    <row r="674" spans="1:17" x14ac:dyDescent="0.25">
      <c r="A674" t="s">
        <v>21</v>
      </c>
    </row>
    <row r="675" spans="1:17" x14ac:dyDescent="0.25">
      <c r="A675" t="s">
        <v>33</v>
      </c>
    </row>
    <row r="676" spans="1:17" x14ac:dyDescent="0.25">
      <c r="A676" t="s">
        <v>23</v>
      </c>
    </row>
    <row r="677" spans="1:17" x14ac:dyDescent="0.25">
      <c r="A677" t="s">
        <v>99</v>
      </c>
    </row>
    <row r="678" spans="1:17" x14ac:dyDescent="0.25">
      <c r="A678" t="s">
        <v>186</v>
      </c>
    </row>
    <row r="679" spans="1:17" x14ac:dyDescent="0.25">
      <c r="A679" t="s">
        <v>201</v>
      </c>
    </row>
    <row r="680" spans="1:17" x14ac:dyDescent="0.25">
      <c r="A680" t="s">
        <v>94</v>
      </c>
    </row>
    <row r="682" spans="1:17" x14ac:dyDescent="0.25">
      <c r="A682">
        <v>3</v>
      </c>
      <c r="B682">
        <v>9</v>
      </c>
      <c r="C682">
        <v>1</v>
      </c>
      <c r="D682">
        <v>3.5</v>
      </c>
      <c r="E682">
        <v>133</v>
      </c>
      <c r="F682">
        <v>0.44</v>
      </c>
      <c r="G682">
        <v>31</v>
      </c>
      <c r="H682">
        <v>0.26500000000000001</v>
      </c>
      <c r="I682">
        <v>0.79400000000000004</v>
      </c>
      <c r="J682">
        <v>374</v>
      </c>
      <c r="K682">
        <v>42</v>
      </c>
      <c r="L682">
        <v>133</v>
      </c>
      <c r="M682">
        <v>104</v>
      </c>
      <c r="N682">
        <v>27</v>
      </c>
      <c r="O682">
        <v>7</v>
      </c>
      <c r="P682">
        <v>48</v>
      </c>
      <c r="Q682">
        <v>2.17</v>
      </c>
    </row>
    <row r="683" spans="1:17" x14ac:dyDescent="0.25">
      <c r="A683">
        <v>9</v>
      </c>
      <c r="B683">
        <v>3</v>
      </c>
      <c r="C683">
        <v>1</v>
      </c>
      <c r="D683">
        <v>9.5</v>
      </c>
      <c r="E683">
        <v>150</v>
      </c>
      <c r="F683">
        <v>0.44600000000000001</v>
      </c>
      <c r="G683">
        <v>30</v>
      </c>
      <c r="H683">
        <v>0.28799999999999998</v>
      </c>
      <c r="I683">
        <v>0.84</v>
      </c>
      <c r="J683">
        <v>414</v>
      </c>
      <c r="K683">
        <v>45</v>
      </c>
      <c r="L683">
        <v>136</v>
      </c>
      <c r="M683">
        <v>104</v>
      </c>
      <c r="N683">
        <v>32</v>
      </c>
      <c r="O683">
        <v>19</v>
      </c>
      <c r="P683">
        <v>64</v>
      </c>
      <c r="Q683">
        <v>1.63</v>
      </c>
    </row>
    <row r="684" spans="1:17" x14ac:dyDescent="0.25">
      <c r="A684">
        <v>4</v>
      </c>
      <c r="B684">
        <v>9</v>
      </c>
      <c r="C684">
        <v>0</v>
      </c>
      <c r="D684">
        <v>4</v>
      </c>
      <c r="E684">
        <v>90</v>
      </c>
      <c r="F684">
        <v>0.48399999999999999</v>
      </c>
      <c r="G684">
        <v>36</v>
      </c>
      <c r="H684">
        <v>0.44400000000000001</v>
      </c>
      <c r="I684">
        <v>0.75800000000000001</v>
      </c>
      <c r="J684">
        <v>241</v>
      </c>
      <c r="K684">
        <v>23</v>
      </c>
      <c r="L684">
        <v>80</v>
      </c>
      <c r="M684">
        <v>41</v>
      </c>
      <c r="N684">
        <v>22</v>
      </c>
      <c r="O684">
        <v>11</v>
      </c>
      <c r="P684">
        <v>32</v>
      </c>
      <c r="Q684">
        <v>1.28</v>
      </c>
    </row>
    <row r="685" spans="1:17" x14ac:dyDescent="0.25">
      <c r="A685">
        <v>9</v>
      </c>
      <c r="B685">
        <v>4</v>
      </c>
      <c r="C685">
        <v>0</v>
      </c>
      <c r="D685">
        <v>9</v>
      </c>
      <c r="E685">
        <v>188</v>
      </c>
      <c r="F685">
        <v>0.47199999999999998</v>
      </c>
      <c r="G685">
        <v>48</v>
      </c>
      <c r="H685">
        <v>0.375</v>
      </c>
      <c r="I685">
        <v>0.72199999999999998</v>
      </c>
      <c r="J685">
        <v>507</v>
      </c>
      <c r="K685">
        <v>44</v>
      </c>
      <c r="L685">
        <v>120</v>
      </c>
      <c r="M685">
        <v>106</v>
      </c>
      <c r="N685">
        <v>40</v>
      </c>
      <c r="O685">
        <v>23</v>
      </c>
      <c r="P685">
        <v>67</v>
      </c>
      <c r="Q685">
        <v>1.58</v>
      </c>
    </row>
    <row r="686" spans="1:17" x14ac:dyDescent="0.25">
      <c r="A686">
        <v>6</v>
      </c>
      <c r="B686">
        <v>7</v>
      </c>
      <c r="C686">
        <v>0</v>
      </c>
      <c r="D686">
        <v>6</v>
      </c>
      <c r="E686">
        <v>159</v>
      </c>
      <c r="F686">
        <v>0.46500000000000002</v>
      </c>
      <c r="G686">
        <v>56</v>
      </c>
      <c r="H686">
        <v>0.36599999999999999</v>
      </c>
      <c r="I686">
        <v>0.69499999999999995</v>
      </c>
      <c r="J686">
        <v>440</v>
      </c>
      <c r="K686">
        <v>33</v>
      </c>
      <c r="L686">
        <v>106</v>
      </c>
      <c r="M686">
        <v>88</v>
      </c>
      <c r="N686">
        <v>17</v>
      </c>
      <c r="O686">
        <v>16</v>
      </c>
      <c r="P686">
        <v>50</v>
      </c>
      <c r="Q686">
        <v>1.76</v>
      </c>
    </row>
    <row r="687" spans="1:17" x14ac:dyDescent="0.25">
      <c r="A687">
        <v>7</v>
      </c>
      <c r="B687">
        <v>6</v>
      </c>
      <c r="C687">
        <v>0</v>
      </c>
      <c r="D687">
        <v>7</v>
      </c>
      <c r="E687">
        <v>191</v>
      </c>
      <c r="F687">
        <v>0.46800000000000003</v>
      </c>
      <c r="G687">
        <v>48</v>
      </c>
      <c r="H687">
        <v>0.33100000000000002</v>
      </c>
      <c r="I687">
        <v>0.86399999999999999</v>
      </c>
      <c r="J687">
        <v>538</v>
      </c>
      <c r="K687">
        <v>21</v>
      </c>
      <c r="L687">
        <v>122</v>
      </c>
      <c r="M687">
        <v>115</v>
      </c>
      <c r="N687">
        <v>47</v>
      </c>
      <c r="O687">
        <v>13</v>
      </c>
      <c r="P687">
        <v>67</v>
      </c>
      <c r="Q687">
        <v>1.72</v>
      </c>
    </row>
    <row r="688" spans="1:17" x14ac:dyDescent="0.25">
      <c r="A688">
        <v>7</v>
      </c>
      <c r="B688">
        <v>6</v>
      </c>
      <c r="C688">
        <v>0</v>
      </c>
      <c r="D688">
        <v>7</v>
      </c>
      <c r="E688">
        <v>102</v>
      </c>
      <c r="F688">
        <v>0.48099999999999998</v>
      </c>
      <c r="G688">
        <v>30</v>
      </c>
      <c r="H688">
        <v>0.34100000000000003</v>
      </c>
      <c r="I688">
        <v>0.71399999999999997</v>
      </c>
      <c r="J688">
        <v>269</v>
      </c>
      <c r="K688">
        <v>18</v>
      </c>
      <c r="L688">
        <v>91</v>
      </c>
      <c r="M688">
        <v>76</v>
      </c>
      <c r="N688">
        <v>22</v>
      </c>
      <c r="O688">
        <v>7</v>
      </c>
      <c r="P688">
        <v>27</v>
      </c>
      <c r="Q688">
        <v>2.81</v>
      </c>
    </row>
    <row r="689" spans="1:17" x14ac:dyDescent="0.25">
      <c r="A689">
        <v>6</v>
      </c>
      <c r="B689">
        <v>7</v>
      </c>
      <c r="C689">
        <v>0</v>
      </c>
      <c r="D689">
        <v>6</v>
      </c>
      <c r="E689">
        <v>99</v>
      </c>
      <c r="F689">
        <v>0.48099999999999998</v>
      </c>
      <c r="G689">
        <v>39</v>
      </c>
      <c r="H689">
        <v>0.41899999999999998</v>
      </c>
      <c r="I689">
        <v>0.83699999999999997</v>
      </c>
      <c r="J689">
        <v>273</v>
      </c>
      <c r="K689">
        <v>26</v>
      </c>
      <c r="L689">
        <v>77</v>
      </c>
      <c r="M689">
        <v>53</v>
      </c>
      <c r="N689">
        <v>14</v>
      </c>
      <c r="O689">
        <v>11</v>
      </c>
      <c r="P689">
        <v>31</v>
      </c>
      <c r="Q689">
        <v>1.71</v>
      </c>
    </row>
    <row r="690" spans="1:17" x14ac:dyDescent="0.25">
      <c r="A690">
        <v>11</v>
      </c>
      <c r="B690">
        <v>2</v>
      </c>
      <c r="C690">
        <v>0</v>
      </c>
      <c r="D690">
        <v>11</v>
      </c>
      <c r="E690">
        <v>128</v>
      </c>
      <c r="F690">
        <v>0.53100000000000003</v>
      </c>
      <c r="G690">
        <v>51</v>
      </c>
      <c r="H690">
        <v>0.44</v>
      </c>
      <c r="I690">
        <v>0.74199999999999999</v>
      </c>
      <c r="J690">
        <v>379</v>
      </c>
      <c r="K690">
        <v>26</v>
      </c>
      <c r="L690">
        <v>105</v>
      </c>
      <c r="M690">
        <v>78</v>
      </c>
      <c r="N690">
        <v>31</v>
      </c>
      <c r="O690">
        <v>17</v>
      </c>
      <c r="P690">
        <v>42</v>
      </c>
      <c r="Q690">
        <v>1.86</v>
      </c>
    </row>
    <row r="691" spans="1:17" x14ac:dyDescent="0.25">
      <c r="A691">
        <v>2</v>
      </c>
      <c r="B691">
        <v>11</v>
      </c>
      <c r="C691">
        <v>0</v>
      </c>
      <c r="D691">
        <v>2</v>
      </c>
      <c r="E691">
        <v>123</v>
      </c>
      <c r="F691">
        <v>0.48799999999999999</v>
      </c>
      <c r="G691">
        <v>48</v>
      </c>
      <c r="H691">
        <v>0.372</v>
      </c>
      <c r="I691">
        <v>0.8</v>
      </c>
      <c r="J691">
        <v>354</v>
      </c>
      <c r="K691">
        <v>14</v>
      </c>
      <c r="L691">
        <v>74</v>
      </c>
      <c r="M691">
        <v>64</v>
      </c>
      <c r="N691">
        <v>17</v>
      </c>
      <c r="O691">
        <v>11</v>
      </c>
      <c r="P691">
        <v>40</v>
      </c>
      <c r="Q691">
        <v>1.6</v>
      </c>
    </row>
    <row r="692" spans="1:17" x14ac:dyDescent="0.25">
      <c r="A692">
        <v>11</v>
      </c>
      <c r="B692">
        <v>2</v>
      </c>
      <c r="C692">
        <v>0</v>
      </c>
      <c r="D692">
        <v>11</v>
      </c>
      <c r="E692">
        <v>178</v>
      </c>
      <c r="F692">
        <v>0.46100000000000002</v>
      </c>
      <c r="G692">
        <v>42</v>
      </c>
      <c r="H692">
        <v>0.311</v>
      </c>
      <c r="I692">
        <v>0.83699999999999997</v>
      </c>
      <c r="J692">
        <v>470</v>
      </c>
      <c r="K692">
        <v>66</v>
      </c>
      <c r="L692">
        <v>144</v>
      </c>
      <c r="M692">
        <v>118</v>
      </c>
      <c r="N692">
        <v>25</v>
      </c>
      <c r="O692">
        <v>20</v>
      </c>
      <c r="P692">
        <v>46</v>
      </c>
      <c r="Q692">
        <v>2.57</v>
      </c>
    </row>
    <row r="693" spans="1:17" x14ac:dyDescent="0.25">
      <c r="A693">
        <v>2</v>
      </c>
      <c r="B693">
        <v>11</v>
      </c>
      <c r="C693">
        <v>0</v>
      </c>
      <c r="D693">
        <v>2</v>
      </c>
      <c r="E693">
        <v>148</v>
      </c>
      <c r="F693">
        <v>0.45100000000000001</v>
      </c>
      <c r="G693">
        <v>29</v>
      </c>
      <c r="H693">
        <v>0.26600000000000001</v>
      </c>
      <c r="I693">
        <v>0.68</v>
      </c>
      <c r="J693">
        <v>376</v>
      </c>
      <c r="K693">
        <v>43</v>
      </c>
      <c r="L693">
        <v>102</v>
      </c>
      <c r="M693">
        <v>117</v>
      </c>
      <c r="N693">
        <v>24</v>
      </c>
      <c r="O693">
        <v>10</v>
      </c>
      <c r="P693">
        <v>38</v>
      </c>
      <c r="Q693">
        <v>3.08</v>
      </c>
    </row>
    <row r="694" spans="1:17" x14ac:dyDescent="0.25">
      <c r="A694">
        <v>6</v>
      </c>
      <c r="B694">
        <v>7</v>
      </c>
      <c r="C694">
        <v>0</v>
      </c>
      <c r="D694">
        <v>6</v>
      </c>
      <c r="E694">
        <v>124</v>
      </c>
      <c r="F694">
        <v>0.49199999999999999</v>
      </c>
      <c r="G694">
        <v>50</v>
      </c>
      <c r="H694">
        <v>0.37</v>
      </c>
      <c r="I694">
        <v>0.88</v>
      </c>
      <c r="J694">
        <v>342</v>
      </c>
      <c r="K694">
        <v>24</v>
      </c>
      <c r="L694">
        <v>81</v>
      </c>
      <c r="M694">
        <v>74</v>
      </c>
      <c r="N694">
        <v>29</v>
      </c>
      <c r="O694">
        <v>19</v>
      </c>
      <c r="P694">
        <v>27</v>
      </c>
      <c r="Q694">
        <v>2.74</v>
      </c>
    </row>
    <row r="695" spans="1:17" x14ac:dyDescent="0.25">
      <c r="A695">
        <v>7</v>
      </c>
      <c r="B695">
        <v>6</v>
      </c>
      <c r="C695">
        <v>0</v>
      </c>
      <c r="D695">
        <v>7</v>
      </c>
      <c r="E695">
        <v>109</v>
      </c>
      <c r="F695">
        <v>0.49299999999999999</v>
      </c>
      <c r="G695">
        <v>32</v>
      </c>
      <c r="H695">
        <v>0.42099999999999999</v>
      </c>
      <c r="I695">
        <v>0.69599999999999995</v>
      </c>
      <c r="J695">
        <v>298</v>
      </c>
      <c r="K695">
        <v>25</v>
      </c>
      <c r="L695">
        <v>90</v>
      </c>
      <c r="M695">
        <v>75</v>
      </c>
      <c r="N695">
        <v>18</v>
      </c>
      <c r="O695">
        <v>11</v>
      </c>
      <c r="P695">
        <v>23</v>
      </c>
      <c r="Q695">
        <v>3.26</v>
      </c>
    </row>
    <row r="696" spans="1:17" x14ac:dyDescent="0.25">
      <c r="A696">
        <v>3</v>
      </c>
      <c r="B696">
        <v>10</v>
      </c>
      <c r="C696">
        <v>0</v>
      </c>
      <c r="D696">
        <v>3</v>
      </c>
      <c r="E696">
        <v>115</v>
      </c>
      <c r="F696">
        <v>0.45800000000000002</v>
      </c>
      <c r="G696">
        <v>48</v>
      </c>
      <c r="H696">
        <v>0.38700000000000001</v>
      </c>
      <c r="I696">
        <v>0.81799999999999995</v>
      </c>
      <c r="J696">
        <v>323</v>
      </c>
      <c r="K696">
        <v>22</v>
      </c>
      <c r="L696">
        <v>77</v>
      </c>
      <c r="M696">
        <v>84</v>
      </c>
      <c r="N696">
        <v>24</v>
      </c>
      <c r="O696">
        <v>5</v>
      </c>
      <c r="P696">
        <v>29</v>
      </c>
      <c r="Q696">
        <v>2.9</v>
      </c>
    </row>
    <row r="697" spans="1:17" x14ac:dyDescent="0.25">
      <c r="A697">
        <v>10</v>
      </c>
      <c r="B697">
        <v>3</v>
      </c>
      <c r="C697">
        <v>0</v>
      </c>
      <c r="D697">
        <v>10</v>
      </c>
      <c r="E697">
        <v>157</v>
      </c>
      <c r="F697">
        <v>0.46</v>
      </c>
      <c r="G697">
        <v>60</v>
      </c>
      <c r="H697">
        <v>0.39200000000000002</v>
      </c>
      <c r="I697">
        <v>0.81399999999999995</v>
      </c>
      <c r="J697">
        <v>431</v>
      </c>
      <c r="K697">
        <v>45</v>
      </c>
      <c r="L697">
        <v>121</v>
      </c>
      <c r="M697">
        <v>94</v>
      </c>
      <c r="N697">
        <v>26</v>
      </c>
      <c r="O697">
        <v>22</v>
      </c>
      <c r="P697">
        <v>50</v>
      </c>
      <c r="Q697">
        <v>1.88</v>
      </c>
    </row>
    <row r="698" spans="1:17" x14ac:dyDescent="0.25">
      <c r="A698">
        <v>6</v>
      </c>
      <c r="B698">
        <v>6</v>
      </c>
      <c r="C698">
        <v>1</v>
      </c>
      <c r="D698">
        <v>6.5</v>
      </c>
      <c r="E698">
        <v>142</v>
      </c>
      <c r="F698">
        <v>0.48599999999999999</v>
      </c>
      <c r="G698">
        <v>43</v>
      </c>
      <c r="H698">
        <v>0.377</v>
      </c>
      <c r="I698">
        <v>0.74399999999999999</v>
      </c>
      <c r="J698">
        <v>391</v>
      </c>
      <c r="K698">
        <v>45</v>
      </c>
      <c r="L698">
        <v>125</v>
      </c>
      <c r="M698">
        <v>70</v>
      </c>
      <c r="N698">
        <v>30</v>
      </c>
      <c r="O698">
        <v>18</v>
      </c>
      <c r="P698">
        <v>45</v>
      </c>
      <c r="Q698">
        <v>1.56</v>
      </c>
    </row>
    <row r="699" spans="1:17" x14ac:dyDescent="0.25">
      <c r="A699">
        <v>6</v>
      </c>
      <c r="B699">
        <v>6</v>
      </c>
      <c r="C699">
        <v>1</v>
      </c>
      <c r="D699">
        <v>6.5</v>
      </c>
      <c r="E699">
        <v>192</v>
      </c>
      <c r="F699">
        <v>0.46800000000000003</v>
      </c>
      <c r="G699">
        <v>44</v>
      </c>
      <c r="H699">
        <v>0.29099999999999998</v>
      </c>
      <c r="I699">
        <v>0.80900000000000005</v>
      </c>
      <c r="J699">
        <v>534</v>
      </c>
      <c r="K699">
        <v>24</v>
      </c>
      <c r="L699">
        <v>122</v>
      </c>
      <c r="M699">
        <v>121</v>
      </c>
      <c r="N699">
        <v>27</v>
      </c>
      <c r="O699">
        <v>18</v>
      </c>
      <c r="P699">
        <v>50</v>
      </c>
      <c r="Q699">
        <v>2.42</v>
      </c>
    </row>
    <row r="700" spans="1:17" x14ac:dyDescent="0.25">
      <c r="A700">
        <v>5</v>
      </c>
      <c r="B700">
        <v>8</v>
      </c>
      <c r="C700">
        <v>0</v>
      </c>
      <c r="D700">
        <v>5</v>
      </c>
      <c r="E700">
        <v>147</v>
      </c>
      <c r="F700">
        <v>0.52500000000000002</v>
      </c>
      <c r="G700">
        <v>46</v>
      </c>
      <c r="H700">
        <v>0.377</v>
      </c>
      <c r="I700">
        <v>0.71699999999999997</v>
      </c>
      <c r="J700">
        <v>378</v>
      </c>
      <c r="K700">
        <v>58</v>
      </c>
      <c r="L700">
        <v>121</v>
      </c>
      <c r="M700">
        <v>75</v>
      </c>
      <c r="N700">
        <v>25</v>
      </c>
      <c r="O700">
        <v>17</v>
      </c>
      <c r="P700">
        <v>39</v>
      </c>
      <c r="Q700">
        <v>1.92</v>
      </c>
    </row>
    <row r="701" spans="1:17" x14ac:dyDescent="0.25">
      <c r="A701">
        <v>8</v>
      </c>
      <c r="B701">
        <v>5</v>
      </c>
      <c r="C701">
        <v>0</v>
      </c>
      <c r="D701">
        <v>8</v>
      </c>
      <c r="E701">
        <v>174</v>
      </c>
      <c r="F701">
        <v>0.47699999999999998</v>
      </c>
      <c r="G701">
        <v>62</v>
      </c>
      <c r="H701">
        <v>0.41599999999999998</v>
      </c>
      <c r="I701">
        <v>0.85599999999999998</v>
      </c>
      <c r="J701">
        <v>505</v>
      </c>
      <c r="K701">
        <v>33</v>
      </c>
      <c r="L701">
        <v>95</v>
      </c>
      <c r="M701">
        <v>99</v>
      </c>
      <c r="N701">
        <v>23</v>
      </c>
      <c r="O701">
        <v>21</v>
      </c>
      <c r="P701">
        <v>50</v>
      </c>
      <c r="Q701">
        <v>1.98</v>
      </c>
    </row>
    <row r="702" spans="1:17" x14ac:dyDescent="0.25">
      <c r="A702" t="s">
        <v>174</v>
      </c>
    </row>
    <row r="703" spans="1:17" x14ac:dyDescent="0.25">
      <c r="A703" t="s">
        <v>221</v>
      </c>
    </row>
    <row r="704" spans="1:17" x14ac:dyDescent="0.25">
      <c r="A704" t="s">
        <v>176</v>
      </c>
    </row>
    <row r="705" spans="1:1" x14ac:dyDescent="0.25">
      <c r="A705" t="s">
        <v>158</v>
      </c>
    </row>
    <row r="706" spans="1:1" x14ac:dyDescent="0.25">
      <c r="A706" t="s">
        <v>96</v>
      </c>
    </row>
    <row r="707" spans="1:1" x14ac:dyDescent="0.25">
      <c r="A707" t="s">
        <v>159</v>
      </c>
    </row>
    <row r="708" spans="1:1" x14ac:dyDescent="0.25">
      <c r="A708" t="s">
        <v>93</v>
      </c>
    </row>
    <row r="709" spans="1:1" x14ac:dyDescent="0.25">
      <c r="A709" t="s">
        <v>154</v>
      </c>
    </row>
    <row r="710" spans="1:1" x14ac:dyDescent="0.25">
      <c r="A710" t="s">
        <v>184</v>
      </c>
    </row>
    <row r="711" spans="1:1" x14ac:dyDescent="0.25">
      <c r="A711" t="s">
        <v>181</v>
      </c>
    </row>
    <row r="712" spans="1:1" x14ac:dyDescent="0.25">
      <c r="A712" t="s">
        <v>16</v>
      </c>
    </row>
    <row r="713" spans="1:1" x14ac:dyDescent="0.25">
      <c r="A713" t="s">
        <v>15</v>
      </c>
    </row>
    <row r="714" spans="1:1" x14ac:dyDescent="0.25">
      <c r="A714" t="s">
        <v>26</v>
      </c>
    </row>
    <row r="715" spans="1:1" x14ac:dyDescent="0.25">
      <c r="A715" t="s">
        <v>28</v>
      </c>
    </row>
    <row r="716" spans="1:1" x14ac:dyDescent="0.25">
      <c r="A716" t="s">
        <v>98</v>
      </c>
    </row>
    <row r="717" spans="1:1" x14ac:dyDescent="0.25">
      <c r="A717" t="s">
        <v>185</v>
      </c>
    </row>
    <row r="718" spans="1:1" x14ac:dyDescent="0.25">
      <c r="A718" t="s">
        <v>33</v>
      </c>
    </row>
    <row r="719" spans="1:1" x14ac:dyDescent="0.25">
      <c r="A719" t="s">
        <v>21</v>
      </c>
    </row>
    <row r="720" spans="1:1" x14ac:dyDescent="0.25">
      <c r="A720" t="s">
        <v>99</v>
      </c>
    </row>
    <row r="721" spans="1:1" x14ac:dyDescent="0.25">
      <c r="A721" t="s">
        <v>23</v>
      </c>
    </row>
    <row r="722" spans="1:1" x14ac:dyDescent="0.25">
      <c r="A722" t="s">
        <v>201</v>
      </c>
    </row>
    <row r="723" spans="1:1" x14ac:dyDescent="0.25">
      <c r="A723" t="s">
        <v>186</v>
      </c>
    </row>
    <row r="724" spans="1:1" x14ac:dyDescent="0.25">
      <c r="A724" t="s">
        <v>94</v>
      </c>
    </row>
    <row r="725" spans="1:1" x14ac:dyDescent="0.25">
      <c r="A725" t="s">
        <v>94</v>
      </c>
    </row>
    <row r="726" spans="1:1" x14ac:dyDescent="0.25">
      <c r="A726" t="s">
        <v>28</v>
      </c>
    </row>
    <row r="727" spans="1:1" x14ac:dyDescent="0.25">
      <c r="A727" t="s">
        <v>93</v>
      </c>
    </row>
    <row r="728" spans="1:1" x14ac:dyDescent="0.25">
      <c r="A728" t="s">
        <v>16</v>
      </c>
    </row>
    <row r="729" spans="1:1" x14ac:dyDescent="0.25">
      <c r="A729" t="s">
        <v>184</v>
      </c>
    </row>
    <row r="730" spans="1:1" x14ac:dyDescent="0.25">
      <c r="A730" t="s">
        <v>158</v>
      </c>
    </row>
    <row r="731" spans="1:1" x14ac:dyDescent="0.25">
      <c r="A731" t="s">
        <v>201</v>
      </c>
    </row>
    <row r="732" spans="1:1" x14ac:dyDescent="0.25">
      <c r="A732" t="s">
        <v>15</v>
      </c>
    </row>
    <row r="733" spans="1:1" x14ac:dyDescent="0.25">
      <c r="A733" t="s">
        <v>186</v>
      </c>
    </row>
    <row r="734" spans="1:1" x14ac:dyDescent="0.25">
      <c r="A734" t="s">
        <v>185</v>
      </c>
    </row>
    <row r="735" spans="1:1" x14ac:dyDescent="0.25">
      <c r="A735" t="s">
        <v>96</v>
      </c>
    </row>
    <row r="736" spans="1:1" x14ac:dyDescent="0.25">
      <c r="A736" t="s">
        <v>26</v>
      </c>
    </row>
    <row r="737" spans="1:17" x14ac:dyDescent="0.25">
      <c r="A737" t="s">
        <v>23</v>
      </c>
    </row>
    <row r="738" spans="1:17" x14ac:dyDescent="0.25">
      <c r="A738" t="s">
        <v>21</v>
      </c>
    </row>
    <row r="739" spans="1:17" x14ac:dyDescent="0.25">
      <c r="A739" t="s">
        <v>159</v>
      </c>
    </row>
    <row r="740" spans="1:17" x14ac:dyDescent="0.25">
      <c r="A740" t="s">
        <v>98</v>
      </c>
    </row>
    <row r="741" spans="1:17" x14ac:dyDescent="0.25">
      <c r="A741" t="s">
        <v>181</v>
      </c>
    </row>
    <row r="742" spans="1:17" x14ac:dyDescent="0.25">
      <c r="A742" t="s">
        <v>99</v>
      </c>
    </row>
    <row r="743" spans="1:17" x14ac:dyDescent="0.25">
      <c r="A743" t="s">
        <v>154</v>
      </c>
    </row>
    <row r="744" spans="1:17" x14ac:dyDescent="0.25">
      <c r="A744" t="s">
        <v>33</v>
      </c>
    </row>
    <row r="746" spans="1:17" x14ac:dyDescent="0.25">
      <c r="A746">
        <v>11</v>
      </c>
      <c r="B746">
        <v>2</v>
      </c>
      <c r="C746">
        <v>0</v>
      </c>
      <c r="D746">
        <v>11</v>
      </c>
      <c r="E746">
        <v>229</v>
      </c>
      <c r="F746">
        <v>0.46500000000000002</v>
      </c>
      <c r="G746">
        <v>57</v>
      </c>
      <c r="H746">
        <v>0.34100000000000003</v>
      </c>
      <c r="I746">
        <v>0.74199999999999999</v>
      </c>
      <c r="J746">
        <v>633</v>
      </c>
      <c r="K746">
        <v>30</v>
      </c>
      <c r="L746">
        <v>143</v>
      </c>
      <c r="M746">
        <v>159</v>
      </c>
      <c r="N746">
        <v>36</v>
      </c>
      <c r="O746">
        <v>33</v>
      </c>
      <c r="P746">
        <v>77</v>
      </c>
      <c r="Q746">
        <v>2.06</v>
      </c>
    </row>
    <row r="747" spans="1:17" x14ac:dyDescent="0.25">
      <c r="A747">
        <v>2</v>
      </c>
      <c r="B747">
        <v>11</v>
      </c>
      <c r="C747">
        <v>0</v>
      </c>
      <c r="D747">
        <v>2</v>
      </c>
      <c r="E747">
        <v>131</v>
      </c>
      <c r="F747">
        <v>0.46100000000000002</v>
      </c>
      <c r="G747">
        <v>41</v>
      </c>
      <c r="H747">
        <v>0.33100000000000002</v>
      </c>
      <c r="I747">
        <v>0.63500000000000001</v>
      </c>
      <c r="J747">
        <v>343</v>
      </c>
      <c r="K747">
        <v>34</v>
      </c>
      <c r="L747">
        <v>121</v>
      </c>
      <c r="M747">
        <v>76</v>
      </c>
      <c r="N747">
        <v>26</v>
      </c>
      <c r="O747">
        <v>14</v>
      </c>
      <c r="P747">
        <v>50</v>
      </c>
      <c r="Q747">
        <v>1.52</v>
      </c>
    </row>
    <row r="748" spans="1:17" x14ac:dyDescent="0.25">
      <c r="A748">
        <v>9</v>
      </c>
      <c r="B748">
        <v>3</v>
      </c>
      <c r="C748">
        <v>1</v>
      </c>
      <c r="D748">
        <v>9.5</v>
      </c>
      <c r="E748">
        <v>225</v>
      </c>
      <c r="F748">
        <v>0.48699999999999999</v>
      </c>
      <c r="G748">
        <v>49</v>
      </c>
      <c r="H748">
        <v>0.32</v>
      </c>
      <c r="I748">
        <v>0.79400000000000004</v>
      </c>
      <c r="J748">
        <v>622</v>
      </c>
      <c r="K748">
        <v>74</v>
      </c>
      <c r="L748">
        <v>200</v>
      </c>
      <c r="M748">
        <v>170</v>
      </c>
      <c r="N748">
        <v>39</v>
      </c>
      <c r="O748">
        <v>17</v>
      </c>
      <c r="P748">
        <v>88</v>
      </c>
      <c r="Q748">
        <v>1.93</v>
      </c>
    </row>
    <row r="749" spans="1:17" x14ac:dyDescent="0.25">
      <c r="A749">
        <v>3</v>
      </c>
      <c r="B749">
        <v>9</v>
      </c>
      <c r="C749">
        <v>1</v>
      </c>
      <c r="D749">
        <v>3.5</v>
      </c>
      <c r="E749">
        <v>202</v>
      </c>
      <c r="F749">
        <v>0.44800000000000001</v>
      </c>
      <c r="G749">
        <v>83</v>
      </c>
      <c r="H749">
        <v>0.34599999999999997</v>
      </c>
      <c r="I749">
        <v>0.76</v>
      </c>
      <c r="J749">
        <v>563</v>
      </c>
      <c r="K749">
        <v>24</v>
      </c>
      <c r="L749">
        <v>102</v>
      </c>
      <c r="M749">
        <v>97</v>
      </c>
      <c r="N749">
        <v>39</v>
      </c>
      <c r="O749">
        <v>13</v>
      </c>
      <c r="P749">
        <v>65</v>
      </c>
      <c r="Q749">
        <v>1.49</v>
      </c>
    </row>
    <row r="750" spans="1:17" x14ac:dyDescent="0.25">
      <c r="A750">
        <v>11</v>
      </c>
      <c r="B750">
        <v>2</v>
      </c>
      <c r="C750">
        <v>0</v>
      </c>
      <c r="D750">
        <v>11</v>
      </c>
      <c r="E750">
        <v>175</v>
      </c>
      <c r="F750">
        <v>0.46500000000000002</v>
      </c>
      <c r="G750">
        <v>43</v>
      </c>
      <c r="H750">
        <v>0.35799999999999998</v>
      </c>
      <c r="I750">
        <v>0.79600000000000004</v>
      </c>
      <c r="J750">
        <v>510</v>
      </c>
      <c r="K750">
        <v>45</v>
      </c>
      <c r="L750">
        <v>126</v>
      </c>
      <c r="M750">
        <v>103</v>
      </c>
      <c r="N750">
        <v>48</v>
      </c>
      <c r="O750">
        <v>19</v>
      </c>
      <c r="P750">
        <v>60</v>
      </c>
      <c r="Q750">
        <v>1.72</v>
      </c>
    </row>
    <row r="751" spans="1:17" x14ac:dyDescent="0.25">
      <c r="A751">
        <v>2</v>
      </c>
      <c r="B751">
        <v>11</v>
      </c>
      <c r="C751">
        <v>0</v>
      </c>
      <c r="D751">
        <v>2</v>
      </c>
      <c r="E751">
        <v>117</v>
      </c>
      <c r="F751">
        <v>0.39700000000000002</v>
      </c>
      <c r="G751">
        <v>30</v>
      </c>
      <c r="H751">
        <v>0.28299999999999997</v>
      </c>
      <c r="I751">
        <v>0.83</v>
      </c>
      <c r="J751">
        <v>337</v>
      </c>
      <c r="K751">
        <v>26</v>
      </c>
      <c r="L751">
        <v>100</v>
      </c>
      <c r="M751">
        <v>74</v>
      </c>
      <c r="N751">
        <v>25</v>
      </c>
      <c r="O751">
        <v>14</v>
      </c>
      <c r="P751">
        <v>45</v>
      </c>
      <c r="Q751">
        <v>1.64</v>
      </c>
    </row>
    <row r="752" spans="1:17" x14ac:dyDescent="0.25">
      <c r="A752">
        <v>8</v>
      </c>
      <c r="B752">
        <v>5</v>
      </c>
      <c r="C752">
        <v>0</v>
      </c>
      <c r="D752">
        <v>8</v>
      </c>
      <c r="E752">
        <v>292</v>
      </c>
      <c r="F752">
        <v>0.44700000000000001</v>
      </c>
      <c r="G752">
        <v>72</v>
      </c>
      <c r="H752">
        <v>0.29499999999999998</v>
      </c>
      <c r="I752">
        <v>0.80900000000000005</v>
      </c>
      <c r="J752">
        <v>834</v>
      </c>
      <c r="K752">
        <v>55</v>
      </c>
      <c r="L752">
        <v>193</v>
      </c>
      <c r="M752">
        <v>243</v>
      </c>
      <c r="N752">
        <v>52</v>
      </c>
      <c r="O752">
        <v>25</v>
      </c>
      <c r="P752">
        <v>110</v>
      </c>
      <c r="Q752">
        <v>2.21</v>
      </c>
    </row>
    <row r="753" spans="1:17" x14ac:dyDescent="0.25">
      <c r="A753">
        <v>5</v>
      </c>
      <c r="B753">
        <v>8</v>
      </c>
      <c r="C753">
        <v>0</v>
      </c>
      <c r="D753">
        <v>5</v>
      </c>
      <c r="E753">
        <v>158</v>
      </c>
      <c r="F753">
        <v>0.49399999999999999</v>
      </c>
      <c r="G753">
        <v>48</v>
      </c>
      <c r="H753">
        <v>0.4</v>
      </c>
      <c r="I753">
        <v>0.81599999999999995</v>
      </c>
      <c r="J753">
        <v>448</v>
      </c>
      <c r="K753">
        <v>36</v>
      </c>
      <c r="L753">
        <v>117</v>
      </c>
      <c r="M753">
        <v>133</v>
      </c>
      <c r="N753">
        <v>40</v>
      </c>
      <c r="O753">
        <v>19</v>
      </c>
      <c r="P753">
        <v>56</v>
      </c>
      <c r="Q753">
        <v>2.38</v>
      </c>
    </row>
    <row r="754" spans="1:17" x14ac:dyDescent="0.25">
      <c r="A754">
        <v>2</v>
      </c>
      <c r="B754">
        <v>11</v>
      </c>
      <c r="C754">
        <v>0</v>
      </c>
      <c r="D754">
        <v>2</v>
      </c>
      <c r="E754">
        <v>128</v>
      </c>
      <c r="F754">
        <v>0.48099999999999998</v>
      </c>
      <c r="G754">
        <v>41</v>
      </c>
      <c r="H754">
        <v>0.35</v>
      </c>
      <c r="I754">
        <v>0.79200000000000004</v>
      </c>
      <c r="J754">
        <v>335</v>
      </c>
      <c r="K754">
        <v>35</v>
      </c>
      <c r="L754">
        <v>88</v>
      </c>
      <c r="M754">
        <v>67</v>
      </c>
      <c r="N754">
        <v>22</v>
      </c>
      <c r="O754">
        <v>2</v>
      </c>
      <c r="P754">
        <v>33</v>
      </c>
      <c r="Q754">
        <v>2.0299999999999998</v>
      </c>
    </row>
    <row r="755" spans="1:17" x14ac:dyDescent="0.25">
      <c r="A755">
        <v>11</v>
      </c>
      <c r="B755">
        <v>2</v>
      </c>
      <c r="C755">
        <v>0</v>
      </c>
      <c r="D755">
        <v>11</v>
      </c>
      <c r="E755">
        <v>143</v>
      </c>
      <c r="F755">
        <v>0.48799999999999999</v>
      </c>
      <c r="G755">
        <v>44</v>
      </c>
      <c r="H755">
        <v>0.4</v>
      </c>
      <c r="I755">
        <v>0.80800000000000005</v>
      </c>
      <c r="J755">
        <v>389</v>
      </c>
      <c r="K755">
        <v>41</v>
      </c>
      <c r="L755">
        <v>130</v>
      </c>
      <c r="M755">
        <v>135</v>
      </c>
      <c r="N755">
        <v>29</v>
      </c>
      <c r="O755">
        <v>11</v>
      </c>
      <c r="P755">
        <v>67</v>
      </c>
      <c r="Q755">
        <v>2.0099999999999998</v>
      </c>
    </row>
    <row r="756" spans="1:17" x14ac:dyDescent="0.25">
      <c r="A756">
        <v>2</v>
      </c>
      <c r="B756">
        <v>11</v>
      </c>
      <c r="C756">
        <v>0</v>
      </c>
      <c r="D756">
        <v>2</v>
      </c>
      <c r="E756">
        <v>145</v>
      </c>
      <c r="F756">
        <v>0.47099999999999997</v>
      </c>
      <c r="G756">
        <v>67</v>
      </c>
      <c r="H756">
        <v>0.38700000000000001</v>
      </c>
      <c r="I756">
        <v>0.77800000000000002</v>
      </c>
      <c r="J756">
        <v>413</v>
      </c>
      <c r="K756">
        <v>24</v>
      </c>
      <c r="L756">
        <v>85</v>
      </c>
      <c r="M756">
        <v>63</v>
      </c>
      <c r="N756">
        <v>22</v>
      </c>
      <c r="O756">
        <v>22</v>
      </c>
      <c r="P756">
        <v>58</v>
      </c>
      <c r="Q756">
        <v>1.0900000000000001</v>
      </c>
    </row>
    <row r="757" spans="1:17" x14ac:dyDescent="0.25">
      <c r="A757">
        <v>11</v>
      </c>
      <c r="B757">
        <v>2</v>
      </c>
      <c r="C757">
        <v>0</v>
      </c>
      <c r="D757">
        <v>11</v>
      </c>
      <c r="E757">
        <v>156</v>
      </c>
      <c r="F757">
        <v>0.47399999999999998</v>
      </c>
      <c r="G757">
        <v>48</v>
      </c>
      <c r="H757">
        <v>0.33600000000000002</v>
      </c>
      <c r="I757">
        <v>0.81499999999999995</v>
      </c>
      <c r="J757">
        <v>435</v>
      </c>
      <c r="K757">
        <v>40</v>
      </c>
      <c r="L757">
        <v>142</v>
      </c>
      <c r="M757">
        <v>130</v>
      </c>
      <c r="N757">
        <v>44</v>
      </c>
      <c r="O757">
        <v>23</v>
      </c>
      <c r="P757">
        <v>52</v>
      </c>
      <c r="Q757">
        <v>2.5</v>
      </c>
    </row>
    <row r="758" spans="1:17" x14ac:dyDescent="0.25">
      <c r="A758">
        <v>8</v>
      </c>
      <c r="B758">
        <v>5</v>
      </c>
      <c r="C758">
        <v>0</v>
      </c>
      <c r="D758">
        <v>8</v>
      </c>
      <c r="E758">
        <v>172</v>
      </c>
      <c r="F758">
        <v>0.46400000000000002</v>
      </c>
      <c r="G758">
        <v>50</v>
      </c>
      <c r="H758">
        <v>0.35199999999999998</v>
      </c>
      <c r="I758">
        <v>0.80600000000000005</v>
      </c>
      <c r="J758">
        <v>473</v>
      </c>
      <c r="K758">
        <v>30</v>
      </c>
      <c r="L758">
        <v>113</v>
      </c>
      <c r="M758">
        <v>143</v>
      </c>
      <c r="N758">
        <v>32</v>
      </c>
      <c r="O758">
        <v>13</v>
      </c>
      <c r="P758">
        <v>50</v>
      </c>
      <c r="Q758">
        <v>2.86</v>
      </c>
    </row>
    <row r="759" spans="1:17" x14ac:dyDescent="0.25">
      <c r="A759">
        <v>5</v>
      </c>
      <c r="B759">
        <v>8</v>
      </c>
      <c r="C759">
        <v>0</v>
      </c>
      <c r="D759">
        <v>5</v>
      </c>
      <c r="E759">
        <v>146</v>
      </c>
      <c r="F759">
        <v>0.42</v>
      </c>
      <c r="G759">
        <v>59</v>
      </c>
      <c r="H759">
        <v>0.31900000000000001</v>
      </c>
      <c r="I759">
        <v>0.80400000000000005</v>
      </c>
      <c r="J759">
        <v>392</v>
      </c>
      <c r="K759">
        <v>39</v>
      </c>
      <c r="L759">
        <v>128</v>
      </c>
      <c r="M759">
        <v>93</v>
      </c>
      <c r="N759">
        <v>34</v>
      </c>
      <c r="O759">
        <v>19</v>
      </c>
      <c r="P759">
        <v>51</v>
      </c>
      <c r="Q759">
        <v>1.82</v>
      </c>
    </row>
    <row r="760" spans="1:17" x14ac:dyDescent="0.25">
      <c r="A760">
        <v>3</v>
      </c>
      <c r="B760">
        <v>10</v>
      </c>
      <c r="C760">
        <v>0</v>
      </c>
      <c r="D760">
        <v>3</v>
      </c>
      <c r="E760">
        <v>191</v>
      </c>
      <c r="F760">
        <v>0.50900000000000001</v>
      </c>
      <c r="G760">
        <v>26</v>
      </c>
      <c r="H760">
        <v>0.26300000000000001</v>
      </c>
      <c r="I760">
        <v>0.747</v>
      </c>
      <c r="J760">
        <v>473</v>
      </c>
      <c r="K760">
        <v>42</v>
      </c>
      <c r="L760">
        <v>137</v>
      </c>
      <c r="M760">
        <v>95</v>
      </c>
      <c r="N760">
        <v>40</v>
      </c>
      <c r="O760">
        <v>23</v>
      </c>
      <c r="P760">
        <v>56</v>
      </c>
      <c r="Q760">
        <v>1.7</v>
      </c>
    </row>
    <row r="761" spans="1:17" x14ac:dyDescent="0.25">
      <c r="A761">
        <v>10</v>
      </c>
      <c r="B761">
        <v>3</v>
      </c>
      <c r="C761">
        <v>0</v>
      </c>
      <c r="D761">
        <v>10</v>
      </c>
      <c r="E761">
        <v>241</v>
      </c>
      <c r="F761">
        <v>0.52700000000000002</v>
      </c>
      <c r="G761">
        <v>61</v>
      </c>
      <c r="H761">
        <v>0.379</v>
      </c>
      <c r="I761">
        <v>0.81499999999999995</v>
      </c>
      <c r="J761">
        <v>640</v>
      </c>
      <c r="K761">
        <v>86</v>
      </c>
      <c r="L761">
        <v>208</v>
      </c>
      <c r="M761">
        <v>99</v>
      </c>
      <c r="N761">
        <v>43</v>
      </c>
      <c r="O761">
        <v>21</v>
      </c>
      <c r="P761">
        <v>59</v>
      </c>
      <c r="Q761">
        <v>1.68</v>
      </c>
    </row>
    <row r="762" spans="1:17" x14ac:dyDescent="0.25">
      <c r="A762">
        <v>5</v>
      </c>
      <c r="B762">
        <v>8</v>
      </c>
      <c r="C762">
        <v>0</v>
      </c>
      <c r="D762">
        <v>5</v>
      </c>
      <c r="E762">
        <v>186</v>
      </c>
      <c r="F762">
        <v>0.442</v>
      </c>
      <c r="G762">
        <v>66</v>
      </c>
      <c r="H762">
        <v>0.36499999999999999</v>
      </c>
      <c r="I762">
        <v>0.81799999999999995</v>
      </c>
      <c r="J762">
        <v>519</v>
      </c>
      <c r="K762">
        <v>42</v>
      </c>
      <c r="L762">
        <v>135</v>
      </c>
      <c r="M762">
        <v>137</v>
      </c>
      <c r="N762">
        <v>41</v>
      </c>
      <c r="O762">
        <v>30</v>
      </c>
      <c r="P762">
        <v>82</v>
      </c>
      <c r="Q762">
        <v>1.67</v>
      </c>
    </row>
    <row r="763" spans="1:17" x14ac:dyDescent="0.25">
      <c r="A763">
        <v>8</v>
      </c>
      <c r="B763">
        <v>5</v>
      </c>
      <c r="C763">
        <v>0</v>
      </c>
      <c r="D763">
        <v>8</v>
      </c>
      <c r="E763">
        <v>194</v>
      </c>
      <c r="F763">
        <v>0.505</v>
      </c>
      <c r="G763">
        <v>77</v>
      </c>
      <c r="H763">
        <v>0.42099999999999999</v>
      </c>
      <c r="I763">
        <v>0.65400000000000003</v>
      </c>
      <c r="J763">
        <v>533</v>
      </c>
      <c r="K763">
        <v>71</v>
      </c>
      <c r="L763">
        <v>148</v>
      </c>
      <c r="M763">
        <v>91</v>
      </c>
      <c r="N763">
        <v>27</v>
      </c>
      <c r="O763">
        <v>27</v>
      </c>
      <c r="P763">
        <v>64</v>
      </c>
      <c r="Q763">
        <v>1.42</v>
      </c>
    </row>
    <row r="764" spans="1:17" x14ac:dyDescent="0.25">
      <c r="A764">
        <v>10</v>
      </c>
      <c r="B764">
        <v>3</v>
      </c>
      <c r="C764">
        <v>0</v>
      </c>
      <c r="D764">
        <v>10</v>
      </c>
      <c r="E764">
        <v>305</v>
      </c>
      <c r="F764">
        <v>0.49</v>
      </c>
      <c r="G764">
        <v>72</v>
      </c>
      <c r="H764">
        <v>0.33200000000000002</v>
      </c>
      <c r="I764">
        <v>0.82399999999999995</v>
      </c>
      <c r="J764">
        <v>879</v>
      </c>
      <c r="K764">
        <v>44</v>
      </c>
      <c r="L764">
        <v>215</v>
      </c>
      <c r="M764">
        <v>192</v>
      </c>
      <c r="N764">
        <v>46</v>
      </c>
      <c r="O764">
        <v>34</v>
      </c>
      <c r="P764">
        <v>88</v>
      </c>
      <c r="Q764">
        <v>2.1800000000000002</v>
      </c>
    </row>
    <row r="765" spans="1:17" x14ac:dyDescent="0.25">
      <c r="A765">
        <v>3</v>
      </c>
      <c r="B765">
        <v>10</v>
      </c>
      <c r="C765">
        <v>0</v>
      </c>
      <c r="D765">
        <v>3</v>
      </c>
      <c r="E765">
        <v>165</v>
      </c>
      <c r="F765">
        <v>0.47299999999999998</v>
      </c>
      <c r="G765">
        <v>62</v>
      </c>
      <c r="H765">
        <v>0.40799999999999997</v>
      </c>
      <c r="I765">
        <v>0.78700000000000003</v>
      </c>
      <c r="J765">
        <v>451</v>
      </c>
      <c r="K765">
        <v>42</v>
      </c>
      <c r="L765">
        <v>161</v>
      </c>
      <c r="M765">
        <v>101</v>
      </c>
      <c r="N765">
        <v>28</v>
      </c>
      <c r="O765">
        <v>25</v>
      </c>
      <c r="P765">
        <v>41</v>
      </c>
      <c r="Q765">
        <v>2.46</v>
      </c>
    </row>
    <row r="766" spans="1:17" x14ac:dyDescent="0.25">
      <c r="A766">
        <v>12</v>
      </c>
      <c r="B766">
        <v>1</v>
      </c>
      <c r="C766">
        <v>0</v>
      </c>
      <c r="D766">
        <v>12</v>
      </c>
      <c r="E766">
        <v>165</v>
      </c>
      <c r="F766">
        <v>0.47299999999999998</v>
      </c>
      <c r="G766">
        <v>62</v>
      </c>
      <c r="H766">
        <v>0.40799999999999997</v>
      </c>
      <c r="I766">
        <v>0.78700000000000003</v>
      </c>
      <c r="J766">
        <v>451</v>
      </c>
      <c r="K766">
        <v>42</v>
      </c>
      <c r="L766">
        <v>161</v>
      </c>
      <c r="M766">
        <v>101</v>
      </c>
      <c r="N766">
        <v>28</v>
      </c>
      <c r="O766">
        <v>25</v>
      </c>
      <c r="P766">
        <v>41</v>
      </c>
      <c r="Q766">
        <v>2.46</v>
      </c>
    </row>
    <row r="767" spans="1:17" x14ac:dyDescent="0.25">
      <c r="A767">
        <v>1</v>
      </c>
      <c r="B767">
        <v>12</v>
      </c>
      <c r="C767">
        <v>0</v>
      </c>
      <c r="D767">
        <v>1</v>
      </c>
      <c r="E767">
        <v>145</v>
      </c>
      <c r="F767">
        <v>0.47099999999999997</v>
      </c>
      <c r="G767">
        <v>67</v>
      </c>
      <c r="H767">
        <v>0.38700000000000001</v>
      </c>
      <c r="I767">
        <v>0.77800000000000002</v>
      </c>
      <c r="J767">
        <v>413</v>
      </c>
      <c r="K767">
        <v>24</v>
      </c>
      <c r="L767">
        <v>85</v>
      </c>
      <c r="M767">
        <v>63</v>
      </c>
      <c r="N767">
        <v>22</v>
      </c>
      <c r="O767">
        <v>22</v>
      </c>
      <c r="P767">
        <v>58</v>
      </c>
      <c r="Q767">
        <v>1.0900000000000001</v>
      </c>
    </row>
    <row r="768" spans="1:17" x14ac:dyDescent="0.25">
      <c r="A768">
        <v>3</v>
      </c>
      <c r="B768">
        <v>10</v>
      </c>
      <c r="C768">
        <v>0</v>
      </c>
      <c r="D768">
        <v>3</v>
      </c>
      <c r="E768">
        <v>202</v>
      </c>
      <c r="F768">
        <v>0.44800000000000001</v>
      </c>
      <c r="G768">
        <v>83</v>
      </c>
      <c r="H768">
        <v>0.34599999999999997</v>
      </c>
      <c r="I768">
        <v>0.76</v>
      </c>
      <c r="J768">
        <v>563</v>
      </c>
      <c r="K768">
        <v>24</v>
      </c>
      <c r="L768">
        <v>102</v>
      </c>
      <c r="M768">
        <v>97</v>
      </c>
      <c r="N768">
        <v>39</v>
      </c>
      <c r="O768">
        <v>13</v>
      </c>
      <c r="P768">
        <v>65</v>
      </c>
      <c r="Q768">
        <v>1.49</v>
      </c>
    </row>
    <row r="769" spans="1:17" x14ac:dyDescent="0.25">
      <c r="A769">
        <v>10</v>
      </c>
      <c r="B769">
        <v>3</v>
      </c>
      <c r="C769">
        <v>0</v>
      </c>
      <c r="D769">
        <v>10</v>
      </c>
      <c r="E769">
        <v>158</v>
      </c>
      <c r="F769">
        <v>0.49399999999999999</v>
      </c>
      <c r="G769">
        <v>48</v>
      </c>
      <c r="H769">
        <v>0.4</v>
      </c>
      <c r="I769">
        <v>0.81599999999999995</v>
      </c>
      <c r="J769">
        <v>448</v>
      </c>
      <c r="K769">
        <v>36</v>
      </c>
      <c r="L769">
        <v>117</v>
      </c>
      <c r="M769">
        <v>133</v>
      </c>
      <c r="N769">
        <v>40</v>
      </c>
      <c r="O769">
        <v>19</v>
      </c>
      <c r="P769">
        <v>56</v>
      </c>
      <c r="Q769">
        <v>2.38</v>
      </c>
    </row>
    <row r="770" spans="1:17" x14ac:dyDescent="0.25">
      <c r="A770">
        <v>2</v>
      </c>
      <c r="B770">
        <v>11</v>
      </c>
      <c r="C770">
        <v>0</v>
      </c>
      <c r="D770">
        <v>2</v>
      </c>
      <c r="E770">
        <v>117</v>
      </c>
      <c r="F770">
        <v>0.39700000000000002</v>
      </c>
      <c r="G770">
        <v>30</v>
      </c>
      <c r="H770">
        <v>0.28299999999999997</v>
      </c>
      <c r="I770">
        <v>0.83</v>
      </c>
      <c r="J770">
        <v>337</v>
      </c>
      <c r="K770">
        <v>26</v>
      </c>
      <c r="L770">
        <v>100</v>
      </c>
      <c r="M770">
        <v>74</v>
      </c>
      <c r="N770">
        <v>25</v>
      </c>
      <c r="O770">
        <v>14</v>
      </c>
      <c r="P770">
        <v>45</v>
      </c>
      <c r="Q770">
        <v>1.64</v>
      </c>
    </row>
    <row r="771" spans="1:17" x14ac:dyDescent="0.25">
      <c r="A771">
        <v>11</v>
      </c>
      <c r="B771">
        <v>2</v>
      </c>
      <c r="C771">
        <v>0</v>
      </c>
      <c r="D771">
        <v>11</v>
      </c>
      <c r="E771">
        <v>229</v>
      </c>
      <c r="F771">
        <v>0.46500000000000002</v>
      </c>
      <c r="G771">
        <v>57</v>
      </c>
      <c r="H771">
        <v>0.34100000000000003</v>
      </c>
      <c r="I771">
        <v>0.74199999999999999</v>
      </c>
      <c r="J771">
        <v>633</v>
      </c>
      <c r="K771">
        <v>30</v>
      </c>
      <c r="L771">
        <v>143</v>
      </c>
      <c r="M771">
        <v>159</v>
      </c>
      <c r="N771">
        <v>36</v>
      </c>
      <c r="O771">
        <v>33</v>
      </c>
      <c r="P771">
        <v>77</v>
      </c>
      <c r="Q771">
        <v>2.06</v>
      </c>
    </row>
    <row r="772" spans="1:17" x14ac:dyDescent="0.25">
      <c r="A772">
        <v>10</v>
      </c>
      <c r="B772">
        <v>3</v>
      </c>
      <c r="C772">
        <v>0</v>
      </c>
      <c r="D772">
        <v>10</v>
      </c>
      <c r="E772">
        <v>194</v>
      </c>
      <c r="F772">
        <v>0.505</v>
      </c>
      <c r="G772">
        <v>77</v>
      </c>
      <c r="H772">
        <v>0.42099999999999999</v>
      </c>
      <c r="I772">
        <v>0.65400000000000003</v>
      </c>
      <c r="J772">
        <v>533</v>
      </c>
      <c r="K772">
        <v>71</v>
      </c>
      <c r="L772">
        <v>148</v>
      </c>
      <c r="M772">
        <v>91</v>
      </c>
      <c r="N772">
        <v>27</v>
      </c>
      <c r="O772">
        <v>27</v>
      </c>
      <c r="P772">
        <v>64</v>
      </c>
      <c r="Q772">
        <v>1.42</v>
      </c>
    </row>
    <row r="773" spans="1:17" x14ac:dyDescent="0.25">
      <c r="A773">
        <v>3</v>
      </c>
      <c r="B773">
        <v>10</v>
      </c>
      <c r="C773">
        <v>0</v>
      </c>
      <c r="D773">
        <v>3</v>
      </c>
      <c r="E773">
        <v>128</v>
      </c>
      <c r="F773">
        <v>0.48099999999999998</v>
      </c>
      <c r="G773">
        <v>41</v>
      </c>
      <c r="H773">
        <v>0.35</v>
      </c>
      <c r="I773">
        <v>0.79200000000000004</v>
      </c>
      <c r="J773">
        <v>335</v>
      </c>
      <c r="K773">
        <v>35</v>
      </c>
      <c r="L773">
        <v>88</v>
      </c>
      <c r="M773">
        <v>67</v>
      </c>
      <c r="N773">
        <v>22</v>
      </c>
      <c r="O773">
        <v>2</v>
      </c>
      <c r="P773">
        <v>33</v>
      </c>
      <c r="Q773">
        <v>2.0299999999999998</v>
      </c>
    </row>
    <row r="774" spans="1:17" x14ac:dyDescent="0.25">
      <c r="A774">
        <v>10</v>
      </c>
      <c r="B774">
        <v>3</v>
      </c>
      <c r="C774">
        <v>0</v>
      </c>
      <c r="D774">
        <v>10</v>
      </c>
      <c r="E774">
        <v>305</v>
      </c>
      <c r="F774">
        <v>0.49</v>
      </c>
      <c r="G774">
        <v>72</v>
      </c>
      <c r="H774">
        <v>0.33200000000000002</v>
      </c>
      <c r="I774">
        <v>0.82399999999999995</v>
      </c>
      <c r="J774">
        <v>879</v>
      </c>
      <c r="K774">
        <v>44</v>
      </c>
      <c r="L774">
        <v>215</v>
      </c>
      <c r="M774">
        <v>192</v>
      </c>
      <c r="N774">
        <v>46</v>
      </c>
      <c r="O774">
        <v>34</v>
      </c>
      <c r="P774">
        <v>88</v>
      </c>
      <c r="Q774">
        <v>2.1800000000000002</v>
      </c>
    </row>
    <row r="775" spans="1:17" x14ac:dyDescent="0.25">
      <c r="A775">
        <v>3</v>
      </c>
      <c r="B775">
        <v>10</v>
      </c>
      <c r="C775">
        <v>0</v>
      </c>
      <c r="D775">
        <v>3</v>
      </c>
      <c r="E775">
        <v>172</v>
      </c>
      <c r="F775">
        <v>0.46400000000000002</v>
      </c>
      <c r="G775">
        <v>50</v>
      </c>
      <c r="H775">
        <v>0.35199999999999998</v>
      </c>
      <c r="I775">
        <v>0.80600000000000005</v>
      </c>
      <c r="J775">
        <v>473</v>
      </c>
      <c r="K775">
        <v>30</v>
      </c>
      <c r="L775">
        <v>113</v>
      </c>
      <c r="M775">
        <v>143</v>
      </c>
      <c r="N775">
        <v>32</v>
      </c>
      <c r="O775">
        <v>13</v>
      </c>
      <c r="P775">
        <v>50</v>
      </c>
      <c r="Q775">
        <v>2.86</v>
      </c>
    </row>
    <row r="776" spans="1:17" x14ac:dyDescent="0.25">
      <c r="A776">
        <v>2</v>
      </c>
      <c r="B776">
        <v>11</v>
      </c>
      <c r="C776">
        <v>0</v>
      </c>
      <c r="D776">
        <v>2</v>
      </c>
      <c r="E776">
        <v>131</v>
      </c>
      <c r="F776">
        <v>0.46100000000000002</v>
      </c>
      <c r="G776">
        <v>41</v>
      </c>
      <c r="H776">
        <v>0.33100000000000002</v>
      </c>
      <c r="I776">
        <v>0.63500000000000001</v>
      </c>
      <c r="J776">
        <v>343</v>
      </c>
      <c r="K776">
        <v>34</v>
      </c>
      <c r="L776">
        <v>121</v>
      </c>
      <c r="M776">
        <v>76</v>
      </c>
      <c r="N776">
        <v>26</v>
      </c>
      <c r="O776">
        <v>14</v>
      </c>
      <c r="P776">
        <v>50</v>
      </c>
      <c r="Q776">
        <v>1.52</v>
      </c>
    </row>
    <row r="777" spans="1:17" x14ac:dyDescent="0.25">
      <c r="A777">
        <v>11</v>
      </c>
      <c r="B777">
        <v>2</v>
      </c>
      <c r="C777">
        <v>0</v>
      </c>
      <c r="D777">
        <v>11</v>
      </c>
      <c r="E777">
        <v>143</v>
      </c>
      <c r="F777">
        <v>0.48799999999999999</v>
      </c>
      <c r="G777">
        <v>44</v>
      </c>
      <c r="H777">
        <v>0.4</v>
      </c>
      <c r="I777">
        <v>0.80800000000000005</v>
      </c>
      <c r="J777">
        <v>389</v>
      </c>
      <c r="K777">
        <v>41</v>
      </c>
      <c r="L777">
        <v>130</v>
      </c>
      <c r="M777">
        <v>135</v>
      </c>
      <c r="N777">
        <v>29</v>
      </c>
      <c r="O777">
        <v>11</v>
      </c>
      <c r="P777">
        <v>67</v>
      </c>
      <c r="Q777">
        <v>2.0099999999999998</v>
      </c>
    </row>
    <row r="778" spans="1:17" x14ac:dyDescent="0.25">
      <c r="A778">
        <v>7</v>
      </c>
      <c r="B778">
        <v>5</v>
      </c>
      <c r="C778">
        <v>1</v>
      </c>
      <c r="D778">
        <v>7.5</v>
      </c>
      <c r="E778">
        <v>186</v>
      </c>
      <c r="F778">
        <v>0.442</v>
      </c>
      <c r="G778">
        <v>66</v>
      </c>
      <c r="H778">
        <v>0.36499999999999999</v>
      </c>
      <c r="I778">
        <v>0.81799999999999995</v>
      </c>
      <c r="J778">
        <v>519</v>
      </c>
      <c r="K778">
        <v>42</v>
      </c>
      <c r="L778">
        <v>135</v>
      </c>
      <c r="M778">
        <v>137</v>
      </c>
      <c r="N778">
        <v>41</v>
      </c>
      <c r="O778">
        <v>30</v>
      </c>
      <c r="P778">
        <v>82</v>
      </c>
      <c r="Q778">
        <v>1.67</v>
      </c>
    </row>
    <row r="779" spans="1:17" x14ac:dyDescent="0.25">
      <c r="A779">
        <v>5</v>
      </c>
      <c r="B779">
        <v>7</v>
      </c>
      <c r="C779">
        <v>1</v>
      </c>
      <c r="D779">
        <v>5.5</v>
      </c>
      <c r="E779">
        <v>191</v>
      </c>
      <c r="F779">
        <v>0.50900000000000001</v>
      </c>
      <c r="G779">
        <v>26</v>
      </c>
      <c r="H779">
        <v>0.26300000000000001</v>
      </c>
      <c r="I779">
        <v>0.747</v>
      </c>
      <c r="J779">
        <v>473</v>
      </c>
      <c r="K779">
        <v>42</v>
      </c>
      <c r="L779">
        <v>137</v>
      </c>
      <c r="M779">
        <v>95</v>
      </c>
      <c r="N779">
        <v>40</v>
      </c>
      <c r="O779">
        <v>23</v>
      </c>
      <c r="P779">
        <v>56</v>
      </c>
      <c r="Q779">
        <v>1.7</v>
      </c>
    </row>
    <row r="780" spans="1:17" x14ac:dyDescent="0.25">
      <c r="A780">
        <v>7</v>
      </c>
      <c r="B780">
        <v>6</v>
      </c>
      <c r="C780">
        <v>0</v>
      </c>
      <c r="D780">
        <v>7</v>
      </c>
      <c r="E780">
        <v>225</v>
      </c>
      <c r="F780">
        <v>0.48699999999999999</v>
      </c>
      <c r="G780">
        <v>49</v>
      </c>
      <c r="H780">
        <v>0.32</v>
      </c>
      <c r="I780">
        <v>0.79400000000000004</v>
      </c>
      <c r="J780">
        <v>622</v>
      </c>
      <c r="K780">
        <v>74</v>
      </c>
      <c r="L780">
        <v>200</v>
      </c>
      <c r="M780">
        <v>170</v>
      </c>
      <c r="N780">
        <v>39</v>
      </c>
      <c r="O780">
        <v>17</v>
      </c>
      <c r="P780">
        <v>88</v>
      </c>
      <c r="Q780">
        <v>1.93</v>
      </c>
    </row>
    <row r="781" spans="1:17" x14ac:dyDescent="0.25">
      <c r="A781">
        <v>6</v>
      </c>
      <c r="B781">
        <v>7</v>
      </c>
      <c r="C781">
        <v>0</v>
      </c>
      <c r="D781">
        <v>6</v>
      </c>
      <c r="E781">
        <v>156</v>
      </c>
      <c r="F781">
        <v>0.47399999999999998</v>
      </c>
      <c r="G781">
        <v>48</v>
      </c>
      <c r="H781">
        <v>0.33600000000000002</v>
      </c>
      <c r="I781">
        <v>0.81499999999999995</v>
      </c>
      <c r="J781">
        <v>435</v>
      </c>
      <c r="K781">
        <v>40</v>
      </c>
      <c r="L781">
        <v>142</v>
      </c>
      <c r="M781">
        <v>130</v>
      </c>
      <c r="N781">
        <v>44</v>
      </c>
      <c r="O781">
        <v>23</v>
      </c>
      <c r="P781">
        <v>52</v>
      </c>
      <c r="Q781">
        <v>2.5</v>
      </c>
    </row>
    <row r="782" spans="1:17" x14ac:dyDescent="0.25">
      <c r="A782">
        <v>7</v>
      </c>
      <c r="B782">
        <v>6</v>
      </c>
      <c r="C782">
        <v>0</v>
      </c>
      <c r="D782">
        <v>7</v>
      </c>
      <c r="E782">
        <v>292</v>
      </c>
      <c r="F782">
        <v>0.44700000000000001</v>
      </c>
      <c r="G782">
        <v>72</v>
      </c>
      <c r="H782">
        <v>0.29499999999999998</v>
      </c>
      <c r="I782">
        <v>0.80900000000000005</v>
      </c>
      <c r="J782">
        <v>834</v>
      </c>
      <c r="K782">
        <v>55</v>
      </c>
      <c r="L782">
        <v>193</v>
      </c>
      <c r="M782">
        <v>243</v>
      </c>
      <c r="N782">
        <v>52</v>
      </c>
      <c r="O782">
        <v>25</v>
      </c>
      <c r="P782">
        <v>110</v>
      </c>
      <c r="Q782">
        <v>2.21</v>
      </c>
    </row>
    <row r="783" spans="1:17" x14ac:dyDescent="0.25">
      <c r="A783">
        <v>6</v>
      </c>
      <c r="B783">
        <v>7</v>
      </c>
      <c r="C783">
        <v>0</v>
      </c>
      <c r="D783">
        <v>6</v>
      </c>
      <c r="E783">
        <v>241</v>
      </c>
      <c r="F783">
        <v>0.52700000000000002</v>
      </c>
      <c r="G783">
        <v>61</v>
      </c>
      <c r="H783">
        <v>0.379</v>
      </c>
      <c r="I783">
        <v>0.81499999999999995</v>
      </c>
      <c r="J783">
        <v>640</v>
      </c>
      <c r="K783">
        <v>86</v>
      </c>
      <c r="L783">
        <v>208</v>
      </c>
      <c r="M783">
        <v>99</v>
      </c>
      <c r="N783">
        <v>43</v>
      </c>
      <c r="O783">
        <v>21</v>
      </c>
      <c r="P783">
        <v>59</v>
      </c>
      <c r="Q783">
        <v>1.68</v>
      </c>
    </row>
    <row r="784" spans="1:17" x14ac:dyDescent="0.25">
      <c r="A784">
        <v>7</v>
      </c>
      <c r="B784">
        <v>5</v>
      </c>
      <c r="C784">
        <v>1</v>
      </c>
      <c r="D784">
        <v>7.5</v>
      </c>
      <c r="E784">
        <v>175</v>
      </c>
      <c r="F784">
        <v>0.46500000000000002</v>
      </c>
      <c r="G784">
        <v>43</v>
      </c>
      <c r="H784">
        <v>0.35799999999999998</v>
      </c>
      <c r="I784">
        <v>0.79600000000000004</v>
      </c>
      <c r="J784">
        <v>510</v>
      </c>
      <c r="K784">
        <v>45</v>
      </c>
      <c r="L784">
        <v>126</v>
      </c>
      <c r="M784">
        <v>103</v>
      </c>
      <c r="N784">
        <v>48</v>
      </c>
      <c r="O784">
        <v>19</v>
      </c>
      <c r="P784">
        <v>60</v>
      </c>
      <c r="Q784">
        <v>1.72</v>
      </c>
    </row>
    <row r="785" spans="1:17" x14ac:dyDescent="0.25">
      <c r="A785">
        <v>5</v>
      </c>
      <c r="B785">
        <v>7</v>
      </c>
      <c r="C785">
        <v>1</v>
      </c>
      <c r="D785">
        <v>5.5</v>
      </c>
      <c r="E785">
        <v>146</v>
      </c>
      <c r="F785">
        <v>0.42</v>
      </c>
      <c r="G785">
        <v>59</v>
      </c>
      <c r="H785">
        <v>0.31900000000000001</v>
      </c>
      <c r="I785">
        <v>0.80400000000000005</v>
      </c>
      <c r="J785">
        <v>392</v>
      </c>
      <c r="K785">
        <v>39</v>
      </c>
      <c r="L785">
        <v>128</v>
      </c>
      <c r="M785">
        <v>93</v>
      </c>
      <c r="N785">
        <v>34</v>
      </c>
      <c r="O785">
        <v>19</v>
      </c>
      <c r="P785">
        <v>51</v>
      </c>
      <c r="Q785">
        <v>1.82</v>
      </c>
    </row>
    <row r="786" spans="1:17" x14ac:dyDescent="0.25">
      <c r="A786" t="s">
        <v>175</v>
      </c>
    </row>
    <row r="787" spans="1:17" x14ac:dyDescent="0.25">
      <c r="A787" t="s">
        <v>222</v>
      </c>
    </row>
    <row r="788" spans="1:17" x14ac:dyDescent="0.25">
      <c r="A788" t="s">
        <v>176</v>
      </c>
    </row>
    <row r="789" spans="1:17" x14ac:dyDescent="0.25">
      <c r="A789" t="s">
        <v>93</v>
      </c>
    </row>
    <row r="790" spans="1:17" x14ac:dyDescent="0.25">
      <c r="A790" t="s">
        <v>158</v>
      </c>
    </row>
    <row r="791" spans="1:17" x14ac:dyDescent="0.25">
      <c r="A791" t="s">
        <v>184</v>
      </c>
    </row>
    <row r="792" spans="1:17" x14ac:dyDescent="0.25">
      <c r="A792" t="s">
        <v>96</v>
      </c>
    </row>
    <row r="793" spans="1:17" x14ac:dyDescent="0.25">
      <c r="A793" t="s">
        <v>16</v>
      </c>
    </row>
    <row r="794" spans="1:17" x14ac:dyDescent="0.25">
      <c r="A794" t="s">
        <v>159</v>
      </c>
    </row>
    <row r="795" spans="1:17" x14ac:dyDescent="0.25">
      <c r="A795" t="s">
        <v>26</v>
      </c>
    </row>
    <row r="796" spans="1:17" x14ac:dyDescent="0.25">
      <c r="A796" t="s">
        <v>154</v>
      </c>
    </row>
    <row r="797" spans="1:17" x14ac:dyDescent="0.25">
      <c r="A797" t="s">
        <v>98</v>
      </c>
    </row>
    <row r="798" spans="1:17" x14ac:dyDescent="0.25">
      <c r="A798" t="s">
        <v>181</v>
      </c>
    </row>
    <row r="799" spans="1:17" x14ac:dyDescent="0.25">
      <c r="A799" t="s">
        <v>33</v>
      </c>
    </row>
    <row r="800" spans="1:17" x14ac:dyDescent="0.25">
      <c r="A800" t="s">
        <v>15</v>
      </c>
    </row>
    <row r="801" spans="1:17" x14ac:dyDescent="0.25">
      <c r="A801" t="s">
        <v>99</v>
      </c>
    </row>
    <row r="802" spans="1:17" x14ac:dyDescent="0.25">
      <c r="A802" t="s">
        <v>28</v>
      </c>
    </row>
    <row r="803" spans="1:17" x14ac:dyDescent="0.25">
      <c r="A803" t="s">
        <v>201</v>
      </c>
    </row>
    <row r="804" spans="1:17" x14ac:dyDescent="0.25">
      <c r="A804" t="s">
        <v>185</v>
      </c>
    </row>
    <row r="805" spans="1:17" x14ac:dyDescent="0.25">
      <c r="A805" t="s">
        <v>94</v>
      </c>
    </row>
    <row r="806" spans="1:17" x14ac:dyDescent="0.25">
      <c r="A806" t="s">
        <v>21</v>
      </c>
    </row>
    <row r="807" spans="1:17" x14ac:dyDescent="0.25">
      <c r="A807" t="s">
        <v>186</v>
      </c>
    </row>
    <row r="808" spans="1:17" x14ac:dyDescent="0.25">
      <c r="A808" t="s">
        <v>23</v>
      </c>
    </row>
    <row r="810" spans="1:17" x14ac:dyDescent="0.25">
      <c r="A810">
        <v>5</v>
      </c>
      <c r="B810">
        <v>8</v>
      </c>
      <c r="C810">
        <v>0</v>
      </c>
      <c r="D810">
        <v>5</v>
      </c>
      <c r="E810">
        <v>138</v>
      </c>
      <c r="F810">
        <v>0.45500000000000002</v>
      </c>
      <c r="G810">
        <v>57</v>
      </c>
      <c r="H810">
        <v>0.39300000000000002</v>
      </c>
      <c r="I810">
        <v>0.75600000000000001</v>
      </c>
      <c r="J810">
        <v>435</v>
      </c>
      <c r="K810">
        <v>47</v>
      </c>
      <c r="L810">
        <v>102</v>
      </c>
      <c r="M810">
        <v>92</v>
      </c>
      <c r="N810">
        <v>23</v>
      </c>
      <c r="O810">
        <v>12</v>
      </c>
      <c r="P810">
        <v>49</v>
      </c>
      <c r="Q810">
        <v>1.88</v>
      </c>
    </row>
    <row r="811" spans="1:17" x14ac:dyDescent="0.25">
      <c r="A811">
        <v>8</v>
      </c>
      <c r="B811">
        <v>5</v>
      </c>
      <c r="C811">
        <v>0</v>
      </c>
      <c r="D811">
        <v>8</v>
      </c>
      <c r="E811">
        <v>185</v>
      </c>
      <c r="F811">
        <v>0.47199999999999998</v>
      </c>
      <c r="G811">
        <v>46</v>
      </c>
      <c r="H811">
        <v>0.35099999999999998</v>
      </c>
      <c r="I811">
        <v>0.72299999999999998</v>
      </c>
      <c r="J811">
        <v>531</v>
      </c>
      <c r="K811">
        <v>25</v>
      </c>
      <c r="L811">
        <v>130</v>
      </c>
      <c r="M811">
        <v>138</v>
      </c>
      <c r="N811">
        <v>25</v>
      </c>
      <c r="O811">
        <v>19</v>
      </c>
      <c r="P811">
        <v>59</v>
      </c>
      <c r="Q811">
        <v>2.34</v>
      </c>
    </row>
    <row r="812" spans="1:17" x14ac:dyDescent="0.25">
      <c r="A812">
        <v>7</v>
      </c>
      <c r="B812">
        <v>6</v>
      </c>
      <c r="C812">
        <v>0</v>
      </c>
      <c r="D812">
        <v>7</v>
      </c>
      <c r="E812">
        <v>112</v>
      </c>
      <c r="F812">
        <v>0.45</v>
      </c>
      <c r="G812">
        <v>26</v>
      </c>
      <c r="H812">
        <v>0.28000000000000003</v>
      </c>
      <c r="I812">
        <v>0.754</v>
      </c>
      <c r="J812">
        <v>296</v>
      </c>
      <c r="K812">
        <v>23</v>
      </c>
      <c r="L812">
        <v>72</v>
      </c>
      <c r="M812">
        <v>65</v>
      </c>
      <c r="N812">
        <v>32</v>
      </c>
      <c r="O812">
        <v>9</v>
      </c>
      <c r="P812">
        <v>42</v>
      </c>
      <c r="Q812">
        <v>1.55</v>
      </c>
    </row>
    <row r="813" spans="1:17" x14ac:dyDescent="0.25">
      <c r="A813">
        <v>6</v>
      </c>
      <c r="B813">
        <v>7</v>
      </c>
      <c r="C813">
        <v>0</v>
      </c>
      <c r="D813">
        <v>6</v>
      </c>
      <c r="E813">
        <v>86</v>
      </c>
      <c r="F813">
        <v>0.42199999999999999</v>
      </c>
      <c r="G813">
        <v>36</v>
      </c>
      <c r="H813">
        <v>0.36</v>
      </c>
      <c r="I813">
        <v>0.81799999999999995</v>
      </c>
      <c r="J813">
        <v>244</v>
      </c>
      <c r="K813">
        <v>20</v>
      </c>
      <c r="L813">
        <v>68</v>
      </c>
      <c r="M813">
        <v>64</v>
      </c>
      <c r="N813">
        <v>23</v>
      </c>
      <c r="O813">
        <v>20</v>
      </c>
      <c r="P813">
        <v>38</v>
      </c>
      <c r="Q813">
        <v>1.68</v>
      </c>
    </row>
    <row r="814" spans="1:17" x14ac:dyDescent="0.25">
      <c r="A814">
        <v>5</v>
      </c>
      <c r="B814">
        <v>7</v>
      </c>
      <c r="C814">
        <v>1</v>
      </c>
      <c r="D814">
        <v>5.5</v>
      </c>
      <c r="E814">
        <v>160</v>
      </c>
      <c r="F814">
        <v>0.48299999999999998</v>
      </c>
      <c r="G814">
        <v>50</v>
      </c>
      <c r="H814">
        <v>0.38200000000000001</v>
      </c>
      <c r="I814">
        <v>0.84599999999999997</v>
      </c>
      <c r="J814">
        <v>436</v>
      </c>
      <c r="K814">
        <v>43</v>
      </c>
      <c r="L814">
        <v>123</v>
      </c>
      <c r="M814">
        <v>94</v>
      </c>
      <c r="N814">
        <v>32</v>
      </c>
      <c r="O814">
        <v>24</v>
      </c>
      <c r="P814">
        <v>43</v>
      </c>
      <c r="Q814">
        <v>2.19</v>
      </c>
    </row>
    <row r="815" spans="1:17" x14ac:dyDescent="0.25">
      <c r="A815">
        <v>7</v>
      </c>
      <c r="B815">
        <v>5</v>
      </c>
      <c r="C815">
        <v>1</v>
      </c>
      <c r="D815">
        <v>7.5</v>
      </c>
      <c r="E815">
        <v>181</v>
      </c>
      <c r="F815">
        <v>0.48499999999999999</v>
      </c>
      <c r="G815">
        <v>56</v>
      </c>
      <c r="H815">
        <v>0.39700000000000002</v>
      </c>
      <c r="I815">
        <v>0.75600000000000001</v>
      </c>
      <c r="J815">
        <v>480</v>
      </c>
      <c r="K815">
        <v>36</v>
      </c>
      <c r="L815">
        <v>139</v>
      </c>
      <c r="M815">
        <v>109</v>
      </c>
      <c r="N815">
        <v>32</v>
      </c>
      <c r="O815">
        <v>9</v>
      </c>
      <c r="P815">
        <v>64</v>
      </c>
      <c r="Q815">
        <v>1.7</v>
      </c>
    </row>
    <row r="816" spans="1:17" x14ac:dyDescent="0.25">
      <c r="A816">
        <v>8</v>
      </c>
      <c r="B816">
        <v>5</v>
      </c>
      <c r="C816">
        <v>0</v>
      </c>
      <c r="D816">
        <v>8</v>
      </c>
      <c r="E816">
        <v>128</v>
      </c>
      <c r="F816">
        <v>0.46500000000000002</v>
      </c>
      <c r="G816">
        <v>33</v>
      </c>
      <c r="H816">
        <v>0.311</v>
      </c>
      <c r="I816">
        <v>0.73799999999999999</v>
      </c>
      <c r="J816">
        <v>334</v>
      </c>
      <c r="K816">
        <v>38</v>
      </c>
      <c r="L816">
        <v>114</v>
      </c>
      <c r="M816">
        <v>116</v>
      </c>
      <c r="N816">
        <v>42</v>
      </c>
      <c r="O816">
        <v>17</v>
      </c>
      <c r="P816">
        <v>50</v>
      </c>
      <c r="Q816">
        <v>2.3199999999999998</v>
      </c>
    </row>
    <row r="817" spans="1:17" x14ac:dyDescent="0.25">
      <c r="A817">
        <v>5</v>
      </c>
      <c r="B817">
        <v>8</v>
      </c>
      <c r="C817">
        <v>0</v>
      </c>
      <c r="D817">
        <v>5</v>
      </c>
      <c r="E817">
        <v>162</v>
      </c>
      <c r="F817">
        <v>0.48599999999999999</v>
      </c>
      <c r="G817">
        <v>51</v>
      </c>
      <c r="H817">
        <v>0.436</v>
      </c>
      <c r="I817">
        <v>0.72699999999999998</v>
      </c>
      <c r="J817">
        <v>439</v>
      </c>
      <c r="K817">
        <v>36</v>
      </c>
      <c r="L817">
        <v>99</v>
      </c>
      <c r="M817">
        <v>108</v>
      </c>
      <c r="N817">
        <v>32</v>
      </c>
      <c r="O817">
        <v>14</v>
      </c>
      <c r="P817">
        <v>58</v>
      </c>
      <c r="Q817">
        <v>1.86</v>
      </c>
    </row>
    <row r="818" spans="1:17" x14ac:dyDescent="0.25">
      <c r="A818">
        <v>4</v>
      </c>
      <c r="B818">
        <v>9</v>
      </c>
      <c r="C818">
        <v>0</v>
      </c>
      <c r="D818">
        <v>4</v>
      </c>
      <c r="E818">
        <v>146</v>
      </c>
      <c r="F818">
        <v>0.48</v>
      </c>
      <c r="G818">
        <v>51</v>
      </c>
      <c r="H818">
        <v>0.37</v>
      </c>
      <c r="I818">
        <v>0.74099999999999999</v>
      </c>
      <c r="J818">
        <v>386</v>
      </c>
      <c r="K818">
        <v>35</v>
      </c>
      <c r="L818">
        <v>106</v>
      </c>
      <c r="M818">
        <v>66</v>
      </c>
      <c r="N818">
        <v>37</v>
      </c>
      <c r="O818">
        <v>21</v>
      </c>
      <c r="P818">
        <v>47</v>
      </c>
      <c r="Q818">
        <v>1.4</v>
      </c>
    </row>
    <row r="819" spans="1:17" x14ac:dyDescent="0.25">
      <c r="A819">
        <v>9</v>
      </c>
      <c r="B819">
        <v>4</v>
      </c>
      <c r="C819">
        <v>0</v>
      </c>
      <c r="D819">
        <v>9</v>
      </c>
      <c r="E819">
        <v>187</v>
      </c>
      <c r="F819">
        <v>0.48799999999999999</v>
      </c>
      <c r="G819">
        <v>59</v>
      </c>
      <c r="H819">
        <v>0.39900000000000002</v>
      </c>
      <c r="I819">
        <v>0.77200000000000002</v>
      </c>
      <c r="J819">
        <v>521</v>
      </c>
      <c r="K819">
        <v>31</v>
      </c>
      <c r="L819">
        <v>118</v>
      </c>
      <c r="M819">
        <v>131</v>
      </c>
      <c r="N819">
        <v>27</v>
      </c>
      <c r="O819">
        <v>15</v>
      </c>
      <c r="P819">
        <v>64</v>
      </c>
      <c r="Q819">
        <v>2.0499999999999998</v>
      </c>
    </row>
    <row r="820" spans="1:17" x14ac:dyDescent="0.25">
      <c r="A820">
        <v>3</v>
      </c>
      <c r="B820">
        <v>10</v>
      </c>
      <c r="C820">
        <v>0</v>
      </c>
      <c r="D820">
        <v>3</v>
      </c>
      <c r="E820">
        <v>108</v>
      </c>
      <c r="F820">
        <v>0.46400000000000002</v>
      </c>
      <c r="G820">
        <v>45</v>
      </c>
      <c r="H820">
        <v>0.38800000000000001</v>
      </c>
      <c r="I820">
        <v>0.88200000000000001</v>
      </c>
      <c r="J820">
        <v>291</v>
      </c>
      <c r="K820">
        <v>28</v>
      </c>
      <c r="L820">
        <v>90</v>
      </c>
      <c r="M820">
        <v>70</v>
      </c>
      <c r="N820">
        <v>24</v>
      </c>
      <c r="O820">
        <v>6</v>
      </c>
      <c r="P820">
        <v>38</v>
      </c>
      <c r="Q820">
        <v>1.84</v>
      </c>
    </row>
    <row r="821" spans="1:17" x14ac:dyDescent="0.25">
      <c r="A821">
        <v>10</v>
      </c>
      <c r="B821">
        <v>3</v>
      </c>
      <c r="C821">
        <v>0</v>
      </c>
      <c r="D821">
        <v>10</v>
      </c>
      <c r="E821">
        <v>127</v>
      </c>
      <c r="F821">
        <v>0.46700000000000003</v>
      </c>
      <c r="G821">
        <v>30</v>
      </c>
      <c r="H821">
        <v>0.27500000000000002</v>
      </c>
      <c r="I821">
        <v>0.81299999999999994</v>
      </c>
      <c r="J821">
        <v>349</v>
      </c>
      <c r="K821">
        <v>55</v>
      </c>
      <c r="L821">
        <v>108</v>
      </c>
      <c r="M821">
        <v>74</v>
      </c>
      <c r="N821">
        <v>27</v>
      </c>
      <c r="O821">
        <v>15</v>
      </c>
      <c r="P821">
        <v>35</v>
      </c>
      <c r="Q821">
        <v>2.11</v>
      </c>
    </row>
    <row r="822" spans="1:17" x14ac:dyDescent="0.25">
      <c r="A822">
        <v>6</v>
      </c>
      <c r="B822">
        <v>6</v>
      </c>
      <c r="C822">
        <v>1</v>
      </c>
      <c r="D822">
        <v>6.5</v>
      </c>
      <c r="E822">
        <v>121</v>
      </c>
      <c r="F822">
        <v>0.44800000000000001</v>
      </c>
      <c r="G822">
        <v>39</v>
      </c>
      <c r="H822">
        <v>0.34799999999999998</v>
      </c>
      <c r="I822">
        <v>0.80600000000000005</v>
      </c>
      <c r="J822">
        <v>331</v>
      </c>
      <c r="K822">
        <v>42</v>
      </c>
      <c r="L822">
        <v>95</v>
      </c>
      <c r="M822">
        <v>65</v>
      </c>
      <c r="N822">
        <v>23</v>
      </c>
      <c r="O822">
        <v>9</v>
      </c>
      <c r="P822">
        <v>37</v>
      </c>
      <c r="Q822">
        <v>1.76</v>
      </c>
    </row>
    <row r="823" spans="1:17" x14ac:dyDescent="0.25">
      <c r="A823">
        <v>6</v>
      </c>
      <c r="B823">
        <v>6</v>
      </c>
      <c r="C823">
        <v>1</v>
      </c>
      <c r="D823">
        <v>6.5</v>
      </c>
      <c r="E823">
        <v>116</v>
      </c>
      <c r="F823">
        <v>0.47299999999999998</v>
      </c>
      <c r="G823">
        <v>50</v>
      </c>
      <c r="H823">
        <v>0.39700000000000002</v>
      </c>
      <c r="I823">
        <v>0.71899999999999997</v>
      </c>
      <c r="J823">
        <v>328</v>
      </c>
      <c r="K823">
        <v>12</v>
      </c>
      <c r="L823">
        <v>59</v>
      </c>
      <c r="M823">
        <v>76</v>
      </c>
      <c r="N823">
        <v>21</v>
      </c>
      <c r="O823">
        <v>9</v>
      </c>
      <c r="P823">
        <v>35</v>
      </c>
      <c r="Q823">
        <v>2.17</v>
      </c>
    </row>
    <row r="824" spans="1:17" x14ac:dyDescent="0.25">
      <c r="A824">
        <v>5</v>
      </c>
      <c r="B824">
        <v>7</v>
      </c>
      <c r="C824">
        <v>1</v>
      </c>
      <c r="D824">
        <v>5.5</v>
      </c>
      <c r="E824">
        <v>128</v>
      </c>
      <c r="F824">
        <v>0.41699999999999998</v>
      </c>
      <c r="G824">
        <v>50</v>
      </c>
      <c r="H824">
        <v>0.36</v>
      </c>
      <c r="I824">
        <v>0.72199999999999998</v>
      </c>
      <c r="J824">
        <v>358</v>
      </c>
      <c r="K824">
        <v>40</v>
      </c>
      <c r="L824">
        <v>125</v>
      </c>
      <c r="M824">
        <v>93</v>
      </c>
      <c r="N824">
        <v>33</v>
      </c>
      <c r="O824">
        <v>21</v>
      </c>
      <c r="P824">
        <v>51</v>
      </c>
      <c r="Q824">
        <v>1.82</v>
      </c>
    </row>
    <row r="825" spans="1:17" x14ac:dyDescent="0.25">
      <c r="A825">
        <v>7</v>
      </c>
      <c r="B825">
        <v>5</v>
      </c>
      <c r="C825">
        <v>1</v>
      </c>
      <c r="D825">
        <v>7.5</v>
      </c>
      <c r="E825">
        <v>158</v>
      </c>
      <c r="F825">
        <v>0.47299999999999998</v>
      </c>
      <c r="G825">
        <v>48</v>
      </c>
      <c r="H825">
        <v>0.35799999999999998</v>
      </c>
      <c r="I825">
        <v>0.75</v>
      </c>
      <c r="J825">
        <v>427</v>
      </c>
      <c r="K825">
        <v>36</v>
      </c>
      <c r="L825">
        <v>105</v>
      </c>
      <c r="M825">
        <v>126</v>
      </c>
      <c r="N825">
        <v>37</v>
      </c>
      <c r="O825">
        <v>5</v>
      </c>
      <c r="P825">
        <v>51</v>
      </c>
      <c r="Q825">
        <v>2.4700000000000002</v>
      </c>
    </row>
    <row r="826" spans="1:17" x14ac:dyDescent="0.25">
      <c r="A826">
        <v>9</v>
      </c>
      <c r="B826">
        <v>4</v>
      </c>
      <c r="C826">
        <v>0</v>
      </c>
      <c r="D826">
        <v>9</v>
      </c>
      <c r="E826">
        <v>218</v>
      </c>
      <c r="F826">
        <v>0.51400000000000001</v>
      </c>
      <c r="G826">
        <v>75</v>
      </c>
      <c r="H826">
        <v>0.39100000000000001</v>
      </c>
      <c r="I826">
        <v>0.84599999999999997</v>
      </c>
      <c r="J826">
        <v>577</v>
      </c>
      <c r="K826">
        <v>33</v>
      </c>
      <c r="L826">
        <v>150</v>
      </c>
      <c r="M826">
        <v>115</v>
      </c>
      <c r="N826">
        <v>28</v>
      </c>
      <c r="O826">
        <v>25</v>
      </c>
      <c r="P826">
        <v>54</v>
      </c>
      <c r="Q826">
        <v>2.13</v>
      </c>
    </row>
    <row r="827" spans="1:17" x14ac:dyDescent="0.25">
      <c r="A827">
        <v>4</v>
      </c>
      <c r="B827">
        <v>9</v>
      </c>
      <c r="C827">
        <v>0</v>
      </c>
      <c r="D827">
        <v>4</v>
      </c>
      <c r="E827">
        <v>181</v>
      </c>
      <c r="F827">
        <v>0.501</v>
      </c>
      <c r="G827">
        <v>32</v>
      </c>
      <c r="H827">
        <v>0.34</v>
      </c>
      <c r="I827">
        <v>0.76600000000000001</v>
      </c>
      <c r="J827">
        <v>443</v>
      </c>
      <c r="K827">
        <v>65</v>
      </c>
      <c r="L827">
        <v>136</v>
      </c>
      <c r="M827">
        <v>96</v>
      </c>
      <c r="N827">
        <v>40</v>
      </c>
      <c r="O827">
        <v>27</v>
      </c>
      <c r="P827">
        <v>47</v>
      </c>
      <c r="Q827">
        <v>2.04</v>
      </c>
    </row>
    <row r="828" spans="1:17" x14ac:dyDescent="0.25">
      <c r="A828">
        <v>8</v>
      </c>
      <c r="B828">
        <v>5</v>
      </c>
      <c r="C828">
        <v>0</v>
      </c>
      <c r="D828">
        <v>8</v>
      </c>
      <c r="E828">
        <v>208</v>
      </c>
      <c r="F828">
        <v>0.47399999999999998</v>
      </c>
      <c r="G828">
        <v>44</v>
      </c>
      <c r="H828">
        <v>0.34100000000000003</v>
      </c>
      <c r="I828">
        <v>0.755</v>
      </c>
      <c r="J828">
        <v>574</v>
      </c>
      <c r="K828">
        <v>43</v>
      </c>
      <c r="L828">
        <v>145</v>
      </c>
      <c r="M828">
        <v>146</v>
      </c>
      <c r="N828">
        <v>36</v>
      </c>
      <c r="O828">
        <v>36</v>
      </c>
      <c r="P828">
        <v>69</v>
      </c>
      <c r="Q828">
        <v>2.12</v>
      </c>
    </row>
    <row r="829" spans="1:17" x14ac:dyDescent="0.25">
      <c r="A829">
        <v>5</v>
      </c>
      <c r="B829">
        <v>8</v>
      </c>
      <c r="C829">
        <v>0</v>
      </c>
      <c r="D829">
        <v>5</v>
      </c>
      <c r="E829">
        <v>168</v>
      </c>
      <c r="F829">
        <v>0.47299999999999998</v>
      </c>
      <c r="G829">
        <v>59</v>
      </c>
      <c r="H829">
        <v>0.36899999999999999</v>
      </c>
      <c r="I829">
        <v>0.88600000000000001</v>
      </c>
      <c r="J829">
        <v>465</v>
      </c>
      <c r="K829">
        <v>50</v>
      </c>
      <c r="L829">
        <v>122</v>
      </c>
      <c r="M829">
        <v>90</v>
      </c>
      <c r="N829">
        <v>32</v>
      </c>
      <c r="O829">
        <v>39</v>
      </c>
      <c r="P829">
        <v>72</v>
      </c>
      <c r="Q829">
        <v>1.25</v>
      </c>
    </row>
    <row r="831" spans="1:17" x14ac:dyDescent="0.25">
      <c r="A831" t="s">
        <v>202</v>
      </c>
    </row>
    <row r="832" spans="1:17" x14ac:dyDescent="0.25">
      <c r="A832" t="s">
        <v>223</v>
      </c>
    </row>
    <row r="833" spans="1:17" x14ac:dyDescent="0.25">
      <c r="A833" t="s">
        <v>187</v>
      </c>
    </row>
    <row r="834" spans="1:17" x14ac:dyDescent="0.25">
      <c r="A834" t="s">
        <v>33</v>
      </c>
    </row>
    <row r="835" spans="1:17" x14ac:dyDescent="0.25">
      <c r="A835" t="s">
        <v>159</v>
      </c>
    </row>
    <row r="836" spans="1:17" x14ac:dyDescent="0.25">
      <c r="A836" t="s">
        <v>98</v>
      </c>
    </row>
    <row r="837" spans="1:17" x14ac:dyDescent="0.25">
      <c r="A837" t="s">
        <v>94</v>
      </c>
    </row>
    <row r="838" spans="1:17" x14ac:dyDescent="0.25">
      <c r="A838" t="s">
        <v>23</v>
      </c>
    </row>
    <row r="839" spans="1:17" x14ac:dyDescent="0.25">
      <c r="A839" t="s">
        <v>154</v>
      </c>
    </row>
    <row r="840" spans="1:17" x14ac:dyDescent="0.25">
      <c r="A840" t="s">
        <v>93</v>
      </c>
    </row>
    <row r="841" spans="1:17" x14ac:dyDescent="0.25">
      <c r="A841" t="s">
        <v>158</v>
      </c>
    </row>
    <row r="843" spans="1:17" x14ac:dyDescent="0.25">
      <c r="A843">
        <v>8</v>
      </c>
      <c r="B843">
        <v>5</v>
      </c>
      <c r="C843">
        <v>0</v>
      </c>
      <c r="D843">
        <v>8</v>
      </c>
      <c r="E843">
        <v>193</v>
      </c>
      <c r="F843">
        <v>0.52</v>
      </c>
      <c r="G843">
        <v>77</v>
      </c>
      <c r="H843">
        <v>0.45</v>
      </c>
      <c r="I843">
        <v>0.89700000000000002</v>
      </c>
      <c r="J843">
        <v>541</v>
      </c>
      <c r="K843">
        <v>31</v>
      </c>
      <c r="L843">
        <v>129</v>
      </c>
      <c r="M843">
        <v>110</v>
      </c>
      <c r="N843">
        <v>32</v>
      </c>
      <c r="O843">
        <v>10</v>
      </c>
      <c r="P843">
        <v>54</v>
      </c>
      <c r="Q843">
        <v>2.04</v>
      </c>
    </row>
    <row r="844" spans="1:17" x14ac:dyDescent="0.25">
      <c r="A844">
        <v>5</v>
      </c>
      <c r="B844">
        <v>8</v>
      </c>
      <c r="C844">
        <v>0</v>
      </c>
      <c r="D844">
        <v>5</v>
      </c>
      <c r="E844">
        <v>186</v>
      </c>
      <c r="F844">
        <v>0.45300000000000001</v>
      </c>
      <c r="G844">
        <v>46</v>
      </c>
      <c r="H844">
        <v>0.28699999999999998</v>
      </c>
      <c r="I844">
        <v>0.81899999999999995</v>
      </c>
      <c r="J844">
        <v>513</v>
      </c>
      <c r="K844">
        <v>53</v>
      </c>
      <c r="L844">
        <v>179</v>
      </c>
      <c r="M844">
        <v>148</v>
      </c>
      <c r="N844">
        <v>21</v>
      </c>
      <c r="O844">
        <v>16</v>
      </c>
      <c r="P844">
        <v>65</v>
      </c>
      <c r="Q844">
        <v>2.2799999999999998</v>
      </c>
    </row>
    <row r="845" spans="1:17" x14ac:dyDescent="0.25">
      <c r="A845">
        <v>2</v>
      </c>
      <c r="B845">
        <v>11</v>
      </c>
      <c r="C845">
        <v>0</v>
      </c>
      <c r="D845">
        <v>2</v>
      </c>
      <c r="E845">
        <v>99</v>
      </c>
      <c r="F845">
        <v>0.40899999999999997</v>
      </c>
      <c r="G845">
        <v>30</v>
      </c>
      <c r="H845">
        <v>0.26300000000000001</v>
      </c>
      <c r="I845">
        <v>0.78</v>
      </c>
      <c r="J845">
        <v>267</v>
      </c>
      <c r="K845">
        <v>21</v>
      </c>
      <c r="L845">
        <v>81</v>
      </c>
      <c r="M845">
        <v>71</v>
      </c>
      <c r="N845">
        <v>27</v>
      </c>
      <c r="O845">
        <v>12</v>
      </c>
      <c r="P845">
        <v>39</v>
      </c>
      <c r="Q845">
        <v>1.82</v>
      </c>
    </row>
    <row r="846" spans="1:17" x14ac:dyDescent="0.25">
      <c r="A846">
        <v>11</v>
      </c>
      <c r="B846">
        <v>2</v>
      </c>
      <c r="C846">
        <v>0</v>
      </c>
      <c r="D846">
        <v>11</v>
      </c>
      <c r="E846">
        <v>142</v>
      </c>
      <c r="F846">
        <v>0.436</v>
      </c>
      <c r="G846">
        <v>39</v>
      </c>
      <c r="H846">
        <v>0.32800000000000001</v>
      </c>
      <c r="I846">
        <v>0.90400000000000003</v>
      </c>
      <c r="J846">
        <v>426</v>
      </c>
      <c r="K846">
        <v>31</v>
      </c>
      <c r="L846">
        <v>100</v>
      </c>
      <c r="M846">
        <v>106</v>
      </c>
      <c r="N846">
        <v>21</v>
      </c>
      <c r="O846">
        <v>18</v>
      </c>
      <c r="P846">
        <v>49</v>
      </c>
      <c r="Q846">
        <v>2.16</v>
      </c>
    </row>
    <row r="847" spans="1:17" x14ac:dyDescent="0.25">
      <c r="A847">
        <v>8</v>
      </c>
      <c r="B847">
        <v>5</v>
      </c>
      <c r="C847">
        <v>0</v>
      </c>
      <c r="D847">
        <v>8</v>
      </c>
      <c r="E847">
        <v>180</v>
      </c>
      <c r="F847">
        <v>0.50600000000000001</v>
      </c>
      <c r="G847">
        <v>64</v>
      </c>
      <c r="H847">
        <v>0.38100000000000001</v>
      </c>
      <c r="I847">
        <v>0.85699999999999998</v>
      </c>
      <c r="J847">
        <v>502</v>
      </c>
      <c r="K847">
        <v>46</v>
      </c>
      <c r="L847">
        <v>146</v>
      </c>
      <c r="M847">
        <v>110</v>
      </c>
      <c r="N847">
        <v>39</v>
      </c>
      <c r="O847">
        <v>37</v>
      </c>
      <c r="P847">
        <v>46</v>
      </c>
      <c r="Q847">
        <v>2.39</v>
      </c>
    </row>
    <row r="848" spans="1:17" x14ac:dyDescent="0.25">
      <c r="A848">
        <v>5</v>
      </c>
      <c r="B848">
        <v>8</v>
      </c>
      <c r="C848">
        <v>0</v>
      </c>
      <c r="D848">
        <v>5</v>
      </c>
      <c r="E848">
        <v>205</v>
      </c>
      <c r="F848">
        <v>0.51</v>
      </c>
      <c r="G848">
        <v>51</v>
      </c>
      <c r="H848">
        <v>0.39200000000000002</v>
      </c>
      <c r="I848">
        <v>0.70799999999999996</v>
      </c>
      <c r="J848">
        <v>546</v>
      </c>
      <c r="K848">
        <v>36</v>
      </c>
      <c r="L848">
        <v>117</v>
      </c>
      <c r="M848">
        <v>128</v>
      </c>
      <c r="N848">
        <v>37</v>
      </c>
      <c r="O848">
        <v>17</v>
      </c>
      <c r="P848">
        <v>59</v>
      </c>
      <c r="Q848">
        <v>2.17</v>
      </c>
    </row>
    <row r="849" spans="1:17" x14ac:dyDescent="0.25">
      <c r="A849">
        <v>5</v>
      </c>
      <c r="B849">
        <v>8</v>
      </c>
      <c r="C849">
        <v>0</v>
      </c>
      <c r="D849">
        <v>5</v>
      </c>
      <c r="E849">
        <v>138</v>
      </c>
      <c r="F849">
        <v>0.45200000000000001</v>
      </c>
      <c r="G849">
        <v>50</v>
      </c>
      <c r="H849">
        <v>0.36</v>
      </c>
      <c r="I849">
        <v>0.73499999999999999</v>
      </c>
      <c r="J849">
        <v>412</v>
      </c>
      <c r="K849">
        <v>28</v>
      </c>
      <c r="L849">
        <v>106</v>
      </c>
      <c r="M849">
        <v>99</v>
      </c>
      <c r="N849">
        <v>40</v>
      </c>
      <c r="O849">
        <v>13</v>
      </c>
      <c r="P849">
        <v>38</v>
      </c>
      <c r="Q849">
        <v>2.61</v>
      </c>
    </row>
    <row r="850" spans="1:17" x14ac:dyDescent="0.25">
      <c r="A850">
        <v>8</v>
      </c>
      <c r="B850">
        <v>5</v>
      </c>
      <c r="C850">
        <v>0</v>
      </c>
      <c r="D850">
        <v>8</v>
      </c>
      <c r="E850">
        <v>221</v>
      </c>
      <c r="F850">
        <v>0.496</v>
      </c>
      <c r="G850">
        <v>47</v>
      </c>
      <c r="H850">
        <v>0.28699999999999998</v>
      </c>
      <c r="I850">
        <v>0.752</v>
      </c>
      <c r="J850">
        <v>574</v>
      </c>
      <c r="K850">
        <v>41</v>
      </c>
      <c r="L850">
        <v>127</v>
      </c>
      <c r="M850">
        <v>119</v>
      </c>
      <c r="N850">
        <v>30</v>
      </c>
      <c r="O850">
        <v>23</v>
      </c>
      <c r="P850">
        <v>78</v>
      </c>
      <c r="Q850">
        <v>1.53</v>
      </c>
    </row>
    <row r="851" spans="1:17" x14ac:dyDescent="0.25">
      <c r="A851" t="s">
        <v>203</v>
      </c>
    </row>
    <row r="852" spans="1:17" x14ac:dyDescent="0.25">
      <c r="A852" t="s">
        <v>224</v>
      </c>
    </row>
    <row r="853" spans="1:17" x14ac:dyDescent="0.25">
      <c r="A853" t="s">
        <v>176</v>
      </c>
    </row>
    <row r="854" spans="1:17" x14ac:dyDescent="0.25">
      <c r="A854" t="s">
        <v>33</v>
      </c>
    </row>
    <row r="855" spans="1:17" x14ac:dyDescent="0.25">
      <c r="A855" t="s">
        <v>186</v>
      </c>
    </row>
    <row r="856" spans="1:17" x14ac:dyDescent="0.25">
      <c r="A856" t="s">
        <v>94</v>
      </c>
    </row>
    <row r="857" spans="1:17" x14ac:dyDescent="0.25">
      <c r="A857" t="s">
        <v>181</v>
      </c>
    </row>
    <row r="858" spans="1:17" x14ac:dyDescent="0.25">
      <c r="A858" t="s">
        <v>23</v>
      </c>
    </row>
    <row r="859" spans="1:17" x14ac:dyDescent="0.25">
      <c r="A859" t="s">
        <v>26</v>
      </c>
    </row>
    <row r="860" spans="1:17" x14ac:dyDescent="0.25">
      <c r="A860" t="s">
        <v>158</v>
      </c>
    </row>
    <row r="861" spans="1:17" x14ac:dyDescent="0.25">
      <c r="A861" t="s">
        <v>16</v>
      </c>
    </row>
    <row r="863" spans="1:17" x14ac:dyDescent="0.25">
      <c r="A863">
        <v>8</v>
      </c>
      <c r="B863">
        <v>4</v>
      </c>
      <c r="C863">
        <v>1</v>
      </c>
      <c r="D863">
        <v>8.5</v>
      </c>
      <c r="E863">
        <v>156</v>
      </c>
      <c r="F863">
        <v>0.52</v>
      </c>
      <c r="G863">
        <v>47</v>
      </c>
      <c r="H863">
        <v>0.42</v>
      </c>
      <c r="I863">
        <v>0.88400000000000001</v>
      </c>
      <c r="J863">
        <v>420</v>
      </c>
      <c r="K863">
        <v>24</v>
      </c>
      <c r="L863">
        <v>101</v>
      </c>
      <c r="M863">
        <v>102</v>
      </c>
      <c r="N863">
        <v>25</v>
      </c>
      <c r="O863">
        <v>29</v>
      </c>
      <c r="P863">
        <v>43</v>
      </c>
      <c r="Q863">
        <v>2.37</v>
      </c>
    </row>
    <row r="864" spans="1:17" x14ac:dyDescent="0.25">
      <c r="A864">
        <v>4</v>
      </c>
      <c r="B864">
        <v>8</v>
      </c>
      <c r="C864">
        <v>1</v>
      </c>
      <c r="D864">
        <v>4.5</v>
      </c>
      <c r="E864">
        <v>132</v>
      </c>
      <c r="F864">
        <v>0.47699999999999998</v>
      </c>
      <c r="G864">
        <v>29</v>
      </c>
      <c r="H864">
        <v>0.312</v>
      </c>
      <c r="I864">
        <v>0.91400000000000003</v>
      </c>
      <c r="J864">
        <v>378</v>
      </c>
      <c r="K864">
        <v>19</v>
      </c>
      <c r="L864">
        <v>94</v>
      </c>
      <c r="M864">
        <v>119</v>
      </c>
      <c r="N864">
        <v>29</v>
      </c>
      <c r="O864">
        <v>13</v>
      </c>
      <c r="P864">
        <v>43</v>
      </c>
      <c r="Q864">
        <v>2.77</v>
      </c>
    </row>
    <row r="865" spans="1:17" x14ac:dyDescent="0.25">
      <c r="A865">
        <v>5</v>
      </c>
      <c r="B865">
        <v>8</v>
      </c>
      <c r="C865">
        <v>0</v>
      </c>
      <c r="D865">
        <v>5</v>
      </c>
      <c r="E865">
        <v>143</v>
      </c>
      <c r="F865">
        <v>0.52600000000000002</v>
      </c>
      <c r="G865">
        <v>48</v>
      </c>
      <c r="H865">
        <v>0.39</v>
      </c>
      <c r="I865">
        <v>0.85299999999999998</v>
      </c>
      <c r="J865">
        <v>398</v>
      </c>
      <c r="K865">
        <v>17</v>
      </c>
      <c r="L865">
        <v>81</v>
      </c>
      <c r="M865">
        <v>93</v>
      </c>
      <c r="N865">
        <v>25</v>
      </c>
      <c r="O865">
        <v>11</v>
      </c>
      <c r="P865">
        <v>33</v>
      </c>
      <c r="Q865">
        <v>2.82</v>
      </c>
    </row>
    <row r="866" spans="1:17" x14ac:dyDescent="0.25">
      <c r="A866">
        <v>8</v>
      </c>
      <c r="B866">
        <v>5</v>
      </c>
      <c r="C866">
        <v>0</v>
      </c>
      <c r="D866">
        <v>8</v>
      </c>
      <c r="E866">
        <v>247</v>
      </c>
      <c r="F866">
        <v>0.501</v>
      </c>
      <c r="G866">
        <v>59</v>
      </c>
      <c r="H866">
        <v>0.34100000000000003</v>
      </c>
      <c r="I866">
        <v>0.83499999999999996</v>
      </c>
      <c r="J866">
        <v>725</v>
      </c>
      <c r="K866">
        <v>40</v>
      </c>
      <c r="L866">
        <v>127</v>
      </c>
      <c r="M866">
        <v>151</v>
      </c>
      <c r="N866">
        <v>45</v>
      </c>
      <c r="O866">
        <v>21</v>
      </c>
      <c r="P866">
        <v>79</v>
      </c>
      <c r="Q866">
        <v>1.91</v>
      </c>
    </row>
    <row r="867" spans="1:17" x14ac:dyDescent="0.25">
      <c r="A867">
        <v>10</v>
      </c>
      <c r="B867">
        <v>3</v>
      </c>
      <c r="C867">
        <v>0</v>
      </c>
      <c r="D867">
        <v>10</v>
      </c>
      <c r="E867">
        <v>157</v>
      </c>
      <c r="F867">
        <v>0.51600000000000001</v>
      </c>
      <c r="G867">
        <v>44</v>
      </c>
      <c r="H867">
        <v>0.39300000000000002</v>
      </c>
      <c r="I867">
        <v>0.85899999999999999</v>
      </c>
      <c r="J867">
        <v>413</v>
      </c>
      <c r="K867">
        <v>42</v>
      </c>
      <c r="L867">
        <v>114</v>
      </c>
      <c r="M867">
        <v>115</v>
      </c>
      <c r="N867">
        <v>30</v>
      </c>
      <c r="O867">
        <v>20</v>
      </c>
      <c r="P867">
        <v>53</v>
      </c>
      <c r="Q867">
        <v>2.17</v>
      </c>
    </row>
    <row r="868" spans="1:17" x14ac:dyDescent="0.25">
      <c r="A868">
        <v>3</v>
      </c>
      <c r="B868">
        <v>10</v>
      </c>
      <c r="C868">
        <v>0</v>
      </c>
      <c r="D868">
        <v>3</v>
      </c>
      <c r="E868">
        <v>128</v>
      </c>
      <c r="F868">
        <v>0.45700000000000002</v>
      </c>
      <c r="G868">
        <v>38</v>
      </c>
      <c r="H868">
        <v>0.36899999999999999</v>
      </c>
      <c r="I868">
        <v>0.873</v>
      </c>
      <c r="J868">
        <v>349</v>
      </c>
      <c r="K868">
        <v>51</v>
      </c>
      <c r="L868">
        <v>102</v>
      </c>
      <c r="M868">
        <v>74</v>
      </c>
      <c r="N868">
        <v>18</v>
      </c>
      <c r="O868">
        <v>9</v>
      </c>
      <c r="P868">
        <v>42</v>
      </c>
      <c r="Q868">
        <v>1.76</v>
      </c>
    </row>
    <row r="869" spans="1:17" x14ac:dyDescent="0.25">
      <c r="A869">
        <v>8</v>
      </c>
      <c r="B869">
        <v>5</v>
      </c>
      <c r="C869">
        <v>0</v>
      </c>
      <c r="D869">
        <v>8</v>
      </c>
      <c r="E869">
        <v>207</v>
      </c>
      <c r="F869">
        <v>0.48399999999999999</v>
      </c>
      <c r="G869">
        <v>71</v>
      </c>
      <c r="H869">
        <v>0.39700000000000002</v>
      </c>
      <c r="I869">
        <v>0.78800000000000003</v>
      </c>
      <c r="J869">
        <v>600</v>
      </c>
      <c r="K869">
        <v>38</v>
      </c>
      <c r="L869">
        <v>149</v>
      </c>
      <c r="M869">
        <v>160</v>
      </c>
      <c r="N869">
        <v>39</v>
      </c>
      <c r="O869">
        <v>24</v>
      </c>
      <c r="P869">
        <v>76</v>
      </c>
      <c r="Q869">
        <v>2.11</v>
      </c>
    </row>
    <row r="870" spans="1:17" x14ac:dyDescent="0.25">
      <c r="A870">
        <v>5</v>
      </c>
      <c r="B870">
        <v>8</v>
      </c>
      <c r="C870">
        <v>0</v>
      </c>
      <c r="D870">
        <v>5</v>
      </c>
      <c r="E870">
        <v>203</v>
      </c>
      <c r="F870">
        <v>0.51800000000000002</v>
      </c>
      <c r="G870">
        <v>49</v>
      </c>
      <c r="H870">
        <v>0.34</v>
      </c>
      <c r="I870">
        <v>0.68600000000000005</v>
      </c>
      <c r="J870">
        <v>525</v>
      </c>
      <c r="K870">
        <v>58</v>
      </c>
      <c r="L870">
        <v>154</v>
      </c>
      <c r="M870">
        <v>103</v>
      </c>
      <c r="N870">
        <v>28</v>
      </c>
      <c r="O870">
        <v>28</v>
      </c>
      <c r="P870">
        <v>58</v>
      </c>
      <c r="Q870">
        <v>1.78</v>
      </c>
    </row>
    <row r="871" spans="1:17" x14ac:dyDescent="0.25">
      <c r="A871" t="s">
        <v>204</v>
      </c>
    </row>
    <row r="872" spans="1:17" x14ac:dyDescent="0.25">
      <c r="A872" t="s">
        <v>225</v>
      </c>
    </row>
    <row r="873" spans="1:17" x14ac:dyDescent="0.25">
      <c r="A873" t="s">
        <v>176</v>
      </c>
    </row>
    <row r="874" spans="1:17" x14ac:dyDescent="0.25">
      <c r="A874" t="s">
        <v>33</v>
      </c>
    </row>
    <row r="875" spans="1:17" x14ac:dyDescent="0.25">
      <c r="A875" t="s">
        <v>181</v>
      </c>
    </row>
    <row r="876" spans="1:17" x14ac:dyDescent="0.25">
      <c r="A876" t="s">
        <v>23</v>
      </c>
    </row>
    <row r="877" spans="1:17" x14ac:dyDescent="0.25">
      <c r="A877" t="s">
        <v>158</v>
      </c>
    </row>
    <row r="879" spans="1:17" x14ac:dyDescent="0.25">
      <c r="A879">
        <v>6</v>
      </c>
      <c r="B879">
        <v>7</v>
      </c>
      <c r="C879">
        <v>0</v>
      </c>
      <c r="D879">
        <v>6</v>
      </c>
      <c r="E879">
        <v>209</v>
      </c>
      <c r="F879">
        <v>0.499</v>
      </c>
      <c r="G879">
        <v>66</v>
      </c>
      <c r="H879">
        <v>0.38400000000000001</v>
      </c>
      <c r="I879">
        <v>0.81499999999999995</v>
      </c>
      <c r="J879">
        <v>590</v>
      </c>
      <c r="K879">
        <v>30</v>
      </c>
      <c r="L879">
        <v>134</v>
      </c>
      <c r="M879">
        <v>112</v>
      </c>
      <c r="N879">
        <v>39</v>
      </c>
      <c r="O879">
        <v>23</v>
      </c>
      <c r="P879">
        <v>61</v>
      </c>
      <c r="Q879">
        <v>1.84</v>
      </c>
    </row>
    <row r="880" spans="1:17" x14ac:dyDescent="0.25">
      <c r="A880">
        <v>7</v>
      </c>
      <c r="B880">
        <v>6</v>
      </c>
      <c r="C880">
        <v>0</v>
      </c>
      <c r="D880">
        <v>7</v>
      </c>
      <c r="E880">
        <v>186</v>
      </c>
      <c r="F880">
        <v>0.52</v>
      </c>
      <c r="G880">
        <v>55</v>
      </c>
      <c r="H880">
        <v>0.42599999999999999</v>
      </c>
      <c r="I880">
        <v>0.76600000000000001</v>
      </c>
      <c r="J880">
        <v>509</v>
      </c>
      <c r="K880">
        <v>37</v>
      </c>
      <c r="L880">
        <v>147</v>
      </c>
      <c r="M880">
        <v>122</v>
      </c>
      <c r="N880">
        <v>30</v>
      </c>
      <c r="O880">
        <v>13</v>
      </c>
      <c r="P880">
        <v>51</v>
      </c>
      <c r="Q880">
        <v>2.39</v>
      </c>
    </row>
    <row r="881" spans="1:17" x14ac:dyDescent="0.25">
      <c r="A881">
        <v>7</v>
      </c>
      <c r="B881">
        <v>6</v>
      </c>
      <c r="C881">
        <v>0</v>
      </c>
      <c r="D881">
        <v>7</v>
      </c>
      <c r="E881">
        <v>196</v>
      </c>
      <c r="F881">
        <v>0.5</v>
      </c>
      <c r="G881">
        <v>71</v>
      </c>
      <c r="H881">
        <v>0.40799999999999997</v>
      </c>
      <c r="I881">
        <v>0.83899999999999997</v>
      </c>
      <c r="J881">
        <v>541</v>
      </c>
      <c r="K881">
        <v>31</v>
      </c>
      <c r="L881">
        <v>129</v>
      </c>
      <c r="M881">
        <v>116</v>
      </c>
      <c r="N881">
        <v>41</v>
      </c>
      <c r="O881">
        <v>22</v>
      </c>
      <c r="P881">
        <v>49</v>
      </c>
      <c r="Q881">
        <v>2.37</v>
      </c>
    </row>
    <row r="882" spans="1:17" x14ac:dyDescent="0.25">
      <c r="A882">
        <v>6</v>
      </c>
      <c r="B882">
        <v>7</v>
      </c>
      <c r="C882">
        <v>0</v>
      </c>
      <c r="D882">
        <v>6</v>
      </c>
      <c r="E882">
        <v>239</v>
      </c>
      <c r="F882">
        <v>0.46</v>
      </c>
      <c r="G882">
        <v>61</v>
      </c>
      <c r="H882">
        <v>0.32600000000000001</v>
      </c>
      <c r="I882">
        <v>0.78</v>
      </c>
      <c r="J882">
        <v>699</v>
      </c>
      <c r="K882">
        <v>38</v>
      </c>
      <c r="L882">
        <v>145</v>
      </c>
      <c r="M882">
        <v>167</v>
      </c>
      <c r="N882">
        <v>42</v>
      </c>
      <c r="O882">
        <v>17</v>
      </c>
      <c r="P882">
        <v>87</v>
      </c>
      <c r="Q882">
        <v>1.92</v>
      </c>
    </row>
    <row r="883" spans="1:17" x14ac:dyDescent="0.25">
      <c r="A883" t="s">
        <v>205</v>
      </c>
    </row>
    <row r="884" spans="1:17" x14ac:dyDescent="0.25">
      <c r="A884" t="s">
        <v>226</v>
      </c>
    </row>
    <row r="885" spans="1:17" x14ac:dyDescent="0.25">
      <c r="A885" t="s">
        <v>176</v>
      </c>
    </row>
    <row r="886" spans="1:17" x14ac:dyDescent="0.25">
      <c r="A886" t="s">
        <v>23</v>
      </c>
    </row>
    <row r="887" spans="1:17" x14ac:dyDescent="0.25">
      <c r="A887" t="s">
        <v>181</v>
      </c>
    </row>
    <row r="889" spans="1:17" x14ac:dyDescent="0.25">
      <c r="A889">
        <v>7</v>
      </c>
      <c r="B889">
        <v>6</v>
      </c>
      <c r="C889">
        <v>0</v>
      </c>
      <c r="D889">
        <v>7</v>
      </c>
      <c r="E889">
        <v>216</v>
      </c>
      <c r="F889">
        <v>0.52600000000000002</v>
      </c>
      <c r="G889">
        <v>41</v>
      </c>
      <c r="H889">
        <v>0.32800000000000001</v>
      </c>
      <c r="I889">
        <v>0.77</v>
      </c>
      <c r="J889">
        <v>550</v>
      </c>
      <c r="K889">
        <v>41</v>
      </c>
      <c r="L889">
        <v>149</v>
      </c>
      <c r="M889">
        <v>167</v>
      </c>
      <c r="N889">
        <v>46</v>
      </c>
      <c r="O889">
        <v>24</v>
      </c>
      <c r="P889">
        <v>61</v>
      </c>
      <c r="Q889">
        <v>2.74</v>
      </c>
    </row>
    <row r="890" spans="1:17" x14ac:dyDescent="0.25">
      <c r="A890">
        <v>6</v>
      </c>
      <c r="B890">
        <v>7</v>
      </c>
      <c r="C890">
        <v>0</v>
      </c>
      <c r="D890">
        <v>6</v>
      </c>
      <c r="E890">
        <v>193</v>
      </c>
      <c r="F890">
        <v>0.45100000000000001</v>
      </c>
      <c r="G890">
        <v>58</v>
      </c>
      <c r="H890">
        <v>0.34300000000000003</v>
      </c>
      <c r="I890">
        <v>0.89800000000000002</v>
      </c>
      <c r="J890">
        <v>558</v>
      </c>
      <c r="K890">
        <v>32</v>
      </c>
      <c r="L890">
        <v>156</v>
      </c>
      <c r="M890">
        <v>155</v>
      </c>
      <c r="N890">
        <v>35</v>
      </c>
      <c r="O890">
        <v>15</v>
      </c>
      <c r="P890">
        <v>59</v>
      </c>
      <c r="Q890">
        <v>2.63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Playoffs</vt:lpstr>
      <vt:lpstr>Regular</vt:lpstr>
      <vt:lpstr>Total</vt:lpstr>
      <vt:lpstr>VsHistory</vt:lpstr>
      <vt:lpstr>VsHistoryMatrix</vt:lpstr>
      <vt:lpstr>Records</vt:lpstr>
      <vt:lpstr>Data</vt:lpstr>
      <vt:lpstr>Clean 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Kanellos Fanis</dc:creator>
  <cp:lastModifiedBy>Kanellos Fanis</cp:lastModifiedBy>
  <cp:lastPrinted>2019-02-14T15:20:47Z</cp:lastPrinted>
  <dcterms:created xsi:type="dcterms:W3CDTF">2018-12-12T12:07:13Z</dcterms:created>
  <dcterms:modified xsi:type="dcterms:W3CDTF">2026-03-31T13:11:25Z</dcterms:modified>
</cp:coreProperties>
</file>